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kilbe\Downloads\"/>
    </mc:Choice>
  </mc:AlternateContent>
  <xr:revisionPtr revIDLastSave="0" documentId="13_ncr:1_{67C56B61-E207-4292-A4EB-B8D3E6A1AECF}" xr6:coauthVersionLast="47" xr6:coauthVersionMax="47" xr10:uidLastSave="{00000000-0000-0000-0000-000000000000}"/>
  <bookViews>
    <workbookView xWindow="-110" yWindow="-110" windowWidth="19420" windowHeight="10300" xr2:uid="{B9BF5257-8C3E-442B-84F1-7971F05BF222}"/>
  </bookViews>
  <sheets>
    <sheet name="CRONOGRAMA" sheetId="1" r:id="rId1"/>
  </sheets>
  <externalReferences>
    <externalReference r:id="rId2"/>
  </externalReferences>
  <definedNames>
    <definedName name="_xlnm.Print_Area" localSheetId="0">CRONOGRAMA!$A$1:$G$26</definedName>
    <definedName name="JR_PAGE_ANCHOR_4_1">CRONOGRAMA!$A$1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G22" i="1" s="1"/>
  <c r="C19" i="1"/>
  <c r="E20" i="1" s="1"/>
  <c r="C17" i="1"/>
  <c r="E18" i="1" s="1"/>
  <c r="C15" i="1"/>
  <c r="F16" i="1" s="1"/>
  <c r="C13" i="1"/>
  <c r="G14" i="1" s="1"/>
  <c r="C11" i="1"/>
  <c r="G12" i="1" s="1"/>
  <c r="C9" i="1"/>
  <c r="F10" i="1" s="1"/>
  <c r="C7" i="1"/>
  <c r="F8" i="1" s="1"/>
  <c r="C5" i="1"/>
  <c r="E6" i="1" s="1"/>
  <c r="C3" i="1"/>
  <c r="D4" i="1" s="1"/>
  <c r="F18" i="1" l="1"/>
  <c r="F20" i="1"/>
  <c r="D6" i="1"/>
  <c r="F6" i="1" s="1"/>
  <c r="D8" i="1"/>
  <c r="E14" i="1"/>
  <c r="G18" i="1"/>
  <c r="G20" i="1"/>
  <c r="G23" i="1" s="1"/>
  <c r="E8" i="1"/>
  <c r="E23" i="1" s="1"/>
  <c r="F14" i="1"/>
  <c r="F23" i="1" l="1"/>
  <c r="D23" i="1"/>
  <c r="D24" i="1" l="1"/>
  <c r="E24" i="1" s="1"/>
  <c r="F24" i="1" s="1"/>
  <c r="G24" i="1" s="1"/>
  <c r="E25" i="1" l="1"/>
  <c r="G25" i="1"/>
  <c r="D25" i="1"/>
  <c r="D26" i="1" s="1"/>
  <c r="E26" i="1" s="1"/>
  <c r="F26" i="1" s="1"/>
  <c r="G26" i="1" s="1"/>
  <c r="F25" i="1"/>
</calcChain>
</file>

<file path=xl/sharedStrings.xml><?xml version="1.0" encoding="utf-8"?>
<sst xmlns="http://schemas.openxmlformats.org/spreadsheetml/2006/main" count="22" uniqueCount="22">
  <si>
    <r>
      <rPr>
        <sz val="9"/>
        <rFont val="Arial"/>
        <family val="2"/>
      </rPr>
      <t>ITEM</t>
    </r>
  </si>
  <si>
    <r>
      <rPr>
        <sz val="9"/>
        <rFont val="Arial"/>
        <family val="2"/>
      </rPr>
      <t>DESCRIÇÃO</t>
    </r>
  </si>
  <si>
    <r>
      <rPr>
        <sz val="9"/>
        <rFont val="Arial"/>
        <family val="2"/>
      </rPr>
      <t>VALOR (R$)</t>
    </r>
  </si>
  <si>
    <r>
      <rPr>
        <sz val="9"/>
        <rFont val="Arial"/>
        <family val="2"/>
      </rPr>
      <t>MÊS 1</t>
    </r>
  </si>
  <si>
    <r>
      <rPr>
        <sz val="9"/>
        <rFont val="Arial"/>
        <family val="2"/>
      </rPr>
      <t>MÊS 2</t>
    </r>
  </si>
  <si>
    <r>
      <rPr>
        <sz val="9"/>
        <rFont val="Arial"/>
        <family val="2"/>
      </rPr>
      <t>MÊS 3</t>
    </r>
  </si>
  <si>
    <r>
      <rPr>
        <sz val="9"/>
        <rFont val="Arial"/>
        <family val="2"/>
      </rPr>
      <t>MÊS 4</t>
    </r>
  </si>
  <si>
    <r>
      <rPr>
        <sz val="9"/>
        <rFont val="Arial"/>
        <family val="2"/>
      </rPr>
      <t>1</t>
    </r>
  </si>
  <si>
    <r>
      <rPr>
        <sz val="9"/>
        <rFont val="Arial"/>
        <family val="2"/>
      </rPr>
      <t>SERVIÇOS PRELIMINARES</t>
    </r>
  </si>
  <si>
    <t>PISO</t>
  </si>
  <si>
    <t>PAREDES</t>
  </si>
  <si>
    <t>ESQUADRIAS</t>
  </si>
  <si>
    <t>WC</t>
  </si>
  <si>
    <t>FÔRRO E COBERTA</t>
  </si>
  <si>
    <t>INSTALAÇÃO HIDRÁULICA</t>
  </si>
  <si>
    <t>INSTALAÇÃO SANITÁRIA</t>
  </si>
  <si>
    <t>ELÉTRICA</t>
  </si>
  <si>
    <r>
      <rPr>
        <sz val="9"/>
        <rFont val="Arial"/>
        <family val="2"/>
      </rPr>
      <t>DIVERSOS</t>
    </r>
  </si>
  <si>
    <t>TOTAL(R$)</t>
  </si>
  <si>
    <t>TOTAL ACUMULADO(R$)</t>
  </si>
  <si>
    <t>PERCENTUAL SIMPLES(%)</t>
  </si>
  <si>
    <t>PERCENTUAL ACUMULADO(%)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</si>
</sst>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right" vertical="center" wrapText="1"/>
    </xf>
    <xf numFmtId="0" fontId="4" fillId="0" borderId="3" xfId="0" applyFont="1" applyBorder="1" applyAlignment="1" applyProtection="1">
      <alignment wrapText="1"/>
      <protection locked="0"/>
    </xf>
    <xf numFmtId="4" fontId="2" fillId="2" borderId="2" xfId="0" applyNumberFormat="1" applyFont="1" applyFill="1" applyBorder="1" applyAlignment="1">
      <alignment horizontal="right" vertical="center" wrapText="1"/>
    </xf>
    <xf numFmtId="0" fontId="4" fillId="0" borderId="4" xfId="0" applyFont="1" applyBorder="1" applyAlignment="1" applyProtection="1">
      <alignment wrapText="1"/>
      <protection locked="0"/>
    </xf>
    <xf numFmtId="4" fontId="2" fillId="3" borderId="3" xfId="0" applyNumberFormat="1" applyFont="1" applyFill="1" applyBorder="1" applyAlignment="1">
      <alignment horizontal="right" vertical="center" wrapText="1"/>
    </xf>
    <xf numFmtId="4" fontId="2" fillId="2" borderId="3" xfId="0" applyNumberFormat="1" applyFont="1" applyFill="1" applyBorder="1" applyAlignment="1">
      <alignment horizontal="right" vertical="center" wrapText="1"/>
    </xf>
    <xf numFmtId="0" fontId="4" fillId="2" borderId="5" xfId="0" applyFont="1" applyFill="1" applyBorder="1" applyAlignment="1" applyProtection="1">
      <alignment wrapText="1"/>
      <protection locked="0"/>
    </xf>
    <xf numFmtId="4" fontId="6" fillId="2" borderId="8" xfId="0" applyNumberFormat="1" applyFont="1" applyFill="1" applyBorder="1" applyAlignment="1">
      <alignment horizontal="right" vertical="center" wrapText="1"/>
    </xf>
    <xf numFmtId="4" fontId="6" fillId="2" borderId="3" xfId="0" applyNumberFormat="1" applyFont="1" applyFill="1" applyBorder="1" applyAlignment="1">
      <alignment horizontal="right" vertical="center" wrapText="1"/>
    </xf>
    <xf numFmtId="4" fontId="6" fillId="2" borderId="9" xfId="0" applyNumberFormat="1" applyFont="1" applyFill="1" applyBorder="1" applyAlignment="1">
      <alignment horizontal="right" vertical="center" wrapText="1"/>
    </xf>
    <xf numFmtId="4" fontId="6" fillId="2" borderId="2" xfId="0" applyNumberFormat="1" applyFont="1" applyFill="1" applyBorder="1" applyAlignment="1">
      <alignment horizontal="right" vertical="center" wrapText="1"/>
    </xf>
    <xf numFmtId="0" fontId="7" fillId="0" borderId="0" xfId="0" applyFont="1"/>
    <xf numFmtId="0" fontId="0" fillId="0" borderId="1" xfId="0" applyBorder="1" applyAlignment="1" applyProtection="1">
      <alignment horizontal="center" vertical="top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 applyProtection="1">
      <alignment horizontal="left" vertical="center" wrapText="1"/>
      <protection locked="0"/>
    </xf>
    <xf numFmtId="4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 applyProtection="1">
      <alignment horizontal="right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43" fontId="2" fillId="0" borderId="3" xfId="1" applyFont="1" applyFill="1" applyBorder="1" applyAlignment="1" applyProtection="1">
      <alignment horizontal="center" vertical="center" wrapText="1"/>
      <protection locked="0"/>
    </xf>
    <xf numFmtId="43" fontId="2" fillId="0" borderId="4" xfId="1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wrapText="1"/>
      <protection locked="0"/>
    </xf>
    <xf numFmtId="0" fontId="5" fillId="2" borderId="7" xfId="0" applyFont="1" applyFill="1" applyBorder="1" applyAlignment="1" applyProtection="1">
      <alignment horizontal="center" wrapText="1"/>
      <protection locked="0"/>
    </xf>
    <xf numFmtId="0" fontId="2" fillId="0" borderId="3" xfId="0" applyFont="1" applyBorder="1" applyAlignment="1" applyProtection="1">
      <alignment horizontal="right" vertical="center" wrapText="1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6350</xdr:colOff>
      <xdr:row>1</xdr:row>
      <xdr:rowOff>12700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4557CCF-D2EF-FC8C-0676-9E68B3599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00950" cy="857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sktop\Desktop\TP%2005%202020%20-%20Escola%20Florido\Or&#231;amento,%20Projetos%20e%20Fotos\Or&#231;amento%20e%20Projeto\Proposta%20vencedora%20-%20FFJ.xlsx" TargetMode="External"/><Relationship Id="rId1" Type="http://schemas.openxmlformats.org/officeDocument/2006/relationships/externalLinkPath" Target="/Users/Desktop/Desktop/TP%2005%202020%20-%20Escola%20Florido/Or&#231;amento,%20Projetos%20e%20Fotos/Or&#231;amento%20e%20Projeto/Proposta%20vencedora%20-%20FF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CAMENTO"/>
      <sheetName val="RESUMO"/>
      <sheetName val="COMPOSICOES"/>
      <sheetName val="COMPOSICOES AUXILIARES"/>
      <sheetName val="CRONOGRAMA"/>
      <sheetName val="BDI"/>
      <sheetName val="ENCARGOS SOCIAIS"/>
    </sheetNames>
    <sheetDataSet>
      <sheetData sheetId="0">
        <row r="4">
          <cell r="H4">
            <v>7244.08</v>
          </cell>
        </row>
        <row r="14">
          <cell r="H14">
            <v>114689.92</v>
          </cell>
        </row>
        <row r="22">
          <cell r="H22">
            <v>15053.203</v>
          </cell>
        </row>
        <row r="28">
          <cell r="H28">
            <v>3634.2099999999996</v>
          </cell>
        </row>
        <row r="32">
          <cell r="H32">
            <v>52529.48000000001</v>
          </cell>
        </row>
        <row r="39">
          <cell r="H39">
            <v>441.36</v>
          </cell>
        </row>
        <row r="42">
          <cell r="H42">
            <v>5541.11</v>
          </cell>
        </row>
        <row r="72">
          <cell r="H72">
            <v>1332.29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6B43-ED2F-4E42-BBCF-722915EFB6BC}">
  <sheetPr>
    <outlinePr summaryBelow="0"/>
  </sheetPr>
  <dimension ref="A1:G29"/>
  <sheetViews>
    <sheetView tabSelected="1" zoomScaleNormal="100" workbookViewId="0">
      <selection activeCell="J3" sqref="J3"/>
    </sheetView>
  </sheetViews>
  <sheetFormatPr defaultRowHeight="14.45"/>
  <cols>
    <col min="1" max="1" width="9.28515625" customWidth="1"/>
    <col min="2" max="2" width="38.42578125" customWidth="1"/>
    <col min="3" max="3" width="13.7109375" customWidth="1"/>
    <col min="4" max="7" width="11.85546875" customWidth="1"/>
  </cols>
  <sheetData>
    <row r="1" spans="1:7" ht="66.75" customHeight="1">
      <c r="A1" s="14"/>
      <c r="B1" s="14"/>
      <c r="C1" s="14"/>
      <c r="D1" s="14"/>
      <c r="E1" s="14"/>
      <c r="F1" s="14"/>
      <c r="G1" s="14"/>
    </row>
    <row r="2" spans="1:7" ht="15.9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2" customHeight="1">
      <c r="A3" s="15" t="s">
        <v>7</v>
      </c>
      <c r="B3" s="17" t="s">
        <v>8</v>
      </c>
      <c r="C3" s="19">
        <f>[1]ORCAMENTO!H4*1.2009</f>
        <v>8699.415672000001</v>
      </c>
      <c r="D3" s="2">
        <v>100</v>
      </c>
      <c r="E3" s="3"/>
      <c r="F3" s="3"/>
      <c r="G3" s="3"/>
    </row>
    <row r="4" spans="1:7" ht="12.95" customHeight="1">
      <c r="A4" s="16"/>
      <c r="B4" s="18"/>
      <c r="C4" s="20"/>
      <c r="D4" s="4">
        <f>C3</f>
        <v>8699.415672000001</v>
      </c>
      <c r="E4" s="5"/>
      <c r="F4" s="5"/>
      <c r="G4" s="5"/>
    </row>
    <row r="5" spans="1:7" ht="12.95" customHeight="1">
      <c r="A5" s="21">
        <v>2</v>
      </c>
      <c r="B5" s="23" t="s">
        <v>9</v>
      </c>
      <c r="C5" s="25">
        <f>74384.95*1.2009</f>
        <v>89328.886455</v>
      </c>
      <c r="D5" s="6">
        <v>30</v>
      </c>
      <c r="E5" s="6">
        <v>40</v>
      </c>
      <c r="F5" s="6">
        <v>30</v>
      </c>
      <c r="G5" s="6"/>
    </row>
    <row r="6" spans="1:7" ht="12.95" customHeight="1">
      <c r="A6" s="22"/>
      <c r="B6" s="24"/>
      <c r="C6" s="26"/>
      <c r="D6" s="7">
        <f>C5*0.3</f>
        <v>26798.665936499998</v>
      </c>
      <c r="E6" s="7">
        <f>C5*0.4</f>
        <v>35731.554582000004</v>
      </c>
      <c r="F6" s="7">
        <f>D6</f>
        <v>26798.665936499998</v>
      </c>
      <c r="G6" s="6"/>
    </row>
    <row r="7" spans="1:7" ht="12.95" customHeight="1">
      <c r="A7" s="21">
        <v>3</v>
      </c>
      <c r="B7" s="23" t="s">
        <v>10</v>
      </c>
      <c r="C7" s="25">
        <f>[1]ORCAMENTO!H14*1.2009</f>
        <v>137731.124928</v>
      </c>
      <c r="D7" s="6">
        <v>20</v>
      </c>
      <c r="E7" s="6">
        <v>30</v>
      </c>
      <c r="F7" s="6">
        <v>50</v>
      </c>
      <c r="G7" s="6"/>
    </row>
    <row r="8" spans="1:7" ht="12.95" customHeight="1">
      <c r="A8" s="22"/>
      <c r="B8" s="24"/>
      <c r="C8" s="26"/>
      <c r="D8" s="7">
        <f>C7*0.2</f>
        <v>27546.224985600002</v>
      </c>
      <c r="E8" s="7">
        <f>C7*0.3</f>
        <v>41319.337478399997</v>
      </c>
      <c r="F8" s="7">
        <f>C7*0.5</f>
        <v>68865.562464000002</v>
      </c>
      <c r="G8" s="6"/>
    </row>
    <row r="9" spans="1:7" ht="12.95" customHeight="1">
      <c r="A9" s="21">
        <v>4</v>
      </c>
      <c r="B9" s="23" t="s">
        <v>11</v>
      </c>
      <c r="C9" s="25">
        <f>[1]ORCAMENTO!H22*1.2009</f>
        <v>18077.391482700001</v>
      </c>
      <c r="D9" s="6"/>
      <c r="E9" s="6"/>
      <c r="F9" s="6">
        <v>100</v>
      </c>
      <c r="G9" s="6"/>
    </row>
    <row r="10" spans="1:7" ht="12.95" customHeight="1">
      <c r="A10" s="22"/>
      <c r="B10" s="24"/>
      <c r="C10" s="26"/>
      <c r="D10" s="6"/>
      <c r="E10" s="6"/>
      <c r="F10" s="7">
        <f>C9</f>
        <v>18077.391482700001</v>
      </c>
      <c r="G10" s="6"/>
    </row>
    <row r="11" spans="1:7" ht="12.95" customHeight="1">
      <c r="A11" s="21">
        <v>5</v>
      </c>
      <c r="B11" s="23" t="s">
        <v>12</v>
      </c>
      <c r="C11" s="25">
        <f>[1]ORCAMENTO!H28*1.2009</f>
        <v>4364.3227889999998</v>
      </c>
      <c r="D11" s="6"/>
      <c r="E11" s="6"/>
      <c r="F11" s="6"/>
      <c r="G11" s="6">
        <v>100</v>
      </c>
    </row>
    <row r="12" spans="1:7" ht="12.95" customHeight="1">
      <c r="A12" s="22"/>
      <c r="B12" s="24"/>
      <c r="C12" s="26"/>
      <c r="D12" s="6"/>
      <c r="E12" s="6"/>
      <c r="F12" s="6"/>
      <c r="G12" s="7">
        <f>C11</f>
        <v>4364.3227889999998</v>
      </c>
    </row>
    <row r="13" spans="1:7" ht="12.95" customHeight="1">
      <c r="A13" s="21">
        <v>6</v>
      </c>
      <c r="B13" s="23" t="s">
        <v>13</v>
      </c>
      <c r="C13" s="25">
        <f>[1]ORCAMENTO!H32*1.2009</f>
        <v>63082.652532000015</v>
      </c>
      <c r="D13" s="6"/>
      <c r="E13" s="6">
        <v>50</v>
      </c>
      <c r="F13" s="6">
        <v>30</v>
      </c>
      <c r="G13" s="6">
        <v>20</v>
      </c>
    </row>
    <row r="14" spans="1:7" ht="12.95" customHeight="1">
      <c r="A14" s="22"/>
      <c r="B14" s="24"/>
      <c r="C14" s="26"/>
      <c r="D14" s="6"/>
      <c r="E14" s="7">
        <f>C13*0.5</f>
        <v>31541.326266000007</v>
      </c>
      <c r="F14" s="7">
        <f>C13*0.3</f>
        <v>18924.795759600005</v>
      </c>
      <c r="G14" s="7">
        <f>C13*0.2</f>
        <v>12616.530506400004</v>
      </c>
    </row>
    <row r="15" spans="1:7" ht="12.95" customHeight="1">
      <c r="A15" s="21">
        <v>7</v>
      </c>
      <c r="B15" s="23" t="s">
        <v>14</v>
      </c>
      <c r="C15" s="25">
        <f>[1]ORCAMENTO!H39*1.2009</f>
        <v>530.029224</v>
      </c>
      <c r="D15" s="6"/>
      <c r="E15" s="6"/>
      <c r="F15" s="6">
        <v>100</v>
      </c>
      <c r="G15" s="6"/>
    </row>
    <row r="16" spans="1:7" ht="12.95" customHeight="1">
      <c r="A16" s="22"/>
      <c r="B16" s="24"/>
      <c r="C16" s="26"/>
      <c r="D16" s="6"/>
      <c r="E16" s="6"/>
      <c r="F16" s="7">
        <f>C15</f>
        <v>530.029224</v>
      </c>
      <c r="G16" s="6"/>
    </row>
    <row r="17" spans="1:7" ht="12.95" customHeight="1">
      <c r="A17" s="21">
        <v>8</v>
      </c>
      <c r="B17" s="23" t="s">
        <v>15</v>
      </c>
      <c r="C17" s="25">
        <f>[1]ORCAMENTO!H42*1.2009</f>
        <v>6654.3189990000001</v>
      </c>
      <c r="D17" s="6"/>
      <c r="E17" s="6">
        <v>30</v>
      </c>
      <c r="F17" s="6">
        <v>35</v>
      </c>
      <c r="G17" s="6">
        <v>35</v>
      </c>
    </row>
    <row r="18" spans="1:7" ht="12.95" customHeight="1">
      <c r="A18" s="22"/>
      <c r="B18" s="24"/>
      <c r="C18" s="26"/>
      <c r="D18" s="6"/>
      <c r="E18" s="7">
        <f>C17*0.3</f>
        <v>1996.2956996999999</v>
      </c>
      <c r="F18" s="7">
        <f>C17*0.35</f>
        <v>2329.01164965</v>
      </c>
      <c r="G18" s="7">
        <f>C17*0.35</f>
        <v>2329.01164965</v>
      </c>
    </row>
    <row r="19" spans="1:7" ht="12.95" customHeight="1">
      <c r="A19" s="21">
        <v>9</v>
      </c>
      <c r="B19" s="23" t="s">
        <v>16</v>
      </c>
      <c r="C19" s="25">
        <f>6516.02*1.2009</f>
        <v>7825.0884180000012</v>
      </c>
      <c r="D19" s="6"/>
      <c r="E19" s="6">
        <v>40</v>
      </c>
      <c r="F19" s="6">
        <v>40</v>
      </c>
      <c r="G19" s="6">
        <v>20</v>
      </c>
    </row>
    <row r="20" spans="1:7" ht="12.95" customHeight="1">
      <c r="A20" s="22"/>
      <c r="B20" s="24"/>
      <c r="C20" s="26"/>
      <c r="D20" s="6"/>
      <c r="E20" s="7">
        <f>C19*0.4</f>
        <v>3130.0353672000006</v>
      </c>
      <c r="F20" s="7">
        <f>C19*0.4</f>
        <v>3130.0353672000006</v>
      </c>
      <c r="G20" s="7">
        <f>C19*0.2</f>
        <v>1565.0176836000003</v>
      </c>
    </row>
    <row r="21" spans="1:7" ht="12" customHeight="1">
      <c r="A21" s="15">
        <v>10</v>
      </c>
      <c r="B21" s="17" t="s">
        <v>17</v>
      </c>
      <c r="C21" s="19">
        <f>[1]ORCAMENTO!H72*1.2009</f>
        <v>1599.9470610000001</v>
      </c>
      <c r="D21" s="3"/>
      <c r="E21" s="3"/>
      <c r="F21" s="3"/>
      <c r="G21" s="2">
        <v>100</v>
      </c>
    </row>
    <row r="22" spans="1:7" ht="12.95" customHeight="1">
      <c r="A22" s="21"/>
      <c r="B22" s="23"/>
      <c r="C22" s="29"/>
      <c r="D22" s="5"/>
      <c r="E22" s="5"/>
      <c r="F22" s="5"/>
      <c r="G22" s="4">
        <f>C21</f>
        <v>1599.9470610000001</v>
      </c>
    </row>
    <row r="23" spans="1:7" ht="12" customHeight="1">
      <c r="A23" s="8"/>
      <c r="B23" s="27" t="s">
        <v>18</v>
      </c>
      <c r="C23" s="28"/>
      <c r="D23" s="9">
        <f>D4+D6+D8</f>
        <v>63044.306594099995</v>
      </c>
      <c r="E23" s="10">
        <f>E6+E8+E14+E18+E20</f>
        <v>113718.54939330001</v>
      </c>
      <c r="F23" s="10">
        <f>F6+F8+F10+F14+F16+F18+F20</f>
        <v>138655.49188364999</v>
      </c>
      <c r="G23" s="10">
        <f>G12+G14+G18+G20+G22</f>
        <v>22474.829689650003</v>
      </c>
    </row>
    <row r="24" spans="1:7" ht="12" customHeight="1">
      <c r="A24" s="8"/>
      <c r="B24" s="27" t="s">
        <v>19</v>
      </c>
      <c r="C24" s="28"/>
      <c r="D24" s="9">
        <f>D23</f>
        <v>63044.306594099995</v>
      </c>
      <c r="E24" s="10">
        <f>D24+E23</f>
        <v>176762.85598739999</v>
      </c>
      <c r="F24" s="10">
        <f>E24+F23</f>
        <v>315418.34787105001</v>
      </c>
      <c r="G24" s="10">
        <f>F24+G23</f>
        <v>337893.17756069999</v>
      </c>
    </row>
    <row r="25" spans="1:7" ht="12" customHeight="1">
      <c r="A25" s="8"/>
      <c r="B25" s="27" t="s">
        <v>20</v>
      </c>
      <c r="C25" s="28"/>
      <c r="D25" s="9">
        <f>D23/G24*100</f>
        <v>18.65805845777237</v>
      </c>
      <c r="E25" s="10">
        <f>E23/G24*100</f>
        <v>33.65517771452231</v>
      </c>
      <c r="F25" s="10">
        <f>F23/G24*100</f>
        <v>41.035303785836739</v>
      </c>
      <c r="G25" s="10">
        <f>G23/G24*100</f>
        <v>6.6514600418685772</v>
      </c>
    </row>
    <row r="26" spans="1:7" ht="12.95" customHeight="1">
      <c r="A26" s="8"/>
      <c r="B26" s="27" t="s">
        <v>21</v>
      </c>
      <c r="C26" s="28"/>
      <c r="D26" s="11">
        <f>D25</f>
        <v>18.65805845777237</v>
      </c>
      <c r="E26" s="12">
        <f>D26+E25</f>
        <v>52.31323617229468</v>
      </c>
      <c r="F26" s="12">
        <f>E26+F25</f>
        <v>93.348539958131425</v>
      </c>
      <c r="G26" s="12">
        <f>F26+G25</f>
        <v>100</v>
      </c>
    </row>
    <row r="27" spans="1:7">
      <c r="A27" s="13"/>
      <c r="B27" s="13"/>
      <c r="C27" s="13"/>
      <c r="D27" s="13"/>
      <c r="E27" s="13"/>
      <c r="F27" s="13"/>
      <c r="G27" s="13"/>
    </row>
    <row r="28" spans="1:7">
      <c r="A28" s="13"/>
      <c r="B28" s="13"/>
      <c r="C28" s="13"/>
      <c r="D28" s="13"/>
      <c r="E28" s="13"/>
      <c r="F28" s="13"/>
      <c r="G28" s="13"/>
    </row>
    <row r="29" spans="1:7">
      <c r="A29" s="13"/>
      <c r="B29" s="13"/>
      <c r="C29" s="13"/>
      <c r="D29" s="13"/>
      <c r="E29" s="13"/>
      <c r="F29" s="13"/>
      <c r="G29" s="13"/>
    </row>
  </sheetData>
  <mergeCells count="35">
    <mergeCell ref="B23:C23"/>
    <mergeCell ref="B24:C24"/>
    <mergeCell ref="B25:C25"/>
    <mergeCell ref="B26:C26"/>
    <mergeCell ref="A19:A20"/>
    <mergeCell ref="B19:B20"/>
    <mergeCell ref="C19:C20"/>
    <mergeCell ref="A21:A22"/>
    <mergeCell ref="B21:B22"/>
    <mergeCell ref="C21:C22"/>
    <mergeCell ref="A15:A16"/>
    <mergeCell ref="B15:B16"/>
    <mergeCell ref="C15:C16"/>
    <mergeCell ref="A17:A18"/>
    <mergeCell ref="B17:B18"/>
    <mergeCell ref="C17:C18"/>
    <mergeCell ref="A11:A12"/>
    <mergeCell ref="B11:B12"/>
    <mergeCell ref="C11:C12"/>
    <mergeCell ref="A13:A14"/>
    <mergeCell ref="B13:B14"/>
    <mergeCell ref="C13:C14"/>
    <mergeCell ref="A7:A8"/>
    <mergeCell ref="B7:B8"/>
    <mergeCell ref="C7:C8"/>
    <mergeCell ref="A9:A10"/>
    <mergeCell ref="B9:B10"/>
    <mergeCell ref="C9:C10"/>
    <mergeCell ref="A1:G1"/>
    <mergeCell ref="A3:A4"/>
    <mergeCell ref="B3:B4"/>
    <mergeCell ref="C3:C4"/>
    <mergeCell ref="A5:A6"/>
    <mergeCell ref="B5:B6"/>
    <mergeCell ref="C5:C6"/>
  </mergeCells>
  <printOptions horizontalCentered="1" vertic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Desktop</dc:creator>
  <cp:keywords/>
  <dc:description/>
  <cp:lastModifiedBy>Richard Kilber</cp:lastModifiedBy>
  <cp:revision/>
  <dcterms:created xsi:type="dcterms:W3CDTF">2025-09-12T00:26:07Z</dcterms:created>
  <dcterms:modified xsi:type="dcterms:W3CDTF">2026-01-12T14:17:43Z</dcterms:modified>
  <cp:category/>
  <cp:contentStatus/>
</cp:coreProperties>
</file>