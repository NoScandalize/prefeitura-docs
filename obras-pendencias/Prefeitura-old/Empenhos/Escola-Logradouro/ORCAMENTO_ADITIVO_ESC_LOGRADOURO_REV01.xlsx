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feitura\Empenhos\Escola-Logradouro\"/>
    </mc:Choice>
  </mc:AlternateContent>
  <xr:revisionPtr revIDLastSave="0" documentId="13_ncr:1_{2982164C-444B-489E-8CB2-9C10293C7F71}" xr6:coauthVersionLast="47" xr6:coauthVersionMax="47" xr10:uidLastSave="{00000000-0000-0000-0000-000000000000}"/>
  <bookViews>
    <workbookView xWindow="-110" yWindow="-110" windowWidth="19420" windowHeight="10300" tabRatio="844" activeTab="1" xr2:uid="{00000000-000D-0000-FFFF-FFFF00000000}"/>
  </bookViews>
  <sheets>
    <sheet name="ADITIVO" sheetId="90" r:id="rId1"/>
    <sheet name="cronograma" sheetId="105" r:id="rId2"/>
    <sheet name="Memória de Cálculo" sheetId="100" r:id="rId3"/>
    <sheet name="CFF" sheetId="101" r:id="rId4"/>
    <sheet name="Resumo_Valor_Desconto" sheetId="102" r:id="rId5"/>
    <sheet name="COMPOS_NÃO_DESONER." sheetId="104" r:id="rId6"/>
  </sheets>
  <externalReferences>
    <externalReference r:id="rId7"/>
  </externalReferences>
  <definedNames>
    <definedName name="_Fill" localSheetId="0" hidden="1">#REF!</definedName>
    <definedName name="_Fill" hidden="1">#REF!</definedName>
    <definedName name="_xlnm._FilterDatabase" localSheetId="0" hidden="1">ADITIVO!$B$1:$L$260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CRE" hidden="1">#REF!</definedName>
    <definedName name="ademir" localSheetId="1" hidden="1">{#N/A,#N/A,FALSE,"Cronograma";#N/A,#N/A,FALSE,"Cronogr. 2"}</definedName>
    <definedName name="ademir" hidden="1">{#N/A,#N/A,FALSE,"Cronograma";#N/A,#N/A,FALSE,"Cronogr. 2"}</definedName>
    <definedName name="_xlnm.Print_Area" localSheetId="0">ADITIVO!$B$1:$N$270</definedName>
    <definedName name="_xlnm.Print_Area" localSheetId="3">CFF!$A$1:$E$17</definedName>
    <definedName name="_xlnm.Print_Area" localSheetId="5">'COMPOS_NÃO_DESONER.'!$A$1:$F$15</definedName>
    <definedName name="_xlnm.Print_Area" localSheetId="1">cronograma!$A$1:$G$121</definedName>
    <definedName name="_xlnm.Print_Area" localSheetId="2">'Memória de Cálculo'!$A$1:$E$100</definedName>
    <definedName name="_xlnm.Print_Area" localSheetId="4">Resumo_Valor_Desconto!$A$1:$H$28</definedName>
    <definedName name="bosta" localSheetId="1" hidden="1">{#N/A,#N/A,FALSE,"Cronograma";#N/A,#N/A,FALSE,"Cronogr. 2"}</definedName>
    <definedName name="bosta" hidden="1">{#N/A,#N/A,FALSE,"Cronograma";#N/A,#N/A,FALSE,"Cronogr. 2"}</definedName>
    <definedName name="CA´L" localSheetId="1" hidden="1">{#N/A,#N/A,FALSE,"Cronograma";#N/A,#N/A,FALSE,"Cronogr. 2"}</definedName>
    <definedName name="CA´L" hidden="1">{#N/A,#N/A,FALSE,"Cronograma";#N/A,#N/A,FALSE,"Cronogr. 2"}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Popular" localSheetId="1" hidden="1">{#N/A,#N/A,FALSE,"Cronograma";#N/A,#N/A,FALSE,"Cronogr. 2"}</definedName>
    <definedName name="Popular" hidden="1">{#N/A,#N/A,FALSE,"Cronograma";#N/A,#N/A,FALSE,"Cronogr. 2"}</definedName>
    <definedName name="rio" localSheetId="1" hidden="1">{#N/A,#N/A,FALSE,"Cronograma";#N/A,#N/A,FALSE,"Cronogr. 2"}</definedName>
    <definedName name="rio" hidden="1">{#N/A,#N/A,FALSE,"Cronograma";#N/A,#N/A,FALSE,"Cronogr. 2"}</definedName>
    <definedName name="SINAPI_AC" hidden="1">#REF!</definedName>
    <definedName name="ss" localSheetId="1" hidden="1">{#N/A,#N/A,FALSE,"Cronograma";#N/A,#N/A,FALSE,"Cronogr. 2"}</definedName>
    <definedName name="ss" hidden="1">{#N/A,#N/A,FALSE,"Cronograma";#N/A,#N/A,FALSE,"Cronogr. 2"}</definedName>
    <definedName name="_xlnm.Print_Titles" localSheetId="0">ADITIVO!$1:$9</definedName>
    <definedName name="_xlnm.Print_Titles" localSheetId="5">'COMPOS_NÃO_DESONER.'!$1:$6</definedName>
    <definedName name="_xlnm.Print_Titles" localSheetId="2">'Memória de Cálculo'!$1:$4</definedName>
    <definedName name="_xlnm.Print_Titles" localSheetId="4">Resumo_Valor_Desconto!$1:$5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5" i="105" l="1"/>
  <c r="G98" i="105"/>
  <c r="C70" i="105"/>
  <c r="G72" i="105" s="1"/>
  <c r="C37" i="105"/>
  <c r="E39" i="105" s="1"/>
  <c r="F39" i="105" s="1"/>
  <c r="C34" i="105"/>
  <c r="E36" i="105" s="1"/>
  <c r="C31" i="105"/>
  <c r="E33" i="105" s="1"/>
  <c r="C27" i="105"/>
  <c r="F29" i="105" s="1"/>
  <c r="C24" i="105"/>
  <c r="F26" i="105" s="1"/>
  <c r="C21" i="105"/>
  <c r="F23" i="105" s="1"/>
  <c r="C18" i="105"/>
  <c r="E20" i="105" s="1"/>
  <c r="F20" i="105" s="1"/>
  <c r="C15" i="105"/>
  <c r="E17" i="105" s="1"/>
  <c r="F17" i="105" s="1"/>
  <c r="C12" i="105"/>
  <c r="C102" i="105"/>
  <c r="G104" i="105" s="1"/>
  <c r="C99" i="105"/>
  <c r="G101" i="105" s="1"/>
  <c r="C96" i="105"/>
  <c r="C93" i="105"/>
  <c r="G95" i="105" s="1"/>
  <c r="C90" i="105"/>
  <c r="G92" i="105" s="1"/>
  <c r="C86" i="105"/>
  <c r="G88" i="105" s="1"/>
  <c r="C83" i="105"/>
  <c r="G85" i="105" s="1"/>
  <c r="C80" i="105"/>
  <c r="G82" i="105" s="1"/>
  <c r="C77" i="105"/>
  <c r="G79" i="105" s="1"/>
  <c r="C74" i="105"/>
  <c r="G76" i="105" s="1"/>
  <c r="C67" i="105"/>
  <c r="G69" i="105" s="1"/>
  <c r="C64" i="105"/>
  <c r="F66" i="105" s="1"/>
  <c r="C46" i="105"/>
  <c r="G48" i="105" s="1"/>
  <c r="C61" i="105"/>
  <c r="C58" i="105"/>
  <c r="G60" i="105" s="1"/>
  <c r="C55" i="105"/>
  <c r="G57" i="105" s="1"/>
  <c r="C52" i="105"/>
  <c r="C49" i="105"/>
  <c r="F51" i="105" s="1"/>
  <c r="G51" i="105" s="1"/>
  <c r="C43" i="105"/>
  <c r="C40" i="105"/>
  <c r="E42" i="105" s="1"/>
  <c r="F42" i="105" s="1"/>
  <c r="A5" i="105"/>
  <c r="A4" i="105"/>
  <c r="A3" i="105"/>
  <c r="A2" i="105"/>
  <c r="C105" i="105" l="1"/>
  <c r="E66" i="105"/>
  <c r="G66" i="105" s="1"/>
  <c r="F63" i="105"/>
  <c r="G63" i="105" s="1"/>
  <c r="E14" i="105"/>
  <c r="F45" i="105"/>
  <c r="G45" i="105" s="1"/>
  <c r="F54" i="105"/>
  <c r="G54" i="105" s="1"/>
  <c r="E105" i="105" l="1"/>
  <c r="E106" i="105" s="1"/>
  <c r="G107" i="105"/>
  <c r="F105" i="105"/>
  <c r="F107" i="105" s="1"/>
  <c r="E107" i="105" l="1"/>
  <c r="E108" i="105" s="1"/>
  <c r="F108" i="105" s="1"/>
  <c r="G108" i="105" s="1"/>
  <c r="F106" i="105"/>
  <c r="G106" i="105" s="1"/>
  <c r="O173" i="90" l="1"/>
  <c r="O169" i="90"/>
  <c r="O53" i="90"/>
  <c r="D11" i="101"/>
  <c r="D10" i="101" s="1"/>
  <c r="E11" i="101"/>
  <c r="D12" i="100"/>
  <c r="K221" i="90" l="1"/>
  <c r="L221" i="90" s="1"/>
  <c r="H221" i="90"/>
  <c r="D14" i="100"/>
  <c r="H159" i="90" s="1"/>
  <c r="D77" i="100"/>
  <c r="H27" i="102"/>
  <c r="J160" i="90" s="1"/>
  <c r="K160" i="90" s="1"/>
  <c r="L160" i="90" s="1"/>
  <c r="G27" i="102"/>
  <c r="H160" i="90"/>
  <c r="I160" i="90" s="1"/>
  <c r="G26" i="102"/>
  <c r="H26" i="102" s="1"/>
  <c r="J159" i="90" s="1"/>
  <c r="K159" i="90" s="1"/>
  <c r="L159" i="90" s="1"/>
  <c r="H158" i="90"/>
  <c r="I158" i="90" s="1"/>
  <c r="I151" i="90"/>
  <c r="I150" i="90"/>
  <c r="I149" i="90"/>
  <c r="M221" i="90" l="1"/>
  <c r="I221" i="90"/>
  <c r="N221" i="90" s="1"/>
  <c r="N160" i="90"/>
  <c r="M160" i="90"/>
  <c r="I159" i="90"/>
  <c r="N159" i="90" s="1"/>
  <c r="M159" i="90"/>
  <c r="H157" i="90"/>
  <c r="I157" i="90" l="1"/>
  <c r="D7" i="100" l="1"/>
  <c r="D56" i="100"/>
  <c r="H213" i="90" s="1"/>
  <c r="D59" i="100"/>
  <c r="H217" i="90" s="1"/>
  <c r="D58" i="100"/>
  <c r="H216" i="90" s="1"/>
  <c r="D67" i="100"/>
  <c r="H226" i="90" s="1"/>
  <c r="D63" i="100"/>
  <c r="H222" i="90" s="1"/>
  <c r="I222" i="90" s="1"/>
  <c r="D61" i="100"/>
  <c r="D66" i="100"/>
  <c r="H225" i="90" s="1"/>
  <c r="D65" i="100"/>
  <c r="H224" i="90" s="1"/>
  <c r="D89" i="100"/>
  <c r="H250" i="90" s="1"/>
  <c r="D88" i="100"/>
  <c r="H249" i="90" s="1"/>
  <c r="D87" i="100"/>
  <c r="H248" i="90" s="1"/>
  <c r="D86" i="100"/>
  <c r="H247" i="90" s="1"/>
  <c r="D85" i="100"/>
  <c r="H246" i="90" s="1"/>
  <c r="D84" i="100"/>
  <c r="H245" i="90" s="1"/>
  <c r="D82" i="100"/>
  <c r="H242" i="90" s="1"/>
  <c r="D81" i="100"/>
  <c r="H241" i="90" s="1"/>
  <c r="D76" i="100"/>
  <c r="H236" i="90" s="1"/>
  <c r="D74" i="100"/>
  <c r="H234" i="90" s="1"/>
  <c r="D73" i="100"/>
  <c r="H233" i="90" s="1"/>
  <c r="D70" i="100"/>
  <c r="H230" i="90" s="1"/>
  <c r="D80" i="100"/>
  <c r="H240" i="90" s="1"/>
  <c r="I240" i="90" s="1"/>
  <c r="D79" i="100"/>
  <c r="H239" i="90" s="1"/>
  <c r="I239" i="90" s="1"/>
  <c r="D78" i="100"/>
  <c r="H238" i="90" s="1"/>
  <c r="I238" i="90" s="1"/>
  <c r="H237" i="90"/>
  <c r="D72" i="100"/>
  <c r="H232" i="90" s="1"/>
  <c r="D71" i="100"/>
  <c r="H231" i="90" s="1"/>
  <c r="F21" i="102"/>
  <c r="F11" i="104"/>
  <c r="F10" i="104"/>
  <c r="F12" i="104" s="1"/>
  <c r="D18" i="100"/>
  <c r="H165" i="90" s="1"/>
  <c r="I165" i="90" s="1"/>
  <c r="D17" i="100" l="1"/>
  <c r="H164" i="90" s="1"/>
  <c r="I164" i="90" s="1"/>
  <c r="D64" i="100"/>
  <c r="H223" i="90" s="1"/>
  <c r="H220" i="90"/>
  <c r="K250" i="90" l="1"/>
  <c r="L250" i="90" s="1"/>
  <c r="K249" i="90"/>
  <c r="L249" i="90" s="1"/>
  <c r="K248" i="90"/>
  <c r="L248" i="90" s="1"/>
  <c r="I248" i="90"/>
  <c r="K247" i="90"/>
  <c r="I247" i="90"/>
  <c r="K246" i="90"/>
  <c r="L246" i="90" s="1"/>
  <c r="K245" i="90"/>
  <c r="L245" i="90" s="1"/>
  <c r="K242" i="90"/>
  <c r="L242" i="90" s="1"/>
  <c r="K241" i="90"/>
  <c r="L241" i="90" s="1"/>
  <c r="K240" i="90"/>
  <c r="L240" i="90" s="1"/>
  <c r="K239" i="90"/>
  <c r="L239" i="90" s="1"/>
  <c r="K238" i="90"/>
  <c r="L238" i="90" s="1"/>
  <c r="K237" i="90"/>
  <c r="L237" i="90" s="1"/>
  <c r="I237" i="90"/>
  <c r="K236" i="90"/>
  <c r="M236" i="90" s="1"/>
  <c r="I236" i="90"/>
  <c r="K234" i="90"/>
  <c r="L234" i="90" s="1"/>
  <c r="K233" i="90"/>
  <c r="L233" i="90" s="1"/>
  <c r="K232" i="90"/>
  <c r="L232" i="90" s="1"/>
  <c r="I232" i="90"/>
  <c r="K231" i="90"/>
  <c r="M231" i="90" s="1"/>
  <c r="I231" i="90"/>
  <c r="K230" i="90"/>
  <c r="L230" i="90" s="1"/>
  <c r="K226" i="90"/>
  <c r="L226" i="90" s="1"/>
  <c r="K225" i="90"/>
  <c r="L225" i="90" s="1"/>
  <c r="K224" i="90"/>
  <c r="L224" i="90" s="1"/>
  <c r="I224" i="90"/>
  <c r="K223" i="90"/>
  <c r="L223" i="90" s="1"/>
  <c r="K220" i="90"/>
  <c r="L220" i="90" s="1"/>
  <c r="K217" i="90"/>
  <c r="L217" i="90" s="1"/>
  <c r="K216" i="90"/>
  <c r="L216" i="90" s="1"/>
  <c r="L214" i="90"/>
  <c r="K213" i="90"/>
  <c r="M213" i="90" s="1"/>
  <c r="M214" i="90" s="1"/>
  <c r="I213" i="90"/>
  <c r="N232" i="90" l="1"/>
  <c r="M233" i="90"/>
  <c r="M234" i="90"/>
  <c r="N247" i="90"/>
  <c r="M249" i="90"/>
  <c r="M241" i="90"/>
  <c r="M225" i="90"/>
  <c r="M220" i="90"/>
  <c r="M223" i="90"/>
  <c r="N240" i="90"/>
  <c r="M246" i="90"/>
  <c r="N236" i="90"/>
  <c r="N248" i="90"/>
  <c r="N213" i="90"/>
  <c r="M224" i="90"/>
  <c r="N237" i="90"/>
  <c r="M245" i="90"/>
  <c r="M232" i="90"/>
  <c r="I225" i="90"/>
  <c r="N225" i="90" s="1"/>
  <c r="M237" i="90"/>
  <c r="M216" i="90"/>
  <c r="I223" i="90"/>
  <c r="N223" i="90" s="1"/>
  <c r="M230" i="90"/>
  <c r="M238" i="90"/>
  <c r="M250" i="90"/>
  <c r="L218" i="90"/>
  <c r="M217" i="90"/>
  <c r="N224" i="90"/>
  <c r="M226" i="90"/>
  <c r="N231" i="90"/>
  <c r="M239" i="90"/>
  <c r="M242" i="90"/>
  <c r="M247" i="90"/>
  <c r="I246" i="90"/>
  <c r="N246" i="90" s="1"/>
  <c r="L247" i="90"/>
  <c r="L251" i="90" s="1"/>
  <c r="I250" i="90"/>
  <c r="N250" i="90" s="1"/>
  <c r="I217" i="90"/>
  <c r="N217" i="90" s="1"/>
  <c r="I230" i="90"/>
  <c r="N230" i="90" s="1"/>
  <c r="L231" i="90"/>
  <c r="I234" i="90"/>
  <c r="N234" i="90" s="1"/>
  <c r="L236" i="90"/>
  <c r="N239" i="90"/>
  <c r="M248" i="90"/>
  <c r="I220" i="90"/>
  <c r="N220" i="90" s="1"/>
  <c r="I226" i="90"/>
  <c r="N226" i="90" s="1"/>
  <c r="M240" i="90"/>
  <c r="I216" i="90"/>
  <c r="N216" i="90" s="1"/>
  <c r="I233" i="90"/>
  <c r="N233" i="90" s="1"/>
  <c r="N238" i="90"/>
  <c r="I242" i="90"/>
  <c r="N242" i="90" s="1"/>
  <c r="I245" i="90"/>
  <c r="N245" i="90" s="1"/>
  <c r="I249" i="90"/>
  <c r="N249" i="90" s="1"/>
  <c r="I241" i="90"/>
  <c r="N241" i="90" s="1"/>
  <c r="K30" i="90"/>
  <c r="L30" i="90" s="1"/>
  <c r="H30" i="90"/>
  <c r="I30" i="90" s="1"/>
  <c r="P27" i="90"/>
  <c r="M251" i="90" l="1"/>
  <c r="M243" i="90"/>
  <c r="M218" i="90"/>
  <c r="N214" i="90"/>
  <c r="N30" i="90"/>
  <c r="L243" i="90"/>
  <c r="N218" i="90"/>
  <c r="N243" i="90"/>
  <c r="N251" i="90"/>
  <c r="M30" i="90"/>
  <c r="D10" i="100"/>
  <c r="H94" i="90" s="1"/>
  <c r="I94" i="90" l="1"/>
  <c r="H2" i="102"/>
  <c r="D13" i="101"/>
  <c r="D12" i="101" s="1"/>
  <c r="H11" i="101"/>
  <c r="G11" i="101"/>
  <c r="E10" i="101"/>
  <c r="K208" i="90"/>
  <c r="K207" i="90"/>
  <c r="K206" i="90"/>
  <c r="K205" i="90"/>
  <c r="K204" i="90"/>
  <c r="K203" i="90"/>
  <c r="K200" i="90"/>
  <c r="K199" i="90"/>
  <c r="K198" i="90"/>
  <c r="K197" i="90"/>
  <c r="K196" i="90"/>
  <c r="K195" i="90"/>
  <c r="K194" i="90"/>
  <c r="K192" i="90"/>
  <c r="K191" i="90"/>
  <c r="K190" i="90"/>
  <c r="K189" i="90"/>
  <c r="K188" i="90"/>
  <c r="K184" i="90"/>
  <c r="K183" i="90"/>
  <c r="K182" i="90"/>
  <c r="K181" i="90"/>
  <c r="K180" i="90"/>
  <c r="K179" i="90"/>
  <c r="K176" i="90"/>
  <c r="K175" i="90"/>
  <c r="K172" i="90"/>
  <c r="D9" i="100"/>
  <c r="H93" i="90" s="1"/>
  <c r="D53" i="100"/>
  <c r="H208" i="90" s="1"/>
  <c r="D52" i="100"/>
  <c r="H207" i="90" s="1"/>
  <c r="D51" i="100"/>
  <c r="H206" i="90" s="1"/>
  <c r="D50" i="100"/>
  <c r="H205" i="90" s="1"/>
  <c r="D49" i="100"/>
  <c r="H204" i="90" s="1"/>
  <c r="D48" i="100"/>
  <c r="H203" i="90" s="1"/>
  <c r="D46" i="100"/>
  <c r="H200" i="90" s="1"/>
  <c r="D45" i="100"/>
  <c r="H199" i="90" s="1"/>
  <c r="D44" i="100"/>
  <c r="H198" i="90" s="1"/>
  <c r="D43" i="100"/>
  <c r="H197" i="90" s="1"/>
  <c r="D42" i="100"/>
  <c r="H196" i="90" s="1"/>
  <c r="D41" i="100"/>
  <c r="H195" i="90" s="1"/>
  <c r="D40" i="100"/>
  <c r="H194" i="90" s="1"/>
  <c r="D38" i="100"/>
  <c r="H192" i="90" s="1"/>
  <c r="D37" i="100"/>
  <c r="H191" i="90" s="1"/>
  <c r="D36" i="100"/>
  <c r="H190" i="90" s="1"/>
  <c r="D35" i="100"/>
  <c r="H189" i="90" s="1"/>
  <c r="D34" i="100"/>
  <c r="H188" i="90" s="1"/>
  <c r="D31" i="100"/>
  <c r="H184" i="90" s="1"/>
  <c r="D30" i="100"/>
  <c r="H183" i="90" s="1"/>
  <c r="D29" i="100"/>
  <c r="H182" i="90" s="1"/>
  <c r="D28" i="100"/>
  <c r="H181" i="90" s="1"/>
  <c r="D27" i="100"/>
  <c r="H180" i="90" s="1"/>
  <c r="D26" i="100"/>
  <c r="H179" i="90" s="1"/>
  <c r="D24" i="100"/>
  <c r="H176" i="90" s="1"/>
  <c r="D23" i="100"/>
  <c r="H175" i="90" s="1"/>
  <c r="D21" i="100"/>
  <c r="H172" i="90" s="1"/>
  <c r="G25" i="102" l="1"/>
  <c r="H25" i="102" s="1"/>
  <c r="J158" i="90" s="1"/>
  <c r="K158" i="90" s="1"/>
  <c r="G24" i="102"/>
  <c r="H24" i="102" s="1"/>
  <c r="G17" i="102"/>
  <c r="H17" i="102" s="1"/>
  <c r="G23" i="102"/>
  <c r="H23" i="102" s="1"/>
  <c r="J157" i="90" s="1"/>
  <c r="K157" i="90" s="1"/>
  <c r="G22" i="102"/>
  <c r="H22" i="102" s="1"/>
  <c r="J165" i="90" s="1"/>
  <c r="K165" i="90" s="1"/>
  <c r="G21" i="102"/>
  <c r="H21" i="102" s="1"/>
  <c r="J164" i="90" s="1"/>
  <c r="K164" i="90" s="1"/>
  <c r="G20" i="102"/>
  <c r="H20" i="102" s="1"/>
  <c r="J94" i="90" s="1"/>
  <c r="K94" i="90" s="1"/>
  <c r="G12" i="102"/>
  <c r="H12" i="102" s="1"/>
  <c r="G8" i="102"/>
  <c r="H8" i="102" s="1"/>
  <c r="G16" i="102"/>
  <c r="H16" i="102" s="1"/>
  <c r="I93" i="90"/>
  <c r="G13" i="102"/>
  <c r="H13" i="102" s="1"/>
  <c r="G6" i="102"/>
  <c r="H6" i="102" s="1"/>
  <c r="G10" i="102"/>
  <c r="H10" i="102" s="1"/>
  <c r="G14" i="102"/>
  <c r="H14" i="102" s="1"/>
  <c r="G18" i="102"/>
  <c r="H18" i="102" s="1"/>
  <c r="G9" i="102"/>
  <c r="H9" i="102" s="1"/>
  <c r="G7" i="102"/>
  <c r="H7" i="102" s="1"/>
  <c r="G11" i="102"/>
  <c r="H11" i="102" s="1"/>
  <c r="J222" i="90" s="1"/>
  <c r="K222" i="90" s="1"/>
  <c r="G15" i="102"/>
  <c r="H15" i="102" s="1"/>
  <c r="G19" i="102"/>
  <c r="H19" i="102" s="1"/>
  <c r="J93" i="90" s="1"/>
  <c r="K93" i="90" s="1"/>
  <c r="L93" i="90" s="1"/>
  <c r="E13" i="101"/>
  <c r="M208" i="90"/>
  <c r="L208" i="90"/>
  <c r="M207" i="90"/>
  <c r="L207" i="90"/>
  <c r="M206" i="90"/>
  <c r="L206" i="90"/>
  <c r="M205" i="90"/>
  <c r="L205" i="90"/>
  <c r="M204" i="90"/>
  <c r="L204" i="90"/>
  <c r="M203" i="90"/>
  <c r="L203" i="90"/>
  <c r="M200" i="90"/>
  <c r="L200" i="90"/>
  <c r="M199" i="90"/>
  <c r="L199" i="90"/>
  <c r="M198" i="90"/>
  <c r="L198" i="90"/>
  <c r="M197" i="90"/>
  <c r="L197" i="90"/>
  <c r="M196" i="90"/>
  <c r="L196" i="90"/>
  <c r="M195" i="90"/>
  <c r="L195" i="90"/>
  <c r="M194" i="90"/>
  <c r="L194" i="90"/>
  <c r="M192" i="90"/>
  <c r="L192" i="90"/>
  <c r="M191" i="90"/>
  <c r="L191" i="90"/>
  <c r="M190" i="90"/>
  <c r="L190" i="90"/>
  <c r="M189" i="90"/>
  <c r="L189" i="90"/>
  <c r="M188" i="90"/>
  <c r="L188" i="90"/>
  <c r="M184" i="90"/>
  <c r="L184" i="90"/>
  <c r="M183" i="90"/>
  <c r="L183" i="90"/>
  <c r="M182" i="90"/>
  <c r="L182" i="90"/>
  <c r="M181" i="90"/>
  <c r="L181" i="90"/>
  <c r="M180" i="90"/>
  <c r="L180" i="90"/>
  <c r="M179" i="90"/>
  <c r="L179" i="90"/>
  <c r="M176" i="90"/>
  <c r="L176" i="90"/>
  <c r="M175" i="90"/>
  <c r="L175" i="90"/>
  <c r="M172" i="90"/>
  <c r="M173" i="90" s="1"/>
  <c r="L173" i="90"/>
  <c r="I208" i="90"/>
  <c r="N208" i="90" s="1"/>
  <c r="I207" i="90"/>
  <c r="N207" i="90" s="1"/>
  <c r="I206" i="90"/>
  <c r="N206" i="90" s="1"/>
  <c r="I205" i="90"/>
  <c r="N205" i="90" s="1"/>
  <c r="I204" i="90"/>
  <c r="N204" i="90" s="1"/>
  <c r="I203" i="90"/>
  <c r="N203" i="90" s="1"/>
  <c r="I200" i="90"/>
  <c r="N200" i="90" s="1"/>
  <c r="I199" i="90"/>
  <c r="N199" i="90" s="1"/>
  <c r="I198" i="90"/>
  <c r="N198" i="90" s="1"/>
  <c r="I197" i="90"/>
  <c r="N197" i="90" s="1"/>
  <c r="I196" i="90"/>
  <c r="N196" i="90" s="1"/>
  <c r="I195" i="90"/>
  <c r="N195" i="90" s="1"/>
  <c r="I194" i="90"/>
  <c r="N194" i="90" s="1"/>
  <c r="I192" i="90"/>
  <c r="N192" i="90" s="1"/>
  <c r="I191" i="90"/>
  <c r="N191" i="90" s="1"/>
  <c r="I190" i="90"/>
  <c r="N190" i="90" s="1"/>
  <c r="I189" i="90"/>
  <c r="N189" i="90" s="1"/>
  <c r="I188" i="90"/>
  <c r="N188" i="90" s="1"/>
  <c r="I184" i="90"/>
  <c r="N184" i="90" s="1"/>
  <c r="I183" i="90"/>
  <c r="N183" i="90" s="1"/>
  <c r="I182" i="90"/>
  <c r="N182" i="90" s="1"/>
  <c r="I181" i="90"/>
  <c r="N181" i="90" s="1"/>
  <c r="I180" i="90"/>
  <c r="N180" i="90" s="1"/>
  <c r="I179" i="90"/>
  <c r="N179" i="90" s="1"/>
  <c r="I176" i="90"/>
  <c r="N176" i="90" s="1"/>
  <c r="I175" i="90"/>
  <c r="N175" i="90" s="1"/>
  <c r="I172" i="90"/>
  <c r="N172" i="90" s="1"/>
  <c r="N173" i="90" s="1"/>
  <c r="M113" i="90"/>
  <c r="L113" i="90"/>
  <c r="I113" i="90"/>
  <c r="N113" i="90" s="1"/>
  <c r="I48" i="90"/>
  <c r="I46" i="90"/>
  <c r="L158" i="90" l="1"/>
  <c r="N158" i="90"/>
  <c r="M158" i="90"/>
  <c r="L94" i="90"/>
  <c r="M94" i="90"/>
  <c r="L164" i="90"/>
  <c r="N164" i="90"/>
  <c r="M164" i="90"/>
  <c r="M222" i="90"/>
  <c r="M227" i="90" s="1"/>
  <c r="L222" i="90"/>
  <c r="L227" i="90" s="1"/>
  <c r="N222" i="90"/>
  <c r="N227" i="90" s="1"/>
  <c r="M93" i="90"/>
  <c r="L165" i="90"/>
  <c r="M165" i="90"/>
  <c r="N165" i="90"/>
  <c r="N93" i="90"/>
  <c r="L157" i="90"/>
  <c r="N157" i="90"/>
  <c r="M157" i="90"/>
  <c r="N94" i="90"/>
  <c r="L209" i="90"/>
  <c r="L177" i="90"/>
  <c r="L201" i="90"/>
  <c r="L185" i="90"/>
  <c r="M177" i="90"/>
  <c r="N177" i="90"/>
  <c r="M209" i="90"/>
  <c r="M201" i="90"/>
  <c r="M185" i="90"/>
  <c r="N201" i="90"/>
  <c r="N185" i="90"/>
  <c r="N209" i="90"/>
  <c r="I36" i="90" l="1"/>
  <c r="I29" i="90" l="1"/>
  <c r="I163" i="90" l="1"/>
  <c r="I133" i="90" l="1"/>
  <c r="I132" i="90"/>
  <c r="I134" i="90"/>
  <c r="I135" i="90"/>
  <c r="I80" i="90" l="1"/>
  <c r="I77" i="90"/>
  <c r="I83" i="90"/>
  <c r="I82" i="90"/>
  <c r="I126" i="90" l="1"/>
  <c r="I118" i="90"/>
  <c r="I125" i="90"/>
  <c r="I112" i="90"/>
  <c r="I117" i="90"/>
  <c r="I124" i="90"/>
  <c r="I123" i="90"/>
  <c r="I115" i="90"/>
  <c r="I121" i="90"/>
  <c r="I116" i="90"/>
  <c r="I122" i="90"/>
  <c r="I114" i="90"/>
  <c r="I109" i="90"/>
  <c r="I129" i="90"/>
  <c r="I120" i="90"/>
  <c r="I111" i="90"/>
  <c r="I128" i="90"/>
  <c r="I119" i="90"/>
  <c r="I110" i="90"/>
  <c r="I142" i="90" l="1"/>
  <c r="I103" i="90"/>
  <c r="I79" i="90"/>
  <c r="I104" i="90"/>
  <c r="I92" i="90"/>
  <c r="I139" i="90"/>
  <c r="I138" i="90"/>
  <c r="I99" i="90"/>
  <c r="I78" i="90"/>
  <c r="I66" i="90"/>
  <c r="I81" i="90"/>
  <c r="I168" i="90"/>
  <c r="I73" i="90"/>
  <c r="I97" i="90"/>
  <c r="I87" i="90"/>
  <c r="I147" i="90"/>
  <c r="I70" i="90"/>
  <c r="I67" i="90"/>
  <c r="I145" i="90"/>
  <c r="I86" i="90"/>
  <c r="I62" i="90"/>
  <c r="I100" i="90"/>
  <c r="I88" i="90"/>
  <c r="I140" i="90"/>
  <c r="I90" i="90"/>
  <c r="I91" i="90"/>
  <c r="I105" i="90"/>
  <c r="I146" i="90"/>
  <c r="I98" i="90"/>
  <c r="I89" i="90"/>
  <c r="I141" i="90"/>
  <c r="I74" i="90" l="1"/>
  <c r="I69" i="90"/>
  <c r="I56" i="90" l="1"/>
  <c r="I57" i="90"/>
  <c r="I58" i="90"/>
  <c r="I63" i="90"/>
  <c r="I17" i="90"/>
  <c r="I28" i="90"/>
  <c r="I18" i="90"/>
  <c r="I68" i="90"/>
  <c r="I14" i="90"/>
  <c r="I22" i="90"/>
  <c r="I21" i="90"/>
  <c r="I23" i="90"/>
  <c r="I59" i="90"/>
  <c r="I37" i="90" l="1"/>
  <c r="I27" i="90" l="1"/>
  <c r="I16" i="90"/>
  <c r="I12" i="90"/>
  <c r="I13" i="90"/>
  <c r="I15" i="90"/>
  <c r="I24" i="90" l="1"/>
  <c r="I33" i="90"/>
  <c r="I51" i="90"/>
  <c r="I47" i="90"/>
  <c r="I45" i="90"/>
  <c r="I52" i="90"/>
  <c r="I34" i="90"/>
  <c r="I44" i="90"/>
  <c r="I40" i="90"/>
  <c r="I35" i="90"/>
  <c r="I41" i="90"/>
  <c r="I26" i="90" l="1"/>
  <c r="I25" i="90" l="1"/>
  <c r="K36" i="90" l="1"/>
  <c r="M36" i="90" l="1"/>
  <c r="L36" i="90"/>
  <c r="N36" i="90"/>
  <c r="K152" i="90"/>
  <c r="K151" i="90"/>
  <c r="K155" i="90"/>
  <c r="N155" i="90" s="1"/>
  <c r="K154" i="90"/>
  <c r="N154" i="90" s="1"/>
  <c r="K153" i="90"/>
  <c r="N153" i="90" s="1"/>
  <c r="K150" i="90"/>
  <c r="K149" i="90"/>
  <c r="K163" i="90"/>
  <c r="K29" i="90"/>
  <c r="K52" i="90"/>
  <c r="K146" i="90"/>
  <c r="K114" i="90"/>
  <c r="K138" i="90"/>
  <c r="K132" i="90"/>
  <c r="K73" i="90"/>
  <c r="K63" i="90"/>
  <c r="K83" i="90"/>
  <c r="K77" i="90"/>
  <c r="K111" i="90"/>
  <c r="K16" i="90"/>
  <c r="K12" i="90"/>
  <c r="K41" i="90"/>
  <c r="K44" i="90"/>
  <c r="K51" i="90"/>
  <c r="K57" i="90"/>
  <c r="K34" i="90"/>
  <c r="K27" i="90"/>
  <c r="K14" i="90"/>
  <c r="K117" i="90"/>
  <c r="K139" i="90"/>
  <c r="K100" i="90"/>
  <c r="K133" i="90"/>
  <c r="K125" i="90"/>
  <c r="K68" i="90"/>
  <c r="K141" i="90"/>
  <c r="K78" i="90"/>
  <c r="K70" i="90"/>
  <c r="K97" i="90"/>
  <c r="K13" i="90"/>
  <c r="K28" i="90"/>
  <c r="P28" i="90" s="1"/>
  <c r="K23" i="90"/>
  <c r="K40" i="90"/>
  <c r="K128" i="90"/>
  <c r="K15" i="90"/>
  <c r="K126" i="90"/>
  <c r="K86" i="90"/>
  <c r="K115" i="90"/>
  <c r="K120" i="90"/>
  <c r="K112" i="90"/>
  <c r="K129" i="90"/>
  <c r="K67" i="90"/>
  <c r="K66" i="90"/>
  <c r="K22" i="90"/>
  <c r="K48" i="90"/>
  <c r="K46" i="90"/>
  <c r="K37" i="90"/>
  <c r="K24" i="90"/>
  <c r="K45" i="90"/>
  <c r="K17" i="90"/>
  <c r="K21" i="90"/>
  <c r="K121" i="90"/>
  <c r="K74" i="90"/>
  <c r="K103" i="90"/>
  <c r="K109" i="90"/>
  <c r="K82" i="90"/>
  <c r="K124" i="90"/>
  <c r="K58" i="90"/>
  <c r="K47" i="90"/>
  <c r="K35" i="90"/>
  <c r="K25" i="90"/>
  <c r="K116" i="90"/>
  <c r="K142" i="90"/>
  <c r="K92" i="90"/>
  <c r="K79" i="90"/>
  <c r="K147" i="90"/>
  <c r="K118" i="90"/>
  <c r="K135" i="90"/>
  <c r="K140" i="90"/>
  <c r="K18" i="90"/>
  <c r="K26" i="90"/>
  <c r="K105" i="90"/>
  <c r="K110" i="90"/>
  <c r="K98" i="90"/>
  <c r="K87" i="90"/>
  <c r="K59" i="90"/>
  <c r="K104" i="90"/>
  <c r="K123" i="90"/>
  <c r="K33" i="90"/>
  <c r="K80" i="90"/>
  <c r="K56" i="90"/>
  <c r="K69" i="90"/>
  <c r="K119" i="90"/>
  <c r="K81" i="90"/>
  <c r="K99" i="90"/>
  <c r="K122" i="90"/>
  <c r="K62" i="90"/>
  <c r="K88" i="90"/>
  <c r="K145" i="90"/>
  <c r="K91" i="90"/>
  <c r="K134" i="90"/>
  <c r="K90" i="90"/>
  <c r="K89" i="90"/>
  <c r="K168" i="90"/>
  <c r="M152" i="90" l="1"/>
  <c r="N152" i="90"/>
  <c r="M59" i="90"/>
  <c r="L59" i="90"/>
  <c r="N59" i="90"/>
  <c r="M35" i="90"/>
  <c r="L35" i="90"/>
  <c r="N35" i="90"/>
  <c r="M121" i="90"/>
  <c r="L121" i="90"/>
  <c r="N121" i="90"/>
  <c r="M22" i="90"/>
  <c r="L22" i="90"/>
  <c r="N22" i="90"/>
  <c r="M126" i="90"/>
  <c r="L126" i="90"/>
  <c r="N126" i="90"/>
  <c r="M70" i="90"/>
  <c r="L70" i="90"/>
  <c r="N70" i="90"/>
  <c r="M117" i="90"/>
  <c r="L117" i="90"/>
  <c r="N117" i="90"/>
  <c r="M12" i="90"/>
  <c r="L12" i="90"/>
  <c r="N12" i="90"/>
  <c r="M138" i="90"/>
  <c r="L138" i="90"/>
  <c r="N138" i="90"/>
  <c r="M153" i="90"/>
  <c r="L153" i="90"/>
  <c r="M21" i="90"/>
  <c r="L21" i="90"/>
  <c r="N21" i="90"/>
  <c r="M66" i="90"/>
  <c r="L66" i="90"/>
  <c r="N66" i="90"/>
  <c r="M15" i="90"/>
  <c r="L15" i="90"/>
  <c r="N15" i="90"/>
  <c r="M78" i="90"/>
  <c r="L78" i="90"/>
  <c r="N78" i="90"/>
  <c r="M14" i="90"/>
  <c r="L14" i="90"/>
  <c r="N14" i="90"/>
  <c r="M16" i="90"/>
  <c r="L16" i="90"/>
  <c r="N16" i="90"/>
  <c r="M114" i="90"/>
  <c r="L114" i="90"/>
  <c r="N114" i="90"/>
  <c r="M154" i="90"/>
  <c r="L154" i="90"/>
  <c r="M90" i="90"/>
  <c r="L90" i="90"/>
  <c r="N90" i="90"/>
  <c r="M135" i="90"/>
  <c r="L135" i="90"/>
  <c r="N135" i="90"/>
  <c r="M98" i="90"/>
  <c r="L98" i="90"/>
  <c r="N98" i="90"/>
  <c r="M58" i="90"/>
  <c r="L58" i="90"/>
  <c r="N58" i="90"/>
  <c r="M17" i="90"/>
  <c r="L17" i="90"/>
  <c r="N17" i="90"/>
  <c r="M67" i="90"/>
  <c r="L67" i="90"/>
  <c r="N67" i="90"/>
  <c r="M128" i="90"/>
  <c r="L128" i="90"/>
  <c r="N128" i="90"/>
  <c r="M141" i="90"/>
  <c r="L141" i="90"/>
  <c r="N141" i="90"/>
  <c r="M27" i="90"/>
  <c r="L27" i="90"/>
  <c r="N27" i="90"/>
  <c r="M111" i="90"/>
  <c r="L111" i="90"/>
  <c r="N111" i="90"/>
  <c r="M146" i="90"/>
  <c r="L146" i="90"/>
  <c r="N146" i="90"/>
  <c r="M155" i="90"/>
  <c r="L155" i="90"/>
  <c r="M118" i="90"/>
  <c r="L118" i="90"/>
  <c r="N118" i="90"/>
  <c r="M147" i="90"/>
  <c r="L147" i="90"/>
  <c r="N147" i="90"/>
  <c r="M145" i="90"/>
  <c r="L145" i="90"/>
  <c r="N145" i="90"/>
  <c r="M56" i="90"/>
  <c r="L56" i="90"/>
  <c r="N56" i="90"/>
  <c r="M110" i="90"/>
  <c r="L110" i="90"/>
  <c r="N110" i="90"/>
  <c r="M79" i="90"/>
  <c r="L79" i="90"/>
  <c r="N79" i="90"/>
  <c r="M124" i="90"/>
  <c r="L124" i="90"/>
  <c r="N124" i="90"/>
  <c r="M45" i="90"/>
  <c r="L45" i="90"/>
  <c r="N45" i="90"/>
  <c r="M129" i="90"/>
  <c r="L129" i="90"/>
  <c r="N129" i="90"/>
  <c r="M40" i="90"/>
  <c r="L40" i="90"/>
  <c r="N40" i="90"/>
  <c r="M68" i="90"/>
  <c r="L68" i="90"/>
  <c r="N68" i="90"/>
  <c r="M34" i="90"/>
  <c r="L34" i="90"/>
  <c r="N34" i="90"/>
  <c r="M77" i="90"/>
  <c r="L77" i="90"/>
  <c r="N77" i="90"/>
  <c r="M52" i="90"/>
  <c r="L52" i="90"/>
  <c r="N52" i="90"/>
  <c r="M151" i="90"/>
  <c r="L151" i="90"/>
  <c r="N151" i="90"/>
  <c r="M87" i="90"/>
  <c r="L87" i="90"/>
  <c r="N87" i="90"/>
  <c r="M80" i="90"/>
  <c r="L80" i="90"/>
  <c r="N80" i="90"/>
  <c r="M92" i="90"/>
  <c r="L92" i="90"/>
  <c r="N92" i="90"/>
  <c r="M82" i="90"/>
  <c r="L82" i="90"/>
  <c r="N82" i="90"/>
  <c r="M24" i="90"/>
  <c r="L24" i="90"/>
  <c r="N24" i="90"/>
  <c r="M112" i="90"/>
  <c r="L112" i="90"/>
  <c r="N112" i="90"/>
  <c r="M23" i="90"/>
  <c r="L23" i="90"/>
  <c r="N23" i="90"/>
  <c r="M125" i="90"/>
  <c r="L125" i="90"/>
  <c r="N125" i="90"/>
  <c r="M57" i="90"/>
  <c r="L57" i="90"/>
  <c r="N57" i="90"/>
  <c r="M83" i="90"/>
  <c r="L83" i="90"/>
  <c r="N83" i="90"/>
  <c r="M29" i="90"/>
  <c r="L29" i="90"/>
  <c r="N29" i="90"/>
  <c r="L152" i="90"/>
  <c r="M119" i="90"/>
  <c r="L119" i="90"/>
  <c r="N119" i="90"/>
  <c r="M91" i="90"/>
  <c r="L91" i="90"/>
  <c r="N91" i="90"/>
  <c r="M62" i="90"/>
  <c r="L62" i="90"/>
  <c r="N62" i="90"/>
  <c r="M26" i="90"/>
  <c r="L26" i="90"/>
  <c r="N26" i="90"/>
  <c r="M142" i="90"/>
  <c r="L142" i="90"/>
  <c r="N142" i="90"/>
  <c r="M109" i="90"/>
  <c r="L109" i="90"/>
  <c r="N109" i="90"/>
  <c r="M37" i="90"/>
  <c r="L37" i="90"/>
  <c r="N37" i="90"/>
  <c r="M120" i="90"/>
  <c r="L120" i="90"/>
  <c r="N120" i="90"/>
  <c r="M28" i="90"/>
  <c r="L28" i="90"/>
  <c r="N28" i="90"/>
  <c r="M133" i="90"/>
  <c r="L133" i="90"/>
  <c r="N133" i="90"/>
  <c r="M51" i="90"/>
  <c r="L51" i="90"/>
  <c r="N51" i="90"/>
  <c r="M63" i="90"/>
  <c r="L63" i="90"/>
  <c r="N63" i="90"/>
  <c r="M163" i="90"/>
  <c r="M166" i="90" s="1"/>
  <c r="L163" i="90"/>
  <c r="L166" i="90" s="1"/>
  <c r="N163" i="90"/>
  <c r="N166" i="90" s="1"/>
  <c r="M81" i="90"/>
  <c r="L81" i="90"/>
  <c r="N81" i="90"/>
  <c r="M134" i="90"/>
  <c r="L134" i="90"/>
  <c r="N134" i="90"/>
  <c r="M69" i="90"/>
  <c r="L69" i="90"/>
  <c r="N69" i="90"/>
  <c r="M33" i="90"/>
  <c r="L33" i="90"/>
  <c r="N33" i="90"/>
  <c r="M122" i="90"/>
  <c r="L122" i="90"/>
  <c r="N122" i="90"/>
  <c r="M18" i="90"/>
  <c r="L18" i="90"/>
  <c r="N18" i="90"/>
  <c r="M116" i="90"/>
  <c r="L116" i="90"/>
  <c r="N116" i="90"/>
  <c r="M103" i="90"/>
  <c r="L103" i="90"/>
  <c r="N103" i="90"/>
  <c r="M46" i="90"/>
  <c r="L46" i="90"/>
  <c r="N46" i="90"/>
  <c r="M115" i="90"/>
  <c r="L115" i="90"/>
  <c r="N115" i="90"/>
  <c r="M13" i="90"/>
  <c r="L13" i="90"/>
  <c r="N13" i="90"/>
  <c r="M100" i="90"/>
  <c r="L100" i="90"/>
  <c r="N100" i="90"/>
  <c r="M44" i="90"/>
  <c r="L44" i="90"/>
  <c r="N44" i="90"/>
  <c r="M73" i="90"/>
  <c r="L73" i="90"/>
  <c r="N73" i="90"/>
  <c r="M149" i="90"/>
  <c r="L149" i="90"/>
  <c r="N149" i="90"/>
  <c r="M47" i="90"/>
  <c r="L47" i="90"/>
  <c r="N47" i="90"/>
  <c r="M88" i="90"/>
  <c r="L88" i="90"/>
  <c r="N88" i="90"/>
  <c r="M105" i="90"/>
  <c r="L105" i="90"/>
  <c r="N105" i="90"/>
  <c r="M168" i="90"/>
  <c r="M169" i="90" s="1"/>
  <c r="L168" i="90"/>
  <c r="L169" i="90" s="1"/>
  <c r="N168" i="90"/>
  <c r="N169" i="90" s="1"/>
  <c r="M123" i="90"/>
  <c r="L123" i="90"/>
  <c r="N123" i="90"/>
  <c r="M89" i="90"/>
  <c r="L89" i="90"/>
  <c r="N89" i="90"/>
  <c r="M99" i="90"/>
  <c r="L99" i="90"/>
  <c r="N99" i="90"/>
  <c r="M104" i="90"/>
  <c r="L104" i="90"/>
  <c r="N104" i="90"/>
  <c r="M140" i="90"/>
  <c r="L140" i="90"/>
  <c r="N140" i="90"/>
  <c r="M25" i="90"/>
  <c r="L25" i="90"/>
  <c r="N25" i="90"/>
  <c r="M74" i="90"/>
  <c r="L74" i="90"/>
  <c r="N74" i="90"/>
  <c r="N48" i="90"/>
  <c r="L48" i="90"/>
  <c r="M48" i="90"/>
  <c r="M86" i="90"/>
  <c r="L86" i="90"/>
  <c r="N86" i="90"/>
  <c r="M97" i="90"/>
  <c r="L97" i="90"/>
  <c r="N97" i="90"/>
  <c r="M139" i="90"/>
  <c r="L139" i="90"/>
  <c r="N139" i="90"/>
  <c r="M41" i="90"/>
  <c r="L41" i="90"/>
  <c r="N41" i="90"/>
  <c r="M132" i="90"/>
  <c r="L132" i="90"/>
  <c r="N132" i="90"/>
  <c r="M150" i="90"/>
  <c r="L150" i="90"/>
  <c r="N150" i="90"/>
  <c r="M161" i="90" l="1"/>
  <c r="N161" i="90"/>
  <c r="L161" i="90"/>
  <c r="N95" i="90"/>
  <c r="M95" i="90"/>
  <c r="M31" i="90"/>
  <c r="L31" i="90"/>
  <c r="N31" i="90"/>
  <c r="L95" i="90"/>
  <c r="M42" i="90"/>
  <c r="N42" i="90"/>
  <c r="N136" i="90"/>
  <c r="L38" i="90"/>
  <c r="L143" i="90"/>
  <c r="L64" i="90"/>
  <c r="L60" i="90"/>
  <c r="L53" i="90"/>
  <c r="L101" i="90"/>
  <c r="N75" i="90"/>
  <c r="M49" i="90"/>
  <c r="L42" i="90"/>
  <c r="L71" i="90"/>
  <c r="L75" i="90"/>
  <c r="N38" i="90"/>
  <c r="L19" i="90"/>
  <c r="M64" i="90"/>
  <c r="L136" i="90"/>
  <c r="N101" i="90"/>
  <c r="L130" i="90"/>
  <c r="L84" i="90"/>
  <c r="L49" i="90"/>
  <c r="N49" i="90"/>
  <c r="L106" i="90"/>
  <c r="M84" i="90"/>
  <c r="N19" i="90"/>
  <c r="N60" i="90"/>
  <c r="M19" i="90"/>
  <c r="M38" i="90"/>
  <c r="N130" i="90"/>
  <c r="N84" i="90"/>
  <c r="N64" i="90"/>
  <c r="N53" i="90"/>
  <c r="M60" i="90"/>
  <c r="N71" i="90"/>
  <c r="M75" i="90"/>
  <c r="N106" i="90"/>
  <c r="M130" i="90"/>
  <c r="N143" i="90"/>
  <c r="M136" i="90"/>
  <c r="M71" i="90"/>
  <c r="M53" i="90"/>
  <c r="M101" i="90"/>
  <c r="M106" i="90"/>
  <c r="M143" i="90"/>
  <c r="L253" i="90" l="1"/>
  <c r="N256" i="90" s="1"/>
  <c r="N253" i="90"/>
  <c r="M253" i="90"/>
  <c r="N257" i="90" s="1"/>
  <c r="N258" i="90" l="1"/>
</calcChain>
</file>

<file path=xl/sharedStrings.xml><?xml version="1.0" encoding="utf-8"?>
<sst xmlns="http://schemas.openxmlformats.org/spreadsheetml/2006/main" count="1435" uniqueCount="599">
  <si>
    <t>ITEM</t>
  </si>
  <si>
    <t>m</t>
  </si>
  <si>
    <t>un</t>
  </si>
  <si>
    <t>ESQUADRIAS</t>
  </si>
  <si>
    <t>m²</t>
  </si>
  <si>
    <t>PINTURA</t>
  </si>
  <si>
    <t>1.1</t>
  </si>
  <si>
    <t>1.2</t>
  </si>
  <si>
    <t>2.1</t>
  </si>
  <si>
    <t>2.2</t>
  </si>
  <si>
    <t>2.3</t>
  </si>
  <si>
    <t>3.1</t>
  </si>
  <si>
    <t>3.2</t>
  </si>
  <si>
    <t>4.1</t>
  </si>
  <si>
    <t>4.2</t>
  </si>
  <si>
    <t>5.1</t>
  </si>
  <si>
    <t>6.1</t>
  </si>
  <si>
    <t>6.2</t>
  </si>
  <si>
    <t>7.1</t>
  </si>
  <si>
    <t>8.1</t>
  </si>
  <si>
    <t>9.1</t>
  </si>
  <si>
    <t>9.2</t>
  </si>
  <si>
    <t>10.1</t>
  </si>
  <si>
    <t>11.1</t>
  </si>
  <si>
    <t>11.2</t>
  </si>
  <si>
    <t>11.3</t>
  </si>
  <si>
    <t>12.1</t>
  </si>
  <si>
    <t>DESCRIÇÃO DOS SERVIÇOS</t>
  </si>
  <si>
    <t>10.2</t>
  </si>
  <si>
    <t>m³</t>
  </si>
  <si>
    <t>1.3</t>
  </si>
  <si>
    <t>2.4</t>
  </si>
  <si>
    <t>11.5</t>
  </si>
  <si>
    <t>1.4</t>
  </si>
  <si>
    <t>SINAPI</t>
  </si>
  <si>
    <t>SERVIÇOS FINAIS</t>
  </si>
  <si>
    <t>CÓDIGO</t>
  </si>
  <si>
    <t>FONTE</t>
  </si>
  <si>
    <t>1.5</t>
  </si>
  <si>
    <t>1.6</t>
  </si>
  <si>
    <t>1.7</t>
  </si>
  <si>
    <t>5.2</t>
  </si>
  <si>
    <t>11.4</t>
  </si>
  <si>
    <t>13.2</t>
  </si>
  <si>
    <t>5.3</t>
  </si>
  <si>
    <t>11.6</t>
  </si>
  <si>
    <t>11.7</t>
  </si>
  <si>
    <t>2.5</t>
  </si>
  <si>
    <t>7.2</t>
  </si>
  <si>
    <t>8.2</t>
  </si>
  <si>
    <t>SERVIÇOS PRELIMINARES</t>
  </si>
  <si>
    <t>CPU</t>
  </si>
  <si>
    <t>Valor TOTAL com BDI</t>
  </si>
  <si>
    <t>Data Base:</t>
  </si>
  <si>
    <t>BDI:</t>
  </si>
  <si>
    <t xml:space="preserve">Encargos </t>
  </si>
  <si>
    <t>Não Desonerados</t>
  </si>
  <si>
    <t>m3</t>
  </si>
  <si>
    <t>Lançamento com uso de baldes, adensamento e acabamento de concreto em estruturas. af_12/2015</t>
  </si>
  <si>
    <t>unid</t>
  </si>
  <si>
    <t>Subtotal 1.0</t>
  </si>
  <si>
    <t>Subtotal 2.0</t>
  </si>
  <si>
    <t>Subtotal 3.0</t>
  </si>
  <si>
    <t>Subtotal 4.0</t>
  </si>
  <si>
    <t>Subtotal 5.0</t>
  </si>
  <si>
    <t>Subtotal 6.0</t>
  </si>
  <si>
    <t>Outubro/2019</t>
  </si>
  <si>
    <t>UNID.</t>
  </si>
  <si>
    <t>QUANTIDADE</t>
  </si>
  <si>
    <t>V.Unit.(R$)</t>
  </si>
  <si>
    <t>V.Unit. com BDI (R$)</t>
  </si>
  <si>
    <t>ENDEREÇO: ZONA URBANA</t>
  </si>
  <si>
    <t>PLANILHA ORÇAMENTÁRIA</t>
  </si>
  <si>
    <t>DEMOLIÇÕES E RETIRADAS</t>
  </si>
  <si>
    <t>REVESTIMENTOS - PISOS E PAREDES</t>
  </si>
  <si>
    <t>Demolição de piso cimentado</t>
  </si>
  <si>
    <t>Carga manual de entulho em caminhão basculante 6 m³.</t>
  </si>
  <si>
    <t>Transporte com caminhão basculante de 6 m3, em via urbana pavimentada dmt até 30 km (unidade: m3xkm). af_01/2018 - material excedente(bota-fora)</t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</si>
  <si>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x km</t>
    </r>
  </si>
  <si>
    <t>73859/002</t>
  </si>
  <si>
    <t>Capina e limpeza manual de terreno.</t>
  </si>
  <si>
    <t>Execução de passeio (calçada) ou piso de concreto com concreto, espessura de 5 cm moldado in loco, feito em obra, acabamento convencional, não armado. af_07/2016</t>
  </si>
  <si>
    <t>COBERTA</t>
  </si>
  <si>
    <t>INSTALAÇÕES HIDROSANITÁRIAS</t>
  </si>
  <si>
    <t>Aplicação e lixamento de massa látex em paredes, duas demãos</t>
  </si>
  <si>
    <t>Aplicação manual de pintura com tinta látex acrílica em paredes, duas demãos. af_06/2014</t>
  </si>
  <si>
    <t>73739/001</t>
  </si>
  <si>
    <t>Telhamento com telha cerâmica capa-canal, tipo plan, com até 2 águas,incluso transporte vertical. af_07/2019</t>
  </si>
  <si>
    <t>Vaso sanitário sifonado com caixa acoplada louça branca, incluso engate flexível em plástico branco, 1/2  x 40cm - fornecimento e instalação
. af_12/2013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</si>
  <si>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</si>
  <si>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I 007608</t>
  </si>
  <si>
    <t xml:space="preserve">Aplicação de fundo selador látex pva em teto, uma demão. af_06/2014 </t>
  </si>
  <si>
    <t>Aplicação manual de pintura com tinta látex pva em teto, duas demãos.af_06/2014</t>
  </si>
  <si>
    <t>Aplicação de fundo selador acrílico em paredes, uma demão. af_06/2014</t>
  </si>
  <si>
    <t>73924/002</t>
  </si>
  <si>
    <t>Limpeza final da obra</t>
  </si>
  <si>
    <t>Pintura esmalte acetinado em madeira, duas demaos</t>
  </si>
  <si>
    <t>Pintura esmalte acetinado, duas demaos, sobre superficie metalica</t>
  </si>
  <si>
    <t>Chuveiro plastico branco simples 5 '' para acoplar em haste 1/2 ", agua fria</t>
  </si>
  <si>
    <t>Papeleira de parede em metal cromado sem tampa, incluso fixação</t>
  </si>
  <si>
    <t>Saboneteira plastica tipo dispenser para sabonete liquido</t>
  </si>
  <si>
    <t>Revestimento cerâmico para paredes internas com placas tipo esmaltadaextra de dimensões 33x45 cm aplicadas em ambientes de área maior que 5 m² na altura inteira das paredes. af_06/2014 - Cozinha/Serviço</t>
  </si>
  <si>
    <t>Revestimento cerâmico para paredes internas com placas tipo esmaltadaextra de dimensões 33x45 cm aplicadas em ambientes de área menor que 5 m² na altura inteira das paredes. af_06/2014 - WCs</t>
  </si>
  <si>
    <t>83696/001</t>
  </si>
  <si>
    <t>Pintura de alvenaria com cal.</t>
  </si>
  <si>
    <t>Aplicação e lixamento de massa látex em teto, duas demãos.</t>
  </si>
  <si>
    <t>Remoção de louças, de forma manual, sem reaproveitamento.</t>
  </si>
  <si>
    <t>PREFEITURA MUNICIPAL DE COREMAS</t>
  </si>
  <si>
    <t>MUNICÍPIO: COREMAS-PB</t>
  </si>
  <si>
    <t>1.0</t>
  </si>
  <si>
    <t>5.5</t>
  </si>
  <si>
    <t>2.0</t>
  </si>
  <si>
    <t>3.0</t>
  </si>
  <si>
    <t xml:space="preserve"> m²</t>
  </si>
  <si>
    <t>Regularizacao de superficies em terra com motoniveladora</t>
  </si>
  <si>
    <t>Demolição de alvenaria de bloco furado, de forma manual, sem reaproveitamento. af_12/2017</t>
  </si>
  <si>
    <t>Remoção de portas, de forma manual, sem reaproveitamento. af_12/2017</t>
  </si>
  <si>
    <t>AMPLIAÇÃO DA ESCOLA</t>
  </si>
  <si>
    <t>13.0</t>
  </si>
  <si>
    <r>
      <t>m</t>
    </r>
    <r>
      <rPr>
        <vertAlign val="superscript"/>
        <sz val="10"/>
        <rFont val="Arial"/>
        <family val="2"/>
      </rPr>
      <t>2</t>
    </r>
  </si>
  <si>
    <t>Pintura esmalte acetinado em esquadria de madeira, 2 demãos</t>
  </si>
  <si>
    <t>12.0</t>
  </si>
  <si>
    <t>INSTALAÇÃO ELÉTRICA</t>
  </si>
  <si>
    <t>11.0</t>
  </si>
  <si>
    <t>Vaso sanitário sifonado com caixa acoplada, louça branca, padrão médio, incluso engate flexível em metal cromado, 1/2" x 40cm</t>
  </si>
  <si>
    <t>Louças e Metais</t>
  </si>
  <si>
    <t>Ralo sifonado PVC dn 100x40mm, junta soldável</t>
  </si>
  <si>
    <t>Tubo PVC esgoto Ø 40mm, inclusive conexões (rede interna)</t>
  </si>
  <si>
    <t>Tubo PVC esgoto Ø 50mm, inclusive conexões (rede interna)</t>
  </si>
  <si>
    <t>Tubo PVC esgoto Ø 100mm, inclusive conexões (rede externa)</t>
  </si>
  <si>
    <t>Instalação Sanitária</t>
  </si>
  <si>
    <t>Instalações hidráulicas</t>
  </si>
  <si>
    <t>INSTALAÇÃO HIDROSSANITÁRIA</t>
  </si>
  <si>
    <t>10.0</t>
  </si>
  <si>
    <t>Revestimento cerâmico para piso com placas tipo grês de dimensões 35x35 cm aplicada em ambientes de área maior que 10 m²</t>
  </si>
  <si>
    <t>PAVIMENTAÇÃO</t>
  </si>
  <si>
    <t>9.0</t>
  </si>
  <si>
    <t>Massa única, para recebimento de pintura ou cerâmica, preparo manual em argamassa no traço 1:2:8, aplicado manualmente, em faces internas de paredes de ambientes com área maior que 10m2, espessura 10mm, sem taliscas</t>
  </si>
  <si>
    <t>Revestimento cerâmico para paredes internas com placas tipo grês ou semi-grês de dimensões 25x35 cm aplicadas em ambientes de área maior que 5m² na altura inteira das paredes</t>
  </si>
  <si>
    <t>Emboço, para recebimento de cerâmica, em argamassa traço 1:2:8, preparo manual com betoneira 400L, aplicado manualmente em faces internas de paredes de ambientes, espessura de 20mm, com execução de taliscas</t>
  </si>
  <si>
    <t>Chapisco aplicado tanto em pilares e vigas de concreto como em alvenarias de paredes internas, com colher de pedreiro, argamassa traço 1:3 com preparo manual</t>
  </si>
  <si>
    <t>REVESTIMENTO</t>
  </si>
  <si>
    <t>8.0</t>
  </si>
  <si>
    <t>7.3</t>
  </si>
  <si>
    <t>7.0</t>
  </si>
  <si>
    <t>Cobertura com telha cerâmica, com argamassa traço 1:3 de cimento e areia e arame recozido</t>
  </si>
  <si>
    <t>Estrutura de madeira de lei primeira qualidade, serrada, nao aparelhada, para telhas cerâmicas</t>
  </si>
  <si>
    <t>6.0</t>
  </si>
  <si>
    <t>Alvenaria de vedação de blocos cerâmicos furados na horizontal de 9x19x19cm (espessura 9cm) de paredes com área líquida maior ou igual a 6m² sem vãos e argamassa de assentamento com preparo em betoneira</t>
  </si>
  <si>
    <t>PAREDES E PAINÉIS</t>
  </si>
  <si>
    <t>5.0</t>
  </si>
  <si>
    <t>4.0</t>
  </si>
  <si>
    <t>Impermeabilização de superfície com argamassa de cimento e areia média no traço 1:3, com aditivo impermeabilizante, e = 2cm, para funidação corrida</t>
  </si>
  <si>
    <t>3.3</t>
  </si>
  <si>
    <r>
      <t>m</t>
    </r>
    <r>
      <rPr>
        <vertAlign val="superscript"/>
        <sz val="10"/>
        <rFont val="Arial"/>
        <family val="2"/>
      </rPr>
      <t>3</t>
    </r>
  </si>
  <si>
    <t>Embasamento com pedra argamassada utilizando argamassa de cimento e areia no traço 1:4</t>
  </si>
  <si>
    <t>INFRAESTRUTURA</t>
  </si>
  <si>
    <t>Aterro apiloado (manual) em camadas de 20cm, com material de empréstimo</t>
  </si>
  <si>
    <t>Escavação manual em campo aberto, em solo exceto rocha, até 2,00m de profunididade</t>
  </si>
  <si>
    <t>MOVIMENTO DE TERRA</t>
  </si>
  <si>
    <t>74209/001</t>
  </si>
  <si>
    <t>Locação convencional de obra, através de gabarito de tábuas corridas pontaletadas a cada 1,50m, sem reaproveitamento</t>
  </si>
  <si>
    <t>Demolição de revestimento cerâmico, de forma manual, sem reaproveitamento. af_12/2017 - Cozinha e WC</t>
  </si>
  <si>
    <t>Emboço ou massa única em argamassa traço 1:2:8, preparo manual, aplicada manualmente em panos de fachada com presença de vãos, espessura de 25 mm. af_06/2014</t>
  </si>
  <si>
    <t>2.6</t>
  </si>
  <si>
    <t>2.7</t>
  </si>
  <si>
    <t>2.8</t>
  </si>
  <si>
    <t>3.4</t>
  </si>
  <si>
    <t>5.4</t>
  </si>
  <si>
    <t>Chapisco aplicado em alvenaria (sem presença de vãos) e estruturas de concreto de fachada, com colher de pedreiro.  argamassa traço 1:3 com preparo em betoneira 400l. af_06/2014</t>
  </si>
  <si>
    <t>Placa indicativa de obra em chapa de aço galvanizado</t>
  </si>
  <si>
    <t>Concreto magro para lastro, traço 1:4,5:4,5 (cimento/ areia média/ brita 1)  - preparo mecânico com betoneira 400 l. af_07/2016</t>
  </si>
  <si>
    <t>Execução de estruturas de concreto armado, para edificação habitacional unifamiliar térrea (casa isolada), fck = 25 mpa. af_01/2017 - vigas baldrames e blocos</t>
  </si>
  <si>
    <t>Execução de estruturas de concreto armado, para edificação habitacional unifamiliar térrea (casa isolada), fck = 25 mpa. af_01/2017 - Pilares e Vigas</t>
  </si>
  <si>
    <t>Composição</t>
  </si>
  <si>
    <t>Laje pre-moldada trelicada (lajotas + vigotas) para até 100 kg/m² vaos até 6,00m/incl vigotas tijolos armadura negativa capeamento 3cm concreto 20mpa escoramento material e mao  de obra.</t>
  </si>
  <si>
    <t>Impermeabilizacao de superficie, com impermeabilizante flexivel a base acrilica.</t>
  </si>
  <si>
    <t>Calha em chapa de aço galvanizado número 24, desenvolvimento de 100 cm, incluso transporte vertical. af_06/2016</t>
  </si>
  <si>
    <t>Rufo em fibrocimento para telha ondulada e = 6 mm, aba de 26 cm, incluso transporte vertical. af_06/2016</t>
  </si>
  <si>
    <t>Contrapiso em argamassa traço 1:4 (cim e areia), em betoneira 400 l, espessura 4 cm áreas secas e areas molhadas sobre laje e 3 cm áreas molhadas sobre impermeabilização, para edificação habitacional unifamiliar(casa) e edificação pública padrão. af_11/2014</t>
  </si>
  <si>
    <t>Rodapé cerâmico de 7cm de altura com placas tipo esmaltada comercial de dimensões 35x35cm (padrao popular). af_06/2017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</si>
  <si>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</si>
  <si>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Verga moldada in loco com utilização de blocos canaleta para janelas com até 1,5 m de vão. af_03/2016</t>
  </si>
  <si>
    <t>Contraverga moldada in loco com utilização de blocos canaleta para vãos de até 1,5 m de comprimento. af_03/2016</t>
  </si>
  <si>
    <t>Verga moldada in loco com utilização de blocos canaleta para janelas com mais de 1,5 m de vão. af_03/2016</t>
  </si>
  <si>
    <t>Contraverga moldada in loco com utilização de blocos canaleta para vãos de mais de 1,5 m de comprimento. af_03/2016</t>
  </si>
  <si>
    <t>Kit de porta de madeira para pintura, semi-oca (leve ou média), padrão médio, 70x210cm, espessura de 3,5cm, itens inclusos: dobradiças, montagem e instalação do batente, fechadura com execução do furo - fornecimento e instalação. af_08/2015</t>
  </si>
  <si>
    <t>ÁREA DE RECREAÇÃO</t>
  </si>
  <si>
    <t>Execução de passeio em piso intertravado, com bloco 16 faces (na coloração natural) de (22 x 11) cm, espessura de 6cm. AF_12/2015.</t>
  </si>
  <si>
    <t>Luva simples, pvc, serie normal, esgoto predial, dn 100 mm, junta elástica, fornecido e instalado em ramal de descarga ou ramal de esgoto sanitário. af_12/2014</t>
  </si>
  <si>
    <t xml:space="preserve">Joelho 90 graus, pvc, serie normal, esgoto predial, dn 40 mm, junta elástica, fornecido e instalado em prumada de esgoto sanitário ou ventilação. </t>
  </si>
  <si>
    <t>Luva simples, pvc, serie normal, esgoto predial, dn 50 mm, junta elástica, fornecido e instalado em prumada de esgoto sanitário ou ventilação. af_12/2014</t>
  </si>
  <si>
    <t>Joelho 45 graus, pvc, serie normal, esgoto predial, dn 50 mm, junta elástica, fornecido e instalado em prumada de esgoto sanitário ou ventilação. af_12/2014</t>
  </si>
  <si>
    <t>Joelho 45 graus, pvc, serie normal, esgoto predial, dn 40 mm, junta elástica, fornecido e instalado em prumada de esgoto sanitário ou ventilação. af_12/2014</t>
  </si>
  <si>
    <t>Junção simples, pvc, serie normal, esgoto predial, dn 100 x 100 mm, junta elástica, fornecido e instalado em prumada de esgoto sanitário ou ventilação. af_12/2014</t>
  </si>
  <si>
    <t>Junção simples, pvc, serie normal, esgoto predial, dn 100 x 50 mm, junta elástica, fornecido e instalado em ramal de descarga ou ramal de esgoto sanitário. af_12/2014</t>
  </si>
  <si>
    <t xml:space="preserve">Tê de redução, pvc, serie normal, esgoto predial, dn 100 x 50 mm, junta elástica, fornecido e instalado em ramal de descarga ou ramal de esgoto sanitário. </t>
  </si>
  <si>
    <t>Tubo em PVC soldável água fria Ø 20mm, fornecimento e instalações</t>
  </si>
  <si>
    <t>Insumo 39319</t>
  </si>
  <si>
    <t>Terminal de ventilacao, 50 mm, serie normal, esgoto predial</t>
  </si>
  <si>
    <t>Joelho 90 graus, ppr, dn 20 mm, classe pn 20, instalado em ramal ou sub-ramal de água fornecimento e instalação . af_06/2015</t>
  </si>
  <si>
    <t>Tê com bucha de latão na bolsa central, pvc, soldável, dn 20mm x 1/2,instalado em ramal ou sub-ramal de água - fornecimento e instalação.
af_12/2014</t>
  </si>
  <si>
    <t>7.4</t>
  </si>
  <si>
    <t>9.3</t>
  </si>
  <si>
    <t>9.4</t>
  </si>
  <si>
    <t>9.5</t>
  </si>
  <si>
    <t>12.2</t>
  </si>
  <si>
    <t>12.3</t>
  </si>
  <si>
    <t>12.4</t>
  </si>
  <si>
    <t>12.5</t>
  </si>
  <si>
    <t>12.6</t>
  </si>
  <si>
    <t>12.7</t>
  </si>
  <si>
    <t>13.1</t>
  </si>
  <si>
    <t>13.3</t>
  </si>
  <si>
    <t>13.4</t>
  </si>
  <si>
    <t>14.0</t>
  </si>
  <si>
    <t>14.1</t>
  </si>
  <si>
    <t>14.2</t>
  </si>
  <si>
    <t>14.3</t>
  </si>
  <si>
    <t>15.0</t>
  </si>
  <si>
    <t>15.1</t>
  </si>
  <si>
    <t>15.2</t>
  </si>
  <si>
    <t>15.3</t>
  </si>
  <si>
    <t>15.1.1</t>
  </si>
  <si>
    <t>15.1.2</t>
  </si>
  <si>
    <t>15.1.3</t>
  </si>
  <si>
    <t>15.1.4</t>
  </si>
  <si>
    <t>15.2.13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</si>
  <si>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</si>
  <si>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</si>
  <si>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</si>
  <si>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</si>
  <si>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</si>
  <si>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</si>
  <si>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</si>
  <si>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</si>
  <si>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</si>
  <si>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</si>
  <si>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15.2.11</t>
  </si>
  <si>
    <t>15.2.12</t>
  </si>
  <si>
    <t>15.3.1</t>
  </si>
  <si>
    <t>15.3.2</t>
  </si>
  <si>
    <t>16.0</t>
  </si>
  <si>
    <t>16.1</t>
  </si>
  <si>
    <t>16.2</t>
  </si>
  <si>
    <t>16.3</t>
  </si>
  <si>
    <t>16.4</t>
  </si>
  <si>
    <t>17.0</t>
  </si>
  <si>
    <t>17.1</t>
  </si>
  <si>
    <t>17.2</t>
  </si>
  <si>
    <t>17.3</t>
  </si>
  <si>
    <t>17.4</t>
  </si>
  <si>
    <t>17.5</t>
  </si>
  <si>
    <t>18.0</t>
  </si>
  <si>
    <t>18.1</t>
  </si>
  <si>
    <t>18.2</t>
  </si>
  <si>
    <t>18.3</t>
  </si>
  <si>
    <t>19.0</t>
  </si>
  <si>
    <t>19.1</t>
  </si>
  <si>
    <t>Subtotal 7.0</t>
  </si>
  <si>
    <t>Subtotal 8.0</t>
  </si>
  <si>
    <t>Subtotal 9.0</t>
  </si>
  <si>
    <t>Subtotal 10.0</t>
  </si>
  <si>
    <t>Subtotal 11.0</t>
  </si>
  <si>
    <t>Subtotal 12.0</t>
  </si>
  <si>
    <t>Subtotal 13.0</t>
  </si>
  <si>
    <t>Subtotal 14.0</t>
  </si>
  <si>
    <t>Subtotal 15.0</t>
  </si>
  <si>
    <t>Subtotal 16.0</t>
  </si>
  <si>
    <t>Subtotal 17.0</t>
  </si>
  <si>
    <t>Subtotal 18.0</t>
  </si>
  <si>
    <t>Subtotal 19.0</t>
  </si>
  <si>
    <t>74106/001</t>
  </si>
  <si>
    <t>74066/002</t>
  </si>
  <si>
    <t>Forro em placas de gesso, para ambientes comerciais. af_05/2017_p</t>
  </si>
  <si>
    <t>Janela de alumínio maxim-ar, fixação com argamassa, com vidros, padronizada. af_07/2016 - WC</t>
  </si>
  <si>
    <t>Ponto de iluminação residencial incluindo interruptor simples, caixa elétrica, eletroduto, cabo, rasgo, quebra e chumbamento (excluindo luminária e lâmpada). af_01/2016</t>
  </si>
  <si>
    <t>Ponto de tomada residencial incluindo tomada 10a/250v, caixa elétrica, eletroduto, cabo, rasgo, quebra e chumbamento. af_01/2016</t>
  </si>
  <si>
    <t>Ponto de tomada residencial incluindo tomada (2 módulos) 10a/250v, caixa elétrica, eletroduto, cabo, rasgo, quebra e chumbamento. af_01/2016</t>
  </si>
  <si>
    <t>Luminária completa de embutir tipo calha 2x 40w c/ reator/lamp. fluoresc.</t>
  </si>
  <si>
    <t>Joelho 90 graus, pvc, soldável, dn 20mm, instalado em ramal de distribuição de água - fornecimento e instalação. af_12/2014</t>
  </si>
  <si>
    <t>JARDINAGEM</t>
  </si>
  <si>
    <t>Plantio de árvores ornamentais com porte de 100 a 200 cm em covas de 50 x 50 x 60</t>
  </si>
  <si>
    <t>20.0</t>
  </si>
  <si>
    <t>20.1</t>
  </si>
  <si>
    <t>Subtotal 20.0</t>
  </si>
  <si>
    <t>2.9</t>
  </si>
  <si>
    <t>18.4</t>
  </si>
  <si>
    <t>18.5</t>
  </si>
  <si>
    <t>18.6</t>
  </si>
  <si>
    <t>18.7</t>
  </si>
  <si>
    <t>18.8</t>
  </si>
  <si>
    <t>18.9</t>
  </si>
  <si>
    <t>18.10</t>
  </si>
  <si>
    <t>Trama de madeira composta por ripas, caibros e terças para telhados demais que 2 águas para telha cerâmica capa-canal, incluso transporte v
ertical. af_07/2019</t>
  </si>
  <si>
    <t>REFORMA DA ESCOLA LOGRADOURO</t>
  </si>
  <si>
    <t>M</t>
  </si>
  <si>
    <t>KG</t>
  </si>
  <si>
    <t>CONCRETO MAGRO PARA LASTRO, TRAÇO 1:4,5:4,5 (CIMENTO/ AREIA MÉDIA/ BRITA 1)  - PREPARO MECÂNICO COM BETONEIRA 400 L. AF_07/2016</t>
  </si>
  <si>
    <t>LICITADA</t>
  </si>
  <si>
    <t>ACRESCIDO/SUPRIMIDO</t>
  </si>
  <si>
    <t>VALOR TOTAL R$</t>
  </si>
  <si>
    <t>MURO DE ARRIMO</t>
  </si>
  <si>
    <t xml:space="preserve"> 74077/002 </t>
  </si>
  <si>
    <t xml:space="preserve"> 93358 </t>
  </si>
  <si>
    <t>ESCAVAÇÃO MANUAL DE VALA COM PROFUNDIDADE MENOR OU IGUAL A 1,30 M. AF_03/2016</t>
  </si>
  <si>
    <t xml:space="preserve"> 93382 </t>
  </si>
  <si>
    <t>REATERRO MANUAL DE VALAS COM COMPACTAÇÃO MECANIZADA. AF_04/2016</t>
  </si>
  <si>
    <t>INFRAESTRUTURA - MURO DE ARRIMO</t>
  </si>
  <si>
    <t xml:space="preserve"> 94962 </t>
  </si>
  <si>
    <t xml:space="preserve"> 92873 </t>
  </si>
  <si>
    <t>LANÇAMENTO COM USO DE BALDES, ADENSAMENTO E ACABAMENTO DE CONCRETO EM ESTRUTURAS. AF_12/2015</t>
  </si>
  <si>
    <t xml:space="preserve"> 95467 </t>
  </si>
  <si>
    <t>EMBASAMENTO C/PEDRA ARGAMASSADA UTILIZANDO ARG.CIM/AREIA 1:4</t>
  </si>
  <si>
    <t>FABRICAÇÃO, MONTAGEM E DESMONTAGEM, EM MADEIRA SERRADA, E=25 MM, 4 UTILIZAÇÕES. AF_06/2017</t>
  </si>
  <si>
    <t xml:space="preserve"> 74106/001 </t>
  </si>
  <si>
    <t>IMPERMEABILIZACAO DE ESTRUTURAS ENTERRADAS, COM TINTA ASFALTICA, DUAS DEMAOS.</t>
  </si>
  <si>
    <t xml:space="preserve"> 00000057 </t>
  </si>
  <si>
    <t>Próprio</t>
  </si>
  <si>
    <t>EXECUCAO DE DRENO COM TUBOS DE PVC CORRUGADO FLEXIVEL PERFURADO - DN 50</t>
  </si>
  <si>
    <t>SUPERESTRUTURA - PILARES E VIGAS</t>
  </si>
  <si>
    <t>PILARES</t>
  </si>
  <si>
    <t xml:space="preserve"> 96543 </t>
  </si>
  <si>
    <t>ARMAÇÃO DE PILAR UTILIZANDO AÇO CA-60 DE 5 MM - MONTAGEM. AF_06/2017</t>
  </si>
  <si>
    <t xml:space="preserve"> 96546 </t>
  </si>
  <si>
    <t>ARMAÇÃO DE PILAR UTILIZANDO AÇO CA-50 DE 10 MM - MONTAGEM. AF_06/2017</t>
  </si>
  <si>
    <t xml:space="preserve"> 94965 </t>
  </si>
  <si>
    <t>CONCRETO FCK = 25MPA, TRAÇO 1:2,3:2,7 (CIMENTO/ AREIA MÉDIA/ BRITA 1)  - PREPARO MECÂNICO COM BETONEIRA 400 L. AF_07/2016</t>
  </si>
  <si>
    <t>VIGAS BALDRAME E DE TOPO</t>
  </si>
  <si>
    <t>ARMAÇÃO DE BLOCO, VIGA UTILIZANDO AÇO CA-60 DE 5 MM - MONTAGEM. AF_06/2017</t>
  </si>
  <si>
    <t xml:space="preserve"> 96544 </t>
  </si>
  <si>
    <t>ARMAÇÃO DE BLOCO, VIGA  UTILIZANDO AÇO CA-50 DE 6,3 MM - MONTAGEM. AF_06/2017</t>
  </si>
  <si>
    <t xml:space="preserve"> 96545 </t>
  </si>
  <si>
    <t>ARMAÇÃO DE BLOCO, VIGA  UTILIZANDO AÇO CA-50 DE 8 MM - MONTAGEM. AF_06/2017</t>
  </si>
  <si>
    <t>ARMAÇÃO DE BLOCO, VIGA UTILIZANDO AÇO CA-50 DE 10 MM - MONTAGEM. AF_06/2017</t>
  </si>
  <si>
    <t xml:space="preserve"> 87495 </t>
  </si>
  <si>
    <t>ALVENARIA DE VEDAÇÃO DE BLOCOS CERÂMICOS FURADOS NA HORIZONTAL DE 9X19X19CM (ESPESSURA 9CM) DE PAREDES COM ÁREA LÍQUIDA MENOR QUE 6M² SEM VÃOS E ARGAMASSA DE ASSENTAMENTO COM PREPARO EM BETONEIRA. AF_06/2014</t>
  </si>
  <si>
    <t xml:space="preserve"> 87894 </t>
  </si>
  <si>
    <t>CHAPISCO APLICADO EM ALVENARIA (SEM PRESENÇA DE VÃOS) E ESTRUTURAS DE CONCRETO DE FACHADA, COM COLHER DE PEDREIRO.  ARGAMASSA TRAÇO 1:3 COM PREPARO EM BETONEIRA 400L. AF_06/2014</t>
  </si>
  <si>
    <t xml:space="preserve"> 87530 </t>
  </si>
  <si>
    <t>MASSA ÚNICA, PARA RECEBIMENTO DE PINTURA, EM ARGAMASSA TRAÇO 1:2:8, PREPARO MANUAL, APLICADA MANUALMENTE EM FACES INTERNAS DE PAREDES, ESPESSURA DE 20MM, COM EXECUÇÃO DE TALISCAS. AF_06/2014</t>
  </si>
  <si>
    <t xml:space="preserve"> 88485 </t>
  </si>
  <si>
    <t>APLICAÇÃO DE FUNDO SELADOR ACRÍLICO EM PAREDES, UMA DEMÃO. AF_06/2014</t>
  </si>
  <si>
    <t xml:space="preserve"> 88497 </t>
  </si>
  <si>
    <t>APLICAÇÃO E LIXAMENTO DE MASSA LÁTEX EM PAREDES, DUAS DEMÃOS. AF_06/2014</t>
  </si>
  <si>
    <t xml:space="preserve"> 88489 </t>
  </si>
  <si>
    <t>APLICAÇÃO MANUAL DE PINTURA COM TINTA LÁTEX ACRÍLICA EM PAREDES, DUAS DEMÃOS. AF_06/2014</t>
  </si>
  <si>
    <t>Lcacao convencional de obra, através de gabarito de tabuas corridas pontaletadas, com reaproveitamento de 10 vezes.</t>
  </si>
  <si>
    <t>Escavação manual de vala com profundidade menor ou igual a 1,30 m. af_03/2016</t>
  </si>
  <si>
    <t>Reaterro manual de valas com compactação mecanizada. af_04/2016</t>
  </si>
  <si>
    <t>Embasamento c/pedra argamassada utilizando arg.cim/areia 1:4</t>
  </si>
  <si>
    <t>Fabricação, montagem e desmontagem, em madeira serrada, e=25 mm, 4 utilizações. af_06/2017</t>
  </si>
  <si>
    <t>Impermeabilizacao de estruturas enterradas, com tinta asfaltica, duas demaos.</t>
  </si>
  <si>
    <t>Execucao de dreno com tubos de pvc corrugado flexivel perfurado - dn 50</t>
  </si>
  <si>
    <t>Armação de pilar utilizando aço ca-60 de 5 mm - montagem. af_06/2017</t>
  </si>
  <si>
    <t>Armação de pilar utilizando aço ca-50 de 10 mm - montagem. af_06/2017</t>
  </si>
  <si>
    <t>Concreto fck = 25mpa, traço 1:2,3:2,7 (cimento/ areia média/ brita 1)  - preparo mecânico com betoneira 400 l. af_07/2016</t>
  </si>
  <si>
    <t>Armação de bloco, viga utilizando aço ca-60 de 5 mm - montagem. af_06/2017</t>
  </si>
  <si>
    <t>Armação de bloco, viga  utilizando aço ca-50 de 6,3 mm - montagem. af_06/2017</t>
  </si>
  <si>
    <t>Armação de bloco, viga  utilizando aço ca-50 de 8 mm - montagem. af_06/2017</t>
  </si>
  <si>
    <t>Armação de bloco, viga utilizando aço ca-50 de 10 mm - montagem. af_06/2017</t>
  </si>
  <si>
    <t>Alvenaria de vedação de blocos cerâmicos furados na horizontal de 9x19x19cm (espessura 9cm) de paredes com área líquida menor que 6m² sem vãos e argamassa de assentamento com preparo em betoneira. af_06/2014</t>
  </si>
  <si>
    <t>Chapisco aplicado em alvenaria (sem presença de vãos) e estruturas de concreto de fachada, com colher de pedreiro.  argamassa traço 1:3 com preparo em betoneira 400l. af_06/2014</t>
  </si>
  <si>
    <t>Massa única, para recebimento de pintura, em argamassa traço 1:2:8, preparo manual, aplicada manualmente em faces internas de paredes, espessura de 20mm, com execução de taliscas. af_06/2014</t>
  </si>
  <si>
    <t>Aplicação de fundo selador acrílico em paredes, uma demão. af_06/2014</t>
  </si>
  <si>
    <t>Aplicação e lixamento de massa látex em paredes, duas demãos. af_06/2014</t>
  </si>
  <si>
    <t>Aplicação manual de pintura com tinta látex acrílica em paredes, duas demãos. af_06/2014</t>
  </si>
  <si>
    <t>21.1</t>
  </si>
  <si>
    <t>22.1</t>
  </si>
  <si>
    <t>22.2</t>
  </si>
  <si>
    <t>23.1</t>
  </si>
  <si>
    <t>23.2</t>
  </si>
  <si>
    <t>23.3</t>
  </si>
  <si>
    <t>23.4</t>
  </si>
  <si>
    <t>23.5</t>
  </si>
  <si>
    <t>23.6</t>
  </si>
  <si>
    <t>24.1</t>
  </si>
  <si>
    <t>24.2</t>
  </si>
  <si>
    <t>24.3</t>
  </si>
  <si>
    <t>24.4</t>
  </si>
  <si>
    <t>24.5</t>
  </si>
  <si>
    <t>24.6</t>
  </si>
  <si>
    <t>24.7</t>
  </si>
  <si>
    <t>24.8</t>
  </si>
  <si>
    <t>24.9</t>
  </si>
  <si>
    <t>24.10</t>
  </si>
  <si>
    <t>24.11</t>
  </si>
  <si>
    <t>24.12</t>
  </si>
  <si>
    <t>Subtotal 21.0</t>
  </si>
  <si>
    <t>Subtotal 22.0</t>
  </si>
  <si>
    <t>Subtotal 23.0</t>
  </si>
  <si>
    <t>Subtotal 24.0</t>
  </si>
  <si>
    <t>Subtotal 25.0</t>
  </si>
  <si>
    <t>MUNICÍPIO: COREMAS - PB</t>
  </si>
  <si>
    <t>Item</t>
  </si>
  <si>
    <t>Descrição</t>
  </si>
  <si>
    <t>Und</t>
  </si>
  <si>
    <t>Quant.</t>
  </si>
  <si>
    <t>Memória de Cálculo</t>
  </si>
  <si>
    <t>LOCACAO CONVENCIONAL DE OBRA, UTILIZANDO GABARITO DE TÁBUAS CORRIDAS PONTALETADAS A CADA 2,00M -  2 UTILIZAÇÕES. AF_10/2018</t>
  </si>
  <si>
    <t>[(13,50 + 15,35 + 4,86) x 0,75] + [(6,34 + 5,26) x 1,00] + [(6,57 + 2,13) x 1,25]</t>
  </si>
  <si>
    <t>[(13,50 + 15,35 + 4,86) x 1,75] x 0,33 + [(6,34+5,26) x 2,00] x 0,25 + [(6,57 + 2,13) x 2,25] x 0,57</t>
  </si>
  <si>
    <t>{[(13,50 + 15,35 + 4,86) x 1,75] x 0,33 + [(6,34+5,26) x 2,00] x 0,25 + [(6,57 + 2,13) x 2,25] x 0,57} - (13,50 + 15,35 + 4,86) x 0,75 x 0,33 + (5,26 x 1,00 x 0,25) + (6,57 + 2,13) x 1,25 x 0,57</t>
  </si>
  <si>
    <t>{[(13,50 + 15,35 + 4,86) x 0,85] +[(6,34+5,26) x 1,10] + [(6,57 + 2,13) x 1,35]} x 0,05</t>
  </si>
  <si>
    <t>{[(13,50 + 15,35 + 4,86) x 0,85] + [(6,34+5,26) x 1,10] + [(6,57 + 2,13) x 1,35]} x 0,05</t>
  </si>
  <si>
    <t>(0,68 x 13,50) + (0,68 x 15,35) + (1,18 x 6,34) + (1,93 x 6,57) + (1,93 x 2,13) + (1,18 x 5,26) + (0,67 x 4,86)</t>
  </si>
  <si>
    <t>(2,40 x 13,50) + (2,40 x 15,35) + (3,40 x 6,34) + (4,60 x 6,57) + (4,60 x 2,13) + (3,40 x 5,26) + (2,40 x 4,86)</t>
  </si>
  <si>
    <t>EXECUCAO DE DRENO COM TUBOS DE PVC CORRUGADO FLÉXIVEL DE 50 MM</t>
  </si>
  <si>
    <t>(0,50 x 6) + (0,50 x 8) + [(0,50 x 3) + (0,75 x 2)] + [(0,50 x 3) + (0,75 x 3)] + [(0,50 x 1) + (0,75 x 1)] + [(0,50 x 3) + (0,75 x 1)] + (0,50 x 2)</t>
  </si>
  <si>
    <t>(0,19 + 0,19 + 0,19 + 0,19) x 1,83 x 18</t>
  </si>
  <si>
    <t>(0,19 x 0,19 x 1,83) x 18</t>
  </si>
  <si>
    <t>[(0,15 + 0,15) x (13,50 + 29,01 + 13,50)] + [(0,12 + 0,15 + 0,12) x (13,50 + 29,01 + 13,50)]</t>
  </si>
  <si>
    <t>[(0,15 x 0,19) x (13,50 + 29,01 + 13,50)] + [(0,12 x 0,15) x (13,50 + 29,01 + 13,50)]</t>
  </si>
  <si>
    <t>1,83 x (13,50 + 29,01 + 13,50) - (0,19 x 1,83) x 18</t>
  </si>
  <si>
    <t>CHAPISCO APLICADO EM ALVENARIAS E ESTRUTURAS DE CONCRETO INTERNAS, COM COLHER DE PEDREIRO.  ARGAMASSA TRAÇO 1:3 COM PREPARO MANUAL. AF_06/2014</t>
  </si>
  <si>
    <t>[1,83 x (13,50 + 29,01 + 13,50)] x 2 + (13,50 + 29,01 + 13,50) x 0,15</t>
  </si>
  <si>
    <t>JANELA DE FERRO</t>
  </si>
  <si>
    <t>(1,40 x 1,00) x 2 + (1,40 x 1,00) x 1</t>
  </si>
  <si>
    <t>Cronograma Físico e Financeiro</t>
  </si>
  <si>
    <t>Total Por Etapa</t>
  </si>
  <si>
    <t>30 DIAS</t>
  </si>
  <si>
    <t>60 DIAS</t>
  </si>
  <si>
    <t/>
  </si>
  <si>
    <t>Porcentagem</t>
  </si>
  <si>
    <t>Custo</t>
  </si>
  <si>
    <t>Porcentagem Acumulado</t>
  </si>
  <si>
    <t xml:space="preserve"> 100,0%</t>
  </si>
  <si>
    <t>Custo Acumulado</t>
  </si>
  <si>
    <t>VALOR</t>
  </si>
  <si>
    <t>DESCONTO</t>
  </si>
  <si>
    <t>ORÇADO</t>
  </si>
  <si>
    <t>LICITAÇÃO</t>
  </si>
  <si>
    <t>Planilha de Preços Com Desconto</t>
  </si>
  <si>
    <t>Código</t>
  </si>
  <si>
    <t>Banco</t>
  </si>
  <si>
    <t>Valor Unit SINAPI 10/2019</t>
  </si>
  <si>
    <t>Desconto</t>
  </si>
  <si>
    <t>Valor Unit sem BDI</t>
  </si>
  <si>
    <t xml:space="preserve"> 96534 </t>
  </si>
  <si>
    <t>C1518</t>
  </si>
  <si>
    <t>SEINFRA</t>
  </si>
  <si>
    <t>BDI = 19,21% Não Desonerado117,54% hora 73,43%mês</t>
  </si>
  <si>
    <t>OBRA: REFORMA DA ESCOLA DO LOGRADOURO - ADITIVO</t>
  </si>
  <si>
    <t>C3659</t>
  </si>
  <si>
    <t>PORTÃO DE METALON E BARRA CHATA DE FERRO C/FECHADURA E DOBRADIÇA, INCLUS. PINTURA ESMALTE SINTÉTICO</t>
  </si>
  <si>
    <t>Portão de metalon e barra chata de ferro c/fechadura e dobradiça, inclus. pintura esmalte sintético</t>
  </si>
  <si>
    <t>12.8</t>
  </si>
  <si>
    <t>(2,40 x 2,40) + (3,00 x 2,40)</t>
  </si>
  <si>
    <t>2.10</t>
  </si>
  <si>
    <t>Execução de passeio em piso intertravado, com bloco 16 faces (na coloração natural) de (22 x 11) cm, espessura de 6cm. AF_12/2015.- PASSEIO EXTERNO</t>
  </si>
  <si>
    <t>REVESTIMENTO - PISO E PAREDE</t>
  </si>
  <si>
    <t>REVESTIMENTO CERÂMICO PARA PAREDES INTERNAS COM PLACAS TIPO ESMALTADAEXTRA DE DIMENSÕES 33X45 CM APLICADAS EM AMBIENTES DE ÁREA MAIOR QUE 5 M² NA ALTURA INTEIRA DAS PAREDES. AF_06/2014 - COZINHA/SERVIÇO</t>
  </si>
  <si>
    <t>12.9</t>
  </si>
  <si>
    <t>Janela de ferro</t>
  </si>
  <si>
    <t>25.1</t>
  </si>
  <si>
    <t>25.2</t>
  </si>
  <si>
    <t>25.3</t>
  </si>
  <si>
    <t>25.4</t>
  </si>
  <si>
    <t>25.5</t>
  </si>
  <si>
    <t>25.6</t>
  </si>
  <si>
    <t>MURO LATERAL DIREITA</t>
  </si>
  <si>
    <t>26.1</t>
  </si>
  <si>
    <t>Subtotal 26.0</t>
  </si>
  <si>
    <t>27.1</t>
  </si>
  <si>
    <t>27.2</t>
  </si>
  <si>
    <t>Subtotal 27.0</t>
  </si>
  <si>
    <t>28.1</t>
  </si>
  <si>
    <t>28.2</t>
  </si>
  <si>
    <t>28.3</t>
  </si>
  <si>
    <t>28.4</t>
  </si>
  <si>
    <t>28.5</t>
  </si>
  <si>
    <t>28.6</t>
  </si>
  <si>
    <t>Subtotal 28.0</t>
  </si>
  <si>
    <t>29.1</t>
  </si>
  <si>
    <t>29.2</t>
  </si>
  <si>
    <t>29.3</t>
  </si>
  <si>
    <t>29.4</t>
  </si>
  <si>
    <t>29.5</t>
  </si>
  <si>
    <t>29.6</t>
  </si>
  <si>
    <t>29.7</t>
  </si>
  <si>
    <t>29.8</t>
  </si>
  <si>
    <t>29.9</t>
  </si>
  <si>
    <t>29.10</t>
  </si>
  <si>
    <t>29.11</t>
  </si>
  <si>
    <t>29.12</t>
  </si>
  <si>
    <t>Subtotal 29.0</t>
  </si>
  <si>
    <t>30.1</t>
  </si>
  <si>
    <t>30.2</t>
  </si>
  <si>
    <t>30.3</t>
  </si>
  <si>
    <t>30.4</t>
  </si>
  <si>
    <t>30.5</t>
  </si>
  <si>
    <t>30.6</t>
  </si>
  <si>
    <t>Subtotal 30.0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</si>
  <si>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</si>
  <si>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</si>
  <si>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</si>
  <si>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</si>
  <si>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</si>
  <si>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</si>
  <si>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</si>
  <si>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</si>
  <si>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</si>
  <si>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Espalhameto manual de terra vegetal para plantio de grama tipo esmeralda.</t>
  </si>
  <si>
    <t>Plantio de grama tipo esmeralda, inclusive preparo do solo.</t>
  </si>
  <si>
    <t>ESPALHAMETO MANUAL DE TERRA VEGETAL PARA PLANTIO DE GRAMA TIPO ESMERALDA.</t>
  </si>
  <si>
    <t>PLANTIO DE GRAMA TIPO ESMERALDA, INCLUSIVE PREPARO DO SOLO.</t>
  </si>
  <si>
    <t>19.2</t>
  </si>
  <si>
    <t>19.3</t>
  </si>
  <si>
    <t>JADINAGEM</t>
  </si>
  <si>
    <t>Área x Espessura = 112,21 x 0,10</t>
  </si>
  <si>
    <t>COMPOSIÇÕES DE CUSTO NÃO DESONERADAS</t>
  </si>
  <si>
    <t>Cód. SINAPI</t>
  </si>
  <si>
    <t>Descrição do Insumo</t>
  </si>
  <si>
    <t>Coef.</t>
  </si>
  <si>
    <t>Valor Unit.</t>
  </si>
  <si>
    <t>Valor Total</t>
  </si>
  <si>
    <t>h</t>
  </si>
  <si>
    <t>88316 Composicao</t>
  </si>
  <si>
    <t>Servente com encargos complementares</t>
  </si>
  <si>
    <t>Valor Total Unitário</t>
  </si>
  <si>
    <t>und</t>
  </si>
  <si>
    <t xml:space="preserve">Unid. </t>
  </si>
  <si>
    <t>04358/ORSE</t>
  </si>
  <si>
    <t>Espalhamento manual de terra vegetal para o plantio de grama tipo esmeralda.</t>
  </si>
  <si>
    <t>7253 Insumos</t>
  </si>
  <si>
    <t>Terra vegetal (granel)</t>
  </si>
  <si>
    <t>MUNICÍPIO: COREMAS</t>
  </si>
  <si>
    <t>(0,19 + 0,19 + 0,19 + 0,19) x 1,83 x 7</t>
  </si>
  <si>
    <t>(0,19 x 0,19 x 1,83) x 7</t>
  </si>
  <si>
    <t>[(0,15 + 0,15) x 22,72] + [(0,12 + 0,15 + 0,12) x 22,72]</t>
  </si>
  <si>
    <t>[(0,15 x 0,19) x 22,72] + [(0,12 x 0,15) x 22,72]</t>
  </si>
  <si>
    <t>1,83 x 22,72 - (0,19 x 1,83) x 7</t>
  </si>
  <si>
    <t>[1,83 x 22,72] x 2 +( 22,72 x 0,15)</t>
  </si>
  <si>
    <t>Fabricação e instalação de tesoura inteira em madeira não aparelhada,vão de 10 m, para telha cerâmica ou de concreto, incluso içamento. af_07/2019</t>
  </si>
  <si>
    <t>Área obtida no AutoCAD = Pátio 1 + Pátio 2 = 44,58 + 67,33</t>
  </si>
  <si>
    <t>(0,40 X 0,40 X 0,40) X 7</t>
  </si>
  <si>
    <t>22,72 X 0,50 X 0,05</t>
  </si>
  <si>
    <t>(22,72 X 0,50 X 0,05) + ((0,40 X 0,40 X 0,40) X 7)</t>
  </si>
  <si>
    <t>(22,72 X 0,40 X 0,40) - (0,40 X 0,40 X 0,40) X 7</t>
  </si>
  <si>
    <t>(22,72 X 0,40) X 2 + (0,40 X 0,40) X 2</t>
  </si>
  <si>
    <t>(0,40 + 0,40 + 0,40) X 22,72 + (0,40 X 0,40) + (0,15 + 0,19 + 0,15) X 22,72</t>
  </si>
  <si>
    <t>0,50 X 0,45 X 23,22</t>
  </si>
  <si>
    <t>(0,50 X 0,45 X 23,22) - (0,40 X 0,40 X 22,72)</t>
  </si>
  <si>
    <t>0,50 X 23,22</t>
  </si>
  <si>
    <t>EXECUÇÃO DE PASSEIO EM PISO INTERTRAVADO, COM BLOCO 16 FACES (NA COLORAÇÃO NATURAL) DE (22 X 11) CM, ESPESSURA DE 6CM. AF_12/2015. - PASSEIO EXTERNO e ACESSO LATERAL</t>
  </si>
  <si>
    <t>MURO LATERAL DIREITO</t>
  </si>
  <si>
    <t>(24,61 x 1,20) + (25,22 X 3,00)</t>
  </si>
  <si>
    <t>74244/001</t>
  </si>
  <si>
    <t>18.11</t>
  </si>
  <si>
    <t>ALAMBRADO PARA QUADRA POLIESPORTIVA, ESTRUTURADO POR TUBOS DE ACO GALVANIZADO, COM COSTURA, DIN 2440, DIAMETRO 2", COM TELA DE ARAME GALVANIZADO, FIO 14 BWG E MALHA QUADRADA 5X5CM</t>
  </si>
  <si>
    <t>Alambrado para quadra poliesportiva, estruturado por tubos de aco galvanizado, com costura, din 2440, diametro 2", com tela de arame galvanizado, fio 14 bwg e malha quadrada 5x5cm</t>
  </si>
  <si>
    <t>18.12</t>
  </si>
  <si>
    <t>PORTÃO METÁLICO 1 FOLHAS DE ABRIR COM ESTRUTURA EM TUBOS DE AÇO E TELA GALVANIZADA</t>
  </si>
  <si>
    <t>QUADRA</t>
  </si>
  <si>
    <t>FORNECIMENTO/INSTALACAO LONA PLASTICA PRETA, PARA IMPERMEABILIZACAO, ESPESSURA 150 MICRAS.</t>
  </si>
  <si>
    <t>18.13</t>
  </si>
  <si>
    <t>Fornecimento/instalacao lona plastica preta, para impermeabilizacao, espessura 150 micras.</t>
  </si>
  <si>
    <t>TOTAL 1° REPROGRAMAÇÃO</t>
  </si>
  <si>
    <t>18.14</t>
  </si>
  <si>
    <t>I 25398</t>
  </si>
  <si>
    <t>PINTURA ACRILICA DE FAIXAS DE DEMARCACAO EM QUADRA , 5 CM DE LARGURA</t>
  </si>
  <si>
    <t>Pintura acrilica de faixas de demarcacao em quadra , 5 cm de largura</t>
  </si>
  <si>
    <t>CONJUNTO PARA FUTSAL COM TRAVES OFICIAIS DE 3,00 X 2,00 M EM TUBO DE ACO GALVANIZADO 3" COM REQUADRO EM TUBO DE 1", PINTURA EM PRIMER COM TINTA ESMALTE SINTETICO E REDES DE POLIETILENO FIO 4 MM</t>
  </si>
  <si>
    <t>conjunto para futsal com traves oficiais de 3,00 x 2,00 m em tubo de aco galvanizado 3" com requadro em tubo de 1", pintura em primer com tinta esmalte sintetico e redes de polietileno fio 4 mm</t>
  </si>
  <si>
    <t>28+30</t>
  </si>
  <si>
    <t>796,09 X 0,05</t>
  </si>
  <si>
    <t>15.55</t>
  </si>
  <si>
    <t>28.7</t>
  </si>
  <si>
    <t>Armação de pilar utilizando aço ca-50 de 10 mm - montagem. af_06/2017 - BLOCOS</t>
  </si>
  <si>
    <t>188,20 + (18,80 + 9,83) x 3,50 x 2</t>
  </si>
  <si>
    <t>REFORMA</t>
  </si>
  <si>
    <t>AMPLIAÇÃO</t>
  </si>
  <si>
    <t xml:space="preserve"> 100,00%
65.901,48</t>
  </si>
  <si>
    <t xml:space="preserve"> 100,00%
17.763,18</t>
  </si>
  <si>
    <t>40,00%
26.360,59</t>
  </si>
  <si>
    <t xml:space="preserve"> 60,00%
39.540,89</t>
  </si>
  <si>
    <t>40,00%
7.105,27</t>
  </si>
  <si>
    <t xml:space="preserve"> 60,00%
10.657,91</t>
  </si>
  <si>
    <t>OBRA: REFORMA DA ESCOLA LOGRADOURO - ADITIVO</t>
  </si>
  <si>
    <t>OBRA:  REFORMA DA ESCOLA LOGRADOURO - ADITIVO</t>
  </si>
  <si>
    <t>TOTAL LICITADO</t>
  </si>
  <si>
    <t>RESUMO</t>
  </si>
  <si>
    <t>TOTAL DO 1º TERMO ADITIVO DE VALOR</t>
  </si>
  <si>
    <t>*</t>
  </si>
  <si>
    <t xml:space="preserve"> 100,00%
108.102,23</t>
  </si>
  <si>
    <t xml:space="preserve"> 100,00%
172.936,37</t>
  </si>
  <si>
    <t>CRONOGRAMA FÍSICOFINANCEIRO - CFF</t>
  </si>
  <si>
    <t>TOTAL</t>
  </si>
  <si>
    <t>MÊS 1</t>
  </si>
  <si>
    <t>MÊS 2</t>
  </si>
  <si>
    <t>MÊS 3</t>
  </si>
  <si>
    <t>REFORMA DA ESCOLA DO LOGRADOURO</t>
  </si>
  <si>
    <t>%</t>
  </si>
  <si>
    <t>DIAS</t>
  </si>
  <si>
    <t>R$</t>
  </si>
  <si>
    <t>AMPLIAÇÃO DA ESCOLA DO LOGRADOURO</t>
  </si>
  <si>
    <t>TOTAL ACUMULADO</t>
  </si>
  <si>
    <t>PERCENTAGEM SIMPLES</t>
  </si>
  <si>
    <t>PERCENTAGEM ACAUMULADA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</si>
</sst>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0&quot; &quot;;&quot; (&quot;#,##0.00&quot;)&quot;;&quot; -&quot;#&quot; &quot;;@&quot; &quot;"/>
    <numFmt numFmtId="166" formatCode="#,##0.00&quot; &quot;;&quot;-&quot;#,##0.00&quot; &quot;;&quot; -&quot;#&quot; &quot;;@&quot; &quot;"/>
    <numFmt numFmtId="167" formatCode="[$R$-416]&quot; &quot;#,##0.00;[Red]&quot;-&quot;[$R$-416]&quot; &quot;#,##0.00"/>
    <numFmt numFmtId="168" formatCode="_-* #,##0.00\ _€_-;\-* #,##0.00\ _€_-;_-* &quot;-&quot;??\ _€_-;_-@_-"/>
    <numFmt numFmtId="169" formatCode="#\,##0.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\$#."/>
    <numFmt numFmtId="173" formatCode="#.00"/>
    <numFmt numFmtId="174" formatCode="0.00_)"/>
    <numFmt numFmtId="175" formatCode="%#.00"/>
    <numFmt numFmtId="176" formatCode="#\,##0.00"/>
    <numFmt numFmtId="177" formatCode="#,"/>
    <numFmt numFmtId="178" formatCode="_(* #,##0_);_(* \(#,##0\);_(* &quot;-&quot;_);_(@_)"/>
  </numFmts>
  <fonts count="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1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sz val="11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0"/>
      <color indexed="8"/>
      <name val="MS Sans Serif"/>
      <family val="2"/>
    </font>
    <font>
      <sz val="1"/>
      <color indexed="8"/>
      <name val="Courier"/>
      <family val="3"/>
    </font>
    <font>
      <u/>
      <sz val="6"/>
      <color indexed="36"/>
      <name val="MS Sans Serif"/>
      <family val="2"/>
    </font>
    <font>
      <u/>
      <sz val="11"/>
      <color indexed="12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b/>
      <i/>
      <sz val="16"/>
      <name val="Helv"/>
    </font>
    <font>
      <sz val="10"/>
      <name val="Times New Roman"/>
      <family val="1"/>
    </font>
    <font>
      <sz val="10"/>
      <name val="MS Sans Serif"/>
      <family val="2"/>
    </font>
    <font>
      <sz val="1"/>
      <color indexed="18"/>
      <name val="Courier"/>
      <family val="3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1"/>
      <name val="Arial"/>
      <family val="1"/>
    </font>
    <font>
      <b/>
      <sz val="11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B7BBBD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55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CCCCCC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CCCCCC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rgb="FFCCCCCC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CCCCC"/>
      </left>
      <right style="thin">
        <color theme="0" tint="-0.24994659260841701"/>
      </right>
      <top style="thin">
        <color theme="0" tint="-0.24994659260841701"/>
      </top>
      <bottom style="thin">
        <color rgb="FFCCCCCC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19">
    <xf numFmtId="0" fontId="0" fillId="0" borderId="0"/>
    <xf numFmtId="0" fontId="19" fillId="0" borderId="0" applyNumberFormat="0" applyBorder="0" applyProtection="0"/>
    <xf numFmtId="0" fontId="19" fillId="0" borderId="0" applyNumberFormat="0" applyBorder="0" applyProtection="0"/>
    <xf numFmtId="165" fontId="19" fillId="0" borderId="0" applyBorder="0" applyProtection="0"/>
    <xf numFmtId="165" fontId="19" fillId="0" borderId="0" applyBorder="0" applyProtection="0"/>
    <xf numFmtId="0" fontId="12" fillId="0" borderId="0"/>
    <xf numFmtId="0" fontId="19" fillId="0" borderId="0" applyNumberFormat="0" applyBorder="0" applyProtection="0"/>
    <xf numFmtId="0" fontId="20" fillId="0" borderId="0" applyNumberFormat="0" applyBorder="0" applyProtection="0"/>
    <xf numFmtId="166" fontId="20" fillId="0" borderId="0" applyBorder="0" applyProtection="0"/>
    <xf numFmtId="0" fontId="21" fillId="0" borderId="0" applyNumberFormat="0" applyBorder="0" applyProtection="0">
      <alignment horizontal="center"/>
    </xf>
    <xf numFmtId="0" fontId="21" fillId="0" borderId="0" applyNumberFormat="0" applyBorder="0" applyProtection="0">
      <alignment horizontal="center" textRotation="90"/>
    </xf>
    <xf numFmtId="0" fontId="9" fillId="0" borderId="0"/>
    <xf numFmtId="0" fontId="22" fillId="0" borderId="0"/>
    <xf numFmtId="0" fontId="9" fillId="0" borderId="0"/>
    <xf numFmtId="0" fontId="18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3" fillId="0" borderId="0" applyNumberFormat="0" applyBorder="0" applyProtection="0"/>
    <xf numFmtId="167" fontId="23" fillId="0" borderId="0" applyBorder="0" applyProtection="0"/>
    <xf numFmtId="164" fontId="9" fillId="0" borderId="0" applyFont="0" applyFill="0" applyBorder="0" applyAlignment="0" applyProtection="0"/>
    <xf numFmtId="165" fontId="19" fillId="0" borderId="0" applyBorder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168" fontId="9" fillId="0" borderId="0" applyFont="0" applyFill="0" applyBorder="0" applyAlignment="0" applyProtection="0"/>
    <xf numFmtId="169" fontId="25" fillId="0" borderId="0">
      <protection locked="0"/>
    </xf>
    <xf numFmtId="0" fontId="10" fillId="4" borderId="5" applyFill="0" applyBorder="0" applyAlignment="0" applyProtection="0">
      <alignment vertical="center"/>
      <protection locked="0"/>
    </xf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12" fillId="0" borderId="0"/>
    <xf numFmtId="173" fontId="25" fillId="0" borderId="0">
      <protection locked="0"/>
    </xf>
    <xf numFmtId="173" fontId="25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38" fontId="16" fillId="2" borderId="0" applyNumberFormat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10" fontId="16" fillId="5" borderId="1" applyNumberFormat="0" applyBorder="0" applyAlignment="0" applyProtection="0"/>
    <xf numFmtId="0" fontId="9" fillId="0" borderId="0">
      <alignment horizontal="centerContinuous" vertical="justify"/>
    </xf>
    <xf numFmtId="0" fontId="29" fillId="0" borderId="0" applyAlignment="0">
      <alignment horizontal="center"/>
    </xf>
    <xf numFmtId="44" fontId="13" fillId="0" borderId="0" applyFont="0" applyFill="0" applyBorder="0" applyAlignment="0" applyProtection="0"/>
    <xf numFmtId="174" fontId="30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31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11" fillId="0" borderId="0">
      <alignment horizontal="left" vertical="center" indent="12"/>
    </xf>
    <xf numFmtId="0" fontId="16" fillId="0" borderId="5" applyBorder="0">
      <alignment horizontal="left" vertical="center" wrapText="1" indent="2"/>
      <protection locked="0"/>
    </xf>
    <xf numFmtId="0" fontId="16" fillId="0" borderId="5" applyBorder="0">
      <alignment horizontal="left" vertical="center" wrapText="1" indent="3"/>
      <protection locked="0"/>
    </xf>
    <xf numFmtId="10" fontId="9" fillId="0" borderId="0" applyFont="0" applyFill="0" applyBorder="0" applyAlignment="0" applyProtection="0"/>
    <xf numFmtId="175" fontId="25" fillId="0" borderId="0">
      <protection locked="0"/>
    </xf>
    <xf numFmtId="175" fontId="25" fillId="0" borderId="0">
      <protection locked="0"/>
    </xf>
    <xf numFmtId="176" fontId="25" fillId="0" borderId="0">
      <protection locked="0"/>
    </xf>
    <xf numFmtId="9" fontId="2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8" fontId="32" fillId="0" borderId="0" applyFont="0" applyFill="0" applyBorder="0" applyAlignment="0" applyProtection="0"/>
    <xf numFmtId="177" fontId="33" fillId="0" borderId="0">
      <protection locked="0"/>
    </xf>
    <xf numFmtId="16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2" fillId="0" borderId="0"/>
    <xf numFmtId="0" fontId="34" fillId="0" borderId="0">
      <protection locked="0"/>
    </xf>
    <xf numFmtId="0" fontId="34" fillId="0" borderId="0">
      <protection locked="0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" fillId="0" borderId="0"/>
    <xf numFmtId="0" fontId="8" fillId="0" borderId="0"/>
    <xf numFmtId="0" fontId="35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>
      <alignment horizontal="centerContinuous" vertical="justify"/>
    </xf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9" fontId="28" fillId="0" borderId="0"/>
    <xf numFmtId="44" fontId="8" fillId="0" borderId="0" applyFont="0" applyFill="0" applyBorder="0" applyAlignment="0" applyProtection="0"/>
  </cellStyleXfs>
  <cellXfs count="457">
    <xf numFmtId="0" fontId="0" fillId="0" borderId="0" xfId="0"/>
    <xf numFmtId="0" fontId="10" fillId="2" borderId="1" xfId="11" applyFont="1" applyFill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11" applyFont="1" applyAlignment="1">
      <alignment vertical="center" wrapText="1"/>
    </xf>
    <xf numFmtId="49" fontId="10" fillId="3" borderId="18" xfId="11" applyNumberFormat="1" applyFont="1" applyFill="1" applyBorder="1" applyAlignment="1">
      <alignment horizontal="center" vertical="center"/>
    </xf>
    <xf numFmtId="164" fontId="10" fillId="0" borderId="0" xfId="25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174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8" fillId="0" borderId="1" xfId="25" applyFont="1" applyBorder="1" applyAlignment="1">
      <alignment horizontal="right" vertical="center"/>
    </xf>
    <xf numFmtId="164" fontId="8" fillId="0" borderId="0" xfId="25" applyFont="1" applyAlignment="1">
      <alignment horizontal="right" vertical="center"/>
    </xf>
    <xf numFmtId="0" fontId="8" fillId="0" borderId="0" xfId="1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4" fontId="8" fillId="0" borderId="0" xfId="25" applyFont="1" applyBorder="1" applyAlignment="1">
      <alignment horizontal="right" vertical="center"/>
    </xf>
    <xf numFmtId="164" fontId="8" fillId="0" borderId="0" xfId="30" applyFont="1" applyBorder="1" applyAlignment="1">
      <alignment horizontal="right" vertical="center"/>
    </xf>
    <xf numFmtId="49" fontId="8" fillId="0" borderId="1" xfId="174" applyNumberForma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164" fontId="8" fillId="0" borderId="0" xfId="30" applyFont="1" applyAlignment="1">
      <alignment horizontal="right" vertical="center"/>
    </xf>
    <xf numFmtId="164" fontId="8" fillId="0" borderId="1" xfId="25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4" fillId="0" borderId="0" xfId="11" applyFont="1" applyAlignment="1">
      <alignment vertical="center" wrapText="1"/>
    </xf>
    <xf numFmtId="49" fontId="10" fillId="3" borderId="18" xfId="11" applyNumberFormat="1" applyFont="1" applyFill="1" applyBorder="1" applyAlignment="1">
      <alignment horizontal="center" vertical="center" wrapText="1"/>
    </xf>
    <xf numFmtId="0" fontId="10" fillId="2" borderId="13" xfId="11" applyFont="1" applyFill="1" applyBorder="1" applyAlignment="1">
      <alignment horizontal="center" vertical="center"/>
    </xf>
    <xf numFmtId="164" fontId="8" fillId="0" borderId="14" xfId="25" applyFont="1" applyBorder="1" applyAlignment="1">
      <alignment horizontal="right" vertical="center"/>
    </xf>
    <xf numFmtId="0" fontId="8" fillId="0" borderId="13" xfId="174" applyBorder="1" applyAlignment="1">
      <alignment horizontal="center" vertical="center" wrapText="1"/>
    </xf>
    <xf numFmtId="0" fontId="10" fillId="2" borderId="26" xfId="11" applyFont="1" applyFill="1" applyBorder="1" applyAlignment="1">
      <alignment horizontal="center" vertical="center"/>
    </xf>
    <xf numFmtId="0" fontId="10" fillId="2" borderId="3" xfId="11" applyFont="1" applyFill="1" applyBorder="1" applyAlignment="1">
      <alignment vertical="center"/>
    </xf>
    <xf numFmtId="164" fontId="10" fillId="2" borderId="3" xfId="25" applyFont="1" applyFill="1" applyBorder="1" applyAlignment="1">
      <alignment horizontal="right" vertical="center"/>
    </xf>
    <xf numFmtId="164" fontId="10" fillId="2" borderId="27" xfId="25" applyFont="1" applyFill="1" applyBorder="1" applyAlignment="1">
      <alignment vertical="center"/>
    </xf>
    <xf numFmtId="0" fontId="10" fillId="2" borderId="7" xfId="11" applyFont="1" applyFill="1" applyBorder="1" applyAlignment="1">
      <alignment horizontal="center" vertical="center"/>
    </xf>
    <xf numFmtId="0" fontId="10" fillId="2" borderId="18" xfId="174" applyFont="1" applyFill="1" applyBorder="1" applyAlignment="1">
      <alignment vertical="center"/>
    </xf>
    <xf numFmtId="0" fontId="10" fillId="2" borderId="18" xfId="11" applyFont="1" applyFill="1" applyBorder="1" applyAlignment="1">
      <alignment vertical="center"/>
    </xf>
    <xf numFmtId="164" fontId="10" fillId="2" borderId="18" xfId="25" applyFont="1" applyFill="1" applyBorder="1" applyAlignment="1">
      <alignment horizontal="right" vertical="center"/>
    </xf>
    <xf numFmtId="164" fontId="10" fillId="2" borderId="19" xfId="25" applyFont="1" applyFill="1" applyBorder="1" applyAlignment="1">
      <alignment vertical="center"/>
    </xf>
    <xf numFmtId="164" fontId="10" fillId="0" borderId="2" xfId="25" applyFont="1" applyFill="1" applyBorder="1" applyAlignment="1">
      <alignment horizontal="right" vertical="center" wrapText="1"/>
    </xf>
    <xf numFmtId="164" fontId="10" fillId="0" borderId="28" xfId="25" applyFont="1" applyFill="1" applyBorder="1" applyAlignment="1">
      <alignment vertical="center" wrapText="1"/>
    </xf>
    <xf numFmtId="164" fontId="10" fillId="2" borderId="20" xfId="25" applyFont="1" applyFill="1" applyBorder="1" applyAlignment="1">
      <alignment horizontal="right" vertical="center"/>
    </xf>
    <xf numFmtId="0" fontId="39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0" fillId="0" borderId="16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164" fontId="8" fillId="0" borderId="0" xfId="25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0" fontId="10" fillId="2" borderId="18" xfId="11" applyFont="1" applyFill="1" applyBorder="1" applyAlignment="1">
      <alignment horizontal="center" vertical="center"/>
    </xf>
    <xf numFmtId="0" fontId="10" fillId="2" borderId="3" xfId="11" applyFont="1" applyFill="1" applyBorder="1" applyAlignment="1">
      <alignment horizontal="center" vertical="center"/>
    </xf>
    <xf numFmtId="0" fontId="10" fillId="2" borderId="1" xfId="11" applyFont="1" applyFill="1" applyBorder="1" applyAlignment="1">
      <alignment horizontal="center" vertical="center"/>
    </xf>
    <xf numFmtId="49" fontId="38" fillId="0" borderId="1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64" fontId="8" fillId="0" borderId="0" xfId="25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4" fontId="8" fillId="0" borderId="1" xfId="25" applyFont="1" applyFill="1" applyBorder="1" applyAlignment="1">
      <alignment horizontal="center"/>
    </xf>
    <xf numFmtId="0" fontId="8" fillId="0" borderId="1" xfId="0" applyFont="1" applyBorder="1" applyAlignment="1">
      <alignment horizontal="justify" vertical="top"/>
    </xf>
    <xf numFmtId="0" fontId="10" fillId="0" borderId="1" xfId="0" applyFont="1" applyBorder="1" applyAlignment="1">
      <alignment horizontal="justify" vertical="top"/>
    </xf>
    <xf numFmtId="0" fontId="8" fillId="0" borderId="1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43" fontId="8" fillId="0" borderId="0" xfId="0" applyNumberFormat="1" applyFont="1" applyAlignment="1">
      <alignment vertical="center"/>
    </xf>
    <xf numFmtId="164" fontId="8" fillId="0" borderId="32" xfId="25" applyFont="1" applyBorder="1" applyAlignment="1">
      <alignment vertical="center"/>
    </xf>
    <xf numFmtId="164" fontId="8" fillId="0" borderId="32" xfId="30" applyFont="1" applyBorder="1" applyAlignment="1">
      <alignment horizontal="right" vertical="center"/>
    </xf>
    <xf numFmtId="0" fontId="8" fillId="0" borderId="32" xfId="0" applyFont="1" applyBorder="1" applyAlignment="1">
      <alignment vertical="center"/>
    </xf>
    <xf numFmtId="49" fontId="8" fillId="0" borderId="33" xfId="25" applyNumberFormat="1" applyFont="1" applyBorder="1" applyAlignment="1">
      <alignment vertical="center"/>
    </xf>
    <xf numFmtId="0" fontId="10" fillId="2" borderId="14" xfId="11" applyFont="1" applyFill="1" applyBorder="1" applyAlignment="1">
      <alignment vertical="center"/>
    </xf>
    <xf numFmtId="0" fontId="10" fillId="2" borderId="19" xfId="11" applyFont="1" applyFill="1" applyBorder="1" applyAlignment="1">
      <alignment vertical="center"/>
    </xf>
    <xf numFmtId="0" fontId="10" fillId="2" borderId="27" xfId="11" applyFont="1" applyFill="1" applyBorder="1" applyAlignment="1">
      <alignment vertical="center"/>
    </xf>
    <xf numFmtId="164" fontId="10" fillId="2" borderId="18" xfId="30" applyFont="1" applyFill="1" applyBorder="1" applyAlignment="1">
      <alignment vertical="center"/>
    </xf>
    <xf numFmtId="164" fontId="10" fillId="2" borderId="3" xfId="30" applyFont="1" applyFill="1" applyBorder="1" applyAlignment="1">
      <alignment vertical="center"/>
    </xf>
    <xf numFmtId="164" fontId="8" fillId="0" borderId="1" xfId="25" quotePrefix="1" applyFont="1" applyFill="1" applyBorder="1" applyAlignment="1">
      <alignment horizontal="right" vertical="center"/>
    </xf>
    <xf numFmtId="164" fontId="10" fillId="2" borderId="3" xfId="25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164" fontId="10" fillId="0" borderId="1" xfId="25" applyFont="1" applyFill="1" applyBorder="1" applyAlignment="1">
      <alignment horizontal="right" vertical="center" wrapText="1"/>
    </xf>
    <xf numFmtId="164" fontId="10" fillId="0" borderId="1" xfId="25" applyFont="1" applyFill="1" applyBorder="1" applyAlignment="1">
      <alignment vertical="center" wrapText="1"/>
    </xf>
    <xf numFmtId="2" fontId="8" fillId="0" borderId="1" xfId="0" applyNumberFormat="1" applyFont="1" applyBorder="1" applyAlignment="1">
      <alignment horizontal="right"/>
    </xf>
    <xf numFmtId="164" fontId="8" fillId="0" borderId="1" xfId="25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left" vertical="center"/>
    </xf>
    <xf numFmtId="164" fontId="10" fillId="0" borderId="2" xfId="25" applyFont="1" applyFill="1" applyBorder="1" applyAlignment="1">
      <alignment vertical="center" wrapText="1"/>
    </xf>
    <xf numFmtId="0" fontId="10" fillId="2" borderId="15" xfId="11" applyFont="1" applyFill="1" applyBorder="1" applyAlignment="1">
      <alignment vertical="center"/>
    </xf>
    <xf numFmtId="0" fontId="10" fillId="2" borderId="6" xfId="11" applyFont="1" applyFill="1" applyBorder="1" applyAlignment="1">
      <alignment vertical="center"/>
    </xf>
    <xf numFmtId="49" fontId="10" fillId="3" borderId="17" xfId="0" applyNumberFormat="1" applyFont="1" applyFill="1" applyBorder="1" applyAlignment="1">
      <alignment vertical="center"/>
    </xf>
    <xf numFmtId="49" fontId="10" fillId="3" borderId="15" xfId="0" applyNumberFormat="1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right" vertical="center"/>
    </xf>
    <xf numFmtId="0" fontId="10" fillId="3" borderId="15" xfId="0" applyFont="1" applyFill="1" applyBorder="1" applyAlignment="1">
      <alignment horizontal="right" vertical="center"/>
    </xf>
    <xf numFmtId="164" fontId="8" fillId="3" borderId="20" xfId="25" applyFont="1" applyFill="1" applyBorder="1" applyAlignment="1">
      <alignment horizontal="right" vertical="center"/>
    </xf>
    <xf numFmtId="164" fontId="10" fillId="3" borderId="18" xfId="25" applyFont="1" applyFill="1" applyBorder="1" applyAlignment="1">
      <alignment horizontal="right" vertical="center"/>
    </xf>
    <xf numFmtId="164" fontId="10" fillId="3" borderId="19" xfId="25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4" fontId="10" fillId="0" borderId="22" xfId="25" applyFont="1" applyFill="1" applyBorder="1" applyAlignment="1">
      <alignment horizontal="right" vertical="center" wrapText="1"/>
    </xf>
    <xf numFmtId="164" fontId="10" fillId="0" borderId="4" xfId="25" applyFont="1" applyFill="1" applyBorder="1" applyAlignment="1">
      <alignment horizontal="right" vertical="center" wrapText="1"/>
    </xf>
    <xf numFmtId="164" fontId="10" fillId="0" borderId="21" xfId="25" applyFont="1" applyFill="1" applyBorder="1" applyAlignment="1">
      <alignment vertical="center" wrapText="1"/>
    </xf>
    <xf numFmtId="164" fontId="10" fillId="0" borderId="14" xfId="25" applyFont="1" applyFill="1" applyBorder="1" applyAlignment="1">
      <alignment vertical="center" wrapText="1"/>
    </xf>
    <xf numFmtId="0" fontId="42" fillId="6" borderId="1" xfId="0" applyFont="1" applyFill="1" applyBorder="1" applyAlignment="1">
      <alignment horizontal="left" vertical="top" wrapText="1"/>
    </xf>
    <xf numFmtId="0" fontId="43" fillId="7" borderId="1" xfId="0" applyFont="1" applyFill="1" applyBorder="1" applyAlignment="1">
      <alignment horizontal="center" vertical="top" wrapText="1"/>
    </xf>
    <xf numFmtId="0" fontId="43" fillId="7" borderId="1" xfId="0" applyFont="1" applyFill="1" applyBorder="1" applyAlignment="1">
      <alignment horizontal="left" vertical="top" wrapText="1"/>
    </xf>
    <xf numFmtId="0" fontId="42" fillId="6" borderId="1" xfId="0" applyFont="1" applyFill="1" applyBorder="1" applyAlignment="1">
      <alignment horizontal="center" vertical="top" wrapText="1"/>
    </xf>
    <xf numFmtId="0" fontId="42" fillId="6" borderId="3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45" fillId="7" borderId="37" xfId="311" applyFont="1" applyFill="1" applyBorder="1" applyAlignment="1">
      <alignment horizontal="left" vertical="top" wrapText="1"/>
    </xf>
    <xf numFmtId="0" fontId="44" fillId="0" borderId="0" xfId="311"/>
    <xf numFmtId="0" fontId="45" fillId="7" borderId="40" xfId="311" applyFont="1" applyFill="1" applyBorder="1" applyAlignment="1">
      <alignment horizontal="left" vertical="top" wrapText="1"/>
    </xf>
    <xf numFmtId="0" fontId="45" fillId="7" borderId="40" xfId="311" applyFont="1" applyFill="1" applyBorder="1" applyAlignment="1">
      <alignment horizontal="left" vertical="center" wrapText="1"/>
    </xf>
    <xf numFmtId="0" fontId="45" fillId="7" borderId="0" xfId="311" applyFont="1" applyFill="1" applyAlignment="1">
      <alignment horizontal="left" vertical="top" wrapText="1"/>
    </xf>
    <xf numFmtId="0" fontId="45" fillId="7" borderId="41" xfId="311" applyFont="1" applyFill="1" applyBorder="1" applyAlignment="1">
      <alignment horizontal="left" vertical="top" wrapText="1"/>
    </xf>
    <xf numFmtId="0" fontId="45" fillId="7" borderId="36" xfId="311" applyFont="1" applyFill="1" applyBorder="1" applyAlignment="1">
      <alignment horizontal="center" vertical="center" wrapText="1"/>
    </xf>
    <xf numFmtId="0" fontId="42" fillId="6" borderId="36" xfId="311" applyFont="1" applyFill="1" applyBorder="1" applyAlignment="1">
      <alignment horizontal="left" vertical="top" wrapText="1"/>
    </xf>
    <xf numFmtId="0" fontId="42" fillId="6" borderId="36" xfId="311" applyFont="1" applyFill="1" applyBorder="1" applyAlignment="1">
      <alignment horizontal="center" vertical="top" wrapText="1"/>
    </xf>
    <xf numFmtId="0" fontId="42" fillId="6" borderId="36" xfId="311" applyFont="1" applyFill="1" applyBorder="1" applyAlignment="1">
      <alignment horizontal="right" vertical="top" wrapText="1"/>
    </xf>
    <xf numFmtId="0" fontId="43" fillId="7" borderId="36" xfId="311" applyFont="1" applyFill="1" applyBorder="1" applyAlignment="1">
      <alignment horizontal="left" vertical="top" wrapText="1"/>
    </xf>
    <xf numFmtId="0" fontId="43" fillId="7" borderId="36" xfId="311" applyFont="1" applyFill="1" applyBorder="1" applyAlignment="1">
      <alignment horizontal="center" vertical="top" wrapText="1"/>
    </xf>
    <xf numFmtId="0" fontId="43" fillId="7" borderId="36" xfId="311" applyFont="1" applyFill="1" applyBorder="1" applyAlignment="1">
      <alignment horizontal="right" vertical="top" wrapText="1"/>
    </xf>
    <xf numFmtId="2" fontId="43" fillId="7" borderId="36" xfId="311" applyNumberFormat="1" applyFont="1" applyFill="1" applyBorder="1" applyAlignment="1">
      <alignment horizontal="right" vertical="top" wrapText="1"/>
    </xf>
    <xf numFmtId="2" fontId="43" fillId="7" borderId="36" xfId="311" applyNumberFormat="1" applyFont="1" applyFill="1" applyBorder="1" applyAlignment="1">
      <alignment horizontal="left" vertical="top" wrapText="1"/>
    </xf>
    <xf numFmtId="0" fontId="46" fillId="7" borderId="0" xfId="311" applyFont="1" applyFill="1" applyAlignment="1">
      <alignment horizontal="center" vertical="top" wrapText="1"/>
    </xf>
    <xf numFmtId="2" fontId="42" fillId="6" borderId="1" xfId="0" applyNumberFormat="1" applyFont="1" applyFill="1" applyBorder="1" applyAlignment="1">
      <alignment horizontal="left" vertical="top" wrapText="1"/>
    </xf>
    <xf numFmtId="0" fontId="45" fillId="7" borderId="42" xfId="311" applyFont="1" applyFill="1" applyBorder="1" applyAlignment="1">
      <alignment horizontal="left" vertical="top" wrapText="1"/>
    </xf>
    <xf numFmtId="0" fontId="45" fillId="7" borderId="43" xfId="311" applyFont="1" applyFill="1" applyBorder="1" applyAlignment="1">
      <alignment horizontal="left" vertical="top" wrapText="1"/>
    </xf>
    <xf numFmtId="0" fontId="45" fillId="7" borderId="44" xfId="311" applyFont="1" applyFill="1" applyBorder="1" applyAlignment="1">
      <alignment horizontal="left" vertical="top" wrapText="1"/>
    </xf>
    <xf numFmtId="0" fontId="45" fillId="7" borderId="45" xfId="311" applyFont="1" applyFill="1" applyBorder="1" applyAlignment="1">
      <alignment horizontal="left" vertical="top" wrapText="1"/>
    </xf>
    <xf numFmtId="0" fontId="45" fillId="7" borderId="46" xfId="311" applyFont="1" applyFill="1" applyBorder="1" applyAlignment="1">
      <alignment horizontal="left" vertical="top" wrapText="1"/>
    </xf>
    <xf numFmtId="0" fontId="45" fillId="8" borderId="47" xfId="311" applyFont="1" applyFill="1" applyBorder="1" applyAlignment="1">
      <alignment horizontal="center" vertical="top" wrapText="1"/>
    </xf>
    <xf numFmtId="0" fontId="42" fillId="0" borderId="36" xfId="311" applyFont="1" applyBorder="1" applyAlignment="1">
      <alignment horizontal="center" wrapText="1"/>
    </xf>
    <xf numFmtId="0" fontId="43" fillId="0" borderId="48" xfId="311" applyFont="1" applyBorder="1" applyAlignment="1">
      <alignment horizontal="center" wrapText="1"/>
    </xf>
    <xf numFmtId="0" fontId="42" fillId="0" borderId="49" xfId="311" applyFont="1" applyBorder="1" applyAlignment="1">
      <alignment horizontal="center" wrapText="1"/>
    </xf>
    <xf numFmtId="0" fontId="42" fillId="0" borderId="50" xfId="311" applyFont="1" applyBorder="1" applyAlignment="1">
      <alignment horizontal="center" wrapText="1"/>
    </xf>
    <xf numFmtId="10" fontId="46" fillId="7" borderId="53" xfId="312" applyNumberFormat="1" applyFont="1" applyFill="1" applyBorder="1" applyAlignment="1">
      <alignment horizontal="center" vertical="top" wrapText="1"/>
    </xf>
    <xf numFmtId="10" fontId="46" fillId="7" borderId="44" xfId="312" applyNumberFormat="1" applyFont="1" applyFill="1" applyBorder="1" applyAlignment="1">
      <alignment horizontal="center" vertical="top" wrapText="1"/>
    </xf>
    <xf numFmtId="4" fontId="46" fillId="7" borderId="55" xfId="311" applyNumberFormat="1" applyFont="1" applyFill="1" applyBorder="1" applyAlignment="1">
      <alignment horizontal="center" vertical="top" wrapText="1"/>
    </xf>
    <xf numFmtId="4" fontId="46" fillId="7" borderId="47" xfId="311" applyNumberFormat="1" applyFont="1" applyFill="1" applyBorder="1" applyAlignment="1">
      <alignment horizontal="center" vertical="top" wrapText="1"/>
    </xf>
    <xf numFmtId="10" fontId="46" fillId="7" borderId="55" xfId="312" applyNumberFormat="1" applyFont="1" applyFill="1" applyBorder="1" applyAlignment="1">
      <alignment horizontal="center" vertical="top" wrapText="1"/>
    </xf>
    <xf numFmtId="0" fontId="46" fillId="7" borderId="47" xfId="311" applyFont="1" applyFill="1" applyBorder="1" applyAlignment="1">
      <alignment horizontal="center" vertical="top" wrapText="1"/>
    </xf>
    <xf numFmtId="4" fontId="46" fillId="7" borderId="57" xfId="311" applyNumberFormat="1" applyFont="1" applyFill="1" applyBorder="1" applyAlignment="1">
      <alignment horizontal="center" vertical="top" wrapText="1"/>
    </xf>
    <xf numFmtId="0" fontId="47" fillId="7" borderId="0" xfId="311" applyFont="1" applyFill="1" applyAlignment="1">
      <alignment horizontal="center" vertical="top" wrapText="1"/>
    </xf>
    <xf numFmtId="0" fontId="37" fillId="0" borderId="58" xfId="311" applyFont="1" applyBorder="1"/>
    <xf numFmtId="0" fontId="44" fillId="0" borderId="58" xfId="311" applyBorder="1"/>
    <xf numFmtId="0" fontId="37" fillId="0" borderId="36" xfId="311" applyFont="1" applyBorder="1" applyAlignment="1">
      <alignment horizontal="center"/>
    </xf>
    <xf numFmtId="44" fontId="10" fillId="7" borderId="36" xfId="313" applyFont="1" applyFill="1" applyBorder="1" applyAlignment="1">
      <alignment horizontal="left" vertical="center" wrapText="1"/>
    </xf>
    <xf numFmtId="2" fontId="10" fillId="0" borderId="1" xfId="25" applyNumberFormat="1" applyFont="1" applyFill="1" applyBorder="1" applyAlignment="1">
      <alignment vertical="center" wrapText="1"/>
    </xf>
    <xf numFmtId="2" fontId="8" fillId="0" borderId="1" xfId="25" applyNumberFormat="1" applyFont="1" applyBorder="1" applyAlignment="1">
      <alignment horizontal="right" vertical="center"/>
    </xf>
    <xf numFmtId="164" fontId="8" fillId="0" borderId="32" xfId="25" applyFont="1" applyBorder="1" applyAlignment="1">
      <alignment horizontal="right" vertical="center"/>
    </xf>
    <xf numFmtId="49" fontId="10" fillId="3" borderId="19" xfId="11" applyNumberFormat="1" applyFont="1" applyFill="1" applyBorder="1" applyAlignment="1">
      <alignment horizontal="center" vertical="center" wrapText="1"/>
    </xf>
    <xf numFmtId="0" fontId="42" fillId="6" borderId="26" xfId="0" applyFont="1" applyFill="1" applyBorder="1" applyAlignment="1">
      <alignment horizontal="center" vertical="top" wrapText="1"/>
    </xf>
    <xf numFmtId="0" fontId="42" fillId="6" borderId="27" xfId="0" applyFont="1" applyFill="1" applyBorder="1" applyAlignment="1">
      <alignment horizontal="left" vertical="top" wrapText="1"/>
    </xf>
    <xf numFmtId="0" fontId="42" fillId="6" borderId="13" xfId="0" applyFont="1" applyFill="1" applyBorder="1" applyAlignment="1">
      <alignment horizontal="center" vertical="top" wrapText="1"/>
    </xf>
    <xf numFmtId="0" fontId="42" fillId="6" borderId="14" xfId="0" applyFont="1" applyFill="1" applyBorder="1" applyAlignment="1">
      <alignment horizontal="left" vertical="top" wrapText="1"/>
    </xf>
    <xf numFmtId="164" fontId="10" fillId="0" borderId="30" xfId="25" applyFont="1" applyFill="1" applyBorder="1" applyAlignment="1">
      <alignment vertical="center" wrapText="1"/>
    </xf>
    <xf numFmtId="0" fontId="43" fillId="7" borderId="36" xfId="311" applyFont="1" applyFill="1" applyBorder="1" applyAlignment="1">
      <alignment horizontal="left" vertical="center" wrapText="1"/>
    </xf>
    <xf numFmtId="0" fontId="43" fillId="7" borderId="36" xfId="311" applyFont="1" applyFill="1" applyBorder="1" applyAlignment="1">
      <alignment horizontal="center" vertical="center" wrapText="1"/>
    </xf>
    <xf numFmtId="2" fontId="43" fillId="7" borderId="36" xfId="311" applyNumberFormat="1" applyFont="1" applyFill="1" applyBorder="1" applyAlignment="1">
      <alignment horizontal="right" vertical="center" wrapText="1"/>
    </xf>
    <xf numFmtId="2" fontId="43" fillId="7" borderId="36" xfId="311" applyNumberFormat="1" applyFont="1" applyFill="1" applyBorder="1" applyAlignment="1">
      <alignment horizontal="right" wrapText="1"/>
    </xf>
    <xf numFmtId="0" fontId="42" fillId="0" borderId="36" xfId="311" applyFont="1" applyBorder="1" applyAlignment="1">
      <alignment horizontal="left" vertical="center" wrapText="1"/>
    </xf>
    <xf numFmtId="0" fontId="42" fillId="0" borderId="0" xfId="311" applyFont="1" applyAlignment="1">
      <alignment horizontal="left" vertical="center" wrapText="1"/>
    </xf>
    <xf numFmtId="9" fontId="8" fillId="0" borderId="0" xfId="32" applyFont="1" applyAlignment="1">
      <alignment horizontal="right" vertical="center"/>
    </xf>
    <xf numFmtId="2" fontId="10" fillId="0" borderId="21" xfId="25" applyNumberFormat="1" applyFont="1" applyFill="1" applyBorder="1" applyAlignment="1">
      <alignment vertical="center" wrapText="1"/>
    </xf>
    <xf numFmtId="0" fontId="45" fillId="7" borderId="0" xfId="311" applyFont="1" applyFill="1" applyAlignment="1">
      <alignment horizontal="center" vertical="top" wrapText="1"/>
    </xf>
    <xf numFmtId="0" fontId="44" fillId="0" borderId="0" xfId="311" applyAlignment="1">
      <alignment horizontal="center"/>
    </xf>
    <xf numFmtId="0" fontId="8" fillId="0" borderId="6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10" fillId="0" borderId="16" xfId="314" applyFont="1" applyBorder="1"/>
    <xf numFmtId="0" fontId="50" fillId="0" borderId="16" xfId="314" applyFont="1" applyBorder="1"/>
    <xf numFmtId="0" fontId="1" fillId="0" borderId="32" xfId="314" applyBorder="1"/>
    <xf numFmtId="0" fontId="1" fillId="0" borderId="16" xfId="314" applyBorder="1"/>
    <xf numFmtId="0" fontId="1" fillId="0" borderId="33" xfId="314" applyBorder="1"/>
    <xf numFmtId="0" fontId="1" fillId="0" borderId="0" xfId="314"/>
    <xf numFmtId="0" fontId="10" fillId="0" borderId="8" xfId="314" applyFont="1" applyBorder="1"/>
    <xf numFmtId="0" fontId="50" fillId="0" borderId="8" xfId="314" applyFont="1" applyBorder="1"/>
    <xf numFmtId="0" fontId="8" fillId="0" borderId="8" xfId="314" applyFont="1" applyBorder="1" applyAlignment="1">
      <alignment horizontal="left"/>
    </xf>
    <xf numFmtId="49" fontId="8" fillId="0" borderId="9" xfId="315" applyNumberFormat="1" applyFont="1" applyBorder="1" applyAlignment="1">
      <alignment horizontal="center"/>
    </xf>
    <xf numFmtId="10" fontId="8" fillId="0" borderId="9" xfId="316" applyNumberFormat="1" applyFont="1" applyBorder="1" applyAlignment="1">
      <alignment horizontal="center"/>
    </xf>
    <xf numFmtId="0" fontId="10" fillId="0" borderId="10" xfId="314" applyFont="1" applyBorder="1"/>
    <xf numFmtId="0" fontId="50" fillId="0" borderId="10" xfId="314" applyFont="1" applyBorder="1"/>
    <xf numFmtId="0" fontId="1" fillId="0" borderId="11" xfId="314" applyBorder="1"/>
    <xf numFmtId="0" fontId="8" fillId="0" borderId="10" xfId="314" applyFont="1" applyBorder="1" applyAlignment="1">
      <alignment horizontal="left"/>
    </xf>
    <xf numFmtId="0" fontId="8" fillId="0" borderId="11" xfId="314" applyFont="1" applyBorder="1" applyAlignment="1">
      <alignment horizontal="center"/>
    </xf>
    <xf numFmtId="43" fontId="51" fillId="0" borderId="12" xfId="315" applyFont="1" applyBorder="1" applyAlignment="1">
      <alignment horizontal="center"/>
    </xf>
    <xf numFmtId="0" fontId="10" fillId="9" borderId="63" xfId="314" applyFont="1" applyFill="1" applyBorder="1" applyAlignment="1">
      <alignment wrapText="1"/>
    </xf>
    <xf numFmtId="0" fontId="10" fillId="9" borderId="63" xfId="314" applyFont="1" applyFill="1" applyBorder="1" applyAlignment="1">
      <alignment horizontal="center" vertical="center" wrapText="1"/>
    </xf>
    <xf numFmtId="0" fontId="8" fillId="2" borderId="1" xfId="314" applyFont="1" applyFill="1" applyBorder="1" applyAlignment="1">
      <alignment horizontal="center"/>
    </xf>
    <xf numFmtId="0" fontId="38" fillId="2" borderId="1" xfId="314" applyFont="1" applyFill="1" applyBorder="1" applyAlignment="1">
      <alignment horizontal="center"/>
    </xf>
    <xf numFmtId="0" fontId="1" fillId="0" borderId="1" xfId="314" applyBorder="1" applyAlignment="1">
      <alignment horizontal="center" vertical="center" wrapText="1"/>
    </xf>
    <xf numFmtId="0" fontId="1" fillId="0" borderId="1" xfId="314" applyBorder="1" applyAlignment="1">
      <alignment horizontal="left" vertical="center" wrapText="1"/>
    </xf>
    <xf numFmtId="0" fontId="1" fillId="0" borderId="1" xfId="314" applyBorder="1" applyAlignment="1">
      <alignment horizontal="right" vertical="center" wrapText="1"/>
    </xf>
    <xf numFmtId="2" fontId="1" fillId="0" borderId="1" xfId="314" applyNumberFormat="1" applyBorder="1" applyAlignment="1">
      <alignment horizontal="right" vertical="center" wrapText="1"/>
    </xf>
    <xf numFmtId="0" fontId="53" fillId="0" borderId="13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164" fontId="53" fillId="0" borderId="1" xfId="25" applyFont="1" applyFill="1" applyBorder="1" applyAlignment="1">
      <alignment horizontal="right" vertical="center" wrapText="1"/>
    </xf>
    <xf numFmtId="164" fontId="53" fillId="0" borderId="1" xfId="25" applyFont="1" applyBorder="1" applyAlignment="1">
      <alignment horizontal="right" vertical="center"/>
    </xf>
    <xf numFmtId="164" fontId="53" fillId="0" borderId="14" xfId="25" applyFont="1" applyBorder="1" applyAlignment="1">
      <alignment horizontal="right" vertical="center"/>
    </xf>
    <xf numFmtId="0" fontId="53" fillId="0" borderId="0" xfId="0" applyFont="1" applyAlignment="1">
      <alignment vertical="center"/>
    </xf>
    <xf numFmtId="4" fontId="43" fillId="7" borderId="36" xfId="311" applyNumberFormat="1" applyFont="1" applyFill="1" applyBorder="1" applyAlignment="1">
      <alignment horizontal="center" vertical="center" wrapText="1"/>
    </xf>
    <xf numFmtId="164" fontId="8" fillId="0" borderId="1" xfId="25" applyFont="1" applyBorder="1" applyAlignment="1">
      <alignment horizontal="right"/>
    </xf>
    <xf numFmtId="164" fontId="8" fillId="0" borderId="1" xfId="25" applyFont="1" applyFill="1" applyBorder="1" applyAlignment="1">
      <alignment horizontal="right" wrapText="1"/>
    </xf>
    <xf numFmtId="2" fontId="8" fillId="0" borderId="14" xfId="25" applyNumberFormat="1" applyFont="1" applyBorder="1" applyAlignment="1">
      <alignment horizontal="right"/>
    </xf>
    <xf numFmtId="0" fontId="43" fillId="0" borderId="36" xfId="311" applyFont="1" applyBorder="1" applyAlignment="1">
      <alignment horizontal="left" vertical="center" wrapText="1"/>
    </xf>
    <xf numFmtId="0" fontId="43" fillId="0" borderId="36" xfId="311" applyFont="1" applyBorder="1" applyAlignment="1">
      <alignment horizontal="center" vertical="center" wrapText="1"/>
    </xf>
    <xf numFmtId="2" fontId="43" fillId="0" borderId="36" xfId="311" applyNumberFormat="1" applyFont="1" applyBorder="1" applyAlignment="1">
      <alignment horizontal="right" vertical="center" wrapText="1"/>
    </xf>
    <xf numFmtId="2" fontId="43" fillId="0" borderId="36" xfId="311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justify" vertical="top" wrapText="1"/>
    </xf>
    <xf numFmtId="2" fontId="8" fillId="0" borderId="1" xfId="25" quotePrefix="1" applyNumberFormat="1" applyFont="1" applyFill="1" applyBorder="1" applyAlignment="1">
      <alignment horizontal="right" vertical="center"/>
    </xf>
    <xf numFmtId="164" fontId="8" fillId="0" borderId="1" xfId="25" applyFont="1" applyFill="1" applyBorder="1" applyAlignment="1">
      <alignment horizontal="right" vertical="center"/>
    </xf>
    <xf numFmtId="164" fontId="8" fillId="0" borderId="14" xfId="25" applyFont="1" applyFill="1" applyBorder="1" applyAlignment="1">
      <alignment horizontal="right" vertical="center"/>
    </xf>
    <xf numFmtId="0" fontId="8" fillId="0" borderId="63" xfId="174" applyBorder="1" applyAlignment="1">
      <alignment horizontal="left" vertical="center"/>
    </xf>
    <xf numFmtId="0" fontId="8" fillId="0" borderId="1" xfId="174" applyBorder="1" applyAlignment="1">
      <alignment horizontal="center" vertical="center"/>
    </xf>
    <xf numFmtId="0" fontId="8" fillId="0" borderId="1" xfId="174" applyBorder="1" applyAlignment="1">
      <alignment horizontal="left" vertical="center" wrapText="1"/>
    </xf>
    <xf numFmtId="0" fontId="8" fillId="0" borderId="0" xfId="314" applyFont="1" applyAlignment="1">
      <alignment horizontal="left"/>
    </xf>
    <xf numFmtId="0" fontId="1" fillId="0" borderId="8" xfId="314" applyBorder="1"/>
    <xf numFmtId="0" fontId="1" fillId="0" borderId="9" xfId="314" applyBorder="1"/>
    <xf numFmtId="0" fontId="10" fillId="9" borderId="64" xfId="314" applyFont="1" applyFill="1" applyBorder="1" applyAlignment="1">
      <alignment horizontal="center" vertical="center" wrapText="1"/>
    </xf>
    <xf numFmtId="0" fontId="10" fillId="9" borderId="65" xfId="314" applyFont="1" applyFill="1" applyBorder="1" applyAlignment="1">
      <alignment wrapText="1"/>
    </xf>
    <xf numFmtId="0" fontId="8" fillId="2" borderId="13" xfId="314" applyFont="1" applyFill="1" applyBorder="1" applyAlignment="1">
      <alignment horizontal="center"/>
    </xf>
    <xf numFmtId="0" fontId="38" fillId="2" borderId="14" xfId="314" applyFont="1" applyFill="1" applyBorder="1" applyAlignment="1">
      <alignment horizontal="center"/>
    </xf>
    <xf numFmtId="0" fontId="1" fillId="0" borderId="13" xfId="314" applyBorder="1" applyAlignment="1">
      <alignment horizontal="center" vertical="center" wrapText="1"/>
    </xf>
    <xf numFmtId="0" fontId="1" fillId="0" borderId="14" xfId="314" applyBorder="1" applyAlignment="1">
      <alignment horizontal="right" vertical="center" wrapText="1"/>
    </xf>
    <xf numFmtId="0" fontId="52" fillId="0" borderId="13" xfId="314" applyFont="1" applyBorder="1" applyAlignment="1">
      <alignment horizontal="center" vertical="center" wrapText="1"/>
    </xf>
    <xf numFmtId="39" fontId="10" fillId="0" borderId="10" xfId="317" applyFont="1" applyBorder="1" applyAlignment="1">
      <alignment vertical="center"/>
    </xf>
    <xf numFmtId="39" fontId="10" fillId="0" borderId="11" xfId="317" applyFont="1" applyBorder="1" applyAlignment="1">
      <alignment vertical="center"/>
    </xf>
    <xf numFmtId="39" fontId="10" fillId="0" borderId="66" xfId="317" applyFont="1" applyBorder="1" applyAlignment="1">
      <alignment vertical="center"/>
    </xf>
    <xf numFmtId="164" fontId="10" fillId="0" borderId="67" xfId="314" applyNumberFormat="1" applyFont="1" applyBorder="1"/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64" fontId="8" fillId="0" borderId="0" xfId="25" applyFont="1" applyFill="1" applyBorder="1" applyAlignment="1">
      <alignment horizontal="right" vertical="center"/>
    </xf>
    <xf numFmtId="164" fontId="10" fillId="0" borderId="0" xfId="25" applyFont="1" applyFill="1" applyBorder="1" applyAlignment="1">
      <alignment horizontal="right" vertical="center"/>
    </xf>
    <xf numFmtId="164" fontId="10" fillId="0" borderId="19" xfId="25" applyFont="1" applyFill="1" applyBorder="1" applyAlignment="1">
      <alignment horizontal="right" vertical="center"/>
    </xf>
    <xf numFmtId="0" fontId="8" fillId="10" borderId="0" xfId="0" applyFont="1" applyFill="1" applyAlignment="1">
      <alignment vertical="center"/>
    </xf>
    <xf numFmtId="0" fontId="44" fillId="10" borderId="16" xfId="311" applyFill="1" applyBorder="1"/>
    <xf numFmtId="0" fontId="44" fillId="10" borderId="32" xfId="311" applyFill="1" applyBorder="1"/>
    <xf numFmtId="0" fontId="44" fillId="10" borderId="33" xfId="311" applyFill="1" applyBorder="1"/>
    <xf numFmtId="0" fontId="44" fillId="10" borderId="8" xfId="311" applyFill="1" applyBorder="1"/>
    <xf numFmtId="0" fontId="44" fillId="10" borderId="0" xfId="311" applyFill="1"/>
    <xf numFmtId="0" fontId="44" fillId="10" borderId="9" xfId="311" applyFill="1" applyBorder="1"/>
    <xf numFmtId="0" fontId="44" fillId="10" borderId="10" xfId="311" applyFill="1" applyBorder="1"/>
    <xf numFmtId="0" fontId="44" fillId="10" borderId="11" xfId="311" applyFill="1" applyBorder="1"/>
    <xf numFmtId="0" fontId="44" fillId="10" borderId="12" xfId="311" applyFill="1" applyBorder="1"/>
    <xf numFmtId="0" fontId="37" fillId="0" borderId="8" xfId="314" applyFont="1" applyBorder="1" applyAlignment="1">
      <alignment horizontal="center" vertical="center"/>
    </xf>
    <xf numFmtId="0" fontId="37" fillId="0" borderId="0" xfId="314" applyFont="1" applyAlignment="1">
      <alignment horizontal="center" vertical="center"/>
    </xf>
    <xf numFmtId="0" fontId="37" fillId="0" borderId="9" xfId="314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32" xfId="0" applyFont="1" applyFill="1" applyBorder="1" applyAlignment="1">
      <alignment horizontal="center" vertical="center"/>
    </xf>
    <xf numFmtId="0" fontId="8" fillId="10" borderId="33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49" fontId="10" fillId="0" borderId="17" xfId="0" applyNumberFormat="1" applyFont="1" applyBorder="1" applyAlignment="1">
      <alignment horizontal="right" vertical="center"/>
    </xf>
    <xf numFmtId="49" fontId="10" fillId="0" borderId="15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right" vertical="center"/>
    </xf>
    <xf numFmtId="49" fontId="10" fillId="3" borderId="17" xfId="0" applyNumberFormat="1" applyFont="1" applyFill="1" applyBorder="1" applyAlignment="1">
      <alignment horizontal="center" vertical="center"/>
    </xf>
    <xf numFmtId="49" fontId="10" fillId="3" borderId="15" xfId="0" applyNumberFormat="1" applyFont="1" applyFill="1" applyBorder="1" applyAlignment="1">
      <alignment horizontal="center" vertical="center"/>
    </xf>
    <xf numFmtId="49" fontId="10" fillId="3" borderId="6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4" fillId="0" borderId="16" xfId="11" applyFont="1" applyBorder="1" applyAlignment="1">
      <alignment horizontal="center" vertical="center" wrapText="1"/>
    </xf>
    <xf numFmtId="0" fontId="14" fillId="0" borderId="32" xfId="11" applyFont="1" applyBorder="1" applyAlignment="1">
      <alignment horizontal="center" vertical="center" wrapText="1"/>
    </xf>
    <xf numFmtId="0" fontId="14" fillId="0" borderId="33" xfId="11" applyFont="1" applyBorder="1" applyAlignment="1">
      <alignment horizontal="center" vertical="center" wrapText="1"/>
    </xf>
    <xf numFmtId="0" fontId="14" fillId="0" borderId="8" xfId="11" applyFont="1" applyBorder="1" applyAlignment="1">
      <alignment horizontal="center" vertical="center" wrapText="1"/>
    </xf>
    <xf numFmtId="0" fontId="14" fillId="0" borderId="0" xfId="11" applyFont="1" applyAlignment="1">
      <alignment horizontal="center" vertical="center" wrapText="1"/>
    </xf>
    <xf numFmtId="0" fontId="14" fillId="0" borderId="9" xfId="11" applyFont="1" applyBorder="1" applyAlignment="1">
      <alignment horizontal="center" vertical="center" wrapText="1"/>
    </xf>
    <xf numFmtId="0" fontId="14" fillId="0" borderId="10" xfId="11" applyFont="1" applyBorder="1" applyAlignment="1">
      <alignment horizontal="center" vertical="center" wrapText="1"/>
    </xf>
    <xf numFmtId="0" fontId="14" fillId="0" borderId="11" xfId="11" applyFont="1" applyBorder="1" applyAlignment="1">
      <alignment horizontal="center" vertical="center" wrapText="1"/>
    </xf>
    <xf numFmtId="0" fontId="14" fillId="0" borderId="12" xfId="11" applyFont="1" applyBorder="1" applyAlignment="1">
      <alignment horizontal="center" vertical="center" wrapText="1"/>
    </xf>
    <xf numFmtId="49" fontId="10" fillId="3" borderId="31" xfId="11" applyNumberFormat="1" applyFont="1" applyFill="1" applyBorder="1" applyAlignment="1">
      <alignment horizontal="center" vertical="center"/>
    </xf>
    <xf numFmtId="44" fontId="10" fillId="3" borderId="34" xfId="310" applyFont="1" applyFill="1" applyBorder="1" applyAlignment="1">
      <alignment horizontal="center" vertical="center"/>
    </xf>
    <xf numFmtId="44" fontId="10" fillId="3" borderId="11" xfId="310" applyFont="1" applyFill="1" applyBorder="1" applyAlignment="1">
      <alignment horizontal="center" vertical="center"/>
    </xf>
    <xf numFmtId="44" fontId="10" fillId="3" borderId="12" xfId="310" applyFont="1" applyFill="1" applyBorder="1" applyAlignment="1">
      <alignment horizontal="center" vertical="center"/>
    </xf>
    <xf numFmtId="49" fontId="10" fillId="3" borderId="4" xfId="11" applyNumberFormat="1" applyFont="1" applyFill="1" applyBorder="1" applyAlignment="1">
      <alignment horizontal="center" vertical="center"/>
    </xf>
    <xf numFmtId="49" fontId="10" fillId="3" borderId="4" xfId="11" applyNumberFormat="1" applyFont="1" applyFill="1" applyBorder="1" applyAlignment="1">
      <alignment horizontal="center" vertical="center" wrapText="1"/>
    </xf>
    <xf numFmtId="49" fontId="10" fillId="3" borderId="31" xfId="11" applyNumberFormat="1" applyFont="1" applyFill="1" applyBorder="1" applyAlignment="1">
      <alignment horizontal="center" vertical="center" wrapText="1"/>
    </xf>
    <xf numFmtId="49" fontId="10" fillId="3" borderId="29" xfId="11" applyNumberFormat="1" applyFont="1" applyFill="1" applyBorder="1" applyAlignment="1">
      <alignment horizontal="center" vertical="center"/>
    </xf>
    <xf numFmtId="49" fontId="10" fillId="3" borderId="35" xfId="11" applyNumberFormat="1" applyFont="1" applyFill="1" applyBorder="1" applyAlignment="1">
      <alignment horizontal="center" vertical="center"/>
    </xf>
    <xf numFmtId="164" fontId="10" fillId="0" borderId="23" xfId="25" applyFont="1" applyBorder="1" applyAlignment="1">
      <alignment horizontal="center" vertical="center" wrapText="1"/>
    </xf>
    <xf numFmtId="164" fontId="10" fillId="0" borderId="24" xfId="25" applyFont="1" applyBorder="1" applyAlignment="1">
      <alignment horizontal="center" vertical="center" wrapText="1"/>
    </xf>
    <xf numFmtId="164" fontId="10" fillId="0" borderId="16" xfId="29" applyFont="1" applyFill="1" applyBorder="1" applyAlignment="1">
      <alignment horizontal="center" vertical="center"/>
    </xf>
    <xf numFmtId="164" fontId="10" fillId="0" borderId="32" xfId="29" applyFont="1" applyFill="1" applyBorder="1" applyAlignment="1">
      <alignment horizontal="center" vertical="center"/>
    </xf>
    <xf numFmtId="164" fontId="10" fillId="0" borderId="33" xfId="29" applyFont="1" applyFill="1" applyBorder="1" applyAlignment="1">
      <alignment horizontal="center" vertical="center"/>
    </xf>
    <xf numFmtId="164" fontId="10" fillId="0" borderId="23" xfId="29" applyFont="1" applyFill="1" applyBorder="1" applyAlignment="1">
      <alignment horizontal="center" vertical="center"/>
    </xf>
    <xf numFmtId="164" fontId="10" fillId="0" borderId="24" xfId="29" applyFont="1" applyFill="1" applyBorder="1" applyAlignment="1">
      <alignment horizontal="center" vertical="center"/>
    </xf>
    <xf numFmtId="49" fontId="10" fillId="0" borderId="0" xfId="25" applyNumberFormat="1" applyFont="1" applyBorder="1" applyAlignment="1">
      <alignment horizontal="center" vertical="center"/>
    </xf>
    <xf numFmtId="49" fontId="10" fillId="0" borderId="9" xfId="25" applyNumberFormat="1" applyFont="1" applyBorder="1" applyAlignment="1">
      <alignment horizontal="center" vertical="center"/>
    </xf>
    <xf numFmtId="10" fontId="10" fillId="0" borderId="0" xfId="32" applyNumberFormat="1" applyFont="1" applyBorder="1" applyAlignment="1">
      <alignment horizontal="center" vertical="center"/>
    </xf>
    <xf numFmtId="10" fontId="10" fillId="0" borderId="9" xfId="32" applyNumberFormat="1" applyFont="1" applyBorder="1" applyAlignment="1">
      <alignment horizontal="center" vertical="center"/>
    </xf>
    <xf numFmtId="164" fontId="10" fillId="0" borderId="11" xfId="25" applyFont="1" applyBorder="1" applyAlignment="1">
      <alignment horizontal="center" vertical="center"/>
    </xf>
    <xf numFmtId="164" fontId="10" fillId="0" borderId="12" xfId="25" applyFont="1" applyBorder="1" applyAlignment="1">
      <alignment horizontal="center" vertical="center"/>
    </xf>
    <xf numFmtId="0" fontId="44" fillId="10" borderId="16" xfId="311" applyFill="1" applyBorder="1" applyAlignment="1">
      <alignment horizontal="center"/>
    </xf>
    <xf numFmtId="0" fontId="44" fillId="10" borderId="32" xfId="311" applyFill="1" applyBorder="1" applyAlignment="1">
      <alignment horizontal="center"/>
    </xf>
    <xf numFmtId="0" fontId="44" fillId="10" borderId="33" xfId="311" applyFill="1" applyBorder="1" applyAlignment="1">
      <alignment horizontal="center"/>
    </xf>
    <xf numFmtId="0" fontId="44" fillId="10" borderId="8" xfId="311" applyFill="1" applyBorder="1" applyAlignment="1">
      <alignment horizontal="center"/>
    </xf>
    <xf numFmtId="0" fontId="44" fillId="10" borderId="0" xfId="311" applyFill="1" applyAlignment="1">
      <alignment horizontal="center"/>
    </xf>
    <xf numFmtId="0" fontId="44" fillId="10" borderId="9" xfId="311" applyFill="1" applyBorder="1" applyAlignment="1">
      <alignment horizontal="center"/>
    </xf>
    <xf numFmtId="0" fontId="44" fillId="10" borderId="10" xfId="311" applyFill="1" applyBorder="1" applyAlignment="1">
      <alignment horizontal="center"/>
    </xf>
    <xf numFmtId="0" fontId="44" fillId="10" borderId="11" xfId="311" applyFill="1" applyBorder="1" applyAlignment="1">
      <alignment horizontal="center"/>
    </xf>
    <xf numFmtId="0" fontId="44" fillId="10" borderId="12" xfId="311" applyFill="1" applyBorder="1" applyAlignment="1">
      <alignment horizontal="center"/>
    </xf>
    <xf numFmtId="0" fontId="45" fillId="7" borderId="37" xfId="311" applyFont="1" applyFill="1" applyBorder="1" applyAlignment="1">
      <alignment horizontal="left" vertical="top" wrapText="1"/>
    </xf>
    <xf numFmtId="0" fontId="45" fillId="7" borderId="38" xfId="311" applyFont="1" applyFill="1" applyBorder="1" applyAlignment="1">
      <alignment horizontal="left" vertical="top" wrapText="1"/>
    </xf>
    <xf numFmtId="0" fontId="45" fillId="7" borderId="39" xfId="311" applyFont="1" applyFill="1" applyBorder="1" applyAlignment="1">
      <alignment horizontal="left" vertical="top" wrapText="1"/>
    </xf>
    <xf numFmtId="0" fontId="44" fillId="0" borderId="0" xfId="311"/>
    <xf numFmtId="0" fontId="45" fillId="7" borderId="0" xfId="311" applyFont="1" applyFill="1" applyAlignment="1">
      <alignment horizontal="left" vertical="top" wrapText="1"/>
    </xf>
    <xf numFmtId="0" fontId="46" fillId="7" borderId="0" xfId="311" applyFont="1" applyFill="1" applyAlignment="1">
      <alignment horizontal="left" vertical="top" wrapText="1"/>
    </xf>
    <xf numFmtId="0" fontId="45" fillId="8" borderId="47" xfId="311" applyFont="1" applyFill="1" applyBorder="1" applyAlignment="1">
      <alignment horizontal="center" wrapText="1"/>
    </xf>
    <xf numFmtId="0" fontId="46" fillId="7" borderId="51" xfId="311" applyFont="1" applyFill="1" applyBorder="1" applyAlignment="1">
      <alignment horizontal="left" vertical="top" wrapText="1"/>
    </xf>
    <xf numFmtId="0" fontId="46" fillId="7" borderId="44" xfId="311" applyFont="1" applyFill="1" applyBorder="1" applyAlignment="1">
      <alignment horizontal="left" vertical="top" wrapText="1"/>
    </xf>
    <xf numFmtId="4" fontId="46" fillId="7" borderId="52" xfId="311" applyNumberFormat="1" applyFont="1" applyFill="1" applyBorder="1" applyAlignment="1">
      <alignment horizontal="center" vertical="center" wrapText="1"/>
    </xf>
    <xf numFmtId="0" fontId="46" fillId="7" borderId="47" xfId="311" applyFont="1" applyFill="1" applyBorder="1" applyAlignment="1">
      <alignment horizontal="center" vertical="center" wrapText="1"/>
    </xf>
    <xf numFmtId="0" fontId="46" fillId="7" borderId="49" xfId="311" applyFont="1" applyFill="1" applyBorder="1" applyAlignment="1">
      <alignment horizontal="center" vertical="center" wrapText="1"/>
    </xf>
    <xf numFmtId="0" fontId="46" fillId="7" borderId="54" xfId="311" applyFont="1" applyFill="1" applyBorder="1" applyAlignment="1">
      <alignment horizontal="left" vertical="top" wrapText="1"/>
    </xf>
    <xf numFmtId="0" fontId="46" fillId="7" borderId="47" xfId="311" applyFont="1" applyFill="1" applyBorder="1" applyAlignment="1">
      <alignment horizontal="left" vertical="top" wrapText="1"/>
    </xf>
    <xf numFmtId="0" fontId="46" fillId="7" borderId="56" xfId="311" applyFont="1" applyFill="1" applyBorder="1" applyAlignment="1">
      <alignment horizontal="left" vertical="top" wrapText="1"/>
    </xf>
    <xf numFmtId="0" fontId="46" fillId="7" borderId="49" xfId="311" applyFont="1" applyFill="1" applyBorder="1" applyAlignment="1">
      <alignment horizontal="left" vertical="top" wrapText="1"/>
    </xf>
    <xf numFmtId="0" fontId="45" fillId="7" borderId="36" xfId="311" applyFont="1" applyFill="1" applyBorder="1" applyAlignment="1">
      <alignment horizontal="center" wrapText="1"/>
    </xf>
    <xf numFmtId="0" fontId="44" fillId="0" borderId="36" xfId="311" applyBorder="1"/>
    <xf numFmtId="0" fontId="44" fillId="0" borderId="36" xfId="311" applyBorder="1" applyAlignment="1">
      <alignment horizontal="center"/>
    </xf>
    <xf numFmtId="0" fontId="37" fillId="0" borderId="36" xfId="311" applyFont="1" applyBorder="1" applyAlignment="1">
      <alignment horizontal="center"/>
    </xf>
    <xf numFmtId="0" fontId="45" fillId="7" borderId="59" xfId="311" applyFont="1" applyFill="1" applyBorder="1" applyAlignment="1">
      <alignment horizontal="left" vertical="top" wrapText="1"/>
    </xf>
    <xf numFmtId="0" fontId="10" fillId="7" borderId="36" xfId="311" applyFont="1" applyFill="1" applyBorder="1" applyAlignment="1">
      <alignment horizontal="center" vertical="center" wrapText="1"/>
    </xf>
    <xf numFmtId="10" fontId="48" fillId="0" borderId="36" xfId="312" applyNumberFormat="1" applyFont="1" applyBorder="1" applyAlignment="1">
      <alignment horizontal="center" vertical="center"/>
    </xf>
    <xf numFmtId="0" fontId="45" fillId="7" borderId="60" xfId="311" applyFont="1" applyFill="1" applyBorder="1" applyAlignment="1">
      <alignment horizontal="left" vertical="top" wrapText="1"/>
    </xf>
    <xf numFmtId="0" fontId="8" fillId="0" borderId="0" xfId="174" applyAlignment="1">
      <alignment vertical="center"/>
    </xf>
    <xf numFmtId="0" fontId="8" fillId="0" borderId="0" xfId="174" applyAlignment="1">
      <alignment horizontal="left" vertical="center"/>
    </xf>
    <xf numFmtId="164" fontId="8" fillId="0" borderId="0" xfId="175" applyFont="1" applyAlignment="1">
      <alignment horizontal="center" vertical="center"/>
    </xf>
    <xf numFmtId="0" fontId="8" fillId="0" borderId="0" xfId="184"/>
    <xf numFmtId="0" fontId="10" fillId="0" borderId="16" xfId="174" applyFont="1" applyBorder="1" applyAlignment="1">
      <alignment vertical="center"/>
    </xf>
    <xf numFmtId="0" fontId="10" fillId="0" borderId="32" xfId="174" applyFont="1" applyBorder="1" applyAlignment="1">
      <alignment vertical="center"/>
    </xf>
    <xf numFmtId="0" fontId="8" fillId="0" borderId="32" xfId="174" applyBorder="1" applyAlignment="1">
      <alignment horizontal="left" vertical="center"/>
    </xf>
    <xf numFmtId="164" fontId="8" fillId="0" borderId="32" xfId="175" applyFont="1" applyBorder="1" applyAlignment="1">
      <alignment horizontal="center" vertical="center"/>
    </xf>
    <xf numFmtId="0" fontId="8" fillId="0" borderId="32" xfId="174" applyBorder="1" applyAlignment="1">
      <alignment vertical="center"/>
    </xf>
    <xf numFmtId="0" fontId="8" fillId="0" borderId="33" xfId="174" applyBorder="1" applyAlignment="1">
      <alignment vertical="center"/>
    </xf>
    <xf numFmtId="0" fontId="10" fillId="0" borderId="8" xfId="174" applyFont="1" applyBorder="1" applyAlignment="1">
      <alignment vertical="center"/>
    </xf>
    <xf numFmtId="0" fontId="10" fillId="0" borderId="0" xfId="174" applyFont="1" applyAlignment="1">
      <alignment vertical="center"/>
    </xf>
    <xf numFmtId="164" fontId="10" fillId="0" borderId="0" xfId="175" applyFont="1" applyBorder="1" applyAlignment="1">
      <alignment horizontal="center" vertical="center"/>
    </xf>
    <xf numFmtId="9" fontId="8" fillId="0" borderId="0" xfId="174" applyNumberFormat="1" applyAlignment="1">
      <alignment vertical="center"/>
    </xf>
    <xf numFmtId="0" fontId="8" fillId="0" borderId="9" xfId="174" applyBorder="1" applyAlignment="1">
      <alignment vertical="center"/>
    </xf>
    <xf numFmtId="0" fontId="10" fillId="0" borderId="10" xfId="174" applyFont="1" applyBorder="1" applyAlignment="1">
      <alignment vertical="center"/>
    </xf>
    <xf numFmtId="0" fontId="10" fillId="0" borderId="11" xfId="174" applyFont="1" applyBorder="1" applyAlignment="1">
      <alignment vertical="center"/>
    </xf>
    <xf numFmtId="0" fontId="8" fillId="0" borderId="11" xfId="174" applyBorder="1" applyAlignment="1">
      <alignment horizontal="left" vertical="center"/>
    </xf>
    <xf numFmtId="164" fontId="10" fillId="0" borderId="11" xfId="175" applyFont="1" applyBorder="1" applyAlignment="1">
      <alignment horizontal="center" vertical="center"/>
    </xf>
    <xf numFmtId="0" fontId="8" fillId="0" borderId="11" xfId="174" applyBorder="1" applyAlignment="1">
      <alignment vertical="center"/>
    </xf>
    <xf numFmtId="0" fontId="8" fillId="0" borderId="12" xfId="174" applyBorder="1" applyAlignment="1">
      <alignment vertical="center"/>
    </xf>
    <xf numFmtId="0" fontId="10" fillId="0" borderId="17" xfId="174" applyFont="1" applyBorder="1" applyAlignment="1">
      <alignment horizontal="center" vertical="center"/>
    </xf>
    <xf numFmtId="0" fontId="10" fillId="0" borderId="15" xfId="174" applyFont="1" applyBorder="1" applyAlignment="1">
      <alignment horizontal="center" vertical="center"/>
    </xf>
    <xf numFmtId="0" fontId="10" fillId="0" borderId="6" xfId="174" applyFont="1" applyBorder="1" applyAlignment="1">
      <alignment horizontal="center" vertical="center"/>
    </xf>
    <xf numFmtId="0" fontId="8" fillId="0" borderId="8" xfId="174" applyBorder="1"/>
    <xf numFmtId="0" fontId="8" fillId="0" borderId="0" xfId="174"/>
    <xf numFmtId="0" fontId="8" fillId="0" borderId="9" xfId="174" applyBorder="1"/>
    <xf numFmtId="0" fontId="10" fillId="11" borderId="7" xfId="174" applyFont="1" applyFill="1" applyBorder="1" applyAlignment="1">
      <alignment horizontal="center" vertical="center"/>
    </xf>
    <xf numFmtId="0" fontId="10" fillId="11" borderId="18" xfId="174" applyFont="1" applyFill="1" applyBorder="1" applyAlignment="1">
      <alignment horizontal="center" vertical="center"/>
    </xf>
    <xf numFmtId="0" fontId="10" fillId="11" borderId="19" xfId="174" applyFont="1" applyFill="1" applyBorder="1" applyAlignment="1">
      <alignment horizontal="center" vertical="center"/>
    </xf>
    <xf numFmtId="0" fontId="10" fillId="11" borderId="20" xfId="174" applyFont="1" applyFill="1" applyBorder="1" applyAlignment="1">
      <alignment horizontal="center" vertical="center"/>
    </xf>
    <xf numFmtId="0" fontId="8" fillId="0" borderId="26" xfId="174" applyBorder="1"/>
    <xf numFmtId="0" fontId="8" fillId="0" borderId="3" xfId="174" applyBorder="1" applyAlignment="1">
      <alignment horizontal="center"/>
    </xf>
    <xf numFmtId="0" fontId="8" fillId="0" borderId="27" xfId="174" applyBorder="1" applyAlignment="1">
      <alignment horizontal="right"/>
    </xf>
    <xf numFmtId="0" fontId="8" fillId="0" borderId="68" xfId="174" applyBorder="1" applyAlignment="1">
      <alignment horizontal="right"/>
    </xf>
    <xf numFmtId="0" fontId="8" fillId="0" borderId="3" xfId="174" applyBorder="1"/>
    <xf numFmtId="0" fontId="8" fillId="0" borderId="27" xfId="174" applyBorder="1"/>
    <xf numFmtId="0" fontId="8" fillId="0" borderId="29" xfId="174" applyBorder="1"/>
    <xf numFmtId="0" fontId="10" fillId="0" borderId="4" xfId="174" applyFont="1" applyBorder="1" applyAlignment="1">
      <alignment horizontal="center"/>
    </xf>
    <xf numFmtId="0" fontId="8" fillId="0" borderId="30" xfId="174" applyBorder="1" applyAlignment="1">
      <alignment horizontal="right"/>
    </xf>
    <xf numFmtId="0" fontId="8" fillId="0" borderId="13" xfId="174" applyBorder="1" applyAlignment="1">
      <alignment horizontal="right"/>
    </xf>
    <xf numFmtId="0" fontId="8" fillId="0" borderId="4" xfId="174" applyBorder="1"/>
    <xf numFmtId="0" fontId="8" fillId="0" borderId="30" xfId="174" applyBorder="1"/>
    <xf numFmtId="0" fontId="8" fillId="0" borderId="25" xfId="174" applyBorder="1" applyAlignment="1">
      <alignment horizontal="center" vertical="center"/>
    </xf>
    <xf numFmtId="49" fontId="8" fillId="0" borderId="2" xfId="174" applyNumberFormat="1" applyBorder="1" applyAlignment="1">
      <alignment horizontal="left" vertical="center"/>
    </xf>
    <xf numFmtId="44" fontId="8" fillId="0" borderId="28" xfId="25" applyNumberFormat="1" applyBorder="1" applyAlignment="1">
      <alignment horizontal="center" vertical="center"/>
    </xf>
    <xf numFmtId="0" fontId="8" fillId="0" borderId="22" xfId="174" applyBorder="1" applyAlignment="1">
      <alignment horizontal="center"/>
    </xf>
    <xf numFmtId="9" fontId="8" fillId="0" borderId="69" xfId="32" applyFill="1" applyBorder="1" applyAlignment="1">
      <alignment horizontal="center"/>
    </xf>
    <xf numFmtId="0" fontId="8" fillId="0" borderId="69" xfId="174" applyBorder="1" applyAlignment="1">
      <alignment horizontal="center"/>
    </xf>
    <xf numFmtId="0" fontId="8" fillId="0" borderId="70" xfId="174" applyBorder="1" applyAlignment="1">
      <alignment horizontal="center"/>
    </xf>
    <xf numFmtId="0" fontId="8" fillId="0" borderId="29" xfId="174" applyBorder="1" applyAlignment="1">
      <alignment horizontal="center" vertical="center"/>
    </xf>
    <xf numFmtId="49" fontId="8" fillId="0" borderId="4" xfId="174" applyNumberFormat="1" applyBorder="1" applyAlignment="1">
      <alignment horizontal="left" vertical="center"/>
    </xf>
    <xf numFmtId="44" fontId="8" fillId="0" borderId="30" xfId="25" applyNumberFormat="1" applyBorder="1" applyAlignment="1">
      <alignment horizontal="center" vertical="center"/>
    </xf>
    <xf numFmtId="164" fontId="8" fillId="0" borderId="71" xfId="175" applyFont="1" applyBorder="1" applyAlignment="1">
      <alignment horizontal="center"/>
    </xf>
    <xf numFmtId="9" fontId="8" fillId="3" borderId="72" xfId="176" applyFont="1" applyFill="1" applyBorder="1" applyAlignment="1">
      <alignment horizontal="center"/>
    </xf>
    <xf numFmtId="10" fontId="0" fillId="0" borderId="72" xfId="176" applyNumberFormat="1" applyFont="1" applyFill="1" applyBorder="1" applyAlignment="1">
      <alignment horizontal="center"/>
    </xf>
    <xf numFmtId="0" fontId="8" fillId="0" borderId="73" xfId="174" applyBorder="1" applyAlignment="1">
      <alignment horizontal="center"/>
    </xf>
    <xf numFmtId="0" fontId="8" fillId="0" borderId="26" xfId="174" applyBorder="1" applyAlignment="1">
      <alignment horizontal="center" vertical="center"/>
    </xf>
    <xf numFmtId="49" fontId="8" fillId="0" borderId="3" xfId="174" applyNumberFormat="1" applyBorder="1" applyAlignment="1">
      <alignment horizontal="left" vertical="center"/>
    </xf>
    <xf numFmtId="44" fontId="8" fillId="0" borderId="27" xfId="25" applyNumberFormat="1" applyBorder="1" applyAlignment="1">
      <alignment horizontal="center" vertical="center"/>
    </xf>
    <xf numFmtId="164" fontId="8" fillId="0" borderId="68" xfId="175" applyFont="1" applyBorder="1" applyAlignment="1">
      <alignment horizontal="center"/>
    </xf>
    <xf numFmtId="44" fontId="8" fillId="0" borderId="74" xfId="176" applyNumberFormat="1" applyFont="1" applyFill="1" applyBorder="1" applyAlignment="1">
      <alignment horizontal="center"/>
    </xf>
    <xf numFmtId="10" fontId="0" fillId="0" borderId="74" xfId="176" applyNumberFormat="1" applyFont="1" applyFill="1" applyBorder="1" applyAlignment="1">
      <alignment horizontal="center"/>
    </xf>
    <xf numFmtId="0" fontId="8" fillId="0" borderId="75" xfId="174" applyBorder="1" applyAlignment="1">
      <alignment horizontal="center"/>
    </xf>
    <xf numFmtId="0" fontId="8" fillId="0" borderId="2" xfId="174" applyBorder="1" applyAlignment="1">
      <alignment horizontal="left" vertical="center"/>
    </xf>
    <xf numFmtId="9" fontId="8" fillId="0" borderId="69" xfId="174" applyNumberFormat="1" applyBorder="1" applyAlignment="1">
      <alignment horizontal="center"/>
    </xf>
    <xf numFmtId="0" fontId="8" fillId="0" borderId="4" xfId="174" applyBorder="1" applyAlignment="1">
      <alignment horizontal="left" vertical="center"/>
    </xf>
    <xf numFmtId="0" fontId="8" fillId="0" borderId="3" xfId="174" applyBorder="1" applyAlignment="1">
      <alignment horizontal="left" vertical="center"/>
    </xf>
    <xf numFmtId="44" fontId="0" fillId="0" borderId="74" xfId="176" applyNumberFormat="1" applyFont="1" applyFill="1" applyBorder="1" applyAlignment="1">
      <alignment horizontal="center"/>
    </xf>
    <xf numFmtId="9" fontId="8" fillId="0" borderId="69" xfId="32" applyFont="1" applyFill="1" applyBorder="1" applyAlignment="1">
      <alignment horizontal="center"/>
    </xf>
    <xf numFmtId="9" fontId="0" fillId="0" borderId="69" xfId="32" applyFont="1" applyFill="1" applyBorder="1" applyAlignment="1">
      <alignment horizontal="center"/>
    </xf>
    <xf numFmtId="9" fontId="8" fillId="0" borderId="70" xfId="32" applyFill="1" applyBorder="1" applyAlignment="1">
      <alignment horizontal="center"/>
    </xf>
    <xf numFmtId="9" fontId="0" fillId="0" borderId="73" xfId="176" applyFont="1" applyFill="1" applyBorder="1" applyAlignment="1">
      <alignment horizontal="center"/>
    </xf>
    <xf numFmtId="164" fontId="8" fillId="0" borderId="75" xfId="174" applyNumberFormat="1" applyBorder="1" applyAlignment="1">
      <alignment horizontal="center"/>
    </xf>
    <xf numFmtId="164" fontId="8" fillId="0" borderId="69" xfId="174" applyNumberFormat="1" applyBorder="1" applyAlignment="1">
      <alignment horizontal="center"/>
    </xf>
    <xf numFmtId="9" fontId="8" fillId="0" borderId="72" xfId="176" applyFont="1" applyFill="1" applyBorder="1" applyAlignment="1">
      <alignment horizontal="center"/>
    </xf>
    <xf numFmtId="9" fontId="8" fillId="0" borderId="73" xfId="176" applyFont="1" applyFill="1" applyBorder="1" applyAlignment="1">
      <alignment horizontal="center"/>
    </xf>
    <xf numFmtId="0" fontId="8" fillId="0" borderId="74" xfId="174" applyBorder="1" applyAlignment="1">
      <alignment horizontal="center"/>
    </xf>
    <xf numFmtId="44" fontId="8" fillId="0" borderId="74" xfId="318" applyFont="1" applyFill="1" applyBorder="1" applyAlignment="1">
      <alignment horizontal="center"/>
    </xf>
    <xf numFmtId="44" fontId="8" fillId="0" borderId="75" xfId="318" applyFont="1" applyFill="1" applyBorder="1" applyAlignment="1">
      <alignment horizontal="center"/>
    </xf>
    <xf numFmtId="0" fontId="8" fillId="0" borderId="72" xfId="174" applyBorder="1" applyAlignment="1">
      <alignment horizontal="center"/>
    </xf>
    <xf numFmtId="164" fontId="8" fillId="0" borderId="74" xfId="174" applyNumberFormat="1" applyBorder="1" applyAlignment="1">
      <alignment horizontal="center"/>
    </xf>
    <xf numFmtId="0" fontId="8" fillId="0" borderId="29" xfId="174" applyBorder="1" applyAlignment="1">
      <alignment horizontal="center" vertical="center"/>
    </xf>
    <xf numFmtId="44" fontId="8" fillId="0" borderId="30" xfId="25" applyNumberFormat="1" applyBorder="1" applyAlignment="1">
      <alignment horizontal="center" vertical="center"/>
    </xf>
    <xf numFmtId="164" fontId="8" fillId="0" borderId="13" xfId="175" applyFont="1" applyBorder="1" applyAlignment="1">
      <alignment horizontal="center"/>
    </xf>
    <xf numFmtId="0" fontId="8" fillId="0" borderId="4" xfId="174" applyBorder="1" applyAlignment="1">
      <alignment horizontal="center"/>
    </xf>
    <xf numFmtId="164" fontId="8" fillId="0" borderId="4" xfId="174" applyNumberFormat="1" applyBorder="1" applyAlignment="1">
      <alignment horizontal="center"/>
    </xf>
    <xf numFmtId="44" fontId="8" fillId="0" borderId="30" xfId="318" applyFont="1" applyFill="1" applyBorder="1" applyAlignment="1">
      <alignment horizontal="center"/>
    </xf>
    <xf numFmtId="9" fontId="8" fillId="0" borderId="75" xfId="176" applyFont="1" applyFill="1" applyBorder="1" applyAlignment="1">
      <alignment horizontal="center"/>
    </xf>
    <xf numFmtId="9" fontId="8" fillId="0" borderId="74" xfId="176" applyFont="1" applyFill="1" applyBorder="1" applyAlignment="1">
      <alignment horizontal="center"/>
    </xf>
    <xf numFmtId="44" fontId="8" fillId="0" borderId="74" xfId="174" applyNumberFormat="1" applyBorder="1" applyAlignment="1">
      <alignment horizontal="center"/>
    </xf>
    <xf numFmtId="9" fontId="8" fillId="3" borderId="73" xfId="176" applyFont="1" applyFill="1" applyBorder="1" applyAlignment="1">
      <alignment horizontal="center"/>
    </xf>
    <xf numFmtId="44" fontId="8" fillId="0" borderId="75" xfId="174" applyNumberFormat="1" applyBorder="1" applyAlignment="1">
      <alignment horizontal="center"/>
    </xf>
    <xf numFmtId="43" fontId="8" fillId="0" borderId="75" xfId="174" applyNumberFormat="1" applyBorder="1" applyAlignment="1">
      <alignment horizontal="center"/>
    </xf>
    <xf numFmtId="43" fontId="8" fillId="0" borderId="74" xfId="174" applyNumberFormat="1" applyBorder="1" applyAlignment="1">
      <alignment horizontal="center"/>
    </xf>
    <xf numFmtId="0" fontId="8" fillId="0" borderId="76" xfId="174" applyBorder="1" applyAlignment="1">
      <alignment horizontal="center"/>
    </xf>
    <xf numFmtId="164" fontId="8" fillId="0" borderId="22" xfId="175" applyFont="1" applyBorder="1" applyAlignment="1">
      <alignment horizontal="center"/>
    </xf>
    <xf numFmtId="44" fontId="8" fillId="0" borderId="77" xfId="174" applyNumberFormat="1" applyBorder="1" applyAlignment="1">
      <alignment horizontal="center"/>
    </xf>
    <xf numFmtId="0" fontId="8" fillId="0" borderId="77" xfId="174" applyBorder="1" applyAlignment="1">
      <alignment horizontal="center"/>
    </xf>
    <xf numFmtId="0" fontId="8" fillId="0" borderId="78" xfId="174" applyBorder="1" applyAlignment="1">
      <alignment horizontal="left"/>
    </xf>
    <xf numFmtId="0" fontId="8" fillId="0" borderId="79" xfId="174" applyBorder="1" applyAlignment="1">
      <alignment horizontal="left"/>
    </xf>
    <xf numFmtId="44" fontId="10" fillId="0" borderId="80" xfId="318" applyFont="1" applyFill="1" applyBorder="1" applyAlignment="1">
      <alignment horizontal="center" vertical="center"/>
    </xf>
    <xf numFmtId="164" fontId="10" fillId="0" borderId="79" xfId="175" applyFont="1" applyFill="1" applyBorder="1"/>
    <xf numFmtId="44" fontId="8" fillId="0" borderId="79" xfId="318" applyFont="1" applyFill="1" applyBorder="1" applyAlignment="1">
      <alignment horizontal="center"/>
    </xf>
    <xf numFmtId="44" fontId="8" fillId="0" borderId="81" xfId="318" applyFont="1" applyFill="1" applyBorder="1" applyAlignment="1">
      <alignment horizontal="center"/>
    </xf>
    <xf numFmtId="0" fontId="8" fillId="0" borderId="82" xfId="174" applyBorder="1"/>
    <xf numFmtId="0" fontId="8" fillId="0" borderId="72" xfId="174" applyBorder="1"/>
    <xf numFmtId="44" fontId="10" fillId="0" borderId="4" xfId="318" applyFont="1" applyFill="1" applyBorder="1" applyAlignment="1">
      <alignment horizontal="center" vertical="center"/>
    </xf>
    <xf numFmtId="164" fontId="0" fillId="0" borderId="72" xfId="175" applyFont="1" applyFill="1" applyBorder="1"/>
    <xf numFmtId="44" fontId="0" fillId="0" borderId="72" xfId="176" applyNumberFormat="1" applyFont="1" applyFill="1" applyBorder="1" applyAlignment="1">
      <alignment horizontal="center"/>
    </xf>
    <xf numFmtId="44" fontId="0" fillId="0" borderId="73" xfId="176" applyNumberFormat="1" applyFont="1" applyFill="1" applyBorder="1" applyAlignment="1">
      <alignment horizontal="center"/>
    </xf>
    <xf numFmtId="10" fontId="8" fillId="0" borderId="72" xfId="174" applyNumberFormat="1" applyBorder="1" applyAlignment="1">
      <alignment horizontal="center"/>
    </xf>
    <xf numFmtId="10" fontId="8" fillId="0" borderId="73" xfId="174" applyNumberFormat="1" applyBorder="1" applyAlignment="1">
      <alignment horizontal="center"/>
    </xf>
    <xf numFmtId="0" fontId="8" fillId="0" borderId="83" xfId="184" applyBorder="1"/>
    <xf numFmtId="0" fontId="8" fillId="0" borderId="84" xfId="184" applyBorder="1"/>
    <xf numFmtId="44" fontId="10" fillId="0" borderId="31" xfId="318" applyFont="1" applyFill="1" applyBorder="1" applyAlignment="1">
      <alignment horizontal="center" vertical="center"/>
    </xf>
    <xf numFmtId="10" fontId="8" fillId="0" borderId="84" xfId="184" applyNumberFormat="1" applyBorder="1" applyAlignment="1">
      <alignment horizontal="center"/>
    </xf>
    <xf numFmtId="10" fontId="8" fillId="0" borderId="85" xfId="184" applyNumberFormat="1" applyBorder="1" applyAlignment="1">
      <alignment horizontal="center"/>
    </xf>
    <xf numFmtId="0" fontId="8" fillId="10" borderId="0" xfId="184" applyFill="1"/>
    <xf numFmtId="0" fontId="8" fillId="10" borderId="0" xfId="184" applyFill="1" applyBorder="1"/>
    <xf numFmtId="0" fontId="44" fillId="10" borderId="0" xfId="311" applyFill="1" applyBorder="1"/>
    <xf numFmtId="0" fontId="8" fillId="10" borderId="16" xfId="184" applyFill="1" applyBorder="1"/>
    <xf numFmtId="0" fontId="8" fillId="10" borderId="32" xfId="184" applyFill="1" applyBorder="1"/>
    <xf numFmtId="0" fontId="8" fillId="10" borderId="33" xfId="184" applyFill="1" applyBorder="1"/>
    <xf numFmtId="0" fontId="8" fillId="10" borderId="8" xfId="184" applyFill="1" applyBorder="1"/>
    <xf numFmtId="0" fontId="8" fillId="10" borderId="9" xfId="184" applyFill="1" applyBorder="1"/>
    <xf numFmtId="0" fontId="8" fillId="10" borderId="10" xfId="184" applyFill="1" applyBorder="1"/>
    <xf numFmtId="0" fontId="8" fillId="10" borderId="11" xfId="184" applyFill="1" applyBorder="1"/>
    <xf numFmtId="0" fontId="8" fillId="10" borderId="12" xfId="184" applyFill="1" applyBorder="1"/>
  </cellXfs>
  <cellStyles count="319">
    <cellStyle name="_x000d__x000a_JournalTemplate=C:\COMFO\CTALK\JOURSTD.TPL_x000d__x000a_LbStateAddress=3 3 0 251 1 89 2 311_x000d__x000a_LbStateJou" xfId="78" xr:uid="{00000000-0005-0000-0000-000000000000}"/>
    <cellStyle name="20% - Ênfase1 100" xfId="1" xr:uid="{00000000-0005-0000-0000-000001000000}"/>
    <cellStyle name="60% - Ênfase6 37" xfId="2" xr:uid="{00000000-0005-0000-0000-000002000000}"/>
    <cellStyle name="Comma_Arauco Piping list" xfId="79" xr:uid="{00000000-0005-0000-0000-000003000000}"/>
    <cellStyle name="Comma0" xfId="80" xr:uid="{00000000-0005-0000-0000-000004000000}"/>
    <cellStyle name="CORES" xfId="81" xr:uid="{00000000-0005-0000-0000-000005000000}"/>
    <cellStyle name="Currency [0]_Arauco Piping list" xfId="82" xr:uid="{00000000-0005-0000-0000-000006000000}"/>
    <cellStyle name="Currency_Arauco Piping list" xfId="83" xr:uid="{00000000-0005-0000-0000-000007000000}"/>
    <cellStyle name="Currency0" xfId="84" xr:uid="{00000000-0005-0000-0000-000008000000}"/>
    <cellStyle name="Data" xfId="85" xr:uid="{00000000-0005-0000-0000-000009000000}"/>
    <cellStyle name="Date" xfId="86" xr:uid="{00000000-0005-0000-0000-00000A000000}"/>
    <cellStyle name="Excel Built-in Excel Built-in Excel Built-in Excel Built-in Excel Built-in Excel Built-in Excel Built-in Excel Built-in Separador de milhares 4" xfId="3" xr:uid="{00000000-0005-0000-0000-00000B000000}"/>
    <cellStyle name="Excel Built-in Excel Built-in Excel Built-in Excel Built-in Excel Built-in Excel Built-in Excel Built-in Separador de milhares 4" xfId="4" xr:uid="{00000000-0005-0000-0000-00000C000000}"/>
    <cellStyle name="Excel Built-in Normal" xfId="5" xr:uid="{00000000-0005-0000-0000-00000D000000}"/>
    <cellStyle name="Excel Built-in Normal 1" xfId="6" xr:uid="{00000000-0005-0000-0000-00000E000000}"/>
    <cellStyle name="Excel Built-in Normal 2" xfId="7" xr:uid="{00000000-0005-0000-0000-00000F000000}"/>
    <cellStyle name="Excel Built-in Normal 3" xfId="87" xr:uid="{00000000-0005-0000-0000-000010000000}"/>
    <cellStyle name="Excel_BuiltIn_Comma" xfId="8" xr:uid="{00000000-0005-0000-0000-000011000000}"/>
    <cellStyle name="Fixed" xfId="88" xr:uid="{00000000-0005-0000-0000-000012000000}"/>
    <cellStyle name="Fixo" xfId="89" xr:uid="{00000000-0005-0000-0000-000013000000}"/>
    <cellStyle name="Followed Hyperlink" xfId="90" xr:uid="{00000000-0005-0000-0000-000014000000}"/>
    <cellStyle name="Grey" xfId="91" xr:uid="{00000000-0005-0000-0000-000015000000}"/>
    <cellStyle name="Heading" xfId="9" xr:uid="{00000000-0005-0000-0000-000016000000}"/>
    <cellStyle name="Heading 1" xfId="92" xr:uid="{00000000-0005-0000-0000-000017000000}"/>
    <cellStyle name="Heading 2" xfId="93" xr:uid="{00000000-0005-0000-0000-000018000000}"/>
    <cellStyle name="Heading1" xfId="10" xr:uid="{00000000-0005-0000-0000-000019000000}"/>
    <cellStyle name="Hiperlink 2" xfId="94" xr:uid="{00000000-0005-0000-0000-00001A000000}"/>
    <cellStyle name="Indefinido" xfId="95" xr:uid="{00000000-0005-0000-0000-00001B000000}"/>
    <cellStyle name="Input [yellow]" xfId="96" xr:uid="{00000000-0005-0000-0000-00001C000000}"/>
    <cellStyle name="material" xfId="97" xr:uid="{00000000-0005-0000-0000-00001D000000}"/>
    <cellStyle name="material 2" xfId="191" xr:uid="{00000000-0005-0000-0000-00001E000000}"/>
    <cellStyle name="MINIPG" xfId="98" xr:uid="{00000000-0005-0000-0000-00001F000000}"/>
    <cellStyle name="Moeda" xfId="310" builtinId="4"/>
    <cellStyle name="Moeda 2" xfId="99" xr:uid="{00000000-0005-0000-0000-000020000000}"/>
    <cellStyle name="Moeda 3" xfId="313" xr:uid="{46DD8159-EBF4-41AC-8BA3-448A0E5D9B58}"/>
    <cellStyle name="Moeda 4" xfId="318" xr:uid="{D4A826DD-19EE-4672-9D07-E34AA3FA5604}"/>
    <cellStyle name="Normal" xfId="0" builtinId="0"/>
    <cellStyle name="Normal - Style1" xfId="100" xr:uid="{00000000-0005-0000-0000-000022000000}"/>
    <cellStyle name="Normal 10" xfId="101" xr:uid="{00000000-0005-0000-0000-000023000000}"/>
    <cellStyle name="Normal 10 2" xfId="184" xr:uid="{00000000-0005-0000-0000-000024000000}"/>
    <cellStyle name="Normal 11" xfId="102" xr:uid="{00000000-0005-0000-0000-000025000000}"/>
    <cellStyle name="Normal 11 2" xfId="189" xr:uid="{00000000-0005-0000-0000-000026000000}"/>
    <cellStyle name="Normal 12" xfId="103" xr:uid="{00000000-0005-0000-0000-000027000000}"/>
    <cellStyle name="Normal 12 2" xfId="192" xr:uid="{00000000-0005-0000-0000-000028000000}"/>
    <cellStyle name="Normal 13" xfId="104" xr:uid="{00000000-0005-0000-0000-000029000000}"/>
    <cellStyle name="Normal 13 2" xfId="105" xr:uid="{00000000-0005-0000-0000-00002A000000}"/>
    <cellStyle name="Normal 13 2 2" xfId="193" xr:uid="{00000000-0005-0000-0000-00002B000000}"/>
    <cellStyle name="Normal 13 3" xfId="106" xr:uid="{00000000-0005-0000-0000-00002C000000}"/>
    <cellStyle name="Normal 13 3 2" xfId="194" xr:uid="{00000000-0005-0000-0000-00002D000000}"/>
    <cellStyle name="Normal 13 4" xfId="182" xr:uid="{00000000-0005-0000-0000-00002E000000}"/>
    <cellStyle name="Normal 13 5" xfId="195" xr:uid="{00000000-0005-0000-0000-00002F000000}"/>
    <cellStyle name="Normal 14" xfId="107" xr:uid="{00000000-0005-0000-0000-000030000000}"/>
    <cellStyle name="Normal 14 2" xfId="108" xr:uid="{00000000-0005-0000-0000-000031000000}"/>
    <cellStyle name="Normal 14 2 2" xfId="196" xr:uid="{00000000-0005-0000-0000-000032000000}"/>
    <cellStyle name="Normal 14 3" xfId="109" xr:uid="{00000000-0005-0000-0000-000033000000}"/>
    <cellStyle name="Normal 14 3 2" xfId="197" xr:uid="{00000000-0005-0000-0000-000034000000}"/>
    <cellStyle name="Normal 14 4" xfId="198" xr:uid="{00000000-0005-0000-0000-000035000000}"/>
    <cellStyle name="Normal 15" xfId="110" xr:uid="{00000000-0005-0000-0000-000036000000}"/>
    <cellStyle name="Normal 15 2" xfId="111" xr:uid="{00000000-0005-0000-0000-000037000000}"/>
    <cellStyle name="Normal 155" xfId="303" xr:uid="{32805508-6692-4CC6-923F-9F1EB51638A9}"/>
    <cellStyle name="Normal 16" xfId="112" xr:uid="{00000000-0005-0000-0000-000038000000}"/>
    <cellStyle name="Normal 16 2" xfId="113" xr:uid="{00000000-0005-0000-0000-000039000000}"/>
    <cellStyle name="Normal 16 2 2" xfId="199" xr:uid="{00000000-0005-0000-0000-00003A000000}"/>
    <cellStyle name="Normal 16 3" xfId="114" xr:uid="{00000000-0005-0000-0000-00003B000000}"/>
    <cellStyle name="Normal 16 3 2" xfId="200" xr:uid="{00000000-0005-0000-0000-00003C000000}"/>
    <cellStyle name="Normal 16 4" xfId="201" xr:uid="{00000000-0005-0000-0000-00003D000000}"/>
    <cellStyle name="Normal 160" xfId="306" xr:uid="{382D77AF-8E8E-4974-B826-775D883FABD3}"/>
    <cellStyle name="Normal 17" xfId="52" xr:uid="{00000000-0005-0000-0000-00003E000000}"/>
    <cellStyle name="Normal 17 2" xfId="202" xr:uid="{00000000-0005-0000-0000-00003F000000}"/>
    <cellStyle name="Normal 18" xfId="62" xr:uid="{00000000-0005-0000-0000-000040000000}"/>
    <cellStyle name="Normal 18 2" xfId="203" xr:uid="{00000000-0005-0000-0000-000041000000}"/>
    <cellStyle name="Normal 181" xfId="301" xr:uid="{EC78EBFC-6889-4172-BD5E-DA116CB17815}"/>
    <cellStyle name="Normal 181 2" xfId="307" xr:uid="{B97B2BFD-4C07-4EC1-953B-0500D3453009}"/>
    <cellStyle name="Normal 19" xfId="43" xr:uid="{00000000-0005-0000-0000-000042000000}"/>
    <cellStyle name="Normal 19 2" xfId="204" xr:uid="{00000000-0005-0000-0000-000043000000}"/>
    <cellStyle name="Normal 2" xfId="11" xr:uid="{00000000-0005-0000-0000-000044000000}"/>
    <cellStyle name="Normal 2 2" xfId="115" xr:uid="{00000000-0005-0000-0000-000045000000}"/>
    <cellStyle name="Normal 2 2 2" xfId="174" xr:uid="{00000000-0005-0000-0000-000046000000}"/>
    <cellStyle name="Normal 20" xfId="48" xr:uid="{00000000-0005-0000-0000-000047000000}"/>
    <cellStyle name="Normal 20 2" xfId="205" xr:uid="{00000000-0005-0000-0000-000048000000}"/>
    <cellStyle name="Normal 21" xfId="57" xr:uid="{00000000-0005-0000-0000-000049000000}"/>
    <cellStyle name="Normal 21 2" xfId="206" xr:uid="{00000000-0005-0000-0000-00004A000000}"/>
    <cellStyle name="Normal 22" xfId="39" xr:uid="{00000000-0005-0000-0000-00004B000000}"/>
    <cellStyle name="Normal 22 2" xfId="207" xr:uid="{00000000-0005-0000-0000-00004C000000}"/>
    <cellStyle name="Normal 23" xfId="35" xr:uid="{00000000-0005-0000-0000-00004D000000}"/>
    <cellStyle name="Normal 23 2" xfId="208" xr:uid="{00000000-0005-0000-0000-00004E000000}"/>
    <cellStyle name="Normal 24" xfId="37" xr:uid="{00000000-0005-0000-0000-00004F000000}"/>
    <cellStyle name="Normal 24 2" xfId="209" xr:uid="{00000000-0005-0000-0000-000050000000}"/>
    <cellStyle name="Normal 25" xfId="66" xr:uid="{00000000-0005-0000-0000-000051000000}"/>
    <cellStyle name="Normal 25 2" xfId="210" xr:uid="{00000000-0005-0000-0000-000052000000}"/>
    <cellStyle name="Normal 26" xfId="77" xr:uid="{00000000-0005-0000-0000-000053000000}"/>
    <cellStyle name="Normal 26 2" xfId="211" xr:uid="{00000000-0005-0000-0000-000054000000}"/>
    <cellStyle name="Normal 27" xfId="71" xr:uid="{00000000-0005-0000-0000-000055000000}"/>
    <cellStyle name="Normal 27 2" xfId="212" xr:uid="{00000000-0005-0000-0000-000056000000}"/>
    <cellStyle name="Normal 28" xfId="68" xr:uid="{00000000-0005-0000-0000-000057000000}"/>
    <cellStyle name="Normal 28 2" xfId="213" xr:uid="{00000000-0005-0000-0000-000058000000}"/>
    <cellStyle name="Normal 29" xfId="59" xr:uid="{00000000-0005-0000-0000-000059000000}"/>
    <cellStyle name="Normal 29 2" xfId="214" xr:uid="{00000000-0005-0000-0000-00005A000000}"/>
    <cellStyle name="Normal 3" xfId="12" xr:uid="{00000000-0005-0000-0000-00005B000000}"/>
    <cellStyle name="Normal 3 2" xfId="116" xr:uid="{00000000-0005-0000-0000-00005C000000}"/>
    <cellStyle name="Normal 3 2 2" xfId="215" xr:uid="{00000000-0005-0000-0000-00005D000000}"/>
    <cellStyle name="Normal 3 3" xfId="117" xr:uid="{00000000-0005-0000-0000-00005E000000}"/>
    <cellStyle name="Normal 3 4" xfId="216" xr:uid="{00000000-0005-0000-0000-00005F000000}"/>
    <cellStyle name="Normal 30" xfId="33" xr:uid="{00000000-0005-0000-0000-000060000000}"/>
    <cellStyle name="Normal 30 2" xfId="217" xr:uid="{00000000-0005-0000-0000-000061000000}"/>
    <cellStyle name="Normal 31" xfId="64" xr:uid="{00000000-0005-0000-0000-000062000000}"/>
    <cellStyle name="Normal 31 2" xfId="218" xr:uid="{00000000-0005-0000-0000-000063000000}"/>
    <cellStyle name="Normal 32" xfId="41" xr:uid="{00000000-0005-0000-0000-000064000000}"/>
    <cellStyle name="Normal 32 2" xfId="219" xr:uid="{00000000-0005-0000-0000-000065000000}"/>
    <cellStyle name="Normal 33" xfId="50" xr:uid="{00000000-0005-0000-0000-000066000000}"/>
    <cellStyle name="Normal 33 2" xfId="220" xr:uid="{00000000-0005-0000-0000-000067000000}"/>
    <cellStyle name="Normal 34" xfId="75" xr:uid="{00000000-0005-0000-0000-000068000000}"/>
    <cellStyle name="Normal 34 2" xfId="221" xr:uid="{00000000-0005-0000-0000-000069000000}"/>
    <cellStyle name="Normal 35" xfId="60" xr:uid="{00000000-0005-0000-0000-00006A000000}"/>
    <cellStyle name="Normal 35 2" xfId="222" xr:uid="{00000000-0005-0000-0000-00006B000000}"/>
    <cellStyle name="Normal 36" xfId="46" xr:uid="{00000000-0005-0000-0000-00006C000000}"/>
    <cellStyle name="Normal 36 2" xfId="223" xr:uid="{00000000-0005-0000-0000-00006D000000}"/>
    <cellStyle name="Normal 37" xfId="118" xr:uid="{00000000-0005-0000-0000-00006E000000}"/>
    <cellStyle name="Normal 37 2" xfId="119" xr:uid="{00000000-0005-0000-0000-00006F000000}"/>
    <cellStyle name="Normal 37 2 2" xfId="224" xr:uid="{00000000-0005-0000-0000-000070000000}"/>
    <cellStyle name="Normal 37 3" xfId="225" xr:uid="{00000000-0005-0000-0000-000071000000}"/>
    <cellStyle name="Normal 38" xfId="120" xr:uid="{00000000-0005-0000-0000-000072000000}"/>
    <cellStyle name="Normal 38 2" xfId="226" xr:uid="{00000000-0005-0000-0000-000073000000}"/>
    <cellStyle name="Normal 39" xfId="34" xr:uid="{00000000-0005-0000-0000-000074000000}"/>
    <cellStyle name="Normal 39 2" xfId="227" xr:uid="{00000000-0005-0000-0000-000075000000}"/>
    <cellStyle name="Normal 4" xfId="13" xr:uid="{00000000-0005-0000-0000-000076000000}"/>
    <cellStyle name="Normal 4 2" xfId="185" xr:uid="{00000000-0005-0000-0000-000077000000}"/>
    <cellStyle name="Normal 4 3" xfId="228" xr:uid="{00000000-0005-0000-0000-000078000000}"/>
    <cellStyle name="Normal 40" xfId="36" xr:uid="{00000000-0005-0000-0000-000079000000}"/>
    <cellStyle name="Normal 40 2" xfId="229" xr:uid="{00000000-0005-0000-0000-00007A000000}"/>
    <cellStyle name="Normal 41" xfId="38" xr:uid="{00000000-0005-0000-0000-00007B000000}"/>
    <cellStyle name="Normal 41 2" xfId="230" xr:uid="{00000000-0005-0000-0000-00007C000000}"/>
    <cellStyle name="Normal 42" xfId="40" xr:uid="{00000000-0005-0000-0000-00007D000000}"/>
    <cellStyle name="Normal 42 2" xfId="231" xr:uid="{00000000-0005-0000-0000-00007E000000}"/>
    <cellStyle name="Normal 43" xfId="42" xr:uid="{00000000-0005-0000-0000-00007F000000}"/>
    <cellStyle name="Normal 43 2" xfId="232" xr:uid="{00000000-0005-0000-0000-000080000000}"/>
    <cellStyle name="Normal 44" xfId="44" xr:uid="{00000000-0005-0000-0000-000081000000}"/>
    <cellStyle name="Normal 44 2" xfId="233" xr:uid="{00000000-0005-0000-0000-000082000000}"/>
    <cellStyle name="Normal 45" xfId="45" xr:uid="{00000000-0005-0000-0000-000083000000}"/>
    <cellStyle name="Normal 45 2" xfId="234" xr:uid="{00000000-0005-0000-0000-000084000000}"/>
    <cellStyle name="Normal 46" xfId="47" xr:uid="{00000000-0005-0000-0000-000085000000}"/>
    <cellStyle name="Normal 46 2" xfId="235" xr:uid="{00000000-0005-0000-0000-000086000000}"/>
    <cellStyle name="Normal 47" xfId="49" xr:uid="{00000000-0005-0000-0000-000087000000}"/>
    <cellStyle name="Normal 47 2" xfId="236" xr:uid="{00000000-0005-0000-0000-000088000000}"/>
    <cellStyle name="Normal 48" xfId="51" xr:uid="{00000000-0005-0000-0000-000089000000}"/>
    <cellStyle name="Normal 48 2" xfId="237" xr:uid="{00000000-0005-0000-0000-00008A000000}"/>
    <cellStyle name="Normal 49" xfId="53" xr:uid="{00000000-0005-0000-0000-00008B000000}"/>
    <cellStyle name="Normal 49 2" xfId="238" xr:uid="{00000000-0005-0000-0000-00008C000000}"/>
    <cellStyle name="Normal 5" xfId="121" xr:uid="{00000000-0005-0000-0000-00008D000000}"/>
    <cellStyle name="Normal 5 2" xfId="122" xr:uid="{00000000-0005-0000-0000-00008E000000}"/>
    <cellStyle name="Normal 5 2 2" xfId="123" xr:uid="{00000000-0005-0000-0000-00008F000000}"/>
    <cellStyle name="Normal 5 2 2 2" xfId="239" xr:uid="{00000000-0005-0000-0000-000090000000}"/>
    <cellStyle name="Normal 5 2 3" xfId="124" xr:uid="{00000000-0005-0000-0000-000091000000}"/>
    <cellStyle name="Normal 5 2 3 2" xfId="240" xr:uid="{00000000-0005-0000-0000-000092000000}"/>
    <cellStyle name="Normal 5 2 4" xfId="241" xr:uid="{00000000-0005-0000-0000-000093000000}"/>
    <cellStyle name="Normal 5 3" xfId="125" xr:uid="{00000000-0005-0000-0000-000094000000}"/>
    <cellStyle name="Normal 5 3 2" xfId="242" xr:uid="{00000000-0005-0000-0000-000095000000}"/>
    <cellStyle name="Normal 5 4" xfId="126" xr:uid="{00000000-0005-0000-0000-000096000000}"/>
    <cellStyle name="Normal 5 4 2" xfId="243" xr:uid="{00000000-0005-0000-0000-000097000000}"/>
    <cellStyle name="Normal 5 5" xfId="244" xr:uid="{00000000-0005-0000-0000-000098000000}"/>
    <cellStyle name="Normal 50" xfId="54" xr:uid="{00000000-0005-0000-0000-000099000000}"/>
    <cellStyle name="Normal 50 2" xfId="245" xr:uid="{00000000-0005-0000-0000-00009A000000}"/>
    <cellStyle name="Normal 51" xfId="55" xr:uid="{00000000-0005-0000-0000-00009B000000}"/>
    <cellStyle name="Normal 51 2" xfId="246" xr:uid="{00000000-0005-0000-0000-00009C000000}"/>
    <cellStyle name="Normal 52" xfId="56" xr:uid="{00000000-0005-0000-0000-00009D000000}"/>
    <cellStyle name="Normal 52 2" xfId="247" xr:uid="{00000000-0005-0000-0000-00009E000000}"/>
    <cellStyle name="Normal 53" xfId="58" xr:uid="{00000000-0005-0000-0000-00009F000000}"/>
    <cellStyle name="Normal 53 2" xfId="248" xr:uid="{00000000-0005-0000-0000-0000A0000000}"/>
    <cellStyle name="Normal 54" xfId="61" xr:uid="{00000000-0005-0000-0000-0000A1000000}"/>
    <cellStyle name="Normal 54 2" xfId="249" xr:uid="{00000000-0005-0000-0000-0000A2000000}"/>
    <cellStyle name="Normal 55" xfId="63" xr:uid="{00000000-0005-0000-0000-0000A3000000}"/>
    <cellStyle name="Normal 55 2" xfId="250" xr:uid="{00000000-0005-0000-0000-0000A4000000}"/>
    <cellStyle name="Normal 56" xfId="65" xr:uid="{00000000-0005-0000-0000-0000A5000000}"/>
    <cellStyle name="Normal 56 2" xfId="251" xr:uid="{00000000-0005-0000-0000-0000A6000000}"/>
    <cellStyle name="Normal 57" xfId="67" xr:uid="{00000000-0005-0000-0000-0000A7000000}"/>
    <cellStyle name="Normal 57 2" xfId="252" xr:uid="{00000000-0005-0000-0000-0000A8000000}"/>
    <cellStyle name="Normal 58" xfId="69" xr:uid="{00000000-0005-0000-0000-0000A9000000}"/>
    <cellStyle name="Normal 58 2" xfId="253" xr:uid="{00000000-0005-0000-0000-0000AA000000}"/>
    <cellStyle name="Normal 59" xfId="70" xr:uid="{00000000-0005-0000-0000-0000AB000000}"/>
    <cellStyle name="Normal 59 2" xfId="254" xr:uid="{00000000-0005-0000-0000-0000AC000000}"/>
    <cellStyle name="Normal 6" xfId="14" xr:uid="{00000000-0005-0000-0000-0000AD000000}"/>
    <cellStyle name="Normal 6 2" xfId="127" xr:uid="{00000000-0005-0000-0000-0000AE000000}"/>
    <cellStyle name="Normal 6 2 2" xfId="128" xr:uid="{00000000-0005-0000-0000-0000AF000000}"/>
    <cellStyle name="Normal 6 2 2 2" xfId="129" xr:uid="{00000000-0005-0000-0000-0000B0000000}"/>
    <cellStyle name="Normal 6 2 2 2 2" xfId="255" xr:uid="{00000000-0005-0000-0000-0000B1000000}"/>
    <cellStyle name="Normal 6 2 2 3" xfId="130" xr:uid="{00000000-0005-0000-0000-0000B2000000}"/>
    <cellStyle name="Normal 6 2 2 3 2" xfId="256" xr:uid="{00000000-0005-0000-0000-0000B3000000}"/>
    <cellStyle name="Normal 6 2 2 4" xfId="257" xr:uid="{00000000-0005-0000-0000-0000B4000000}"/>
    <cellStyle name="Normal 6 2 3" xfId="131" xr:uid="{00000000-0005-0000-0000-0000B5000000}"/>
    <cellStyle name="Normal 6 2 3 2" xfId="258" xr:uid="{00000000-0005-0000-0000-0000B6000000}"/>
    <cellStyle name="Normal 6 2 4" xfId="132" xr:uid="{00000000-0005-0000-0000-0000B7000000}"/>
    <cellStyle name="Normal 6 2 4 2" xfId="259" xr:uid="{00000000-0005-0000-0000-0000B8000000}"/>
    <cellStyle name="Normal 6 2 5" xfId="260" xr:uid="{00000000-0005-0000-0000-0000B9000000}"/>
    <cellStyle name="Normal 6 3" xfId="133" xr:uid="{00000000-0005-0000-0000-0000BA000000}"/>
    <cellStyle name="Normal 6 3 2" xfId="134" xr:uid="{00000000-0005-0000-0000-0000BB000000}"/>
    <cellStyle name="Normal 6 3 2 2" xfId="261" xr:uid="{00000000-0005-0000-0000-0000BC000000}"/>
    <cellStyle name="Normal 6 3 3" xfId="135" xr:uid="{00000000-0005-0000-0000-0000BD000000}"/>
    <cellStyle name="Normal 6 3 3 2" xfId="262" xr:uid="{00000000-0005-0000-0000-0000BE000000}"/>
    <cellStyle name="Normal 6 3 4" xfId="263" xr:uid="{00000000-0005-0000-0000-0000BF000000}"/>
    <cellStyle name="Normal 6 4" xfId="136" xr:uid="{00000000-0005-0000-0000-0000C0000000}"/>
    <cellStyle name="Normal 6 4 2" xfId="264" xr:uid="{00000000-0005-0000-0000-0000C1000000}"/>
    <cellStyle name="Normal 6 5" xfId="137" xr:uid="{00000000-0005-0000-0000-0000C2000000}"/>
    <cellStyle name="Normal 6 5 2" xfId="265" xr:uid="{00000000-0005-0000-0000-0000C3000000}"/>
    <cellStyle name="Normal 6 6" xfId="266" xr:uid="{00000000-0005-0000-0000-0000C4000000}"/>
    <cellStyle name="Normal 60" xfId="72" xr:uid="{00000000-0005-0000-0000-0000C5000000}"/>
    <cellStyle name="Normal 60 2" xfId="267" xr:uid="{00000000-0005-0000-0000-0000C6000000}"/>
    <cellStyle name="Normal 61" xfId="73" xr:uid="{00000000-0005-0000-0000-0000C7000000}"/>
    <cellStyle name="Normal 61 2" xfId="268" xr:uid="{00000000-0005-0000-0000-0000C8000000}"/>
    <cellStyle name="Normal 62" xfId="74" xr:uid="{00000000-0005-0000-0000-0000C9000000}"/>
    <cellStyle name="Normal 62 2" xfId="269" xr:uid="{00000000-0005-0000-0000-0000CA000000}"/>
    <cellStyle name="Normal 63" xfId="76" xr:uid="{00000000-0005-0000-0000-0000CB000000}"/>
    <cellStyle name="Normal 63 2" xfId="270" xr:uid="{00000000-0005-0000-0000-0000CC000000}"/>
    <cellStyle name="Normal 64" xfId="177" xr:uid="{00000000-0005-0000-0000-0000CD000000}"/>
    <cellStyle name="Normal 64 2" xfId="178" xr:uid="{00000000-0005-0000-0000-0000CE000000}"/>
    <cellStyle name="Normal 65" xfId="179" xr:uid="{00000000-0005-0000-0000-0000CF000000}"/>
    <cellStyle name="Normal 66" xfId="271" xr:uid="{00000000-0005-0000-0000-0000D0000000}"/>
    <cellStyle name="Normal 67" xfId="272" xr:uid="{00000000-0005-0000-0000-0000D1000000}"/>
    <cellStyle name="Normal 68" xfId="311" xr:uid="{F4CA399F-D868-4706-B921-7D6DDB0C43C1}"/>
    <cellStyle name="Normal 69" xfId="314" xr:uid="{2AB6C7E8-454F-41D4-9A03-FA648B264E29}"/>
    <cellStyle name="Normal 7" xfId="15" xr:uid="{00000000-0005-0000-0000-0000D2000000}"/>
    <cellStyle name="Normal 7 2" xfId="138" xr:uid="{00000000-0005-0000-0000-0000D3000000}"/>
    <cellStyle name="Normal 7 2 2" xfId="273" xr:uid="{00000000-0005-0000-0000-0000D4000000}"/>
    <cellStyle name="Normal 7 3" xfId="274" xr:uid="{00000000-0005-0000-0000-0000D5000000}"/>
    <cellStyle name="Normal 8" xfId="139" xr:uid="{00000000-0005-0000-0000-0000D6000000}"/>
    <cellStyle name="Normal 8 2" xfId="140" xr:uid="{00000000-0005-0000-0000-0000D7000000}"/>
    <cellStyle name="Normal 8 2 2" xfId="275" xr:uid="{00000000-0005-0000-0000-0000D8000000}"/>
    <cellStyle name="Normal 8 3" xfId="276" xr:uid="{00000000-0005-0000-0000-0000D9000000}"/>
    <cellStyle name="Normal 85" xfId="304" xr:uid="{16C1B757-0DE0-43F0-8876-619D0E3AE032}"/>
    <cellStyle name="Normal 86" xfId="305" xr:uid="{CDEF765A-F6B6-4C79-846A-0E06E6363A5A}"/>
    <cellStyle name="Normal 9" xfId="16" xr:uid="{00000000-0005-0000-0000-0000DA000000}"/>
    <cellStyle name="Normal 9 2" xfId="277" xr:uid="{00000000-0005-0000-0000-0000DB000000}"/>
    <cellStyle name="Normal_COMPOSIÇOES CINEP - 2" xfId="317" xr:uid="{B74F5915-161F-4167-9B10-61C89D14966D}"/>
    <cellStyle name="Normal1" xfId="141" xr:uid="{00000000-0005-0000-0000-0000DC000000}"/>
    <cellStyle name="Normal2" xfId="142" xr:uid="{00000000-0005-0000-0000-0000DD000000}"/>
    <cellStyle name="Normal3" xfId="143" xr:uid="{00000000-0005-0000-0000-0000DE000000}"/>
    <cellStyle name="Percent [2]" xfId="144" xr:uid="{00000000-0005-0000-0000-0000DF000000}"/>
    <cellStyle name="Percent [2] 2" xfId="278" xr:uid="{00000000-0005-0000-0000-0000E0000000}"/>
    <cellStyle name="Percent_Sheet1" xfId="145" xr:uid="{00000000-0005-0000-0000-0000E1000000}"/>
    <cellStyle name="Percentual" xfId="146" xr:uid="{00000000-0005-0000-0000-0000E2000000}"/>
    <cellStyle name="Ponto" xfId="147" xr:uid="{00000000-0005-0000-0000-0000E3000000}"/>
    <cellStyle name="Porcentagem" xfId="32" builtinId="5"/>
    <cellStyle name="Porcentagem 10" xfId="316" xr:uid="{43441BD7-38D1-4CA9-92EE-FF051A120578}"/>
    <cellStyle name="Porcentagem 2" xfId="17" xr:uid="{00000000-0005-0000-0000-0000E5000000}"/>
    <cellStyle name="Porcentagem 2 2" xfId="176" xr:uid="{00000000-0005-0000-0000-0000E6000000}"/>
    <cellStyle name="Porcentagem 3" xfId="18" xr:uid="{00000000-0005-0000-0000-0000E7000000}"/>
    <cellStyle name="Porcentagem 3 2" xfId="148" xr:uid="{00000000-0005-0000-0000-0000E8000000}"/>
    <cellStyle name="Porcentagem 3 3" xfId="279" xr:uid="{00000000-0005-0000-0000-0000E9000000}"/>
    <cellStyle name="Porcentagem 4" xfId="19" xr:uid="{00000000-0005-0000-0000-0000EA000000}"/>
    <cellStyle name="Porcentagem 4 2" xfId="20" xr:uid="{00000000-0005-0000-0000-0000EB000000}"/>
    <cellStyle name="Porcentagem 4 2 2" xfId="186" xr:uid="{00000000-0005-0000-0000-0000EC000000}"/>
    <cellStyle name="Porcentagem 5" xfId="149" xr:uid="{00000000-0005-0000-0000-0000ED000000}"/>
    <cellStyle name="Porcentagem 6" xfId="150" xr:uid="{00000000-0005-0000-0000-0000EE000000}"/>
    <cellStyle name="Porcentagem 6 2" xfId="151" xr:uid="{00000000-0005-0000-0000-0000EF000000}"/>
    <cellStyle name="Porcentagem 6 2 2" xfId="280" xr:uid="{00000000-0005-0000-0000-0000F0000000}"/>
    <cellStyle name="Porcentagem 6 3" xfId="281" xr:uid="{00000000-0005-0000-0000-0000F1000000}"/>
    <cellStyle name="Porcentagem 7" xfId="180" xr:uid="{00000000-0005-0000-0000-0000F2000000}"/>
    <cellStyle name="Porcentagem 8" xfId="312" xr:uid="{4CCF8C50-A80F-4DC7-AAB0-BA4278E4F42A}"/>
    <cellStyle name="Porcentagem 9" xfId="309" xr:uid="{EE314633-B8BD-4E12-AA4C-47CC0005B9FE}"/>
    <cellStyle name="Result" xfId="21" xr:uid="{00000000-0005-0000-0000-0000F3000000}"/>
    <cellStyle name="Result2" xfId="22" xr:uid="{00000000-0005-0000-0000-0000F4000000}"/>
    <cellStyle name="Sep. milhar [0]" xfId="152" xr:uid="{00000000-0005-0000-0000-0000F5000000}"/>
    <cellStyle name="Separador de m" xfId="153" xr:uid="{00000000-0005-0000-0000-0000F6000000}"/>
    <cellStyle name="Separador de milhares 2" xfId="23" xr:uid="{00000000-0005-0000-0000-0000F7000000}"/>
    <cellStyle name="Separador de milhares 2 2" xfId="154" xr:uid="{00000000-0005-0000-0000-0000F8000000}"/>
    <cellStyle name="Separador de milhares 2 2 2" xfId="282" xr:uid="{00000000-0005-0000-0000-0000F9000000}"/>
    <cellStyle name="Separador de milhares 2 3" xfId="283" xr:uid="{00000000-0005-0000-0000-0000FA000000}"/>
    <cellStyle name="Separador de milhares 3" xfId="155" xr:uid="{00000000-0005-0000-0000-0000FB000000}"/>
    <cellStyle name="Separador de milhares 4" xfId="24" xr:uid="{00000000-0005-0000-0000-0000FC000000}"/>
    <cellStyle name="Sepavador de milhares [0]_Pasta2" xfId="156" xr:uid="{00000000-0005-0000-0000-0000FD000000}"/>
    <cellStyle name="Standard_RP100_01 (metr.)" xfId="157" xr:uid="{00000000-0005-0000-0000-0000FE000000}"/>
    <cellStyle name="Titulo1" xfId="158" xr:uid="{00000000-0005-0000-0000-0000FF000000}"/>
    <cellStyle name="Titulo2" xfId="159" xr:uid="{00000000-0005-0000-0000-000000010000}"/>
    <cellStyle name="Vírgula" xfId="25" builtinId="3"/>
    <cellStyle name="Vírgula 10" xfId="160" xr:uid="{00000000-0005-0000-0000-000002010000}"/>
    <cellStyle name="Vírgula 10 2" xfId="161" xr:uid="{00000000-0005-0000-0000-000003010000}"/>
    <cellStyle name="Vírgula 10 2 2" xfId="284" xr:uid="{00000000-0005-0000-0000-000004010000}"/>
    <cellStyle name="Vírgula 10 3" xfId="285" xr:uid="{00000000-0005-0000-0000-000005010000}"/>
    <cellStyle name="Vírgula 11" xfId="162" xr:uid="{00000000-0005-0000-0000-000006010000}"/>
    <cellStyle name="Vírgula 11 2" xfId="286" xr:uid="{00000000-0005-0000-0000-000007010000}"/>
    <cellStyle name="Vírgula 12" xfId="163" xr:uid="{00000000-0005-0000-0000-000008010000}"/>
    <cellStyle name="Vírgula 12 2" xfId="287" xr:uid="{00000000-0005-0000-0000-000009010000}"/>
    <cellStyle name="Vírgula 13" xfId="181" xr:uid="{00000000-0005-0000-0000-00000A010000}"/>
    <cellStyle name="Vírgula 14" xfId="315" xr:uid="{3EED6882-1679-4CC5-A2F3-96799932D9C3}"/>
    <cellStyle name="Vírgula 15" xfId="302" xr:uid="{F306114A-E31E-4214-A1BA-0148B4370BBD}"/>
    <cellStyle name="Vírgula 15 2" xfId="308" xr:uid="{4D2FC1EB-37CE-4E18-8E0F-DF58CC6D6457}"/>
    <cellStyle name="Vírgula 2" xfId="26" xr:uid="{00000000-0005-0000-0000-00000B010000}"/>
    <cellStyle name="Vírgula 2 2" xfId="164" xr:uid="{00000000-0005-0000-0000-00000C010000}"/>
    <cellStyle name="Vírgula 2 2 2" xfId="190" xr:uid="{00000000-0005-0000-0000-00000D010000}"/>
    <cellStyle name="Vírgula 2 3" xfId="175" xr:uid="{00000000-0005-0000-0000-00000E010000}"/>
    <cellStyle name="Vírgula 2 4" xfId="288" xr:uid="{00000000-0005-0000-0000-00000F010000}"/>
    <cellStyle name="Vírgula 3" xfId="27" xr:uid="{00000000-0005-0000-0000-000010010000}"/>
    <cellStyle name="Vírgula 3 2" xfId="28" xr:uid="{00000000-0005-0000-0000-000011010000}"/>
    <cellStyle name="Vírgula 3 2 2" xfId="289" xr:uid="{00000000-0005-0000-0000-000012010000}"/>
    <cellStyle name="Vírgula 3 3" xfId="290" xr:uid="{00000000-0005-0000-0000-000013010000}"/>
    <cellStyle name="Vírgula 4" xfId="29" xr:uid="{00000000-0005-0000-0000-000014010000}"/>
    <cellStyle name="Vírgula 5" xfId="30" xr:uid="{00000000-0005-0000-0000-000015010000}"/>
    <cellStyle name="Vírgula 5 2" xfId="31" xr:uid="{00000000-0005-0000-0000-000016010000}"/>
    <cellStyle name="Vírgula 5 2 2" xfId="187" xr:uid="{00000000-0005-0000-0000-000017010000}"/>
    <cellStyle name="Vírgula 6" xfId="165" xr:uid="{00000000-0005-0000-0000-000018010000}"/>
    <cellStyle name="Vírgula 6 2" xfId="166" xr:uid="{00000000-0005-0000-0000-000019010000}"/>
    <cellStyle name="Vírgula 6 2 2" xfId="291" xr:uid="{00000000-0005-0000-0000-00001A010000}"/>
    <cellStyle name="Vírgula 6 3" xfId="188" xr:uid="{00000000-0005-0000-0000-00001B010000}"/>
    <cellStyle name="Vírgula 6 3 2" xfId="292" xr:uid="{00000000-0005-0000-0000-00001C010000}"/>
    <cellStyle name="Vírgula 6 4" xfId="293" xr:uid="{00000000-0005-0000-0000-00001D010000}"/>
    <cellStyle name="Vírgula 7" xfId="167" xr:uid="{00000000-0005-0000-0000-00001E010000}"/>
    <cellStyle name="Vírgula 7 2" xfId="168" xr:uid="{00000000-0005-0000-0000-00001F010000}"/>
    <cellStyle name="Vírgula 7 2 2" xfId="294" xr:uid="{00000000-0005-0000-0000-000020010000}"/>
    <cellStyle name="Vírgula 7 3" xfId="169" xr:uid="{00000000-0005-0000-0000-000021010000}"/>
    <cellStyle name="Vírgula 7 3 2" xfId="295" xr:uid="{00000000-0005-0000-0000-000022010000}"/>
    <cellStyle name="Vírgula 7 4" xfId="183" xr:uid="{00000000-0005-0000-0000-000023010000}"/>
    <cellStyle name="Vírgula 7 4 2" xfId="296" xr:uid="{00000000-0005-0000-0000-000024010000}"/>
    <cellStyle name="Vírgula 7 5" xfId="297" xr:uid="{00000000-0005-0000-0000-000025010000}"/>
    <cellStyle name="Vírgula 8" xfId="170" xr:uid="{00000000-0005-0000-0000-000026010000}"/>
    <cellStyle name="Vírgula 8 2" xfId="171" xr:uid="{00000000-0005-0000-0000-000027010000}"/>
    <cellStyle name="Vírgula 8 2 2" xfId="298" xr:uid="{00000000-0005-0000-0000-000028010000}"/>
    <cellStyle name="Vírgula 8 3" xfId="172" xr:uid="{00000000-0005-0000-0000-000029010000}"/>
    <cellStyle name="Vírgula 8 3 2" xfId="299" xr:uid="{00000000-0005-0000-0000-00002A010000}"/>
    <cellStyle name="Vírgula 8 4" xfId="300" xr:uid="{00000000-0005-0000-0000-00002B010000}"/>
    <cellStyle name="Vírgula 9" xfId="173" xr:uid="{00000000-0005-0000-0000-00002C010000}"/>
  </cellStyles>
  <dxfs count="6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585107</xdr:colOff>
      <xdr:row>0</xdr:row>
      <xdr:rowOff>54428</xdr:rowOff>
    </xdr:from>
    <xdr:to>
      <xdr:col>3</xdr:col>
      <xdr:colOff>244929</xdr:colOff>
      <xdr:row>3</xdr:row>
      <xdr:rowOff>102317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1B09AE-4DF3-453F-AEC6-ABF882534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54428"/>
          <a:ext cx="1156608" cy="619389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266</xdr:row>
      <xdr:rowOff>0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A3FAC8B-31EE-4ADC-A66C-BB6701A4C5B2}"/>
            </a:ext>
          </a:extLst>
        </xdr:cNvPr>
        <xdr:cNvSpPr txBox="1"/>
      </xdr:nvSpPr>
      <xdr:spPr>
        <a:xfrm>
          <a:off x="0" y="137858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EXECUÇÃO</a:t>
          </a:r>
          <a:endParaRPr lang="pt-BR" sz="1100"/>
        </a:p>
      </xdr:txBody>
    </xdr:sp>
    <xdr:clientData/>
  </xdr:oneCellAnchor>
  <xdr:oneCellAnchor>
    <xdr:from>
      <xdr:col>6</xdr:col>
      <xdr:colOff>2409825</xdr:colOff>
      <xdr:row>266</xdr:row>
      <xdr:rowOff>0</xdr:rowOff>
    </xdr:from>
    <xdr:ext cx="3417346" cy="43678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5F1A96D-3286-475B-8595-00DDF2B3CB9A}"/>
            </a:ext>
          </a:extLst>
        </xdr:cNvPr>
        <xdr:cNvSpPr txBox="1"/>
      </xdr:nvSpPr>
      <xdr:spPr>
        <a:xfrm>
          <a:off x="3698875" y="137858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0</xdr:rowOff>
    </xdr:from>
    <xdr:to>
      <xdr:col>1</xdr:col>
      <xdr:colOff>781050</xdr:colOff>
      <xdr:row>1</xdr:row>
      <xdr:rowOff>76200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B49F7BE-00E9-4F64-BB01-5D823B57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0"/>
          <a:ext cx="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197970</xdr:colOff>
      <xdr:row>116</xdr:row>
      <xdr:rowOff>95183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2893DE8-5D40-4842-8133-4DA55841BB34}"/>
            </a:ext>
          </a:extLst>
        </xdr:cNvPr>
        <xdr:cNvSpPr txBox="1"/>
      </xdr:nvSpPr>
      <xdr:spPr>
        <a:xfrm>
          <a:off x="811073" y="19265614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EXECUÇÃO</a:t>
          </a:r>
          <a:endParaRPr lang="pt-BR" sz="1100"/>
        </a:p>
      </xdr:txBody>
    </xdr:sp>
    <xdr:clientData/>
  </xdr:oneCellAnchor>
  <xdr:oneCellAnchor>
    <xdr:from>
      <xdr:col>2</xdr:col>
      <xdr:colOff>87633</xdr:colOff>
      <xdr:row>116</xdr:row>
      <xdr:rowOff>95186</xdr:rowOff>
    </xdr:from>
    <xdr:ext cx="3417346" cy="43678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42789CC-94A2-4584-9C54-A9265129BEA1}"/>
            </a:ext>
          </a:extLst>
        </xdr:cNvPr>
        <xdr:cNvSpPr txBox="1"/>
      </xdr:nvSpPr>
      <xdr:spPr>
        <a:xfrm>
          <a:off x="6328150" y="19265617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0</xdr:row>
      <xdr:rowOff>38100</xdr:rowOff>
    </xdr:from>
    <xdr:to>
      <xdr:col>0</xdr:col>
      <xdr:colOff>1066801</xdr:colOff>
      <xdr:row>2</xdr:row>
      <xdr:rowOff>95773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7CDD6A-7FA0-4D14-B94D-AC6C8746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38100"/>
          <a:ext cx="819150" cy="4386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97</xdr:row>
      <xdr:rowOff>0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2B099BC-9EEE-4192-BE34-3D12BC691D2D}"/>
            </a:ext>
          </a:extLst>
        </xdr:cNvPr>
        <xdr:cNvSpPr txBox="1"/>
      </xdr:nvSpPr>
      <xdr:spPr>
        <a:xfrm>
          <a:off x="2578100" y="616902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EXECUÇÃO</a:t>
          </a:r>
          <a:endParaRPr lang="pt-BR" sz="1100"/>
        </a:p>
      </xdr:txBody>
    </xdr:sp>
    <xdr:clientData/>
  </xdr:oneCellAnchor>
  <xdr:oneCellAnchor>
    <xdr:from>
      <xdr:col>3</xdr:col>
      <xdr:colOff>2409825</xdr:colOff>
      <xdr:row>97</xdr:row>
      <xdr:rowOff>0</xdr:rowOff>
    </xdr:from>
    <xdr:ext cx="3417346" cy="43678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33FB30B-5F9F-45C1-A662-DB908DD36F7D}"/>
            </a:ext>
          </a:extLst>
        </xdr:cNvPr>
        <xdr:cNvSpPr txBox="1"/>
      </xdr:nvSpPr>
      <xdr:spPr>
        <a:xfrm>
          <a:off x="9928225" y="616902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38100</xdr:rowOff>
    </xdr:from>
    <xdr:to>
      <xdr:col>0</xdr:col>
      <xdr:colOff>1219200</xdr:colOff>
      <xdr:row>2</xdr:row>
      <xdr:rowOff>176137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C0685A-1A5E-4C89-852D-6DFC583D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"/>
          <a:ext cx="981075" cy="525387"/>
        </a:xfrm>
        <a:prstGeom prst="rect">
          <a:avLst/>
        </a:prstGeom>
      </xdr:spPr>
    </xdr:pic>
    <xdr:clientData/>
  </xdr:twoCellAnchor>
  <xdr:oneCellAnchor>
    <xdr:from>
      <xdr:col>0</xdr:col>
      <xdr:colOff>515469</xdr:colOff>
      <xdr:row>15</xdr:row>
      <xdr:rowOff>171821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F863DDC-2659-45E1-AE7B-5ACB1CB8D935}"/>
            </a:ext>
          </a:extLst>
        </xdr:cNvPr>
        <xdr:cNvSpPr txBox="1"/>
      </xdr:nvSpPr>
      <xdr:spPr>
        <a:xfrm>
          <a:off x="515469" y="4235821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EXECUÇÃO</a:t>
          </a:r>
          <a:endParaRPr lang="pt-BR" sz="1100"/>
        </a:p>
      </xdr:txBody>
    </xdr:sp>
    <xdr:clientData/>
  </xdr:oneCellAnchor>
  <xdr:oneCellAnchor>
    <xdr:from>
      <xdr:col>1</xdr:col>
      <xdr:colOff>3788151</xdr:colOff>
      <xdr:row>15</xdr:row>
      <xdr:rowOff>171824</xdr:rowOff>
    </xdr:from>
    <xdr:ext cx="3417346" cy="43678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74DD55C-9015-47A2-927D-D8348A3BE8ED}"/>
            </a:ext>
          </a:extLst>
        </xdr:cNvPr>
        <xdr:cNvSpPr txBox="1"/>
      </xdr:nvSpPr>
      <xdr:spPr>
        <a:xfrm>
          <a:off x="5379386" y="4235824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57150</xdr:rowOff>
    </xdr:from>
    <xdr:to>
      <xdr:col>1</xdr:col>
      <xdr:colOff>504528</xdr:colOff>
      <xdr:row>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F34ED3-67E5-4765-B2D6-380001697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57150"/>
          <a:ext cx="942678" cy="504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0</xdr:col>
      <xdr:colOff>1246717</xdr:colOff>
      <xdr:row>3</xdr:row>
      <xdr:rowOff>93479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D1E87A-97D8-4795-9098-A894F384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5725"/>
          <a:ext cx="1132417" cy="5792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NGENHARIA-OUTROS%20-%201\5.%202020\TP%2004%202020%20-%20Logradouro\Or&#231;amento,%20Projetos%20e%20Fotos\Or&#231;amento%20e%20projeto\PROPOSTA%20VENCEDORA%20-%20OBRAPLAN%20TP-04-2020-Escola-LOGRA.xlsx" TargetMode="External"/><Relationship Id="rId1" Type="http://schemas.openxmlformats.org/officeDocument/2006/relationships/externalLinkPath" Target="file:///E:\ENGENHARIA-OUTROS%20-%201\5.%202020\TP%2004%202020%20-%20Logradouro\Or&#231;amento,%20Projetos%20e%20Fotos\Or&#231;amento%20e%20projeto\PROPOSTA%20VENCEDORA%20-%20OBRAPLAN%20TP-04-2020-Escola-LOG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ÓRIA CALC"/>
      <sheetName val="ORÇAMENTO"/>
      <sheetName val="Composições restantes"/>
      <sheetName val="cronograma"/>
      <sheetName val="BDI"/>
      <sheetName val="COMPOS_NÃO_DESONER."/>
    </sheetNames>
    <sheetDataSet>
      <sheetData sheetId="0"/>
      <sheetData sheetId="1">
        <row r="1">
          <cell r="E1" t="str">
            <v>PREFEITURA MUNICIPAL DE COREMAS</v>
          </cell>
        </row>
        <row r="2">
          <cell r="E2" t="str">
            <v>OBRA: REFORMA DA ESCOLA DO LOGRADOURO</v>
          </cell>
        </row>
        <row r="3">
          <cell r="E3" t="str">
            <v>MUNICÍPIO: COREMAS-PB</v>
          </cell>
        </row>
        <row r="4">
          <cell r="E4" t="str">
            <v>ENDEREÇO: ZONA URBANA</v>
          </cell>
        </row>
        <row r="73">
          <cell r="J73">
            <v>17399.3</v>
          </cell>
        </row>
        <row r="82">
          <cell r="J82">
            <v>18684.600000000002</v>
          </cell>
        </row>
        <row r="97">
          <cell r="J97">
            <v>11258.43</v>
          </cell>
        </row>
        <row r="102">
          <cell r="J102">
            <v>5310.86</v>
          </cell>
        </row>
        <row r="126">
          <cell r="J126">
            <v>1348.5899999999997</v>
          </cell>
        </row>
        <row r="132">
          <cell r="J132">
            <v>3448.64</v>
          </cell>
        </row>
        <row r="139">
          <cell r="J139">
            <v>8319.3100000000013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70"/>
  <sheetViews>
    <sheetView view="pageBreakPreview" zoomScale="53" zoomScaleNormal="89" zoomScaleSheetLayoutView="53" zoomScalePageLayoutView="75" workbookViewId="0">
      <pane ySplit="9" topLeftCell="A244" activePane="bottomLeft" state="frozen"/>
      <selection pane="bottomLeft" activeCell="N251" activeCellId="29" sqref="N19 N31 N38 N42 N49 N53 N60 N64 N71 N75 N84 N95 N101 N106 N130 N136 N143 N161 N166 N169 N173 N177 N185 N201 N209 N214 N218 N227 N243 N251"/>
    </sheetView>
  </sheetViews>
  <sheetFormatPr defaultColWidth="9.1796875" defaultRowHeight="12.5"/>
  <cols>
    <col min="1" max="1" width="2" style="9" customWidth="1"/>
    <col min="2" max="2" width="9.6328125" style="13" customWidth="1"/>
    <col min="3" max="4" width="12.6328125" style="13" customWidth="1"/>
    <col min="5" max="5" width="82.1796875" style="18" customWidth="1"/>
    <col min="6" max="6" width="7.6328125" style="13" customWidth="1"/>
    <col min="7" max="9" width="15.453125" style="19" customWidth="1"/>
    <col min="10" max="10" width="13.81640625" style="11" customWidth="1"/>
    <col min="11" max="11" width="15.6328125" style="11" customWidth="1"/>
    <col min="12" max="14" width="15.1796875" style="11" customWidth="1"/>
    <col min="15" max="15" width="11.36328125" style="9" bestFit="1" customWidth="1"/>
    <col min="16" max="16384" width="9.1796875" style="9"/>
  </cols>
  <sheetData>
    <row r="1" spans="1:14" ht="15" customHeight="1">
      <c r="A1" s="22"/>
      <c r="B1" s="264"/>
      <c r="C1" s="265"/>
      <c r="D1" s="266"/>
      <c r="E1" s="42" t="s">
        <v>107</v>
      </c>
      <c r="F1" s="61"/>
      <c r="G1" s="62"/>
      <c r="H1" s="62"/>
      <c r="I1" s="62"/>
      <c r="J1" s="142"/>
      <c r="K1" s="142"/>
      <c r="L1" s="50"/>
      <c r="M1" s="63"/>
      <c r="N1" s="64"/>
    </row>
    <row r="2" spans="1:14" ht="15" customHeight="1">
      <c r="A2" s="3"/>
      <c r="B2" s="267"/>
      <c r="C2" s="268"/>
      <c r="D2" s="269"/>
      <c r="E2" s="43" t="s">
        <v>442</v>
      </c>
      <c r="F2" s="44"/>
      <c r="G2" s="16"/>
      <c r="H2" s="16"/>
      <c r="I2" s="16"/>
      <c r="J2" s="15"/>
      <c r="K2" s="15"/>
      <c r="L2" s="51" t="s">
        <v>53</v>
      </c>
      <c r="M2" s="289" t="s">
        <v>66</v>
      </c>
      <c r="N2" s="290"/>
    </row>
    <row r="3" spans="1:14" ht="15" customHeight="1">
      <c r="A3" s="3"/>
      <c r="B3" s="267"/>
      <c r="C3" s="268"/>
      <c r="D3" s="269"/>
      <c r="E3" s="43" t="s">
        <v>108</v>
      </c>
      <c r="F3" s="44"/>
      <c r="G3" s="16"/>
      <c r="H3" s="16"/>
      <c r="I3" s="16"/>
      <c r="J3" s="15"/>
      <c r="K3" s="15"/>
      <c r="L3" s="51" t="s">
        <v>54</v>
      </c>
      <c r="M3" s="291">
        <v>0.19211563781353247</v>
      </c>
      <c r="N3" s="292"/>
    </row>
    <row r="4" spans="1:14" ht="13.5" thickBot="1">
      <c r="A4" s="3"/>
      <c r="B4" s="270"/>
      <c r="C4" s="271"/>
      <c r="D4" s="272"/>
      <c r="E4" s="43" t="s">
        <v>71</v>
      </c>
      <c r="F4" s="52"/>
      <c r="G4" s="16"/>
      <c r="H4" s="16"/>
      <c r="I4" s="16"/>
      <c r="J4" s="15"/>
      <c r="K4" s="15"/>
      <c r="L4" s="45" t="s">
        <v>55</v>
      </c>
      <c r="M4" s="293" t="s">
        <v>56</v>
      </c>
      <c r="N4" s="294"/>
    </row>
    <row r="5" spans="1:14" ht="6.75" customHeight="1" thickBot="1">
      <c r="B5" s="284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6"/>
    </row>
    <row r="6" spans="1:14" ht="20" customHeight="1">
      <c r="B6" s="287" t="s">
        <v>72</v>
      </c>
      <c r="C6" s="287"/>
      <c r="D6" s="287"/>
      <c r="E6" s="287"/>
      <c r="F6" s="287"/>
      <c r="G6" s="287"/>
      <c r="H6" s="287"/>
      <c r="I6" s="287"/>
      <c r="J6" s="287"/>
      <c r="K6" s="287"/>
      <c r="L6" s="282" t="s">
        <v>441</v>
      </c>
      <c r="M6" s="282"/>
      <c r="N6" s="282"/>
    </row>
    <row r="7" spans="1:14" ht="20" customHeight="1" thickBot="1"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3"/>
      <c r="M7" s="283"/>
      <c r="N7" s="283"/>
    </row>
    <row r="8" spans="1:14" ht="26.25" customHeight="1" thickBot="1">
      <c r="A8" s="12"/>
      <c r="B8" s="280" t="s">
        <v>0</v>
      </c>
      <c r="C8" s="277" t="s">
        <v>36</v>
      </c>
      <c r="D8" s="277" t="s">
        <v>37</v>
      </c>
      <c r="E8" s="277" t="s">
        <v>27</v>
      </c>
      <c r="F8" s="277" t="s">
        <v>67</v>
      </c>
      <c r="G8" s="273" t="s">
        <v>68</v>
      </c>
      <c r="H8" s="273"/>
      <c r="I8" s="273"/>
      <c r="J8" s="277" t="s">
        <v>69</v>
      </c>
      <c r="K8" s="278" t="s">
        <v>70</v>
      </c>
      <c r="L8" s="274" t="s">
        <v>301</v>
      </c>
      <c r="M8" s="275"/>
      <c r="N8" s="276"/>
    </row>
    <row r="9" spans="1:14" ht="44.25" customHeight="1" thickBot="1">
      <c r="A9" s="12"/>
      <c r="B9" s="281"/>
      <c r="C9" s="273"/>
      <c r="D9" s="273"/>
      <c r="E9" s="273"/>
      <c r="F9" s="273"/>
      <c r="G9" s="4" t="s">
        <v>299</v>
      </c>
      <c r="H9" s="23" t="s">
        <v>300</v>
      </c>
      <c r="I9" s="23" t="s">
        <v>557</v>
      </c>
      <c r="J9" s="273"/>
      <c r="K9" s="279"/>
      <c r="L9" s="4" t="s">
        <v>299</v>
      </c>
      <c r="M9" s="23" t="s">
        <v>300</v>
      </c>
      <c r="N9" s="143" t="s">
        <v>557</v>
      </c>
    </row>
    <row r="10" spans="1:14" ht="20" customHeight="1" thickBot="1">
      <c r="B10" s="31"/>
      <c r="C10" s="46"/>
      <c r="D10" s="46"/>
      <c r="E10" s="32" t="s">
        <v>295</v>
      </c>
      <c r="F10" s="33"/>
      <c r="G10" s="68"/>
      <c r="H10" s="68"/>
      <c r="I10" s="68"/>
      <c r="J10" s="38"/>
      <c r="K10" s="34"/>
      <c r="L10" s="35"/>
      <c r="M10" s="35"/>
      <c r="N10" s="35"/>
    </row>
    <row r="11" spans="1:14" ht="13">
      <c r="B11" s="27" t="s">
        <v>109</v>
      </c>
      <c r="C11" s="47"/>
      <c r="D11" s="47"/>
      <c r="E11" s="28" t="s">
        <v>73</v>
      </c>
      <c r="F11" s="28"/>
      <c r="G11" s="69"/>
      <c r="H11" s="69"/>
      <c r="I11" s="69"/>
      <c r="J11" s="29"/>
      <c r="K11" s="29"/>
      <c r="L11" s="71"/>
      <c r="M11" s="71"/>
      <c r="N11" s="30"/>
    </row>
    <row r="12" spans="1:14">
      <c r="B12" s="26" t="s">
        <v>6</v>
      </c>
      <c r="C12" s="6">
        <v>97622</v>
      </c>
      <c r="D12" s="6" t="s">
        <v>34</v>
      </c>
      <c r="E12" s="53" t="s">
        <v>115</v>
      </c>
      <c r="F12" s="6" t="s">
        <v>4</v>
      </c>
      <c r="G12" s="70">
        <v>39.72</v>
      </c>
      <c r="H12" s="70">
        <v>0</v>
      </c>
      <c r="I12" s="70">
        <f>G12+H12</f>
        <v>39.72</v>
      </c>
      <c r="J12" s="70">
        <v>1.03</v>
      </c>
      <c r="K12" s="10">
        <f t="shared" ref="K12:K18" si="0">ROUND(J12*(1+$M$3),2)</f>
        <v>1.23</v>
      </c>
      <c r="L12" s="10">
        <f>ROUND(G12*$K12,2)</f>
        <v>48.86</v>
      </c>
      <c r="M12" s="10">
        <f>ROUND(H12*$K12,2)</f>
        <v>0</v>
      </c>
      <c r="N12" s="25">
        <f>ROUND(I12*$K12,2)</f>
        <v>48.86</v>
      </c>
    </row>
    <row r="13" spans="1:14">
      <c r="B13" s="26" t="s">
        <v>7</v>
      </c>
      <c r="C13" s="6">
        <v>97644</v>
      </c>
      <c r="D13" s="6" t="s">
        <v>34</v>
      </c>
      <c r="E13" s="53" t="s">
        <v>116</v>
      </c>
      <c r="F13" s="6" t="s">
        <v>4</v>
      </c>
      <c r="G13" s="70">
        <v>4.83</v>
      </c>
      <c r="H13" s="70"/>
      <c r="I13" s="70">
        <f t="shared" ref="I13:I18" si="1">G13+H13</f>
        <v>4.83</v>
      </c>
      <c r="J13" s="70">
        <v>5.49</v>
      </c>
      <c r="K13" s="10">
        <f t="shared" si="0"/>
        <v>6.54</v>
      </c>
      <c r="L13" s="10">
        <f t="shared" ref="L13:N18" si="2">ROUND(G13*$K13,2)</f>
        <v>31.59</v>
      </c>
      <c r="M13" s="10">
        <f t="shared" si="2"/>
        <v>0</v>
      </c>
      <c r="N13" s="25">
        <f t="shared" si="2"/>
        <v>31.59</v>
      </c>
    </row>
    <row r="14" spans="1:14">
      <c r="B14" s="26" t="s">
        <v>30</v>
      </c>
      <c r="C14" s="6">
        <v>97663</v>
      </c>
      <c r="D14" s="6" t="s">
        <v>34</v>
      </c>
      <c r="E14" s="41" t="s">
        <v>106</v>
      </c>
      <c r="F14" s="20" t="s">
        <v>2</v>
      </c>
      <c r="G14" s="70">
        <v>7</v>
      </c>
      <c r="H14" s="70"/>
      <c r="I14" s="70">
        <f t="shared" si="1"/>
        <v>7</v>
      </c>
      <c r="J14" s="70">
        <v>7.25</v>
      </c>
      <c r="K14" s="10">
        <f t="shared" si="0"/>
        <v>8.64</v>
      </c>
      <c r="L14" s="10">
        <f t="shared" si="2"/>
        <v>60.48</v>
      </c>
      <c r="M14" s="10">
        <f t="shared" si="2"/>
        <v>0</v>
      </c>
      <c r="N14" s="25">
        <f t="shared" si="2"/>
        <v>60.48</v>
      </c>
    </row>
    <row r="15" spans="1:14">
      <c r="B15" s="26" t="s">
        <v>33</v>
      </c>
      <c r="C15" s="7"/>
      <c r="D15" s="8" t="s">
        <v>51</v>
      </c>
      <c r="E15" s="39" t="s">
        <v>75</v>
      </c>
      <c r="F15" s="6" t="s">
        <v>4</v>
      </c>
      <c r="G15" s="70">
        <v>42.825000000000003</v>
      </c>
      <c r="H15" s="70"/>
      <c r="I15" s="70">
        <f t="shared" si="1"/>
        <v>42.825000000000003</v>
      </c>
      <c r="J15" s="70">
        <v>18.989999999999998</v>
      </c>
      <c r="K15" s="10">
        <f t="shared" si="0"/>
        <v>22.64</v>
      </c>
      <c r="L15" s="10">
        <f t="shared" si="2"/>
        <v>969.56</v>
      </c>
      <c r="M15" s="10">
        <f t="shared" si="2"/>
        <v>0</v>
      </c>
      <c r="N15" s="25">
        <f t="shared" si="2"/>
        <v>969.56</v>
      </c>
    </row>
    <row r="16" spans="1:14" ht="22.5" customHeight="1">
      <c r="B16" s="26" t="s">
        <v>38</v>
      </c>
      <c r="C16" s="7">
        <v>97636</v>
      </c>
      <c r="D16" s="8" t="s">
        <v>34</v>
      </c>
      <c r="E16" s="39" t="s">
        <v>162</v>
      </c>
      <c r="F16" s="6" t="s">
        <v>4</v>
      </c>
      <c r="G16" s="70">
        <v>143.58500000000001</v>
      </c>
      <c r="H16" s="70"/>
      <c r="I16" s="70">
        <f t="shared" si="1"/>
        <v>143.58500000000001</v>
      </c>
      <c r="J16" s="70">
        <v>8.240000000000002</v>
      </c>
      <c r="K16" s="10">
        <f t="shared" si="0"/>
        <v>9.82</v>
      </c>
      <c r="L16" s="10">
        <f t="shared" si="2"/>
        <v>1410</v>
      </c>
      <c r="M16" s="10">
        <f t="shared" si="2"/>
        <v>0</v>
      </c>
      <c r="N16" s="25">
        <f t="shared" si="2"/>
        <v>1410</v>
      </c>
    </row>
    <row r="17" spans="2:17">
      <c r="B17" s="26" t="s">
        <v>39</v>
      </c>
      <c r="C17" s="8">
        <v>72897</v>
      </c>
      <c r="D17" s="6" t="s">
        <v>34</v>
      </c>
      <c r="E17" s="39" t="s">
        <v>76</v>
      </c>
      <c r="F17" s="6" t="s">
        <v>29</v>
      </c>
      <c r="G17" s="70">
        <v>12.4072</v>
      </c>
      <c r="H17" s="70"/>
      <c r="I17" s="70">
        <f t="shared" si="1"/>
        <v>12.4072</v>
      </c>
      <c r="J17" s="70">
        <v>16.559999999999999</v>
      </c>
      <c r="K17" s="10">
        <f t="shared" si="0"/>
        <v>19.739999999999998</v>
      </c>
      <c r="L17" s="10">
        <f t="shared" si="2"/>
        <v>244.92</v>
      </c>
      <c r="M17" s="10">
        <f t="shared" si="2"/>
        <v>0</v>
      </c>
      <c r="N17" s="25">
        <f t="shared" si="2"/>
        <v>244.92</v>
      </c>
    </row>
    <row r="18" spans="2:17" ht="25.5" customHeight="1">
      <c r="B18" s="26" t="s">
        <v>40</v>
      </c>
      <c r="C18" s="8">
        <v>97914</v>
      </c>
      <c r="D18" s="6" t="s">
        <v>34</v>
      </c>
      <c r="E18" s="39" t="s">
        <v>77</v>
      </c>
      <c r="F18" s="6" t="s">
        <v>78</v>
      </c>
      <c r="G18" s="70">
        <v>16.132999999999999</v>
      </c>
      <c r="H18" s="70"/>
      <c r="I18" s="70">
        <f t="shared" si="1"/>
        <v>16.132999999999999</v>
      </c>
      <c r="J18" s="70">
        <v>1.0900000000000001</v>
      </c>
      <c r="K18" s="10">
        <f t="shared" si="0"/>
        <v>1.3</v>
      </c>
      <c r="L18" s="10">
        <f t="shared" si="2"/>
        <v>20.97</v>
      </c>
      <c r="M18" s="10">
        <f t="shared" si="2"/>
        <v>0</v>
      </c>
      <c r="N18" s="25">
        <f t="shared" si="2"/>
        <v>20.97</v>
      </c>
    </row>
    <row r="19" spans="2:17" ht="13">
      <c r="B19" s="260" t="s">
        <v>60</v>
      </c>
      <c r="C19" s="261"/>
      <c r="D19" s="261"/>
      <c r="E19" s="261"/>
      <c r="F19" s="261"/>
      <c r="G19" s="261"/>
      <c r="H19" s="72"/>
      <c r="I19" s="72"/>
      <c r="J19" s="73"/>
      <c r="K19" s="73"/>
      <c r="L19" s="74">
        <f>SUM(L12:L18)</f>
        <v>2786.3799999999997</v>
      </c>
      <c r="M19" s="74">
        <f>SUM(M12:M18)</f>
        <v>0</v>
      </c>
      <c r="N19" s="93">
        <f>SUM(N12:N18)</f>
        <v>2786.3799999999997</v>
      </c>
    </row>
    <row r="20" spans="2:17" ht="13">
      <c r="B20" s="24" t="s">
        <v>111</v>
      </c>
      <c r="C20" s="48"/>
      <c r="D20" s="48"/>
      <c r="E20" s="1" t="s">
        <v>74</v>
      </c>
      <c r="F20" s="1"/>
      <c r="G20" s="1"/>
      <c r="H20" s="1"/>
      <c r="I20" s="1"/>
      <c r="J20" s="1"/>
      <c r="K20" s="1"/>
      <c r="L20" s="1"/>
      <c r="M20" s="1"/>
      <c r="N20" s="65"/>
    </row>
    <row r="21" spans="2:17" ht="27" customHeight="1">
      <c r="B21" s="26" t="s">
        <v>8</v>
      </c>
      <c r="C21" s="8">
        <v>94990</v>
      </c>
      <c r="D21" s="6" t="s">
        <v>34</v>
      </c>
      <c r="E21" s="14" t="s">
        <v>81</v>
      </c>
      <c r="F21" s="8" t="s">
        <v>29</v>
      </c>
      <c r="G21" s="70">
        <v>2.1412500000000003</v>
      </c>
      <c r="H21" s="70"/>
      <c r="I21" s="70">
        <f t="shared" ref="I21:I30" si="3">G21+H21</f>
        <v>2.1412500000000003</v>
      </c>
      <c r="J21" s="70">
        <v>481.46000000000004</v>
      </c>
      <c r="K21" s="10">
        <f t="shared" ref="K21:K29" si="4">ROUND(J21*(1+$M$3),2)</f>
        <v>573.96</v>
      </c>
      <c r="L21" s="10">
        <f t="shared" ref="L21:N30" si="5">ROUND(G21*$K21,2)</f>
        <v>1228.99</v>
      </c>
      <c r="M21" s="10">
        <f t="shared" si="5"/>
        <v>0</v>
      </c>
      <c r="N21" s="25">
        <f t="shared" si="5"/>
        <v>1228.99</v>
      </c>
    </row>
    <row r="22" spans="2:17" ht="25">
      <c r="B22" s="26" t="s">
        <v>9</v>
      </c>
      <c r="C22" s="8">
        <v>87894</v>
      </c>
      <c r="D22" s="6" t="s">
        <v>34</v>
      </c>
      <c r="E22" s="14" t="s">
        <v>169</v>
      </c>
      <c r="F22" s="8" t="s">
        <v>4</v>
      </c>
      <c r="G22" s="70">
        <v>5.3999999999999995</v>
      </c>
      <c r="H22" s="70"/>
      <c r="I22" s="70">
        <f t="shared" si="3"/>
        <v>5.3999999999999995</v>
      </c>
      <c r="J22" s="70">
        <v>4.05</v>
      </c>
      <c r="K22" s="10">
        <f t="shared" si="4"/>
        <v>4.83</v>
      </c>
      <c r="L22" s="10">
        <f t="shared" si="5"/>
        <v>26.08</v>
      </c>
      <c r="M22" s="10">
        <f t="shared" si="5"/>
        <v>0</v>
      </c>
      <c r="N22" s="25">
        <f t="shared" si="5"/>
        <v>26.08</v>
      </c>
    </row>
    <row r="23" spans="2:17" ht="25">
      <c r="B23" s="26" t="s">
        <v>10</v>
      </c>
      <c r="C23" s="8">
        <v>87777</v>
      </c>
      <c r="D23" s="6" t="s">
        <v>34</v>
      </c>
      <c r="E23" s="14" t="s">
        <v>163</v>
      </c>
      <c r="F23" s="8" t="s">
        <v>4</v>
      </c>
      <c r="G23" s="70">
        <v>5.3999999999999995</v>
      </c>
      <c r="H23" s="70"/>
      <c r="I23" s="70">
        <f t="shared" si="3"/>
        <v>5.3999999999999995</v>
      </c>
      <c r="J23" s="70">
        <v>36.51</v>
      </c>
      <c r="K23" s="10">
        <f t="shared" si="4"/>
        <v>43.52</v>
      </c>
      <c r="L23" s="10">
        <f t="shared" si="5"/>
        <v>235.01</v>
      </c>
      <c r="M23" s="10">
        <f t="shared" si="5"/>
        <v>0</v>
      </c>
      <c r="N23" s="25">
        <f t="shared" si="5"/>
        <v>235.01</v>
      </c>
    </row>
    <row r="24" spans="2:17" ht="20" customHeight="1">
      <c r="B24" s="26" t="s">
        <v>31</v>
      </c>
      <c r="C24" s="8">
        <v>88497</v>
      </c>
      <c r="D24" s="6" t="s">
        <v>34</v>
      </c>
      <c r="E24" s="14" t="s">
        <v>84</v>
      </c>
      <c r="F24" s="8" t="s">
        <v>4</v>
      </c>
      <c r="G24" s="70">
        <v>809.26999999999987</v>
      </c>
      <c r="H24" s="70"/>
      <c r="I24" s="70">
        <f t="shared" si="3"/>
        <v>809.26999999999987</v>
      </c>
      <c r="J24" s="70">
        <v>9.6000000000000014</v>
      </c>
      <c r="K24" s="10">
        <f t="shared" si="4"/>
        <v>11.44</v>
      </c>
      <c r="L24" s="10">
        <f t="shared" si="5"/>
        <v>9258.0499999999993</v>
      </c>
      <c r="M24" s="10">
        <f t="shared" si="5"/>
        <v>0</v>
      </c>
      <c r="N24" s="25">
        <f t="shared" si="5"/>
        <v>9258.0499999999993</v>
      </c>
    </row>
    <row r="25" spans="2:17" ht="20" customHeight="1">
      <c r="B25" s="26" t="s">
        <v>47</v>
      </c>
      <c r="C25" s="8">
        <v>88485</v>
      </c>
      <c r="D25" s="6" t="s">
        <v>34</v>
      </c>
      <c r="E25" s="14" t="s">
        <v>93</v>
      </c>
      <c r="F25" s="8" t="s">
        <v>4</v>
      </c>
      <c r="G25" s="70">
        <v>809.26999999999987</v>
      </c>
      <c r="H25" s="70"/>
      <c r="I25" s="70">
        <f t="shared" si="3"/>
        <v>809.26999999999987</v>
      </c>
      <c r="J25" s="70">
        <v>1.7</v>
      </c>
      <c r="K25" s="10">
        <f t="shared" si="4"/>
        <v>2.0299999999999998</v>
      </c>
      <c r="L25" s="10">
        <f t="shared" si="5"/>
        <v>1642.82</v>
      </c>
      <c r="M25" s="10">
        <f t="shared" si="5"/>
        <v>0</v>
      </c>
      <c r="N25" s="25">
        <f t="shared" si="5"/>
        <v>1642.82</v>
      </c>
    </row>
    <row r="26" spans="2:17" ht="20" customHeight="1">
      <c r="B26" s="26" t="s">
        <v>164</v>
      </c>
      <c r="C26" s="6">
        <v>88489</v>
      </c>
      <c r="D26" s="6" t="s">
        <v>34</v>
      </c>
      <c r="E26" s="14" t="s">
        <v>85</v>
      </c>
      <c r="F26" s="6" t="s">
        <v>4</v>
      </c>
      <c r="G26" s="70">
        <v>809.26999999999987</v>
      </c>
      <c r="H26" s="70"/>
      <c r="I26" s="70">
        <f t="shared" si="3"/>
        <v>809.26999999999987</v>
      </c>
      <c r="J26" s="70">
        <v>11.22</v>
      </c>
      <c r="K26" s="10">
        <f t="shared" si="4"/>
        <v>13.38</v>
      </c>
      <c r="L26" s="10">
        <f t="shared" si="5"/>
        <v>10828.03</v>
      </c>
      <c r="M26" s="10">
        <f t="shared" si="5"/>
        <v>0</v>
      </c>
      <c r="N26" s="25">
        <f t="shared" si="5"/>
        <v>10828.03</v>
      </c>
    </row>
    <row r="27" spans="2:17" ht="40.5" customHeight="1">
      <c r="B27" s="26" t="s">
        <v>165</v>
      </c>
      <c r="C27" s="6">
        <v>87272</v>
      </c>
      <c r="D27" s="6" t="s">
        <v>34</v>
      </c>
      <c r="E27" s="14" t="s">
        <v>102</v>
      </c>
      <c r="F27" s="8" t="s">
        <v>4</v>
      </c>
      <c r="G27" s="70">
        <v>238.46999999999997</v>
      </c>
      <c r="H27" s="70"/>
      <c r="I27" s="70">
        <f t="shared" si="3"/>
        <v>238.46999999999997</v>
      </c>
      <c r="J27" s="70">
        <v>53.570000000000007</v>
      </c>
      <c r="K27" s="10">
        <f t="shared" si="4"/>
        <v>63.86</v>
      </c>
      <c r="L27" s="10">
        <f t="shared" si="5"/>
        <v>15228.69</v>
      </c>
      <c r="M27" s="10">
        <f t="shared" si="5"/>
        <v>0</v>
      </c>
      <c r="N27" s="25">
        <f t="shared" si="5"/>
        <v>15228.69</v>
      </c>
      <c r="P27" s="9">
        <f>800.8+142.1+936.6</f>
        <v>1879.5</v>
      </c>
    </row>
    <row r="28" spans="2:17" ht="39.75" customHeight="1">
      <c r="B28" s="26" t="s">
        <v>166</v>
      </c>
      <c r="C28" s="6">
        <v>87273</v>
      </c>
      <c r="D28" s="6" t="s">
        <v>34</v>
      </c>
      <c r="E28" s="14" t="s">
        <v>101</v>
      </c>
      <c r="F28" s="8" t="s">
        <v>4</v>
      </c>
      <c r="G28" s="70">
        <v>4.2720000000000002</v>
      </c>
      <c r="H28" s="70">
        <v>35.469410251699429</v>
      </c>
      <c r="I28" s="70">
        <f t="shared" si="3"/>
        <v>39.741410251699428</v>
      </c>
      <c r="J28" s="70">
        <v>45.660000000000004</v>
      </c>
      <c r="K28" s="10">
        <f t="shared" si="4"/>
        <v>54.43</v>
      </c>
      <c r="L28" s="10">
        <f t="shared" si="5"/>
        <v>232.52</v>
      </c>
      <c r="M28" s="10">
        <f t="shared" si="5"/>
        <v>1930.6</v>
      </c>
      <c r="N28" s="25">
        <f t="shared" si="5"/>
        <v>2163.12</v>
      </c>
      <c r="P28" s="60">
        <f>P27/K28</f>
        <v>34.530589748300571</v>
      </c>
    </row>
    <row r="29" spans="2:17" ht="26.25" customHeight="1">
      <c r="B29" s="26" t="s">
        <v>286</v>
      </c>
      <c r="C29" s="6">
        <v>87246</v>
      </c>
      <c r="D29" s="6" t="s">
        <v>34</v>
      </c>
      <c r="E29" s="57" t="s">
        <v>134</v>
      </c>
      <c r="F29" s="21" t="s">
        <v>119</v>
      </c>
      <c r="G29" s="70">
        <v>298.35000000000002</v>
      </c>
      <c r="H29" s="70"/>
      <c r="I29" s="70">
        <f t="shared" si="3"/>
        <v>298.35000000000002</v>
      </c>
      <c r="J29" s="70">
        <v>43.73</v>
      </c>
      <c r="K29" s="10">
        <f t="shared" si="4"/>
        <v>52.13</v>
      </c>
      <c r="L29" s="10">
        <f t="shared" si="5"/>
        <v>15552.99</v>
      </c>
      <c r="M29" s="10">
        <f t="shared" si="5"/>
        <v>0</v>
      </c>
      <c r="N29" s="25">
        <f t="shared" si="5"/>
        <v>15552.99</v>
      </c>
    </row>
    <row r="30" spans="2:17" ht="26.25" customHeight="1">
      <c r="B30" s="26" t="s">
        <v>448</v>
      </c>
      <c r="C30" s="6">
        <v>92402</v>
      </c>
      <c r="D30" s="6" t="s">
        <v>34</v>
      </c>
      <c r="E30" s="55" t="s">
        <v>449</v>
      </c>
      <c r="F30" s="21" t="s">
        <v>4</v>
      </c>
      <c r="G30" s="70">
        <v>0</v>
      </c>
      <c r="H30" s="70">
        <f>'Memória de Cálculo'!D7</f>
        <v>105.19</v>
      </c>
      <c r="I30" s="70">
        <f t="shared" si="3"/>
        <v>105.19</v>
      </c>
      <c r="J30" s="76">
        <v>44.85</v>
      </c>
      <c r="K30" s="10">
        <f>ROUND(J30*(1+$M$3),2)</f>
        <v>53.47</v>
      </c>
      <c r="L30" s="10">
        <f t="shared" si="5"/>
        <v>0</v>
      </c>
      <c r="M30" s="10">
        <f t="shared" si="5"/>
        <v>5624.51</v>
      </c>
      <c r="N30" s="25">
        <f t="shared" si="5"/>
        <v>5624.51</v>
      </c>
      <c r="Q30" s="9">
        <v>3810.1</v>
      </c>
    </row>
    <row r="31" spans="2:17" ht="13">
      <c r="B31" s="260" t="s">
        <v>61</v>
      </c>
      <c r="C31" s="261"/>
      <c r="D31" s="261"/>
      <c r="E31" s="261"/>
      <c r="F31" s="261"/>
      <c r="G31" s="261"/>
      <c r="H31" s="72"/>
      <c r="I31" s="72"/>
      <c r="J31" s="73"/>
      <c r="K31" s="73"/>
      <c r="L31" s="74">
        <f>SUM(L21:L30)</f>
        <v>54233.179999999993</v>
      </c>
      <c r="M31" s="74">
        <f t="shared" ref="M31:N31" si="6">SUM(M21:M30)</f>
        <v>7555.1100000000006</v>
      </c>
      <c r="N31" s="74">
        <f t="shared" si="6"/>
        <v>61788.29</v>
      </c>
    </row>
    <row r="32" spans="2:17" ht="13">
      <c r="B32" s="24" t="s">
        <v>112</v>
      </c>
      <c r="C32" s="48"/>
      <c r="D32" s="48"/>
      <c r="E32" s="1" t="s">
        <v>82</v>
      </c>
      <c r="F32" s="1"/>
      <c r="G32" s="1"/>
      <c r="H32" s="1"/>
      <c r="I32" s="1"/>
      <c r="J32" s="1"/>
      <c r="K32" s="1"/>
      <c r="L32" s="1"/>
      <c r="M32" s="1"/>
      <c r="N32" s="65"/>
    </row>
    <row r="33" spans="2:14" ht="20" customHeight="1">
      <c r="B33" s="26" t="s">
        <v>11</v>
      </c>
      <c r="C33" s="7">
        <v>88496</v>
      </c>
      <c r="D33" s="6" t="s">
        <v>34</v>
      </c>
      <c r="E33" s="17" t="s">
        <v>105</v>
      </c>
      <c r="F33" s="8" t="s">
        <v>4</v>
      </c>
      <c r="G33" s="70">
        <v>293.10550000000001</v>
      </c>
      <c r="H33" s="70"/>
      <c r="I33" s="70">
        <f t="shared" ref="I33:I37" si="7">G33+H33</f>
        <v>293.10550000000001</v>
      </c>
      <c r="J33" s="70">
        <v>17.55</v>
      </c>
      <c r="K33" s="10">
        <f>ROUND(J33*(1+$M$3),2)</f>
        <v>20.92</v>
      </c>
      <c r="L33" s="10">
        <f t="shared" ref="L33:N37" si="8">ROUND(G33*$K33,2)</f>
        <v>6131.77</v>
      </c>
      <c r="M33" s="10">
        <f t="shared" si="8"/>
        <v>0</v>
      </c>
      <c r="N33" s="25">
        <f t="shared" si="8"/>
        <v>6131.77</v>
      </c>
    </row>
    <row r="34" spans="2:14" ht="20" customHeight="1">
      <c r="B34" s="26" t="s">
        <v>12</v>
      </c>
      <c r="C34" s="8">
        <v>88482</v>
      </c>
      <c r="D34" s="6" t="s">
        <v>34</v>
      </c>
      <c r="E34" s="14" t="s">
        <v>91</v>
      </c>
      <c r="F34" s="8" t="s">
        <v>4</v>
      </c>
      <c r="G34" s="70">
        <v>293.10550000000001</v>
      </c>
      <c r="H34" s="70"/>
      <c r="I34" s="70">
        <f t="shared" si="7"/>
        <v>293.10550000000001</v>
      </c>
      <c r="J34" s="70">
        <v>2.4000000000000004</v>
      </c>
      <c r="K34" s="10">
        <f>ROUND(J34*(1+$M$3),2)</f>
        <v>2.86</v>
      </c>
      <c r="L34" s="10">
        <f t="shared" si="8"/>
        <v>838.28</v>
      </c>
      <c r="M34" s="10">
        <f t="shared" si="8"/>
        <v>0</v>
      </c>
      <c r="N34" s="25">
        <f t="shared" si="8"/>
        <v>838.28</v>
      </c>
    </row>
    <row r="35" spans="2:14" ht="20" customHeight="1">
      <c r="B35" s="26" t="s">
        <v>153</v>
      </c>
      <c r="C35" s="8">
        <v>88486</v>
      </c>
      <c r="D35" s="6" t="s">
        <v>34</v>
      </c>
      <c r="E35" s="14" t="s">
        <v>92</v>
      </c>
      <c r="F35" s="8" t="s">
        <v>4</v>
      </c>
      <c r="G35" s="70">
        <v>293.10550000000001</v>
      </c>
      <c r="H35" s="70"/>
      <c r="I35" s="70">
        <f t="shared" si="7"/>
        <v>293.10550000000001</v>
      </c>
      <c r="J35" s="70">
        <v>9.8800000000000008</v>
      </c>
      <c r="K35" s="10">
        <f>ROUND(J35*(1+$M$3),2)</f>
        <v>11.78</v>
      </c>
      <c r="L35" s="10">
        <f t="shared" si="8"/>
        <v>3452.78</v>
      </c>
      <c r="M35" s="10">
        <f t="shared" si="8"/>
        <v>0</v>
      </c>
      <c r="N35" s="25">
        <f t="shared" si="8"/>
        <v>3452.78</v>
      </c>
    </row>
    <row r="36" spans="2:14" ht="37.5">
      <c r="B36" s="26" t="s">
        <v>167</v>
      </c>
      <c r="C36" s="6">
        <v>92542</v>
      </c>
      <c r="D36" s="6" t="s">
        <v>34</v>
      </c>
      <c r="E36" s="57" t="s">
        <v>294</v>
      </c>
      <c r="F36" s="54" t="s">
        <v>4</v>
      </c>
      <c r="G36" s="70">
        <v>298.35000000000002</v>
      </c>
      <c r="H36" s="70"/>
      <c r="I36" s="70">
        <f t="shared" si="7"/>
        <v>298.35000000000002</v>
      </c>
      <c r="J36" s="70">
        <v>57.969999999999992</v>
      </c>
      <c r="K36" s="10">
        <f>ROUND(J36*(1+$M$3),2)</f>
        <v>69.11</v>
      </c>
      <c r="L36" s="10">
        <f t="shared" si="8"/>
        <v>20618.97</v>
      </c>
      <c r="M36" s="10">
        <f t="shared" si="8"/>
        <v>0</v>
      </c>
      <c r="N36" s="25">
        <f t="shared" si="8"/>
        <v>20618.97</v>
      </c>
    </row>
    <row r="37" spans="2:14" ht="29.25" customHeight="1">
      <c r="B37" s="26" t="s">
        <v>167</v>
      </c>
      <c r="C37" s="8">
        <v>94445</v>
      </c>
      <c r="D37" s="6" t="s">
        <v>34</v>
      </c>
      <c r="E37" s="14" t="s">
        <v>87</v>
      </c>
      <c r="F37" s="8" t="s">
        <v>4</v>
      </c>
      <c r="G37" s="70">
        <v>298.35000000000002</v>
      </c>
      <c r="H37" s="70"/>
      <c r="I37" s="70">
        <f t="shared" si="7"/>
        <v>298.35000000000002</v>
      </c>
      <c r="J37" s="70">
        <v>23.34</v>
      </c>
      <c r="K37" s="10">
        <f>ROUND(J37*(1+$M$3),2)</f>
        <v>27.82</v>
      </c>
      <c r="L37" s="10">
        <f t="shared" si="8"/>
        <v>8300.1</v>
      </c>
      <c r="M37" s="10">
        <f t="shared" si="8"/>
        <v>0</v>
      </c>
      <c r="N37" s="25">
        <f t="shared" si="8"/>
        <v>8300.1</v>
      </c>
    </row>
    <row r="38" spans="2:14" ht="20" customHeight="1">
      <c r="B38" s="260" t="s">
        <v>62</v>
      </c>
      <c r="C38" s="261"/>
      <c r="D38" s="261"/>
      <c r="E38" s="261"/>
      <c r="F38" s="261"/>
      <c r="G38" s="261"/>
      <c r="H38" s="72"/>
      <c r="I38" s="72"/>
      <c r="J38" s="73"/>
      <c r="K38" s="73"/>
      <c r="L38" s="74">
        <f>SUM(L33:L37)</f>
        <v>39341.9</v>
      </c>
      <c r="M38" s="74">
        <f t="shared" ref="M38:N38" si="9">SUM(M33:M37)</f>
        <v>0</v>
      </c>
      <c r="N38" s="93">
        <f t="shared" si="9"/>
        <v>39341.9</v>
      </c>
    </row>
    <row r="39" spans="2:14" ht="13">
      <c r="B39" s="24" t="s">
        <v>151</v>
      </c>
      <c r="C39" s="48"/>
      <c r="D39" s="48"/>
      <c r="E39" s="1" t="s">
        <v>3</v>
      </c>
      <c r="F39" s="1"/>
      <c r="G39" s="1"/>
      <c r="H39" s="1"/>
      <c r="I39" s="1"/>
      <c r="J39" s="1"/>
      <c r="K39" s="1"/>
      <c r="L39" s="1"/>
      <c r="M39" s="1"/>
      <c r="N39" s="65"/>
    </row>
    <row r="40" spans="2:14">
      <c r="B40" s="26" t="s">
        <v>13</v>
      </c>
      <c r="C40" s="7" t="s">
        <v>86</v>
      </c>
      <c r="D40" s="6" t="s">
        <v>34</v>
      </c>
      <c r="E40" s="17" t="s">
        <v>96</v>
      </c>
      <c r="F40" s="8" t="s">
        <v>4</v>
      </c>
      <c r="G40" s="70">
        <v>11.760000000000002</v>
      </c>
      <c r="H40" s="70"/>
      <c r="I40" s="70">
        <f t="shared" ref="I40:I41" si="10">G40+H40</f>
        <v>11.760000000000002</v>
      </c>
      <c r="J40" s="70">
        <v>13.29</v>
      </c>
      <c r="K40" s="10">
        <f>ROUND(J40*(1+$M$3),2)</f>
        <v>15.84</v>
      </c>
      <c r="L40" s="10">
        <f t="shared" ref="L40:N41" si="11">ROUND(G40*$K40,2)</f>
        <v>186.28</v>
      </c>
      <c r="M40" s="10">
        <f t="shared" si="11"/>
        <v>0</v>
      </c>
      <c r="N40" s="25">
        <f t="shared" si="11"/>
        <v>186.28</v>
      </c>
    </row>
    <row r="41" spans="2:14">
      <c r="B41" s="26" t="s">
        <v>14</v>
      </c>
      <c r="C41" s="7" t="s">
        <v>94</v>
      </c>
      <c r="D41" s="6" t="s">
        <v>34</v>
      </c>
      <c r="E41" s="17" t="s">
        <v>97</v>
      </c>
      <c r="F41" s="8" t="s">
        <v>4</v>
      </c>
      <c r="G41" s="70">
        <v>37.31</v>
      </c>
      <c r="H41" s="70"/>
      <c r="I41" s="70">
        <f t="shared" si="10"/>
        <v>37.31</v>
      </c>
      <c r="J41" s="70">
        <v>20.310000000000002</v>
      </c>
      <c r="K41" s="10">
        <f>ROUND(J41*(1+$M$3),2)</f>
        <v>24.21</v>
      </c>
      <c r="L41" s="10">
        <f t="shared" si="11"/>
        <v>903.28</v>
      </c>
      <c r="M41" s="10">
        <f t="shared" si="11"/>
        <v>0</v>
      </c>
      <c r="N41" s="25">
        <f t="shared" si="11"/>
        <v>903.28</v>
      </c>
    </row>
    <row r="42" spans="2:14" ht="13">
      <c r="B42" s="260" t="s">
        <v>63</v>
      </c>
      <c r="C42" s="261"/>
      <c r="D42" s="261"/>
      <c r="E42" s="261"/>
      <c r="F42" s="261"/>
      <c r="G42" s="261"/>
      <c r="H42" s="72"/>
      <c r="I42" s="72"/>
      <c r="J42" s="73"/>
      <c r="K42" s="73"/>
      <c r="L42" s="74">
        <f>SUM(L40:L41)</f>
        <v>1089.56</v>
      </c>
      <c r="M42" s="74">
        <f>SUM(M40:M41)</f>
        <v>0</v>
      </c>
      <c r="N42" s="93">
        <f>SUM(N40:N41)</f>
        <v>1089.56</v>
      </c>
    </row>
    <row r="43" spans="2:14" ht="13">
      <c r="B43" s="24" t="s">
        <v>150</v>
      </c>
      <c r="C43" s="48"/>
      <c r="D43" s="48"/>
      <c r="E43" s="1" t="s">
        <v>83</v>
      </c>
      <c r="F43" s="1"/>
      <c r="G43" s="1"/>
      <c r="H43" s="1"/>
      <c r="I43" s="1"/>
      <c r="J43" s="1"/>
      <c r="K43" s="1"/>
      <c r="L43" s="1"/>
      <c r="M43" s="1"/>
      <c r="N43" s="65"/>
    </row>
    <row r="44" spans="2:14" ht="37.5">
      <c r="B44" s="26" t="s">
        <v>15</v>
      </c>
      <c r="C44" s="8">
        <v>86931</v>
      </c>
      <c r="D44" s="6" t="s">
        <v>34</v>
      </c>
      <c r="E44" s="14" t="s">
        <v>88</v>
      </c>
      <c r="F44" s="8" t="s">
        <v>2</v>
      </c>
      <c r="G44" s="70">
        <v>4</v>
      </c>
      <c r="H44" s="70"/>
      <c r="I44" s="70">
        <f t="shared" ref="I44:I48" si="12">G44+H44</f>
        <v>4</v>
      </c>
      <c r="J44" s="70">
        <v>353.39</v>
      </c>
      <c r="K44" s="10">
        <f>ROUND(J44*(1+$M$3),2)</f>
        <v>421.28</v>
      </c>
      <c r="L44" s="10">
        <f t="shared" ref="L44:N48" si="13">ROUND(G44*$K44,2)</f>
        <v>1685.12</v>
      </c>
      <c r="M44" s="10">
        <f t="shared" si="13"/>
        <v>0</v>
      </c>
      <c r="N44" s="25">
        <f t="shared" si="13"/>
        <v>1685.12</v>
      </c>
    </row>
    <row r="45" spans="2:14" ht="37.5">
      <c r="B45" s="26" t="s">
        <v>41</v>
      </c>
      <c r="C45" s="8">
        <v>86943</v>
      </c>
      <c r="D45" s="6" t="s">
        <v>34</v>
      </c>
      <c r="E45" s="14" t="s">
        <v>89</v>
      </c>
      <c r="F45" s="8" t="s">
        <v>2</v>
      </c>
      <c r="G45" s="70">
        <v>2</v>
      </c>
      <c r="H45" s="70"/>
      <c r="I45" s="70">
        <f t="shared" si="12"/>
        <v>2</v>
      </c>
      <c r="J45" s="70">
        <v>160.6</v>
      </c>
      <c r="K45" s="10">
        <f>ROUND(J45*(1+$M$3),2)</f>
        <v>191.45</v>
      </c>
      <c r="L45" s="10">
        <f t="shared" si="13"/>
        <v>382.9</v>
      </c>
      <c r="M45" s="10">
        <f t="shared" si="13"/>
        <v>0</v>
      </c>
      <c r="N45" s="25">
        <f t="shared" si="13"/>
        <v>382.9</v>
      </c>
    </row>
    <row r="46" spans="2:14">
      <c r="B46" s="26" t="s">
        <v>44</v>
      </c>
      <c r="C46" s="7" t="s">
        <v>90</v>
      </c>
      <c r="D46" s="6" t="s">
        <v>34</v>
      </c>
      <c r="E46" s="14" t="s">
        <v>98</v>
      </c>
      <c r="F46" s="8" t="s">
        <v>2</v>
      </c>
      <c r="G46" s="70">
        <v>1</v>
      </c>
      <c r="H46" s="70"/>
      <c r="I46" s="70">
        <f t="shared" si="12"/>
        <v>1</v>
      </c>
      <c r="J46" s="70">
        <v>3.13</v>
      </c>
      <c r="K46" s="10">
        <f>ROUND(J46*(1+$M$3),2)</f>
        <v>3.73</v>
      </c>
      <c r="L46" s="10">
        <f t="shared" si="13"/>
        <v>3.73</v>
      </c>
      <c r="M46" s="10">
        <f t="shared" si="13"/>
        <v>0</v>
      </c>
      <c r="N46" s="25">
        <f t="shared" si="13"/>
        <v>3.73</v>
      </c>
    </row>
    <row r="47" spans="2:14" ht="14">
      <c r="B47" s="26" t="s">
        <v>168</v>
      </c>
      <c r="C47" s="40">
        <v>95544</v>
      </c>
      <c r="D47" s="6" t="s">
        <v>34</v>
      </c>
      <c r="E47" s="49" t="s">
        <v>99</v>
      </c>
      <c r="F47" s="8" t="s">
        <v>2</v>
      </c>
      <c r="G47" s="70">
        <v>4</v>
      </c>
      <c r="H47" s="70"/>
      <c r="I47" s="70">
        <f t="shared" si="12"/>
        <v>4</v>
      </c>
      <c r="J47" s="70">
        <v>24.27</v>
      </c>
      <c r="K47" s="10">
        <f>ROUND(J47*(1+$M$3),2)</f>
        <v>28.93</v>
      </c>
      <c r="L47" s="10">
        <f t="shared" si="13"/>
        <v>115.72</v>
      </c>
      <c r="M47" s="10">
        <f t="shared" si="13"/>
        <v>0</v>
      </c>
      <c r="N47" s="25">
        <f t="shared" si="13"/>
        <v>115.72</v>
      </c>
    </row>
    <row r="48" spans="2:14" ht="14">
      <c r="B48" s="26" t="s">
        <v>110</v>
      </c>
      <c r="C48" s="40">
        <v>95547</v>
      </c>
      <c r="D48" s="6" t="s">
        <v>34</v>
      </c>
      <c r="E48" s="49" t="s">
        <v>100</v>
      </c>
      <c r="F48" s="8" t="s">
        <v>2</v>
      </c>
      <c r="G48" s="70">
        <v>1</v>
      </c>
      <c r="H48" s="70"/>
      <c r="I48" s="70">
        <f t="shared" si="12"/>
        <v>1</v>
      </c>
      <c r="J48" s="70">
        <v>54.36</v>
      </c>
      <c r="K48" s="10">
        <f>ROUND(J48*(1+$M$3),2)</f>
        <v>64.8</v>
      </c>
      <c r="L48" s="10">
        <f t="shared" si="13"/>
        <v>64.8</v>
      </c>
      <c r="M48" s="10">
        <f t="shared" si="13"/>
        <v>0</v>
      </c>
      <c r="N48" s="25">
        <f t="shared" si="13"/>
        <v>64.8</v>
      </c>
    </row>
    <row r="49" spans="2:15" ht="13">
      <c r="B49" s="260" t="s">
        <v>64</v>
      </c>
      <c r="C49" s="261"/>
      <c r="D49" s="261"/>
      <c r="E49" s="261"/>
      <c r="F49" s="261"/>
      <c r="G49" s="261"/>
      <c r="H49" s="72"/>
      <c r="I49" s="72"/>
      <c r="J49" s="73"/>
      <c r="K49" s="73"/>
      <c r="L49" s="74">
        <f>SUM(L44:L48)</f>
        <v>2252.27</v>
      </c>
      <c r="M49" s="74">
        <f>SUM(M44:M48)</f>
        <v>0</v>
      </c>
      <c r="N49" s="93">
        <f>SUM(N44:N48)</f>
        <v>2252.27</v>
      </c>
    </row>
    <row r="50" spans="2:15" ht="13">
      <c r="B50" s="24" t="s">
        <v>147</v>
      </c>
      <c r="C50" s="48"/>
      <c r="D50" s="48"/>
      <c r="E50" s="1" t="s">
        <v>35</v>
      </c>
      <c r="F50" s="1"/>
      <c r="G50" s="1"/>
      <c r="H50" s="1"/>
      <c r="I50" s="1"/>
      <c r="J50" s="1"/>
      <c r="K50" s="1"/>
      <c r="L50" s="1"/>
      <c r="M50" s="1"/>
      <c r="N50" s="65"/>
    </row>
    <row r="51" spans="2:15">
      <c r="B51" s="26" t="s">
        <v>16</v>
      </c>
      <c r="C51" s="7" t="s">
        <v>103</v>
      </c>
      <c r="D51" s="6" t="s">
        <v>34</v>
      </c>
      <c r="E51" s="17" t="s">
        <v>104</v>
      </c>
      <c r="F51" s="6" t="s">
        <v>4</v>
      </c>
      <c r="G51" s="70">
        <v>241.5</v>
      </c>
      <c r="H51" s="70"/>
      <c r="I51" s="70">
        <f t="shared" ref="I51:I52" si="14">G51+H51</f>
        <v>241.5</v>
      </c>
      <c r="J51" s="70">
        <v>4.33</v>
      </c>
      <c r="K51" s="10">
        <f>ROUND(J51*(1+$M$3),2)</f>
        <v>5.16</v>
      </c>
      <c r="L51" s="10">
        <f t="shared" ref="L51:N52" si="15">ROUND(G51*$K51,2)</f>
        <v>1246.1400000000001</v>
      </c>
      <c r="M51" s="10">
        <f t="shared" si="15"/>
        <v>0</v>
      </c>
      <c r="N51" s="25">
        <f t="shared" si="15"/>
        <v>1246.1400000000001</v>
      </c>
    </row>
    <row r="52" spans="2:15">
      <c r="B52" s="26" t="s">
        <v>17</v>
      </c>
      <c r="C52" s="7"/>
      <c r="D52" s="6" t="s">
        <v>51</v>
      </c>
      <c r="E52" s="17" t="s">
        <v>95</v>
      </c>
      <c r="F52" s="6" t="s">
        <v>4</v>
      </c>
      <c r="G52" s="70">
        <v>282.82</v>
      </c>
      <c r="H52" s="70"/>
      <c r="I52" s="70">
        <f t="shared" si="14"/>
        <v>282.82</v>
      </c>
      <c r="J52" s="70">
        <v>2.04</v>
      </c>
      <c r="K52" s="10">
        <f>ROUND(J52*(1+$M$3),2)</f>
        <v>2.4300000000000002</v>
      </c>
      <c r="L52" s="10">
        <f t="shared" si="15"/>
        <v>687.25</v>
      </c>
      <c r="M52" s="10">
        <f t="shared" si="15"/>
        <v>0</v>
      </c>
      <c r="N52" s="25">
        <f t="shared" si="15"/>
        <v>687.25</v>
      </c>
    </row>
    <row r="53" spans="2:15" ht="13.5" thickBot="1">
      <c r="B53" s="262" t="s">
        <v>65</v>
      </c>
      <c r="C53" s="263"/>
      <c r="D53" s="263"/>
      <c r="E53" s="263"/>
      <c r="F53" s="263"/>
      <c r="G53" s="263"/>
      <c r="H53" s="77"/>
      <c r="I53" s="77"/>
      <c r="J53" s="36"/>
      <c r="K53" s="36"/>
      <c r="L53" s="78">
        <f>SUM(L51:L52)</f>
        <v>1933.39</v>
      </c>
      <c r="M53" s="78">
        <f>SUM(M51:M52)</f>
        <v>0</v>
      </c>
      <c r="N53" s="37">
        <f>SUM(N51:N52)</f>
        <v>1933.39</v>
      </c>
      <c r="O53" s="60">
        <f>N19+N31+N38+N49+N53</f>
        <v>108102.23000000001</v>
      </c>
    </row>
    <row r="54" spans="2:15" ht="13.5" thickBot="1">
      <c r="B54" s="31"/>
      <c r="C54" s="46"/>
      <c r="D54" s="46"/>
      <c r="E54" s="32" t="s">
        <v>117</v>
      </c>
      <c r="F54" s="33"/>
      <c r="G54" s="33"/>
      <c r="H54" s="33"/>
      <c r="I54" s="33"/>
      <c r="J54" s="33"/>
      <c r="K54" s="33"/>
      <c r="L54" s="66"/>
      <c r="M54" s="79"/>
      <c r="N54" s="80"/>
    </row>
    <row r="55" spans="2:15" ht="13">
      <c r="B55" s="27" t="s">
        <v>144</v>
      </c>
      <c r="C55" s="47"/>
      <c r="D55" s="47"/>
      <c r="E55" s="28" t="s">
        <v>50</v>
      </c>
      <c r="F55" s="28"/>
      <c r="G55" s="28"/>
      <c r="H55" s="28"/>
      <c r="I55" s="28"/>
      <c r="J55" s="28"/>
      <c r="K55" s="28"/>
      <c r="L55" s="28"/>
      <c r="M55" s="28"/>
      <c r="N55" s="67"/>
    </row>
    <row r="56" spans="2:15">
      <c r="B56" s="26" t="s">
        <v>18</v>
      </c>
      <c r="C56" s="8" t="s">
        <v>79</v>
      </c>
      <c r="D56" s="6" t="s">
        <v>34</v>
      </c>
      <c r="E56" s="39" t="s">
        <v>80</v>
      </c>
      <c r="F56" s="6" t="s">
        <v>4</v>
      </c>
      <c r="G56" s="75">
        <v>282.93049999999999</v>
      </c>
      <c r="H56" s="75"/>
      <c r="I56" s="70">
        <f t="shared" ref="I56:I59" si="16">G56+H56</f>
        <v>282.93049999999999</v>
      </c>
      <c r="J56" s="76">
        <v>1.03</v>
      </c>
      <c r="K56" s="10">
        <f>ROUND(J56*(1+$M$3),2)</f>
        <v>1.23</v>
      </c>
      <c r="L56" s="10">
        <f t="shared" ref="L56:N59" si="17">ROUND(G56*$K56,2)</f>
        <v>348</v>
      </c>
      <c r="M56" s="10">
        <f t="shared" si="17"/>
        <v>0</v>
      </c>
      <c r="N56" s="25">
        <f t="shared" si="17"/>
        <v>348</v>
      </c>
    </row>
    <row r="57" spans="2:15">
      <c r="B57" s="26" t="s">
        <v>48</v>
      </c>
      <c r="C57" s="6">
        <v>79472</v>
      </c>
      <c r="D57" s="6" t="s">
        <v>34</v>
      </c>
      <c r="E57" s="39" t="s">
        <v>114</v>
      </c>
      <c r="F57" s="6" t="s">
        <v>113</v>
      </c>
      <c r="G57" s="75">
        <v>282.93049999999999</v>
      </c>
      <c r="H57" s="75"/>
      <c r="I57" s="70">
        <f t="shared" si="16"/>
        <v>282.93049999999999</v>
      </c>
      <c r="J57" s="76">
        <v>0.38</v>
      </c>
      <c r="K57" s="10">
        <f>ROUND(J57*(1+$M$3),2)</f>
        <v>0.45</v>
      </c>
      <c r="L57" s="10">
        <f t="shared" si="17"/>
        <v>127.32</v>
      </c>
      <c r="M57" s="10">
        <f t="shared" si="17"/>
        <v>0</v>
      </c>
      <c r="N57" s="25">
        <f t="shared" si="17"/>
        <v>127.32</v>
      </c>
    </row>
    <row r="58" spans="2:15" ht="25">
      <c r="B58" s="26" t="s">
        <v>143</v>
      </c>
      <c r="C58" s="6"/>
      <c r="D58" s="6" t="s">
        <v>51</v>
      </c>
      <c r="E58" s="55" t="s">
        <v>161</v>
      </c>
      <c r="F58" s="54" t="s">
        <v>4</v>
      </c>
      <c r="G58" s="75">
        <v>351.23689999999999</v>
      </c>
      <c r="H58" s="75"/>
      <c r="I58" s="70">
        <f t="shared" si="16"/>
        <v>351.23689999999999</v>
      </c>
      <c r="J58" s="76">
        <v>3.87</v>
      </c>
      <c r="K58" s="10">
        <f>ROUND(J58*(1+$M$3),2)</f>
        <v>4.6100000000000003</v>
      </c>
      <c r="L58" s="10">
        <f t="shared" si="17"/>
        <v>1619.2</v>
      </c>
      <c r="M58" s="10">
        <f t="shared" si="17"/>
        <v>0</v>
      </c>
      <c r="N58" s="25">
        <f t="shared" si="17"/>
        <v>1619.2</v>
      </c>
    </row>
    <row r="59" spans="2:15">
      <c r="B59" s="26" t="s">
        <v>202</v>
      </c>
      <c r="C59" s="6" t="s">
        <v>160</v>
      </c>
      <c r="D59" s="6" t="s">
        <v>34</v>
      </c>
      <c r="E59" s="55" t="s">
        <v>170</v>
      </c>
      <c r="F59" s="54" t="s">
        <v>4</v>
      </c>
      <c r="G59" s="75">
        <v>8</v>
      </c>
      <c r="H59" s="75"/>
      <c r="I59" s="70">
        <f t="shared" si="16"/>
        <v>8</v>
      </c>
      <c r="J59" s="76">
        <v>357.23</v>
      </c>
      <c r="K59" s="10">
        <f>ROUND(J59*(1+$M$3),2)</f>
        <v>425.86</v>
      </c>
      <c r="L59" s="10">
        <f t="shared" si="17"/>
        <v>3406.88</v>
      </c>
      <c r="M59" s="10">
        <f t="shared" si="17"/>
        <v>0</v>
      </c>
      <c r="N59" s="25">
        <f t="shared" si="17"/>
        <v>3406.88</v>
      </c>
    </row>
    <row r="60" spans="2:15" ht="13">
      <c r="B60" s="260" t="s">
        <v>259</v>
      </c>
      <c r="C60" s="261"/>
      <c r="D60" s="261"/>
      <c r="E60" s="261"/>
      <c r="F60" s="261"/>
      <c r="G60" s="261"/>
      <c r="H60" s="72"/>
      <c r="I60" s="72"/>
      <c r="J60" s="73"/>
      <c r="K60" s="73"/>
      <c r="L60" s="74">
        <f>SUM(L56:L59)</f>
        <v>5501.4</v>
      </c>
      <c r="M60" s="74">
        <f>SUM(M56:M59)</f>
        <v>0</v>
      </c>
      <c r="N60" s="93">
        <f>SUM(N56:N59)</f>
        <v>5501.4</v>
      </c>
    </row>
    <row r="61" spans="2:15" ht="13">
      <c r="B61" s="24" t="s">
        <v>142</v>
      </c>
      <c r="C61" s="48"/>
      <c r="D61" s="48"/>
      <c r="E61" s="1" t="s">
        <v>159</v>
      </c>
      <c r="F61" s="1"/>
      <c r="G61" s="1"/>
      <c r="H61" s="1"/>
      <c r="I61" s="1"/>
      <c r="J61" s="1"/>
      <c r="K61" s="1"/>
      <c r="L61" s="1"/>
      <c r="M61" s="1"/>
      <c r="N61" s="65"/>
    </row>
    <row r="62" spans="2:15">
      <c r="B62" s="58" t="s">
        <v>19</v>
      </c>
      <c r="C62" s="6">
        <v>93358</v>
      </c>
      <c r="D62" s="6" t="s">
        <v>34</v>
      </c>
      <c r="E62" s="57" t="s">
        <v>158</v>
      </c>
      <c r="F62" s="21" t="s">
        <v>29</v>
      </c>
      <c r="G62" s="75">
        <v>10.71129</v>
      </c>
      <c r="H62" s="75"/>
      <c r="I62" s="70">
        <f t="shared" ref="I62:I63" si="18">G62+H62</f>
        <v>10.71129</v>
      </c>
      <c r="J62" s="76">
        <v>51.38</v>
      </c>
      <c r="K62" s="10">
        <f>ROUND(J62*(1+$M$3),2)</f>
        <v>61.25</v>
      </c>
      <c r="L62" s="10">
        <f t="shared" ref="L62:N63" si="19">ROUND(G62*$K62,2)</f>
        <v>656.07</v>
      </c>
      <c r="M62" s="10">
        <f t="shared" si="19"/>
        <v>0</v>
      </c>
      <c r="N62" s="25">
        <f t="shared" si="19"/>
        <v>656.07</v>
      </c>
    </row>
    <row r="63" spans="2:15">
      <c r="B63" s="58" t="s">
        <v>49</v>
      </c>
      <c r="C63" s="6">
        <v>94342</v>
      </c>
      <c r="D63" s="6" t="s">
        <v>34</v>
      </c>
      <c r="E63" s="57" t="s">
        <v>157</v>
      </c>
      <c r="F63" s="21" t="s">
        <v>29</v>
      </c>
      <c r="G63" s="75">
        <v>24.496000000000002</v>
      </c>
      <c r="H63" s="75"/>
      <c r="I63" s="70">
        <f t="shared" si="18"/>
        <v>24.496000000000002</v>
      </c>
      <c r="J63" s="76">
        <v>80.38000000000001</v>
      </c>
      <c r="K63" s="10">
        <f>ROUND(J63*(1+$M$3),2)</f>
        <v>95.82</v>
      </c>
      <c r="L63" s="10">
        <f t="shared" si="19"/>
        <v>2347.21</v>
      </c>
      <c r="M63" s="10">
        <f t="shared" si="19"/>
        <v>0</v>
      </c>
      <c r="N63" s="25">
        <f t="shared" si="19"/>
        <v>2347.21</v>
      </c>
    </row>
    <row r="64" spans="2:15" ht="13">
      <c r="B64" s="260" t="s">
        <v>260</v>
      </c>
      <c r="C64" s="261"/>
      <c r="D64" s="261"/>
      <c r="E64" s="261"/>
      <c r="F64" s="261"/>
      <c r="G64" s="261"/>
      <c r="H64" s="72"/>
      <c r="I64" s="72"/>
      <c r="J64" s="73"/>
      <c r="K64" s="73"/>
      <c r="L64" s="74">
        <f>SUM(L62:L63)</f>
        <v>3003.28</v>
      </c>
      <c r="M64" s="74">
        <f>SUM(M62:M63)</f>
        <v>0</v>
      </c>
      <c r="N64" s="93">
        <f>SUM(N62:N63)</f>
        <v>3003.28</v>
      </c>
    </row>
    <row r="65" spans="2:14" ht="13">
      <c r="B65" s="24" t="s">
        <v>136</v>
      </c>
      <c r="C65" s="48"/>
      <c r="D65" s="48"/>
      <c r="E65" s="1" t="s">
        <v>156</v>
      </c>
      <c r="F65" s="1"/>
      <c r="G65" s="1"/>
      <c r="H65" s="1"/>
      <c r="I65" s="1"/>
      <c r="J65" s="1"/>
      <c r="K65" s="1"/>
      <c r="L65" s="1"/>
      <c r="M65" s="1"/>
      <c r="N65" s="65"/>
    </row>
    <row r="66" spans="2:14" ht="25">
      <c r="B66" s="58" t="s">
        <v>20</v>
      </c>
      <c r="C66" s="6">
        <v>94962</v>
      </c>
      <c r="D66" s="6" t="s">
        <v>34</v>
      </c>
      <c r="E66" s="57" t="s">
        <v>171</v>
      </c>
      <c r="F66" s="21" t="s">
        <v>57</v>
      </c>
      <c r="G66" s="75">
        <v>0.44019000000000008</v>
      </c>
      <c r="H66" s="75"/>
      <c r="I66" s="70">
        <f t="shared" ref="I66:I70" si="20">G66+H66</f>
        <v>0.44019000000000008</v>
      </c>
      <c r="J66" s="76">
        <v>229.15</v>
      </c>
      <c r="K66" s="10">
        <f>ROUND(J66*(1+$M$3),2)</f>
        <v>273.17</v>
      </c>
      <c r="L66" s="10">
        <f t="shared" ref="L66:N70" si="21">ROUND(G66*$K66,2)</f>
        <v>120.25</v>
      </c>
      <c r="M66" s="10">
        <f t="shared" si="21"/>
        <v>0</v>
      </c>
      <c r="N66" s="25">
        <f t="shared" si="21"/>
        <v>120.25</v>
      </c>
    </row>
    <row r="67" spans="2:14" ht="25">
      <c r="B67" s="58" t="s">
        <v>21</v>
      </c>
      <c r="C67" s="6">
        <v>92873</v>
      </c>
      <c r="D67" s="6" t="s">
        <v>34</v>
      </c>
      <c r="E67" s="57" t="s">
        <v>58</v>
      </c>
      <c r="F67" s="21" t="s">
        <v>57</v>
      </c>
      <c r="G67" s="75">
        <v>0.44019000000000008</v>
      </c>
      <c r="H67" s="75"/>
      <c r="I67" s="70">
        <f t="shared" si="20"/>
        <v>0.44019000000000008</v>
      </c>
      <c r="J67" s="76">
        <v>132.98000000000002</v>
      </c>
      <c r="K67" s="10">
        <f>ROUND(J67*(1+$M$3),2)</f>
        <v>158.53</v>
      </c>
      <c r="L67" s="10">
        <f t="shared" si="21"/>
        <v>69.78</v>
      </c>
      <c r="M67" s="10">
        <f t="shared" si="21"/>
        <v>0</v>
      </c>
      <c r="N67" s="25">
        <f t="shared" si="21"/>
        <v>69.78</v>
      </c>
    </row>
    <row r="68" spans="2:14" ht="14.5">
      <c r="B68" s="58" t="s">
        <v>203</v>
      </c>
      <c r="C68" s="6">
        <v>95467</v>
      </c>
      <c r="D68" s="6" t="s">
        <v>34</v>
      </c>
      <c r="E68" s="57" t="s">
        <v>155</v>
      </c>
      <c r="F68" s="21" t="s">
        <v>154</v>
      </c>
      <c r="G68" s="75">
        <v>24.455000000000005</v>
      </c>
      <c r="H68" s="75"/>
      <c r="I68" s="70">
        <f t="shared" si="20"/>
        <v>24.455000000000005</v>
      </c>
      <c r="J68" s="76">
        <v>332.9</v>
      </c>
      <c r="K68" s="10">
        <f>ROUND(J68*(1+$M$3),2)</f>
        <v>396.86</v>
      </c>
      <c r="L68" s="10">
        <f t="shared" si="21"/>
        <v>9705.2099999999991</v>
      </c>
      <c r="M68" s="10">
        <f t="shared" si="21"/>
        <v>0</v>
      </c>
      <c r="N68" s="25">
        <f t="shared" si="21"/>
        <v>9705.2099999999991</v>
      </c>
    </row>
    <row r="69" spans="2:14" ht="25">
      <c r="B69" s="58" t="s">
        <v>204</v>
      </c>
      <c r="C69" s="6">
        <v>95955</v>
      </c>
      <c r="D69" s="6" t="s">
        <v>34</v>
      </c>
      <c r="E69" s="57" t="s">
        <v>172</v>
      </c>
      <c r="F69" s="21" t="s">
        <v>29</v>
      </c>
      <c r="G69" s="75">
        <v>1.5782000000000003</v>
      </c>
      <c r="H69" s="75"/>
      <c r="I69" s="70">
        <f t="shared" si="20"/>
        <v>1.5782000000000003</v>
      </c>
      <c r="J69" s="76">
        <v>1880.82</v>
      </c>
      <c r="K69" s="10">
        <f>ROUND(J69*(1+$M$3),2)</f>
        <v>2242.15</v>
      </c>
      <c r="L69" s="10">
        <f t="shared" si="21"/>
        <v>3538.56</v>
      </c>
      <c r="M69" s="10">
        <f t="shared" si="21"/>
        <v>0</v>
      </c>
      <c r="N69" s="25">
        <f t="shared" si="21"/>
        <v>3538.56</v>
      </c>
    </row>
    <row r="70" spans="2:14" ht="25">
      <c r="B70" s="58" t="s">
        <v>205</v>
      </c>
      <c r="C70" s="6" t="s">
        <v>272</v>
      </c>
      <c r="D70" s="6" t="s">
        <v>34</v>
      </c>
      <c r="E70" s="55" t="s">
        <v>152</v>
      </c>
      <c r="F70" s="54" t="s">
        <v>4</v>
      </c>
      <c r="G70" s="75">
        <v>19.564000000000007</v>
      </c>
      <c r="H70" s="75"/>
      <c r="I70" s="70">
        <f t="shared" si="20"/>
        <v>19.564000000000007</v>
      </c>
      <c r="J70" s="76">
        <v>8.48</v>
      </c>
      <c r="K70" s="10">
        <f>ROUND(J70*(1+$M$3),2)</f>
        <v>10.11</v>
      </c>
      <c r="L70" s="10">
        <f t="shared" si="21"/>
        <v>197.79</v>
      </c>
      <c r="M70" s="10">
        <f t="shared" si="21"/>
        <v>0</v>
      </c>
      <c r="N70" s="25">
        <f t="shared" si="21"/>
        <v>197.79</v>
      </c>
    </row>
    <row r="71" spans="2:14" ht="13">
      <c r="B71" s="260" t="s">
        <v>261</v>
      </c>
      <c r="C71" s="261"/>
      <c r="D71" s="261"/>
      <c r="E71" s="261"/>
      <c r="F71" s="261"/>
      <c r="G71" s="261"/>
      <c r="H71" s="72"/>
      <c r="I71" s="72"/>
      <c r="J71" s="73"/>
      <c r="K71" s="73"/>
      <c r="L71" s="74">
        <f>SUM(L66:L70)</f>
        <v>13631.59</v>
      </c>
      <c r="M71" s="74">
        <f>SUM(M66:M70)</f>
        <v>0</v>
      </c>
      <c r="N71" s="93">
        <f>SUM(N66:N70)</f>
        <v>13631.59</v>
      </c>
    </row>
    <row r="72" spans="2:14" ht="13">
      <c r="B72" s="24" t="s">
        <v>133</v>
      </c>
      <c r="C72" s="48"/>
      <c r="D72" s="48"/>
      <c r="E72" s="1" t="s">
        <v>149</v>
      </c>
      <c r="F72" s="1"/>
      <c r="G72" s="1"/>
      <c r="H72" s="1"/>
      <c r="I72" s="1"/>
      <c r="J72" s="1"/>
      <c r="K72" s="1"/>
      <c r="L72" s="1"/>
      <c r="M72" s="1"/>
      <c r="N72" s="65"/>
    </row>
    <row r="73" spans="2:14" ht="37.5">
      <c r="B73" s="58" t="s">
        <v>22</v>
      </c>
      <c r="C73" s="6">
        <v>87495</v>
      </c>
      <c r="D73" s="6" t="s">
        <v>34</v>
      </c>
      <c r="E73" s="57" t="s">
        <v>148</v>
      </c>
      <c r="F73" s="21" t="s">
        <v>119</v>
      </c>
      <c r="G73" s="75">
        <v>149.12700000000001</v>
      </c>
      <c r="H73" s="75"/>
      <c r="I73" s="70">
        <f t="shared" ref="I73:I74" si="22">G73+H73</f>
        <v>149.12700000000001</v>
      </c>
      <c r="J73" s="76">
        <v>53.36</v>
      </c>
      <c r="K73" s="10">
        <f>ROUND(J73*(1+$M$3),2)</f>
        <v>63.61</v>
      </c>
      <c r="L73" s="10">
        <f t="shared" ref="L73:N74" si="23">ROUND(G73*$K73,2)</f>
        <v>9485.9699999999993</v>
      </c>
      <c r="M73" s="10">
        <f t="shared" si="23"/>
        <v>0</v>
      </c>
      <c r="N73" s="25">
        <f t="shared" si="23"/>
        <v>9485.9699999999993</v>
      </c>
    </row>
    <row r="74" spans="2:14" ht="25">
      <c r="B74" s="58" t="s">
        <v>28</v>
      </c>
      <c r="C74" s="6">
        <v>95955</v>
      </c>
      <c r="D74" s="6" t="s">
        <v>34</v>
      </c>
      <c r="E74" s="57" t="s">
        <v>173</v>
      </c>
      <c r="F74" s="21" t="s">
        <v>57</v>
      </c>
      <c r="G74" s="75">
        <v>3.52935</v>
      </c>
      <c r="H74" s="75"/>
      <c r="I74" s="70">
        <f t="shared" si="22"/>
        <v>3.52935</v>
      </c>
      <c r="J74" s="76">
        <v>1880.82</v>
      </c>
      <c r="K74" s="10">
        <f>ROUND(J74*(1+$M$3),2)</f>
        <v>2242.15</v>
      </c>
      <c r="L74" s="10">
        <f t="shared" si="23"/>
        <v>7913.33</v>
      </c>
      <c r="M74" s="10">
        <f t="shared" si="23"/>
        <v>0</v>
      </c>
      <c r="N74" s="25">
        <f t="shared" si="23"/>
        <v>7913.33</v>
      </c>
    </row>
    <row r="75" spans="2:14" ht="13">
      <c r="B75" s="260" t="s">
        <v>262</v>
      </c>
      <c r="C75" s="261"/>
      <c r="D75" s="261"/>
      <c r="E75" s="261"/>
      <c r="F75" s="261"/>
      <c r="G75" s="261"/>
      <c r="H75" s="72"/>
      <c r="I75" s="72"/>
      <c r="J75" s="73"/>
      <c r="K75" s="73"/>
      <c r="L75" s="74">
        <f>SUM(L73:L74)</f>
        <v>17399.3</v>
      </c>
      <c r="M75" s="74">
        <f>SUM(M73:M74)</f>
        <v>0</v>
      </c>
      <c r="N75" s="93">
        <f>SUM(N73:N74)</f>
        <v>17399.3</v>
      </c>
    </row>
    <row r="76" spans="2:14" ht="13">
      <c r="B76" s="24" t="s">
        <v>123</v>
      </c>
      <c r="C76" s="48"/>
      <c r="D76" s="48"/>
      <c r="E76" s="1" t="s">
        <v>82</v>
      </c>
      <c r="F76" s="1"/>
      <c r="G76" s="1"/>
      <c r="H76" s="1"/>
      <c r="I76" s="1"/>
      <c r="J76" s="1"/>
      <c r="K76" s="1"/>
      <c r="L76" s="1"/>
      <c r="M76" s="1"/>
      <c r="N76" s="65"/>
    </row>
    <row r="77" spans="2:14" ht="25">
      <c r="B77" s="58" t="s">
        <v>23</v>
      </c>
      <c r="C77" s="6"/>
      <c r="D77" s="6" t="s">
        <v>51</v>
      </c>
      <c r="E77" s="55" t="s">
        <v>175</v>
      </c>
      <c r="F77" s="54" t="s">
        <v>4</v>
      </c>
      <c r="G77" s="75">
        <v>61.24</v>
      </c>
      <c r="H77" s="75"/>
      <c r="I77" s="70">
        <f t="shared" ref="I77:I83" si="24">G77+H77</f>
        <v>61.24</v>
      </c>
      <c r="J77" s="76">
        <v>79.48</v>
      </c>
      <c r="K77" s="10">
        <f t="shared" ref="K77:K83" si="25">ROUND(J77*(1+$M$3),2)</f>
        <v>94.75</v>
      </c>
      <c r="L77" s="10">
        <f t="shared" ref="L77:N83" si="26">ROUND(G77*$K77,2)</f>
        <v>5802.49</v>
      </c>
      <c r="M77" s="10">
        <f t="shared" si="26"/>
        <v>0</v>
      </c>
      <c r="N77" s="25">
        <f t="shared" si="26"/>
        <v>5802.49</v>
      </c>
    </row>
    <row r="78" spans="2:14">
      <c r="B78" s="58" t="s">
        <v>24</v>
      </c>
      <c r="C78" s="6">
        <v>92542</v>
      </c>
      <c r="D78" s="6" t="s">
        <v>34</v>
      </c>
      <c r="E78" s="55" t="s">
        <v>146</v>
      </c>
      <c r="F78" s="54" t="s">
        <v>4</v>
      </c>
      <c r="G78" s="75">
        <v>44.821599999999997</v>
      </c>
      <c r="H78" s="75"/>
      <c r="I78" s="70">
        <f t="shared" si="24"/>
        <v>44.821599999999997</v>
      </c>
      <c r="J78" s="76">
        <v>57.969999999999992</v>
      </c>
      <c r="K78" s="10">
        <f t="shared" si="25"/>
        <v>69.11</v>
      </c>
      <c r="L78" s="10">
        <f t="shared" si="26"/>
        <v>3097.62</v>
      </c>
      <c r="M78" s="10">
        <f t="shared" si="26"/>
        <v>0</v>
      </c>
      <c r="N78" s="25">
        <f t="shared" si="26"/>
        <v>3097.62</v>
      </c>
    </row>
    <row r="79" spans="2:14">
      <c r="B79" s="58" t="s">
        <v>25</v>
      </c>
      <c r="C79" s="6">
        <v>94204</v>
      </c>
      <c r="D79" s="6" t="s">
        <v>34</v>
      </c>
      <c r="E79" s="55" t="s">
        <v>145</v>
      </c>
      <c r="F79" s="54" t="s">
        <v>4</v>
      </c>
      <c r="G79" s="75">
        <v>44.821599999999997</v>
      </c>
      <c r="H79" s="75"/>
      <c r="I79" s="70">
        <f t="shared" si="24"/>
        <v>44.821599999999997</v>
      </c>
      <c r="J79" s="76">
        <v>27.18</v>
      </c>
      <c r="K79" s="10">
        <f t="shared" si="25"/>
        <v>32.4</v>
      </c>
      <c r="L79" s="10">
        <f t="shared" si="26"/>
        <v>1452.22</v>
      </c>
      <c r="M79" s="10">
        <f t="shared" si="26"/>
        <v>0</v>
      </c>
      <c r="N79" s="25">
        <f t="shared" si="26"/>
        <v>1452.22</v>
      </c>
    </row>
    <row r="80" spans="2:14">
      <c r="B80" s="58" t="s">
        <v>42</v>
      </c>
      <c r="C80" s="6" t="s">
        <v>273</v>
      </c>
      <c r="D80" s="6" t="s">
        <v>34</v>
      </c>
      <c r="E80" s="55" t="s">
        <v>176</v>
      </c>
      <c r="F80" s="54" t="s">
        <v>4</v>
      </c>
      <c r="G80" s="75">
        <v>61.24</v>
      </c>
      <c r="H80" s="75"/>
      <c r="I80" s="70">
        <f t="shared" si="24"/>
        <v>61.24</v>
      </c>
      <c r="J80" s="76">
        <v>77.88</v>
      </c>
      <c r="K80" s="10">
        <f t="shared" si="25"/>
        <v>92.84</v>
      </c>
      <c r="L80" s="10">
        <f t="shared" si="26"/>
        <v>5685.52</v>
      </c>
      <c r="M80" s="10">
        <f t="shared" si="26"/>
        <v>0</v>
      </c>
      <c r="N80" s="25">
        <f t="shared" si="26"/>
        <v>5685.52</v>
      </c>
    </row>
    <row r="81" spans="2:14" ht="25">
      <c r="B81" s="58" t="s">
        <v>32</v>
      </c>
      <c r="C81" s="6">
        <v>94229</v>
      </c>
      <c r="D81" s="6" t="s">
        <v>34</v>
      </c>
      <c r="E81" s="55" t="s">
        <v>177</v>
      </c>
      <c r="F81" s="54" t="s">
        <v>4</v>
      </c>
      <c r="G81" s="75">
        <v>1.26</v>
      </c>
      <c r="H81" s="75"/>
      <c r="I81" s="70">
        <f t="shared" si="24"/>
        <v>1.26</v>
      </c>
      <c r="J81" s="76">
        <v>111.38000000000001</v>
      </c>
      <c r="K81" s="10">
        <f t="shared" si="25"/>
        <v>132.78</v>
      </c>
      <c r="L81" s="10">
        <f t="shared" si="26"/>
        <v>167.3</v>
      </c>
      <c r="M81" s="10">
        <f t="shared" si="26"/>
        <v>0</v>
      </c>
      <c r="N81" s="25">
        <f t="shared" si="26"/>
        <v>167.3</v>
      </c>
    </row>
    <row r="82" spans="2:14" ht="25">
      <c r="B82" s="58" t="s">
        <v>45</v>
      </c>
      <c r="C82" s="8">
        <v>100435</v>
      </c>
      <c r="D82" s="6" t="s">
        <v>34</v>
      </c>
      <c r="E82" s="14" t="s">
        <v>178</v>
      </c>
      <c r="F82" s="8" t="s">
        <v>1</v>
      </c>
      <c r="G82" s="75">
        <v>20.58</v>
      </c>
      <c r="H82" s="75"/>
      <c r="I82" s="70">
        <f t="shared" si="24"/>
        <v>20.58</v>
      </c>
      <c r="J82" s="76">
        <v>28</v>
      </c>
      <c r="K82" s="10">
        <f t="shared" si="25"/>
        <v>33.380000000000003</v>
      </c>
      <c r="L82" s="10">
        <f t="shared" si="26"/>
        <v>686.96</v>
      </c>
      <c r="M82" s="10">
        <f t="shared" si="26"/>
        <v>0</v>
      </c>
      <c r="N82" s="25">
        <f t="shared" si="26"/>
        <v>686.96</v>
      </c>
    </row>
    <row r="83" spans="2:14">
      <c r="B83" s="58" t="s">
        <v>46</v>
      </c>
      <c r="C83" s="6">
        <v>96113</v>
      </c>
      <c r="D83" s="6" t="s">
        <v>34</v>
      </c>
      <c r="E83" s="55" t="s">
        <v>274</v>
      </c>
      <c r="F83" s="54" t="s">
        <v>4</v>
      </c>
      <c r="G83" s="75">
        <v>61.24</v>
      </c>
      <c r="H83" s="75"/>
      <c r="I83" s="70">
        <f t="shared" si="24"/>
        <v>61.24</v>
      </c>
      <c r="J83" s="76">
        <v>24.55</v>
      </c>
      <c r="K83" s="10">
        <f t="shared" si="25"/>
        <v>29.27</v>
      </c>
      <c r="L83" s="10">
        <f t="shared" si="26"/>
        <v>1792.49</v>
      </c>
      <c r="M83" s="10">
        <f t="shared" si="26"/>
        <v>0</v>
      </c>
      <c r="N83" s="25">
        <f t="shared" si="26"/>
        <v>1792.49</v>
      </c>
    </row>
    <row r="84" spans="2:14" ht="13">
      <c r="B84" s="260" t="s">
        <v>263</v>
      </c>
      <c r="C84" s="261"/>
      <c r="D84" s="261"/>
      <c r="E84" s="261"/>
      <c r="F84" s="261"/>
      <c r="G84" s="261"/>
      <c r="H84" s="72"/>
      <c r="I84" s="72"/>
      <c r="J84" s="73"/>
      <c r="K84" s="73"/>
      <c r="L84" s="74">
        <f>SUM(L77:L83)</f>
        <v>18684.600000000002</v>
      </c>
      <c r="M84" s="74">
        <f>SUM(M77:M83)</f>
        <v>0</v>
      </c>
      <c r="N84" s="93">
        <f>SUM(N77:N83)</f>
        <v>18684.600000000002</v>
      </c>
    </row>
    <row r="85" spans="2:14" ht="13">
      <c r="B85" s="24" t="s">
        <v>121</v>
      </c>
      <c r="C85" s="48"/>
      <c r="D85" s="48"/>
      <c r="E85" s="1" t="s">
        <v>3</v>
      </c>
      <c r="F85" s="1"/>
      <c r="G85" s="1"/>
      <c r="H85" s="1"/>
      <c r="I85" s="1"/>
      <c r="J85" s="1"/>
      <c r="K85" s="1"/>
      <c r="L85" s="1"/>
      <c r="M85" s="1"/>
      <c r="N85" s="65"/>
    </row>
    <row r="86" spans="2:14" ht="37.5">
      <c r="B86" s="58" t="s">
        <v>26</v>
      </c>
      <c r="C86" s="6">
        <v>90843</v>
      </c>
      <c r="D86" s="6" t="s">
        <v>34</v>
      </c>
      <c r="E86" s="57" t="s">
        <v>181</v>
      </c>
      <c r="F86" s="54" t="s">
        <v>2</v>
      </c>
      <c r="G86" s="75">
        <v>2</v>
      </c>
      <c r="H86" s="75"/>
      <c r="I86" s="70">
        <f t="shared" ref="I86:I94" si="27">G86+H86</f>
        <v>2</v>
      </c>
      <c r="J86" s="76">
        <v>673.66000000000008</v>
      </c>
      <c r="K86" s="10">
        <f t="shared" ref="K86:K94" si="28">ROUND(J86*(1+$M$3),2)</f>
        <v>803.08</v>
      </c>
      <c r="L86" s="10">
        <f t="shared" ref="L86:N94" si="29">ROUND(G86*$K86,2)</f>
        <v>1606.16</v>
      </c>
      <c r="M86" s="10">
        <f t="shared" si="29"/>
        <v>0</v>
      </c>
      <c r="N86" s="25">
        <f t="shared" si="29"/>
        <v>1606.16</v>
      </c>
    </row>
    <row r="87" spans="2:14" ht="37.5">
      <c r="B87" s="58" t="s">
        <v>206</v>
      </c>
      <c r="C87" s="6">
        <v>90842</v>
      </c>
      <c r="D87" s="6" t="s">
        <v>34</v>
      </c>
      <c r="E87" s="57" t="s">
        <v>186</v>
      </c>
      <c r="F87" s="54"/>
      <c r="G87" s="75">
        <v>1</v>
      </c>
      <c r="H87" s="75"/>
      <c r="I87" s="70">
        <f t="shared" si="27"/>
        <v>1</v>
      </c>
      <c r="J87" s="76">
        <v>653.86</v>
      </c>
      <c r="K87" s="10">
        <f t="shared" si="28"/>
        <v>779.48</v>
      </c>
      <c r="L87" s="10">
        <f t="shared" si="29"/>
        <v>779.48</v>
      </c>
      <c r="M87" s="10">
        <f t="shared" si="29"/>
        <v>0</v>
      </c>
      <c r="N87" s="25">
        <f t="shared" si="29"/>
        <v>779.48</v>
      </c>
    </row>
    <row r="88" spans="2:14" ht="25">
      <c r="B88" s="58" t="s">
        <v>207</v>
      </c>
      <c r="C88" s="6">
        <v>93190</v>
      </c>
      <c r="D88" s="6" t="s">
        <v>34</v>
      </c>
      <c r="E88" s="55" t="s">
        <v>182</v>
      </c>
      <c r="F88" s="54" t="s">
        <v>1</v>
      </c>
      <c r="G88" s="75">
        <v>4.0999999999999996</v>
      </c>
      <c r="H88" s="75"/>
      <c r="I88" s="70">
        <f t="shared" si="27"/>
        <v>4.0999999999999996</v>
      </c>
      <c r="J88" s="76">
        <v>24.59</v>
      </c>
      <c r="K88" s="10">
        <f t="shared" si="28"/>
        <v>29.31</v>
      </c>
      <c r="L88" s="10">
        <f t="shared" si="29"/>
        <v>120.17</v>
      </c>
      <c r="M88" s="10">
        <f t="shared" si="29"/>
        <v>0</v>
      </c>
      <c r="N88" s="25">
        <f t="shared" si="29"/>
        <v>120.17</v>
      </c>
    </row>
    <row r="89" spans="2:14" ht="25">
      <c r="B89" s="58" t="s">
        <v>208</v>
      </c>
      <c r="C89" s="6">
        <v>93198</v>
      </c>
      <c r="D89" s="6" t="s">
        <v>34</v>
      </c>
      <c r="E89" s="57" t="s">
        <v>183</v>
      </c>
      <c r="F89" s="54" t="s">
        <v>1</v>
      </c>
      <c r="G89" s="75">
        <v>0.6</v>
      </c>
      <c r="H89" s="75"/>
      <c r="I89" s="70">
        <f t="shared" si="27"/>
        <v>0.6</v>
      </c>
      <c r="J89" s="76">
        <v>21.23</v>
      </c>
      <c r="K89" s="10">
        <f t="shared" si="28"/>
        <v>25.31</v>
      </c>
      <c r="L89" s="10">
        <f t="shared" si="29"/>
        <v>15.19</v>
      </c>
      <c r="M89" s="10">
        <f t="shared" si="29"/>
        <v>0</v>
      </c>
      <c r="N89" s="25">
        <f t="shared" si="29"/>
        <v>15.19</v>
      </c>
    </row>
    <row r="90" spans="2:14" ht="25">
      <c r="B90" s="58" t="s">
        <v>209</v>
      </c>
      <c r="C90" s="6">
        <v>93191</v>
      </c>
      <c r="D90" s="6" t="s">
        <v>34</v>
      </c>
      <c r="E90" s="57" t="s">
        <v>184</v>
      </c>
      <c r="F90" s="54" t="s">
        <v>1</v>
      </c>
      <c r="G90" s="75">
        <v>3.6</v>
      </c>
      <c r="H90" s="75"/>
      <c r="I90" s="70">
        <f t="shared" si="27"/>
        <v>3.6</v>
      </c>
      <c r="J90" s="76">
        <v>25.549999999999997</v>
      </c>
      <c r="K90" s="10">
        <f t="shared" si="28"/>
        <v>30.46</v>
      </c>
      <c r="L90" s="10">
        <f t="shared" si="29"/>
        <v>109.66</v>
      </c>
      <c r="M90" s="10">
        <f t="shared" si="29"/>
        <v>0</v>
      </c>
      <c r="N90" s="25">
        <f t="shared" si="29"/>
        <v>109.66</v>
      </c>
    </row>
    <row r="91" spans="2:14" ht="25">
      <c r="B91" s="58" t="s">
        <v>210</v>
      </c>
      <c r="C91" s="6">
        <v>93199</v>
      </c>
      <c r="D91" s="6" t="s">
        <v>34</v>
      </c>
      <c r="E91" s="57" t="s">
        <v>185</v>
      </c>
      <c r="F91" s="54" t="s">
        <v>1</v>
      </c>
      <c r="G91" s="75">
        <v>3.6</v>
      </c>
      <c r="H91" s="75"/>
      <c r="I91" s="70">
        <f t="shared" si="27"/>
        <v>3.6</v>
      </c>
      <c r="J91" s="76">
        <v>20.86</v>
      </c>
      <c r="K91" s="10">
        <f t="shared" si="28"/>
        <v>24.87</v>
      </c>
      <c r="L91" s="10">
        <f t="shared" si="29"/>
        <v>89.53</v>
      </c>
      <c r="M91" s="10">
        <f t="shared" si="29"/>
        <v>0</v>
      </c>
      <c r="N91" s="25">
        <f t="shared" si="29"/>
        <v>89.53</v>
      </c>
    </row>
    <row r="92" spans="2:14" ht="26.25" customHeight="1">
      <c r="B92" s="58" t="s">
        <v>211</v>
      </c>
      <c r="C92" s="6">
        <v>94581</v>
      </c>
      <c r="D92" s="6" t="s">
        <v>34</v>
      </c>
      <c r="E92" s="57" t="s">
        <v>275</v>
      </c>
      <c r="F92" s="54" t="s">
        <v>4</v>
      </c>
      <c r="G92" s="75">
        <v>0.16000000000000003</v>
      </c>
      <c r="H92" s="75"/>
      <c r="I92" s="70">
        <f t="shared" si="27"/>
        <v>0.16000000000000003</v>
      </c>
      <c r="J92" s="76">
        <v>507.78000000000003</v>
      </c>
      <c r="K92" s="10">
        <f t="shared" si="28"/>
        <v>605.33000000000004</v>
      </c>
      <c r="L92" s="10">
        <f t="shared" si="29"/>
        <v>96.85</v>
      </c>
      <c r="M92" s="10">
        <f t="shared" si="29"/>
        <v>0</v>
      </c>
      <c r="N92" s="25">
        <f t="shared" si="29"/>
        <v>96.85</v>
      </c>
    </row>
    <row r="93" spans="2:14" ht="18" customHeight="1">
      <c r="B93" s="58" t="s">
        <v>446</v>
      </c>
      <c r="C93" s="6" t="s">
        <v>439</v>
      </c>
      <c r="D93" s="6" t="s">
        <v>440</v>
      </c>
      <c r="E93" s="57" t="s">
        <v>453</v>
      </c>
      <c r="F93" s="54" t="s">
        <v>4</v>
      </c>
      <c r="G93" s="75">
        <v>0</v>
      </c>
      <c r="H93" s="75">
        <f>'Memória de Cálculo'!D9</f>
        <v>4.1999999999999993</v>
      </c>
      <c r="I93" s="70">
        <f t="shared" si="27"/>
        <v>4.1999999999999993</v>
      </c>
      <c r="J93" s="76">
        <f>Resumo_Valor_Desconto!H19</f>
        <v>250.9214043221055</v>
      </c>
      <c r="K93" s="10">
        <f t="shared" si="28"/>
        <v>299.13</v>
      </c>
      <c r="L93" s="10">
        <f t="shared" si="29"/>
        <v>0</v>
      </c>
      <c r="M93" s="10">
        <f t="shared" si="29"/>
        <v>1256.3499999999999</v>
      </c>
      <c r="N93" s="25">
        <f t="shared" si="29"/>
        <v>1256.3499999999999</v>
      </c>
    </row>
    <row r="94" spans="2:14">
      <c r="B94" s="58" t="s">
        <v>452</v>
      </c>
      <c r="C94" s="6" t="s">
        <v>443</v>
      </c>
      <c r="D94" s="6" t="s">
        <v>440</v>
      </c>
      <c r="E94" s="57" t="s">
        <v>445</v>
      </c>
      <c r="F94" s="54" t="s">
        <v>4</v>
      </c>
      <c r="G94" s="75">
        <v>0</v>
      </c>
      <c r="H94" s="75">
        <f>'Memória de Cálculo'!D10</f>
        <v>12.959999999999999</v>
      </c>
      <c r="I94" s="70">
        <f t="shared" si="27"/>
        <v>12.959999999999999</v>
      </c>
      <c r="J94" s="76">
        <f>Resumo_Valor_Desconto!H20</f>
        <v>364.167520747742</v>
      </c>
      <c r="K94" s="10">
        <f t="shared" si="28"/>
        <v>434.13</v>
      </c>
      <c r="L94" s="10">
        <f t="shared" si="29"/>
        <v>0</v>
      </c>
      <c r="M94" s="10">
        <f t="shared" si="29"/>
        <v>5626.32</v>
      </c>
      <c r="N94" s="25">
        <f t="shared" si="29"/>
        <v>5626.32</v>
      </c>
    </row>
    <row r="95" spans="2:14" ht="13">
      <c r="B95" s="260" t="s">
        <v>264</v>
      </c>
      <c r="C95" s="261"/>
      <c r="D95" s="261"/>
      <c r="E95" s="261"/>
      <c r="F95" s="261"/>
      <c r="G95" s="261"/>
      <c r="H95" s="72"/>
      <c r="I95" s="72"/>
      <c r="J95" s="73"/>
      <c r="K95" s="73"/>
      <c r="L95" s="74">
        <f>SUM(L86:L94)</f>
        <v>2817.0400000000004</v>
      </c>
      <c r="M95" s="74">
        <f t="shared" ref="M95:N95" si="30">SUM(M86:M94)</f>
        <v>6882.67</v>
      </c>
      <c r="N95" s="74">
        <f t="shared" si="30"/>
        <v>9699.7099999999991</v>
      </c>
    </row>
    <row r="96" spans="2:14" ht="13">
      <c r="B96" s="24" t="s">
        <v>118</v>
      </c>
      <c r="C96" s="48"/>
      <c r="D96" s="48"/>
      <c r="E96" s="1" t="s">
        <v>141</v>
      </c>
      <c r="F96" s="1"/>
      <c r="G96" s="1"/>
      <c r="H96" s="1"/>
      <c r="I96" s="1"/>
      <c r="J96" s="1"/>
      <c r="K96" s="1"/>
      <c r="L96" s="1"/>
      <c r="M96" s="1"/>
      <c r="N96" s="65"/>
    </row>
    <row r="97" spans="2:14" ht="25">
      <c r="B97" s="58" t="s">
        <v>212</v>
      </c>
      <c r="C97" s="6">
        <v>87878</v>
      </c>
      <c r="D97" s="6" t="s">
        <v>34</v>
      </c>
      <c r="E97" s="55" t="s">
        <v>140</v>
      </c>
      <c r="F97" s="54" t="s">
        <v>4</v>
      </c>
      <c r="G97" s="75">
        <v>303.084</v>
      </c>
      <c r="H97" s="75"/>
      <c r="I97" s="70">
        <f t="shared" ref="I97:I100" si="31">G97+H97</f>
        <v>303.084</v>
      </c>
      <c r="J97" s="76">
        <v>2.82</v>
      </c>
      <c r="K97" s="10">
        <f>ROUND(J97*(1+$M$3),2)</f>
        <v>3.36</v>
      </c>
      <c r="L97" s="10">
        <f t="shared" ref="L97:N100" si="32">ROUND(G97*$K97,2)</f>
        <v>1018.36</v>
      </c>
      <c r="M97" s="10">
        <f t="shared" si="32"/>
        <v>0</v>
      </c>
      <c r="N97" s="25">
        <f t="shared" si="32"/>
        <v>1018.36</v>
      </c>
    </row>
    <row r="98" spans="2:14" ht="37.5">
      <c r="B98" s="58" t="s">
        <v>43</v>
      </c>
      <c r="C98" s="6">
        <v>87527</v>
      </c>
      <c r="D98" s="6" t="s">
        <v>34</v>
      </c>
      <c r="E98" s="57" t="s">
        <v>139</v>
      </c>
      <c r="F98" s="21" t="s">
        <v>119</v>
      </c>
      <c r="G98" s="75">
        <v>16.615500000000001</v>
      </c>
      <c r="H98" s="75"/>
      <c r="I98" s="70">
        <f t="shared" si="31"/>
        <v>16.615500000000001</v>
      </c>
      <c r="J98" s="76">
        <v>23.68</v>
      </c>
      <c r="K98" s="10">
        <f>ROUND(J98*(1+$M$3),2)</f>
        <v>28.23</v>
      </c>
      <c r="L98" s="10">
        <f t="shared" si="32"/>
        <v>469.06</v>
      </c>
      <c r="M98" s="10">
        <f t="shared" si="32"/>
        <v>0</v>
      </c>
      <c r="N98" s="25">
        <f t="shared" si="32"/>
        <v>469.06</v>
      </c>
    </row>
    <row r="99" spans="2:14" ht="25">
      <c r="B99" s="58" t="s">
        <v>213</v>
      </c>
      <c r="C99" s="6">
        <v>87264</v>
      </c>
      <c r="D99" s="6" t="s">
        <v>34</v>
      </c>
      <c r="E99" s="57" t="s">
        <v>138</v>
      </c>
      <c r="F99" s="21" t="s">
        <v>119</v>
      </c>
      <c r="G99" s="75">
        <v>16.615500000000001</v>
      </c>
      <c r="H99" s="75"/>
      <c r="I99" s="70">
        <f t="shared" si="31"/>
        <v>16.615500000000001</v>
      </c>
      <c r="J99" s="76">
        <v>46.65</v>
      </c>
      <c r="K99" s="10">
        <f>ROUND(J99*(1+$M$3),2)</f>
        <v>55.61</v>
      </c>
      <c r="L99" s="10">
        <f t="shared" si="32"/>
        <v>923.99</v>
      </c>
      <c r="M99" s="10">
        <f t="shared" si="32"/>
        <v>0</v>
      </c>
      <c r="N99" s="25">
        <f t="shared" si="32"/>
        <v>923.99</v>
      </c>
    </row>
    <row r="100" spans="2:14" ht="37.5">
      <c r="B100" s="58" t="s">
        <v>214</v>
      </c>
      <c r="C100" s="6">
        <v>87530</v>
      </c>
      <c r="D100" s="6" t="s">
        <v>34</v>
      </c>
      <c r="E100" s="57" t="s">
        <v>137</v>
      </c>
      <c r="F100" s="21" t="s">
        <v>119</v>
      </c>
      <c r="G100" s="75">
        <v>303.084</v>
      </c>
      <c r="H100" s="75"/>
      <c r="I100" s="70">
        <f t="shared" si="31"/>
        <v>303.084</v>
      </c>
      <c r="J100" s="76">
        <v>24.49</v>
      </c>
      <c r="K100" s="10">
        <f>ROUND(J100*(1+$M$3),2)</f>
        <v>29.19</v>
      </c>
      <c r="L100" s="10">
        <f t="shared" si="32"/>
        <v>8847.02</v>
      </c>
      <c r="M100" s="10">
        <f t="shared" si="32"/>
        <v>0</v>
      </c>
      <c r="N100" s="25">
        <f t="shared" si="32"/>
        <v>8847.02</v>
      </c>
    </row>
    <row r="101" spans="2:14" ht="13">
      <c r="B101" s="260" t="s">
        <v>265</v>
      </c>
      <c r="C101" s="261"/>
      <c r="D101" s="261"/>
      <c r="E101" s="261"/>
      <c r="F101" s="261"/>
      <c r="G101" s="261"/>
      <c r="H101" s="72"/>
      <c r="I101" s="72"/>
      <c r="J101" s="73"/>
      <c r="K101" s="73"/>
      <c r="L101" s="74">
        <f>SUM(L97:L100)</f>
        <v>11258.43</v>
      </c>
      <c r="M101" s="74">
        <f>SUM(M97:M100)</f>
        <v>0</v>
      </c>
      <c r="N101" s="93">
        <f>SUM(N97:N100)</f>
        <v>11258.43</v>
      </c>
    </row>
    <row r="102" spans="2:14" ht="13">
      <c r="B102" s="24" t="s">
        <v>215</v>
      </c>
      <c r="C102" s="48"/>
      <c r="D102" s="48"/>
      <c r="E102" s="1" t="s">
        <v>135</v>
      </c>
      <c r="F102" s="1"/>
      <c r="G102" s="1"/>
      <c r="H102" s="1"/>
      <c r="I102" s="1"/>
      <c r="J102" s="1"/>
      <c r="K102" s="1"/>
      <c r="L102" s="1"/>
      <c r="M102" s="1"/>
      <c r="N102" s="65"/>
    </row>
    <row r="103" spans="2:14" ht="37.5">
      <c r="B103" s="58" t="s">
        <v>216</v>
      </c>
      <c r="C103" s="8">
        <v>94439</v>
      </c>
      <c r="D103" s="6" t="s">
        <v>34</v>
      </c>
      <c r="E103" s="14" t="s">
        <v>179</v>
      </c>
      <c r="F103" s="8" t="s">
        <v>4</v>
      </c>
      <c r="G103" s="75">
        <v>55.68</v>
      </c>
      <c r="H103" s="75"/>
      <c r="I103" s="70">
        <f t="shared" ref="I103:I105" si="33">G103+H103</f>
        <v>55.68</v>
      </c>
      <c r="J103" s="76">
        <v>32.14</v>
      </c>
      <c r="K103" s="10">
        <f>ROUND(J103*(1+$M$3),2)</f>
        <v>38.31</v>
      </c>
      <c r="L103" s="10">
        <f t="shared" ref="L103:N105" si="34">ROUND(G103*$K103,2)</f>
        <v>2133.1</v>
      </c>
      <c r="M103" s="10">
        <f t="shared" si="34"/>
        <v>0</v>
      </c>
      <c r="N103" s="25">
        <f t="shared" si="34"/>
        <v>2133.1</v>
      </c>
    </row>
    <row r="104" spans="2:14" ht="25">
      <c r="B104" s="58" t="s">
        <v>217</v>
      </c>
      <c r="C104" s="6">
        <v>87246</v>
      </c>
      <c r="D104" s="6" t="s">
        <v>34</v>
      </c>
      <c r="E104" s="57" t="s">
        <v>134</v>
      </c>
      <c r="F104" s="21" t="s">
        <v>119</v>
      </c>
      <c r="G104" s="75">
        <v>55.68</v>
      </c>
      <c r="H104" s="75"/>
      <c r="I104" s="70">
        <f t="shared" si="33"/>
        <v>55.68</v>
      </c>
      <c r="J104" s="76">
        <v>43.73</v>
      </c>
      <c r="K104" s="10">
        <f>ROUND(J104*(1+$M$3),2)</f>
        <v>52.13</v>
      </c>
      <c r="L104" s="10">
        <f t="shared" si="34"/>
        <v>2902.6</v>
      </c>
      <c r="M104" s="10">
        <f t="shared" si="34"/>
        <v>0</v>
      </c>
      <c r="N104" s="25">
        <f t="shared" si="34"/>
        <v>2902.6</v>
      </c>
    </row>
    <row r="105" spans="2:14" ht="25">
      <c r="B105" s="58" t="s">
        <v>218</v>
      </c>
      <c r="C105" s="8">
        <v>96467</v>
      </c>
      <c r="D105" s="6" t="s">
        <v>34</v>
      </c>
      <c r="E105" s="14" t="s">
        <v>180</v>
      </c>
      <c r="F105" s="8" t="s">
        <v>1</v>
      </c>
      <c r="G105" s="75">
        <v>49.49</v>
      </c>
      <c r="H105" s="75"/>
      <c r="I105" s="70">
        <f t="shared" si="33"/>
        <v>49.49</v>
      </c>
      <c r="J105" s="76">
        <v>4.66</v>
      </c>
      <c r="K105" s="10">
        <f>ROUND(J105*(1+$M$3),2)</f>
        <v>5.56</v>
      </c>
      <c r="L105" s="10">
        <f t="shared" si="34"/>
        <v>275.16000000000003</v>
      </c>
      <c r="M105" s="10">
        <f t="shared" si="34"/>
        <v>0</v>
      </c>
      <c r="N105" s="25">
        <f t="shared" si="34"/>
        <v>275.16000000000003</v>
      </c>
    </row>
    <row r="106" spans="2:14" ht="13">
      <c r="B106" s="260" t="s">
        <v>266</v>
      </c>
      <c r="C106" s="261"/>
      <c r="D106" s="261"/>
      <c r="E106" s="261"/>
      <c r="F106" s="261"/>
      <c r="G106" s="261"/>
      <c r="H106" s="72"/>
      <c r="I106" s="72"/>
      <c r="J106" s="73"/>
      <c r="K106" s="73"/>
      <c r="L106" s="74">
        <f>SUM(L103:L105)</f>
        <v>5310.86</v>
      </c>
      <c r="M106" s="74">
        <f>SUM(M103:M105)</f>
        <v>0</v>
      </c>
      <c r="N106" s="93">
        <f>SUM(N103:N105)</f>
        <v>5310.86</v>
      </c>
    </row>
    <row r="107" spans="2:14" ht="13">
      <c r="B107" s="24" t="s">
        <v>219</v>
      </c>
      <c r="C107" s="48"/>
      <c r="D107" s="48"/>
      <c r="E107" s="1" t="s">
        <v>132</v>
      </c>
      <c r="F107" s="1"/>
      <c r="G107" s="1"/>
      <c r="H107" s="1"/>
      <c r="I107" s="1"/>
      <c r="J107" s="1"/>
      <c r="K107" s="1"/>
      <c r="L107" s="1"/>
      <c r="M107" s="1"/>
      <c r="N107" s="65"/>
    </row>
    <row r="108" spans="2:14" ht="13">
      <c r="B108" s="59" t="s">
        <v>220</v>
      </c>
      <c r="C108" s="6"/>
      <c r="D108" s="6"/>
      <c r="E108" s="56" t="s">
        <v>131</v>
      </c>
      <c r="F108" s="54"/>
      <c r="G108" s="75"/>
      <c r="H108" s="75"/>
      <c r="I108" s="75"/>
      <c r="J108" s="76"/>
      <c r="K108" s="10"/>
      <c r="L108" s="10"/>
      <c r="M108" s="10"/>
      <c r="N108" s="25"/>
    </row>
    <row r="109" spans="2:14">
      <c r="B109" s="58" t="s">
        <v>223</v>
      </c>
      <c r="C109" s="6">
        <v>89401</v>
      </c>
      <c r="D109" s="6" t="s">
        <v>34</v>
      </c>
      <c r="E109" s="55" t="s">
        <v>197</v>
      </c>
      <c r="F109" s="54" t="s">
        <v>1</v>
      </c>
      <c r="G109" s="75">
        <v>3.45</v>
      </c>
      <c r="H109" s="75"/>
      <c r="I109" s="70">
        <f t="shared" ref="I109:I126" si="35">G109+H109</f>
        <v>3.45</v>
      </c>
      <c r="J109" s="76">
        <v>4.75</v>
      </c>
      <c r="K109" s="10">
        <f>ROUND(J109*(1+$M$3),2)</f>
        <v>5.66</v>
      </c>
      <c r="L109" s="10">
        <f t="shared" ref="L109:N126" si="36">ROUND(G109*$K109,2)</f>
        <v>19.53</v>
      </c>
      <c r="M109" s="10">
        <f t="shared" si="36"/>
        <v>0</v>
      </c>
      <c r="N109" s="25">
        <f t="shared" si="36"/>
        <v>19.53</v>
      </c>
    </row>
    <row r="110" spans="2:14" ht="25">
      <c r="B110" s="58" t="s">
        <v>224</v>
      </c>
      <c r="C110" s="6">
        <v>96637</v>
      </c>
      <c r="D110" s="6" t="s">
        <v>34</v>
      </c>
      <c r="E110" s="55" t="s">
        <v>200</v>
      </c>
      <c r="F110" s="54" t="s">
        <v>59</v>
      </c>
      <c r="G110" s="75">
        <v>3</v>
      </c>
      <c r="H110" s="75"/>
      <c r="I110" s="70">
        <f t="shared" si="35"/>
        <v>3</v>
      </c>
      <c r="J110" s="76">
        <v>8.370000000000001</v>
      </c>
      <c r="K110" s="10">
        <f>ROUND(J110*(1+$M$3),2)</f>
        <v>9.98</v>
      </c>
      <c r="L110" s="10">
        <f t="shared" si="36"/>
        <v>29.94</v>
      </c>
      <c r="M110" s="10">
        <f t="shared" si="36"/>
        <v>0</v>
      </c>
      <c r="N110" s="25">
        <f t="shared" si="36"/>
        <v>29.94</v>
      </c>
    </row>
    <row r="111" spans="2:14" ht="37.5">
      <c r="B111" s="58" t="s">
        <v>225</v>
      </c>
      <c r="C111" s="6">
        <v>89394</v>
      </c>
      <c r="D111" s="6" t="s">
        <v>34</v>
      </c>
      <c r="E111" s="57" t="s">
        <v>201</v>
      </c>
      <c r="F111" s="54" t="s">
        <v>59</v>
      </c>
      <c r="G111" s="75">
        <v>1</v>
      </c>
      <c r="H111" s="75"/>
      <c r="I111" s="70">
        <f t="shared" si="35"/>
        <v>1</v>
      </c>
      <c r="J111" s="76">
        <v>11.89</v>
      </c>
      <c r="K111" s="10">
        <f>ROUND(J111*(1+$M$3),2)</f>
        <v>14.17</v>
      </c>
      <c r="L111" s="10">
        <f t="shared" si="36"/>
        <v>14.17</v>
      </c>
      <c r="M111" s="10">
        <f t="shared" si="36"/>
        <v>0</v>
      </c>
      <c r="N111" s="25">
        <f t="shared" si="36"/>
        <v>14.17</v>
      </c>
    </row>
    <row r="112" spans="2:14" ht="25">
      <c r="B112" s="58" t="s">
        <v>226</v>
      </c>
      <c r="C112" s="6">
        <v>89404</v>
      </c>
      <c r="D112" s="6" t="s">
        <v>34</v>
      </c>
      <c r="E112" s="55" t="s">
        <v>280</v>
      </c>
      <c r="F112" s="54" t="s">
        <v>59</v>
      </c>
      <c r="G112" s="75">
        <v>1</v>
      </c>
      <c r="H112" s="75"/>
      <c r="I112" s="70">
        <f t="shared" si="35"/>
        <v>1</v>
      </c>
      <c r="J112" s="76">
        <v>2.89</v>
      </c>
      <c r="K112" s="10">
        <f>ROUND(J112*(1+$M$3),2)</f>
        <v>3.45</v>
      </c>
      <c r="L112" s="10">
        <f t="shared" si="36"/>
        <v>3.45</v>
      </c>
      <c r="M112" s="10">
        <f t="shared" si="36"/>
        <v>0</v>
      </c>
      <c r="N112" s="25">
        <f t="shared" si="36"/>
        <v>3.45</v>
      </c>
    </row>
    <row r="113" spans="2:14" ht="13">
      <c r="B113" s="59" t="s">
        <v>221</v>
      </c>
      <c r="C113" s="6"/>
      <c r="D113" s="6"/>
      <c r="E113" s="56" t="s">
        <v>130</v>
      </c>
      <c r="F113" s="54"/>
      <c r="G113" s="75"/>
      <c r="H113" s="75"/>
      <c r="I113" s="70">
        <f t="shared" si="35"/>
        <v>0</v>
      </c>
      <c r="J113" s="76"/>
      <c r="K113" s="10"/>
      <c r="L113" s="10">
        <f t="shared" si="36"/>
        <v>0</v>
      </c>
      <c r="M113" s="10">
        <f t="shared" si="36"/>
        <v>0</v>
      </c>
      <c r="N113" s="25">
        <f t="shared" si="36"/>
        <v>0</v>
      </c>
    </row>
    <row r="114" spans="2:14">
      <c r="B114" s="58" t="s">
        <v>228</v>
      </c>
      <c r="C114" s="6">
        <v>89714</v>
      </c>
      <c r="D114" s="6" t="s">
        <v>34</v>
      </c>
      <c r="E114" s="55" t="s">
        <v>129</v>
      </c>
      <c r="F114" s="54" t="s">
        <v>1</v>
      </c>
      <c r="G114" s="75">
        <v>6.93</v>
      </c>
      <c r="H114" s="75"/>
      <c r="I114" s="70">
        <f t="shared" si="35"/>
        <v>6.93</v>
      </c>
      <c r="J114" s="76">
        <v>32.24</v>
      </c>
      <c r="K114" s="10">
        <f t="shared" ref="K114:K126" si="37">ROUND(J114*(1+$M$3),2)</f>
        <v>38.43</v>
      </c>
      <c r="L114" s="10">
        <f t="shared" si="36"/>
        <v>266.32</v>
      </c>
      <c r="M114" s="10">
        <f t="shared" si="36"/>
        <v>0</v>
      </c>
      <c r="N114" s="25">
        <f t="shared" si="36"/>
        <v>266.32</v>
      </c>
    </row>
    <row r="115" spans="2:14">
      <c r="B115" s="58" t="s">
        <v>229</v>
      </c>
      <c r="C115" s="6">
        <v>89712</v>
      </c>
      <c r="D115" s="6" t="s">
        <v>34</v>
      </c>
      <c r="E115" s="55" t="s">
        <v>128</v>
      </c>
      <c r="F115" s="54" t="s">
        <v>1</v>
      </c>
      <c r="G115" s="75">
        <v>2.1</v>
      </c>
      <c r="H115" s="75"/>
      <c r="I115" s="70">
        <f t="shared" si="35"/>
        <v>2.1</v>
      </c>
      <c r="J115" s="76">
        <v>16.68</v>
      </c>
      <c r="K115" s="10">
        <f t="shared" si="37"/>
        <v>19.88</v>
      </c>
      <c r="L115" s="10">
        <f t="shared" si="36"/>
        <v>41.75</v>
      </c>
      <c r="M115" s="10">
        <f t="shared" si="36"/>
        <v>0</v>
      </c>
      <c r="N115" s="25">
        <f t="shared" si="36"/>
        <v>41.75</v>
      </c>
    </row>
    <row r="116" spans="2:14">
      <c r="B116" s="58" t="s">
        <v>230</v>
      </c>
      <c r="C116" s="6">
        <v>89711</v>
      </c>
      <c r="D116" s="6" t="s">
        <v>34</v>
      </c>
      <c r="E116" s="55" t="s">
        <v>127</v>
      </c>
      <c r="F116" s="54" t="s">
        <v>1</v>
      </c>
      <c r="G116" s="75">
        <v>3.84</v>
      </c>
      <c r="H116" s="75"/>
      <c r="I116" s="70">
        <f t="shared" si="35"/>
        <v>3.84</v>
      </c>
      <c r="J116" s="76">
        <v>11.46</v>
      </c>
      <c r="K116" s="10">
        <f t="shared" si="37"/>
        <v>13.66</v>
      </c>
      <c r="L116" s="10">
        <f t="shared" si="36"/>
        <v>52.45</v>
      </c>
      <c r="M116" s="10">
        <f t="shared" si="36"/>
        <v>0</v>
      </c>
      <c r="N116" s="25">
        <f t="shared" si="36"/>
        <v>52.45</v>
      </c>
    </row>
    <row r="117" spans="2:14">
      <c r="B117" s="58" t="s">
        <v>231</v>
      </c>
      <c r="C117" s="6">
        <v>89495</v>
      </c>
      <c r="D117" s="6" t="s">
        <v>34</v>
      </c>
      <c r="E117" s="55" t="s">
        <v>126</v>
      </c>
      <c r="F117" s="54" t="s">
        <v>59</v>
      </c>
      <c r="G117" s="75">
        <v>2</v>
      </c>
      <c r="H117" s="75"/>
      <c r="I117" s="70">
        <f t="shared" si="35"/>
        <v>2</v>
      </c>
      <c r="J117" s="76">
        <v>5.39</v>
      </c>
      <c r="K117" s="10">
        <f t="shared" si="37"/>
        <v>6.43</v>
      </c>
      <c r="L117" s="10">
        <f t="shared" si="36"/>
        <v>12.86</v>
      </c>
      <c r="M117" s="10">
        <f t="shared" si="36"/>
        <v>0</v>
      </c>
      <c r="N117" s="25">
        <f t="shared" si="36"/>
        <v>12.86</v>
      </c>
    </row>
    <row r="118" spans="2:14" ht="25">
      <c r="B118" s="58" t="s">
        <v>232</v>
      </c>
      <c r="C118" s="6">
        <v>89778</v>
      </c>
      <c r="D118" s="6" t="s">
        <v>34</v>
      </c>
      <c r="E118" s="55" t="s">
        <v>189</v>
      </c>
      <c r="F118" s="54" t="s">
        <v>59</v>
      </c>
      <c r="G118" s="75">
        <v>8</v>
      </c>
      <c r="H118" s="75"/>
      <c r="I118" s="70">
        <f t="shared" si="35"/>
        <v>8</v>
      </c>
      <c r="J118" s="76">
        <v>10.610000000000001</v>
      </c>
      <c r="K118" s="10">
        <f t="shared" si="37"/>
        <v>12.65</v>
      </c>
      <c r="L118" s="10">
        <f t="shared" si="36"/>
        <v>101.2</v>
      </c>
      <c r="M118" s="10">
        <f t="shared" si="36"/>
        <v>0</v>
      </c>
      <c r="N118" s="25">
        <f t="shared" si="36"/>
        <v>101.2</v>
      </c>
    </row>
    <row r="119" spans="2:14" ht="25">
      <c r="B119" s="58" t="s">
        <v>233</v>
      </c>
      <c r="C119" s="6">
        <v>89813</v>
      </c>
      <c r="D119" s="6" t="s">
        <v>34</v>
      </c>
      <c r="E119" s="55" t="s">
        <v>191</v>
      </c>
      <c r="F119" s="54" t="s">
        <v>59</v>
      </c>
      <c r="G119" s="75">
        <v>2</v>
      </c>
      <c r="H119" s="75"/>
      <c r="I119" s="70">
        <f t="shared" si="35"/>
        <v>2</v>
      </c>
      <c r="J119" s="76">
        <v>3.6900000000000004</v>
      </c>
      <c r="K119" s="10">
        <f t="shared" si="37"/>
        <v>4.4000000000000004</v>
      </c>
      <c r="L119" s="10">
        <f t="shared" si="36"/>
        <v>8.8000000000000007</v>
      </c>
      <c r="M119" s="10">
        <f t="shared" si="36"/>
        <v>0</v>
      </c>
      <c r="N119" s="25">
        <f t="shared" si="36"/>
        <v>8.8000000000000007</v>
      </c>
    </row>
    <row r="120" spans="2:14" ht="25">
      <c r="B120" s="58" t="s">
        <v>234</v>
      </c>
      <c r="C120" s="6" t="s">
        <v>174</v>
      </c>
      <c r="D120" s="6" t="s">
        <v>34</v>
      </c>
      <c r="E120" s="55" t="s">
        <v>190</v>
      </c>
      <c r="F120" s="54" t="s">
        <v>59</v>
      </c>
      <c r="G120" s="75">
        <v>4</v>
      </c>
      <c r="H120" s="75"/>
      <c r="I120" s="70">
        <f t="shared" si="35"/>
        <v>4</v>
      </c>
      <c r="J120" s="76">
        <v>3.43</v>
      </c>
      <c r="K120" s="10">
        <f t="shared" si="37"/>
        <v>4.09</v>
      </c>
      <c r="L120" s="10">
        <f t="shared" si="36"/>
        <v>16.36</v>
      </c>
      <c r="M120" s="10">
        <f t="shared" si="36"/>
        <v>0</v>
      </c>
      <c r="N120" s="25">
        <f t="shared" si="36"/>
        <v>16.36</v>
      </c>
    </row>
    <row r="121" spans="2:14" ht="25">
      <c r="B121" s="58" t="s">
        <v>235</v>
      </c>
      <c r="C121" s="6">
        <v>89802</v>
      </c>
      <c r="D121" s="6" t="s">
        <v>34</v>
      </c>
      <c r="E121" s="55" t="s">
        <v>192</v>
      </c>
      <c r="F121" s="54" t="s">
        <v>59</v>
      </c>
      <c r="G121" s="75">
        <v>2</v>
      </c>
      <c r="H121" s="75"/>
      <c r="I121" s="70">
        <f t="shared" si="35"/>
        <v>2</v>
      </c>
      <c r="J121" s="76">
        <v>4.1100000000000003</v>
      </c>
      <c r="K121" s="10">
        <f t="shared" si="37"/>
        <v>4.9000000000000004</v>
      </c>
      <c r="L121" s="10">
        <f t="shared" si="36"/>
        <v>9.8000000000000007</v>
      </c>
      <c r="M121" s="10">
        <f t="shared" si="36"/>
        <v>0</v>
      </c>
      <c r="N121" s="25">
        <f t="shared" si="36"/>
        <v>9.8000000000000007</v>
      </c>
    </row>
    <row r="122" spans="2:14" ht="25">
      <c r="B122" s="58" t="s">
        <v>236</v>
      </c>
      <c r="C122" s="6" t="s">
        <v>174</v>
      </c>
      <c r="D122" s="6" t="s">
        <v>34</v>
      </c>
      <c r="E122" s="55" t="s">
        <v>193</v>
      </c>
      <c r="F122" s="54" t="s">
        <v>59</v>
      </c>
      <c r="G122" s="75">
        <v>4</v>
      </c>
      <c r="H122" s="75"/>
      <c r="I122" s="70">
        <f t="shared" si="35"/>
        <v>4</v>
      </c>
      <c r="J122" s="76">
        <v>3.57</v>
      </c>
      <c r="K122" s="10">
        <f t="shared" si="37"/>
        <v>4.26</v>
      </c>
      <c r="L122" s="10">
        <f t="shared" si="36"/>
        <v>17.04</v>
      </c>
      <c r="M122" s="10">
        <f t="shared" si="36"/>
        <v>0</v>
      </c>
      <c r="N122" s="25">
        <f t="shared" si="36"/>
        <v>17.04</v>
      </c>
    </row>
    <row r="123" spans="2:14" ht="25">
      <c r="B123" s="58" t="s">
        <v>237</v>
      </c>
      <c r="C123" s="6">
        <v>89834</v>
      </c>
      <c r="D123" s="6" t="s">
        <v>34</v>
      </c>
      <c r="E123" s="55" t="s">
        <v>194</v>
      </c>
      <c r="F123" s="54" t="s">
        <v>59</v>
      </c>
      <c r="G123" s="75">
        <v>2</v>
      </c>
      <c r="H123" s="75"/>
      <c r="I123" s="70">
        <f t="shared" si="35"/>
        <v>2</v>
      </c>
      <c r="J123" s="76">
        <v>21.029999999999994</v>
      </c>
      <c r="K123" s="10">
        <f t="shared" si="37"/>
        <v>25.07</v>
      </c>
      <c r="L123" s="10">
        <f t="shared" si="36"/>
        <v>50.14</v>
      </c>
      <c r="M123" s="10">
        <f t="shared" si="36"/>
        <v>0</v>
      </c>
      <c r="N123" s="25">
        <f t="shared" si="36"/>
        <v>50.14</v>
      </c>
    </row>
    <row r="124" spans="2:14" ht="25">
      <c r="B124" s="58" t="s">
        <v>238</v>
      </c>
      <c r="C124" s="6" t="s">
        <v>174</v>
      </c>
      <c r="D124" s="6" t="s">
        <v>34</v>
      </c>
      <c r="E124" s="55" t="s">
        <v>195</v>
      </c>
      <c r="F124" s="54" t="s">
        <v>59</v>
      </c>
      <c r="G124" s="75">
        <v>2</v>
      </c>
      <c r="H124" s="75"/>
      <c r="I124" s="70">
        <f t="shared" si="35"/>
        <v>2</v>
      </c>
      <c r="J124" s="76">
        <v>25.769999999999996</v>
      </c>
      <c r="K124" s="10">
        <f t="shared" si="37"/>
        <v>30.72</v>
      </c>
      <c r="L124" s="10">
        <f t="shared" si="36"/>
        <v>61.44</v>
      </c>
      <c r="M124" s="10">
        <f t="shared" si="36"/>
        <v>0</v>
      </c>
      <c r="N124" s="25">
        <f t="shared" si="36"/>
        <v>61.44</v>
      </c>
    </row>
    <row r="125" spans="2:14" ht="25">
      <c r="B125" s="58" t="s">
        <v>239</v>
      </c>
      <c r="C125" s="6" t="s">
        <v>174</v>
      </c>
      <c r="D125" s="6" t="s">
        <v>34</v>
      </c>
      <c r="E125" s="55" t="s">
        <v>196</v>
      </c>
      <c r="F125" s="54" t="s">
        <v>59</v>
      </c>
      <c r="G125" s="75">
        <v>2</v>
      </c>
      <c r="H125" s="75"/>
      <c r="I125" s="70">
        <f t="shared" si="35"/>
        <v>2</v>
      </c>
      <c r="J125" s="76">
        <v>14.33</v>
      </c>
      <c r="K125" s="10">
        <f t="shared" si="37"/>
        <v>17.079999999999998</v>
      </c>
      <c r="L125" s="10">
        <f t="shared" si="36"/>
        <v>34.159999999999997</v>
      </c>
      <c r="M125" s="10">
        <f t="shared" si="36"/>
        <v>0</v>
      </c>
      <c r="N125" s="25">
        <f t="shared" si="36"/>
        <v>34.159999999999997</v>
      </c>
    </row>
    <row r="126" spans="2:14">
      <c r="B126" s="58" t="s">
        <v>227</v>
      </c>
      <c r="C126" s="6" t="s">
        <v>198</v>
      </c>
      <c r="D126" s="6" t="s">
        <v>34</v>
      </c>
      <c r="E126" s="55" t="s">
        <v>199</v>
      </c>
      <c r="F126" s="54" t="s">
        <v>59</v>
      </c>
      <c r="G126" s="75">
        <v>1</v>
      </c>
      <c r="H126" s="75"/>
      <c r="I126" s="70">
        <f t="shared" si="35"/>
        <v>1</v>
      </c>
      <c r="J126" s="76">
        <v>3.68</v>
      </c>
      <c r="K126" s="10">
        <f t="shared" si="37"/>
        <v>4.3899999999999997</v>
      </c>
      <c r="L126" s="10">
        <f t="shared" si="36"/>
        <v>4.3899999999999997</v>
      </c>
      <c r="M126" s="10">
        <f t="shared" si="36"/>
        <v>0</v>
      </c>
      <c r="N126" s="25">
        <f t="shared" si="36"/>
        <v>4.3899999999999997</v>
      </c>
    </row>
    <row r="127" spans="2:14" ht="13">
      <c r="B127" s="59" t="s">
        <v>222</v>
      </c>
      <c r="C127" s="6"/>
      <c r="D127" s="6"/>
      <c r="E127" s="56" t="s">
        <v>125</v>
      </c>
      <c r="F127" s="54"/>
      <c r="G127" s="75"/>
      <c r="H127" s="75"/>
      <c r="I127" s="75"/>
      <c r="J127" s="76"/>
      <c r="K127" s="10"/>
      <c r="L127" s="10"/>
      <c r="M127" s="10"/>
      <c r="N127" s="25"/>
    </row>
    <row r="128" spans="2:14" ht="25">
      <c r="B128" s="58" t="s">
        <v>240</v>
      </c>
      <c r="C128" s="6">
        <v>86888</v>
      </c>
      <c r="D128" s="6" t="s">
        <v>34</v>
      </c>
      <c r="E128" s="55" t="s">
        <v>124</v>
      </c>
      <c r="F128" s="54" t="s">
        <v>59</v>
      </c>
      <c r="G128" s="75">
        <v>1</v>
      </c>
      <c r="H128" s="75"/>
      <c r="I128" s="70">
        <f t="shared" ref="I128:I129" si="38">G128+H128</f>
        <v>1</v>
      </c>
      <c r="J128" s="76">
        <v>346.72999999999996</v>
      </c>
      <c r="K128" s="10">
        <f>ROUND(J128*(1+$M$3),2)</f>
        <v>413.34</v>
      </c>
      <c r="L128" s="10">
        <f t="shared" ref="L128:N129" si="39">ROUND(G128*$K128,2)</f>
        <v>413.34</v>
      </c>
      <c r="M128" s="10">
        <f t="shared" si="39"/>
        <v>0</v>
      </c>
      <c r="N128" s="25">
        <f t="shared" si="39"/>
        <v>413.34</v>
      </c>
    </row>
    <row r="129" spans="2:14" ht="37.5">
      <c r="B129" s="58" t="s">
        <v>241</v>
      </c>
      <c r="C129" s="6">
        <v>86943</v>
      </c>
      <c r="D129" s="6" t="s">
        <v>34</v>
      </c>
      <c r="E129" s="55" t="s">
        <v>89</v>
      </c>
      <c r="F129" s="54" t="s">
        <v>2</v>
      </c>
      <c r="G129" s="75">
        <v>1</v>
      </c>
      <c r="H129" s="75"/>
      <c r="I129" s="70">
        <f t="shared" si="38"/>
        <v>1</v>
      </c>
      <c r="J129" s="76">
        <v>160.6</v>
      </c>
      <c r="K129" s="10">
        <f>ROUND(J129*(1+$M$3),2)</f>
        <v>191.45</v>
      </c>
      <c r="L129" s="10">
        <f t="shared" si="39"/>
        <v>191.45</v>
      </c>
      <c r="M129" s="10">
        <f t="shared" si="39"/>
        <v>0</v>
      </c>
      <c r="N129" s="25">
        <f t="shared" si="39"/>
        <v>191.45</v>
      </c>
    </row>
    <row r="130" spans="2:14" ht="13">
      <c r="B130" s="260" t="s">
        <v>267</v>
      </c>
      <c r="C130" s="261"/>
      <c r="D130" s="261"/>
      <c r="E130" s="261"/>
      <c r="F130" s="261"/>
      <c r="G130" s="261"/>
      <c r="H130" s="72"/>
      <c r="I130" s="72"/>
      <c r="J130" s="73"/>
      <c r="K130" s="73"/>
      <c r="L130" s="74">
        <f>SUM(L108:L129)</f>
        <v>1348.5899999999997</v>
      </c>
      <c r="M130" s="74">
        <f>SUM(M108:M129)</f>
        <v>0</v>
      </c>
      <c r="N130" s="93">
        <f>SUM(N108:N129)</f>
        <v>1348.5899999999997</v>
      </c>
    </row>
    <row r="131" spans="2:14" ht="13">
      <c r="B131" s="24" t="s">
        <v>242</v>
      </c>
      <c r="C131" s="48"/>
      <c r="D131" s="48"/>
      <c r="E131" s="1" t="s">
        <v>122</v>
      </c>
      <c r="F131" s="1"/>
      <c r="G131" s="1"/>
      <c r="H131" s="1"/>
      <c r="I131" s="1"/>
      <c r="J131" s="1"/>
      <c r="K131" s="1"/>
      <c r="L131" s="1"/>
      <c r="M131" s="1"/>
      <c r="N131" s="65"/>
    </row>
    <row r="132" spans="2:14" ht="25">
      <c r="B132" s="58" t="s">
        <v>243</v>
      </c>
      <c r="C132" s="8">
        <v>93128</v>
      </c>
      <c r="D132" s="6" t="s">
        <v>34</v>
      </c>
      <c r="E132" s="14" t="s">
        <v>276</v>
      </c>
      <c r="F132" s="8" t="s">
        <v>59</v>
      </c>
      <c r="G132" s="75">
        <v>9</v>
      </c>
      <c r="H132" s="75"/>
      <c r="I132" s="70">
        <f t="shared" ref="I132:I135" si="40">G132+H132</f>
        <v>9</v>
      </c>
      <c r="J132" s="76">
        <v>86.539999999999992</v>
      </c>
      <c r="K132" s="10">
        <f>ROUND(J132*(1+$M$3),2)</f>
        <v>103.17</v>
      </c>
      <c r="L132" s="10">
        <f t="shared" ref="L132:N135" si="41">ROUND(G132*$K132,2)</f>
        <v>928.53</v>
      </c>
      <c r="M132" s="10">
        <f t="shared" si="41"/>
        <v>0</v>
      </c>
      <c r="N132" s="25">
        <f t="shared" si="41"/>
        <v>928.53</v>
      </c>
    </row>
    <row r="133" spans="2:14" ht="25">
      <c r="B133" s="58" t="s">
        <v>244</v>
      </c>
      <c r="C133" s="8">
        <v>93141</v>
      </c>
      <c r="D133" s="6" t="s">
        <v>34</v>
      </c>
      <c r="E133" s="14" t="s">
        <v>277</v>
      </c>
      <c r="F133" s="8" t="s">
        <v>59</v>
      </c>
      <c r="G133" s="75">
        <v>8</v>
      </c>
      <c r="H133" s="75"/>
      <c r="I133" s="70">
        <f t="shared" si="40"/>
        <v>8</v>
      </c>
      <c r="J133" s="76">
        <v>105.33000000000001</v>
      </c>
      <c r="K133" s="10">
        <f>ROUND(J133*(1+$M$3),2)</f>
        <v>125.57</v>
      </c>
      <c r="L133" s="10">
        <f t="shared" si="41"/>
        <v>1004.56</v>
      </c>
      <c r="M133" s="10">
        <f t="shared" si="41"/>
        <v>0</v>
      </c>
      <c r="N133" s="25">
        <f t="shared" si="41"/>
        <v>1004.56</v>
      </c>
    </row>
    <row r="134" spans="2:14" ht="25">
      <c r="B134" s="58" t="s">
        <v>245</v>
      </c>
      <c r="C134" s="8">
        <v>93142</v>
      </c>
      <c r="D134" s="6" t="s">
        <v>34</v>
      </c>
      <c r="E134" s="14" t="s">
        <v>278</v>
      </c>
      <c r="F134" s="8" t="s">
        <v>59</v>
      </c>
      <c r="G134" s="75">
        <v>4</v>
      </c>
      <c r="H134" s="75"/>
      <c r="I134" s="70">
        <f t="shared" si="40"/>
        <v>4</v>
      </c>
      <c r="J134" s="76">
        <v>117.25000000000001</v>
      </c>
      <c r="K134" s="10">
        <f>ROUND(J134*(1+$M$3),2)</f>
        <v>139.78</v>
      </c>
      <c r="L134" s="10">
        <f t="shared" si="41"/>
        <v>559.12</v>
      </c>
      <c r="M134" s="10">
        <f t="shared" si="41"/>
        <v>0</v>
      </c>
      <c r="N134" s="25">
        <f t="shared" si="41"/>
        <v>559.12</v>
      </c>
    </row>
    <row r="135" spans="2:14">
      <c r="B135" s="58" t="s">
        <v>246</v>
      </c>
      <c r="C135" s="8"/>
      <c r="D135" s="6" t="s">
        <v>51</v>
      </c>
      <c r="E135" s="14" t="s">
        <v>279</v>
      </c>
      <c r="F135" s="8" t="s">
        <v>59</v>
      </c>
      <c r="G135" s="75">
        <v>9</v>
      </c>
      <c r="H135" s="75"/>
      <c r="I135" s="70">
        <f t="shared" si="40"/>
        <v>9</v>
      </c>
      <c r="J135" s="76">
        <v>89.139999999999986</v>
      </c>
      <c r="K135" s="10">
        <f>ROUND(J135*(1+$M$3),2)</f>
        <v>106.27</v>
      </c>
      <c r="L135" s="10">
        <f t="shared" si="41"/>
        <v>956.43</v>
      </c>
      <c r="M135" s="10">
        <f t="shared" si="41"/>
        <v>0</v>
      </c>
      <c r="N135" s="25">
        <f t="shared" si="41"/>
        <v>956.43</v>
      </c>
    </row>
    <row r="136" spans="2:14" ht="13">
      <c r="B136" s="260" t="s">
        <v>268</v>
      </c>
      <c r="C136" s="261"/>
      <c r="D136" s="261"/>
      <c r="E136" s="261"/>
      <c r="F136" s="261"/>
      <c r="G136" s="261"/>
      <c r="H136" s="72"/>
      <c r="I136" s="72"/>
      <c r="J136" s="73"/>
      <c r="K136" s="73"/>
      <c r="L136" s="74">
        <f>SUM(L132:L135)</f>
        <v>3448.64</v>
      </c>
      <c r="M136" s="74">
        <f>SUM(M132:M135)</f>
        <v>0</v>
      </c>
      <c r="N136" s="93">
        <f>SUM(N132:N135)</f>
        <v>3448.64</v>
      </c>
    </row>
    <row r="137" spans="2:14" ht="13">
      <c r="B137" s="24" t="s">
        <v>247</v>
      </c>
      <c r="C137" s="48"/>
      <c r="D137" s="48"/>
      <c r="E137" s="1" t="s">
        <v>5</v>
      </c>
      <c r="F137" s="1"/>
      <c r="G137" s="1"/>
      <c r="H137" s="1"/>
      <c r="I137" s="1"/>
      <c r="J137" s="1"/>
      <c r="K137" s="1"/>
      <c r="L137" s="1"/>
      <c r="M137" s="1"/>
      <c r="N137" s="65"/>
    </row>
    <row r="138" spans="2:14">
      <c r="B138" s="58" t="s">
        <v>248</v>
      </c>
      <c r="C138" s="6" t="s">
        <v>86</v>
      </c>
      <c r="D138" s="6" t="s">
        <v>34</v>
      </c>
      <c r="E138" s="55" t="s">
        <v>120</v>
      </c>
      <c r="F138" s="54" t="s">
        <v>4</v>
      </c>
      <c r="G138" s="75">
        <v>5.0400000000000009</v>
      </c>
      <c r="H138" s="75"/>
      <c r="I138" s="70">
        <f t="shared" ref="I138:I142" si="42">G138+H138</f>
        <v>5.0400000000000009</v>
      </c>
      <c r="J138" s="76">
        <v>13.29</v>
      </c>
      <c r="K138" s="10">
        <f>ROUND(J138*(1+$M$3),2)</f>
        <v>15.84</v>
      </c>
      <c r="L138" s="10">
        <f t="shared" ref="L138:N142" si="43">ROUND(G138*$K138,2)</f>
        <v>79.83</v>
      </c>
      <c r="M138" s="10">
        <f t="shared" si="43"/>
        <v>0</v>
      </c>
      <c r="N138" s="25">
        <f t="shared" si="43"/>
        <v>79.83</v>
      </c>
    </row>
    <row r="139" spans="2:14">
      <c r="B139" s="58" t="s">
        <v>249</v>
      </c>
      <c r="C139" s="7" t="s">
        <v>94</v>
      </c>
      <c r="D139" s="6" t="s">
        <v>34</v>
      </c>
      <c r="E139" s="17" t="s">
        <v>97</v>
      </c>
      <c r="F139" s="8" t="s">
        <v>4</v>
      </c>
      <c r="G139" s="75">
        <v>4.1999999999999993</v>
      </c>
      <c r="H139" s="75"/>
      <c r="I139" s="70">
        <f t="shared" si="42"/>
        <v>4.1999999999999993</v>
      </c>
      <c r="J139" s="76">
        <v>20.310000000000002</v>
      </c>
      <c r="K139" s="10">
        <f>ROUND(J139*(1+$M$3),2)</f>
        <v>24.21</v>
      </c>
      <c r="L139" s="10">
        <f t="shared" si="43"/>
        <v>101.68</v>
      </c>
      <c r="M139" s="10">
        <f t="shared" si="43"/>
        <v>0</v>
      </c>
      <c r="N139" s="25">
        <f t="shared" si="43"/>
        <v>101.68</v>
      </c>
    </row>
    <row r="140" spans="2:14">
      <c r="B140" s="58" t="s">
        <v>250</v>
      </c>
      <c r="C140" s="8">
        <v>88497</v>
      </c>
      <c r="D140" s="6" t="s">
        <v>34</v>
      </c>
      <c r="E140" s="14" t="s">
        <v>84</v>
      </c>
      <c r="F140" s="8" t="s">
        <v>4</v>
      </c>
      <c r="G140" s="75">
        <v>303.084</v>
      </c>
      <c r="H140" s="75"/>
      <c r="I140" s="70">
        <f t="shared" si="42"/>
        <v>303.084</v>
      </c>
      <c r="J140" s="76">
        <v>9.6000000000000014</v>
      </c>
      <c r="K140" s="10">
        <f>ROUND(J140*(1+$M$3),2)</f>
        <v>11.44</v>
      </c>
      <c r="L140" s="10">
        <f t="shared" si="43"/>
        <v>3467.28</v>
      </c>
      <c r="M140" s="10">
        <f t="shared" si="43"/>
        <v>0</v>
      </c>
      <c r="N140" s="25">
        <f t="shared" si="43"/>
        <v>3467.28</v>
      </c>
    </row>
    <row r="141" spans="2:14">
      <c r="B141" s="58" t="s">
        <v>251</v>
      </c>
      <c r="C141" s="8">
        <v>88485</v>
      </c>
      <c r="D141" s="6" t="s">
        <v>34</v>
      </c>
      <c r="E141" s="14" t="s">
        <v>93</v>
      </c>
      <c r="F141" s="8" t="s">
        <v>4</v>
      </c>
      <c r="G141" s="75">
        <v>303.084</v>
      </c>
      <c r="H141" s="75"/>
      <c r="I141" s="70">
        <f t="shared" si="42"/>
        <v>303.084</v>
      </c>
      <c r="J141" s="76">
        <v>1.7</v>
      </c>
      <c r="K141" s="10">
        <f>ROUND(J141*(1+$M$3),2)</f>
        <v>2.0299999999999998</v>
      </c>
      <c r="L141" s="10">
        <f t="shared" si="43"/>
        <v>615.26</v>
      </c>
      <c r="M141" s="10">
        <f t="shared" si="43"/>
        <v>0</v>
      </c>
      <c r="N141" s="25">
        <f t="shared" si="43"/>
        <v>615.26</v>
      </c>
    </row>
    <row r="142" spans="2:14">
      <c r="B142" s="58" t="s">
        <v>252</v>
      </c>
      <c r="C142" s="6">
        <v>88489</v>
      </c>
      <c r="D142" s="6" t="s">
        <v>34</v>
      </c>
      <c r="E142" s="14" t="s">
        <v>85</v>
      </c>
      <c r="F142" s="6" t="s">
        <v>4</v>
      </c>
      <c r="G142" s="75">
        <v>303.084</v>
      </c>
      <c r="H142" s="75"/>
      <c r="I142" s="70">
        <f t="shared" si="42"/>
        <v>303.084</v>
      </c>
      <c r="J142" s="76">
        <v>11.22</v>
      </c>
      <c r="K142" s="10">
        <f>ROUND(J142*(1+$M$3),2)</f>
        <v>13.38</v>
      </c>
      <c r="L142" s="10">
        <f t="shared" si="43"/>
        <v>4055.26</v>
      </c>
      <c r="M142" s="10">
        <f t="shared" si="43"/>
        <v>0</v>
      </c>
      <c r="N142" s="25">
        <f t="shared" si="43"/>
        <v>4055.26</v>
      </c>
    </row>
    <row r="143" spans="2:14" ht="13">
      <c r="B143" s="260" t="s">
        <v>269</v>
      </c>
      <c r="C143" s="261"/>
      <c r="D143" s="261"/>
      <c r="E143" s="261"/>
      <c r="F143" s="261"/>
      <c r="G143" s="261"/>
      <c r="H143" s="72"/>
      <c r="I143" s="72"/>
      <c r="J143" s="73"/>
      <c r="K143" s="73"/>
      <c r="L143" s="74">
        <f>SUM(L138:L142)</f>
        <v>8319.3100000000013</v>
      </c>
      <c r="M143" s="74">
        <f>SUM(M138:M142)</f>
        <v>0</v>
      </c>
      <c r="N143" s="93">
        <f>SUM(N138:N142)</f>
        <v>8319.3100000000013</v>
      </c>
    </row>
    <row r="144" spans="2:14" ht="13">
      <c r="B144" s="24" t="s">
        <v>253</v>
      </c>
      <c r="C144" s="48"/>
      <c r="D144" s="48"/>
      <c r="E144" s="1" t="s">
        <v>187</v>
      </c>
      <c r="F144" s="1"/>
      <c r="G144" s="1"/>
      <c r="H144" s="1"/>
      <c r="I144" s="1"/>
      <c r="J144" s="1"/>
      <c r="K144" s="1"/>
      <c r="L144" s="1"/>
      <c r="M144" s="1"/>
      <c r="N144" s="65"/>
    </row>
    <row r="145" spans="2:14">
      <c r="B145" s="58" t="s">
        <v>254</v>
      </c>
      <c r="C145" s="6">
        <v>94342</v>
      </c>
      <c r="D145" s="6" t="s">
        <v>34</v>
      </c>
      <c r="E145" s="57" t="s">
        <v>157</v>
      </c>
      <c r="F145" s="21" t="s">
        <v>29</v>
      </c>
      <c r="G145" s="75">
        <v>112.91999999999999</v>
      </c>
      <c r="H145" s="75"/>
      <c r="I145" s="70">
        <f t="shared" ref="I145:I160" si="44">G145+H145</f>
        <v>112.91999999999999</v>
      </c>
      <c r="J145" s="76">
        <v>80.38000000000001</v>
      </c>
      <c r="K145" s="10">
        <f>ROUND(J145*(1+$M$3),2)</f>
        <v>95.82</v>
      </c>
      <c r="L145" s="10">
        <f t="shared" ref="L145:N159" si="45">ROUND(G145*$K145,2)</f>
        <v>10819.99</v>
      </c>
      <c r="M145" s="10">
        <f t="shared" si="45"/>
        <v>0</v>
      </c>
      <c r="N145" s="25">
        <f t="shared" si="45"/>
        <v>10819.99</v>
      </c>
    </row>
    <row r="146" spans="2:14" ht="25">
      <c r="B146" s="58" t="s">
        <v>255</v>
      </c>
      <c r="C146" s="8">
        <v>94990</v>
      </c>
      <c r="D146" s="6" t="s">
        <v>34</v>
      </c>
      <c r="E146" s="14" t="s">
        <v>81</v>
      </c>
      <c r="F146" s="8" t="s">
        <v>29</v>
      </c>
      <c r="G146" s="75">
        <v>9.41</v>
      </c>
      <c r="H146" s="75"/>
      <c r="I146" s="70">
        <f t="shared" si="44"/>
        <v>9.41</v>
      </c>
      <c r="J146" s="76">
        <v>481.46000000000004</v>
      </c>
      <c r="K146" s="10">
        <f>ROUND(J146*(1+$M$3),2)</f>
        <v>573.96</v>
      </c>
      <c r="L146" s="10">
        <f t="shared" si="45"/>
        <v>5400.96</v>
      </c>
      <c r="M146" s="10">
        <f t="shared" si="45"/>
        <v>0</v>
      </c>
      <c r="N146" s="25">
        <f t="shared" si="45"/>
        <v>5400.96</v>
      </c>
    </row>
    <row r="147" spans="2:14" ht="25">
      <c r="B147" s="58" t="s">
        <v>256</v>
      </c>
      <c r="C147" s="6">
        <v>92402</v>
      </c>
      <c r="D147" s="6" t="s">
        <v>34</v>
      </c>
      <c r="E147" s="55" t="s">
        <v>188</v>
      </c>
      <c r="F147" s="21" t="s">
        <v>4</v>
      </c>
      <c r="G147" s="75">
        <v>84.73</v>
      </c>
      <c r="H147" s="75"/>
      <c r="I147" s="70">
        <f t="shared" si="44"/>
        <v>84.73</v>
      </c>
      <c r="J147" s="76">
        <v>44.85</v>
      </c>
      <c r="K147" s="10">
        <f>ROUND(J147*(1+$M$3),2)</f>
        <v>53.47</v>
      </c>
      <c r="L147" s="10">
        <f t="shared" si="45"/>
        <v>4530.51</v>
      </c>
      <c r="M147" s="10">
        <f t="shared" si="45"/>
        <v>0</v>
      </c>
      <c r="N147" s="25">
        <f t="shared" si="45"/>
        <v>4530.51</v>
      </c>
    </row>
    <row r="148" spans="2:14" s="197" customFormat="1" ht="13">
      <c r="B148" s="190"/>
      <c r="C148" s="191"/>
      <c r="D148" s="191"/>
      <c r="E148" s="56" t="s">
        <v>82</v>
      </c>
      <c r="F148" s="192"/>
      <c r="G148" s="193"/>
      <c r="H148" s="193"/>
      <c r="I148" s="193"/>
      <c r="J148" s="194"/>
      <c r="K148" s="195"/>
      <c r="L148" s="195"/>
      <c r="M148" s="195"/>
      <c r="N148" s="196"/>
    </row>
    <row r="149" spans="2:14" s="197" customFormat="1" ht="37.5">
      <c r="B149" s="58" t="s">
        <v>287</v>
      </c>
      <c r="C149" s="6">
        <v>92542</v>
      </c>
      <c r="D149" s="6" t="s">
        <v>34</v>
      </c>
      <c r="E149" s="57" t="s">
        <v>294</v>
      </c>
      <c r="F149" s="54" t="s">
        <v>4</v>
      </c>
      <c r="G149" s="75">
        <v>188.2</v>
      </c>
      <c r="H149" s="199">
        <v>-188.2</v>
      </c>
      <c r="I149" s="70">
        <f t="shared" si="44"/>
        <v>0</v>
      </c>
      <c r="J149" s="200">
        <v>57.969999999999992</v>
      </c>
      <c r="K149" s="199">
        <f t="shared" ref="K149:K160" si="46">ROUND(J149*(1+$M$3),2)</f>
        <v>69.11</v>
      </c>
      <c r="L149" s="199">
        <f t="shared" si="45"/>
        <v>13006.5</v>
      </c>
      <c r="M149" s="199">
        <f t="shared" si="45"/>
        <v>-13006.5</v>
      </c>
      <c r="N149" s="201">
        <f t="shared" si="45"/>
        <v>0</v>
      </c>
    </row>
    <row r="150" spans="2:14" s="197" customFormat="1" ht="12.75" customHeight="1">
      <c r="B150" s="58" t="s">
        <v>288</v>
      </c>
      <c r="C150" s="6">
        <v>94204</v>
      </c>
      <c r="D150" s="6" t="s">
        <v>34</v>
      </c>
      <c r="E150" s="55" t="s">
        <v>145</v>
      </c>
      <c r="F150" s="54" t="s">
        <v>4</v>
      </c>
      <c r="G150" s="75">
        <v>188.2</v>
      </c>
      <c r="H150" s="199">
        <v>-188.2</v>
      </c>
      <c r="I150" s="70">
        <f t="shared" si="44"/>
        <v>0</v>
      </c>
      <c r="J150" s="200">
        <v>27.18</v>
      </c>
      <c r="K150" s="199">
        <f t="shared" si="46"/>
        <v>32.4</v>
      </c>
      <c r="L150" s="199">
        <f t="shared" si="45"/>
        <v>6097.68</v>
      </c>
      <c r="M150" s="199">
        <f t="shared" si="45"/>
        <v>-6097.68</v>
      </c>
      <c r="N150" s="201">
        <f t="shared" si="45"/>
        <v>0</v>
      </c>
    </row>
    <row r="151" spans="2:14" s="197" customFormat="1" ht="27.75" customHeight="1">
      <c r="B151" s="58" t="s">
        <v>289</v>
      </c>
      <c r="C151" s="6">
        <v>92552</v>
      </c>
      <c r="D151" s="6" t="s">
        <v>34</v>
      </c>
      <c r="E151" s="57" t="s">
        <v>533</v>
      </c>
      <c r="F151" s="54" t="s">
        <v>2</v>
      </c>
      <c r="G151" s="75">
        <v>4</v>
      </c>
      <c r="H151" s="199">
        <v>-4</v>
      </c>
      <c r="I151" s="70">
        <f t="shared" si="44"/>
        <v>0</v>
      </c>
      <c r="J151" s="200">
        <v>1408.79</v>
      </c>
      <c r="K151" s="199">
        <f t="shared" si="46"/>
        <v>1679.44</v>
      </c>
      <c r="L151" s="199">
        <f t="shared" si="45"/>
        <v>6717.76</v>
      </c>
      <c r="M151" s="199">
        <f t="shared" si="45"/>
        <v>-6717.76</v>
      </c>
      <c r="N151" s="201">
        <f t="shared" si="45"/>
        <v>0</v>
      </c>
    </row>
    <row r="152" spans="2:14" s="197" customFormat="1" ht="16.5" customHeight="1">
      <c r="B152" s="58" t="s">
        <v>290</v>
      </c>
      <c r="C152" s="6">
        <v>93358</v>
      </c>
      <c r="D152" s="6" t="s">
        <v>34</v>
      </c>
      <c r="E152" s="57" t="s">
        <v>158</v>
      </c>
      <c r="F152" s="21" t="s">
        <v>29</v>
      </c>
      <c r="G152" s="75">
        <v>12.3345</v>
      </c>
      <c r="H152" s="199">
        <v>-12.3345</v>
      </c>
      <c r="I152" s="70">
        <v>0</v>
      </c>
      <c r="J152" s="200">
        <v>51.38</v>
      </c>
      <c r="K152" s="199">
        <f t="shared" si="46"/>
        <v>61.25</v>
      </c>
      <c r="L152" s="199">
        <f t="shared" si="45"/>
        <v>755.49</v>
      </c>
      <c r="M152" s="199">
        <f>ROUND(H152*$K152,2)</f>
        <v>-755.49</v>
      </c>
      <c r="N152" s="201">
        <f t="shared" si="45"/>
        <v>0</v>
      </c>
    </row>
    <row r="153" spans="2:14" s="197" customFormat="1" ht="25">
      <c r="B153" s="58" t="s">
        <v>291</v>
      </c>
      <c r="C153" s="6">
        <v>94962</v>
      </c>
      <c r="D153" s="6" t="s">
        <v>34</v>
      </c>
      <c r="E153" s="57" t="s">
        <v>171</v>
      </c>
      <c r="F153" s="21" t="s">
        <v>57</v>
      </c>
      <c r="G153" s="75">
        <v>1.8819000000000001</v>
      </c>
      <c r="H153" s="199">
        <v>-1.8818999999999999</v>
      </c>
      <c r="I153" s="70">
        <v>0</v>
      </c>
      <c r="J153" s="200">
        <v>229.15</v>
      </c>
      <c r="K153" s="199">
        <f t="shared" si="46"/>
        <v>273.17</v>
      </c>
      <c r="L153" s="199">
        <f t="shared" si="45"/>
        <v>514.08000000000004</v>
      </c>
      <c r="M153" s="199">
        <f t="shared" si="45"/>
        <v>-514.08000000000004</v>
      </c>
      <c r="N153" s="201">
        <f t="shared" si="45"/>
        <v>0</v>
      </c>
    </row>
    <row r="154" spans="2:14" s="197" customFormat="1" ht="25">
      <c r="B154" s="58" t="s">
        <v>292</v>
      </c>
      <c r="C154" s="6">
        <v>92873</v>
      </c>
      <c r="D154" s="6" t="s">
        <v>34</v>
      </c>
      <c r="E154" s="57" t="s">
        <v>58</v>
      </c>
      <c r="F154" s="21" t="s">
        <v>57</v>
      </c>
      <c r="G154" s="75">
        <v>1.7469000000000001</v>
      </c>
      <c r="H154" s="199">
        <v>-1.7468999999999999</v>
      </c>
      <c r="I154" s="70">
        <v>0</v>
      </c>
      <c r="J154" s="200">
        <v>132.98000000000002</v>
      </c>
      <c r="K154" s="199">
        <f t="shared" si="46"/>
        <v>158.53</v>
      </c>
      <c r="L154" s="199">
        <f t="shared" si="45"/>
        <v>276.94</v>
      </c>
      <c r="M154" s="199">
        <f t="shared" si="45"/>
        <v>-276.94</v>
      </c>
      <c r="N154" s="201">
        <f t="shared" si="45"/>
        <v>0</v>
      </c>
    </row>
    <row r="155" spans="2:14" s="197" customFormat="1" ht="25">
      <c r="B155" s="58" t="s">
        <v>293</v>
      </c>
      <c r="C155" s="6">
        <v>95955</v>
      </c>
      <c r="D155" s="6" t="s">
        <v>34</v>
      </c>
      <c r="E155" s="57" t="s">
        <v>172</v>
      </c>
      <c r="F155" s="21" t="s">
        <v>29</v>
      </c>
      <c r="G155" s="75">
        <v>13.880700000000001</v>
      </c>
      <c r="H155" s="199">
        <v>-13.880699999999999</v>
      </c>
      <c r="I155" s="70">
        <v>0</v>
      </c>
      <c r="J155" s="200">
        <v>1880.82</v>
      </c>
      <c r="K155" s="199">
        <f t="shared" si="46"/>
        <v>2242.15</v>
      </c>
      <c r="L155" s="199">
        <f t="shared" si="45"/>
        <v>31122.61</v>
      </c>
      <c r="M155" s="199">
        <f t="shared" si="45"/>
        <v>-31122.61</v>
      </c>
      <c r="N155" s="201">
        <f t="shared" si="45"/>
        <v>0</v>
      </c>
    </row>
    <row r="156" spans="2:14" s="197" customFormat="1" ht="13">
      <c r="B156" s="58"/>
      <c r="C156" s="6"/>
      <c r="D156" s="6"/>
      <c r="E156" s="206" t="s">
        <v>553</v>
      </c>
      <c r="F156" s="21"/>
      <c r="G156" s="75"/>
      <c r="H156" s="75"/>
      <c r="I156" s="207"/>
      <c r="J156" s="76"/>
      <c r="K156" s="208"/>
      <c r="L156" s="208"/>
      <c r="M156" s="208"/>
      <c r="N156" s="209"/>
    </row>
    <row r="157" spans="2:14" s="197" customFormat="1" ht="40.5" customHeight="1">
      <c r="B157" s="58" t="s">
        <v>548</v>
      </c>
      <c r="C157" s="6" t="s">
        <v>547</v>
      </c>
      <c r="D157" s="6" t="s">
        <v>34</v>
      </c>
      <c r="E157" s="57" t="s">
        <v>550</v>
      </c>
      <c r="F157" s="21" t="s">
        <v>4</v>
      </c>
      <c r="G157" s="75">
        <v>0</v>
      </c>
      <c r="H157" s="75">
        <f>'Memória de Cálculo'!D12</f>
        <v>388.61</v>
      </c>
      <c r="I157" s="207">
        <f t="shared" si="44"/>
        <v>388.61</v>
      </c>
      <c r="J157" s="76">
        <f>Resumo_Valor_Desconto!H23</f>
        <v>109.01945184378556</v>
      </c>
      <c r="K157" s="208">
        <f t="shared" si="46"/>
        <v>129.96</v>
      </c>
      <c r="L157" s="208">
        <f t="shared" si="45"/>
        <v>0</v>
      </c>
      <c r="M157" s="208">
        <f t="shared" si="45"/>
        <v>50503.76</v>
      </c>
      <c r="N157" s="209">
        <f t="shared" si="45"/>
        <v>50503.76</v>
      </c>
    </row>
    <row r="158" spans="2:14" s="197" customFormat="1">
      <c r="B158" s="58" t="s">
        <v>551</v>
      </c>
      <c r="C158" s="6">
        <v>68053</v>
      </c>
      <c r="D158" s="6" t="s">
        <v>34</v>
      </c>
      <c r="E158" s="57" t="s">
        <v>556</v>
      </c>
      <c r="F158" s="21" t="s">
        <v>4</v>
      </c>
      <c r="G158" s="75">
        <v>0</v>
      </c>
      <c r="H158" s="75">
        <f>'Memória de Cálculo'!D13</f>
        <v>188.2</v>
      </c>
      <c r="I158" s="207">
        <f t="shared" si="44"/>
        <v>188.2</v>
      </c>
      <c r="J158" s="76">
        <f>Resumo_Valor_Desconto!H25</f>
        <v>4.5496007521496153</v>
      </c>
      <c r="K158" s="208">
        <f t="shared" si="46"/>
        <v>5.42</v>
      </c>
      <c r="L158" s="208">
        <f t="shared" si="45"/>
        <v>0</v>
      </c>
      <c r="M158" s="208">
        <f t="shared" si="45"/>
        <v>1020.04</v>
      </c>
      <c r="N158" s="209">
        <f t="shared" si="45"/>
        <v>1020.04</v>
      </c>
    </row>
    <row r="159" spans="2:14" s="197" customFormat="1">
      <c r="B159" s="58" t="s">
        <v>555</v>
      </c>
      <c r="C159" s="6">
        <v>41595</v>
      </c>
      <c r="D159" s="6" t="s">
        <v>34</v>
      </c>
      <c r="E159" s="210" t="s">
        <v>561</v>
      </c>
      <c r="F159" s="21" t="s">
        <v>4</v>
      </c>
      <c r="G159" s="75">
        <v>0</v>
      </c>
      <c r="H159" s="75">
        <f>'Memória de Cálculo'!D14</f>
        <v>39.804500000000004</v>
      </c>
      <c r="I159" s="207">
        <f t="shared" si="44"/>
        <v>39.804500000000004</v>
      </c>
      <c r="J159" s="76">
        <f>Resumo_Valor_Desconto!H26</f>
        <v>8.766767211344666</v>
      </c>
      <c r="K159" s="208">
        <f t="shared" si="46"/>
        <v>10.45</v>
      </c>
      <c r="L159" s="208">
        <f t="shared" si="45"/>
        <v>0</v>
      </c>
      <c r="M159" s="208">
        <f t="shared" si="45"/>
        <v>415.96</v>
      </c>
      <c r="N159" s="209">
        <f t="shared" si="45"/>
        <v>415.96</v>
      </c>
    </row>
    <row r="160" spans="2:14" s="197" customFormat="1" ht="37.5">
      <c r="B160" s="58" t="s">
        <v>558</v>
      </c>
      <c r="C160" s="211" t="s">
        <v>559</v>
      </c>
      <c r="D160" s="211" t="s">
        <v>34</v>
      </c>
      <c r="E160" s="212" t="s">
        <v>563</v>
      </c>
      <c r="F160" s="6" t="s">
        <v>2</v>
      </c>
      <c r="G160" s="75">
        <v>0</v>
      </c>
      <c r="H160" s="75">
        <f>'Memória de Cálculo'!D15</f>
        <v>1</v>
      </c>
      <c r="I160" s="207">
        <f t="shared" si="44"/>
        <v>1</v>
      </c>
      <c r="J160" s="76">
        <f>Resumo_Valor_Desconto!H27</f>
        <v>2371.8331971269172</v>
      </c>
      <c r="K160" s="208">
        <f t="shared" si="46"/>
        <v>2827.5</v>
      </c>
      <c r="L160" s="208">
        <f t="shared" ref="L160:N160" si="47">ROUND(G160*$K160,2)</f>
        <v>0</v>
      </c>
      <c r="M160" s="208">
        <f t="shared" si="47"/>
        <v>2827.5</v>
      </c>
      <c r="N160" s="209">
        <f t="shared" si="47"/>
        <v>2827.5</v>
      </c>
    </row>
    <row r="161" spans="2:16" ht="13">
      <c r="B161" s="260" t="s">
        <v>270</v>
      </c>
      <c r="C161" s="261"/>
      <c r="D161" s="261"/>
      <c r="E161" s="261"/>
      <c r="F161" s="261"/>
      <c r="G161" s="261"/>
      <c r="H161" s="72"/>
      <c r="I161" s="72"/>
      <c r="J161" s="73"/>
      <c r="K161" s="73"/>
      <c r="L161" s="74">
        <f>SUM(L145:L160)</f>
        <v>79242.52</v>
      </c>
      <c r="M161" s="74">
        <f>SUM(M145:M160)</f>
        <v>-3723.8000000000029</v>
      </c>
      <c r="N161" s="74">
        <f>SUM(N145:N160)</f>
        <v>75518.720000000001</v>
      </c>
    </row>
    <row r="162" spans="2:16" ht="13">
      <c r="B162" s="24" t="s">
        <v>257</v>
      </c>
      <c r="C162" s="48"/>
      <c r="D162" s="48"/>
      <c r="E162" s="1" t="s">
        <v>281</v>
      </c>
      <c r="F162" s="1"/>
      <c r="G162" s="1"/>
      <c r="H162" s="1"/>
      <c r="I162" s="1"/>
      <c r="J162" s="1"/>
      <c r="K162" s="1"/>
      <c r="L162" s="1"/>
      <c r="M162" s="1"/>
      <c r="N162" s="65"/>
    </row>
    <row r="163" spans="2:16">
      <c r="B163" s="58" t="s">
        <v>258</v>
      </c>
      <c r="C163" s="8"/>
      <c r="D163" s="6" t="s">
        <v>51</v>
      </c>
      <c r="E163" s="55" t="s">
        <v>282</v>
      </c>
      <c r="F163" s="54" t="s">
        <v>2</v>
      </c>
      <c r="G163" s="75">
        <v>2</v>
      </c>
      <c r="H163" s="75">
        <v>0</v>
      </c>
      <c r="I163" s="70">
        <f t="shared" ref="I163:I165" si="48">G163+H163</f>
        <v>2</v>
      </c>
      <c r="J163" s="76">
        <v>131.91999999999999</v>
      </c>
      <c r="K163" s="10">
        <f>ROUND(J163*(1+$M$3),2)</f>
        <v>157.26</v>
      </c>
      <c r="L163" s="10">
        <f t="shared" ref="L163:N165" si="49">ROUND(G163*$K163,2)</f>
        <v>314.52</v>
      </c>
      <c r="M163" s="10">
        <f t="shared" si="49"/>
        <v>0</v>
      </c>
      <c r="N163" s="25">
        <f t="shared" si="49"/>
        <v>314.52</v>
      </c>
    </row>
    <row r="164" spans="2:16">
      <c r="B164" s="58" t="s">
        <v>506</v>
      </c>
      <c r="C164" s="8"/>
      <c r="D164" s="159" t="s">
        <v>51</v>
      </c>
      <c r="E164" s="160" t="s">
        <v>502</v>
      </c>
      <c r="F164" s="161" t="s">
        <v>29</v>
      </c>
      <c r="G164" s="75">
        <v>0</v>
      </c>
      <c r="H164" s="75">
        <f>'Memória de Cálculo'!D17</f>
        <v>11.221</v>
      </c>
      <c r="I164" s="70">
        <f t="shared" si="48"/>
        <v>11.221</v>
      </c>
      <c r="J164" s="76">
        <f>Resumo_Valor_Desconto!H21</f>
        <v>151.53304885134651</v>
      </c>
      <c r="K164" s="10">
        <f t="shared" ref="K164:K165" si="50">ROUND(J164*(1+$M$3),2)</f>
        <v>180.64</v>
      </c>
      <c r="L164" s="10">
        <f t="shared" si="49"/>
        <v>0</v>
      </c>
      <c r="M164" s="10">
        <f t="shared" si="49"/>
        <v>2026.96</v>
      </c>
      <c r="N164" s="25">
        <f t="shared" si="49"/>
        <v>2026.96</v>
      </c>
    </row>
    <row r="165" spans="2:16">
      <c r="B165" s="58" t="s">
        <v>507</v>
      </c>
      <c r="C165" s="162">
        <v>85180</v>
      </c>
      <c r="D165" s="8" t="s">
        <v>34</v>
      </c>
      <c r="E165" s="163" t="s">
        <v>503</v>
      </c>
      <c r="F165" s="164" t="s">
        <v>4</v>
      </c>
      <c r="G165" s="75">
        <v>0</v>
      </c>
      <c r="H165" s="75">
        <f>'Memória de Cálculo'!D18</f>
        <v>112.21</v>
      </c>
      <c r="I165" s="70">
        <f t="shared" si="48"/>
        <v>112.21</v>
      </c>
      <c r="J165" s="76">
        <f>Resumo_Valor_Desconto!H22</f>
        <v>14.722090116559299</v>
      </c>
      <c r="K165" s="10">
        <f t="shared" si="50"/>
        <v>17.55</v>
      </c>
      <c r="L165" s="10">
        <f t="shared" si="49"/>
        <v>0</v>
      </c>
      <c r="M165" s="10">
        <f t="shared" si="49"/>
        <v>1969.29</v>
      </c>
      <c r="N165" s="25">
        <f t="shared" si="49"/>
        <v>1969.29</v>
      </c>
    </row>
    <row r="166" spans="2:16" ht="13">
      <c r="B166" s="260" t="s">
        <v>271</v>
      </c>
      <c r="C166" s="261"/>
      <c r="D166" s="261"/>
      <c r="E166" s="261"/>
      <c r="F166" s="261"/>
      <c r="G166" s="261"/>
      <c r="H166" s="72"/>
      <c r="I166" s="72"/>
      <c r="J166" s="73"/>
      <c r="K166" s="73"/>
      <c r="L166" s="74">
        <f>SUM(L163:L165)</f>
        <v>314.52</v>
      </c>
      <c r="M166" s="74">
        <f t="shared" ref="M166:N166" si="51">SUM(M163:M165)</f>
        <v>3996.25</v>
      </c>
      <c r="N166" s="74">
        <f t="shared" si="51"/>
        <v>4310.7700000000004</v>
      </c>
    </row>
    <row r="167" spans="2:16" ht="13">
      <c r="B167" s="24" t="s">
        <v>283</v>
      </c>
      <c r="C167" s="48"/>
      <c r="D167" s="48"/>
      <c r="E167" s="1" t="s">
        <v>35</v>
      </c>
      <c r="F167" s="1"/>
      <c r="G167" s="1"/>
      <c r="H167" s="1"/>
      <c r="I167" s="1"/>
      <c r="J167" s="1"/>
      <c r="K167" s="1"/>
      <c r="L167" s="1"/>
      <c r="M167" s="1"/>
      <c r="N167" s="65"/>
    </row>
    <row r="168" spans="2:16">
      <c r="B168" s="58" t="s">
        <v>284</v>
      </c>
      <c r="C168" s="6"/>
      <c r="D168" s="6" t="s">
        <v>51</v>
      </c>
      <c r="E168" s="55" t="s">
        <v>95</v>
      </c>
      <c r="F168" s="54" t="s">
        <v>4</v>
      </c>
      <c r="G168" s="75">
        <v>334.17</v>
      </c>
      <c r="H168" s="75">
        <v>0</v>
      </c>
      <c r="I168" s="70">
        <f t="shared" ref="I168" si="52">G168+H168</f>
        <v>334.17</v>
      </c>
      <c r="J168" s="76">
        <v>2.04</v>
      </c>
      <c r="K168" s="10">
        <f>ROUND(J168*(1+$M$3),2)</f>
        <v>2.4300000000000002</v>
      </c>
      <c r="L168" s="10">
        <f t="shared" ref="L168:N168" si="53">ROUND(G168*$K168,2)</f>
        <v>812.03</v>
      </c>
      <c r="M168" s="10">
        <f t="shared" si="53"/>
        <v>0</v>
      </c>
      <c r="N168" s="25">
        <f t="shared" si="53"/>
        <v>812.03</v>
      </c>
    </row>
    <row r="169" spans="2:16" ht="13.5" thickBot="1">
      <c r="B169" s="262" t="s">
        <v>285</v>
      </c>
      <c r="C169" s="263"/>
      <c r="D169" s="263"/>
      <c r="E169" s="263"/>
      <c r="F169" s="263"/>
      <c r="G169" s="263"/>
      <c r="H169" s="77"/>
      <c r="I169" s="77"/>
      <c r="J169" s="36"/>
      <c r="K169" s="36"/>
      <c r="L169" s="78">
        <f>SUM(L168)</f>
        <v>812.03</v>
      </c>
      <c r="M169" s="78">
        <f>SUM(M168)</f>
        <v>0</v>
      </c>
      <c r="N169" s="37">
        <f>SUM(N168)</f>
        <v>812.03</v>
      </c>
      <c r="O169" s="60">
        <f>N60+N64+N71+N75+N84+N95+N101+N130+N136+N143+N161+N166+N169</f>
        <v>172936.37</v>
      </c>
      <c r="P169" s="9">
        <v>172936.37</v>
      </c>
    </row>
    <row r="170" spans="2:16" ht="13.5" thickBot="1">
      <c r="B170" s="31"/>
      <c r="C170" s="46"/>
      <c r="D170" s="46"/>
      <c r="E170" s="33" t="s">
        <v>302</v>
      </c>
      <c r="F170" s="33"/>
      <c r="G170" s="33"/>
      <c r="H170" s="33"/>
      <c r="I170" s="33"/>
      <c r="J170" s="33"/>
      <c r="K170" s="33"/>
      <c r="L170" s="33"/>
      <c r="M170" s="33"/>
      <c r="N170" s="66"/>
    </row>
    <row r="171" spans="2:16" ht="13">
      <c r="B171" s="144">
        <v>21</v>
      </c>
      <c r="C171" s="98"/>
      <c r="D171" s="98"/>
      <c r="E171" s="98" t="s">
        <v>50</v>
      </c>
      <c r="F171" s="98"/>
      <c r="G171" s="98"/>
      <c r="H171" s="98"/>
      <c r="I171" s="98"/>
      <c r="J171" s="98"/>
      <c r="K171" s="98"/>
      <c r="L171" s="98"/>
      <c r="M171" s="98"/>
      <c r="N171" s="145"/>
    </row>
    <row r="172" spans="2:16" ht="25">
      <c r="B172" s="58" t="s">
        <v>367</v>
      </c>
      <c r="C172" s="95" t="s">
        <v>303</v>
      </c>
      <c r="D172" s="95" t="s">
        <v>431</v>
      </c>
      <c r="E172" s="96" t="s">
        <v>347</v>
      </c>
      <c r="F172" s="95" t="s">
        <v>4</v>
      </c>
      <c r="G172" s="100">
        <v>0</v>
      </c>
      <c r="H172" s="99">
        <f>'Memória de Cálculo'!D21</f>
        <v>47.75</v>
      </c>
      <c r="I172" s="70">
        <f t="shared" ref="I172" si="54">G172+H172</f>
        <v>47.75</v>
      </c>
      <c r="J172" s="76">
        <v>3.87</v>
      </c>
      <c r="K172" s="10">
        <f>ROUND(J172*(1+$M$3),2)</f>
        <v>4.6100000000000003</v>
      </c>
      <c r="L172" s="100">
        <v>0</v>
      </c>
      <c r="M172" s="10">
        <f t="shared" ref="M172" si="55">ROUND(H172*$K172,2)</f>
        <v>220.13</v>
      </c>
      <c r="N172" s="25">
        <f t="shared" ref="N172" si="56">ROUND(I172*$K172,2)</f>
        <v>220.13</v>
      </c>
    </row>
    <row r="173" spans="2:16" ht="13">
      <c r="B173" s="260" t="s">
        <v>388</v>
      </c>
      <c r="C173" s="261"/>
      <c r="D173" s="261"/>
      <c r="E173" s="261"/>
      <c r="F173" s="261"/>
      <c r="G173" s="261"/>
      <c r="H173" s="72"/>
      <c r="I173" s="72"/>
      <c r="J173" s="73"/>
      <c r="K173" s="73"/>
      <c r="L173" s="140">
        <f>SUM(L172)</f>
        <v>0</v>
      </c>
      <c r="M173" s="74">
        <f t="shared" ref="M173:N173" si="57">SUM(M172)</f>
        <v>220.13</v>
      </c>
      <c r="N173" s="93">
        <f t="shared" si="57"/>
        <v>220.13</v>
      </c>
      <c r="O173" s="60">
        <f>N173+N177+N185+N201+N209</f>
        <v>65901.48</v>
      </c>
      <c r="P173" s="9">
        <v>65901.48</v>
      </c>
    </row>
    <row r="174" spans="2:16" ht="13">
      <c r="B174" s="146">
        <v>22</v>
      </c>
      <c r="C174" s="97"/>
      <c r="D174" s="97"/>
      <c r="E174" s="94" t="s">
        <v>159</v>
      </c>
      <c r="F174" s="94"/>
      <c r="G174" s="94"/>
      <c r="H174" s="94"/>
      <c r="I174" s="94"/>
      <c r="J174" s="94"/>
      <c r="K174" s="94"/>
      <c r="L174" s="94"/>
      <c r="M174" s="94"/>
      <c r="N174" s="147"/>
    </row>
    <row r="175" spans="2:16">
      <c r="B175" s="58" t="s">
        <v>368</v>
      </c>
      <c r="C175" s="95" t="s">
        <v>304</v>
      </c>
      <c r="D175" s="95" t="s">
        <v>431</v>
      </c>
      <c r="E175" s="96" t="s">
        <v>348</v>
      </c>
      <c r="F175" s="95" t="s">
        <v>29</v>
      </c>
      <c r="G175" s="100">
        <v>0</v>
      </c>
      <c r="H175" s="99">
        <f>'Memória de Cálculo'!D23</f>
        <v>36.42</v>
      </c>
      <c r="I175" s="70">
        <f t="shared" ref="I175:I176" si="58">G175+H175</f>
        <v>36.42</v>
      </c>
      <c r="J175" s="76">
        <v>51.38</v>
      </c>
      <c r="K175" s="10">
        <f>ROUND(J175*(1+$M$3),2)</f>
        <v>61.25</v>
      </c>
      <c r="L175" s="141">
        <f t="shared" ref="L175:L176" si="59">ROUND(G175*$K175,2)</f>
        <v>0</v>
      </c>
      <c r="M175" s="10">
        <f t="shared" ref="M175:M176" si="60">ROUND(H175*$K175,2)</f>
        <v>2230.73</v>
      </c>
      <c r="N175" s="25">
        <f t="shared" ref="N175:N176" si="61">ROUND(I175*$K175,2)</f>
        <v>2230.73</v>
      </c>
    </row>
    <row r="176" spans="2:16">
      <c r="B176" s="58" t="s">
        <v>369</v>
      </c>
      <c r="C176" s="95" t="s">
        <v>306</v>
      </c>
      <c r="D176" s="95" t="s">
        <v>34</v>
      </c>
      <c r="E176" s="96" t="s">
        <v>349</v>
      </c>
      <c r="F176" s="95" t="s">
        <v>29</v>
      </c>
      <c r="G176" s="100">
        <v>0</v>
      </c>
      <c r="H176" s="99">
        <f>'Memória de Cálculo'!D24</f>
        <v>20.56</v>
      </c>
      <c r="I176" s="70">
        <f t="shared" si="58"/>
        <v>20.56</v>
      </c>
      <c r="J176" s="76">
        <v>18.920000000000002</v>
      </c>
      <c r="K176" s="10">
        <f>ROUND(J176*(1+$M$3),2)</f>
        <v>22.55</v>
      </c>
      <c r="L176" s="141">
        <f t="shared" si="59"/>
        <v>0</v>
      </c>
      <c r="M176" s="10">
        <f t="shared" si="60"/>
        <v>463.63</v>
      </c>
      <c r="N176" s="25">
        <f t="shared" si="61"/>
        <v>463.63</v>
      </c>
    </row>
    <row r="177" spans="2:14" ht="13">
      <c r="B177" s="260" t="s">
        <v>389</v>
      </c>
      <c r="C177" s="261"/>
      <c r="D177" s="261"/>
      <c r="E177" s="261"/>
      <c r="F177" s="261"/>
      <c r="G177" s="261"/>
      <c r="H177" s="72"/>
      <c r="I177" s="72"/>
      <c r="J177" s="73"/>
      <c r="K177" s="73"/>
      <c r="L177" s="140">
        <f>SUM(L175:L176)</f>
        <v>0</v>
      </c>
      <c r="M177" s="74">
        <f t="shared" ref="M177:N177" si="62">SUM(M175:M176)</f>
        <v>2694.36</v>
      </c>
      <c r="N177" s="93">
        <f t="shared" si="62"/>
        <v>2694.36</v>
      </c>
    </row>
    <row r="178" spans="2:14" ht="13">
      <c r="B178" s="146">
        <v>23</v>
      </c>
      <c r="C178" s="97"/>
      <c r="D178" s="97"/>
      <c r="E178" s="94" t="s">
        <v>308</v>
      </c>
      <c r="F178" s="94"/>
      <c r="G178" s="94"/>
      <c r="H178" s="94"/>
      <c r="I178" s="94"/>
      <c r="J178" s="94"/>
      <c r="K178" s="94"/>
      <c r="L178" s="117"/>
      <c r="M178" s="94"/>
      <c r="N178" s="147"/>
    </row>
    <row r="179" spans="2:14" ht="25">
      <c r="B179" s="58" t="s">
        <v>370</v>
      </c>
      <c r="C179" s="95" t="s">
        <v>309</v>
      </c>
      <c r="D179" s="95" t="s">
        <v>431</v>
      </c>
      <c r="E179" s="96" t="s">
        <v>171</v>
      </c>
      <c r="F179" s="95" t="s">
        <v>29</v>
      </c>
      <c r="G179" s="100">
        <v>0</v>
      </c>
      <c r="H179" s="100">
        <f>'Memória de Cálculo'!D26</f>
        <v>2.65</v>
      </c>
      <c r="I179" s="70">
        <f t="shared" ref="I179:I184" si="63">G179+H179</f>
        <v>2.65</v>
      </c>
      <c r="J179" s="76">
        <v>229.15</v>
      </c>
      <c r="K179" s="10">
        <f t="shared" ref="K179:K184" si="64">ROUND(J179*(1+$M$3),2)</f>
        <v>273.17</v>
      </c>
      <c r="L179" s="141">
        <f t="shared" ref="L179:L184" si="65">ROUND(G179*$K179,2)</f>
        <v>0</v>
      </c>
      <c r="M179" s="10">
        <f t="shared" ref="M179:M184" si="66">ROUND(H179*$K179,2)</f>
        <v>723.9</v>
      </c>
      <c r="N179" s="25">
        <f t="shared" ref="N179:N184" si="67">ROUND(I179*$K179,2)</f>
        <v>723.9</v>
      </c>
    </row>
    <row r="180" spans="2:14" ht="25">
      <c r="B180" s="58" t="s">
        <v>371</v>
      </c>
      <c r="C180" s="95" t="s">
        <v>310</v>
      </c>
      <c r="D180" s="95" t="s">
        <v>431</v>
      </c>
      <c r="E180" s="96" t="s">
        <v>58</v>
      </c>
      <c r="F180" s="95" t="s">
        <v>29</v>
      </c>
      <c r="G180" s="100">
        <v>0</v>
      </c>
      <c r="H180" s="100">
        <f>'Memória de Cálculo'!D27</f>
        <v>2.65</v>
      </c>
      <c r="I180" s="70">
        <f t="shared" si="63"/>
        <v>2.65</v>
      </c>
      <c r="J180" s="76">
        <v>132.97999999999999</v>
      </c>
      <c r="K180" s="10">
        <f t="shared" si="64"/>
        <v>158.53</v>
      </c>
      <c r="L180" s="141">
        <f t="shared" si="65"/>
        <v>0</v>
      </c>
      <c r="M180" s="10">
        <f t="shared" si="66"/>
        <v>420.1</v>
      </c>
      <c r="N180" s="25">
        <f t="shared" si="67"/>
        <v>420.1</v>
      </c>
    </row>
    <row r="181" spans="2:14">
      <c r="B181" s="58" t="s">
        <v>372</v>
      </c>
      <c r="C181" s="95" t="s">
        <v>312</v>
      </c>
      <c r="D181" s="95" t="s">
        <v>431</v>
      </c>
      <c r="E181" s="96" t="s">
        <v>350</v>
      </c>
      <c r="F181" s="95" t="s">
        <v>29</v>
      </c>
      <c r="G181" s="100">
        <v>0</v>
      </c>
      <c r="H181" s="100">
        <f>'Memória de Cálculo'!D28</f>
        <v>53.35</v>
      </c>
      <c r="I181" s="70">
        <f t="shared" si="63"/>
        <v>53.35</v>
      </c>
      <c r="J181" s="76">
        <v>332.9</v>
      </c>
      <c r="K181" s="10">
        <f t="shared" si="64"/>
        <v>396.86</v>
      </c>
      <c r="L181" s="141">
        <f t="shared" si="65"/>
        <v>0</v>
      </c>
      <c r="M181" s="10">
        <f t="shared" si="66"/>
        <v>21172.48</v>
      </c>
      <c r="N181" s="25">
        <f t="shared" si="67"/>
        <v>21172.48</v>
      </c>
    </row>
    <row r="182" spans="2:14" ht="13.5" customHeight="1">
      <c r="B182" s="58" t="s">
        <v>373</v>
      </c>
      <c r="C182" s="95">
        <v>96534</v>
      </c>
      <c r="D182" s="95" t="s">
        <v>34</v>
      </c>
      <c r="E182" s="96" t="s">
        <v>351</v>
      </c>
      <c r="F182" s="95" t="s">
        <v>4</v>
      </c>
      <c r="G182" s="100">
        <v>0</v>
      </c>
      <c r="H182" s="100">
        <f>'Memória de Cálculo'!D29</f>
        <v>160.36000000000001</v>
      </c>
      <c r="I182" s="70">
        <f t="shared" si="63"/>
        <v>160.36000000000001</v>
      </c>
      <c r="J182" s="76">
        <v>49.73</v>
      </c>
      <c r="K182" s="10">
        <f t="shared" si="64"/>
        <v>59.28</v>
      </c>
      <c r="L182" s="141">
        <f t="shared" si="65"/>
        <v>0</v>
      </c>
      <c r="M182" s="10">
        <f t="shared" si="66"/>
        <v>9506.14</v>
      </c>
      <c r="N182" s="25">
        <f t="shared" si="67"/>
        <v>9506.14</v>
      </c>
    </row>
    <row r="183" spans="2:14">
      <c r="B183" s="58" t="s">
        <v>374</v>
      </c>
      <c r="C183" s="95" t="s">
        <v>315</v>
      </c>
      <c r="D183" s="95" t="s">
        <v>431</v>
      </c>
      <c r="E183" s="96" t="s">
        <v>352</v>
      </c>
      <c r="F183" s="95" t="s">
        <v>4</v>
      </c>
      <c r="G183" s="100">
        <v>0</v>
      </c>
      <c r="H183" s="100">
        <f>'Memória de Cálculo'!D30</f>
        <v>160.36000000000001</v>
      </c>
      <c r="I183" s="70">
        <f t="shared" si="63"/>
        <v>160.36000000000001</v>
      </c>
      <c r="J183" s="76">
        <v>8.48</v>
      </c>
      <c r="K183" s="10">
        <f t="shared" si="64"/>
        <v>10.11</v>
      </c>
      <c r="L183" s="141">
        <f t="shared" si="65"/>
        <v>0</v>
      </c>
      <c r="M183" s="10">
        <f t="shared" si="66"/>
        <v>1621.24</v>
      </c>
      <c r="N183" s="25">
        <f t="shared" si="67"/>
        <v>1621.24</v>
      </c>
    </row>
    <row r="184" spans="2:14">
      <c r="B184" s="58" t="s">
        <v>375</v>
      </c>
      <c r="C184" s="95"/>
      <c r="D184" s="95" t="s">
        <v>51</v>
      </c>
      <c r="E184" s="96" t="s">
        <v>353</v>
      </c>
      <c r="F184" s="95" t="s">
        <v>296</v>
      </c>
      <c r="G184" s="100">
        <v>0</v>
      </c>
      <c r="H184" s="100">
        <f>'Memória de Cálculo'!D31</f>
        <v>18.25</v>
      </c>
      <c r="I184" s="70">
        <f t="shared" si="63"/>
        <v>18.25</v>
      </c>
      <c r="J184" s="76">
        <v>21.57</v>
      </c>
      <c r="K184" s="10">
        <f t="shared" si="64"/>
        <v>25.71</v>
      </c>
      <c r="L184" s="141">
        <f t="shared" si="65"/>
        <v>0</v>
      </c>
      <c r="M184" s="10">
        <f t="shared" si="66"/>
        <v>469.21</v>
      </c>
      <c r="N184" s="25">
        <f t="shared" si="67"/>
        <v>469.21</v>
      </c>
    </row>
    <row r="185" spans="2:14" ht="13">
      <c r="B185" s="260" t="s">
        <v>390</v>
      </c>
      <c r="C185" s="261"/>
      <c r="D185" s="261"/>
      <c r="E185" s="261"/>
      <c r="F185" s="261"/>
      <c r="G185" s="261"/>
      <c r="H185" s="72"/>
      <c r="I185" s="72"/>
      <c r="J185" s="73"/>
      <c r="K185" s="73"/>
      <c r="L185" s="140">
        <f>SUM(L179:L184)</f>
        <v>0</v>
      </c>
      <c r="M185" s="74">
        <f t="shared" ref="M185:N185" si="68">SUM(M179:M184)</f>
        <v>33913.07</v>
      </c>
      <c r="N185" s="93">
        <f t="shared" si="68"/>
        <v>33913.07</v>
      </c>
    </row>
    <row r="186" spans="2:14" ht="13">
      <c r="B186" s="146">
        <v>24</v>
      </c>
      <c r="C186" s="97"/>
      <c r="D186" s="97"/>
      <c r="E186" s="94" t="s">
        <v>320</v>
      </c>
      <c r="F186" s="94"/>
      <c r="G186" s="94"/>
      <c r="H186" s="94"/>
      <c r="I186" s="94"/>
      <c r="J186" s="94"/>
      <c r="K186" s="94"/>
      <c r="L186" s="117"/>
      <c r="M186" s="94"/>
      <c r="N186" s="147"/>
    </row>
    <row r="187" spans="2:14" ht="13">
      <c r="B187" s="146"/>
      <c r="C187" s="97"/>
      <c r="D187" s="97"/>
      <c r="E187" s="94" t="s">
        <v>321</v>
      </c>
      <c r="F187" s="94"/>
      <c r="G187" s="94"/>
      <c r="H187" s="94"/>
      <c r="I187" s="94"/>
      <c r="J187" s="94"/>
      <c r="K187" s="94"/>
      <c r="L187" s="117"/>
      <c r="M187" s="94"/>
      <c r="N187" s="147"/>
    </row>
    <row r="188" spans="2:14">
      <c r="B188" s="58" t="s">
        <v>376</v>
      </c>
      <c r="C188" s="95">
        <v>96534</v>
      </c>
      <c r="D188" s="95" t="s">
        <v>34</v>
      </c>
      <c r="E188" s="96" t="s">
        <v>351</v>
      </c>
      <c r="F188" s="95" t="s">
        <v>4</v>
      </c>
      <c r="G188" s="100">
        <v>0</v>
      </c>
      <c r="H188" s="100">
        <f>'Memória de Cálculo'!D34</f>
        <v>25.03</v>
      </c>
      <c r="I188" s="70">
        <f t="shared" ref="I188:I192" si="69">G188+H188</f>
        <v>25.03</v>
      </c>
      <c r="J188" s="76">
        <v>49.73</v>
      </c>
      <c r="K188" s="10">
        <f>ROUND(J188*(1+$M$3),2)</f>
        <v>59.28</v>
      </c>
      <c r="L188" s="141">
        <f t="shared" ref="L188:L192" si="70">ROUND(G188*$K188,2)</f>
        <v>0</v>
      </c>
      <c r="M188" s="10">
        <f t="shared" ref="M188:M192" si="71">ROUND(H188*$K188,2)</f>
        <v>1483.78</v>
      </c>
      <c r="N188" s="25">
        <f t="shared" ref="N188:N192" si="72">ROUND(I188*$K188,2)</f>
        <v>1483.78</v>
      </c>
    </row>
    <row r="189" spans="2:14">
      <c r="B189" s="58" t="s">
        <v>377</v>
      </c>
      <c r="C189" s="95" t="s">
        <v>322</v>
      </c>
      <c r="D189" s="95" t="s">
        <v>34</v>
      </c>
      <c r="E189" s="96" t="s">
        <v>354</v>
      </c>
      <c r="F189" s="95" t="s">
        <v>297</v>
      </c>
      <c r="G189" s="100">
        <v>0</v>
      </c>
      <c r="H189" s="100">
        <f>'Memória de Cálculo'!D35</f>
        <v>44</v>
      </c>
      <c r="I189" s="70">
        <f t="shared" si="69"/>
        <v>44</v>
      </c>
      <c r="J189" s="76">
        <v>10.37</v>
      </c>
      <c r="K189" s="10">
        <f>ROUND(J189*(1+$M$3),2)</f>
        <v>12.36</v>
      </c>
      <c r="L189" s="141">
        <f t="shared" si="70"/>
        <v>0</v>
      </c>
      <c r="M189" s="10">
        <f t="shared" si="71"/>
        <v>543.84</v>
      </c>
      <c r="N189" s="25">
        <f t="shared" si="72"/>
        <v>543.84</v>
      </c>
    </row>
    <row r="190" spans="2:14">
      <c r="B190" s="58" t="s">
        <v>378</v>
      </c>
      <c r="C190" s="95" t="s">
        <v>324</v>
      </c>
      <c r="D190" s="95" t="s">
        <v>34</v>
      </c>
      <c r="E190" s="96" t="s">
        <v>355</v>
      </c>
      <c r="F190" s="95" t="s">
        <v>297</v>
      </c>
      <c r="G190" s="100">
        <v>0</v>
      </c>
      <c r="H190" s="100">
        <f>'Memória de Cálculo'!D36</f>
        <v>130</v>
      </c>
      <c r="I190" s="70">
        <f t="shared" si="69"/>
        <v>130</v>
      </c>
      <c r="J190" s="76">
        <v>7.1</v>
      </c>
      <c r="K190" s="10">
        <f>ROUND(J190*(1+$M$3),2)</f>
        <v>8.4600000000000009</v>
      </c>
      <c r="L190" s="141">
        <f t="shared" si="70"/>
        <v>0</v>
      </c>
      <c r="M190" s="10">
        <f t="shared" si="71"/>
        <v>1099.8</v>
      </c>
      <c r="N190" s="25">
        <f t="shared" si="72"/>
        <v>1099.8</v>
      </c>
    </row>
    <row r="191" spans="2:14" ht="25">
      <c r="B191" s="58" t="s">
        <v>379</v>
      </c>
      <c r="C191" s="95" t="s">
        <v>326</v>
      </c>
      <c r="D191" s="95" t="s">
        <v>34</v>
      </c>
      <c r="E191" s="96" t="s">
        <v>356</v>
      </c>
      <c r="F191" s="95" t="s">
        <v>29</v>
      </c>
      <c r="G191" s="100">
        <v>0</v>
      </c>
      <c r="H191" s="100">
        <f>'Memória de Cálculo'!D37</f>
        <v>1.18</v>
      </c>
      <c r="I191" s="70">
        <f t="shared" si="69"/>
        <v>1.18</v>
      </c>
      <c r="J191" s="76">
        <v>287.33999999999997</v>
      </c>
      <c r="K191" s="10">
        <f>ROUND(J191*(1+$M$3),2)</f>
        <v>342.54</v>
      </c>
      <c r="L191" s="141">
        <f t="shared" si="70"/>
        <v>0</v>
      </c>
      <c r="M191" s="10">
        <f t="shared" si="71"/>
        <v>404.2</v>
      </c>
      <c r="N191" s="25">
        <f t="shared" si="72"/>
        <v>404.2</v>
      </c>
    </row>
    <row r="192" spans="2:14" ht="25">
      <c r="B192" s="58" t="s">
        <v>380</v>
      </c>
      <c r="C192" s="95" t="s">
        <v>310</v>
      </c>
      <c r="D192" s="95" t="s">
        <v>431</v>
      </c>
      <c r="E192" s="96" t="s">
        <v>58</v>
      </c>
      <c r="F192" s="95" t="s">
        <v>29</v>
      </c>
      <c r="G192" s="100">
        <v>0</v>
      </c>
      <c r="H192" s="100">
        <f>'Memória de Cálculo'!D38</f>
        <v>1.18</v>
      </c>
      <c r="I192" s="70">
        <f t="shared" si="69"/>
        <v>1.18</v>
      </c>
      <c r="J192" s="76">
        <v>132.97999999999999</v>
      </c>
      <c r="K192" s="10">
        <f>ROUND(J192*(1+$M$3),2)</f>
        <v>158.53</v>
      </c>
      <c r="L192" s="141">
        <f t="shared" si="70"/>
        <v>0</v>
      </c>
      <c r="M192" s="10">
        <f t="shared" si="71"/>
        <v>187.07</v>
      </c>
      <c r="N192" s="25">
        <f t="shared" si="72"/>
        <v>187.07</v>
      </c>
    </row>
    <row r="193" spans="2:14" ht="13">
      <c r="B193" s="146"/>
      <c r="C193" s="97"/>
      <c r="D193" s="97"/>
      <c r="E193" s="94" t="s">
        <v>328</v>
      </c>
      <c r="F193" s="94"/>
      <c r="G193" s="94"/>
      <c r="H193" s="117"/>
      <c r="I193" s="94"/>
      <c r="J193" s="94"/>
      <c r="K193" s="94"/>
      <c r="L193" s="117"/>
      <c r="M193" s="94"/>
      <c r="N193" s="147"/>
    </row>
    <row r="194" spans="2:14">
      <c r="B194" s="58" t="s">
        <v>381</v>
      </c>
      <c r="C194" s="95">
        <v>96534</v>
      </c>
      <c r="D194" s="95" t="s">
        <v>34</v>
      </c>
      <c r="E194" s="96" t="s">
        <v>351</v>
      </c>
      <c r="F194" s="95" t="s">
        <v>4</v>
      </c>
      <c r="G194" s="100">
        <v>0</v>
      </c>
      <c r="H194" s="100">
        <f>'Memória de Cálculo'!D40</f>
        <v>38.64</v>
      </c>
      <c r="I194" s="70">
        <f t="shared" ref="I194:I200" si="73">G194+H194</f>
        <v>38.64</v>
      </c>
      <c r="J194" s="76">
        <v>49.73</v>
      </c>
      <c r="K194" s="10">
        <f t="shared" ref="K194:K200" si="74">ROUND(J194*(1+$M$3),2)</f>
        <v>59.28</v>
      </c>
      <c r="L194" s="141">
        <f t="shared" ref="L194:L200" si="75">ROUND(G194*$K194,2)</f>
        <v>0</v>
      </c>
      <c r="M194" s="10">
        <f t="shared" ref="M194:M200" si="76">ROUND(H194*$K194,2)</f>
        <v>2290.58</v>
      </c>
      <c r="N194" s="25">
        <f t="shared" ref="N194:N200" si="77">ROUND(I194*$K194,2)</f>
        <v>2290.58</v>
      </c>
    </row>
    <row r="195" spans="2:14">
      <c r="B195" s="58" t="s">
        <v>382</v>
      </c>
      <c r="C195" s="95" t="s">
        <v>322</v>
      </c>
      <c r="D195" s="95" t="s">
        <v>34</v>
      </c>
      <c r="E195" s="96" t="s">
        <v>357</v>
      </c>
      <c r="F195" s="95" t="s">
        <v>297</v>
      </c>
      <c r="G195" s="100">
        <v>0</v>
      </c>
      <c r="H195" s="100">
        <f>'Memória de Cálculo'!D41</f>
        <v>85</v>
      </c>
      <c r="I195" s="70">
        <f t="shared" si="73"/>
        <v>85</v>
      </c>
      <c r="J195" s="76">
        <v>10.37</v>
      </c>
      <c r="K195" s="10">
        <f t="shared" si="74"/>
        <v>12.36</v>
      </c>
      <c r="L195" s="141">
        <f t="shared" si="75"/>
        <v>0</v>
      </c>
      <c r="M195" s="10">
        <f t="shared" si="76"/>
        <v>1050.5999999999999</v>
      </c>
      <c r="N195" s="25">
        <f t="shared" si="77"/>
        <v>1050.5999999999999</v>
      </c>
    </row>
    <row r="196" spans="2:14">
      <c r="B196" s="58" t="s">
        <v>383</v>
      </c>
      <c r="C196" s="95" t="s">
        <v>330</v>
      </c>
      <c r="D196" s="95" t="s">
        <v>34</v>
      </c>
      <c r="E196" s="96" t="s">
        <v>358</v>
      </c>
      <c r="F196" s="95" t="s">
        <v>297</v>
      </c>
      <c r="G196" s="100">
        <v>0</v>
      </c>
      <c r="H196" s="100">
        <f>'Memória de Cálculo'!D42</f>
        <v>31</v>
      </c>
      <c r="I196" s="70">
        <f t="shared" si="73"/>
        <v>31</v>
      </c>
      <c r="J196" s="76">
        <v>9.02</v>
      </c>
      <c r="K196" s="10">
        <f t="shared" si="74"/>
        <v>10.75</v>
      </c>
      <c r="L196" s="141">
        <f t="shared" si="75"/>
        <v>0</v>
      </c>
      <c r="M196" s="10">
        <f t="shared" si="76"/>
        <v>333.25</v>
      </c>
      <c r="N196" s="25">
        <f t="shared" si="77"/>
        <v>333.25</v>
      </c>
    </row>
    <row r="197" spans="2:14">
      <c r="B197" s="58" t="s">
        <v>384</v>
      </c>
      <c r="C197" s="95" t="s">
        <v>332</v>
      </c>
      <c r="D197" s="95" t="s">
        <v>34</v>
      </c>
      <c r="E197" s="96" t="s">
        <v>359</v>
      </c>
      <c r="F197" s="95" t="s">
        <v>297</v>
      </c>
      <c r="G197" s="100">
        <v>0</v>
      </c>
      <c r="H197" s="100">
        <f>'Memória de Cálculo'!D43</f>
        <v>89</v>
      </c>
      <c r="I197" s="70">
        <f t="shared" si="73"/>
        <v>89</v>
      </c>
      <c r="J197" s="76">
        <v>8.69</v>
      </c>
      <c r="K197" s="10">
        <f t="shared" si="74"/>
        <v>10.36</v>
      </c>
      <c r="L197" s="141">
        <f t="shared" si="75"/>
        <v>0</v>
      </c>
      <c r="M197" s="10">
        <f t="shared" si="76"/>
        <v>922.04</v>
      </c>
      <c r="N197" s="25">
        <f t="shared" si="77"/>
        <v>922.04</v>
      </c>
    </row>
    <row r="198" spans="2:14">
      <c r="B198" s="58" t="s">
        <v>385</v>
      </c>
      <c r="C198" s="95" t="s">
        <v>324</v>
      </c>
      <c r="D198" s="95" t="s">
        <v>34</v>
      </c>
      <c r="E198" s="96" t="s">
        <v>360</v>
      </c>
      <c r="F198" s="95" t="s">
        <v>297</v>
      </c>
      <c r="G198" s="100">
        <v>0</v>
      </c>
      <c r="H198" s="100">
        <f>'Memória de Cálculo'!D44</f>
        <v>84</v>
      </c>
      <c r="I198" s="70">
        <f t="shared" si="73"/>
        <v>84</v>
      </c>
      <c r="J198" s="76">
        <v>7.1</v>
      </c>
      <c r="K198" s="10">
        <f t="shared" si="74"/>
        <v>8.4600000000000009</v>
      </c>
      <c r="L198" s="141">
        <f t="shared" si="75"/>
        <v>0</v>
      </c>
      <c r="M198" s="10">
        <f t="shared" si="76"/>
        <v>710.64</v>
      </c>
      <c r="N198" s="25">
        <f t="shared" si="77"/>
        <v>710.64</v>
      </c>
    </row>
    <row r="199" spans="2:14" ht="25">
      <c r="B199" s="58" t="s">
        <v>386</v>
      </c>
      <c r="C199" s="95" t="s">
        <v>326</v>
      </c>
      <c r="D199" s="95" t="s">
        <v>34</v>
      </c>
      <c r="E199" s="96" t="s">
        <v>356</v>
      </c>
      <c r="F199" s="95" t="s">
        <v>29</v>
      </c>
      <c r="G199" s="100">
        <v>0</v>
      </c>
      <c r="H199" s="100">
        <f>'Memória de Cálculo'!D45</f>
        <v>2.6</v>
      </c>
      <c r="I199" s="70">
        <f t="shared" si="73"/>
        <v>2.6</v>
      </c>
      <c r="J199" s="76">
        <v>287.33999999999997</v>
      </c>
      <c r="K199" s="10">
        <f t="shared" si="74"/>
        <v>342.54</v>
      </c>
      <c r="L199" s="141">
        <f t="shared" si="75"/>
        <v>0</v>
      </c>
      <c r="M199" s="10">
        <f t="shared" si="76"/>
        <v>890.6</v>
      </c>
      <c r="N199" s="25">
        <f t="shared" si="77"/>
        <v>890.6</v>
      </c>
    </row>
    <row r="200" spans="2:14" ht="25">
      <c r="B200" s="58" t="s">
        <v>387</v>
      </c>
      <c r="C200" s="95" t="s">
        <v>310</v>
      </c>
      <c r="D200" s="95" t="s">
        <v>431</v>
      </c>
      <c r="E200" s="96" t="s">
        <v>58</v>
      </c>
      <c r="F200" s="95" t="s">
        <v>29</v>
      </c>
      <c r="G200" s="100">
        <v>0</v>
      </c>
      <c r="H200" s="100">
        <f>'Memória de Cálculo'!D46</f>
        <v>2.6</v>
      </c>
      <c r="I200" s="70">
        <f t="shared" si="73"/>
        <v>2.6</v>
      </c>
      <c r="J200" s="76">
        <v>132.97999999999999</v>
      </c>
      <c r="K200" s="10">
        <f t="shared" si="74"/>
        <v>158.53</v>
      </c>
      <c r="L200" s="141">
        <f t="shared" si="75"/>
        <v>0</v>
      </c>
      <c r="M200" s="10">
        <f t="shared" si="76"/>
        <v>412.18</v>
      </c>
      <c r="N200" s="25">
        <f t="shared" si="77"/>
        <v>412.18</v>
      </c>
    </row>
    <row r="201" spans="2:14" ht="13">
      <c r="B201" s="260" t="s">
        <v>391</v>
      </c>
      <c r="C201" s="261"/>
      <c r="D201" s="261"/>
      <c r="E201" s="261"/>
      <c r="F201" s="261"/>
      <c r="G201" s="261"/>
      <c r="H201" s="72"/>
      <c r="I201" s="72"/>
      <c r="J201" s="73"/>
      <c r="K201" s="73"/>
      <c r="L201" s="140">
        <f>SUM(L188:L200)</f>
        <v>0</v>
      </c>
      <c r="M201" s="74">
        <f t="shared" ref="M201:N201" si="78">SUM(M188:M200)</f>
        <v>10328.58</v>
      </c>
      <c r="N201" s="93">
        <f t="shared" si="78"/>
        <v>10328.58</v>
      </c>
    </row>
    <row r="202" spans="2:14" ht="13">
      <c r="B202" s="146">
        <v>25</v>
      </c>
      <c r="C202" s="97"/>
      <c r="D202" s="97"/>
      <c r="E202" s="94" t="s">
        <v>149</v>
      </c>
      <c r="F202" s="94"/>
      <c r="G202" s="94"/>
      <c r="H202" s="94"/>
      <c r="I202" s="94"/>
      <c r="J202" s="94"/>
      <c r="K202" s="94"/>
      <c r="L202" s="117"/>
      <c r="M202" s="94"/>
      <c r="N202" s="147"/>
    </row>
    <row r="203" spans="2:14" ht="37.5">
      <c r="B203" s="58" t="s">
        <v>454</v>
      </c>
      <c r="C203" s="95" t="s">
        <v>335</v>
      </c>
      <c r="D203" s="95" t="s">
        <v>431</v>
      </c>
      <c r="E203" s="96" t="s">
        <v>361</v>
      </c>
      <c r="F203" s="95" t="s">
        <v>4</v>
      </c>
      <c r="G203" s="100">
        <v>0</v>
      </c>
      <c r="H203" s="99">
        <f>'Memória de Cálculo'!D48</f>
        <v>96.23</v>
      </c>
      <c r="I203" s="70">
        <f t="shared" ref="I203:I208" si="79">G203+H203</f>
        <v>96.23</v>
      </c>
      <c r="J203" s="76">
        <v>53.36</v>
      </c>
      <c r="K203" s="10">
        <f t="shared" ref="K203:K208" si="80">ROUND(J203*(1+$M$3),2)</f>
        <v>63.61</v>
      </c>
      <c r="L203" s="141">
        <f t="shared" ref="L203:L208" si="81">ROUND(G203*$K203,2)</f>
        <v>0</v>
      </c>
      <c r="M203" s="10">
        <f t="shared" ref="M203:M208" si="82">ROUND(H203*$K203,2)</f>
        <v>6121.19</v>
      </c>
      <c r="N203" s="25">
        <f t="shared" ref="N203:N208" si="83">ROUND(I203*$K203,2)</f>
        <v>6121.19</v>
      </c>
    </row>
    <row r="204" spans="2:14" ht="25">
      <c r="B204" s="58" t="s">
        <v>455</v>
      </c>
      <c r="C204" s="95" t="s">
        <v>337</v>
      </c>
      <c r="D204" s="95" t="s">
        <v>34</v>
      </c>
      <c r="E204" s="96" t="s">
        <v>362</v>
      </c>
      <c r="F204" s="95" t="s">
        <v>4</v>
      </c>
      <c r="G204" s="100">
        <v>0</v>
      </c>
      <c r="H204" s="99">
        <f>'Memória de Cálculo'!D49</f>
        <v>213.39</v>
      </c>
      <c r="I204" s="70">
        <f t="shared" si="79"/>
        <v>213.39</v>
      </c>
      <c r="J204" s="76">
        <v>3.84</v>
      </c>
      <c r="K204" s="10">
        <f t="shared" si="80"/>
        <v>4.58</v>
      </c>
      <c r="L204" s="141">
        <f t="shared" si="81"/>
        <v>0</v>
      </c>
      <c r="M204" s="10">
        <f t="shared" si="82"/>
        <v>977.33</v>
      </c>
      <c r="N204" s="25">
        <f t="shared" si="83"/>
        <v>977.33</v>
      </c>
    </row>
    <row r="205" spans="2:14" ht="37.5">
      <c r="B205" s="58" t="s">
        <v>456</v>
      </c>
      <c r="C205" s="95" t="s">
        <v>339</v>
      </c>
      <c r="D205" s="95" t="s">
        <v>34</v>
      </c>
      <c r="E205" s="96" t="s">
        <v>363</v>
      </c>
      <c r="F205" s="95" t="s">
        <v>4</v>
      </c>
      <c r="G205" s="100">
        <v>0</v>
      </c>
      <c r="H205" s="99">
        <f>'Memória de Cálculo'!D50</f>
        <v>213.39</v>
      </c>
      <c r="I205" s="70">
        <f t="shared" si="79"/>
        <v>213.39</v>
      </c>
      <c r="J205" s="76">
        <v>23.26</v>
      </c>
      <c r="K205" s="10">
        <f t="shared" si="80"/>
        <v>27.73</v>
      </c>
      <c r="L205" s="141">
        <f t="shared" si="81"/>
        <v>0</v>
      </c>
      <c r="M205" s="10">
        <f t="shared" si="82"/>
        <v>5917.3</v>
      </c>
      <c r="N205" s="25">
        <f t="shared" si="83"/>
        <v>5917.3</v>
      </c>
    </row>
    <row r="206" spans="2:14">
      <c r="B206" s="58" t="s">
        <v>457</v>
      </c>
      <c r="C206" s="95" t="s">
        <v>341</v>
      </c>
      <c r="D206" s="95" t="s">
        <v>431</v>
      </c>
      <c r="E206" s="96" t="s">
        <v>364</v>
      </c>
      <c r="F206" s="95" t="s">
        <v>4</v>
      </c>
      <c r="G206" s="100">
        <v>0</v>
      </c>
      <c r="H206" s="99">
        <f>'Memória de Cálculo'!D51</f>
        <v>213.39</v>
      </c>
      <c r="I206" s="70">
        <f t="shared" si="79"/>
        <v>213.39</v>
      </c>
      <c r="J206" s="76">
        <v>9.6</v>
      </c>
      <c r="K206" s="10">
        <f t="shared" si="80"/>
        <v>11.44</v>
      </c>
      <c r="L206" s="141">
        <f t="shared" si="81"/>
        <v>0</v>
      </c>
      <c r="M206" s="10">
        <f t="shared" si="82"/>
        <v>2441.1799999999998</v>
      </c>
      <c r="N206" s="25">
        <f t="shared" si="83"/>
        <v>2441.1799999999998</v>
      </c>
    </row>
    <row r="207" spans="2:14">
      <c r="B207" s="58" t="s">
        <v>458</v>
      </c>
      <c r="C207" s="95" t="s">
        <v>343</v>
      </c>
      <c r="D207" s="95" t="s">
        <v>431</v>
      </c>
      <c r="E207" s="96" t="s">
        <v>365</v>
      </c>
      <c r="F207" s="95" t="s">
        <v>4</v>
      </c>
      <c r="G207" s="100">
        <v>0</v>
      </c>
      <c r="H207" s="99">
        <f>'Memória de Cálculo'!D52</f>
        <v>213.39</v>
      </c>
      <c r="I207" s="70">
        <f t="shared" si="79"/>
        <v>213.39</v>
      </c>
      <c r="J207" s="76">
        <v>1.7</v>
      </c>
      <c r="K207" s="10">
        <f t="shared" si="80"/>
        <v>2.0299999999999998</v>
      </c>
      <c r="L207" s="141">
        <f t="shared" si="81"/>
        <v>0</v>
      </c>
      <c r="M207" s="10">
        <f t="shared" si="82"/>
        <v>433.18</v>
      </c>
      <c r="N207" s="25">
        <f t="shared" si="83"/>
        <v>433.18</v>
      </c>
    </row>
    <row r="208" spans="2:14">
      <c r="B208" s="58" t="s">
        <v>459</v>
      </c>
      <c r="C208" s="95" t="s">
        <v>345</v>
      </c>
      <c r="D208" s="95" t="s">
        <v>431</v>
      </c>
      <c r="E208" s="96" t="s">
        <v>366</v>
      </c>
      <c r="F208" s="95" t="s">
        <v>4</v>
      </c>
      <c r="G208" s="100">
        <v>0</v>
      </c>
      <c r="H208" s="99">
        <f>'Memória de Cálculo'!D53</f>
        <v>213.39</v>
      </c>
      <c r="I208" s="70">
        <f t="shared" si="79"/>
        <v>213.39</v>
      </c>
      <c r="J208" s="76">
        <v>11.22</v>
      </c>
      <c r="K208" s="10">
        <f t="shared" si="80"/>
        <v>13.38</v>
      </c>
      <c r="L208" s="141">
        <f t="shared" si="81"/>
        <v>0</v>
      </c>
      <c r="M208" s="10">
        <f t="shared" si="82"/>
        <v>2855.16</v>
      </c>
      <c r="N208" s="25">
        <f t="shared" si="83"/>
        <v>2855.16</v>
      </c>
    </row>
    <row r="209" spans="2:14" ht="13">
      <c r="B209" s="260" t="s">
        <v>392</v>
      </c>
      <c r="C209" s="261"/>
      <c r="D209" s="261"/>
      <c r="E209" s="261"/>
      <c r="F209" s="261"/>
      <c r="G209" s="261"/>
      <c r="H209" s="72"/>
      <c r="I209" s="72"/>
      <c r="J209" s="73"/>
      <c r="K209" s="73"/>
      <c r="L209" s="140">
        <f>SUM(L203:L208)</f>
        <v>0</v>
      </c>
      <c r="M209" s="74">
        <f t="shared" ref="M209:N209" si="84">SUM(M203:M208)</f>
        <v>18745.34</v>
      </c>
      <c r="N209" s="93">
        <f t="shared" si="84"/>
        <v>18745.34</v>
      </c>
    </row>
    <row r="210" spans="2:14" ht="13.5" thickBot="1">
      <c r="B210" s="43"/>
      <c r="C210" s="89"/>
      <c r="D210" s="89"/>
      <c r="E210" s="89"/>
      <c r="F210" s="89"/>
      <c r="G210" s="89"/>
      <c r="H210" s="89"/>
      <c r="I210" s="89"/>
      <c r="J210" s="90"/>
      <c r="K210" s="91"/>
      <c r="L210" s="156"/>
      <c r="M210" s="92"/>
      <c r="N210" s="148"/>
    </row>
    <row r="211" spans="2:14" ht="13.5" thickBot="1">
      <c r="B211" s="31"/>
      <c r="C211" s="46"/>
      <c r="D211" s="46"/>
      <c r="E211" s="33" t="s">
        <v>545</v>
      </c>
      <c r="F211" s="33"/>
      <c r="G211" s="33"/>
      <c r="H211" s="33"/>
      <c r="I211" s="33"/>
      <c r="J211" s="33"/>
      <c r="K211" s="33"/>
      <c r="L211" s="33"/>
      <c r="M211" s="33"/>
      <c r="N211" s="66"/>
    </row>
    <row r="212" spans="2:14" ht="13">
      <c r="B212" s="144">
        <v>26</v>
      </c>
      <c r="C212" s="98"/>
      <c r="D212" s="98"/>
      <c r="E212" s="98" t="s">
        <v>50</v>
      </c>
      <c r="F212" s="98"/>
      <c r="G212" s="98"/>
      <c r="H212" s="98"/>
      <c r="I212" s="98"/>
      <c r="J212" s="98"/>
      <c r="K212" s="98"/>
      <c r="L212" s="98"/>
      <c r="M212" s="98"/>
      <c r="N212" s="145"/>
    </row>
    <row r="213" spans="2:14" ht="25">
      <c r="B213" s="58" t="s">
        <v>461</v>
      </c>
      <c r="C213" s="95" t="s">
        <v>303</v>
      </c>
      <c r="D213" s="95" t="s">
        <v>431</v>
      </c>
      <c r="E213" s="96" t="s">
        <v>347</v>
      </c>
      <c r="F213" s="95" t="s">
        <v>4</v>
      </c>
      <c r="G213" s="100">
        <v>0</v>
      </c>
      <c r="H213" s="100">
        <f>'Memória de Cálculo'!D56</f>
        <v>11.61</v>
      </c>
      <c r="I213" s="70">
        <f t="shared" ref="I213" si="85">G213+H213</f>
        <v>11.61</v>
      </c>
      <c r="J213" s="76">
        <v>3.87</v>
      </c>
      <c r="K213" s="10">
        <f>ROUND(J213*(1+$M$3),2)</f>
        <v>4.6100000000000003</v>
      </c>
      <c r="L213" s="100">
        <v>0</v>
      </c>
      <c r="M213" s="10">
        <f t="shared" ref="M213" si="86">ROUND(H213*$K213,2)</f>
        <v>53.52</v>
      </c>
      <c r="N213" s="25">
        <f t="shared" ref="N213" si="87">ROUND(I213*$K213,2)</f>
        <v>53.52</v>
      </c>
    </row>
    <row r="214" spans="2:14" ht="13">
      <c r="B214" s="260" t="s">
        <v>462</v>
      </c>
      <c r="C214" s="261"/>
      <c r="D214" s="261"/>
      <c r="E214" s="261"/>
      <c r="F214" s="261"/>
      <c r="G214" s="261"/>
      <c r="H214" s="72"/>
      <c r="I214" s="72"/>
      <c r="J214" s="73"/>
      <c r="K214" s="73"/>
      <c r="L214" s="140">
        <f>SUM(L213)</f>
        <v>0</v>
      </c>
      <c r="M214" s="74">
        <f t="shared" ref="M214:N214" si="88">SUM(M213)</f>
        <v>53.52</v>
      </c>
      <c r="N214" s="93">
        <f t="shared" si="88"/>
        <v>53.52</v>
      </c>
    </row>
    <row r="215" spans="2:14" ht="13">
      <c r="B215" s="146">
        <v>27</v>
      </c>
      <c r="C215" s="97"/>
      <c r="D215" s="97"/>
      <c r="E215" s="94" t="s">
        <v>159</v>
      </c>
      <c r="F215" s="94"/>
      <c r="G215" s="94"/>
      <c r="H215" s="94"/>
      <c r="I215" s="94"/>
      <c r="J215" s="94"/>
      <c r="K215" s="94"/>
      <c r="L215" s="94"/>
      <c r="M215" s="94"/>
      <c r="N215" s="147"/>
    </row>
    <row r="216" spans="2:14">
      <c r="B216" s="58" t="s">
        <v>463</v>
      </c>
      <c r="C216" s="95" t="s">
        <v>304</v>
      </c>
      <c r="D216" s="95" t="s">
        <v>431</v>
      </c>
      <c r="E216" s="96" t="s">
        <v>348</v>
      </c>
      <c r="F216" s="95" t="s">
        <v>29</v>
      </c>
      <c r="G216" s="100">
        <v>0</v>
      </c>
      <c r="H216" s="100">
        <f>'Memória de Cálculo'!D58</f>
        <v>5.22</v>
      </c>
      <c r="I216" s="70">
        <f t="shared" ref="I216:I217" si="89">G216+H216</f>
        <v>5.22</v>
      </c>
      <c r="J216" s="76">
        <v>51.38</v>
      </c>
      <c r="K216" s="10">
        <f>ROUND(J216*(1+$M$3),2)</f>
        <v>61.25</v>
      </c>
      <c r="L216" s="141">
        <f t="shared" ref="L216:L217" si="90">ROUND(G216*$K216,2)</f>
        <v>0</v>
      </c>
      <c r="M216" s="10">
        <f t="shared" ref="M216:M217" si="91">ROUND(H216*$K216,2)</f>
        <v>319.73</v>
      </c>
      <c r="N216" s="25">
        <f t="shared" ref="N216:N217" si="92">ROUND(I216*$K216,2)</f>
        <v>319.73</v>
      </c>
    </row>
    <row r="217" spans="2:14">
      <c r="B217" s="58" t="s">
        <v>464</v>
      </c>
      <c r="C217" s="95" t="s">
        <v>306</v>
      </c>
      <c r="D217" s="95" t="s">
        <v>34</v>
      </c>
      <c r="E217" s="96" t="s">
        <v>349</v>
      </c>
      <c r="F217" s="95" t="s">
        <v>29</v>
      </c>
      <c r="G217" s="100">
        <v>0</v>
      </c>
      <c r="H217" s="100">
        <f>'Memória de Cálculo'!D59</f>
        <v>1.58</v>
      </c>
      <c r="I217" s="70">
        <f t="shared" si="89"/>
        <v>1.58</v>
      </c>
      <c r="J217" s="76">
        <v>18.920000000000002</v>
      </c>
      <c r="K217" s="10">
        <f>ROUND(J217*(1+$M$3),2)</f>
        <v>22.55</v>
      </c>
      <c r="L217" s="141">
        <f t="shared" si="90"/>
        <v>0</v>
      </c>
      <c r="M217" s="10">
        <f t="shared" si="91"/>
        <v>35.630000000000003</v>
      </c>
      <c r="N217" s="25">
        <f t="shared" si="92"/>
        <v>35.630000000000003</v>
      </c>
    </row>
    <row r="218" spans="2:14" ht="13">
      <c r="B218" s="260" t="s">
        <v>465</v>
      </c>
      <c r="C218" s="261"/>
      <c r="D218" s="261"/>
      <c r="E218" s="261"/>
      <c r="F218" s="261"/>
      <c r="G218" s="261"/>
      <c r="H218" s="72"/>
      <c r="I218" s="72"/>
      <c r="J218" s="73"/>
      <c r="K218" s="73"/>
      <c r="L218" s="140">
        <f>SUM(L216:L217)</f>
        <v>0</v>
      </c>
      <c r="M218" s="74">
        <f t="shared" ref="M218:N218" si="93">SUM(M216:M217)</f>
        <v>355.36</v>
      </c>
      <c r="N218" s="93">
        <f t="shared" si="93"/>
        <v>355.36</v>
      </c>
    </row>
    <row r="219" spans="2:14" ht="13">
      <c r="B219" s="146">
        <v>28</v>
      </c>
      <c r="C219" s="97"/>
      <c r="D219" s="97"/>
      <c r="E219" s="94" t="s">
        <v>156</v>
      </c>
      <c r="F219" s="94"/>
      <c r="G219" s="94"/>
      <c r="H219" s="94"/>
      <c r="I219" s="94"/>
      <c r="J219" s="94"/>
      <c r="K219" s="94"/>
      <c r="L219" s="117"/>
      <c r="M219" s="94"/>
      <c r="N219" s="147"/>
    </row>
    <row r="220" spans="2:14" ht="25">
      <c r="B220" s="58" t="s">
        <v>466</v>
      </c>
      <c r="C220" s="95" t="s">
        <v>309</v>
      </c>
      <c r="D220" s="95" t="s">
        <v>431</v>
      </c>
      <c r="E220" s="96" t="s">
        <v>171</v>
      </c>
      <c r="F220" s="95" t="s">
        <v>29</v>
      </c>
      <c r="G220" s="100">
        <v>0</v>
      </c>
      <c r="H220" s="100">
        <f>'Memória de Cálculo'!D61</f>
        <v>0.56000000000000005</v>
      </c>
      <c r="I220" s="70">
        <f t="shared" ref="I220:I226" si="94">G220+H220</f>
        <v>0.56000000000000005</v>
      </c>
      <c r="J220" s="76">
        <v>229.15</v>
      </c>
      <c r="K220" s="10">
        <f t="shared" ref="K220:K226" si="95">ROUND(J220*(1+$M$3),2)</f>
        <v>273.17</v>
      </c>
      <c r="L220" s="141">
        <f t="shared" ref="L220:L226" si="96">ROUND(G220*$K220,2)</f>
        <v>0</v>
      </c>
      <c r="M220" s="10">
        <f t="shared" ref="M220:M226" si="97">ROUND(H220*$K220,2)</f>
        <v>152.97999999999999</v>
      </c>
      <c r="N220" s="25">
        <f t="shared" ref="N220:N226" si="98">ROUND(I220*$K220,2)</f>
        <v>152.97999999999999</v>
      </c>
    </row>
    <row r="221" spans="2:14">
      <c r="B221" s="58" t="s">
        <v>467</v>
      </c>
      <c r="C221" s="95" t="s">
        <v>324</v>
      </c>
      <c r="D221" s="95" t="s">
        <v>34</v>
      </c>
      <c r="E221" s="96" t="s">
        <v>568</v>
      </c>
      <c r="F221" s="95" t="s">
        <v>297</v>
      </c>
      <c r="G221" s="100">
        <v>0</v>
      </c>
      <c r="H221" s="100">
        <f>'Memória de Cálculo'!D62</f>
        <v>15.55</v>
      </c>
      <c r="I221" s="70">
        <f t="shared" si="94"/>
        <v>15.55</v>
      </c>
      <c r="J221" s="76">
        <v>7.1</v>
      </c>
      <c r="K221" s="10">
        <f t="shared" si="95"/>
        <v>8.4600000000000009</v>
      </c>
      <c r="L221" s="141">
        <f t="shared" si="96"/>
        <v>0</v>
      </c>
      <c r="M221" s="10">
        <f t="shared" si="97"/>
        <v>131.55000000000001</v>
      </c>
      <c r="N221" s="25">
        <f t="shared" si="98"/>
        <v>131.55000000000001</v>
      </c>
    </row>
    <row r="222" spans="2:14" ht="25">
      <c r="B222" s="58" t="s">
        <v>468</v>
      </c>
      <c r="C222" s="95" t="s">
        <v>326</v>
      </c>
      <c r="D222" s="95" t="s">
        <v>34</v>
      </c>
      <c r="E222" s="96" t="s">
        <v>356</v>
      </c>
      <c r="F222" s="95" t="s">
        <v>29</v>
      </c>
      <c r="G222" s="100">
        <v>0</v>
      </c>
      <c r="H222" s="100">
        <f>'Memória de Cálculo'!D63</f>
        <v>0.44</v>
      </c>
      <c r="I222" s="70">
        <f t="shared" si="94"/>
        <v>0.44</v>
      </c>
      <c r="J222" s="76">
        <f>Resumo_Valor_Desconto!H11</f>
        <v>287.34670470726996</v>
      </c>
      <c r="K222" s="10">
        <f t="shared" si="95"/>
        <v>342.55</v>
      </c>
      <c r="L222" s="141">
        <f t="shared" si="96"/>
        <v>0</v>
      </c>
      <c r="M222" s="10">
        <f t="shared" si="97"/>
        <v>150.72</v>
      </c>
      <c r="N222" s="25">
        <f t="shared" si="98"/>
        <v>150.72</v>
      </c>
    </row>
    <row r="223" spans="2:14" ht="25">
      <c r="B223" s="58" t="s">
        <v>469</v>
      </c>
      <c r="C223" s="95" t="s">
        <v>310</v>
      </c>
      <c r="D223" s="95" t="s">
        <v>431</v>
      </c>
      <c r="E223" s="96" t="s">
        <v>58</v>
      </c>
      <c r="F223" s="95" t="s">
        <v>29</v>
      </c>
      <c r="G223" s="100">
        <v>0</v>
      </c>
      <c r="H223" s="100">
        <f>'Memória de Cálculo'!D64</f>
        <v>1</v>
      </c>
      <c r="I223" s="70">
        <f t="shared" si="94"/>
        <v>1</v>
      </c>
      <c r="J223" s="76">
        <v>132.97999999999999</v>
      </c>
      <c r="K223" s="10">
        <f t="shared" si="95"/>
        <v>158.53</v>
      </c>
      <c r="L223" s="141">
        <f t="shared" si="96"/>
        <v>0</v>
      </c>
      <c r="M223" s="10">
        <f t="shared" si="97"/>
        <v>158.53</v>
      </c>
      <c r="N223" s="25">
        <f t="shared" si="98"/>
        <v>158.53</v>
      </c>
    </row>
    <row r="224" spans="2:14">
      <c r="B224" s="58" t="s">
        <v>470</v>
      </c>
      <c r="C224" s="95" t="s">
        <v>312</v>
      </c>
      <c r="D224" s="95" t="s">
        <v>431</v>
      </c>
      <c r="E224" s="96" t="s">
        <v>350</v>
      </c>
      <c r="F224" s="95" t="s">
        <v>29</v>
      </c>
      <c r="G224" s="100">
        <v>0</v>
      </c>
      <c r="H224" s="100">
        <f>'Memória de Cálculo'!D65</f>
        <v>3.18</v>
      </c>
      <c r="I224" s="70">
        <f t="shared" si="94"/>
        <v>3.18</v>
      </c>
      <c r="J224" s="76">
        <v>332.9</v>
      </c>
      <c r="K224" s="10">
        <f t="shared" si="95"/>
        <v>396.86</v>
      </c>
      <c r="L224" s="141">
        <f t="shared" si="96"/>
        <v>0</v>
      </c>
      <c r="M224" s="10">
        <f t="shared" si="97"/>
        <v>1262.01</v>
      </c>
      <c r="N224" s="25">
        <f t="shared" si="98"/>
        <v>1262.01</v>
      </c>
    </row>
    <row r="225" spans="2:14">
      <c r="B225" s="58" t="s">
        <v>471</v>
      </c>
      <c r="C225" s="95">
        <v>96534</v>
      </c>
      <c r="D225" s="95" t="s">
        <v>34</v>
      </c>
      <c r="E225" s="96" t="s">
        <v>351</v>
      </c>
      <c r="F225" s="95" t="s">
        <v>4</v>
      </c>
      <c r="G225" s="100">
        <v>0</v>
      </c>
      <c r="H225" s="100">
        <f>'Memória de Cálculo'!D66</f>
        <v>18.489999999999998</v>
      </c>
      <c r="I225" s="70">
        <f t="shared" si="94"/>
        <v>18.489999999999998</v>
      </c>
      <c r="J225" s="76">
        <v>49.73</v>
      </c>
      <c r="K225" s="10">
        <f t="shared" si="95"/>
        <v>59.28</v>
      </c>
      <c r="L225" s="141">
        <f t="shared" si="96"/>
        <v>0</v>
      </c>
      <c r="M225" s="10">
        <f t="shared" si="97"/>
        <v>1096.0899999999999</v>
      </c>
      <c r="N225" s="25">
        <f t="shared" si="98"/>
        <v>1096.0899999999999</v>
      </c>
    </row>
    <row r="226" spans="2:14">
      <c r="B226" s="58" t="s">
        <v>567</v>
      </c>
      <c r="C226" s="95" t="s">
        <v>315</v>
      </c>
      <c r="D226" s="95" t="s">
        <v>431</v>
      </c>
      <c r="E226" s="96" t="s">
        <v>352</v>
      </c>
      <c r="F226" s="95" t="s">
        <v>4</v>
      </c>
      <c r="G226" s="100">
        <v>0</v>
      </c>
      <c r="H226" s="100">
        <f>'Memória de Cálculo'!D67</f>
        <v>38.549999999999997</v>
      </c>
      <c r="I226" s="70">
        <f t="shared" si="94"/>
        <v>38.549999999999997</v>
      </c>
      <c r="J226" s="76">
        <v>8.48</v>
      </c>
      <c r="K226" s="10">
        <f t="shared" si="95"/>
        <v>10.11</v>
      </c>
      <c r="L226" s="141">
        <f t="shared" si="96"/>
        <v>0</v>
      </c>
      <c r="M226" s="10">
        <f t="shared" si="97"/>
        <v>389.74</v>
      </c>
      <c r="N226" s="25">
        <f t="shared" si="98"/>
        <v>389.74</v>
      </c>
    </row>
    <row r="227" spans="2:14" ht="13">
      <c r="B227" s="260" t="s">
        <v>472</v>
      </c>
      <c r="C227" s="261"/>
      <c r="D227" s="261"/>
      <c r="E227" s="261"/>
      <c r="F227" s="261"/>
      <c r="G227" s="261"/>
      <c r="H227" s="72"/>
      <c r="I227" s="72"/>
      <c r="J227" s="73"/>
      <c r="K227" s="73"/>
      <c r="L227" s="140">
        <f>SUM(L220:L226)</f>
        <v>0</v>
      </c>
      <c r="M227" s="74">
        <f>SUM(M220:M226)</f>
        <v>3341.62</v>
      </c>
      <c r="N227" s="93">
        <f>SUM(N220:N226)</f>
        <v>3341.62</v>
      </c>
    </row>
    <row r="228" spans="2:14" ht="13">
      <c r="B228" s="146">
        <v>29</v>
      </c>
      <c r="C228" s="97"/>
      <c r="D228" s="97"/>
      <c r="E228" s="94" t="s">
        <v>320</v>
      </c>
      <c r="F228" s="94"/>
      <c r="G228" s="94"/>
      <c r="H228" s="94"/>
      <c r="I228" s="94"/>
      <c r="J228" s="94"/>
      <c r="K228" s="94"/>
      <c r="L228" s="117"/>
      <c r="M228" s="94"/>
      <c r="N228" s="147"/>
    </row>
    <row r="229" spans="2:14" ht="13">
      <c r="B229" s="146"/>
      <c r="C229" s="97"/>
      <c r="D229" s="97"/>
      <c r="E229" s="94" t="s">
        <v>321</v>
      </c>
      <c r="F229" s="94"/>
      <c r="G229" s="94"/>
      <c r="H229" s="94"/>
      <c r="I229" s="94"/>
      <c r="J229" s="94"/>
      <c r="K229" s="94"/>
      <c r="L229" s="117"/>
      <c r="M229" s="94"/>
      <c r="N229" s="147"/>
    </row>
    <row r="230" spans="2:14">
      <c r="B230" s="58" t="s">
        <v>473</v>
      </c>
      <c r="C230" s="95">
        <v>96534</v>
      </c>
      <c r="D230" s="95" t="s">
        <v>34</v>
      </c>
      <c r="E230" s="96" t="s">
        <v>351</v>
      </c>
      <c r="F230" s="95" t="s">
        <v>4</v>
      </c>
      <c r="G230" s="100">
        <v>0</v>
      </c>
      <c r="H230" s="100">
        <f>'Memória de Cálculo'!D70</f>
        <v>9.73</v>
      </c>
      <c r="I230" s="70">
        <f t="shared" ref="I230:I234" si="99">G230+H230</f>
        <v>9.73</v>
      </c>
      <c r="J230" s="76">
        <v>49.73</v>
      </c>
      <c r="K230" s="10">
        <f>ROUND(J230*(1+$M$3),2)</f>
        <v>59.28</v>
      </c>
      <c r="L230" s="141">
        <f t="shared" ref="L230:L234" si="100">ROUND(G230*$K230,2)</f>
        <v>0</v>
      </c>
      <c r="M230" s="10">
        <f t="shared" ref="M230:M234" si="101">ROUND(H230*$K230,2)</f>
        <v>576.79</v>
      </c>
      <c r="N230" s="25">
        <f t="shared" ref="N230:N234" si="102">ROUND(I230*$K230,2)</f>
        <v>576.79</v>
      </c>
    </row>
    <row r="231" spans="2:14">
      <c r="B231" s="58" t="s">
        <v>474</v>
      </c>
      <c r="C231" s="95" t="s">
        <v>322</v>
      </c>
      <c r="D231" s="95" t="s">
        <v>34</v>
      </c>
      <c r="E231" s="96" t="s">
        <v>354</v>
      </c>
      <c r="F231" s="95" t="s">
        <v>297</v>
      </c>
      <c r="G231" s="100">
        <v>0</v>
      </c>
      <c r="H231" s="100">
        <f>'Memória de Cálculo'!D71</f>
        <v>17.28</v>
      </c>
      <c r="I231" s="70">
        <f t="shared" si="99"/>
        <v>17.28</v>
      </c>
      <c r="J231" s="76">
        <v>10.37</v>
      </c>
      <c r="K231" s="10">
        <f>ROUND(J231*(1+$M$3),2)</f>
        <v>12.36</v>
      </c>
      <c r="L231" s="141">
        <f t="shared" si="100"/>
        <v>0</v>
      </c>
      <c r="M231" s="10">
        <f t="shared" si="101"/>
        <v>213.58</v>
      </c>
      <c r="N231" s="25">
        <f t="shared" si="102"/>
        <v>213.58</v>
      </c>
    </row>
    <row r="232" spans="2:14">
      <c r="B232" s="58" t="s">
        <v>475</v>
      </c>
      <c r="C232" s="95" t="s">
        <v>324</v>
      </c>
      <c r="D232" s="95" t="s">
        <v>34</v>
      </c>
      <c r="E232" s="96" t="s">
        <v>355</v>
      </c>
      <c r="F232" s="95" t="s">
        <v>297</v>
      </c>
      <c r="G232" s="100">
        <v>0</v>
      </c>
      <c r="H232" s="100">
        <f>'Memória de Cálculo'!D72</f>
        <v>50.61</v>
      </c>
      <c r="I232" s="70">
        <f t="shared" si="99"/>
        <v>50.61</v>
      </c>
      <c r="J232" s="76">
        <v>7.1</v>
      </c>
      <c r="K232" s="10">
        <f>ROUND(J232*(1+$M$3),2)</f>
        <v>8.4600000000000009</v>
      </c>
      <c r="L232" s="141">
        <f t="shared" si="100"/>
        <v>0</v>
      </c>
      <c r="M232" s="10">
        <f t="shared" si="101"/>
        <v>428.16</v>
      </c>
      <c r="N232" s="25">
        <f t="shared" si="102"/>
        <v>428.16</v>
      </c>
    </row>
    <row r="233" spans="2:14" ht="25">
      <c r="B233" s="58" t="s">
        <v>476</v>
      </c>
      <c r="C233" s="95" t="s">
        <v>326</v>
      </c>
      <c r="D233" s="95" t="s">
        <v>34</v>
      </c>
      <c r="E233" s="96" t="s">
        <v>356</v>
      </c>
      <c r="F233" s="95" t="s">
        <v>29</v>
      </c>
      <c r="G233" s="100">
        <v>0</v>
      </c>
      <c r="H233" s="100">
        <f>'Memória de Cálculo'!D73</f>
        <v>0.46</v>
      </c>
      <c r="I233" s="70">
        <f t="shared" si="99"/>
        <v>0.46</v>
      </c>
      <c r="J233" s="76">
        <v>287.33999999999997</v>
      </c>
      <c r="K233" s="10">
        <f>ROUND(J233*(1+$M$3),2)</f>
        <v>342.54</v>
      </c>
      <c r="L233" s="141">
        <f t="shared" si="100"/>
        <v>0</v>
      </c>
      <c r="M233" s="10">
        <f t="shared" si="101"/>
        <v>157.57</v>
      </c>
      <c r="N233" s="25">
        <f t="shared" si="102"/>
        <v>157.57</v>
      </c>
    </row>
    <row r="234" spans="2:14" ht="25">
      <c r="B234" s="58" t="s">
        <v>477</v>
      </c>
      <c r="C234" s="95" t="s">
        <v>310</v>
      </c>
      <c r="D234" s="95" t="s">
        <v>431</v>
      </c>
      <c r="E234" s="96" t="s">
        <v>58</v>
      </c>
      <c r="F234" s="95" t="s">
        <v>29</v>
      </c>
      <c r="G234" s="100">
        <v>0</v>
      </c>
      <c r="H234" s="100">
        <f>'Memória de Cálculo'!D74</f>
        <v>0.46</v>
      </c>
      <c r="I234" s="70">
        <f t="shared" si="99"/>
        <v>0.46</v>
      </c>
      <c r="J234" s="76">
        <v>132.97999999999999</v>
      </c>
      <c r="K234" s="10">
        <f>ROUND(J234*(1+$M$3),2)</f>
        <v>158.53</v>
      </c>
      <c r="L234" s="141">
        <f t="shared" si="100"/>
        <v>0</v>
      </c>
      <c r="M234" s="10">
        <f t="shared" si="101"/>
        <v>72.92</v>
      </c>
      <c r="N234" s="25">
        <f t="shared" si="102"/>
        <v>72.92</v>
      </c>
    </row>
    <row r="235" spans="2:14" ht="13">
      <c r="B235" s="146"/>
      <c r="C235" s="97"/>
      <c r="D235" s="97"/>
      <c r="E235" s="94" t="s">
        <v>328</v>
      </c>
      <c r="F235" s="94"/>
      <c r="G235" s="94"/>
      <c r="H235" s="117"/>
      <c r="I235" s="94"/>
      <c r="J235" s="94"/>
      <c r="K235" s="94"/>
      <c r="L235" s="117"/>
      <c r="M235" s="94"/>
      <c r="N235" s="147"/>
    </row>
    <row r="236" spans="2:14">
      <c r="B236" s="58" t="s">
        <v>478</v>
      </c>
      <c r="C236" s="95">
        <v>96534</v>
      </c>
      <c r="D236" s="95" t="s">
        <v>34</v>
      </c>
      <c r="E236" s="96" t="s">
        <v>351</v>
      </c>
      <c r="F236" s="95" t="s">
        <v>4</v>
      </c>
      <c r="G236" s="100">
        <v>0</v>
      </c>
      <c r="H236" s="100">
        <f>'Memória de Cálculo'!D76</f>
        <v>15.67</v>
      </c>
      <c r="I236" s="70">
        <f t="shared" ref="I236:I242" si="103">G236+H236</f>
        <v>15.67</v>
      </c>
      <c r="J236" s="76">
        <v>49.73</v>
      </c>
      <c r="K236" s="10">
        <f t="shared" ref="K236:K242" si="104">ROUND(J236*(1+$M$3),2)</f>
        <v>59.28</v>
      </c>
      <c r="L236" s="141">
        <f t="shared" ref="L236:L242" si="105">ROUND(G236*$K236,2)</f>
        <v>0</v>
      </c>
      <c r="M236" s="10">
        <f t="shared" ref="M236:M242" si="106">ROUND(H236*$K236,2)</f>
        <v>928.92</v>
      </c>
      <c r="N236" s="25">
        <f t="shared" ref="N236:N242" si="107">ROUND(I236*$K236,2)</f>
        <v>928.92</v>
      </c>
    </row>
    <row r="237" spans="2:14">
      <c r="B237" s="58" t="s">
        <v>479</v>
      </c>
      <c r="C237" s="95" t="s">
        <v>322</v>
      </c>
      <c r="D237" s="95" t="s">
        <v>34</v>
      </c>
      <c r="E237" s="96" t="s">
        <v>357</v>
      </c>
      <c r="F237" s="95" t="s">
        <v>297</v>
      </c>
      <c r="G237" s="100">
        <v>0</v>
      </c>
      <c r="H237" s="100">
        <f>'Memória de Cálculo'!D77</f>
        <v>58</v>
      </c>
      <c r="I237" s="100">
        <f t="shared" si="103"/>
        <v>58</v>
      </c>
      <c r="J237" s="76">
        <v>10.37</v>
      </c>
      <c r="K237" s="10">
        <f t="shared" si="104"/>
        <v>12.36</v>
      </c>
      <c r="L237" s="141">
        <f t="shared" si="105"/>
        <v>0</v>
      </c>
      <c r="M237" s="10">
        <f t="shared" si="106"/>
        <v>716.88</v>
      </c>
      <c r="N237" s="25">
        <f t="shared" si="107"/>
        <v>716.88</v>
      </c>
    </row>
    <row r="238" spans="2:14">
      <c r="B238" s="58" t="s">
        <v>480</v>
      </c>
      <c r="C238" s="95" t="s">
        <v>330</v>
      </c>
      <c r="D238" s="95" t="s">
        <v>34</v>
      </c>
      <c r="E238" s="96" t="s">
        <v>358</v>
      </c>
      <c r="F238" s="95" t="s">
        <v>297</v>
      </c>
      <c r="G238" s="100">
        <v>0</v>
      </c>
      <c r="H238" s="100">
        <f>'Memória de Cálculo'!D78</f>
        <v>12</v>
      </c>
      <c r="I238" s="100">
        <f t="shared" si="103"/>
        <v>12</v>
      </c>
      <c r="J238" s="76">
        <v>9.02</v>
      </c>
      <c r="K238" s="10">
        <f t="shared" si="104"/>
        <v>10.75</v>
      </c>
      <c r="L238" s="141">
        <f t="shared" si="105"/>
        <v>0</v>
      </c>
      <c r="M238" s="10">
        <f t="shared" si="106"/>
        <v>129</v>
      </c>
      <c r="N238" s="25">
        <f t="shared" si="107"/>
        <v>129</v>
      </c>
    </row>
    <row r="239" spans="2:14">
      <c r="B239" s="58" t="s">
        <v>481</v>
      </c>
      <c r="C239" s="95" t="s">
        <v>332</v>
      </c>
      <c r="D239" s="95" t="s">
        <v>34</v>
      </c>
      <c r="E239" s="96" t="s">
        <v>359</v>
      </c>
      <c r="F239" s="95" t="s">
        <v>297</v>
      </c>
      <c r="G239" s="100">
        <v>0</v>
      </c>
      <c r="H239" s="100">
        <f>'Memória de Cálculo'!D79</f>
        <v>36</v>
      </c>
      <c r="I239" s="100">
        <f t="shared" si="103"/>
        <v>36</v>
      </c>
      <c r="J239" s="76">
        <v>8.69</v>
      </c>
      <c r="K239" s="10">
        <f t="shared" si="104"/>
        <v>10.36</v>
      </c>
      <c r="L239" s="141">
        <f t="shared" si="105"/>
        <v>0</v>
      </c>
      <c r="M239" s="10">
        <f t="shared" si="106"/>
        <v>372.96</v>
      </c>
      <c r="N239" s="25">
        <f t="shared" si="107"/>
        <v>372.96</v>
      </c>
    </row>
    <row r="240" spans="2:14">
      <c r="B240" s="58" t="s">
        <v>482</v>
      </c>
      <c r="C240" s="95" t="s">
        <v>324</v>
      </c>
      <c r="D240" s="95" t="s">
        <v>34</v>
      </c>
      <c r="E240" s="96" t="s">
        <v>360</v>
      </c>
      <c r="F240" s="95" t="s">
        <v>297</v>
      </c>
      <c r="G240" s="100">
        <v>0</v>
      </c>
      <c r="H240" s="100">
        <f>'Memória de Cálculo'!D80</f>
        <v>33</v>
      </c>
      <c r="I240" s="100">
        <f t="shared" si="103"/>
        <v>33</v>
      </c>
      <c r="J240" s="76">
        <v>7.1</v>
      </c>
      <c r="K240" s="10">
        <f t="shared" si="104"/>
        <v>8.4600000000000009</v>
      </c>
      <c r="L240" s="141">
        <f t="shared" si="105"/>
        <v>0</v>
      </c>
      <c r="M240" s="10">
        <f t="shared" si="106"/>
        <v>279.18</v>
      </c>
      <c r="N240" s="25">
        <f t="shared" si="107"/>
        <v>279.18</v>
      </c>
    </row>
    <row r="241" spans="2:15" ht="25">
      <c r="B241" s="58" t="s">
        <v>483</v>
      </c>
      <c r="C241" s="95" t="s">
        <v>326</v>
      </c>
      <c r="D241" s="95" t="s">
        <v>34</v>
      </c>
      <c r="E241" s="96" t="s">
        <v>356</v>
      </c>
      <c r="F241" s="95" t="s">
        <v>29</v>
      </c>
      <c r="G241" s="100">
        <v>0</v>
      </c>
      <c r="H241" s="100">
        <f>'Memória de Cálculo'!D81</f>
        <v>1.05</v>
      </c>
      <c r="I241" s="70">
        <f t="shared" si="103"/>
        <v>1.05</v>
      </c>
      <c r="J241" s="76">
        <v>287.33999999999997</v>
      </c>
      <c r="K241" s="10">
        <f t="shared" si="104"/>
        <v>342.54</v>
      </c>
      <c r="L241" s="141">
        <f t="shared" si="105"/>
        <v>0</v>
      </c>
      <c r="M241" s="10">
        <f t="shared" si="106"/>
        <v>359.67</v>
      </c>
      <c r="N241" s="25">
        <f t="shared" si="107"/>
        <v>359.67</v>
      </c>
    </row>
    <row r="242" spans="2:15" ht="25">
      <c r="B242" s="58" t="s">
        <v>484</v>
      </c>
      <c r="C242" s="95" t="s">
        <v>310</v>
      </c>
      <c r="D242" s="95" t="s">
        <v>431</v>
      </c>
      <c r="E242" s="96" t="s">
        <v>58</v>
      </c>
      <c r="F242" s="95" t="s">
        <v>29</v>
      </c>
      <c r="G242" s="100">
        <v>0</v>
      </c>
      <c r="H242" s="100">
        <f>'Memória de Cálculo'!D82</f>
        <v>1.05</v>
      </c>
      <c r="I242" s="70">
        <f t="shared" si="103"/>
        <v>1.05</v>
      </c>
      <c r="J242" s="76">
        <v>132.97999999999999</v>
      </c>
      <c r="K242" s="10">
        <f t="shared" si="104"/>
        <v>158.53</v>
      </c>
      <c r="L242" s="141">
        <f t="shared" si="105"/>
        <v>0</v>
      </c>
      <c r="M242" s="10">
        <f t="shared" si="106"/>
        <v>166.46</v>
      </c>
      <c r="N242" s="25">
        <f t="shared" si="107"/>
        <v>166.46</v>
      </c>
    </row>
    <row r="243" spans="2:15" ht="13">
      <c r="B243" s="260" t="s">
        <v>485</v>
      </c>
      <c r="C243" s="261"/>
      <c r="D243" s="261"/>
      <c r="E243" s="261"/>
      <c r="F243" s="261"/>
      <c r="G243" s="261"/>
      <c r="H243" s="72"/>
      <c r="I243" s="72"/>
      <c r="J243" s="73"/>
      <c r="K243" s="73"/>
      <c r="L243" s="140">
        <f>SUM(L230:L242)</f>
        <v>0</v>
      </c>
      <c r="M243" s="74">
        <f t="shared" ref="M243:N243" si="108">SUM(M230:M242)</f>
        <v>4402.09</v>
      </c>
      <c r="N243" s="93">
        <f t="shared" si="108"/>
        <v>4402.09</v>
      </c>
    </row>
    <row r="244" spans="2:15" ht="13">
      <c r="B244" s="146">
        <v>30</v>
      </c>
      <c r="C244" s="97"/>
      <c r="D244" s="97"/>
      <c r="E244" s="94" t="s">
        <v>149</v>
      </c>
      <c r="F244" s="94"/>
      <c r="G244" s="94"/>
      <c r="H244" s="94"/>
      <c r="I244" s="94"/>
      <c r="J244" s="94"/>
      <c r="K244" s="94"/>
      <c r="L244" s="117"/>
      <c r="M244" s="94"/>
      <c r="N244" s="147"/>
    </row>
    <row r="245" spans="2:15" ht="37.5">
      <c r="B245" s="58" t="s">
        <v>486</v>
      </c>
      <c r="C245" s="95" t="s">
        <v>335</v>
      </c>
      <c r="D245" s="95" t="s">
        <v>431</v>
      </c>
      <c r="E245" s="96" t="s">
        <v>361</v>
      </c>
      <c r="F245" s="95" t="s">
        <v>4</v>
      </c>
      <c r="G245" s="100">
        <v>0</v>
      </c>
      <c r="H245" s="99">
        <f>'Memória de Cálculo'!D84</f>
        <v>39.14</v>
      </c>
      <c r="I245" s="70">
        <f t="shared" ref="I245:I250" si="109">G245+H245</f>
        <v>39.14</v>
      </c>
      <c r="J245" s="76">
        <v>53.36</v>
      </c>
      <c r="K245" s="10">
        <f t="shared" ref="K245:K250" si="110">ROUND(J245*(1+$M$3),2)</f>
        <v>63.61</v>
      </c>
      <c r="L245" s="141">
        <f t="shared" ref="L245:L250" si="111">ROUND(G245*$K245,2)</f>
        <v>0</v>
      </c>
      <c r="M245" s="10">
        <f t="shared" ref="M245:M250" si="112">ROUND(H245*$K245,2)</f>
        <v>2489.6999999999998</v>
      </c>
      <c r="N245" s="25">
        <f t="shared" ref="N245:N250" si="113">ROUND(I245*$K245,2)</f>
        <v>2489.6999999999998</v>
      </c>
    </row>
    <row r="246" spans="2:15" ht="25">
      <c r="B246" s="58" t="s">
        <v>487</v>
      </c>
      <c r="C246" s="95" t="s">
        <v>337</v>
      </c>
      <c r="D246" s="95" t="s">
        <v>34</v>
      </c>
      <c r="E246" s="96" t="s">
        <v>362</v>
      </c>
      <c r="F246" s="95" t="s">
        <v>4</v>
      </c>
      <c r="G246" s="100">
        <v>0</v>
      </c>
      <c r="H246" s="99">
        <f>'Memória de Cálculo'!D85</f>
        <v>86.56</v>
      </c>
      <c r="I246" s="70">
        <f t="shared" si="109"/>
        <v>86.56</v>
      </c>
      <c r="J246" s="76">
        <v>3.84</v>
      </c>
      <c r="K246" s="10">
        <f t="shared" si="110"/>
        <v>4.58</v>
      </c>
      <c r="L246" s="141">
        <f t="shared" si="111"/>
        <v>0</v>
      </c>
      <c r="M246" s="10">
        <f t="shared" si="112"/>
        <v>396.44</v>
      </c>
      <c r="N246" s="25">
        <f t="shared" si="113"/>
        <v>396.44</v>
      </c>
    </row>
    <row r="247" spans="2:15" ht="37.5">
      <c r="B247" s="58" t="s">
        <v>488</v>
      </c>
      <c r="C247" s="95" t="s">
        <v>339</v>
      </c>
      <c r="D247" s="95" t="s">
        <v>34</v>
      </c>
      <c r="E247" s="96" t="s">
        <v>363</v>
      </c>
      <c r="F247" s="95" t="s">
        <v>4</v>
      </c>
      <c r="G247" s="100">
        <v>0</v>
      </c>
      <c r="H247" s="99">
        <f>'Memória de Cálculo'!D86</f>
        <v>86.56</v>
      </c>
      <c r="I247" s="70">
        <f t="shared" si="109"/>
        <v>86.56</v>
      </c>
      <c r="J247" s="76">
        <v>23.26</v>
      </c>
      <c r="K247" s="10">
        <f t="shared" si="110"/>
        <v>27.73</v>
      </c>
      <c r="L247" s="141">
        <f t="shared" si="111"/>
        <v>0</v>
      </c>
      <c r="M247" s="10">
        <f t="shared" si="112"/>
        <v>2400.31</v>
      </c>
      <c r="N247" s="25">
        <f t="shared" si="113"/>
        <v>2400.31</v>
      </c>
    </row>
    <row r="248" spans="2:15">
      <c r="B248" s="58" t="s">
        <v>489</v>
      </c>
      <c r="C248" s="95" t="s">
        <v>341</v>
      </c>
      <c r="D248" s="95" t="s">
        <v>431</v>
      </c>
      <c r="E248" s="96" t="s">
        <v>364</v>
      </c>
      <c r="F248" s="95" t="s">
        <v>4</v>
      </c>
      <c r="G248" s="100">
        <v>0</v>
      </c>
      <c r="H248" s="99">
        <f>'Memória de Cálculo'!D87</f>
        <v>86.56</v>
      </c>
      <c r="I248" s="70">
        <f t="shared" si="109"/>
        <v>86.56</v>
      </c>
      <c r="J248" s="76">
        <v>9.6</v>
      </c>
      <c r="K248" s="10">
        <f t="shared" si="110"/>
        <v>11.44</v>
      </c>
      <c r="L248" s="141">
        <f t="shared" si="111"/>
        <v>0</v>
      </c>
      <c r="M248" s="10">
        <f t="shared" si="112"/>
        <v>990.25</v>
      </c>
      <c r="N248" s="25">
        <f t="shared" si="113"/>
        <v>990.25</v>
      </c>
    </row>
    <row r="249" spans="2:15">
      <c r="B249" s="58" t="s">
        <v>490</v>
      </c>
      <c r="C249" s="95" t="s">
        <v>343</v>
      </c>
      <c r="D249" s="95" t="s">
        <v>431</v>
      </c>
      <c r="E249" s="96" t="s">
        <v>365</v>
      </c>
      <c r="F249" s="95" t="s">
        <v>4</v>
      </c>
      <c r="G249" s="100">
        <v>0</v>
      </c>
      <c r="H249" s="99">
        <f>'Memória de Cálculo'!D88</f>
        <v>86.56</v>
      </c>
      <c r="I249" s="70">
        <f t="shared" si="109"/>
        <v>86.56</v>
      </c>
      <c r="J249" s="76">
        <v>1.7</v>
      </c>
      <c r="K249" s="10">
        <f t="shared" si="110"/>
        <v>2.0299999999999998</v>
      </c>
      <c r="L249" s="141">
        <f t="shared" si="111"/>
        <v>0</v>
      </c>
      <c r="M249" s="10">
        <f t="shared" si="112"/>
        <v>175.72</v>
      </c>
      <c r="N249" s="25">
        <f t="shared" si="113"/>
        <v>175.72</v>
      </c>
    </row>
    <row r="250" spans="2:15">
      <c r="B250" s="58" t="s">
        <v>491</v>
      </c>
      <c r="C250" s="95" t="s">
        <v>345</v>
      </c>
      <c r="D250" s="95" t="s">
        <v>431</v>
      </c>
      <c r="E250" s="96" t="s">
        <v>366</v>
      </c>
      <c r="F250" s="95" t="s">
        <v>4</v>
      </c>
      <c r="G250" s="100">
        <v>0</v>
      </c>
      <c r="H250" s="99">
        <f>'Memória de Cálculo'!D89</f>
        <v>86.56</v>
      </c>
      <c r="I250" s="70">
        <f t="shared" si="109"/>
        <v>86.56</v>
      </c>
      <c r="J250" s="76">
        <v>11.22</v>
      </c>
      <c r="K250" s="10">
        <f t="shared" si="110"/>
        <v>13.38</v>
      </c>
      <c r="L250" s="141">
        <f t="shared" si="111"/>
        <v>0</v>
      </c>
      <c r="M250" s="10">
        <f t="shared" si="112"/>
        <v>1158.17</v>
      </c>
      <c r="N250" s="25">
        <f t="shared" si="113"/>
        <v>1158.17</v>
      </c>
    </row>
    <row r="251" spans="2:15" ht="13">
      <c r="B251" s="260" t="s">
        <v>492</v>
      </c>
      <c r="C251" s="261"/>
      <c r="D251" s="261"/>
      <c r="E251" s="261"/>
      <c r="F251" s="261"/>
      <c r="G251" s="261"/>
      <c r="H251" s="72"/>
      <c r="I251" s="72"/>
      <c r="J251" s="73"/>
      <c r="K251" s="73"/>
      <c r="L251" s="140">
        <f>SUM(L245:L250)</f>
        <v>0</v>
      </c>
      <c r="M251" s="74">
        <f t="shared" ref="M251:N251" si="114">SUM(M245:M250)</f>
        <v>7610.59</v>
      </c>
      <c r="N251" s="93">
        <f t="shared" si="114"/>
        <v>7610.59</v>
      </c>
    </row>
    <row r="252" spans="2:15" ht="13.5" thickBot="1">
      <c r="B252" s="43"/>
      <c r="C252" s="89"/>
      <c r="D252" s="89"/>
      <c r="E252" s="89"/>
      <c r="F252" s="89"/>
      <c r="G252" s="89"/>
      <c r="H252" s="89"/>
      <c r="I252" s="89"/>
      <c r="J252" s="90"/>
      <c r="K252" s="91"/>
      <c r="L252" s="92"/>
      <c r="M252" s="92"/>
      <c r="N252" s="148"/>
    </row>
    <row r="253" spans="2:15" ht="20" customHeight="1" thickBot="1">
      <c r="B253" s="81"/>
      <c r="C253" s="82"/>
      <c r="D253" s="82"/>
      <c r="E253" s="83"/>
      <c r="F253" s="83"/>
      <c r="G253" s="84" t="s">
        <v>52</v>
      </c>
      <c r="H253" s="85"/>
      <c r="I253" s="85"/>
      <c r="J253" s="86"/>
      <c r="K253" s="87"/>
      <c r="L253" s="88">
        <f>SUM(L10:L251)/2</f>
        <v>272728.78999999998</v>
      </c>
      <c r="M253" s="88">
        <f>SUM(M10:M251)/2</f>
        <v>96374.890000000014</v>
      </c>
      <c r="N253" s="88">
        <f>SUM(N10:N251)/2</f>
        <v>369103.67999999993</v>
      </c>
      <c r="O253" s="60"/>
    </row>
    <row r="254" spans="2:15" ht="9.75" customHeight="1" thickBot="1">
      <c r="B254" s="227"/>
      <c r="C254" s="227"/>
      <c r="D254" s="227"/>
      <c r="E254" s="9"/>
      <c r="F254" s="9"/>
      <c r="G254" s="228"/>
      <c r="H254" s="228"/>
      <c r="I254" s="228"/>
      <c r="J254" s="229"/>
      <c r="K254" s="230"/>
      <c r="L254" s="230"/>
      <c r="M254" s="230"/>
      <c r="N254" s="230"/>
      <c r="O254" s="60"/>
    </row>
    <row r="255" spans="2:15" ht="20" customHeight="1" thickBot="1">
      <c r="B255" s="257" t="s">
        <v>581</v>
      </c>
      <c r="C255" s="258"/>
      <c r="D255" s="258"/>
      <c r="E255" s="258"/>
      <c r="F255" s="258"/>
      <c r="G255" s="258"/>
      <c r="H255" s="258"/>
      <c r="I255" s="258"/>
      <c r="J255" s="258"/>
      <c r="K255" s="258"/>
      <c r="L255" s="258"/>
      <c r="M255" s="258"/>
      <c r="N255" s="259"/>
      <c r="O255" s="60"/>
    </row>
    <row r="256" spans="2:15" ht="20" customHeight="1" thickBot="1">
      <c r="B256" s="254" t="s">
        <v>580</v>
      </c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6"/>
      <c r="N256" s="231">
        <f>L253</f>
        <v>272728.78999999998</v>
      </c>
      <c r="O256" s="60"/>
    </row>
    <row r="257" spans="2:15" ht="20" customHeight="1" thickBot="1">
      <c r="B257" s="254" t="s">
        <v>582</v>
      </c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6"/>
      <c r="N257" s="231">
        <f>M253</f>
        <v>96374.890000000014</v>
      </c>
      <c r="O257" s="60"/>
    </row>
    <row r="258" spans="2:15" ht="20" customHeight="1" thickBot="1">
      <c r="B258" s="254" t="s">
        <v>583</v>
      </c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6"/>
      <c r="N258" s="231">
        <f>N253</f>
        <v>369103.67999999993</v>
      </c>
      <c r="O258" s="60"/>
    </row>
    <row r="259" spans="2:15" ht="20" customHeight="1">
      <c r="E259" s="2"/>
      <c r="G259" s="16"/>
      <c r="H259" s="16"/>
      <c r="I259" s="16"/>
      <c r="J259" s="15"/>
      <c r="K259" s="15"/>
      <c r="L259" s="5"/>
      <c r="M259" s="5"/>
      <c r="N259" s="5">
        <v>369103.67999999993</v>
      </c>
    </row>
    <row r="260" spans="2:15" ht="20" customHeight="1" thickBot="1"/>
    <row r="261" spans="2:15">
      <c r="D261" s="245"/>
      <c r="E261" s="246"/>
      <c r="F261" s="246"/>
      <c r="G261" s="246"/>
      <c r="H261" s="246"/>
      <c r="I261" s="246"/>
      <c r="J261" s="246"/>
      <c r="K261" s="246"/>
      <c r="L261" s="247"/>
      <c r="M261" s="155"/>
    </row>
    <row r="262" spans="2:15">
      <c r="D262" s="248"/>
      <c r="E262" s="249"/>
      <c r="F262" s="249"/>
      <c r="G262" s="249"/>
      <c r="H262" s="249"/>
      <c r="I262" s="249"/>
      <c r="J262" s="249"/>
      <c r="K262" s="249"/>
      <c r="L262" s="250"/>
    </row>
    <row r="263" spans="2:15">
      <c r="D263" s="248"/>
      <c r="E263" s="249"/>
      <c r="F263" s="249"/>
      <c r="G263" s="249"/>
      <c r="H263" s="249"/>
      <c r="I263" s="249"/>
      <c r="J263" s="249"/>
      <c r="K263" s="249"/>
      <c r="L263" s="250"/>
    </row>
    <row r="264" spans="2:15">
      <c r="D264" s="248"/>
      <c r="E264" s="249"/>
      <c r="F264" s="249"/>
      <c r="G264" s="249"/>
      <c r="H264" s="249"/>
      <c r="I264" s="249"/>
      <c r="J264" s="249"/>
      <c r="K264" s="249"/>
      <c r="L264" s="250"/>
    </row>
    <row r="265" spans="2:15">
      <c r="D265" s="248"/>
      <c r="E265" s="249"/>
      <c r="F265" s="249"/>
      <c r="G265" s="249"/>
      <c r="H265" s="249"/>
      <c r="I265" s="249"/>
      <c r="J265" s="249"/>
      <c r="K265" s="249"/>
      <c r="L265" s="250"/>
    </row>
    <row r="266" spans="2:15">
      <c r="D266" s="248"/>
      <c r="E266" s="249"/>
      <c r="F266" s="249"/>
      <c r="G266" s="249"/>
      <c r="H266" s="249"/>
      <c r="I266" s="249"/>
      <c r="J266" s="249"/>
      <c r="K266" s="249"/>
      <c r="L266" s="250"/>
    </row>
    <row r="267" spans="2:15">
      <c r="D267" s="248"/>
      <c r="E267" s="249"/>
      <c r="F267" s="249"/>
      <c r="G267" s="249"/>
      <c r="H267" s="249"/>
      <c r="I267" s="249"/>
      <c r="J267" s="249"/>
      <c r="K267" s="249"/>
      <c r="L267" s="250"/>
    </row>
    <row r="268" spans="2:15">
      <c r="D268" s="248"/>
      <c r="E268" s="249"/>
      <c r="F268" s="249"/>
      <c r="G268" s="249"/>
      <c r="H268" s="249"/>
      <c r="I268" s="249"/>
      <c r="J268" s="249"/>
      <c r="K268" s="249"/>
      <c r="L268" s="250"/>
    </row>
    <row r="269" spans="2:15">
      <c r="D269" s="248"/>
      <c r="E269" s="249"/>
      <c r="F269" s="249"/>
      <c r="G269" s="249"/>
      <c r="H269" s="249"/>
      <c r="I269" s="249"/>
      <c r="J269" s="249"/>
      <c r="K269" s="249"/>
      <c r="L269" s="250"/>
    </row>
    <row r="270" spans="2:15" ht="13" thickBot="1">
      <c r="D270" s="251"/>
      <c r="E270" s="252"/>
      <c r="F270" s="252"/>
      <c r="G270" s="252"/>
      <c r="H270" s="252"/>
      <c r="I270" s="252"/>
      <c r="J270" s="252"/>
      <c r="K270" s="252"/>
      <c r="L270" s="253"/>
    </row>
  </sheetData>
  <autoFilter ref="B1:L260" xr:uid="{F69119B2-E192-477E-94E4-C64EF6BF40C5}">
    <filterColumn colId="0" showButton="0"/>
    <filterColumn colId="1" showButton="0"/>
  </autoFilter>
  <dataConsolidate/>
  <mergeCells count="51">
    <mergeCell ref="B1:D4"/>
    <mergeCell ref="G8:I8"/>
    <mergeCell ref="L8:N8"/>
    <mergeCell ref="J8:J9"/>
    <mergeCell ref="K8:K9"/>
    <mergeCell ref="F8:F9"/>
    <mergeCell ref="E8:E9"/>
    <mergeCell ref="D8:D9"/>
    <mergeCell ref="C8:C9"/>
    <mergeCell ref="B8:B9"/>
    <mergeCell ref="L6:N7"/>
    <mergeCell ref="B5:N5"/>
    <mergeCell ref="B6:K7"/>
    <mergeCell ref="M2:N2"/>
    <mergeCell ref="M3:N3"/>
    <mergeCell ref="M4:N4"/>
    <mergeCell ref="B53:G53"/>
    <mergeCell ref="B31:G31"/>
    <mergeCell ref="B38:G38"/>
    <mergeCell ref="B42:G42"/>
    <mergeCell ref="B19:G19"/>
    <mergeCell ref="B49:G49"/>
    <mergeCell ref="B209:G209"/>
    <mergeCell ref="B143:G143"/>
    <mergeCell ref="B161:G161"/>
    <mergeCell ref="B169:G169"/>
    <mergeCell ref="B166:G166"/>
    <mergeCell ref="B173:G173"/>
    <mergeCell ref="B177:G177"/>
    <mergeCell ref="B185:G185"/>
    <mergeCell ref="B201:G201"/>
    <mergeCell ref="B95:G95"/>
    <mergeCell ref="B101:G101"/>
    <mergeCell ref="B106:G106"/>
    <mergeCell ref="B130:G130"/>
    <mergeCell ref="B136:G136"/>
    <mergeCell ref="B60:G60"/>
    <mergeCell ref="B64:G64"/>
    <mergeCell ref="B71:G71"/>
    <mergeCell ref="B75:G75"/>
    <mergeCell ref="B84:G84"/>
    <mergeCell ref="B214:G214"/>
    <mergeCell ref="B218:G218"/>
    <mergeCell ref="B227:G227"/>
    <mergeCell ref="B243:G243"/>
    <mergeCell ref="B251:G251"/>
    <mergeCell ref="D261:L270"/>
    <mergeCell ref="B256:M256"/>
    <mergeCell ref="B257:M257"/>
    <mergeCell ref="B258:M258"/>
    <mergeCell ref="B255:N255"/>
  </mergeCells>
  <phoneticPr fontId="36" type="noConversion"/>
  <conditionalFormatting sqref="B19">
    <cfRule type="cellIs" dxfId="63" priority="63" stopIfTrue="1" operator="equal">
      <formula>0</formula>
    </cfRule>
  </conditionalFormatting>
  <conditionalFormatting sqref="B31">
    <cfRule type="cellIs" dxfId="62" priority="73" stopIfTrue="1" operator="equal">
      <formula>0</formula>
    </cfRule>
  </conditionalFormatting>
  <conditionalFormatting sqref="B38">
    <cfRule type="cellIs" dxfId="61" priority="71" stopIfTrue="1" operator="equal">
      <formula>0</formula>
    </cfRule>
  </conditionalFormatting>
  <conditionalFormatting sqref="B42">
    <cfRule type="cellIs" dxfId="60" priority="69" stopIfTrue="1" operator="equal">
      <formula>0</formula>
    </cfRule>
  </conditionalFormatting>
  <conditionalFormatting sqref="B49">
    <cfRule type="cellIs" dxfId="59" priority="67" stopIfTrue="1" operator="equal">
      <formula>0</formula>
    </cfRule>
  </conditionalFormatting>
  <conditionalFormatting sqref="B53:B60">
    <cfRule type="cellIs" dxfId="58" priority="61" stopIfTrue="1" operator="equal">
      <formula>0</formula>
    </cfRule>
  </conditionalFormatting>
  <conditionalFormatting sqref="B62:B64">
    <cfRule type="cellIs" dxfId="57" priority="59" stopIfTrue="1" operator="equal">
      <formula>0</formula>
    </cfRule>
  </conditionalFormatting>
  <conditionalFormatting sqref="B66:B71">
    <cfRule type="cellIs" dxfId="56" priority="57" stopIfTrue="1" operator="equal">
      <formula>0</formula>
    </cfRule>
  </conditionalFormatting>
  <conditionalFormatting sqref="B73:B75">
    <cfRule type="cellIs" dxfId="55" priority="55" stopIfTrue="1" operator="equal">
      <formula>0</formula>
    </cfRule>
  </conditionalFormatting>
  <conditionalFormatting sqref="B77:B84">
    <cfRule type="cellIs" dxfId="54" priority="53" stopIfTrue="1" operator="equal">
      <formula>0</formula>
    </cfRule>
  </conditionalFormatting>
  <conditionalFormatting sqref="B86:B95">
    <cfRule type="cellIs" dxfId="53" priority="51" stopIfTrue="1" operator="equal">
      <formula>0</formula>
    </cfRule>
  </conditionalFormatting>
  <conditionalFormatting sqref="B97:B101">
    <cfRule type="cellIs" dxfId="52" priority="49" stopIfTrue="1" operator="equal">
      <formula>0</formula>
    </cfRule>
  </conditionalFormatting>
  <conditionalFormatting sqref="B103:B106">
    <cfRule type="cellIs" dxfId="51" priority="47" stopIfTrue="1" operator="equal">
      <formula>0</formula>
    </cfRule>
  </conditionalFormatting>
  <conditionalFormatting sqref="B108:B130">
    <cfRule type="cellIs" dxfId="50" priority="45" stopIfTrue="1" operator="equal">
      <formula>0</formula>
    </cfRule>
  </conditionalFormatting>
  <conditionalFormatting sqref="B132:B136">
    <cfRule type="cellIs" dxfId="49" priority="43" stopIfTrue="1" operator="equal">
      <formula>0</formula>
    </cfRule>
  </conditionalFormatting>
  <conditionalFormatting sqref="B138:B143">
    <cfRule type="cellIs" dxfId="48" priority="41" stopIfTrue="1" operator="equal">
      <formula>0</formula>
    </cfRule>
  </conditionalFormatting>
  <conditionalFormatting sqref="B145:B161">
    <cfRule type="cellIs" dxfId="47" priority="39" stopIfTrue="1" operator="equal">
      <formula>0</formula>
    </cfRule>
  </conditionalFormatting>
  <conditionalFormatting sqref="B163:B166">
    <cfRule type="cellIs" dxfId="46" priority="32" stopIfTrue="1" operator="equal">
      <formula>0</formula>
    </cfRule>
  </conditionalFormatting>
  <conditionalFormatting sqref="B168:B169 B188:B192">
    <cfRule type="cellIs" dxfId="45" priority="37" stopIfTrue="1" operator="equal">
      <formula>0</formula>
    </cfRule>
  </conditionalFormatting>
  <conditionalFormatting sqref="B172:B173">
    <cfRule type="cellIs" dxfId="44" priority="25" stopIfTrue="1" operator="equal">
      <formula>0</formula>
    </cfRule>
  </conditionalFormatting>
  <conditionalFormatting sqref="B175:B177">
    <cfRule type="cellIs" dxfId="43" priority="23" stopIfTrue="1" operator="equal">
      <formula>0</formula>
    </cfRule>
  </conditionalFormatting>
  <conditionalFormatting sqref="B179:B185">
    <cfRule type="cellIs" dxfId="42" priority="21" stopIfTrue="1" operator="equal">
      <formula>0</formula>
    </cfRule>
  </conditionalFormatting>
  <conditionalFormatting sqref="B194:B201">
    <cfRule type="cellIs" dxfId="41" priority="19" stopIfTrue="1" operator="equal">
      <formula>0</formula>
    </cfRule>
  </conditionalFormatting>
  <conditionalFormatting sqref="B203:B210">
    <cfRule type="cellIs" dxfId="40" priority="17" stopIfTrue="1" operator="equal">
      <formula>0</formula>
    </cfRule>
  </conditionalFormatting>
  <conditionalFormatting sqref="B213:B214">
    <cfRule type="cellIs" dxfId="39" priority="10" stopIfTrue="1" operator="equal">
      <formula>0</formula>
    </cfRule>
  </conditionalFormatting>
  <conditionalFormatting sqref="B216:B218">
    <cfRule type="cellIs" dxfId="38" priority="8" stopIfTrue="1" operator="equal">
      <formula>0</formula>
    </cfRule>
  </conditionalFormatting>
  <conditionalFormatting sqref="B220:B227">
    <cfRule type="cellIs" dxfId="37" priority="6" stopIfTrue="1" operator="equal">
      <formula>0</formula>
    </cfRule>
  </conditionalFormatting>
  <conditionalFormatting sqref="B230:B234">
    <cfRule type="cellIs" dxfId="36" priority="12" stopIfTrue="1" operator="equal">
      <formula>0</formula>
    </cfRule>
  </conditionalFormatting>
  <conditionalFormatting sqref="B236:B243">
    <cfRule type="cellIs" dxfId="35" priority="4" stopIfTrue="1" operator="equal">
      <formula>0</formula>
    </cfRule>
  </conditionalFormatting>
  <conditionalFormatting sqref="B245:B252">
    <cfRule type="cellIs" dxfId="34" priority="2" stopIfTrue="1" operator="equal">
      <formula>0</formula>
    </cfRule>
  </conditionalFormatting>
  <conditionalFormatting sqref="J30">
    <cfRule type="cellIs" dxfId="33" priority="14" stopIfTrue="1" operator="equal">
      <formula>0</formula>
    </cfRule>
  </conditionalFormatting>
  <conditionalFormatting sqref="J145:J160">
    <cfRule type="cellIs" dxfId="32" priority="29" stopIfTrue="1" operator="equal">
      <formula>0</formula>
    </cfRule>
  </conditionalFormatting>
  <conditionalFormatting sqref="J163:J165">
    <cfRule type="cellIs" dxfId="31" priority="36" stopIfTrue="1" operator="equal">
      <formula>0</formula>
    </cfRule>
  </conditionalFormatting>
  <conditionalFormatting sqref="J213 J216:J217 J220:J226 J230:J234 J236:J242 J245:J250">
    <cfRule type="cellIs" dxfId="30" priority="13" stopIfTrue="1" operator="equal">
      <formula>0</formula>
    </cfRule>
  </conditionalFormatting>
  <conditionalFormatting sqref="J19:K19">
    <cfRule type="cellIs" dxfId="29" priority="64" stopIfTrue="1" operator="equal">
      <formula>0</formula>
    </cfRule>
  </conditionalFormatting>
  <conditionalFormatting sqref="J31:K31 J66:J70">
    <cfRule type="cellIs" dxfId="28" priority="74" stopIfTrue="1" operator="equal">
      <formula>0</formula>
    </cfRule>
  </conditionalFormatting>
  <conditionalFormatting sqref="J38:K38">
    <cfRule type="cellIs" dxfId="27" priority="72" stopIfTrue="1" operator="equal">
      <formula>0</formula>
    </cfRule>
  </conditionalFormatting>
  <conditionalFormatting sqref="J42:K42">
    <cfRule type="cellIs" dxfId="26" priority="70" stopIfTrue="1" operator="equal">
      <formula>0</formula>
    </cfRule>
  </conditionalFormatting>
  <conditionalFormatting sqref="J49:K49">
    <cfRule type="cellIs" dxfId="25" priority="68" stopIfTrue="1" operator="equal">
      <formula>0</formula>
    </cfRule>
  </conditionalFormatting>
  <conditionalFormatting sqref="J53:K53 J56:J59 J62:J63 J73:J74 J77:J83 J86:J94 J97:J100 J103:J105 J108:J129 J132:J135 J138:J142 J168">
    <cfRule type="cellIs" dxfId="24" priority="66" stopIfTrue="1" operator="equal">
      <formula>0</formula>
    </cfRule>
  </conditionalFormatting>
  <conditionalFormatting sqref="J60:K60">
    <cfRule type="cellIs" dxfId="23" priority="62" stopIfTrue="1" operator="equal">
      <formula>0</formula>
    </cfRule>
  </conditionalFormatting>
  <conditionalFormatting sqref="J64:K64">
    <cfRule type="cellIs" dxfId="22" priority="60" stopIfTrue="1" operator="equal">
      <formula>0</formula>
    </cfRule>
  </conditionalFormatting>
  <conditionalFormatting sqref="J71:K71">
    <cfRule type="cellIs" dxfId="21" priority="58" stopIfTrue="1" operator="equal">
      <formula>0</formula>
    </cfRule>
  </conditionalFormatting>
  <conditionalFormatting sqref="J75:K75">
    <cfRule type="cellIs" dxfId="20" priority="56" stopIfTrue="1" operator="equal">
      <formula>0</formula>
    </cfRule>
  </conditionalFormatting>
  <conditionalFormatting sqref="J84:K84">
    <cfRule type="cellIs" dxfId="19" priority="54" stopIfTrue="1" operator="equal">
      <formula>0</formula>
    </cfRule>
  </conditionalFormatting>
  <conditionalFormatting sqref="J95:K95">
    <cfRule type="cellIs" dxfId="18" priority="52" stopIfTrue="1" operator="equal">
      <formula>0</formula>
    </cfRule>
  </conditionalFormatting>
  <conditionalFormatting sqref="J101:K101">
    <cfRule type="cellIs" dxfId="17" priority="50" stopIfTrue="1" operator="equal">
      <formula>0</formula>
    </cfRule>
  </conditionalFormatting>
  <conditionalFormatting sqref="J106:K106">
    <cfRule type="cellIs" dxfId="16" priority="48" stopIfTrue="1" operator="equal">
      <formula>0</formula>
    </cfRule>
  </conditionalFormatting>
  <conditionalFormatting sqref="J130:K130">
    <cfRule type="cellIs" dxfId="15" priority="46" stopIfTrue="1" operator="equal">
      <formula>0</formula>
    </cfRule>
  </conditionalFormatting>
  <conditionalFormatting sqref="J136:K136">
    <cfRule type="cellIs" dxfId="14" priority="44" stopIfTrue="1" operator="equal">
      <formula>0</formula>
    </cfRule>
  </conditionalFormatting>
  <conditionalFormatting sqref="J143:K143">
    <cfRule type="cellIs" dxfId="13" priority="42" stopIfTrue="1" operator="equal">
      <formula>0</formula>
    </cfRule>
  </conditionalFormatting>
  <conditionalFormatting sqref="J161:K161">
    <cfRule type="cellIs" dxfId="12" priority="40" stopIfTrue="1" operator="equal">
      <formula>0</formula>
    </cfRule>
  </conditionalFormatting>
  <conditionalFormatting sqref="J166:K166">
    <cfRule type="cellIs" dxfId="11" priority="34" stopIfTrue="1" operator="equal">
      <formula>0</formula>
    </cfRule>
  </conditionalFormatting>
  <conditionalFormatting sqref="J169:K169 J172 J175:J176 J179:J184 J188:J192 J194:J200 J203:J208">
    <cfRule type="cellIs" dxfId="10" priority="38" stopIfTrue="1" operator="equal">
      <formula>0</formula>
    </cfRule>
  </conditionalFormatting>
  <conditionalFormatting sqref="J173:K173">
    <cfRule type="cellIs" dxfId="9" priority="26" stopIfTrue="1" operator="equal">
      <formula>0</formula>
    </cfRule>
  </conditionalFormatting>
  <conditionalFormatting sqref="J177:K177">
    <cfRule type="cellIs" dxfId="8" priority="24" stopIfTrue="1" operator="equal">
      <formula>0</formula>
    </cfRule>
  </conditionalFormatting>
  <conditionalFormatting sqref="J185:K185">
    <cfRule type="cellIs" dxfId="7" priority="22" stopIfTrue="1" operator="equal">
      <formula>0</formula>
    </cfRule>
  </conditionalFormatting>
  <conditionalFormatting sqref="J201:K201">
    <cfRule type="cellIs" dxfId="6" priority="20" stopIfTrue="1" operator="equal">
      <formula>0</formula>
    </cfRule>
  </conditionalFormatting>
  <conditionalFormatting sqref="J209:K210">
    <cfRule type="cellIs" dxfId="5" priority="18" stopIfTrue="1" operator="equal">
      <formula>0</formula>
    </cfRule>
  </conditionalFormatting>
  <conditionalFormatting sqref="J214:K214">
    <cfRule type="cellIs" dxfId="4" priority="11" stopIfTrue="1" operator="equal">
      <formula>0</formula>
    </cfRule>
  </conditionalFormatting>
  <conditionalFormatting sqref="J218:K218">
    <cfRule type="cellIs" dxfId="3" priority="9" stopIfTrue="1" operator="equal">
      <formula>0</formula>
    </cfRule>
  </conditionalFormatting>
  <conditionalFormatting sqref="J227:K227">
    <cfRule type="cellIs" dxfId="2" priority="7" stopIfTrue="1" operator="equal">
      <formula>0</formula>
    </cfRule>
  </conditionalFormatting>
  <conditionalFormatting sqref="J243:K243">
    <cfRule type="cellIs" dxfId="1" priority="5" stopIfTrue="1" operator="equal">
      <formula>0</formula>
    </cfRule>
  </conditionalFormatting>
  <conditionalFormatting sqref="J251:K252">
    <cfRule type="cellIs" dxfId="0" priority="3" stopIfTrue="1" operator="equal">
      <formula>0</formula>
    </cfRule>
  </conditionalFormatting>
  <printOptions horizontalCentered="1"/>
  <pageMargins left="0.78740157480314965" right="0.59055118110236227" top="0.59055118110236227" bottom="0.59055118110236227" header="0.27559055118110237" footer="0.27559055118110237"/>
  <pageSetup paperSize="9" scale="54" fitToHeight="0" orientation="landscape" horizontalDpi="360" verticalDpi="360" r:id="rId1"/>
  <headerFooter alignWithMargins="0"/>
  <rowBreaks count="8" manualBreakCount="8">
    <brk id="42" min="1" max="13" man="1"/>
    <brk id="85" min="1" max="13" man="1"/>
    <brk id="106" min="1" max="13" man="1"/>
    <brk id="136" min="1" max="13" man="1"/>
    <brk id="169" min="1" max="13" man="1"/>
    <brk id="201" min="1" max="13" man="1"/>
    <brk id="243" min="1" max="13" man="1"/>
    <brk id="270" min="1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DE14-49E2-41C9-A674-342E0088F9A6}">
  <dimension ref="A1:H125"/>
  <sheetViews>
    <sheetView tabSelected="1" view="pageBreakPreview" topLeftCell="A101" zoomScale="58" zoomScaleNormal="80" zoomScaleSheetLayoutView="58" workbookViewId="0">
      <selection activeCell="M118" sqref="M118"/>
    </sheetView>
  </sheetViews>
  <sheetFormatPr defaultRowHeight="12.5"/>
  <cols>
    <col min="1" max="1" width="8.7265625" style="331"/>
    <col min="2" max="2" width="80.54296875" style="331" customWidth="1"/>
    <col min="3" max="3" width="16.7265625" style="331" customWidth="1"/>
    <col min="4" max="4" width="6.7265625" style="331" customWidth="1"/>
    <col min="5" max="7" width="16.7265625" style="331" customWidth="1"/>
    <col min="8" max="8" width="10.6328125" style="331" hidden="1" customWidth="1"/>
    <col min="9" max="16384" width="8.7265625" style="331"/>
  </cols>
  <sheetData>
    <row r="1" spans="1:8" ht="13" thickBot="1">
      <c r="A1" s="328"/>
      <c r="B1" s="328"/>
      <c r="C1" s="329"/>
      <c r="D1" s="329"/>
      <c r="E1" s="330"/>
      <c r="F1" s="328"/>
      <c r="G1" s="328"/>
    </row>
    <row r="2" spans="1:8" ht="13">
      <c r="A2" s="332" t="str">
        <f>[1]ORÇAMENTO!E1</f>
        <v>PREFEITURA MUNICIPAL DE COREMAS</v>
      </c>
      <c r="B2" s="333"/>
      <c r="C2" s="334"/>
      <c r="D2" s="334"/>
      <c r="E2" s="335"/>
      <c r="F2" s="336"/>
      <c r="G2" s="337"/>
    </row>
    <row r="3" spans="1:8" ht="13">
      <c r="A3" s="338" t="str">
        <f>[1]ORÇAMENTO!E2</f>
        <v>OBRA: REFORMA DA ESCOLA DO LOGRADOURO</v>
      </c>
      <c r="B3" s="339"/>
      <c r="C3" s="329"/>
      <c r="D3" s="329"/>
      <c r="E3" s="340"/>
      <c r="F3" s="341"/>
      <c r="G3" s="342"/>
    </row>
    <row r="4" spans="1:8" ht="13">
      <c r="A4" s="338" t="str">
        <f>[1]ORÇAMENTO!E3</f>
        <v>MUNICÍPIO: COREMAS-PB</v>
      </c>
      <c r="B4" s="339"/>
      <c r="C4" s="329"/>
      <c r="D4" s="329"/>
      <c r="E4" s="340"/>
      <c r="F4" s="341"/>
      <c r="G4" s="342"/>
    </row>
    <row r="5" spans="1:8" ht="13.5" thickBot="1">
      <c r="A5" s="343" t="str">
        <f>[1]ORÇAMENTO!E4</f>
        <v>ENDEREÇO: ZONA URBANA</v>
      </c>
      <c r="B5" s="344"/>
      <c r="C5" s="345"/>
      <c r="D5" s="345"/>
      <c r="E5" s="346"/>
      <c r="F5" s="347"/>
      <c r="G5" s="348"/>
    </row>
    <row r="6" spans="1:8" ht="13.5" thickBot="1">
      <c r="A6" s="338"/>
      <c r="B6" s="339"/>
      <c r="C6" s="329"/>
      <c r="D6" s="329"/>
      <c r="E6" s="340"/>
      <c r="F6" s="328"/>
      <c r="G6" s="342"/>
    </row>
    <row r="7" spans="1:8" ht="13.5" thickBot="1">
      <c r="A7" s="349" t="s">
        <v>586</v>
      </c>
      <c r="B7" s="350"/>
      <c r="C7" s="350"/>
      <c r="D7" s="350"/>
      <c r="E7" s="350"/>
      <c r="F7" s="350"/>
      <c r="G7" s="351"/>
    </row>
    <row r="8" spans="1:8" ht="13" thickBot="1">
      <c r="A8" s="352"/>
      <c r="B8" s="353"/>
      <c r="C8" s="353"/>
      <c r="D8" s="353"/>
      <c r="E8" s="353"/>
      <c r="F8" s="353"/>
      <c r="G8" s="354"/>
    </row>
    <row r="9" spans="1:8" ht="16.5" customHeight="1" thickBot="1">
      <c r="A9" s="355" t="s">
        <v>0</v>
      </c>
      <c r="B9" s="356" t="s">
        <v>27</v>
      </c>
      <c r="C9" s="357" t="s">
        <v>587</v>
      </c>
      <c r="D9" s="358"/>
      <c r="E9" s="356" t="s">
        <v>588</v>
      </c>
      <c r="F9" s="356" t="s">
        <v>589</v>
      </c>
      <c r="G9" s="357" t="s">
        <v>590</v>
      </c>
      <c r="H9" s="93">
        <v>2786.3799999999997</v>
      </c>
    </row>
    <row r="10" spans="1:8" ht="13">
      <c r="A10" s="359"/>
      <c r="B10" s="360"/>
      <c r="C10" s="361"/>
      <c r="D10" s="362"/>
      <c r="E10" s="363"/>
      <c r="F10" s="363"/>
      <c r="G10" s="364"/>
      <c r="H10" s="74">
        <v>61788.29</v>
      </c>
    </row>
    <row r="11" spans="1:8" ht="13">
      <c r="A11" s="365"/>
      <c r="B11" s="366" t="s">
        <v>591</v>
      </c>
      <c r="C11" s="367"/>
      <c r="D11" s="368"/>
      <c r="E11" s="369"/>
      <c r="F11" s="369"/>
      <c r="G11" s="370"/>
      <c r="H11" s="93">
        <v>39341.9</v>
      </c>
    </row>
    <row r="12" spans="1:8" ht="13">
      <c r="A12" s="371">
        <v>1</v>
      </c>
      <c r="B12" s="372" t="s">
        <v>73</v>
      </c>
      <c r="C12" s="373">
        <f>H9</f>
        <v>2786.3799999999997</v>
      </c>
      <c r="D12" s="374" t="s">
        <v>592</v>
      </c>
      <c r="E12" s="375">
        <v>1</v>
      </c>
      <c r="F12" s="376"/>
      <c r="G12" s="377"/>
      <c r="H12" s="93">
        <v>1089.56</v>
      </c>
    </row>
    <row r="13" spans="1:8" ht="13">
      <c r="A13" s="378"/>
      <c r="B13" s="379"/>
      <c r="C13" s="380"/>
      <c r="D13" s="381" t="s">
        <v>593</v>
      </c>
      <c r="E13" s="382"/>
      <c r="F13" s="383"/>
      <c r="G13" s="384"/>
      <c r="H13" s="93">
        <v>2252.27</v>
      </c>
    </row>
    <row r="14" spans="1:8" ht="13">
      <c r="A14" s="385"/>
      <c r="B14" s="386"/>
      <c r="C14" s="387"/>
      <c r="D14" s="388" t="s">
        <v>594</v>
      </c>
      <c r="E14" s="389">
        <f>C12</f>
        <v>2786.3799999999997</v>
      </c>
      <c r="F14" s="390"/>
      <c r="G14" s="391"/>
      <c r="H14" s="37">
        <v>1933.39</v>
      </c>
    </row>
    <row r="15" spans="1:8" ht="13">
      <c r="A15" s="371">
        <v>2</v>
      </c>
      <c r="B15" s="392" t="s">
        <v>74</v>
      </c>
      <c r="C15" s="373">
        <f>H10</f>
        <v>61788.29</v>
      </c>
      <c r="D15" s="374" t="s">
        <v>592</v>
      </c>
      <c r="E15" s="375">
        <v>0.6</v>
      </c>
      <c r="F15" s="393">
        <v>0.4</v>
      </c>
      <c r="G15" s="377"/>
      <c r="H15" s="93">
        <v>5501.4</v>
      </c>
    </row>
    <row r="16" spans="1:8" ht="13">
      <c r="A16" s="378"/>
      <c r="B16" s="394"/>
      <c r="C16" s="380"/>
      <c r="D16" s="381" t="s">
        <v>593</v>
      </c>
      <c r="E16" s="382"/>
      <c r="F16" s="382"/>
      <c r="G16" s="384"/>
      <c r="H16" s="93">
        <v>3003.28</v>
      </c>
    </row>
    <row r="17" spans="1:8" ht="13">
      <c r="A17" s="385"/>
      <c r="B17" s="395"/>
      <c r="C17" s="387"/>
      <c r="D17" s="388" t="s">
        <v>594</v>
      </c>
      <c r="E17" s="389">
        <f>C15*E15</f>
        <v>37072.974000000002</v>
      </c>
      <c r="F17" s="396">
        <f>C15-E17</f>
        <v>24715.315999999999</v>
      </c>
      <c r="G17" s="391"/>
      <c r="H17" s="93">
        <v>13631.59</v>
      </c>
    </row>
    <row r="18" spans="1:8" ht="13">
      <c r="A18" s="371">
        <v>3</v>
      </c>
      <c r="B18" s="392" t="s">
        <v>82</v>
      </c>
      <c r="C18" s="373">
        <f>H11</f>
        <v>39341.9</v>
      </c>
      <c r="D18" s="374" t="s">
        <v>592</v>
      </c>
      <c r="E18" s="397">
        <v>0.6</v>
      </c>
      <c r="F18" s="398">
        <v>0.4</v>
      </c>
      <c r="G18" s="399"/>
      <c r="H18" s="93">
        <v>17399.3</v>
      </c>
    </row>
    <row r="19" spans="1:8" ht="13">
      <c r="A19" s="378"/>
      <c r="B19" s="394"/>
      <c r="C19" s="380"/>
      <c r="D19" s="381" t="s">
        <v>593</v>
      </c>
      <c r="E19" s="382"/>
      <c r="F19" s="382"/>
      <c r="G19" s="400"/>
      <c r="H19" s="93">
        <v>18684.600000000002</v>
      </c>
    </row>
    <row r="20" spans="1:8" ht="13">
      <c r="A20" s="385"/>
      <c r="B20" s="395"/>
      <c r="C20" s="387"/>
      <c r="D20" s="388" t="s">
        <v>594</v>
      </c>
      <c r="E20" s="389">
        <f>C18*E18</f>
        <v>23605.14</v>
      </c>
      <c r="F20" s="396">
        <f>C18-E20</f>
        <v>15736.760000000002</v>
      </c>
      <c r="G20" s="401"/>
      <c r="H20" s="74">
        <v>9699.7099999999991</v>
      </c>
    </row>
    <row r="21" spans="1:8" ht="13">
      <c r="A21" s="371">
        <v>4</v>
      </c>
      <c r="B21" s="392" t="s">
        <v>3</v>
      </c>
      <c r="C21" s="373">
        <f>H12</f>
        <v>1089.56</v>
      </c>
      <c r="D21" s="374" t="s">
        <v>592</v>
      </c>
      <c r="E21" s="402"/>
      <c r="F21" s="375">
        <v>1</v>
      </c>
      <c r="G21" s="399"/>
      <c r="H21" s="93">
        <v>11258.43</v>
      </c>
    </row>
    <row r="22" spans="1:8" ht="13">
      <c r="A22" s="378"/>
      <c r="B22" s="394"/>
      <c r="C22" s="380"/>
      <c r="D22" s="381" t="s">
        <v>593</v>
      </c>
      <c r="E22" s="403"/>
      <c r="F22" s="382"/>
      <c r="G22" s="404"/>
      <c r="H22" s="93">
        <v>5310.86</v>
      </c>
    </row>
    <row r="23" spans="1:8" ht="13">
      <c r="A23" s="385"/>
      <c r="B23" s="395"/>
      <c r="C23" s="387"/>
      <c r="D23" s="388" t="s">
        <v>594</v>
      </c>
      <c r="E23" s="405"/>
      <c r="F23" s="406">
        <f>C21</f>
        <v>1089.56</v>
      </c>
      <c r="G23" s="407"/>
      <c r="H23" s="93">
        <v>1348.5899999999997</v>
      </c>
    </row>
    <row r="24" spans="1:8" ht="13">
      <c r="A24" s="371">
        <v>5</v>
      </c>
      <c r="B24" s="392" t="s">
        <v>83</v>
      </c>
      <c r="C24" s="373">
        <f>H13</f>
        <v>2252.27</v>
      </c>
      <c r="D24" s="374" t="s">
        <v>592</v>
      </c>
      <c r="E24" s="397"/>
      <c r="F24" s="398">
        <v>1</v>
      </c>
      <c r="G24" s="399"/>
      <c r="H24" s="93">
        <v>3448.64</v>
      </c>
    </row>
    <row r="25" spans="1:8" ht="13">
      <c r="A25" s="378"/>
      <c r="B25" s="394"/>
      <c r="C25" s="380"/>
      <c r="D25" s="381" t="s">
        <v>593</v>
      </c>
      <c r="E25" s="408"/>
      <c r="F25" s="382"/>
      <c r="G25" s="404"/>
      <c r="H25" s="93">
        <v>8319.3100000000013</v>
      </c>
    </row>
    <row r="26" spans="1:8" ht="13">
      <c r="A26" s="385"/>
      <c r="B26" s="395"/>
      <c r="C26" s="387"/>
      <c r="D26" s="388" t="s">
        <v>594</v>
      </c>
      <c r="E26" s="405"/>
      <c r="F26" s="409">
        <f>C24</f>
        <v>2252.27</v>
      </c>
      <c r="G26" s="401"/>
      <c r="H26" s="74">
        <v>75518.720000000001</v>
      </c>
    </row>
    <row r="27" spans="1:8" ht="13.5" customHeight="1">
      <c r="A27" s="371">
        <v>6</v>
      </c>
      <c r="B27" s="392" t="s">
        <v>35</v>
      </c>
      <c r="C27" s="373">
        <f>H14</f>
        <v>1933.39</v>
      </c>
      <c r="D27" s="374" t="s">
        <v>592</v>
      </c>
      <c r="E27" s="397"/>
      <c r="F27" s="398">
        <v>1</v>
      </c>
      <c r="G27" s="399"/>
      <c r="H27" s="74">
        <v>4310.7700000000004</v>
      </c>
    </row>
    <row r="28" spans="1:8" ht="13">
      <c r="A28" s="378"/>
      <c r="B28" s="394"/>
      <c r="C28" s="380"/>
      <c r="D28" s="381" t="s">
        <v>593</v>
      </c>
      <c r="E28" s="408"/>
      <c r="F28" s="382"/>
      <c r="G28" s="404"/>
      <c r="H28" s="37">
        <v>812.03</v>
      </c>
    </row>
    <row r="29" spans="1:8" ht="13">
      <c r="A29" s="385"/>
      <c r="B29" s="395"/>
      <c r="C29" s="387"/>
      <c r="D29" s="388" t="s">
        <v>594</v>
      </c>
      <c r="E29" s="405"/>
      <c r="F29" s="409">
        <f>C27</f>
        <v>1933.39</v>
      </c>
      <c r="G29" s="407"/>
      <c r="H29" s="93">
        <v>220.13</v>
      </c>
    </row>
    <row r="30" spans="1:8" ht="13">
      <c r="A30" s="410"/>
      <c r="B30" s="366" t="s">
        <v>595</v>
      </c>
      <c r="C30" s="411"/>
      <c r="D30" s="412"/>
      <c r="E30" s="413"/>
      <c r="F30" s="414"/>
      <c r="G30" s="415"/>
      <c r="H30" s="93">
        <v>2694.36</v>
      </c>
    </row>
    <row r="31" spans="1:8" ht="13">
      <c r="A31" s="371">
        <v>7</v>
      </c>
      <c r="B31" s="392" t="s">
        <v>50</v>
      </c>
      <c r="C31" s="373">
        <f>H15</f>
        <v>5501.4</v>
      </c>
      <c r="D31" s="374" t="s">
        <v>592</v>
      </c>
      <c r="E31" s="397">
        <v>1</v>
      </c>
      <c r="F31" s="398"/>
      <c r="G31" s="399"/>
      <c r="H31" s="93">
        <v>33913.07</v>
      </c>
    </row>
    <row r="32" spans="1:8" ht="13">
      <c r="A32" s="378"/>
      <c r="B32" s="394"/>
      <c r="C32" s="380"/>
      <c r="D32" s="381" t="s">
        <v>593</v>
      </c>
      <c r="E32" s="382"/>
      <c r="F32" s="403"/>
      <c r="G32" s="404"/>
      <c r="H32" s="93">
        <v>10328.58</v>
      </c>
    </row>
    <row r="33" spans="1:8" ht="13">
      <c r="A33" s="385"/>
      <c r="B33" s="395"/>
      <c r="C33" s="387"/>
      <c r="D33" s="388" t="s">
        <v>594</v>
      </c>
      <c r="E33" s="409">
        <f>C31</f>
        <v>5501.4</v>
      </c>
      <c r="F33" s="406"/>
      <c r="G33" s="416"/>
      <c r="H33" s="93">
        <v>18745.34</v>
      </c>
    </row>
    <row r="34" spans="1:8" ht="13">
      <c r="A34" s="371">
        <v>8</v>
      </c>
      <c r="B34" s="392" t="s">
        <v>159</v>
      </c>
      <c r="C34" s="373">
        <f>H16</f>
        <v>3003.28</v>
      </c>
      <c r="D34" s="374" t="s">
        <v>592</v>
      </c>
      <c r="E34" s="397">
        <v>1</v>
      </c>
      <c r="F34" s="398"/>
      <c r="G34" s="399"/>
      <c r="H34" s="93">
        <v>53.52</v>
      </c>
    </row>
    <row r="35" spans="1:8" ht="13">
      <c r="A35" s="378"/>
      <c r="B35" s="394"/>
      <c r="C35" s="380"/>
      <c r="D35" s="381" t="s">
        <v>593</v>
      </c>
      <c r="E35" s="382"/>
      <c r="F35" s="403"/>
      <c r="G35" s="404"/>
      <c r="H35" s="93">
        <v>355.36</v>
      </c>
    </row>
    <row r="36" spans="1:8" ht="13">
      <c r="A36" s="385"/>
      <c r="B36" s="395"/>
      <c r="C36" s="387"/>
      <c r="D36" s="388" t="s">
        <v>594</v>
      </c>
      <c r="E36" s="409">
        <f>C34</f>
        <v>3003.28</v>
      </c>
      <c r="F36" s="417"/>
      <c r="G36" s="401"/>
      <c r="H36" s="93">
        <v>3341.62</v>
      </c>
    </row>
    <row r="37" spans="1:8" ht="13">
      <c r="A37" s="371">
        <v>9</v>
      </c>
      <c r="B37" s="392" t="s">
        <v>156</v>
      </c>
      <c r="C37" s="373">
        <f>H17</f>
        <v>13631.59</v>
      </c>
      <c r="D37" s="374" t="s">
        <v>592</v>
      </c>
      <c r="E37" s="397">
        <v>0.8</v>
      </c>
      <c r="F37" s="398">
        <v>0.2</v>
      </c>
      <c r="G37" s="399"/>
      <c r="H37" s="93">
        <v>4402.09</v>
      </c>
    </row>
    <row r="38" spans="1:8" ht="13">
      <c r="A38" s="378"/>
      <c r="B38" s="394"/>
      <c r="C38" s="380"/>
      <c r="D38" s="381" t="s">
        <v>593</v>
      </c>
      <c r="E38" s="382"/>
      <c r="F38" s="382"/>
      <c r="G38" s="384"/>
      <c r="H38" s="93">
        <v>7610.59</v>
      </c>
    </row>
    <row r="39" spans="1:8">
      <c r="A39" s="385"/>
      <c r="B39" s="395"/>
      <c r="C39" s="387"/>
      <c r="D39" s="388" t="s">
        <v>594</v>
      </c>
      <c r="E39" s="418">
        <f>C37*E37</f>
        <v>10905.272000000001</v>
      </c>
      <c r="F39" s="418">
        <f>C37-E39</f>
        <v>2726.3179999999993</v>
      </c>
      <c r="G39" s="391"/>
    </row>
    <row r="40" spans="1:8">
      <c r="A40" s="371">
        <v>10</v>
      </c>
      <c r="B40" s="392" t="s">
        <v>149</v>
      </c>
      <c r="C40" s="373">
        <f>[1]ORÇAMENTO!J73</f>
        <v>17399.3</v>
      </c>
      <c r="D40" s="374" t="s">
        <v>592</v>
      </c>
      <c r="E40" s="397">
        <v>0.3</v>
      </c>
      <c r="F40" s="398">
        <v>0.7</v>
      </c>
      <c r="G40" s="399"/>
    </row>
    <row r="41" spans="1:8">
      <c r="A41" s="378"/>
      <c r="B41" s="394"/>
      <c r="C41" s="380"/>
      <c r="D41" s="381" t="s">
        <v>593</v>
      </c>
      <c r="E41" s="382"/>
      <c r="F41" s="382"/>
      <c r="G41" s="384"/>
    </row>
    <row r="42" spans="1:8">
      <c r="A42" s="385"/>
      <c r="B42" s="395"/>
      <c r="C42" s="387"/>
      <c r="D42" s="388" t="s">
        <v>594</v>
      </c>
      <c r="E42" s="418">
        <f>C40*E40</f>
        <v>5219.79</v>
      </c>
      <c r="F42" s="418">
        <f>C40-E42</f>
        <v>12179.509999999998</v>
      </c>
      <c r="G42" s="391"/>
    </row>
    <row r="43" spans="1:8">
      <c r="A43" s="371">
        <v>11</v>
      </c>
      <c r="B43" s="392" t="s">
        <v>82</v>
      </c>
      <c r="C43" s="373">
        <f>[1]ORÇAMENTO!J82</f>
        <v>18684.600000000002</v>
      </c>
      <c r="D43" s="374" t="s">
        <v>592</v>
      </c>
      <c r="E43" s="397"/>
      <c r="F43" s="398">
        <v>0.7</v>
      </c>
      <c r="G43" s="399">
        <v>0.3</v>
      </c>
    </row>
    <row r="44" spans="1:8">
      <c r="A44" s="378"/>
      <c r="B44" s="394"/>
      <c r="C44" s="380"/>
      <c r="D44" s="381" t="s">
        <v>593</v>
      </c>
      <c r="E44" s="408"/>
      <c r="F44" s="382"/>
      <c r="G44" s="419"/>
    </row>
    <row r="45" spans="1:8">
      <c r="A45" s="385"/>
      <c r="B45" s="395"/>
      <c r="C45" s="387"/>
      <c r="D45" s="388" t="s">
        <v>594</v>
      </c>
      <c r="E45" s="405"/>
      <c r="F45" s="418">
        <f>C43*F43</f>
        <v>13079.220000000001</v>
      </c>
      <c r="G45" s="420">
        <f>C43-F45</f>
        <v>5605.380000000001</v>
      </c>
    </row>
    <row r="46" spans="1:8">
      <c r="A46" s="371">
        <v>12</v>
      </c>
      <c r="B46" s="392" t="s">
        <v>3</v>
      </c>
      <c r="C46" s="373">
        <f>ADITIVO!N95</f>
        <v>9699.7099999999991</v>
      </c>
      <c r="D46" s="374" t="s">
        <v>592</v>
      </c>
      <c r="E46" s="397"/>
      <c r="F46" s="398"/>
      <c r="G46" s="399">
        <v>1</v>
      </c>
    </row>
    <row r="47" spans="1:8">
      <c r="A47" s="378"/>
      <c r="B47" s="394"/>
      <c r="C47" s="380"/>
      <c r="D47" s="381" t="s">
        <v>593</v>
      </c>
      <c r="E47" s="408"/>
      <c r="F47" s="408"/>
      <c r="G47" s="419"/>
    </row>
    <row r="48" spans="1:8">
      <c r="A48" s="385"/>
      <c r="B48" s="395"/>
      <c r="C48" s="387"/>
      <c r="D48" s="388" t="s">
        <v>594</v>
      </c>
      <c r="E48" s="405"/>
      <c r="F48" s="405"/>
      <c r="G48" s="421">
        <f>C46</f>
        <v>9699.7099999999991</v>
      </c>
    </row>
    <row r="49" spans="1:8">
      <c r="A49" s="371">
        <v>13</v>
      </c>
      <c r="B49" s="392" t="s">
        <v>141</v>
      </c>
      <c r="C49" s="373">
        <f>[1]ORÇAMENTO!J97</f>
        <v>11258.43</v>
      </c>
      <c r="D49" s="374" t="s">
        <v>592</v>
      </c>
      <c r="E49" s="397"/>
      <c r="F49" s="398">
        <v>0.6</v>
      </c>
      <c r="G49" s="399">
        <v>0.4</v>
      </c>
    </row>
    <row r="50" spans="1:8">
      <c r="A50" s="378"/>
      <c r="B50" s="394"/>
      <c r="C50" s="380"/>
      <c r="D50" s="381" t="s">
        <v>593</v>
      </c>
      <c r="E50" s="408"/>
      <c r="F50" s="382"/>
      <c r="G50" s="419"/>
    </row>
    <row r="51" spans="1:8" ht="13">
      <c r="A51" s="385"/>
      <c r="B51" s="395"/>
      <c r="C51" s="387"/>
      <c r="D51" s="388" t="s">
        <v>594</v>
      </c>
      <c r="E51" s="405"/>
      <c r="F51" s="418">
        <f>C49*F49</f>
        <v>6755.058</v>
      </c>
      <c r="G51" s="420">
        <f>C49-F51</f>
        <v>4503.3720000000003</v>
      </c>
      <c r="H51" s="74">
        <v>4310.7700000000004</v>
      </c>
    </row>
    <row r="52" spans="1:8" ht="13">
      <c r="A52" s="371">
        <v>14</v>
      </c>
      <c r="B52" s="392" t="s">
        <v>135</v>
      </c>
      <c r="C52" s="373">
        <f>[1]ORÇAMENTO!J102</f>
        <v>5310.86</v>
      </c>
      <c r="D52" s="374" t="s">
        <v>592</v>
      </c>
      <c r="E52" s="397"/>
      <c r="F52" s="398">
        <v>0.4</v>
      </c>
      <c r="G52" s="399">
        <v>0.6</v>
      </c>
      <c r="H52" s="37">
        <v>812.03</v>
      </c>
    </row>
    <row r="53" spans="1:8" ht="13">
      <c r="A53" s="378"/>
      <c r="B53" s="394"/>
      <c r="C53" s="380"/>
      <c r="D53" s="381" t="s">
        <v>593</v>
      </c>
      <c r="E53" s="408"/>
      <c r="F53" s="382"/>
      <c r="G53" s="419"/>
      <c r="H53" s="93">
        <v>220.13</v>
      </c>
    </row>
    <row r="54" spans="1:8" ht="13">
      <c r="A54" s="385"/>
      <c r="B54" s="395"/>
      <c r="C54" s="387"/>
      <c r="D54" s="388" t="s">
        <v>594</v>
      </c>
      <c r="E54" s="405"/>
      <c r="F54" s="418">
        <f>C52*F52</f>
        <v>2124.3440000000001</v>
      </c>
      <c r="G54" s="420">
        <f>C52-F54</f>
        <v>3186.5159999999996</v>
      </c>
      <c r="H54" s="93">
        <v>2694.36</v>
      </c>
    </row>
    <row r="55" spans="1:8" ht="13">
      <c r="A55" s="371">
        <v>15</v>
      </c>
      <c r="B55" s="392" t="s">
        <v>132</v>
      </c>
      <c r="C55" s="373">
        <f>[1]ORÇAMENTO!J126</f>
        <v>1348.5899999999997</v>
      </c>
      <c r="D55" s="374" t="s">
        <v>592</v>
      </c>
      <c r="E55" s="397"/>
      <c r="F55" s="398"/>
      <c r="G55" s="399">
        <v>1</v>
      </c>
      <c r="H55" s="93">
        <v>33913.07</v>
      </c>
    </row>
    <row r="56" spans="1:8" ht="13">
      <c r="A56" s="378"/>
      <c r="B56" s="394"/>
      <c r="C56" s="380"/>
      <c r="D56" s="381" t="s">
        <v>593</v>
      </c>
      <c r="E56" s="408"/>
      <c r="F56" s="403"/>
      <c r="G56" s="419"/>
      <c r="H56" s="93">
        <v>10328.58</v>
      </c>
    </row>
    <row r="57" spans="1:8" ht="13">
      <c r="A57" s="385"/>
      <c r="B57" s="395"/>
      <c r="C57" s="387"/>
      <c r="D57" s="388" t="s">
        <v>594</v>
      </c>
      <c r="E57" s="405"/>
      <c r="F57" s="409"/>
      <c r="G57" s="401">
        <f>C55</f>
        <v>1348.5899999999997</v>
      </c>
      <c r="H57" s="93">
        <v>18745.34</v>
      </c>
    </row>
    <row r="58" spans="1:8" ht="13">
      <c r="A58" s="371">
        <v>16</v>
      </c>
      <c r="B58" s="392" t="s">
        <v>122</v>
      </c>
      <c r="C58" s="373">
        <f>[1]ORÇAMENTO!J132</f>
        <v>3448.64</v>
      </c>
      <c r="D58" s="374" t="s">
        <v>592</v>
      </c>
      <c r="E58" s="397"/>
      <c r="F58" s="398"/>
      <c r="G58" s="399">
        <v>1</v>
      </c>
      <c r="H58" s="93">
        <v>53.52</v>
      </c>
    </row>
    <row r="59" spans="1:8" ht="13">
      <c r="A59" s="378"/>
      <c r="B59" s="394"/>
      <c r="C59" s="380"/>
      <c r="D59" s="381" t="s">
        <v>593</v>
      </c>
      <c r="E59" s="403"/>
      <c r="F59" s="403"/>
      <c r="G59" s="419"/>
      <c r="H59" s="93">
        <v>355.36</v>
      </c>
    </row>
    <row r="60" spans="1:8" ht="13">
      <c r="A60" s="385"/>
      <c r="B60" s="395"/>
      <c r="C60" s="387"/>
      <c r="D60" s="388" t="s">
        <v>594</v>
      </c>
      <c r="E60" s="422"/>
      <c r="F60" s="422"/>
      <c r="G60" s="421">
        <f>C58</f>
        <v>3448.64</v>
      </c>
      <c r="H60" s="93">
        <v>3341.62</v>
      </c>
    </row>
    <row r="61" spans="1:8" ht="13">
      <c r="A61" s="371">
        <v>17</v>
      </c>
      <c r="B61" s="392" t="s">
        <v>5</v>
      </c>
      <c r="C61" s="373">
        <f>[1]ORÇAMENTO!J139</f>
        <v>8319.3100000000013</v>
      </c>
      <c r="D61" s="374" t="s">
        <v>592</v>
      </c>
      <c r="E61" s="397"/>
      <c r="F61" s="398">
        <v>0.4</v>
      </c>
      <c r="G61" s="399">
        <v>0.6</v>
      </c>
      <c r="H61" s="93">
        <v>4402.09</v>
      </c>
    </row>
    <row r="62" spans="1:8" ht="13">
      <c r="A62" s="378"/>
      <c r="B62" s="394"/>
      <c r="C62" s="380"/>
      <c r="D62" s="381" t="s">
        <v>593</v>
      </c>
      <c r="E62" s="408"/>
      <c r="F62" s="382"/>
      <c r="G62" s="419"/>
      <c r="H62" s="93">
        <v>7610.59</v>
      </c>
    </row>
    <row r="63" spans="1:8">
      <c r="A63" s="385"/>
      <c r="B63" s="395"/>
      <c r="C63" s="387"/>
      <c r="D63" s="388" t="s">
        <v>594</v>
      </c>
      <c r="E63" s="405"/>
      <c r="F63" s="418">
        <f>C61*F61</f>
        <v>3327.7240000000006</v>
      </c>
      <c r="G63" s="420">
        <f>C61-F63</f>
        <v>4991.5860000000011</v>
      </c>
    </row>
    <row r="64" spans="1:8">
      <c r="A64" s="371">
        <v>18</v>
      </c>
      <c r="B64" s="392" t="s">
        <v>187</v>
      </c>
      <c r="C64" s="373">
        <f>ADITIVO!N161</f>
        <v>75518.720000000001</v>
      </c>
      <c r="D64" s="423" t="s">
        <v>592</v>
      </c>
      <c r="E64" s="397">
        <v>0.3</v>
      </c>
      <c r="F64" s="398">
        <v>0.4</v>
      </c>
      <c r="G64" s="399">
        <v>0.3</v>
      </c>
    </row>
    <row r="65" spans="1:7">
      <c r="A65" s="378"/>
      <c r="B65" s="394"/>
      <c r="C65" s="380"/>
      <c r="D65" s="381" t="s">
        <v>593</v>
      </c>
      <c r="E65" s="382"/>
      <c r="F65" s="382"/>
      <c r="G65" s="419"/>
    </row>
    <row r="66" spans="1:7">
      <c r="A66" s="385"/>
      <c r="B66" s="394"/>
      <c r="C66" s="380"/>
      <c r="D66" s="424" t="s">
        <v>594</v>
      </c>
      <c r="E66" s="425">
        <f>C64*E64</f>
        <v>22655.615999999998</v>
      </c>
      <c r="F66" s="418">
        <f>C64*F64</f>
        <v>30207.488000000001</v>
      </c>
      <c r="G66" s="420">
        <f>C64-E66-F66</f>
        <v>22655.616000000005</v>
      </c>
    </row>
    <row r="67" spans="1:7">
      <c r="A67" s="371">
        <v>19</v>
      </c>
      <c r="B67" s="392" t="s">
        <v>281</v>
      </c>
      <c r="C67" s="373">
        <f>ADITIVO!N166</f>
        <v>4310.7700000000004</v>
      </c>
      <c r="D67" s="423"/>
      <c r="E67" s="397"/>
      <c r="F67" s="398"/>
      <c r="G67" s="399">
        <v>1</v>
      </c>
    </row>
    <row r="68" spans="1:7">
      <c r="A68" s="378"/>
      <c r="B68" s="394"/>
      <c r="C68" s="380"/>
      <c r="D68" s="381"/>
      <c r="E68" s="408"/>
      <c r="F68" s="403"/>
      <c r="G68" s="419"/>
    </row>
    <row r="69" spans="1:7">
      <c r="A69" s="385"/>
      <c r="B69" s="394"/>
      <c r="C69" s="380"/>
      <c r="D69" s="424"/>
      <c r="E69" s="426"/>
      <c r="F69" s="418"/>
      <c r="G69" s="420">
        <f>C67</f>
        <v>4310.7700000000004</v>
      </c>
    </row>
    <row r="70" spans="1:7">
      <c r="A70" s="371">
        <v>20</v>
      </c>
      <c r="B70" s="372" t="s">
        <v>35</v>
      </c>
      <c r="C70" s="373">
        <f>H52</f>
        <v>812.03</v>
      </c>
      <c r="D70" s="423" t="s">
        <v>592</v>
      </c>
      <c r="E70" s="375"/>
      <c r="F70" s="376"/>
      <c r="G70" s="399">
        <v>1</v>
      </c>
    </row>
    <row r="71" spans="1:7">
      <c r="A71" s="378"/>
      <c r="B71" s="379"/>
      <c r="C71" s="380"/>
      <c r="D71" s="381" t="s">
        <v>593</v>
      </c>
      <c r="E71" s="403"/>
      <c r="F71" s="383"/>
      <c r="G71" s="419"/>
    </row>
    <row r="72" spans="1:7">
      <c r="A72" s="385"/>
      <c r="B72" s="386"/>
      <c r="C72" s="387"/>
      <c r="D72" s="424" t="s">
        <v>594</v>
      </c>
      <c r="E72" s="389"/>
      <c r="F72" s="390"/>
      <c r="G72" s="420">
        <f>C70</f>
        <v>812.03</v>
      </c>
    </row>
    <row r="73" spans="1:7" ht="13">
      <c r="A73" s="365"/>
      <c r="B73" s="366" t="s">
        <v>302</v>
      </c>
      <c r="C73" s="367"/>
      <c r="D73" s="368"/>
      <c r="E73" s="369"/>
      <c r="F73" s="369"/>
      <c r="G73" s="370"/>
    </row>
    <row r="74" spans="1:7">
      <c r="A74" s="371">
        <v>20</v>
      </c>
      <c r="B74" s="372" t="s">
        <v>50</v>
      </c>
      <c r="C74" s="373">
        <f>ADITIVO!N173</f>
        <v>220.13</v>
      </c>
      <c r="D74" s="423" t="s">
        <v>592</v>
      </c>
      <c r="E74" s="375"/>
      <c r="F74" s="376"/>
      <c r="G74" s="399">
        <v>1</v>
      </c>
    </row>
    <row r="75" spans="1:7">
      <c r="A75" s="378"/>
      <c r="B75" s="379"/>
      <c r="C75" s="380"/>
      <c r="D75" s="381" t="s">
        <v>593</v>
      </c>
      <c r="E75" s="403"/>
      <c r="F75" s="383"/>
      <c r="G75" s="419"/>
    </row>
    <row r="76" spans="1:7">
      <c r="A76" s="385"/>
      <c r="B76" s="386"/>
      <c r="C76" s="387"/>
      <c r="D76" s="424" t="s">
        <v>594</v>
      </c>
      <c r="E76" s="389"/>
      <c r="F76" s="390"/>
      <c r="G76" s="420">
        <f>C74</f>
        <v>220.13</v>
      </c>
    </row>
    <row r="77" spans="1:7">
      <c r="A77" s="371">
        <v>20</v>
      </c>
      <c r="B77" s="372" t="s">
        <v>159</v>
      </c>
      <c r="C77" s="373">
        <f>ADITIVO!N177</f>
        <v>2694.36</v>
      </c>
      <c r="D77" s="423" t="s">
        <v>592</v>
      </c>
      <c r="E77" s="375"/>
      <c r="F77" s="376"/>
      <c r="G77" s="399">
        <v>1</v>
      </c>
    </row>
    <row r="78" spans="1:7">
      <c r="A78" s="378"/>
      <c r="B78" s="379"/>
      <c r="C78" s="380"/>
      <c r="D78" s="381" t="s">
        <v>593</v>
      </c>
      <c r="E78" s="403"/>
      <c r="F78" s="383"/>
      <c r="G78" s="419"/>
    </row>
    <row r="79" spans="1:7">
      <c r="A79" s="385"/>
      <c r="B79" s="386"/>
      <c r="C79" s="387"/>
      <c r="D79" s="424" t="s">
        <v>594</v>
      </c>
      <c r="E79" s="389"/>
      <c r="F79" s="390"/>
      <c r="G79" s="420">
        <f>C77</f>
        <v>2694.36</v>
      </c>
    </row>
    <row r="80" spans="1:7">
      <c r="A80" s="371">
        <v>20</v>
      </c>
      <c r="B80" s="372" t="s">
        <v>308</v>
      </c>
      <c r="C80" s="373">
        <f>ADITIVO!N185</f>
        <v>33913.07</v>
      </c>
      <c r="D80" s="423" t="s">
        <v>592</v>
      </c>
      <c r="E80" s="375"/>
      <c r="F80" s="376"/>
      <c r="G80" s="399">
        <v>1</v>
      </c>
    </row>
    <row r="81" spans="1:8">
      <c r="A81" s="378"/>
      <c r="B81" s="379"/>
      <c r="C81" s="380"/>
      <c r="D81" s="381" t="s">
        <v>593</v>
      </c>
      <c r="E81" s="403"/>
      <c r="F81" s="383"/>
      <c r="G81" s="419"/>
    </row>
    <row r="82" spans="1:8">
      <c r="A82" s="385"/>
      <c r="B82" s="386"/>
      <c r="C82" s="387"/>
      <c r="D82" s="424" t="s">
        <v>594</v>
      </c>
      <c r="E82" s="389"/>
      <c r="F82" s="390"/>
      <c r="G82" s="420">
        <f>C80</f>
        <v>33913.07</v>
      </c>
    </row>
    <row r="83" spans="1:8">
      <c r="A83" s="371">
        <v>20</v>
      </c>
      <c r="B83" s="372" t="s">
        <v>320</v>
      </c>
      <c r="C83" s="373">
        <f>ADITIVO!N201</f>
        <v>10328.58</v>
      </c>
      <c r="D83" s="423" t="s">
        <v>592</v>
      </c>
      <c r="E83" s="375"/>
      <c r="F83" s="376"/>
      <c r="G83" s="399">
        <v>1</v>
      </c>
    </row>
    <row r="84" spans="1:8">
      <c r="A84" s="378"/>
      <c r="B84" s="379"/>
      <c r="C84" s="380"/>
      <c r="D84" s="381" t="s">
        <v>593</v>
      </c>
      <c r="E84" s="403"/>
      <c r="F84" s="383"/>
      <c r="G84" s="419"/>
    </row>
    <row r="85" spans="1:8">
      <c r="A85" s="385"/>
      <c r="B85" s="386"/>
      <c r="C85" s="387"/>
      <c r="D85" s="424" t="s">
        <v>594</v>
      </c>
      <c r="E85" s="389"/>
      <c r="F85" s="390"/>
      <c r="G85" s="420">
        <f>C83</f>
        <v>10328.58</v>
      </c>
    </row>
    <row r="86" spans="1:8">
      <c r="A86" s="371">
        <v>20</v>
      </c>
      <c r="B86" s="372" t="s">
        <v>149</v>
      </c>
      <c r="C86" s="373">
        <f>ADITIVO!N209</f>
        <v>18745.34</v>
      </c>
      <c r="D86" s="423" t="s">
        <v>592</v>
      </c>
      <c r="E86" s="375"/>
      <c r="F86" s="376"/>
      <c r="G86" s="399">
        <v>1</v>
      </c>
    </row>
    <row r="87" spans="1:8">
      <c r="A87" s="378"/>
      <c r="B87" s="379"/>
      <c r="C87" s="380"/>
      <c r="D87" s="381" t="s">
        <v>593</v>
      </c>
      <c r="E87" s="403"/>
      <c r="F87" s="383"/>
      <c r="G87" s="419"/>
    </row>
    <row r="88" spans="1:8">
      <c r="A88" s="385"/>
      <c r="B88" s="386"/>
      <c r="C88" s="387"/>
      <c r="D88" s="424" t="s">
        <v>594</v>
      </c>
      <c r="E88" s="389"/>
      <c r="F88" s="390"/>
      <c r="G88" s="420">
        <f>C86</f>
        <v>18745.34</v>
      </c>
    </row>
    <row r="89" spans="1:8" ht="13">
      <c r="A89" s="365"/>
      <c r="B89" s="366" t="s">
        <v>545</v>
      </c>
      <c r="C89" s="367"/>
      <c r="D89" s="368"/>
      <c r="E89" s="369"/>
      <c r="F89" s="369"/>
      <c r="G89" s="370"/>
    </row>
    <row r="90" spans="1:8" ht="13">
      <c r="A90" s="371">
        <v>20</v>
      </c>
      <c r="B90" s="372" t="s">
        <v>50</v>
      </c>
      <c r="C90" s="373">
        <f>ADITIVO!N214</f>
        <v>53.52</v>
      </c>
      <c r="D90" s="423" t="s">
        <v>592</v>
      </c>
      <c r="E90" s="375"/>
      <c r="F90" s="376"/>
      <c r="G90" s="399">
        <v>1</v>
      </c>
      <c r="H90" s="93">
        <v>355.36</v>
      </c>
    </row>
    <row r="91" spans="1:8" ht="13">
      <c r="A91" s="378"/>
      <c r="B91" s="379"/>
      <c r="C91" s="380"/>
      <c r="D91" s="381" t="s">
        <v>593</v>
      </c>
      <c r="E91" s="403"/>
      <c r="F91" s="383"/>
      <c r="G91" s="419"/>
      <c r="H91" s="93">
        <v>3341.62</v>
      </c>
    </row>
    <row r="92" spans="1:8" ht="13">
      <c r="A92" s="385"/>
      <c r="B92" s="386"/>
      <c r="C92" s="387"/>
      <c r="D92" s="424" t="s">
        <v>594</v>
      </c>
      <c r="E92" s="389"/>
      <c r="F92" s="390"/>
      <c r="G92" s="420">
        <f>C90</f>
        <v>53.52</v>
      </c>
      <c r="H92" s="93">
        <v>4402.09</v>
      </c>
    </row>
    <row r="93" spans="1:8" ht="13">
      <c r="A93" s="371">
        <v>20</v>
      </c>
      <c r="B93" s="372" t="s">
        <v>159</v>
      </c>
      <c r="C93" s="373">
        <f>ADITIVO!N218</f>
        <v>355.36</v>
      </c>
      <c r="D93" s="423" t="s">
        <v>592</v>
      </c>
      <c r="E93" s="375"/>
      <c r="F93" s="376"/>
      <c r="G93" s="399">
        <v>1</v>
      </c>
      <c r="H93" s="93">
        <v>7610.59</v>
      </c>
    </row>
    <row r="94" spans="1:8">
      <c r="A94" s="378"/>
      <c r="B94" s="379"/>
      <c r="C94" s="380"/>
      <c r="D94" s="381" t="s">
        <v>593</v>
      </c>
      <c r="E94" s="403"/>
      <c r="F94" s="383"/>
      <c r="G94" s="419"/>
    </row>
    <row r="95" spans="1:8">
      <c r="A95" s="385"/>
      <c r="B95" s="386"/>
      <c r="C95" s="387"/>
      <c r="D95" s="424" t="s">
        <v>594</v>
      </c>
      <c r="E95" s="389"/>
      <c r="F95" s="390"/>
      <c r="G95" s="420">
        <f>C93</f>
        <v>355.36</v>
      </c>
    </row>
    <row r="96" spans="1:8">
      <c r="A96" s="371">
        <v>20</v>
      </c>
      <c r="B96" s="372" t="s">
        <v>156</v>
      </c>
      <c r="C96" s="373">
        <f>ADITIVO!N227</f>
        <v>3341.62</v>
      </c>
      <c r="D96" s="423" t="s">
        <v>592</v>
      </c>
      <c r="E96" s="375"/>
      <c r="F96" s="376"/>
      <c r="G96" s="399">
        <v>1</v>
      </c>
    </row>
    <row r="97" spans="1:7">
      <c r="A97" s="378"/>
      <c r="B97" s="379"/>
      <c r="C97" s="380"/>
      <c r="D97" s="381" t="s">
        <v>593</v>
      </c>
      <c r="E97" s="403"/>
      <c r="F97" s="383"/>
      <c r="G97" s="419"/>
    </row>
    <row r="98" spans="1:7">
      <c r="A98" s="385"/>
      <c r="B98" s="386"/>
      <c r="C98" s="387"/>
      <c r="D98" s="424" t="s">
        <v>594</v>
      </c>
      <c r="E98" s="389"/>
      <c r="F98" s="390"/>
      <c r="G98" s="420">
        <f>C96</f>
        <v>3341.62</v>
      </c>
    </row>
    <row r="99" spans="1:7">
      <c r="A99" s="371">
        <v>20</v>
      </c>
      <c r="B99" s="372" t="s">
        <v>320</v>
      </c>
      <c r="C99" s="373">
        <f>ADITIVO!N243</f>
        <v>4402.09</v>
      </c>
      <c r="D99" s="423" t="s">
        <v>592</v>
      </c>
      <c r="E99" s="375"/>
      <c r="F99" s="376"/>
      <c r="G99" s="399">
        <v>1</v>
      </c>
    </row>
    <row r="100" spans="1:7">
      <c r="A100" s="378"/>
      <c r="B100" s="379"/>
      <c r="C100" s="380"/>
      <c r="D100" s="381" t="s">
        <v>593</v>
      </c>
      <c r="E100" s="403"/>
      <c r="F100" s="383"/>
      <c r="G100" s="419"/>
    </row>
    <row r="101" spans="1:7">
      <c r="A101" s="385"/>
      <c r="B101" s="386"/>
      <c r="C101" s="387"/>
      <c r="D101" s="424" t="s">
        <v>594</v>
      </c>
      <c r="E101" s="389"/>
      <c r="F101" s="390"/>
      <c r="G101" s="420">
        <f>C99</f>
        <v>4402.09</v>
      </c>
    </row>
    <row r="102" spans="1:7">
      <c r="A102" s="371">
        <v>20</v>
      </c>
      <c r="B102" s="372" t="s">
        <v>149</v>
      </c>
      <c r="C102" s="373">
        <f>ADITIVO!N251</f>
        <v>7610.59</v>
      </c>
      <c r="D102" s="423" t="s">
        <v>592</v>
      </c>
      <c r="E102" s="375"/>
      <c r="F102" s="376"/>
      <c r="G102" s="399">
        <v>1</v>
      </c>
    </row>
    <row r="103" spans="1:7">
      <c r="A103" s="378"/>
      <c r="B103" s="379"/>
      <c r="C103" s="380"/>
      <c r="D103" s="381" t="s">
        <v>593</v>
      </c>
      <c r="E103" s="403"/>
      <c r="F103" s="383"/>
      <c r="G103" s="419"/>
    </row>
    <row r="104" spans="1:7" ht="13" thickBot="1">
      <c r="A104" s="385"/>
      <c r="B104" s="386"/>
      <c r="C104" s="387"/>
      <c r="D104" s="424" t="s">
        <v>594</v>
      </c>
      <c r="E104" s="389"/>
      <c r="F104" s="390"/>
      <c r="G104" s="420">
        <f>C102</f>
        <v>7610.59</v>
      </c>
    </row>
    <row r="105" spans="1:7" ht="13">
      <c r="A105" s="427" t="s">
        <v>587</v>
      </c>
      <c r="B105" s="428"/>
      <c r="C105" s="429">
        <f>SUM(C12:C29,C31:C72,C74:C88,C90:C104)</f>
        <v>369103.68000000011</v>
      </c>
      <c r="D105" s="430"/>
      <c r="E105" s="431">
        <f>E14+E17+E20+E23+E26+E29+E33+E36+E39+E42+E45+E48+E51+E54+E57+E60+E63+E66+E104+E69</f>
        <v>110749.85199999998</v>
      </c>
      <c r="F105" s="431">
        <f>F14+F17+F20+F23+F26+F29+F33+F36+F39+F42+F45+F48+F51+F54+F57+F60+F63+F66+F104+F69</f>
        <v>116126.958</v>
      </c>
      <c r="G105" s="432">
        <f>G14+G17+G20+G23+G26+G29+G33+G36+G39+G42+G45+G48+G51+G54+G57+G60+G63+G66+G104+G69+G72+G76+G79+G82+G85+G88+G92+G95+G98+G101</f>
        <v>142226.87</v>
      </c>
    </row>
    <row r="106" spans="1:7">
      <c r="A106" s="433" t="s">
        <v>596</v>
      </c>
      <c r="B106" s="434"/>
      <c r="C106" s="435"/>
      <c r="D106" s="436"/>
      <c r="E106" s="437">
        <f>E105</f>
        <v>110749.85199999998</v>
      </c>
      <c r="F106" s="437">
        <f>E106+F105</f>
        <v>226876.81</v>
      </c>
      <c r="G106" s="438">
        <f t="shared" ref="G106" si="0">F106+G105</f>
        <v>369103.68</v>
      </c>
    </row>
    <row r="107" spans="1:7">
      <c r="A107" s="433" t="s">
        <v>597</v>
      </c>
      <c r="B107" s="434"/>
      <c r="C107" s="435"/>
      <c r="D107" s="436"/>
      <c r="E107" s="439">
        <f>E105/$C$105</f>
        <v>0.30005079331639273</v>
      </c>
      <c r="F107" s="439">
        <f>F105/$C$105</f>
        <v>0.31461880304200696</v>
      </c>
      <c r="G107" s="440">
        <f>G105/$C$105</f>
        <v>0.38533040364159998</v>
      </c>
    </row>
    <row r="108" spans="1:7" ht="13" thickBot="1">
      <c r="A108" s="441" t="s">
        <v>598</v>
      </c>
      <c r="B108" s="442"/>
      <c r="C108" s="443"/>
      <c r="D108" s="442"/>
      <c r="E108" s="444">
        <f>E107</f>
        <v>0.30005079331639273</v>
      </c>
      <c r="F108" s="444">
        <f>E108+F107</f>
        <v>0.61466959635839968</v>
      </c>
      <c r="G108" s="445">
        <f t="shared" ref="G108" si="1">F108+G107</f>
        <v>0.99999999999999967</v>
      </c>
    </row>
    <row r="109" spans="1:7">
      <c r="A109" s="446"/>
      <c r="B109" s="446"/>
      <c r="C109" s="446"/>
      <c r="D109" s="446"/>
      <c r="E109" s="446"/>
      <c r="F109" s="446"/>
      <c r="G109" s="446"/>
    </row>
    <row r="110" spans="1:7" ht="13" thickBot="1">
      <c r="A110" s="446"/>
      <c r="B110" s="446"/>
      <c r="C110" s="446"/>
      <c r="D110" s="446"/>
      <c r="E110" s="446"/>
      <c r="F110" s="446"/>
      <c r="G110" s="446"/>
    </row>
    <row r="111" spans="1:7">
      <c r="A111" s="449"/>
      <c r="B111" s="450"/>
      <c r="C111" s="450"/>
      <c r="D111" s="450"/>
      <c r="E111" s="450"/>
      <c r="F111" s="450"/>
      <c r="G111" s="451"/>
    </row>
    <row r="112" spans="1:7">
      <c r="A112" s="452"/>
      <c r="B112" s="447"/>
      <c r="C112" s="447"/>
      <c r="D112" s="447"/>
      <c r="E112" s="447"/>
      <c r="F112" s="447"/>
      <c r="G112" s="453"/>
    </row>
    <row r="113" spans="1:7">
      <c r="A113" s="452"/>
      <c r="B113" s="447"/>
      <c r="C113" s="447"/>
      <c r="D113" s="447"/>
      <c r="E113" s="447"/>
      <c r="F113" s="447"/>
      <c r="G113" s="453"/>
    </row>
    <row r="114" spans="1:7" ht="14">
      <c r="A114" s="236"/>
      <c r="B114" s="448"/>
      <c r="C114" s="448"/>
      <c r="D114" s="448"/>
      <c r="E114" s="448"/>
      <c r="F114" s="447"/>
      <c r="G114" s="453"/>
    </row>
    <row r="115" spans="1:7" ht="14">
      <c r="A115" s="236"/>
      <c r="B115" s="448"/>
      <c r="C115" s="448"/>
      <c r="D115" s="448"/>
      <c r="E115" s="448"/>
      <c r="F115" s="447"/>
      <c r="G115" s="453"/>
    </row>
    <row r="116" spans="1:7" ht="14">
      <c r="A116" s="236"/>
      <c r="B116" s="448"/>
      <c r="C116" s="448"/>
      <c r="D116" s="448"/>
      <c r="E116" s="448"/>
      <c r="F116" s="447"/>
      <c r="G116" s="453"/>
    </row>
    <row r="117" spans="1:7">
      <c r="A117" s="452"/>
      <c r="B117" s="447"/>
      <c r="C117" s="447"/>
      <c r="D117" s="447"/>
      <c r="E117" s="447"/>
      <c r="F117" s="447"/>
      <c r="G117" s="453"/>
    </row>
    <row r="118" spans="1:7">
      <c r="A118" s="452"/>
      <c r="B118" s="447"/>
      <c r="C118" s="447"/>
      <c r="D118" s="447"/>
      <c r="E118" s="447"/>
      <c r="F118" s="447"/>
      <c r="G118" s="453"/>
    </row>
    <row r="119" spans="1:7">
      <c r="A119" s="452"/>
      <c r="B119" s="447"/>
      <c r="C119" s="447"/>
      <c r="D119" s="447"/>
      <c r="E119" s="447"/>
      <c r="F119" s="447"/>
      <c r="G119" s="453"/>
    </row>
    <row r="120" spans="1:7">
      <c r="A120" s="452"/>
      <c r="B120" s="447"/>
      <c r="C120" s="447"/>
      <c r="D120" s="447"/>
      <c r="E120" s="447"/>
      <c r="F120" s="447"/>
      <c r="G120" s="453"/>
    </row>
    <row r="121" spans="1:7" ht="13" thickBot="1">
      <c r="A121" s="454"/>
      <c r="B121" s="455"/>
      <c r="C121" s="455"/>
      <c r="D121" s="455"/>
      <c r="E121" s="455"/>
      <c r="F121" s="455"/>
      <c r="G121" s="456"/>
    </row>
    <row r="122" spans="1:7">
      <c r="A122" s="447"/>
      <c r="B122" s="447"/>
      <c r="C122" s="447"/>
      <c r="D122" s="447"/>
      <c r="E122" s="447"/>
      <c r="F122" s="447"/>
      <c r="G122" s="447"/>
    </row>
    <row r="123" spans="1:7">
      <c r="A123" s="447"/>
      <c r="B123" s="447"/>
      <c r="C123" s="447"/>
      <c r="D123" s="447"/>
      <c r="E123" s="447"/>
      <c r="F123" s="447"/>
      <c r="G123" s="447"/>
    </row>
    <row r="124" spans="1:7">
      <c r="A124" s="447"/>
      <c r="B124" s="447"/>
      <c r="C124" s="447"/>
      <c r="D124" s="447"/>
      <c r="E124" s="447"/>
      <c r="F124" s="447"/>
      <c r="G124" s="447"/>
    </row>
    <row r="125" spans="1:7">
      <c r="A125" s="447"/>
      <c r="B125" s="447"/>
      <c r="C125" s="447"/>
      <c r="D125" s="447"/>
      <c r="E125" s="447"/>
      <c r="F125" s="447"/>
      <c r="G125" s="447"/>
    </row>
  </sheetData>
  <mergeCells count="93">
    <mergeCell ref="A90:A92"/>
    <mergeCell ref="B90:B92"/>
    <mergeCell ref="C90:C92"/>
    <mergeCell ref="A99:A101"/>
    <mergeCell ref="B99:B101"/>
    <mergeCell ref="C99:C101"/>
    <mergeCell ref="A93:A95"/>
    <mergeCell ref="B93:B95"/>
    <mergeCell ref="C93:C95"/>
    <mergeCell ref="A96:A98"/>
    <mergeCell ref="B96:B98"/>
    <mergeCell ref="C96:C98"/>
    <mergeCell ref="A83:A85"/>
    <mergeCell ref="B83:B85"/>
    <mergeCell ref="C83:C85"/>
    <mergeCell ref="A86:A88"/>
    <mergeCell ref="B86:B88"/>
    <mergeCell ref="C86:C88"/>
    <mergeCell ref="A105:B105"/>
    <mergeCell ref="C105:C108"/>
    <mergeCell ref="A70:A72"/>
    <mergeCell ref="B70:B72"/>
    <mergeCell ref="C70:C72"/>
    <mergeCell ref="A80:A82"/>
    <mergeCell ref="B80:B82"/>
    <mergeCell ref="C80:C82"/>
    <mergeCell ref="A74:A76"/>
    <mergeCell ref="B74:B76"/>
    <mergeCell ref="A67:A69"/>
    <mergeCell ref="B67:B69"/>
    <mergeCell ref="C67:C69"/>
    <mergeCell ref="A102:A104"/>
    <mergeCell ref="B102:B104"/>
    <mergeCell ref="C102:C104"/>
    <mergeCell ref="C74:C76"/>
    <mergeCell ref="A77:A79"/>
    <mergeCell ref="B77:B79"/>
    <mergeCell ref="C77:C79"/>
    <mergeCell ref="A61:A63"/>
    <mergeCell ref="B61:B63"/>
    <mergeCell ref="C61:C63"/>
    <mergeCell ref="A64:A66"/>
    <mergeCell ref="B64:B66"/>
    <mergeCell ref="C64:C66"/>
    <mergeCell ref="A55:A57"/>
    <mergeCell ref="B55:B57"/>
    <mergeCell ref="C55:C57"/>
    <mergeCell ref="A58:A60"/>
    <mergeCell ref="B58:B60"/>
    <mergeCell ref="C58:C60"/>
    <mergeCell ref="A49:A51"/>
    <mergeCell ref="B49:B51"/>
    <mergeCell ref="C49:C51"/>
    <mergeCell ref="A52:A54"/>
    <mergeCell ref="B52:B54"/>
    <mergeCell ref="C52:C54"/>
    <mergeCell ref="A43:A45"/>
    <mergeCell ref="B43:B45"/>
    <mergeCell ref="C43:C45"/>
    <mergeCell ref="A46:A48"/>
    <mergeCell ref="B46:B48"/>
    <mergeCell ref="C46:C48"/>
    <mergeCell ref="A37:A39"/>
    <mergeCell ref="B37:B39"/>
    <mergeCell ref="C37:C39"/>
    <mergeCell ref="A40:A42"/>
    <mergeCell ref="B40:B42"/>
    <mergeCell ref="C40:C42"/>
    <mergeCell ref="A31:A33"/>
    <mergeCell ref="B31:B33"/>
    <mergeCell ref="C31:C33"/>
    <mergeCell ref="A34:A36"/>
    <mergeCell ref="B34:B36"/>
    <mergeCell ref="C34:C36"/>
    <mergeCell ref="A24:A26"/>
    <mergeCell ref="B24:B26"/>
    <mergeCell ref="C24:C26"/>
    <mergeCell ref="A27:A29"/>
    <mergeCell ref="B27:B29"/>
    <mergeCell ref="C27:C29"/>
    <mergeCell ref="A18:A20"/>
    <mergeCell ref="B18:B20"/>
    <mergeCell ref="C18:C20"/>
    <mergeCell ref="A21:A23"/>
    <mergeCell ref="B21:B23"/>
    <mergeCell ref="C21:C23"/>
    <mergeCell ref="A7:G7"/>
    <mergeCell ref="A12:A14"/>
    <mergeCell ref="B12:B14"/>
    <mergeCell ref="C12:C14"/>
    <mergeCell ref="A15:A17"/>
    <mergeCell ref="B15:B17"/>
    <mergeCell ref="C15:C17"/>
  </mergeCells>
  <pageMargins left="0.78740157480314965" right="0.59055118110236227" top="0.59055118110236227" bottom="0.59055118110236227" header="0.31496062992125984" footer="0.31496062992125984"/>
  <pageSetup paperSize="9" scale="4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7D78-2690-45CF-982B-41027BBC983C}">
  <sheetPr>
    <pageSetUpPr fitToPage="1"/>
  </sheetPr>
  <dimension ref="A1:J101"/>
  <sheetViews>
    <sheetView showOutlineSymbols="0" showWhiteSpace="0" view="pageBreakPreview" topLeftCell="A31" zoomScaleNormal="100" zoomScaleSheetLayoutView="100" workbookViewId="0">
      <selection activeCell="A91" sqref="A91:E100"/>
    </sheetView>
  </sheetViews>
  <sheetFormatPr defaultColWidth="9.1796875" defaultRowHeight="14"/>
  <cols>
    <col min="1" max="1" width="19.453125" style="102" bestFit="1" customWidth="1"/>
    <col min="2" max="2" width="68.453125" style="102" bestFit="1" customWidth="1"/>
    <col min="3" max="3" width="5.6328125" style="158" bestFit="1" customWidth="1"/>
    <col min="4" max="4" width="11.453125" style="102" bestFit="1" customWidth="1"/>
    <col min="5" max="5" width="68.453125" style="102" bestFit="1" customWidth="1"/>
    <col min="6" max="6" width="8.453125" style="102" bestFit="1" customWidth="1"/>
    <col min="7" max="16384" width="9.1796875" style="102"/>
  </cols>
  <sheetData>
    <row r="1" spans="1:10">
      <c r="A1" s="101"/>
      <c r="B1" s="304" t="s">
        <v>578</v>
      </c>
      <c r="C1" s="305"/>
      <c r="D1" s="305"/>
      <c r="E1" s="306"/>
      <c r="F1" s="307"/>
      <c r="G1" s="307"/>
      <c r="H1" s="307"/>
      <c r="I1" s="307"/>
      <c r="J1" s="307"/>
    </row>
    <row r="2" spans="1:10">
      <c r="A2" s="103"/>
      <c r="B2" s="104" t="s">
        <v>393</v>
      </c>
      <c r="C2" s="157"/>
      <c r="D2" s="105"/>
      <c r="E2" s="106"/>
      <c r="F2" s="307"/>
      <c r="G2" s="307"/>
      <c r="H2" s="307"/>
      <c r="I2" s="307"/>
      <c r="J2" s="307"/>
    </row>
    <row r="3" spans="1:10" ht="14.25" customHeight="1">
      <c r="A3" s="103"/>
      <c r="B3" s="103" t="s">
        <v>71</v>
      </c>
      <c r="C3" s="157"/>
      <c r="D3" s="105"/>
      <c r="E3" s="106"/>
    </row>
    <row r="4" spans="1:10" ht="30" customHeight="1">
      <c r="A4" s="107" t="s">
        <v>394</v>
      </c>
      <c r="B4" s="107" t="s">
        <v>395</v>
      </c>
      <c r="C4" s="107" t="s">
        <v>396</v>
      </c>
      <c r="D4" s="107" t="s">
        <v>397</v>
      </c>
      <c r="E4" s="107" t="s">
        <v>398</v>
      </c>
    </row>
    <row r="5" spans="1:10">
      <c r="A5" s="108" t="s">
        <v>111</v>
      </c>
      <c r="B5" s="108" t="s">
        <v>450</v>
      </c>
      <c r="C5" s="109"/>
      <c r="D5" s="110"/>
      <c r="E5" s="108"/>
    </row>
    <row r="6" spans="1:10" ht="51.75" customHeight="1">
      <c r="A6" s="149" t="s">
        <v>166</v>
      </c>
      <c r="B6" s="149" t="s">
        <v>451</v>
      </c>
      <c r="C6" s="150" t="s">
        <v>4</v>
      </c>
      <c r="D6" s="151">
        <v>35.47</v>
      </c>
      <c r="E6" s="149">
        <v>35.47</v>
      </c>
    </row>
    <row r="7" spans="1:10" ht="40.5" customHeight="1">
      <c r="A7" s="149" t="s">
        <v>448</v>
      </c>
      <c r="B7" s="149" t="s">
        <v>544</v>
      </c>
      <c r="C7" s="150" t="s">
        <v>4</v>
      </c>
      <c r="D7" s="151">
        <f>TRUNC((24.61*1.2) + (25.22*3),2)</f>
        <v>105.19</v>
      </c>
      <c r="E7" s="149" t="s">
        <v>546</v>
      </c>
    </row>
    <row r="8" spans="1:10">
      <c r="A8" s="108">
        <v>12</v>
      </c>
      <c r="B8" s="108" t="s">
        <v>3</v>
      </c>
      <c r="C8" s="109"/>
      <c r="D8" s="110"/>
      <c r="E8" s="108"/>
    </row>
    <row r="9" spans="1:10">
      <c r="A9" s="149" t="s">
        <v>446</v>
      </c>
      <c r="B9" s="149" t="s">
        <v>416</v>
      </c>
      <c r="C9" s="150" t="s">
        <v>4</v>
      </c>
      <c r="D9" s="152">
        <f>(1.4*1)*2+(1.4*1)*1</f>
        <v>4.1999999999999993</v>
      </c>
      <c r="E9" s="149" t="s">
        <v>417</v>
      </c>
    </row>
    <row r="10" spans="1:10" ht="25">
      <c r="A10" s="149" t="s">
        <v>452</v>
      </c>
      <c r="B10" s="149" t="s">
        <v>444</v>
      </c>
      <c r="C10" s="150" t="s">
        <v>4</v>
      </c>
      <c r="D10" s="151">
        <f>(2.4*2.4)+(3*2.4)</f>
        <v>12.959999999999999</v>
      </c>
      <c r="E10" s="149" t="s">
        <v>447</v>
      </c>
    </row>
    <row r="11" spans="1:10">
      <c r="A11" s="108">
        <v>18</v>
      </c>
      <c r="B11" s="108" t="s">
        <v>553</v>
      </c>
      <c r="C11" s="109"/>
      <c r="D11" s="110"/>
      <c r="E11" s="108"/>
    </row>
    <row r="12" spans="1:10" ht="37.5">
      <c r="A12" s="202" t="s">
        <v>548</v>
      </c>
      <c r="B12" s="202" t="s">
        <v>549</v>
      </c>
      <c r="C12" s="203" t="s">
        <v>4</v>
      </c>
      <c r="D12" s="204">
        <f>TRUNC(188.2+((18.8+9.83)*3.5*2),2)</f>
        <v>388.61</v>
      </c>
      <c r="E12" s="202" t="s">
        <v>569</v>
      </c>
    </row>
    <row r="13" spans="1:10" ht="25">
      <c r="A13" s="202" t="s">
        <v>551</v>
      </c>
      <c r="B13" s="202" t="s">
        <v>554</v>
      </c>
      <c r="C13" s="203" t="s">
        <v>4</v>
      </c>
      <c r="D13" s="204">
        <v>188.2</v>
      </c>
      <c r="E13" s="202">
        <v>188.2</v>
      </c>
    </row>
    <row r="14" spans="1:10" ht="25">
      <c r="A14" s="202" t="s">
        <v>555</v>
      </c>
      <c r="B14" s="202" t="s">
        <v>560</v>
      </c>
      <c r="C14" s="203"/>
      <c r="D14" s="204">
        <f>796.09*0.05</f>
        <v>39.804500000000004</v>
      </c>
      <c r="E14" s="202" t="s">
        <v>565</v>
      </c>
    </row>
    <row r="15" spans="1:10" ht="50">
      <c r="A15" s="202" t="s">
        <v>558</v>
      </c>
      <c r="B15" s="202" t="s">
        <v>562</v>
      </c>
      <c r="C15" s="203"/>
      <c r="D15" s="204">
        <v>1</v>
      </c>
      <c r="E15" s="205">
        <v>1</v>
      </c>
    </row>
    <row r="16" spans="1:10">
      <c r="A16" s="108">
        <v>19</v>
      </c>
      <c r="B16" s="108" t="s">
        <v>508</v>
      </c>
      <c r="C16" s="109"/>
      <c r="D16" s="110"/>
      <c r="E16" s="108"/>
    </row>
    <row r="17" spans="1:5" ht="25">
      <c r="A17" s="149" t="s">
        <v>506</v>
      </c>
      <c r="B17" s="111" t="s">
        <v>504</v>
      </c>
      <c r="C17" s="150" t="s">
        <v>29</v>
      </c>
      <c r="D17" s="151">
        <f>D18*0.1</f>
        <v>11.221</v>
      </c>
      <c r="E17" s="149" t="s">
        <v>509</v>
      </c>
    </row>
    <row r="18" spans="1:5">
      <c r="A18" s="149" t="s">
        <v>507</v>
      </c>
      <c r="B18" s="111" t="s">
        <v>505</v>
      </c>
      <c r="C18" s="150" t="s">
        <v>4</v>
      </c>
      <c r="D18" s="151">
        <f>44.58+67.63</f>
        <v>112.21</v>
      </c>
      <c r="E18" s="149" t="s">
        <v>534</v>
      </c>
    </row>
    <row r="19" spans="1:5">
      <c r="A19" s="108"/>
      <c r="B19" s="108" t="s">
        <v>302</v>
      </c>
      <c r="C19" s="109"/>
      <c r="D19" s="110"/>
      <c r="E19" s="108"/>
    </row>
    <row r="20" spans="1:5">
      <c r="A20" s="108">
        <v>21</v>
      </c>
      <c r="B20" s="108" t="s">
        <v>50</v>
      </c>
      <c r="C20" s="109"/>
      <c r="D20" s="110"/>
      <c r="E20" s="108"/>
    </row>
    <row r="21" spans="1:5" ht="27" customHeight="1">
      <c r="A21" s="111" t="s">
        <v>367</v>
      </c>
      <c r="B21" s="111" t="s">
        <v>399</v>
      </c>
      <c r="C21" s="150" t="s">
        <v>4</v>
      </c>
      <c r="D21" s="113">
        <f>TRUNC(((13.5 + 15.35 + 4.86) * 0.75) + ((6.34+5.26) * 1) + ((6.57 + 2.13) * 1.25),2)</f>
        <v>47.75</v>
      </c>
      <c r="E21" s="111" t="s">
        <v>400</v>
      </c>
    </row>
    <row r="22" spans="1:5">
      <c r="A22" s="108" t="s">
        <v>493</v>
      </c>
      <c r="B22" s="108" t="s">
        <v>159</v>
      </c>
      <c r="C22" s="109"/>
      <c r="D22" s="110"/>
      <c r="E22" s="108"/>
    </row>
    <row r="23" spans="1:5" ht="24" customHeight="1">
      <c r="A23" s="111" t="s">
        <v>368</v>
      </c>
      <c r="B23" s="111" t="s">
        <v>305</v>
      </c>
      <c r="C23" s="112" t="s">
        <v>29</v>
      </c>
      <c r="D23" s="113">
        <f>TRUNC(((13.5 + 15.35 + 4.86) * 1.75)* 0.33 + ((6.34+5.26) * 2) * 0.25 + ((6.57 + 2.13)* 2.25)* 0.57,2)</f>
        <v>36.42</v>
      </c>
      <c r="E23" s="111" t="s">
        <v>401</v>
      </c>
    </row>
    <row r="24" spans="1:5" ht="25.5" customHeight="1">
      <c r="A24" s="111" t="s">
        <v>369</v>
      </c>
      <c r="B24" s="111" t="s">
        <v>307</v>
      </c>
      <c r="C24" s="112" t="s">
        <v>29</v>
      </c>
      <c r="D24" s="113">
        <f>TRUNC((((13.5 + 15.35 + 4.86) * 1.75)* 0.33 + ((6.34+5.26) * 2) * 0.25 + ((6.57 + 2.13) * 2.25)* 0.57) - (13.5 + 15.35 + 4.86) * 0.75 * 0.33 - (5.26 * 1 * 0.25) -(6.57 + 2.13) *1.25* 0.57,2)</f>
        <v>20.56</v>
      </c>
      <c r="E24" s="111" t="s">
        <v>402</v>
      </c>
    </row>
    <row r="25" spans="1:5">
      <c r="A25" s="108" t="s">
        <v>494</v>
      </c>
      <c r="B25" s="108" t="s">
        <v>308</v>
      </c>
      <c r="C25" s="109"/>
      <c r="D25" s="110"/>
      <c r="E25" s="108"/>
    </row>
    <row r="26" spans="1:5" ht="36" customHeight="1">
      <c r="A26" s="111" t="s">
        <v>370</v>
      </c>
      <c r="B26" s="111" t="s">
        <v>298</v>
      </c>
      <c r="C26" s="112" t="s">
        <v>29</v>
      </c>
      <c r="D26" s="114">
        <f>TRUNC((((13.5+15.35+4.86)*0.85)+((6.34+5.26)*1.1)+((6.57+2.13)*1.35))*0.05,2)</f>
        <v>2.65</v>
      </c>
      <c r="E26" s="111" t="s">
        <v>403</v>
      </c>
    </row>
    <row r="27" spans="1:5" ht="24" customHeight="1">
      <c r="A27" s="111" t="s">
        <v>371</v>
      </c>
      <c r="B27" s="111" t="s">
        <v>311</v>
      </c>
      <c r="C27" s="112" t="s">
        <v>29</v>
      </c>
      <c r="D27" s="114">
        <f>TRUNC((((13.5+15.35+4.86)*0.85)+((6.34+5.26)*1.1)+((6.57+2.13)*1.35))*0.05,2)</f>
        <v>2.65</v>
      </c>
      <c r="E27" s="111" t="s">
        <v>404</v>
      </c>
    </row>
    <row r="28" spans="1:5" ht="27" customHeight="1">
      <c r="A28" s="111" t="s">
        <v>372</v>
      </c>
      <c r="B28" s="111" t="s">
        <v>313</v>
      </c>
      <c r="C28" s="112" t="s">
        <v>29</v>
      </c>
      <c r="D28" s="113">
        <f>TRUNC((0.68*13.5)+(0.68*15.35)+(1.18*6.34)+(1.93*6.57)+(1.93*2.13)+(1.18*5.26)+(0.67*4.86),2)</f>
        <v>53.35</v>
      </c>
      <c r="E28" s="111" t="s">
        <v>405</v>
      </c>
    </row>
    <row r="29" spans="1:5" ht="36" customHeight="1">
      <c r="A29" s="111" t="s">
        <v>373</v>
      </c>
      <c r="B29" s="111" t="s">
        <v>314</v>
      </c>
      <c r="C29" s="112" t="s">
        <v>4</v>
      </c>
      <c r="D29" s="113">
        <f>TRUNC((2.4*13.5)+(2.4*15.35)+(3.4*6.34)+(4.6*6.57)+(4.6*2.13)+(3.4*5.26)+(2.4*4.86),2)</f>
        <v>160.36000000000001</v>
      </c>
      <c r="E29" s="111" t="s">
        <v>406</v>
      </c>
    </row>
    <row r="30" spans="1:5" ht="24" customHeight="1">
      <c r="A30" s="111" t="s">
        <v>374</v>
      </c>
      <c r="B30" s="111" t="s">
        <v>316</v>
      </c>
      <c r="C30" s="112" t="s">
        <v>4</v>
      </c>
      <c r="D30" s="113">
        <f>TRUNC((2.4*13.5)+(2.4*15.35)+(3.4*6.34)+(4.6*6.57)+(4.6*2.13)+(3.4*5.26)+(2.4*4.86),2)</f>
        <v>160.36000000000001</v>
      </c>
      <c r="E30" s="111" t="s">
        <v>406</v>
      </c>
    </row>
    <row r="31" spans="1:5" ht="24" customHeight="1">
      <c r="A31" s="111" t="s">
        <v>375</v>
      </c>
      <c r="B31" s="111" t="s">
        <v>407</v>
      </c>
      <c r="C31" s="112" t="s">
        <v>296</v>
      </c>
      <c r="D31" s="114">
        <f>(0.5*6)+(0.5*8)+((0.5*3)+(0.75*2))+((0.5*3)+(0.75*3))+((0.5*1)+(0.75*1))+((0.5*3)+(0.75*1))+(0.5*2)</f>
        <v>18.25</v>
      </c>
      <c r="E31" s="111" t="s">
        <v>408</v>
      </c>
    </row>
    <row r="32" spans="1:5">
      <c r="A32" s="108" t="s">
        <v>495</v>
      </c>
      <c r="B32" s="108" t="s">
        <v>320</v>
      </c>
      <c r="C32" s="109"/>
      <c r="D32" s="110"/>
      <c r="E32" s="108"/>
    </row>
    <row r="33" spans="1:5">
      <c r="A33" s="108"/>
      <c r="B33" s="108" t="s">
        <v>321</v>
      </c>
      <c r="C33" s="109"/>
      <c r="D33" s="110"/>
      <c r="E33" s="108"/>
    </row>
    <row r="34" spans="1:5" ht="25">
      <c r="A34" s="111" t="s">
        <v>376</v>
      </c>
      <c r="B34" s="111" t="s">
        <v>314</v>
      </c>
      <c r="C34" s="112" t="s">
        <v>4</v>
      </c>
      <c r="D34" s="113">
        <f>TRUNC((0.19+0.19+0.19+0.19)*1.83*18,2)</f>
        <v>25.03</v>
      </c>
      <c r="E34" s="111" t="s">
        <v>409</v>
      </c>
    </row>
    <row r="35" spans="1:5" ht="24" customHeight="1">
      <c r="A35" s="111" t="s">
        <v>377</v>
      </c>
      <c r="B35" s="111" t="s">
        <v>323</v>
      </c>
      <c r="C35" s="112" t="s">
        <v>297</v>
      </c>
      <c r="D35" s="114">
        <f>E35</f>
        <v>44</v>
      </c>
      <c r="E35" s="115">
        <v>44</v>
      </c>
    </row>
    <row r="36" spans="1:5" ht="24" customHeight="1">
      <c r="A36" s="111" t="s">
        <v>378</v>
      </c>
      <c r="B36" s="111" t="s">
        <v>325</v>
      </c>
      <c r="C36" s="112" t="s">
        <v>297</v>
      </c>
      <c r="D36" s="114">
        <f>E36</f>
        <v>130</v>
      </c>
      <c r="E36" s="115">
        <v>130</v>
      </c>
    </row>
    <row r="37" spans="1:5" ht="36" customHeight="1">
      <c r="A37" s="111" t="s">
        <v>379</v>
      </c>
      <c r="B37" s="111" t="s">
        <v>327</v>
      </c>
      <c r="C37" s="112" t="s">
        <v>29</v>
      </c>
      <c r="D37" s="113">
        <f>TRUNC((0.19*0.19*1.83)*18,2)</f>
        <v>1.18</v>
      </c>
      <c r="E37" s="111" t="s">
        <v>410</v>
      </c>
    </row>
    <row r="38" spans="1:5" ht="36" customHeight="1">
      <c r="A38" s="111" t="s">
        <v>380</v>
      </c>
      <c r="B38" s="111" t="s">
        <v>311</v>
      </c>
      <c r="C38" s="112" t="s">
        <v>29</v>
      </c>
      <c r="D38" s="113">
        <f>TRUNC((0.19*0.19*1.83)*18,2)</f>
        <v>1.18</v>
      </c>
      <c r="E38" s="111" t="s">
        <v>410</v>
      </c>
    </row>
    <row r="39" spans="1:5">
      <c r="A39" s="108"/>
      <c r="B39" s="108" t="s">
        <v>328</v>
      </c>
      <c r="C39" s="109"/>
      <c r="D39" s="110"/>
      <c r="E39" s="108"/>
    </row>
    <row r="40" spans="1:5" ht="25">
      <c r="A40" s="111" t="s">
        <v>381</v>
      </c>
      <c r="B40" s="111" t="s">
        <v>314</v>
      </c>
      <c r="C40" s="112" t="s">
        <v>4</v>
      </c>
      <c r="D40" s="113">
        <f>TRUNC(((0.15+0.15)*(13.5+29.01+13.5))+((0.12+0.15+0.12)*(13.5+29.01+13.5)),2)</f>
        <v>38.64</v>
      </c>
      <c r="E40" s="111" t="s">
        <v>411</v>
      </c>
    </row>
    <row r="41" spans="1:5" ht="24" customHeight="1">
      <c r="A41" s="111" t="s">
        <v>382</v>
      </c>
      <c r="B41" s="111" t="s">
        <v>329</v>
      </c>
      <c r="C41" s="112" t="s">
        <v>297</v>
      </c>
      <c r="D41" s="114">
        <f>E41</f>
        <v>85</v>
      </c>
      <c r="E41" s="115">
        <v>85</v>
      </c>
    </row>
    <row r="42" spans="1:5" ht="24" customHeight="1">
      <c r="A42" s="111" t="s">
        <v>383</v>
      </c>
      <c r="B42" s="111" t="s">
        <v>331</v>
      </c>
      <c r="C42" s="112" t="s">
        <v>297</v>
      </c>
      <c r="D42" s="114">
        <f>E42</f>
        <v>31</v>
      </c>
      <c r="E42" s="115">
        <v>31</v>
      </c>
    </row>
    <row r="43" spans="1:5" ht="24" customHeight="1">
      <c r="A43" s="111" t="s">
        <v>384</v>
      </c>
      <c r="B43" s="111" t="s">
        <v>333</v>
      </c>
      <c r="C43" s="112" t="s">
        <v>297</v>
      </c>
      <c r="D43" s="114">
        <f>E43</f>
        <v>89</v>
      </c>
      <c r="E43" s="115">
        <v>89</v>
      </c>
    </row>
    <row r="44" spans="1:5" ht="24" customHeight="1">
      <c r="A44" s="111" t="s">
        <v>385</v>
      </c>
      <c r="B44" s="111" t="s">
        <v>334</v>
      </c>
      <c r="C44" s="112" t="s">
        <v>297</v>
      </c>
      <c r="D44" s="114">
        <f>E44</f>
        <v>84</v>
      </c>
      <c r="E44" s="115">
        <v>84</v>
      </c>
    </row>
    <row r="45" spans="1:5" ht="30.75" customHeight="1">
      <c r="A45" s="111" t="s">
        <v>386</v>
      </c>
      <c r="B45" s="111" t="s">
        <v>327</v>
      </c>
      <c r="C45" s="112" t="s">
        <v>29</v>
      </c>
      <c r="D45" s="114">
        <f>TRUNC(((0.15*0.19)*(13.5+29.01+13.5))+((0.12*0.15)*(13.5+29.01+13.5)),2)</f>
        <v>2.6</v>
      </c>
      <c r="E45" s="111" t="s">
        <v>412</v>
      </c>
    </row>
    <row r="46" spans="1:5" ht="29.25" customHeight="1">
      <c r="A46" s="111" t="s">
        <v>387</v>
      </c>
      <c r="B46" s="111" t="s">
        <v>311</v>
      </c>
      <c r="C46" s="112" t="s">
        <v>29</v>
      </c>
      <c r="D46" s="114">
        <f>TRUNC(((0.15*0.19)*(13.5+29.01+13.5))+((0.12*0.15)*(13.5+29.01+13.5)),2)</f>
        <v>2.6</v>
      </c>
      <c r="E46" s="111" t="s">
        <v>412</v>
      </c>
    </row>
    <row r="47" spans="1:5">
      <c r="A47" s="108" t="s">
        <v>496</v>
      </c>
      <c r="B47" s="108" t="s">
        <v>149</v>
      </c>
      <c r="C47" s="109"/>
      <c r="D47" s="110"/>
      <c r="E47" s="108"/>
    </row>
    <row r="48" spans="1:5" ht="50.25" customHeight="1">
      <c r="A48" s="111" t="s">
        <v>454</v>
      </c>
      <c r="B48" s="111" t="s">
        <v>336</v>
      </c>
      <c r="C48" s="112" t="s">
        <v>4</v>
      </c>
      <c r="D48" s="113">
        <f>TRUNC((1.83*(13.5+29.01+13.5))-(0.19*1.83)*18,2)</f>
        <v>96.23</v>
      </c>
      <c r="E48" s="111" t="s">
        <v>413</v>
      </c>
    </row>
    <row r="49" spans="1:8" ht="36" customHeight="1">
      <c r="A49" s="111" t="s">
        <v>455</v>
      </c>
      <c r="B49" s="111" t="s">
        <v>414</v>
      </c>
      <c r="C49" s="112" t="s">
        <v>4</v>
      </c>
      <c r="D49" s="113">
        <f>TRUNC(1.83*(13.5+29.01+13.5)*2+(13.5+29.01+13.5)*0.15,2)</f>
        <v>213.39</v>
      </c>
      <c r="E49" s="111" t="s">
        <v>415</v>
      </c>
    </row>
    <row r="50" spans="1:8" ht="54.75" customHeight="1">
      <c r="A50" s="111" t="s">
        <v>456</v>
      </c>
      <c r="B50" s="111" t="s">
        <v>340</v>
      </c>
      <c r="C50" s="112" t="s">
        <v>4</v>
      </c>
      <c r="D50" s="113">
        <f>TRUNC(1.83*(13.5+29.01+13.5)*2+(13.5+29.01+13.5)*0.15,2)</f>
        <v>213.39</v>
      </c>
      <c r="E50" s="111" t="s">
        <v>415</v>
      </c>
    </row>
    <row r="51" spans="1:8" ht="24" customHeight="1">
      <c r="A51" s="111" t="s">
        <v>457</v>
      </c>
      <c r="B51" s="111" t="s">
        <v>342</v>
      </c>
      <c r="C51" s="112" t="s">
        <v>4</v>
      </c>
      <c r="D51" s="113">
        <f>TRUNC(1.83*(13.5+29.01+13.5)*2+(13.5+29.01+13.5)*0.15,2)</f>
        <v>213.39</v>
      </c>
      <c r="E51" s="111" t="s">
        <v>415</v>
      </c>
    </row>
    <row r="52" spans="1:8" ht="24" customHeight="1">
      <c r="A52" s="111" t="s">
        <v>458</v>
      </c>
      <c r="B52" s="111" t="s">
        <v>344</v>
      </c>
      <c r="C52" s="112" t="s">
        <v>4</v>
      </c>
      <c r="D52" s="113">
        <f>TRUNC(1.83*(13.5+29.01+13.5)*2+(13.5+29.01+13.5)*0.15,2)</f>
        <v>213.39</v>
      </c>
      <c r="E52" s="111" t="s">
        <v>415</v>
      </c>
    </row>
    <row r="53" spans="1:8" ht="24" customHeight="1">
      <c r="A53" s="111" t="s">
        <v>459</v>
      </c>
      <c r="B53" s="111" t="s">
        <v>346</v>
      </c>
      <c r="C53" s="112" t="s">
        <v>4</v>
      </c>
      <c r="D53" s="113">
        <f>TRUNC(1.83*(13.5+29.01+13.5)*2+(13.5+29.01+13.5)*0.15,2)</f>
        <v>213.39</v>
      </c>
      <c r="E53" s="111" t="s">
        <v>415</v>
      </c>
    </row>
    <row r="54" spans="1:8">
      <c r="A54" s="108"/>
      <c r="B54" s="108" t="s">
        <v>460</v>
      </c>
      <c r="C54" s="109"/>
      <c r="D54" s="110"/>
      <c r="E54" s="108"/>
      <c r="F54" s="116"/>
      <c r="G54" s="116"/>
      <c r="H54" s="116"/>
    </row>
    <row r="55" spans="1:8">
      <c r="A55" s="108" t="s">
        <v>497</v>
      </c>
      <c r="B55" s="108" t="s">
        <v>50</v>
      </c>
      <c r="C55" s="109"/>
      <c r="D55" s="110"/>
      <c r="E55" s="108"/>
    </row>
    <row r="56" spans="1:8" ht="26.25" customHeight="1">
      <c r="A56" s="111" t="s">
        <v>461</v>
      </c>
      <c r="B56" s="111" t="s">
        <v>399</v>
      </c>
      <c r="C56" s="112" t="s">
        <v>4</v>
      </c>
      <c r="D56" s="113">
        <f>TRUNC(0.5*23.22,2)</f>
        <v>11.61</v>
      </c>
      <c r="E56" s="111" t="s">
        <v>543</v>
      </c>
    </row>
    <row r="57" spans="1:8">
      <c r="A57" s="108" t="s">
        <v>498</v>
      </c>
      <c r="B57" s="108" t="s">
        <v>159</v>
      </c>
      <c r="C57" s="109"/>
      <c r="D57" s="110"/>
      <c r="E57" s="108"/>
    </row>
    <row r="58" spans="1:8" ht="25">
      <c r="A58" s="111" t="s">
        <v>463</v>
      </c>
      <c r="B58" s="111" t="s">
        <v>305</v>
      </c>
      <c r="C58" s="112" t="s">
        <v>29</v>
      </c>
      <c r="D58" s="113">
        <f>TRUNC(0.5*0.45*23.22,2)</f>
        <v>5.22</v>
      </c>
      <c r="E58" s="111" t="s">
        <v>541</v>
      </c>
    </row>
    <row r="59" spans="1:8" ht="25">
      <c r="A59" s="111" t="s">
        <v>464</v>
      </c>
      <c r="B59" s="111" t="s">
        <v>307</v>
      </c>
      <c r="C59" s="112" t="s">
        <v>29</v>
      </c>
      <c r="D59" s="113">
        <f>TRUNC((0.5*0.45*23.22)-(0.4*0.4*22.72),2)</f>
        <v>1.58</v>
      </c>
      <c r="E59" s="111" t="s">
        <v>542</v>
      </c>
    </row>
    <row r="60" spans="1:8">
      <c r="A60" s="108" t="s">
        <v>499</v>
      </c>
      <c r="B60" s="108" t="s">
        <v>156</v>
      </c>
      <c r="C60" s="109"/>
      <c r="D60" s="110"/>
      <c r="E60" s="108"/>
    </row>
    <row r="61" spans="1:8" ht="37.5">
      <c r="A61" s="111" t="s">
        <v>466</v>
      </c>
      <c r="B61" s="111" t="s">
        <v>298</v>
      </c>
      <c r="C61" s="112" t="s">
        <v>29</v>
      </c>
      <c r="D61" s="114">
        <f>TRUNC(22.72*0.5*0.05,2)</f>
        <v>0.56000000000000005</v>
      </c>
      <c r="E61" s="111" t="s">
        <v>536</v>
      </c>
    </row>
    <row r="62" spans="1:8" ht="25">
      <c r="A62" s="111" t="s">
        <v>467</v>
      </c>
      <c r="B62" s="111" t="s">
        <v>325</v>
      </c>
      <c r="C62" s="112" t="s">
        <v>297</v>
      </c>
      <c r="D62" s="114">
        <v>15.55</v>
      </c>
      <c r="E62" s="111" t="s">
        <v>566</v>
      </c>
    </row>
    <row r="63" spans="1:8" ht="25">
      <c r="A63" s="111" t="s">
        <v>468</v>
      </c>
      <c r="B63" s="111" t="s">
        <v>327</v>
      </c>
      <c r="C63" s="112" t="s">
        <v>29</v>
      </c>
      <c r="D63" s="114">
        <f>TRUNC((0.4*0.4*0.4)*7,2)</f>
        <v>0.44</v>
      </c>
      <c r="E63" s="111" t="s">
        <v>535</v>
      </c>
    </row>
    <row r="64" spans="1:8" ht="25">
      <c r="A64" s="111" t="s">
        <v>469</v>
      </c>
      <c r="B64" s="111" t="s">
        <v>311</v>
      </c>
      <c r="C64" s="112" t="s">
        <v>29</v>
      </c>
      <c r="D64" s="114">
        <f>TRUNC(D63+D61,2)</f>
        <v>1</v>
      </c>
      <c r="E64" s="111" t="s">
        <v>537</v>
      </c>
    </row>
    <row r="65" spans="1:5" ht="15.75" customHeight="1">
      <c r="A65" s="111" t="s">
        <v>470</v>
      </c>
      <c r="B65" s="111" t="s">
        <v>313</v>
      </c>
      <c r="C65" s="112" t="s">
        <v>29</v>
      </c>
      <c r="D65" s="113">
        <f>TRUNC((22.72*0.4*0.4)-(0.4*0.4*0.4)*7,2)</f>
        <v>3.18</v>
      </c>
      <c r="E65" s="111" t="s">
        <v>538</v>
      </c>
    </row>
    <row r="66" spans="1:5" ht="25">
      <c r="A66" s="111" t="s">
        <v>471</v>
      </c>
      <c r="B66" s="111" t="s">
        <v>314</v>
      </c>
      <c r="C66" s="112" t="s">
        <v>4</v>
      </c>
      <c r="D66" s="113">
        <f>TRUNC(((22.72*0.4)*2+(0.4*0.4)*2),2)</f>
        <v>18.489999999999998</v>
      </c>
      <c r="E66" s="111" t="s">
        <v>539</v>
      </c>
    </row>
    <row r="67" spans="1:5" ht="25">
      <c r="A67" s="111" t="s">
        <v>567</v>
      </c>
      <c r="B67" s="111" t="s">
        <v>316</v>
      </c>
      <c r="C67" s="112" t="s">
        <v>4</v>
      </c>
      <c r="D67" s="113">
        <f>TRUNC((0.4+0.4+0.4)*22.72+(0.4*0.4)+(0.15+0.19+0.15)*22.72,2)</f>
        <v>38.549999999999997</v>
      </c>
      <c r="E67" s="111" t="s">
        <v>540</v>
      </c>
    </row>
    <row r="68" spans="1:5">
      <c r="A68" s="108" t="s">
        <v>500</v>
      </c>
      <c r="B68" s="108" t="s">
        <v>320</v>
      </c>
      <c r="C68" s="109"/>
      <c r="D68" s="110"/>
      <c r="E68" s="108"/>
    </row>
    <row r="69" spans="1:5">
      <c r="A69" s="108"/>
      <c r="B69" s="108" t="s">
        <v>321</v>
      </c>
      <c r="C69" s="109"/>
      <c r="D69" s="110"/>
      <c r="E69" s="108"/>
    </row>
    <row r="70" spans="1:5" ht="25">
      <c r="A70" s="111" t="s">
        <v>473</v>
      </c>
      <c r="B70" s="111" t="s">
        <v>314</v>
      </c>
      <c r="C70" s="112" t="s">
        <v>4</v>
      </c>
      <c r="D70" s="113">
        <f>TRUNC((0.19+0.19+0.19+0.19)*1.83*7,2)</f>
        <v>9.73</v>
      </c>
      <c r="E70" s="111" t="s">
        <v>527</v>
      </c>
    </row>
    <row r="71" spans="1:5" ht="25">
      <c r="A71" s="111" t="s">
        <v>474</v>
      </c>
      <c r="B71" s="111" t="s">
        <v>323</v>
      </c>
      <c r="C71" s="112" t="s">
        <v>297</v>
      </c>
      <c r="D71" s="114">
        <f>E71</f>
        <v>17.28</v>
      </c>
      <c r="E71" s="115">
        <v>17.28</v>
      </c>
    </row>
    <row r="72" spans="1:5" ht="25">
      <c r="A72" s="111" t="s">
        <v>475</v>
      </c>
      <c r="B72" s="111" t="s">
        <v>325</v>
      </c>
      <c r="C72" s="112" t="s">
        <v>297</v>
      </c>
      <c r="D72" s="114">
        <f>E72</f>
        <v>50.61</v>
      </c>
      <c r="E72" s="115">
        <v>50.61</v>
      </c>
    </row>
    <row r="73" spans="1:5" ht="25">
      <c r="A73" s="111" t="s">
        <v>476</v>
      </c>
      <c r="B73" s="111" t="s">
        <v>327</v>
      </c>
      <c r="C73" s="112" t="s">
        <v>29</v>
      </c>
      <c r="D73" s="113">
        <f>TRUNC((0.19*0.19*1.83)*7,2)</f>
        <v>0.46</v>
      </c>
      <c r="E73" s="111" t="s">
        <v>528</v>
      </c>
    </row>
    <row r="74" spans="1:5" ht="25">
      <c r="A74" s="111" t="s">
        <v>477</v>
      </c>
      <c r="B74" s="111" t="s">
        <v>311</v>
      </c>
      <c r="C74" s="112" t="s">
        <v>29</v>
      </c>
      <c r="D74" s="113">
        <f>TRUNC((0.19*0.19*1.83)*7,2)</f>
        <v>0.46</v>
      </c>
      <c r="E74" s="111" t="s">
        <v>528</v>
      </c>
    </row>
    <row r="75" spans="1:5">
      <c r="A75" s="108"/>
      <c r="B75" s="108" t="s">
        <v>328</v>
      </c>
      <c r="C75" s="109"/>
      <c r="D75" s="110"/>
      <c r="E75" s="108"/>
    </row>
    <row r="76" spans="1:5" ht="25">
      <c r="A76" s="111" t="s">
        <v>478</v>
      </c>
      <c r="B76" s="111" t="s">
        <v>314</v>
      </c>
      <c r="C76" s="112" t="s">
        <v>4</v>
      </c>
      <c r="D76" s="113">
        <f>TRUNC(((0.15+0.15)*22.72)+((0.12+0.15+0.12)*22.72),2)</f>
        <v>15.67</v>
      </c>
      <c r="E76" s="111" t="s">
        <v>529</v>
      </c>
    </row>
    <row r="77" spans="1:5" ht="25">
      <c r="A77" s="111" t="s">
        <v>479</v>
      </c>
      <c r="B77" s="111" t="s">
        <v>329</v>
      </c>
      <c r="C77" s="112" t="s">
        <v>297</v>
      </c>
      <c r="D77" s="114">
        <f>28+30</f>
        <v>58</v>
      </c>
      <c r="E77" s="115" t="s">
        <v>564</v>
      </c>
    </row>
    <row r="78" spans="1:5" ht="25">
      <c r="A78" s="111" t="s">
        <v>480</v>
      </c>
      <c r="B78" s="111" t="s">
        <v>331</v>
      </c>
      <c r="C78" s="112" t="s">
        <v>297</v>
      </c>
      <c r="D78" s="114">
        <f>E78</f>
        <v>12</v>
      </c>
      <c r="E78" s="115">
        <v>12</v>
      </c>
    </row>
    <row r="79" spans="1:5" ht="25">
      <c r="A79" s="111" t="s">
        <v>481</v>
      </c>
      <c r="B79" s="111" t="s">
        <v>333</v>
      </c>
      <c r="C79" s="112" t="s">
        <v>297</v>
      </c>
      <c r="D79" s="114">
        <f>E79</f>
        <v>36</v>
      </c>
      <c r="E79" s="115">
        <v>36</v>
      </c>
    </row>
    <row r="80" spans="1:5" ht="25">
      <c r="A80" s="111" t="s">
        <v>482</v>
      </c>
      <c r="B80" s="111" t="s">
        <v>334</v>
      </c>
      <c r="C80" s="112" t="s">
        <v>297</v>
      </c>
      <c r="D80" s="114">
        <f>E80</f>
        <v>33</v>
      </c>
      <c r="E80" s="115">
        <v>33</v>
      </c>
    </row>
    <row r="81" spans="1:9" ht="25">
      <c r="A81" s="111" t="s">
        <v>483</v>
      </c>
      <c r="B81" s="111" t="s">
        <v>327</v>
      </c>
      <c r="C81" s="112" t="s">
        <v>29</v>
      </c>
      <c r="D81" s="114">
        <f>TRUNC(((0.15*0.19)*22.72)+((0.12*0.15)*22.72),2)</f>
        <v>1.05</v>
      </c>
      <c r="E81" s="111" t="s">
        <v>530</v>
      </c>
    </row>
    <row r="82" spans="1:9" ht="25">
      <c r="A82" s="111" t="s">
        <v>484</v>
      </c>
      <c r="B82" s="111" t="s">
        <v>311</v>
      </c>
      <c r="C82" s="112" t="s">
        <v>29</v>
      </c>
      <c r="D82" s="114">
        <f>TRUNC(((0.15*0.19)*22.72)+((0.12*0.15)*22.72),2)</f>
        <v>1.05</v>
      </c>
      <c r="E82" s="111" t="s">
        <v>530</v>
      </c>
    </row>
    <row r="83" spans="1:9">
      <c r="A83" s="108" t="s">
        <v>501</v>
      </c>
      <c r="B83" s="108" t="s">
        <v>149</v>
      </c>
      <c r="C83" s="109"/>
      <c r="D83" s="110"/>
      <c r="E83" s="108"/>
    </row>
    <row r="84" spans="1:9" ht="50">
      <c r="A84" s="111" t="s">
        <v>486</v>
      </c>
      <c r="B84" s="111" t="s">
        <v>336</v>
      </c>
      <c r="C84" s="112" t="s">
        <v>4</v>
      </c>
      <c r="D84" s="113">
        <f>TRUNC((1.83*22.72)-(0.19*1.83)*7,2)</f>
        <v>39.14</v>
      </c>
      <c r="E84" s="111" t="s">
        <v>531</v>
      </c>
    </row>
    <row r="85" spans="1:9" ht="37.5">
      <c r="A85" s="111" t="s">
        <v>487</v>
      </c>
      <c r="B85" s="111" t="s">
        <v>414</v>
      </c>
      <c r="C85" s="112" t="s">
        <v>4</v>
      </c>
      <c r="D85" s="113">
        <f>TRUNC(1.83*(22.72)*2+(22.72)*0.15,2)</f>
        <v>86.56</v>
      </c>
      <c r="E85" s="111" t="s">
        <v>532</v>
      </c>
    </row>
    <row r="86" spans="1:9" ht="50">
      <c r="A86" s="111" t="s">
        <v>488</v>
      </c>
      <c r="B86" s="111" t="s">
        <v>340</v>
      </c>
      <c r="C86" s="112" t="s">
        <v>4</v>
      </c>
      <c r="D86" s="113">
        <f>TRUNC(1.83*(22.72)*2+(22.72)*0.15,2)</f>
        <v>86.56</v>
      </c>
      <c r="E86" s="111" t="s">
        <v>532</v>
      </c>
    </row>
    <row r="87" spans="1:9" ht="25">
      <c r="A87" s="111" t="s">
        <v>489</v>
      </c>
      <c r="B87" s="111" t="s">
        <v>342</v>
      </c>
      <c r="C87" s="112" t="s">
        <v>4</v>
      </c>
      <c r="D87" s="113">
        <f>TRUNC(1.83*(22.72)*2+(22.72)*0.15,2)</f>
        <v>86.56</v>
      </c>
      <c r="E87" s="111" t="s">
        <v>532</v>
      </c>
    </row>
    <row r="88" spans="1:9" ht="25">
      <c r="A88" s="111" t="s">
        <v>490</v>
      </c>
      <c r="B88" s="111" t="s">
        <v>344</v>
      </c>
      <c r="C88" s="112" t="s">
        <v>4</v>
      </c>
      <c r="D88" s="113">
        <f>TRUNC(1.83*(22.72)*2+(22.72)*0.15,2)</f>
        <v>86.56</v>
      </c>
      <c r="E88" s="111" t="s">
        <v>532</v>
      </c>
    </row>
    <row r="89" spans="1:9" ht="25">
      <c r="A89" s="111" t="s">
        <v>491</v>
      </c>
      <c r="B89" s="111" t="s">
        <v>346</v>
      </c>
      <c r="C89" s="112" t="s">
        <v>4</v>
      </c>
      <c r="D89" s="113">
        <f>TRUNC(1.83*(22.72)*2+(22.72)*0.15,2)</f>
        <v>86.56</v>
      </c>
      <c r="E89" s="111" t="s">
        <v>532</v>
      </c>
    </row>
    <row r="90" spans="1:9" ht="14.5" thickBot="1"/>
    <row r="91" spans="1:9">
      <c r="A91" s="295"/>
      <c r="B91" s="296"/>
      <c r="C91" s="296"/>
      <c r="D91" s="296"/>
      <c r="E91" s="297"/>
    </row>
    <row r="92" spans="1:9">
      <c r="A92" s="298"/>
      <c r="B92" s="299"/>
      <c r="C92" s="299"/>
      <c r="D92" s="299"/>
      <c r="E92" s="300"/>
      <c r="F92" s="232"/>
      <c r="G92" s="232"/>
      <c r="H92" s="232"/>
      <c r="I92" s="232"/>
    </row>
    <row r="93" spans="1:9">
      <c r="A93" s="298"/>
      <c r="B93" s="299"/>
      <c r="C93" s="299"/>
      <c r="D93" s="299"/>
      <c r="E93" s="300"/>
      <c r="F93" s="232"/>
      <c r="G93" s="232"/>
      <c r="H93" s="232"/>
      <c r="I93" s="232"/>
    </row>
    <row r="94" spans="1:9">
      <c r="A94" s="298"/>
      <c r="B94" s="299"/>
      <c r="C94" s="299"/>
      <c r="D94" s="299"/>
      <c r="E94" s="300"/>
      <c r="F94" s="232"/>
      <c r="G94" s="232"/>
      <c r="H94" s="232"/>
      <c r="I94" s="232"/>
    </row>
    <row r="95" spans="1:9">
      <c r="A95" s="298"/>
      <c r="B95" s="299"/>
      <c r="C95" s="299"/>
      <c r="D95" s="299"/>
      <c r="E95" s="300"/>
      <c r="F95" s="232"/>
      <c r="G95" s="232"/>
      <c r="H95" s="232"/>
      <c r="I95" s="232"/>
    </row>
    <row r="96" spans="1:9">
      <c r="A96" s="298"/>
      <c r="B96" s="299"/>
      <c r="C96" s="299"/>
      <c r="D96" s="299"/>
      <c r="E96" s="300"/>
      <c r="F96" s="232"/>
      <c r="G96" s="232"/>
      <c r="H96" s="232"/>
      <c r="I96" s="232"/>
    </row>
    <row r="97" spans="1:9">
      <c r="A97" s="298"/>
      <c r="B97" s="299"/>
      <c r="C97" s="299"/>
      <c r="D97" s="299"/>
      <c r="E97" s="300"/>
      <c r="F97" s="232"/>
      <c r="G97" s="232"/>
      <c r="H97" s="232"/>
      <c r="I97" s="232"/>
    </row>
    <row r="98" spans="1:9">
      <c r="A98" s="298"/>
      <c r="B98" s="299"/>
      <c r="C98" s="299"/>
      <c r="D98" s="299"/>
      <c r="E98" s="300"/>
      <c r="F98" s="232"/>
      <c r="G98" s="232"/>
      <c r="H98" s="232"/>
      <c r="I98" s="232"/>
    </row>
    <row r="99" spans="1:9">
      <c r="A99" s="298"/>
      <c r="B99" s="299"/>
      <c r="C99" s="299"/>
      <c r="D99" s="299"/>
      <c r="E99" s="300"/>
      <c r="F99" s="232"/>
      <c r="G99" s="232"/>
      <c r="H99" s="232"/>
      <c r="I99" s="232"/>
    </row>
    <row r="100" spans="1:9" ht="14.5" thickBot="1">
      <c r="A100" s="301"/>
      <c r="B100" s="302"/>
      <c r="C100" s="302"/>
      <c r="D100" s="302"/>
      <c r="E100" s="303"/>
      <c r="F100" s="232"/>
      <c r="G100" s="232"/>
      <c r="H100" s="232"/>
      <c r="I100" s="232"/>
    </row>
    <row r="101" spans="1:9">
      <c r="A101" s="232"/>
      <c r="B101" s="232"/>
      <c r="C101" s="232"/>
      <c r="D101" s="232"/>
      <c r="E101" s="232"/>
      <c r="F101" s="232"/>
      <c r="G101" s="232"/>
      <c r="H101" s="232"/>
      <c r="I101" s="232"/>
    </row>
  </sheetData>
  <mergeCells count="6">
    <mergeCell ref="A91:E100"/>
    <mergeCell ref="B1:E1"/>
    <mergeCell ref="F1:H1"/>
    <mergeCell ref="I1:J1"/>
    <mergeCell ref="F2:H2"/>
    <mergeCell ref="I2:J2"/>
  </mergeCells>
  <phoneticPr fontId="49" type="noConversion"/>
  <pageMargins left="0.51181102362204722" right="0.51181102362204722" top="0.98425196850393704" bottom="0.98425196850393704" header="0.51181102362204722" footer="0.51181102362204722"/>
  <pageSetup paperSize="9" scale="80" fitToHeight="0" orientation="landscape" r:id="rId1"/>
  <headerFooter>
    <oddHeader>&amp;L &amp;C &amp;R</oddHeader>
    <oddFooter>&amp;L &amp;C &amp;R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2BF4-D044-472E-8F83-88B0F6DA8475}">
  <dimension ref="A1:H24"/>
  <sheetViews>
    <sheetView showOutlineSymbols="0" showWhiteSpace="0" view="pageBreakPreview" topLeftCell="A8" zoomScale="85" zoomScaleNormal="100" zoomScaleSheetLayoutView="85" workbookViewId="0">
      <selection activeCell="A15" sqref="A15:E17"/>
    </sheetView>
  </sheetViews>
  <sheetFormatPr defaultColWidth="9.1796875" defaultRowHeight="14"/>
  <cols>
    <col min="1" max="1" width="22.81640625" style="102" bestFit="1" customWidth="1"/>
    <col min="2" max="2" width="68.453125" style="102" bestFit="1" customWidth="1"/>
    <col min="3" max="3" width="22.81640625" style="102" bestFit="1" customWidth="1"/>
    <col min="4" max="30" width="13.6328125" style="102" bestFit="1" customWidth="1"/>
    <col min="31" max="16384" width="9.1796875" style="102"/>
  </cols>
  <sheetData>
    <row r="1" spans="1:8">
      <c r="A1" s="118"/>
      <c r="B1" s="305" t="s">
        <v>578</v>
      </c>
      <c r="C1" s="305"/>
      <c r="D1" s="305"/>
      <c r="E1" s="306"/>
      <c r="F1" s="308"/>
      <c r="G1" s="308"/>
    </row>
    <row r="2" spans="1:8">
      <c r="A2" s="119"/>
      <c r="B2" s="105" t="s">
        <v>393</v>
      </c>
      <c r="C2" s="105"/>
      <c r="D2" s="105"/>
      <c r="E2" s="106"/>
      <c r="F2" s="105"/>
      <c r="G2" s="105"/>
    </row>
    <row r="3" spans="1:8">
      <c r="A3" s="120"/>
      <c r="B3" s="121" t="s">
        <v>71</v>
      </c>
      <c r="C3" s="121"/>
      <c r="D3" s="121"/>
      <c r="E3" s="122"/>
      <c r="F3" s="309"/>
      <c r="G3" s="309"/>
    </row>
    <row r="4" spans="1:8" ht="15" customHeight="1">
      <c r="A4" s="310" t="s">
        <v>418</v>
      </c>
      <c r="B4" s="310"/>
      <c r="C4" s="310"/>
      <c r="D4" s="310"/>
      <c r="E4" s="310"/>
    </row>
    <row r="5" spans="1:8" ht="15" customHeight="1">
      <c r="A5" s="123" t="s">
        <v>394</v>
      </c>
      <c r="B5" s="123" t="s">
        <v>395</v>
      </c>
      <c r="C5" s="123" t="s">
        <v>419</v>
      </c>
      <c r="D5" s="123" t="s">
        <v>420</v>
      </c>
      <c r="E5" s="123" t="s">
        <v>421</v>
      </c>
    </row>
    <row r="6" spans="1:8" ht="29.25" customHeight="1" thickBot="1">
      <c r="A6" s="153" t="s">
        <v>109</v>
      </c>
      <c r="B6" s="154" t="s">
        <v>570</v>
      </c>
      <c r="C6" s="124" t="s">
        <v>584</v>
      </c>
      <c r="D6" s="125" t="s">
        <v>584</v>
      </c>
      <c r="E6" s="126"/>
    </row>
    <row r="7" spans="1:8" ht="29.25" customHeight="1" thickTop="1" thickBot="1">
      <c r="A7" s="153" t="s">
        <v>111</v>
      </c>
      <c r="B7" s="153" t="s">
        <v>571</v>
      </c>
      <c r="C7" s="124" t="s">
        <v>585</v>
      </c>
      <c r="D7" s="125" t="s">
        <v>585</v>
      </c>
      <c r="E7" s="127" t="s">
        <v>422</v>
      </c>
    </row>
    <row r="8" spans="1:8" ht="29.25" customHeight="1" thickTop="1" thickBot="1">
      <c r="A8" s="153" t="s">
        <v>112</v>
      </c>
      <c r="B8" s="153" t="s">
        <v>302</v>
      </c>
      <c r="C8" s="124" t="s">
        <v>572</v>
      </c>
      <c r="D8" s="125" t="s">
        <v>574</v>
      </c>
      <c r="E8" s="125" t="s">
        <v>575</v>
      </c>
    </row>
    <row r="9" spans="1:8" ht="29.25" customHeight="1" thickTop="1" thickBot="1">
      <c r="A9" s="153" t="s">
        <v>151</v>
      </c>
      <c r="B9" s="153" t="s">
        <v>460</v>
      </c>
      <c r="C9" s="124" t="s">
        <v>573</v>
      </c>
      <c r="D9" s="125" t="s">
        <v>576</v>
      </c>
      <c r="E9" s="125" t="s">
        <v>577</v>
      </c>
    </row>
    <row r="10" spans="1:8" ht="14.5" thickTop="1">
      <c r="A10" s="311" t="s">
        <v>423</v>
      </c>
      <c r="B10" s="312"/>
      <c r="C10" s="313">
        <v>369103.67999999993</v>
      </c>
      <c r="D10" s="128">
        <f>D11/C10</f>
        <v>0.8639981048143438</v>
      </c>
      <c r="E10" s="129">
        <f>E11/C10</f>
        <v>0.13600189518565628</v>
      </c>
    </row>
    <row r="11" spans="1:8">
      <c r="A11" s="316" t="s">
        <v>424</v>
      </c>
      <c r="B11" s="317"/>
      <c r="C11" s="314"/>
      <c r="D11" s="130">
        <f>C10-E11</f>
        <v>318904.87999999995</v>
      </c>
      <c r="E11" s="131">
        <f>39540.89+10657.91</f>
        <v>50198.8</v>
      </c>
      <c r="G11" s="102">
        <f>SUM(G10:G10)</f>
        <v>0</v>
      </c>
      <c r="H11" s="102">
        <f>SUM(H10:H10)</f>
        <v>0</v>
      </c>
    </row>
    <row r="12" spans="1:8">
      <c r="A12" s="316" t="s">
        <v>425</v>
      </c>
      <c r="B12" s="317"/>
      <c r="C12" s="314"/>
      <c r="D12" s="132">
        <f>D13/C10</f>
        <v>0.8639981048143438</v>
      </c>
      <c r="E12" s="133" t="s">
        <v>426</v>
      </c>
    </row>
    <row r="13" spans="1:8">
      <c r="A13" s="318" t="s">
        <v>427</v>
      </c>
      <c r="B13" s="319"/>
      <c r="C13" s="315"/>
      <c r="D13" s="134">
        <f>D11</f>
        <v>318904.87999999995</v>
      </c>
      <c r="E13" s="131">
        <f>D13+E11</f>
        <v>369103.67999999993</v>
      </c>
    </row>
    <row r="14" spans="1:8" ht="14.5" thickBot="1">
      <c r="A14" s="135"/>
      <c r="B14" s="135"/>
      <c r="C14" s="135"/>
      <c r="D14" s="135"/>
      <c r="E14" s="135"/>
      <c r="F14" s="135"/>
      <c r="G14" s="135"/>
    </row>
    <row r="15" spans="1:8" ht="60" customHeight="1">
      <c r="A15" s="233"/>
      <c r="B15" s="234"/>
      <c r="C15" s="234"/>
      <c r="D15" s="234"/>
      <c r="E15" s="235"/>
      <c r="F15" s="116"/>
      <c r="G15" s="116"/>
    </row>
    <row r="16" spans="1:8" ht="70" customHeight="1">
      <c r="A16" s="236"/>
      <c r="B16" s="237"/>
      <c r="C16" s="237"/>
      <c r="D16" s="237"/>
      <c r="E16" s="238"/>
    </row>
    <row r="17" spans="1:5" ht="14.5" thickBot="1">
      <c r="A17" s="239"/>
      <c r="B17" s="240"/>
      <c r="C17" s="240"/>
      <c r="D17" s="240"/>
      <c r="E17" s="241"/>
    </row>
    <row r="18" spans="1:5">
      <c r="A18" s="237"/>
      <c r="B18" s="237"/>
      <c r="C18" s="237"/>
      <c r="D18" s="237"/>
      <c r="E18" s="237"/>
    </row>
    <row r="19" spans="1:5">
      <c r="A19" s="237"/>
      <c r="B19" s="237"/>
      <c r="C19" s="237"/>
      <c r="D19" s="237"/>
      <c r="E19" s="237"/>
    </row>
    <row r="20" spans="1:5">
      <c r="A20" s="237"/>
      <c r="B20" s="237"/>
      <c r="C20" s="237"/>
      <c r="D20" s="237"/>
      <c r="E20" s="237"/>
    </row>
    <row r="21" spans="1:5">
      <c r="A21" s="237"/>
      <c r="B21" s="237"/>
      <c r="C21" s="237"/>
      <c r="D21" s="237"/>
      <c r="E21" s="237"/>
    </row>
    <row r="22" spans="1:5">
      <c r="A22" s="237"/>
      <c r="B22" s="237"/>
      <c r="C22" s="237"/>
      <c r="D22" s="237"/>
      <c r="E22" s="237"/>
    </row>
    <row r="23" spans="1:5">
      <c r="A23" s="237"/>
      <c r="B23" s="237"/>
      <c r="C23" s="237"/>
      <c r="D23" s="237"/>
      <c r="E23" s="237"/>
    </row>
    <row r="24" spans="1:5">
      <c r="A24" s="237"/>
      <c r="B24" s="237"/>
      <c r="C24" s="237"/>
      <c r="D24" s="237"/>
      <c r="E24" s="237"/>
    </row>
  </sheetData>
  <mergeCells count="9">
    <mergeCell ref="B1:E1"/>
    <mergeCell ref="F1:G1"/>
    <mergeCell ref="F3:G3"/>
    <mergeCell ref="A4:E4"/>
    <mergeCell ref="A10:B10"/>
    <mergeCell ref="C10:C13"/>
    <mergeCell ref="A11:B11"/>
    <mergeCell ref="A12:B12"/>
    <mergeCell ref="A13:B13"/>
  </mergeCells>
  <phoneticPr fontId="49" type="noConversion"/>
  <printOptions horizontalCentered="1"/>
  <pageMargins left="0.51181102362204722" right="0.51181102362204722" top="0.98425196850393704" bottom="0.98425196850393704" header="0.51181102362204722" footer="0.51181102362204722"/>
  <pageSetup paperSize="8" scale="98" orientation="portrait" r:id="rId1"/>
  <headerFooter>
    <oddHeader>&amp;L &amp;C &amp;R</oddHeader>
    <oddFooter>&amp;L &amp;C &amp;R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FF20-76D7-425B-AB0B-374205183C9E}">
  <dimension ref="A1:H28"/>
  <sheetViews>
    <sheetView showOutlineSymbols="0" showWhiteSpace="0" view="pageBreakPreview" zoomScaleNormal="100" zoomScaleSheetLayoutView="100" workbookViewId="0">
      <selection activeCell="K261" sqref="K261"/>
    </sheetView>
  </sheetViews>
  <sheetFormatPr defaultColWidth="9.1796875" defaultRowHeight="14"/>
  <cols>
    <col min="1" max="2" width="11.453125" style="102" bestFit="1" customWidth="1"/>
    <col min="3" max="3" width="11.36328125" style="102" bestFit="1" customWidth="1"/>
    <col min="4" max="4" width="68.453125" style="102" bestFit="1" customWidth="1"/>
    <col min="5" max="5" width="9.1796875" style="102" bestFit="1" customWidth="1"/>
    <col min="6" max="6" width="14.81640625" style="102" bestFit="1" customWidth="1"/>
    <col min="7" max="7" width="15.81640625" style="102" bestFit="1" customWidth="1"/>
    <col min="8" max="9" width="14.81640625" style="102" bestFit="1" customWidth="1"/>
    <col min="10" max="16384" width="9.1796875" style="102"/>
  </cols>
  <sheetData>
    <row r="1" spans="1:8">
      <c r="A1" s="322"/>
      <c r="B1" s="322"/>
      <c r="C1" s="136" t="s">
        <v>578</v>
      </c>
      <c r="D1" s="137"/>
      <c r="E1" s="323" t="s">
        <v>428</v>
      </c>
      <c r="F1" s="323"/>
      <c r="G1" s="323"/>
      <c r="H1" s="138" t="s">
        <v>429</v>
      </c>
    </row>
    <row r="2" spans="1:8" ht="15" customHeight="1">
      <c r="A2" s="322"/>
      <c r="B2" s="322"/>
      <c r="C2" s="324" t="s">
        <v>393</v>
      </c>
      <c r="D2" s="324"/>
      <c r="E2" s="325" t="s">
        <v>430</v>
      </c>
      <c r="F2" s="325"/>
      <c r="G2" s="139">
        <v>287139.68</v>
      </c>
      <c r="H2" s="326">
        <f>1-(G3/G2)</f>
        <v>5.018773441552915E-2</v>
      </c>
    </row>
    <row r="3" spans="1:8" ht="17.25" customHeight="1">
      <c r="A3" s="322"/>
      <c r="B3" s="322"/>
      <c r="C3" s="327" t="s">
        <v>71</v>
      </c>
      <c r="D3" s="327"/>
      <c r="E3" s="325" t="s">
        <v>431</v>
      </c>
      <c r="F3" s="325"/>
      <c r="G3" s="139">
        <v>272728.78999999998</v>
      </c>
      <c r="H3" s="326"/>
    </row>
    <row r="4" spans="1:8">
      <c r="A4" s="320" t="s">
        <v>432</v>
      </c>
      <c r="B4" s="321"/>
      <c r="C4" s="321"/>
      <c r="D4" s="321"/>
      <c r="E4" s="321"/>
      <c r="F4" s="321"/>
      <c r="G4" s="321"/>
      <c r="H4" s="321"/>
    </row>
    <row r="5" spans="1:8" ht="44.25" customHeight="1">
      <c r="A5" s="107" t="s">
        <v>394</v>
      </c>
      <c r="B5" s="107" t="s">
        <v>433</v>
      </c>
      <c r="C5" s="107" t="s">
        <v>434</v>
      </c>
      <c r="D5" s="107" t="s">
        <v>395</v>
      </c>
      <c r="E5" s="107" t="s">
        <v>396</v>
      </c>
      <c r="F5" s="107" t="s">
        <v>435</v>
      </c>
      <c r="G5" s="107" t="s">
        <v>436</v>
      </c>
      <c r="H5" s="107" t="s">
        <v>437</v>
      </c>
    </row>
    <row r="6" spans="1:8" ht="24" customHeight="1">
      <c r="A6" s="149">
        <v>1</v>
      </c>
      <c r="B6" s="150" t="s">
        <v>306</v>
      </c>
      <c r="C6" s="150" t="s">
        <v>34</v>
      </c>
      <c r="D6" s="149" t="s">
        <v>307</v>
      </c>
      <c r="E6" s="150" t="s">
        <v>29</v>
      </c>
      <c r="F6" s="198">
        <v>19.920000000000002</v>
      </c>
      <c r="G6" s="198">
        <f>(F6*$H$2)</f>
        <v>0.99973966955734073</v>
      </c>
      <c r="H6" s="198">
        <f>F6-G6</f>
        <v>18.920260330442662</v>
      </c>
    </row>
    <row r="7" spans="1:8" ht="36" customHeight="1">
      <c r="A7" s="149">
        <v>2</v>
      </c>
      <c r="B7" s="150" t="s">
        <v>438</v>
      </c>
      <c r="C7" s="150" t="s">
        <v>34</v>
      </c>
      <c r="D7" s="149" t="s">
        <v>314</v>
      </c>
      <c r="E7" s="150" t="s">
        <v>4</v>
      </c>
      <c r="F7" s="198">
        <v>52.36</v>
      </c>
      <c r="G7" s="198">
        <f t="shared" ref="G7:G27" si="0">(F7*$H$2)</f>
        <v>2.6278297739971062</v>
      </c>
      <c r="H7" s="198">
        <f t="shared" ref="H7:H27" si="1">F7-G7</f>
        <v>49.732170226002893</v>
      </c>
    </row>
    <row r="8" spans="1:8" ht="24" customHeight="1">
      <c r="A8" s="149">
        <v>3</v>
      </c>
      <c r="B8" s="150" t="s">
        <v>317</v>
      </c>
      <c r="C8" s="150" t="s">
        <v>318</v>
      </c>
      <c r="D8" s="149" t="s">
        <v>319</v>
      </c>
      <c r="E8" s="150" t="s">
        <v>296</v>
      </c>
      <c r="F8" s="198">
        <v>22.71</v>
      </c>
      <c r="G8" s="198">
        <f t="shared" si="0"/>
        <v>1.139763448576667</v>
      </c>
      <c r="H8" s="198">
        <f t="shared" si="1"/>
        <v>21.570236551423335</v>
      </c>
    </row>
    <row r="9" spans="1:8" ht="24" customHeight="1">
      <c r="A9" s="149">
        <v>4</v>
      </c>
      <c r="B9" s="150" t="s">
        <v>322</v>
      </c>
      <c r="C9" s="150" t="s">
        <v>34</v>
      </c>
      <c r="D9" s="149" t="s">
        <v>323</v>
      </c>
      <c r="E9" s="150" t="s">
        <v>297</v>
      </c>
      <c r="F9" s="198">
        <v>10.92</v>
      </c>
      <c r="G9" s="198">
        <f t="shared" si="0"/>
        <v>0.54805005981757837</v>
      </c>
      <c r="H9" s="198">
        <f t="shared" si="1"/>
        <v>10.371949940182422</v>
      </c>
    </row>
    <row r="10" spans="1:8" ht="24" customHeight="1">
      <c r="A10" s="149">
        <v>5</v>
      </c>
      <c r="B10" s="150" t="s">
        <v>324</v>
      </c>
      <c r="C10" s="150" t="s">
        <v>34</v>
      </c>
      <c r="D10" s="149" t="s">
        <v>325</v>
      </c>
      <c r="E10" s="150" t="s">
        <v>297</v>
      </c>
      <c r="F10" s="198">
        <v>7.48</v>
      </c>
      <c r="G10" s="198">
        <f t="shared" si="0"/>
        <v>0.37540425342815809</v>
      </c>
      <c r="H10" s="198">
        <f t="shared" si="1"/>
        <v>7.1045957465718423</v>
      </c>
    </row>
    <row r="11" spans="1:8" ht="36" customHeight="1">
      <c r="A11" s="149">
        <v>6</v>
      </c>
      <c r="B11" s="150" t="s">
        <v>326</v>
      </c>
      <c r="C11" s="150" t="s">
        <v>34</v>
      </c>
      <c r="D11" s="149" t="s">
        <v>327</v>
      </c>
      <c r="E11" s="150" t="s">
        <v>29</v>
      </c>
      <c r="F11" s="198">
        <v>302.52999999999997</v>
      </c>
      <c r="G11" s="198">
        <f t="shared" si="0"/>
        <v>15.183295292730033</v>
      </c>
      <c r="H11" s="198">
        <f t="shared" si="1"/>
        <v>287.34670470726996</v>
      </c>
    </row>
    <row r="12" spans="1:8" ht="24" customHeight="1">
      <c r="A12" s="149">
        <v>7</v>
      </c>
      <c r="B12" s="150" t="s">
        <v>322</v>
      </c>
      <c r="C12" s="150" t="s">
        <v>34</v>
      </c>
      <c r="D12" s="149" t="s">
        <v>329</v>
      </c>
      <c r="E12" s="150" t="s">
        <v>297</v>
      </c>
      <c r="F12" s="198">
        <v>10.92</v>
      </c>
      <c r="G12" s="198">
        <f t="shared" si="0"/>
        <v>0.54805005981757837</v>
      </c>
      <c r="H12" s="198">
        <f t="shared" si="1"/>
        <v>10.371949940182422</v>
      </c>
    </row>
    <row r="13" spans="1:8" ht="24" customHeight="1">
      <c r="A13" s="149">
        <v>8</v>
      </c>
      <c r="B13" s="150" t="s">
        <v>330</v>
      </c>
      <c r="C13" s="150" t="s">
        <v>34</v>
      </c>
      <c r="D13" s="149" t="s">
        <v>331</v>
      </c>
      <c r="E13" s="150" t="s">
        <v>297</v>
      </c>
      <c r="F13" s="198">
        <v>9.5</v>
      </c>
      <c r="G13" s="198">
        <f t="shared" si="0"/>
        <v>0.47678347694752693</v>
      </c>
      <c r="H13" s="198">
        <f t="shared" si="1"/>
        <v>9.0232165230524739</v>
      </c>
    </row>
    <row r="14" spans="1:8" ht="24" customHeight="1">
      <c r="A14" s="149">
        <v>9</v>
      </c>
      <c r="B14" s="150">
        <v>96545</v>
      </c>
      <c r="C14" s="150" t="s">
        <v>34</v>
      </c>
      <c r="D14" s="149" t="s">
        <v>333</v>
      </c>
      <c r="E14" s="150" t="s">
        <v>297</v>
      </c>
      <c r="F14" s="198">
        <v>9.15</v>
      </c>
      <c r="G14" s="198">
        <f t="shared" si="0"/>
        <v>0.45921776990209173</v>
      </c>
      <c r="H14" s="198">
        <f t="shared" si="1"/>
        <v>8.6907822300979092</v>
      </c>
    </row>
    <row r="15" spans="1:8" ht="24" customHeight="1">
      <c r="A15" s="149">
        <v>10</v>
      </c>
      <c r="B15" s="150" t="s">
        <v>324</v>
      </c>
      <c r="C15" s="150" t="s">
        <v>34</v>
      </c>
      <c r="D15" s="149" t="s">
        <v>334</v>
      </c>
      <c r="E15" s="150" t="s">
        <v>297</v>
      </c>
      <c r="F15" s="198">
        <v>7.48</v>
      </c>
      <c r="G15" s="198">
        <f t="shared" si="0"/>
        <v>0.37540425342815809</v>
      </c>
      <c r="H15" s="198">
        <f t="shared" si="1"/>
        <v>7.1045957465718423</v>
      </c>
    </row>
    <row r="16" spans="1:8" ht="25">
      <c r="A16" s="149">
        <v>11</v>
      </c>
      <c r="B16" s="150" t="s">
        <v>326</v>
      </c>
      <c r="C16" s="150" t="s">
        <v>34</v>
      </c>
      <c r="D16" s="149" t="s">
        <v>327</v>
      </c>
      <c r="E16" s="150" t="s">
        <v>29</v>
      </c>
      <c r="F16" s="198">
        <v>302.52999999999997</v>
      </c>
      <c r="G16" s="198">
        <f t="shared" si="0"/>
        <v>15.183295292730033</v>
      </c>
      <c r="H16" s="198">
        <f t="shared" si="1"/>
        <v>287.34670470726996</v>
      </c>
    </row>
    <row r="17" spans="1:8" ht="38.25" customHeight="1">
      <c r="A17" s="149">
        <v>12</v>
      </c>
      <c r="B17" s="150" t="s">
        <v>337</v>
      </c>
      <c r="C17" s="150" t="s">
        <v>34</v>
      </c>
      <c r="D17" s="149" t="s">
        <v>338</v>
      </c>
      <c r="E17" s="150" t="s">
        <v>4</v>
      </c>
      <c r="F17" s="198">
        <v>4.05</v>
      </c>
      <c r="G17" s="198">
        <f t="shared" si="0"/>
        <v>0.20326032438289304</v>
      </c>
      <c r="H17" s="198">
        <f t="shared" si="1"/>
        <v>3.8467396756171066</v>
      </c>
    </row>
    <row r="18" spans="1:8" ht="54" customHeight="1">
      <c r="A18" s="149">
        <v>13</v>
      </c>
      <c r="B18" s="150" t="s">
        <v>339</v>
      </c>
      <c r="C18" s="150" t="s">
        <v>34</v>
      </c>
      <c r="D18" s="149" t="s">
        <v>340</v>
      </c>
      <c r="E18" s="150" t="s">
        <v>4</v>
      </c>
      <c r="F18" s="198">
        <v>24.49</v>
      </c>
      <c r="G18" s="198">
        <f t="shared" si="0"/>
        <v>1.2290976158363087</v>
      </c>
      <c r="H18" s="198">
        <f t="shared" si="1"/>
        <v>23.260902384163689</v>
      </c>
    </row>
    <row r="19" spans="1:8">
      <c r="A19" s="149">
        <v>14</v>
      </c>
      <c r="B19" s="150" t="s">
        <v>439</v>
      </c>
      <c r="C19" s="150" t="s">
        <v>440</v>
      </c>
      <c r="D19" s="149" t="s">
        <v>416</v>
      </c>
      <c r="E19" s="150" t="s">
        <v>4</v>
      </c>
      <c r="F19" s="198">
        <v>264.18</v>
      </c>
      <c r="G19" s="198">
        <f t="shared" si="0"/>
        <v>13.25859567789449</v>
      </c>
      <c r="H19" s="198">
        <f t="shared" si="1"/>
        <v>250.9214043221055</v>
      </c>
    </row>
    <row r="20" spans="1:8" ht="25">
      <c r="A20" s="149">
        <v>15</v>
      </c>
      <c r="B20" s="150" t="s">
        <v>443</v>
      </c>
      <c r="C20" s="150" t="s">
        <v>440</v>
      </c>
      <c r="D20" s="149" t="s">
        <v>444</v>
      </c>
      <c r="E20" s="150" t="s">
        <v>4</v>
      </c>
      <c r="F20" s="198">
        <v>383.41</v>
      </c>
      <c r="G20" s="198">
        <f t="shared" si="0"/>
        <v>19.242479252258033</v>
      </c>
      <c r="H20" s="198">
        <f t="shared" si="1"/>
        <v>364.167520747742</v>
      </c>
    </row>
    <row r="21" spans="1:8" ht="25">
      <c r="A21" s="149">
        <v>16</v>
      </c>
      <c r="B21" s="150"/>
      <c r="C21" s="150" t="s">
        <v>51</v>
      </c>
      <c r="D21" s="149" t="s">
        <v>504</v>
      </c>
      <c r="E21" s="150" t="s">
        <v>4</v>
      </c>
      <c r="F21" s="198">
        <f>'COMPOS_NÃO_DESONER.'!F12</f>
        <v>159.54000000000002</v>
      </c>
      <c r="G21" s="198">
        <f t="shared" si="0"/>
        <v>8.0069511486535223</v>
      </c>
      <c r="H21" s="198">
        <f t="shared" si="1"/>
        <v>151.53304885134651</v>
      </c>
    </row>
    <row r="22" spans="1:8">
      <c r="A22" s="149">
        <v>17</v>
      </c>
      <c r="B22" s="150">
        <v>85180</v>
      </c>
      <c r="C22" s="150" t="s">
        <v>34</v>
      </c>
      <c r="D22" s="149" t="s">
        <v>505</v>
      </c>
      <c r="E22" s="150" t="s">
        <v>4</v>
      </c>
      <c r="F22" s="198">
        <v>15.5</v>
      </c>
      <c r="G22" s="198">
        <f t="shared" si="0"/>
        <v>0.77790988344070189</v>
      </c>
      <c r="H22" s="198">
        <f t="shared" si="1"/>
        <v>14.722090116559299</v>
      </c>
    </row>
    <row r="23" spans="1:8" ht="56.25" customHeight="1">
      <c r="A23" s="149">
        <v>18</v>
      </c>
      <c r="B23" s="150" t="s">
        <v>547</v>
      </c>
      <c r="C23" s="150" t="s">
        <v>34</v>
      </c>
      <c r="D23" s="149" t="s">
        <v>549</v>
      </c>
      <c r="E23" s="150" t="s">
        <v>4</v>
      </c>
      <c r="F23" s="198">
        <v>114.78</v>
      </c>
      <c r="G23" s="198">
        <f t="shared" si="0"/>
        <v>5.7605481562144361</v>
      </c>
      <c r="H23" s="198">
        <f t="shared" si="1"/>
        <v>109.01945184378556</v>
      </c>
    </row>
    <row r="24" spans="1:8" ht="25">
      <c r="A24" s="149">
        <v>19</v>
      </c>
      <c r="B24" s="150"/>
      <c r="C24" s="150" t="s">
        <v>51</v>
      </c>
      <c r="D24" s="149" t="s">
        <v>552</v>
      </c>
      <c r="E24" s="150" t="s">
        <v>520</v>
      </c>
      <c r="F24" s="198"/>
      <c r="G24" s="198">
        <f t="shared" si="0"/>
        <v>0</v>
      </c>
      <c r="H24" s="198">
        <f t="shared" si="1"/>
        <v>0</v>
      </c>
    </row>
    <row r="25" spans="1:8" ht="25">
      <c r="A25" s="149">
        <v>19</v>
      </c>
      <c r="B25" s="150">
        <v>68053</v>
      </c>
      <c r="C25" s="150" t="s">
        <v>34</v>
      </c>
      <c r="D25" s="149" t="s">
        <v>554</v>
      </c>
      <c r="E25" s="150"/>
      <c r="F25" s="198">
        <v>4.79</v>
      </c>
      <c r="G25" s="198">
        <f t="shared" si="0"/>
        <v>0.24039924785038463</v>
      </c>
      <c r="H25" s="198">
        <f t="shared" si="1"/>
        <v>4.5496007521496153</v>
      </c>
    </row>
    <row r="26" spans="1:8" ht="25">
      <c r="A26" s="149">
        <v>19</v>
      </c>
      <c r="B26" s="150">
        <v>41595</v>
      </c>
      <c r="C26" s="150" t="s">
        <v>34</v>
      </c>
      <c r="D26" s="149" t="s">
        <v>560</v>
      </c>
      <c r="E26" s="150" t="s">
        <v>4</v>
      </c>
      <c r="F26" s="198">
        <v>9.23</v>
      </c>
      <c r="G26" s="198">
        <f t="shared" si="0"/>
        <v>0.46323278865533407</v>
      </c>
      <c r="H26" s="198">
        <f t="shared" si="1"/>
        <v>8.766767211344666</v>
      </c>
    </row>
    <row r="27" spans="1:8" ht="50">
      <c r="A27" s="149">
        <v>19</v>
      </c>
      <c r="B27" s="150" t="s">
        <v>559</v>
      </c>
      <c r="C27" s="150" t="s">
        <v>34</v>
      </c>
      <c r="D27" s="149" t="s">
        <v>562</v>
      </c>
      <c r="E27" s="150" t="s">
        <v>520</v>
      </c>
      <c r="F27" s="198">
        <v>2497.16</v>
      </c>
      <c r="G27" s="198">
        <f t="shared" si="0"/>
        <v>125.32680287308277</v>
      </c>
      <c r="H27" s="198">
        <f t="shared" si="1"/>
        <v>2371.8331971269172</v>
      </c>
    </row>
    <row r="28" spans="1:8">
      <c r="A28" s="149"/>
      <c r="B28" s="150"/>
      <c r="C28" s="150"/>
      <c r="D28" s="149"/>
      <c r="E28" s="150"/>
      <c r="F28" s="198"/>
      <c r="G28" s="198"/>
      <c r="H28" s="198"/>
    </row>
  </sheetData>
  <mergeCells count="8">
    <mergeCell ref="A4:H4"/>
    <mergeCell ref="A1:B3"/>
    <mergeCell ref="E1:G1"/>
    <mergeCell ref="C2:D2"/>
    <mergeCell ref="E2:F2"/>
    <mergeCell ref="H2:H3"/>
    <mergeCell ref="C3:D3"/>
    <mergeCell ref="E3:F3"/>
  </mergeCells>
  <pageMargins left="0.51181102362204722" right="0.51181102362204722" top="0.98425196850393704" bottom="0.98425196850393704" header="0.51181102362204722" footer="0.51181102362204722"/>
  <pageSetup paperSize="9" scale="59" fitToHeight="0" orientation="portrait" r:id="rId1"/>
  <headerFooter>
    <oddHeader>&amp;L &amp;C &amp;R</oddHeader>
    <oddFooter>&amp;L &amp;C &amp;R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DD3D-585D-46A7-A486-AABD01403C57}">
  <dimension ref="A1:F12"/>
  <sheetViews>
    <sheetView view="pageBreakPreview" zoomScaleNormal="70" zoomScaleSheetLayoutView="100" workbookViewId="0">
      <selection activeCell="K261" sqref="K261"/>
    </sheetView>
  </sheetViews>
  <sheetFormatPr defaultColWidth="8.81640625" defaultRowHeight="14.5"/>
  <cols>
    <col min="1" max="1" width="20.1796875" style="170" customWidth="1"/>
    <col min="2" max="2" width="50" style="170" customWidth="1"/>
    <col min="3" max="3" width="7.81640625" style="170" customWidth="1"/>
    <col min="4" max="4" width="11.6328125" style="170" customWidth="1"/>
    <col min="5" max="5" width="10.453125" style="170" customWidth="1"/>
    <col min="6" max="6" width="14.6328125" style="170" customWidth="1"/>
    <col min="7" max="16384" width="8.81640625" style="170"/>
  </cols>
  <sheetData>
    <row r="1" spans="1:6">
      <c r="A1" s="165"/>
      <c r="B1" s="166" t="s">
        <v>107</v>
      </c>
      <c r="C1" s="167"/>
      <c r="D1" s="168"/>
      <c r="E1" s="167"/>
      <c r="F1" s="169"/>
    </row>
    <row r="2" spans="1:6">
      <c r="A2" s="171"/>
      <c r="B2" s="172" t="s">
        <v>579</v>
      </c>
      <c r="D2" s="173" t="s">
        <v>53</v>
      </c>
      <c r="E2" s="213"/>
      <c r="F2" s="174" t="s">
        <v>66</v>
      </c>
    </row>
    <row r="3" spans="1:6">
      <c r="A3" s="171"/>
      <c r="B3" s="172" t="s">
        <v>526</v>
      </c>
      <c r="D3" s="173" t="s">
        <v>54</v>
      </c>
      <c r="E3" s="213"/>
      <c r="F3" s="175">
        <v>0.19209999999999999</v>
      </c>
    </row>
    <row r="4" spans="1:6" ht="15" thickBot="1">
      <c r="A4" s="176"/>
      <c r="B4" s="177" t="s">
        <v>71</v>
      </c>
      <c r="C4" s="178"/>
      <c r="D4" s="179" t="s">
        <v>55</v>
      </c>
      <c r="E4" s="180"/>
      <c r="F4" s="181" t="s">
        <v>56</v>
      </c>
    </row>
    <row r="5" spans="1:6" ht="6" customHeight="1">
      <c r="A5" s="214"/>
      <c r="F5" s="215"/>
    </row>
    <row r="6" spans="1:6">
      <c r="A6" s="242" t="s">
        <v>510</v>
      </c>
      <c r="B6" s="243"/>
      <c r="C6" s="243"/>
      <c r="D6" s="243"/>
      <c r="E6" s="243"/>
      <c r="F6" s="244"/>
    </row>
    <row r="7" spans="1:6">
      <c r="A7" s="214"/>
      <c r="F7" s="215"/>
    </row>
    <row r="8" spans="1:6" ht="26.5">
      <c r="A8" s="216" t="s">
        <v>522</v>
      </c>
      <c r="B8" s="182" t="s">
        <v>523</v>
      </c>
      <c r="C8" s="183" t="s">
        <v>29</v>
      </c>
      <c r="D8" s="182"/>
      <c r="E8" s="182"/>
      <c r="F8" s="217"/>
    </row>
    <row r="9" spans="1:6">
      <c r="A9" s="218" t="s">
        <v>511</v>
      </c>
      <c r="B9" s="184" t="s">
        <v>512</v>
      </c>
      <c r="C9" s="185" t="s">
        <v>521</v>
      </c>
      <c r="D9" s="185" t="s">
        <v>513</v>
      </c>
      <c r="E9" s="185" t="s">
        <v>514</v>
      </c>
      <c r="F9" s="219" t="s">
        <v>515</v>
      </c>
    </row>
    <row r="10" spans="1:6">
      <c r="A10" s="220" t="s">
        <v>524</v>
      </c>
      <c r="B10" s="187" t="s">
        <v>525</v>
      </c>
      <c r="C10" s="186" t="s">
        <v>29</v>
      </c>
      <c r="D10" s="188">
        <v>1.3</v>
      </c>
      <c r="E10" s="189">
        <v>96.42</v>
      </c>
      <c r="F10" s="221">
        <f t="shared" ref="F10:F11" si="0">TRUNC(D10*E10,2)</f>
        <v>125.34</v>
      </c>
    </row>
    <row r="11" spans="1:6">
      <c r="A11" s="222" t="s">
        <v>517</v>
      </c>
      <c r="B11" s="187" t="s">
        <v>518</v>
      </c>
      <c r="C11" s="186" t="s">
        <v>516</v>
      </c>
      <c r="D11" s="188">
        <v>2.5</v>
      </c>
      <c r="E11" s="188">
        <v>13.68</v>
      </c>
      <c r="F11" s="221">
        <f t="shared" si="0"/>
        <v>34.200000000000003</v>
      </c>
    </row>
    <row r="12" spans="1:6" ht="15" thickBot="1">
      <c r="A12" s="223" t="s">
        <v>519</v>
      </c>
      <c r="B12" s="224"/>
      <c r="C12" s="224"/>
      <c r="D12" s="224"/>
      <c r="E12" s="225"/>
      <c r="F12" s="226">
        <f>SUM(F10:F11)</f>
        <v>159.54000000000002</v>
      </c>
    </row>
  </sheetData>
  <mergeCells count="1">
    <mergeCell ref="A6:F6"/>
  </mergeCells>
  <printOptions horizontalCentered="1"/>
  <pageMargins left="0.98425196850393704" right="0.59055118110236227" top="0.98425196850393704" bottom="0.98425196850393704" header="0.31496062992125984" footer="0.31496062992125984"/>
  <pageSetup paperSize="9" scale="74" orientation="portrait" r:id="rId1"/>
  <colBreaks count="1" manualBreakCount="1">
    <brk id="6" max="2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10</vt:i4>
      </vt:variant>
    </vt:vector>
  </HeadingPairs>
  <TitlesOfParts>
    <vt:vector size="16" baseType="lpstr">
      <vt:lpstr>ADITIVO</vt:lpstr>
      <vt:lpstr>cronograma</vt:lpstr>
      <vt:lpstr>Memória de Cálculo</vt:lpstr>
      <vt:lpstr>CFF</vt:lpstr>
      <vt:lpstr>Resumo_Valor_Desconto</vt:lpstr>
      <vt:lpstr>COMPOS_NÃO_DESONER.</vt:lpstr>
      <vt:lpstr>ADITIVO!Area_de_impressao</vt:lpstr>
      <vt:lpstr>CFF!Area_de_impressao</vt:lpstr>
      <vt:lpstr>COMPOS_NÃO_DESONER.!Area_de_impressao</vt:lpstr>
      <vt:lpstr>cronograma!Area_de_impressao</vt:lpstr>
      <vt:lpstr>'Memória de Cálculo'!Area_de_impressao</vt:lpstr>
      <vt:lpstr>Resumo_Valor_Desconto!Area_de_impressao</vt:lpstr>
      <vt:lpstr>ADITIVO!Titulos_de_impressao</vt:lpstr>
      <vt:lpstr>COMPOS_NÃO_DESONER.!Titulos_de_impressao</vt:lpstr>
      <vt:lpstr>'Memória de Cálculo'!Titulos_de_impressao</vt:lpstr>
      <vt:lpstr>Resumo_Valor_Desconto!Titulos_de_impressao</vt:lpstr>
    </vt:vector>
  </TitlesOfParts>
  <Company>PNUD/BRA/00/027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willamy.dias</dc:creator>
  <cp:lastModifiedBy>Richard Kilber</cp:lastModifiedBy>
  <cp:lastPrinted>2026-05-20T13:53:02Z</cp:lastPrinted>
  <dcterms:created xsi:type="dcterms:W3CDTF">2005-05-06T14:48:20Z</dcterms:created>
  <dcterms:modified xsi:type="dcterms:W3CDTF">2026-05-20T13:53:06Z</dcterms:modified>
</cp:coreProperties>
</file>