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feitura\Empenhos\Quadra-Florido\ADT01\Aditivo\"/>
    </mc:Choice>
  </mc:AlternateContent>
  <xr:revisionPtr revIDLastSave="0" documentId="13_ncr:1_{FB855A5B-3210-48B9-BF37-606243A7915C}" xr6:coauthVersionLast="47" xr6:coauthVersionMax="47" xr10:uidLastSave="{00000000-0000-0000-0000-000000000000}"/>
  <bookViews>
    <workbookView xWindow="6210" yWindow="3660" windowWidth="21600" windowHeight="11385" tabRatio="726" activeTab="2" xr2:uid="{00000000-000D-0000-FFFF-FFFF00000000}"/>
  </bookViews>
  <sheets>
    <sheet name="PLANILHA DE ADITIVO" sheetId="1" r:id="rId1"/>
    <sheet name="MEMORIAL DE CALCULO" sheetId="2" r:id="rId2"/>
    <sheet name="CRONOGRAMA" sheetId="4" r:id="rId3"/>
    <sheet name="DESAGIO" sheetId="3" r:id="rId4"/>
  </sheets>
  <externalReferences>
    <externalReference r:id="rId5"/>
  </externalReferences>
  <definedNames>
    <definedName name="_xlnm.Print_Area" localSheetId="2">CRONOGRAMA!$A$1:$E$28</definedName>
    <definedName name="_xlnm.Print_Area" localSheetId="1">'MEMORIAL DE CALCULO'!$A$1:$I$123</definedName>
    <definedName name="_xlnm.Print_Area" localSheetId="0">'PLANILHA DE ADITIVO'!$A$1:$I$72</definedName>
    <definedName name="JR_PAGE_ANCHOR_4_1">CRONOGRAMA!$A$1</definedName>
    <definedName name="_xlnm.Print_Titles" localSheetId="0">'PLANILHA DE ADITIVO'!$1:$9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4" l="1"/>
  <c r="E14" i="4"/>
  <c r="E12" i="4"/>
  <c r="E10" i="4"/>
  <c r="D10" i="4"/>
  <c r="E8" i="4"/>
  <c r="E15" i="4" s="1"/>
  <c r="D8" i="4"/>
  <c r="D6" i="4"/>
  <c r="D4" i="4"/>
  <c r="D15" i="4" s="1"/>
  <c r="H55" i="1"/>
  <c r="D16" i="4" l="1"/>
  <c r="E16" i="4" s="1"/>
  <c r="B61" i="2"/>
  <c r="F66" i="2"/>
  <c r="E68" i="2" s="1"/>
  <c r="B63" i="2"/>
  <c r="G45" i="1"/>
  <c r="G44" i="1"/>
  <c r="G43" i="1"/>
  <c r="G42" i="1"/>
  <c r="M2" i="3"/>
  <c r="M3" i="3" s="1"/>
  <c r="J18" i="1"/>
  <c r="E17" i="4" l="1"/>
  <c r="D17" i="4"/>
  <c r="D18" i="4" s="1"/>
  <c r="E18" i="4" s="1"/>
  <c r="H27" i="1"/>
  <c r="H22" i="1"/>
  <c r="H21" i="1" s="1"/>
  <c r="H19" i="1"/>
  <c r="H18" i="1" s="1"/>
  <c r="I13" i="1"/>
  <c r="I16" i="1"/>
  <c r="I11" i="1"/>
  <c r="H13" i="1"/>
  <c r="H16" i="1"/>
  <c r="H11" i="1"/>
  <c r="C26" i="3" l="1"/>
  <c r="E32" i="3" s="1"/>
  <c r="C21" i="3"/>
  <c r="C4" i="3"/>
  <c r="C9" i="3"/>
  <c r="E15" i="3" s="1"/>
  <c r="I47" i="1"/>
  <c r="F32" i="3" l="1"/>
  <c r="E34" i="1" s="1"/>
  <c r="F15" i="3"/>
  <c r="E33" i="1" s="1"/>
  <c r="J7" i="1"/>
  <c r="E15" i="1" s="1"/>
  <c r="H15" i="1" s="1"/>
  <c r="E14" i="1" l="1"/>
  <c r="H14" i="1" s="1"/>
  <c r="E17" i="1"/>
  <c r="H17" i="1" s="1"/>
  <c r="E23" i="1"/>
  <c r="E42" i="1"/>
  <c r="I42" i="1" s="1"/>
  <c r="E43" i="1"/>
  <c r="I43" i="1" s="1"/>
  <c r="E44" i="1"/>
  <c r="I44" i="1" s="1"/>
  <c r="E12" i="1"/>
  <c r="H12" i="1" s="1"/>
  <c r="H10" i="1" s="1"/>
  <c r="B18" i="2"/>
  <c r="A18" i="2"/>
  <c r="B109" i="2"/>
  <c r="B105" i="2"/>
  <c r="B101" i="2"/>
  <c r="A109" i="2"/>
  <c r="A105" i="2"/>
  <c r="A101" i="2"/>
  <c r="A97" i="2"/>
  <c r="B97" i="2"/>
  <c r="B95" i="2"/>
  <c r="A95" i="2"/>
  <c r="I45" i="1"/>
  <c r="A88" i="2"/>
  <c r="B88" i="2"/>
  <c r="F91" i="2"/>
  <c r="E93" i="2" s="1"/>
  <c r="G34" i="1" s="1"/>
  <c r="I34" i="1" s="1"/>
  <c r="A81" i="2"/>
  <c r="B81" i="2"/>
  <c r="B79" i="2"/>
  <c r="A79" i="2"/>
  <c r="F84" i="2"/>
  <c r="E86" i="2" s="1"/>
  <c r="G33" i="1" s="1"/>
  <c r="I33" i="1" s="1"/>
  <c r="I75" i="2"/>
  <c r="E77" i="2" s="1"/>
  <c r="G23" i="1" s="1"/>
  <c r="A72" i="2"/>
  <c r="B72" i="2"/>
  <c r="B70" i="2"/>
  <c r="A70" i="2"/>
  <c r="A52" i="2"/>
  <c r="B52" i="2"/>
  <c r="A8" i="2"/>
  <c r="B8" i="2"/>
  <c r="B54" i="2"/>
  <c r="A54" i="2"/>
  <c r="F57" i="2"/>
  <c r="E59" i="2" s="1"/>
  <c r="G17" i="1" s="1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2" i="2"/>
  <c r="H31" i="2"/>
  <c r="B28" i="2"/>
  <c r="A28" i="2"/>
  <c r="H34" i="2"/>
  <c r="H33" i="2"/>
  <c r="H24" i="2"/>
  <c r="B20" i="2"/>
  <c r="A20" i="2"/>
  <c r="H23" i="2"/>
  <c r="F14" i="2"/>
  <c r="F13" i="2"/>
  <c r="B10" i="2"/>
  <c r="A10" i="2"/>
  <c r="H20" i="1"/>
  <c r="I22" i="1"/>
  <c r="H25" i="1"/>
  <c r="H28" i="1"/>
  <c r="H29" i="1"/>
  <c r="H30" i="1"/>
  <c r="H31" i="1"/>
  <c r="H32" i="1"/>
  <c r="H37" i="1"/>
  <c r="H38" i="1"/>
  <c r="H39" i="1"/>
  <c r="H40" i="1"/>
  <c r="H48" i="1"/>
  <c r="H47" i="1" s="1"/>
  <c r="I23" i="1" l="1"/>
  <c r="I21" i="1" s="1"/>
  <c r="E26" i="2"/>
  <c r="E50" i="2"/>
  <c r="G15" i="1" s="1"/>
  <c r="I15" i="1" s="1"/>
  <c r="I26" i="1"/>
  <c r="H36" i="1"/>
  <c r="H26" i="1"/>
  <c r="I17" i="1"/>
  <c r="I36" i="1"/>
  <c r="E16" i="2"/>
  <c r="G12" i="1" s="1"/>
  <c r="I12" i="1" s="1"/>
  <c r="G14" i="1"/>
  <c r="I14" i="1" s="1"/>
  <c r="J10" i="1" l="1"/>
  <c r="I10" i="1"/>
  <c r="H50" i="1"/>
  <c r="H51" i="1" s="1"/>
  <c r="H54" i="1" s="1"/>
  <c r="I19" i="1" l="1"/>
  <c r="I18" i="1" s="1"/>
  <c r="I50" i="1" s="1"/>
  <c r="I51" i="1" l="1"/>
  <c r="I54" i="1" s="1"/>
  <c r="J11" i="1" l="1"/>
</calcChain>
</file>

<file path=xl/sharedStrings.xml><?xml version="1.0" encoding="utf-8"?>
<sst xmlns="http://schemas.openxmlformats.org/spreadsheetml/2006/main" count="362" uniqueCount="177">
  <si>
    <t>CONVÊNIO : SEC. ESTADUAL DE EDUCAÇÃO. 469/2019.</t>
  </si>
  <si>
    <t>MODALIDADE:</t>
  </si>
  <si>
    <t>Agente Promotor: PREFEITURA MUNICIPAL DE COREMAS.</t>
  </si>
  <si>
    <t>Contratada: FFJ CONSTRUTORA LTDA</t>
  </si>
  <si>
    <t>Localização: GINÁSIO DA ESCOLA FLÓRIDO NITÃO.</t>
  </si>
  <si>
    <t xml:space="preserve">Objetivo:  </t>
  </si>
  <si>
    <t>Reforma da quadra poliesportiva da Escola Municipal Flórido Nitão Diniz</t>
  </si>
  <si>
    <t>ITEM</t>
  </si>
  <si>
    <t>DISCRIMINAÇÃO DOS SERVIÇOS</t>
  </si>
  <si>
    <t>UNID.</t>
  </si>
  <si>
    <t>QUANTIDADE</t>
  </si>
  <si>
    <t>1.0</t>
  </si>
  <si>
    <t>SERVIÇOS PRELIMINARES</t>
  </si>
  <si>
    <t>1.1</t>
  </si>
  <si>
    <t>PLACA DE OBRA EM CHAPA DE ACO GALVANIZADO</t>
  </si>
  <si>
    <t>m²</t>
  </si>
  <si>
    <t>2.0</t>
  </si>
  <si>
    <t>SISTEMAS DE COBERTURA</t>
  </si>
  <si>
    <t>2.1</t>
  </si>
  <si>
    <t>TELHA DE ALUMÍNIO ONDULADA, ESP.=0,5MM</t>
  </si>
  <si>
    <t>3.0</t>
  </si>
  <si>
    <t>SISTEMA DE PISOS</t>
  </si>
  <si>
    <t>3.1</t>
  </si>
  <si>
    <t>4.0</t>
  </si>
  <si>
    <t xml:space="preserve">PINTURAS E ACABAMENTOS </t>
  </si>
  <si>
    <t>4.1</t>
  </si>
  <si>
    <t>MASSA ÚNICA, PARA RECEBIMENTO DE PINTURA, EM ARGAMASSA TRAÇO 1:2:8, PREPARO MECÂNICO COM BETONEIRA 400L, APLICADA MANUALMENTE EM FACES INTERNAS DE PAREDES, ESPESSURA DE 10MM, COM EXECUÇÃO DE TALISCAS. AF_06/2014</t>
  </si>
  <si>
    <t>4.2</t>
  </si>
  <si>
    <t>4.3</t>
  </si>
  <si>
    <t>4.4</t>
  </si>
  <si>
    <t>4.5</t>
  </si>
  <si>
    <t>4.6</t>
  </si>
  <si>
    <t>5.0</t>
  </si>
  <si>
    <t>SERVIÇOS COMPLEMENTARES</t>
  </si>
  <si>
    <t>5.1</t>
  </si>
  <si>
    <t>par</t>
  </si>
  <si>
    <t>5.2</t>
  </si>
  <si>
    <t>und</t>
  </si>
  <si>
    <t>5.3</t>
  </si>
  <si>
    <t>5.4</t>
  </si>
  <si>
    <t>6.0</t>
  </si>
  <si>
    <t>SERVIÇOS FINAIS</t>
  </si>
  <si>
    <t>6.1</t>
  </si>
  <si>
    <t>Limpeza final da obra</t>
  </si>
  <si>
    <t>SUBTOTAL</t>
  </si>
  <si>
    <t>BDI (19,21%)</t>
  </si>
  <si>
    <t>PLANILHA ORÇAMENTARIA DE ADITIVO</t>
  </si>
  <si>
    <t>PREÇO UNITARIO R$</t>
  </si>
  <si>
    <t>VALOR CONTRATADO R$</t>
  </si>
  <si>
    <t>VALOR ADITIVADO R$</t>
  </si>
  <si>
    <t>CONTRATADA</t>
  </si>
  <si>
    <t>ADITIVADA</t>
  </si>
  <si>
    <t>TOMADA DE PREÇOS 003 /2020</t>
  </si>
  <si>
    <t>CODIGO</t>
  </si>
  <si>
    <t>C (m)</t>
  </si>
  <si>
    <t>x</t>
  </si>
  <si>
    <t>L (m)</t>
  </si>
  <si>
    <t>=</t>
  </si>
  <si>
    <t>A (M²)</t>
  </si>
  <si>
    <t xml:space="preserve">A = </t>
  </si>
  <si>
    <t>DEMOLIÇÃO DE CONTRA-PISO, DE FORMA MANUAL, SEM REAPROVEITAMENTO</t>
  </si>
  <si>
    <t>73965/009</t>
  </si>
  <si>
    <t>m³</t>
  </si>
  <si>
    <t>1.3</t>
  </si>
  <si>
    <t>1.4</t>
  </si>
  <si>
    <r>
      <rPr>
        <sz val="9"/>
        <rFont val="Times New Roman"/>
        <family val="1"/>
      </rPr>
      <t>APLICAÇÃO DE FUNDO SELADOR ACRÍLICO EM PAREDES, UMA DEMÃO. AF_06/2014</t>
    </r>
  </si>
  <si>
    <r>
      <rPr>
        <sz val="9"/>
        <rFont val="Times New Roman"/>
        <family val="1"/>
      </rPr>
      <t>APLICAÇÃO E LIXAMENTO DE MASSA LÁTEX EM PAREDES, DUAS DEMÃOS. AF_06/2014</t>
    </r>
  </si>
  <si>
    <r>
      <rPr>
        <sz val="9"/>
        <rFont val="Times New Roman"/>
        <family val="1"/>
      </rPr>
      <t>APLICAÇÃO MANUAL DE PINTURA COM TINTA LÁTEX ACRÍLICA EM PAREDES, DUAS DEMÃOS. AF_06/2014</t>
    </r>
  </si>
  <si>
    <r>
      <rPr>
        <sz val="9"/>
        <rFont val="Times New Roman"/>
        <family val="1"/>
      </rPr>
      <t>APLICACAO DE TINTA A BASE DE EPOXI SOBRE PISO</t>
    </r>
  </si>
  <si>
    <r>
      <rPr>
        <sz val="9"/>
        <rFont val="Times New Roman"/>
        <family val="1"/>
      </rPr>
      <t>PINTURA ACRILICA DE FAIXAS DE DEMARCACAO EM QUADRA POLIESPORTIVA, 5 CM DE LARGURA</t>
    </r>
  </si>
  <si>
    <t>H (m)</t>
  </si>
  <si>
    <t>V (M³)</t>
  </si>
  <si>
    <t xml:space="preserve">V = </t>
  </si>
  <si>
    <t>EXECUÇÃO DE ESTRUTURAS DE CONCRETO ARMADO</t>
  </si>
  <si>
    <t>m³ - S1</t>
  </si>
  <si>
    <t>m³ - S2</t>
  </si>
  <si>
    <t>m³ - P1</t>
  </si>
  <si>
    <t>m³ - P2</t>
  </si>
  <si>
    <t>m³ - P3</t>
  </si>
  <si>
    <t>m³ - P4</t>
  </si>
  <si>
    <t>m³ - P5</t>
  </si>
  <si>
    <t>m³ - P6</t>
  </si>
  <si>
    <t>m³ - P7</t>
  </si>
  <si>
    <t>m³ - P8</t>
  </si>
  <si>
    <t>m³ - P9</t>
  </si>
  <si>
    <t>m³ - P10</t>
  </si>
  <si>
    <t>m³ - P11</t>
  </si>
  <si>
    <t>m³ - P12</t>
  </si>
  <si>
    <t>m³ - P13</t>
  </si>
  <si>
    <t>m³ - P14</t>
  </si>
  <si>
    <t>m³ - B1</t>
  </si>
  <si>
    <t>m³ - B2</t>
  </si>
  <si>
    <t>ALVENARIA DE VEDAÇÃO DE BLOCOS CERÂMICOS FURADOS NA HORIZONTAL DE 9X19X19CM (ESPESSURA 9CM)</t>
  </si>
  <si>
    <t>INFRA-ESTRUTURA E SUPER-ESTRUTURA</t>
  </si>
  <si>
    <t>ALVENARIA</t>
  </si>
  <si>
    <t>B (m)</t>
  </si>
  <si>
    <t>b (m)</t>
  </si>
  <si>
    <t>/2</t>
  </si>
  <si>
    <t>PINTURA COM TINTA ALQUÍDICA DE FUNDO (TIPO ZARCÃO) PULVERIZADA SOBRE SUPERFÍCIES METÁLICAS (EXCETO PERFIL) EXECUTADO EM OBRA</t>
  </si>
  <si>
    <t>PINTURA COM TINTA EPOXÍDICA DE ACABAMENTO APLICADA A ROLO OU PINCEL SOBRE PERFIL METÁLICO EXECUTADO EM FÁBRICA (POR DEMÃO). AF_01/2020</t>
  </si>
  <si>
    <t>5.5</t>
  </si>
  <si>
    <t>INSTALAÇÕES ELETRICA</t>
  </si>
  <si>
    <t>unid</t>
  </si>
  <si>
    <t>74131/004</t>
  </si>
  <si>
    <t>QUADRO DE DISTRIBUICAO DE ENERGIA DE EMBUTIR, EM CHAPA METALICA</t>
  </si>
  <si>
    <t>74130/005</t>
  </si>
  <si>
    <t>DISJUNTOR TERMOMAGNETICO TRIPOLAR PADRAO NEMA (AMERICANO) 60 A 100A</t>
  </si>
  <si>
    <t>PONTO DE TOMADA RESIDENCIAL INCLUINDO TOMADA 10A/250V, CAIXA ELÉTRICA</t>
  </si>
  <si>
    <t>REFLETOR RETANGULAR FECHADO, COM LÂMPADA VAPOR METÁLICO 400 W</t>
  </si>
  <si>
    <t xml:space="preserve">Quantidade  = </t>
  </si>
  <si>
    <t>UNID</t>
  </si>
  <si>
    <t>MEMORIAL DE CALCULO</t>
  </si>
  <si>
    <t>LASTRO EM CONCRETO COM MATERIAL GRANULAR, APLICADO EM BLOCOS DE COROAMENTO, ESPESSURA 10CM(ARQUIBANCADAS)</t>
  </si>
  <si>
    <t>VALOR DO CONTRATO DA OBRA:   R$ 114.076,39</t>
  </si>
  <si>
    <t>VALOR DO ADITIVO DA OBRA:   R$ 50.448,14</t>
  </si>
  <si>
    <t>VALOR TOTAL COM ADITIVO: R$ 164.524,53</t>
  </si>
  <si>
    <t>PERCENTUAL DO ADITIVO: 44,22%</t>
  </si>
  <si>
    <t>BDI = 19,21%</t>
  </si>
  <si>
    <t>ESCAVACAO MANUAL DE VALA  DE 1,5 ATE 3M</t>
  </si>
  <si>
    <t>1.2 - Aditivo</t>
  </si>
  <si>
    <t>1.3.1 - Aditivo</t>
  </si>
  <si>
    <t>1.3.2 - Aditivo</t>
  </si>
  <si>
    <t>1.4.1 - Aditivo</t>
  </si>
  <si>
    <t>3.2 - Aditivo</t>
  </si>
  <si>
    <t>4.7 - Aditivo</t>
  </si>
  <si>
    <t>4.8 - Aditivo</t>
  </si>
  <si>
    <t>5.5.1 - Aditivo</t>
  </si>
  <si>
    <t>5.5.2 - Aditivo</t>
  </si>
  <si>
    <t>5.5.3 - Aditivo</t>
  </si>
  <si>
    <t>5.5.4 - Aditivo</t>
  </si>
  <si>
    <t>Preço com desconto</t>
  </si>
  <si>
    <t xml:space="preserve">Valor </t>
  </si>
  <si>
    <t>SERVIÇO</t>
  </si>
  <si>
    <t>INCC 07/2020</t>
  </si>
  <si>
    <t>http://indiceseconomicos.secovi.com.br/indicadormensal.php?idindicador=59</t>
  </si>
  <si>
    <t>INCC 10/2019</t>
  </si>
  <si>
    <t>Cálculo do fator de reatroação</t>
  </si>
  <si>
    <t>Licitado:</t>
  </si>
  <si>
    <t>Projeto:</t>
  </si>
  <si>
    <t>Desconto %</t>
  </si>
  <si>
    <t>Valor R$</t>
  </si>
  <si>
    <t>Cálculo do Desconto da Licitação:</t>
  </si>
  <si>
    <t>4.7 PINTURA COM TINTA ALQUÍDICA DE FUNDO (TIPO ZARCÃO) PULVERIZADA SOBRE SUPERFÍCIES METÁLICAS (EXCETO PERFIL) EXECUTADO EM OBRA</t>
  </si>
  <si>
    <t>4.8 PINTURA COM TINTA EPOXÍDICA DE ACABAMENTO APLICADA A ROLO OU PINCEL SOBRE PERFIL METÁLICO EXECUTADO EM FÁBRICA (POR DEMÃO). AF_01/2020</t>
  </si>
  <si>
    <t>74246/1</t>
  </si>
  <si>
    <t>PISO INDUSTRIAL EM CONCRETO POLIDO PARA QUADRA POLIESPORTIVA, COM JUNTAS DE DILATAÇÃO PLÁSTICAS E POLIMENTO MECANIZADO, ESPESSURA 1CM.</t>
  </si>
  <si>
    <t>ESTRUTURA/SUPORTE OFICIAL P/TABELA DE BASQUETE EM TUBO AÇO GALVANIZADO D=5", H=3,05M PISO/ARO, PINTURA SINTÉTICA, FORNECIMENTO E INSTALAÇÃO</t>
  </si>
  <si>
    <t>CONJUNTO PARA FUTSAL COM TRAVES OFICIAIS DE 3,00 X 2,00 M EM TUBO DE ACO GALVANIZADO 3" COM REQUADRO EM TUBO DE 1", PINTURA EM PRIMER COM TINTA ESMALTE SINTETICO E REDES DE POLIETILENO FIO 4 MM</t>
  </si>
  <si>
    <t>CONJUNTO PARA QUADRA DE VOLEI COM POSTES EM TUBO DE ACO GALVANIZADO 3", H = *255* CM, PINTURA EM TINTA ESMALTE SINTETICO, REDE DE NYLON COM 2 MM, MALHA 10 X 10 CM E ANTENAS OFICIAIS EM FIBRA DE VIDRO</t>
  </si>
  <si>
    <t>FORNECIMENTO E INSTALAÇÃO DE REDE DE PROTEÇÃO EM NYLON MALHA 10 X 10 CM PARA QUADRA DE ESPORTE</t>
  </si>
  <si>
    <t>OBS: VALOR TOTAL DO ADITIVO R$ 50.448,14 (CINQUENTA MIL E QUATROCENTOS E QUARENTA E OITO REAIS E QUATORZE CENTAVOS).</t>
  </si>
  <si>
    <t>2.1 - Aditivo</t>
  </si>
  <si>
    <t>Data-base dos itens novos (não contratados na planilha original): Sinapi Julho/2020 - não desonerado</t>
  </si>
  <si>
    <t xml:space="preserve">TOTAL </t>
  </si>
  <si>
    <t>TOTAL REPROGRAMADO:</t>
  </si>
  <si>
    <t>OBS: VALOR TOTAL DA OBRA FICOU EM R$ 164.524,53 (CENTO E SESSENTA E QUATRO MIL, QUINHENTOS E VINTE E QUATRO REAIS E CINQUENTA E TRÊS CENTAVOS).</t>
  </si>
  <si>
    <r>
      <rPr>
        <sz val="10"/>
        <rFont val="Calibri"/>
        <family val="2"/>
      </rPr>
      <t>ITEM</t>
    </r>
  </si>
  <si>
    <r>
      <rPr>
        <sz val="10"/>
        <rFont val="Calibri"/>
        <family val="2"/>
      </rPr>
      <t>DESCRIÇÃO</t>
    </r>
  </si>
  <si>
    <r>
      <rPr>
        <sz val="10"/>
        <rFont val="Calibri"/>
        <family val="2"/>
      </rPr>
      <t>VALOR (R$)</t>
    </r>
  </si>
  <si>
    <r>
      <rPr>
        <sz val="10"/>
        <rFont val="Calibri"/>
        <family val="2"/>
      </rPr>
      <t>MÊS 1</t>
    </r>
  </si>
  <si>
    <r>
      <rPr>
        <sz val="10"/>
        <rFont val="Calibri"/>
        <family val="2"/>
      </rPr>
      <t>MÊS 2</t>
    </r>
  </si>
  <si>
    <r>
      <rPr>
        <sz val="10"/>
        <rFont val="Calibri"/>
        <family val="2"/>
      </rPr>
      <t>1</t>
    </r>
  </si>
  <si>
    <r>
      <rPr>
        <sz val="10"/>
        <rFont val="Arial"/>
        <family val="2"/>
      </rPr>
      <t>SERVIÇOS PRELIMINARES</t>
    </r>
  </si>
  <si>
    <r>
      <rPr>
        <sz val="10"/>
        <rFont val="Calibri"/>
        <family val="2"/>
      </rPr>
      <t>2</t>
    </r>
  </si>
  <si>
    <r>
      <rPr>
        <sz val="10"/>
        <rFont val="Arial"/>
        <family val="2"/>
      </rPr>
      <t>SISTEMAS DE COBERTURA</t>
    </r>
  </si>
  <si>
    <r>
      <rPr>
        <sz val="10"/>
        <rFont val="Calibri"/>
        <family val="2"/>
      </rPr>
      <t>3</t>
    </r>
  </si>
  <si>
    <r>
      <rPr>
        <sz val="10"/>
        <rFont val="Arial"/>
        <family val="2"/>
      </rPr>
      <t>SISTEMA DE PISOS</t>
    </r>
  </si>
  <si>
    <r>
      <rPr>
        <sz val="10"/>
        <rFont val="Calibri"/>
        <family val="2"/>
      </rPr>
      <t>4</t>
    </r>
  </si>
  <si>
    <r>
      <rPr>
        <sz val="10"/>
        <rFont val="Arial"/>
        <family val="2"/>
      </rPr>
      <t xml:space="preserve">PINTURAS E ACABAMENTOS </t>
    </r>
  </si>
  <si>
    <r>
      <rPr>
        <sz val="10"/>
        <rFont val="Calibri"/>
        <family val="2"/>
      </rPr>
      <t>5</t>
    </r>
  </si>
  <si>
    <r>
      <rPr>
        <sz val="10"/>
        <rFont val="Arial"/>
        <family val="2"/>
      </rPr>
      <t>SERVIÇOS COMPLEMENTARES</t>
    </r>
  </si>
  <si>
    <r>
      <rPr>
        <sz val="10"/>
        <rFont val="Calibri"/>
        <family val="2"/>
      </rPr>
      <t>6</t>
    </r>
  </si>
  <si>
    <r>
      <rPr>
        <sz val="10"/>
        <rFont val="Arial"/>
        <family val="2"/>
      </rPr>
      <t>SERVIÇOS FINAIS</t>
    </r>
  </si>
  <si>
    <t>TOTAL (R$)</t>
  </si>
  <si>
    <t>TOTAL ACUMULADO (R$)</t>
  </si>
  <si>
    <t>PERCENTUAL SIMPLES</t>
  </si>
  <si>
    <t>PERCENTUAL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</si>
</sst>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\-??_);_(@_)"/>
    <numFmt numFmtId="165" formatCode="_ * #,##0.00_ ;_ * \-#,##0.00_ ;_ * \-??_ ;_ @_ "/>
    <numFmt numFmtId="166" formatCode="0.000"/>
  </numFmts>
  <fonts count="4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58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u/>
      <sz val="9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SansSerif"/>
      <family val="2"/>
    </font>
    <font>
      <sz val="10"/>
      <name val="Calibri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22"/>
        <bgColor indexed="42"/>
      </patternFill>
    </fill>
    <fill>
      <patternFill patternType="solid">
        <fgColor indexed="27"/>
        <bgColor indexed="44"/>
      </patternFill>
    </fill>
    <fill>
      <patternFill patternType="solid">
        <fgColor indexed="22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9"/>
        <b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FDFDF"/>
      </patternFill>
    </fill>
  </fills>
  <borders count="7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0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0" applyNumberFormat="0" applyBorder="0" applyAlignment="0" applyProtection="0"/>
    <xf numFmtId="0" fontId="5" fillId="9" borderId="1" applyNumberFormat="0" applyAlignment="0" applyProtection="0"/>
    <xf numFmtId="0" fontId="6" fillId="10" borderId="2" applyNumberFormat="0" applyAlignment="0" applyProtection="0"/>
    <xf numFmtId="0" fontId="7" fillId="0" borderId="3" applyNumberFormat="0" applyFill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8" fillId="3" borderId="1" applyNumberFormat="0" applyAlignment="0" applyProtection="0"/>
    <xf numFmtId="0" fontId="18" fillId="0" borderId="0"/>
    <xf numFmtId="0" fontId="9" fillId="0" borderId="0"/>
    <xf numFmtId="0" fontId="18" fillId="4" borderId="4" applyNumberFormat="0" applyAlignment="0" applyProtection="0"/>
    <xf numFmtId="0" fontId="10" fillId="9" borderId="5" applyNumberFormat="0" applyAlignment="0" applyProtection="0"/>
    <xf numFmtId="164" fontId="18" fillId="0" borderId="0" applyFill="0" applyBorder="0" applyAlignment="0" applyProtection="0"/>
    <xf numFmtId="165" fontId="9" fillId="0" borderId="0" applyFill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164" fontId="18" fillId="0" borderId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</cellStyleXfs>
  <cellXfs count="271">
    <xf numFmtId="0" fontId="0" fillId="0" borderId="0" xfId="0"/>
    <xf numFmtId="0" fontId="16" fillId="0" borderId="0" xfId="0" applyFont="1"/>
    <xf numFmtId="0" fontId="17" fillId="0" borderId="0" xfId="0" applyFont="1"/>
    <xf numFmtId="0" fontId="20" fillId="0" borderId="11" xfId="0" applyFont="1" applyBorder="1"/>
    <xf numFmtId="0" fontId="20" fillId="0" borderId="0" xfId="0" applyFont="1"/>
    <xf numFmtId="14" fontId="20" fillId="0" borderId="0" xfId="0" applyNumberFormat="1" applyFont="1" applyAlignment="1">
      <alignment horizontal="left"/>
    </xf>
    <xf numFmtId="0" fontId="20" fillId="0" borderId="33" xfId="0" applyFont="1" applyBorder="1"/>
    <xf numFmtId="0" fontId="20" fillId="0" borderId="34" xfId="0" applyFont="1" applyBorder="1" applyAlignment="1">
      <alignment horizontal="left" vertical="center" wrapText="1"/>
    </xf>
    <xf numFmtId="0" fontId="22" fillId="0" borderId="0" xfId="0" applyFont="1"/>
    <xf numFmtId="2" fontId="23" fillId="16" borderId="26" xfId="0" applyNumberFormat="1" applyFont="1" applyFill="1" applyBorder="1"/>
    <xf numFmtId="0" fontId="26" fillId="0" borderId="16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4" xfId="0" applyFont="1" applyBorder="1" applyAlignment="1">
      <alignment vertical="top" wrapText="1"/>
    </xf>
    <xf numFmtId="0" fontId="27" fillId="0" borderId="14" xfId="0" applyFont="1" applyBorder="1" applyAlignment="1">
      <alignment horizontal="center" vertical="center"/>
    </xf>
    <xf numFmtId="2" fontId="27" fillId="0" borderId="14" xfId="0" applyNumberFormat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5" xfId="0" applyFont="1" applyBorder="1" applyAlignment="1">
      <alignment horizontal="left" vertical="top"/>
    </xf>
    <xf numFmtId="164" fontId="26" fillId="0" borderId="16" xfId="43" applyFont="1" applyFill="1" applyBorder="1" applyAlignment="1" applyProtection="1"/>
    <xf numFmtId="0" fontId="27" fillId="0" borderId="16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justify" vertical="center" wrapText="1"/>
    </xf>
    <xf numFmtId="4" fontId="27" fillId="0" borderId="16" xfId="0" applyNumberFormat="1" applyFont="1" applyBorder="1" applyAlignment="1">
      <alignment horizontal="right" vertical="center" wrapText="1"/>
    </xf>
    <xf numFmtId="43" fontId="27" fillId="0" borderId="17" xfId="43" applyNumberFormat="1" applyFont="1" applyBorder="1" applyAlignment="1">
      <alignment vertical="center"/>
    </xf>
    <xf numFmtId="164" fontId="27" fillId="0" borderId="16" xfId="43" applyFont="1" applyFill="1" applyBorder="1" applyAlignment="1" applyProtection="1"/>
    <xf numFmtId="0" fontId="27" fillId="0" borderId="25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justify" vertical="center" wrapText="1"/>
    </xf>
    <xf numFmtId="43" fontId="27" fillId="0" borderId="23" xfId="43" applyNumberFormat="1" applyFont="1" applyBorder="1" applyAlignment="1">
      <alignment vertical="center"/>
    </xf>
    <xf numFmtId="4" fontId="27" fillId="0" borderId="25" xfId="0" applyNumberFormat="1" applyFont="1" applyBorder="1" applyAlignment="1">
      <alignment horizontal="right" vertical="center" wrapText="1"/>
    </xf>
    <xf numFmtId="43" fontId="27" fillId="0" borderId="14" xfId="43" applyNumberFormat="1" applyFont="1" applyBorder="1" applyAlignment="1">
      <alignment vertical="center"/>
    </xf>
    <xf numFmtId="0" fontId="27" fillId="0" borderId="14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justify" vertical="center" wrapText="1"/>
    </xf>
    <xf numFmtId="4" fontId="27" fillId="0" borderId="14" xfId="0" applyNumberFormat="1" applyFont="1" applyBorder="1" applyAlignment="1">
      <alignment horizontal="right" vertical="center" wrapText="1"/>
    </xf>
    <xf numFmtId="49" fontId="24" fillId="0" borderId="24" xfId="0" applyNumberFormat="1" applyFont="1" applyBorder="1" applyAlignment="1">
      <alignment horizontal="left" vertical="center" wrapText="1"/>
    </xf>
    <xf numFmtId="0" fontId="27" fillId="0" borderId="24" xfId="0" applyFont="1" applyBorder="1" applyAlignment="1">
      <alignment horizontal="center" vertical="center"/>
    </xf>
    <xf numFmtId="43" fontId="27" fillId="0" borderId="24" xfId="43" applyNumberFormat="1" applyFont="1" applyBorder="1" applyAlignment="1">
      <alignment vertical="center"/>
    </xf>
    <xf numFmtId="0" fontId="26" fillId="0" borderId="14" xfId="0" applyFont="1" applyBorder="1" applyAlignment="1">
      <alignment vertical="top"/>
    </xf>
    <xf numFmtId="0" fontId="26" fillId="0" borderId="14" xfId="0" applyFont="1" applyBorder="1" applyAlignment="1">
      <alignment vertical="center"/>
    </xf>
    <xf numFmtId="0" fontId="26" fillId="0" borderId="16" xfId="0" applyFont="1" applyBorder="1" applyAlignment="1">
      <alignment horizontal="justify" vertical="center" wrapText="1"/>
    </xf>
    <xf numFmtId="0" fontId="26" fillId="0" borderId="14" xfId="0" applyFont="1" applyBorder="1" applyAlignment="1">
      <alignment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4" xfId="0" applyFont="1" applyBorder="1" applyAlignment="1">
      <alignment vertical="center" wrapText="1"/>
    </xf>
    <xf numFmtId="49" fontId="25" fillId="0" borderId="14" xfId="0" applyNumberFormat="1" applyFont="1" applyBorder="1" applyAlignment="1">
      <alignment horizontal="left" vertical="center" wrapText="1"/>
    </xf>
    <xf numFmtId="164" fontId="27" fillId="0" borderId="15" xfId="43" applyFont="1" applyFill="1" applyBorder="1" applyAlignment="1" applyProtection="1"/>
    <xf numFmtId="49" fontId="24" fillId="0" borderId="14" xfId="0" applyNumberFormat="1" applyFont="1" applyBorder="1" applyAlignment="1">
      <alignment horizontal="left" vertical="center" wrapText="1"/>
    </xf>
    <xf numFmtId="164" fontId="26" fillId="0" borderId="15" xfId="43" applyFont="1" applyFill="1" applyBorder="1" applyAlignment="1" applyProtection="1"/>
    <xf numFmtId="0" fontId="27" fillId="0" borderId="14" xfId="0" applyFont="1" applyBorder="1"/>
    <xf numFmtId="164" fontId="27" fillId="0" borderId="14" xfId="43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2" fontId="27" fillId="0" borderId="0" xfId="0" applyNumberFormat="1" applyFont="1" applyAlignment="1">
      <alignment horizontal="center"/>
    </xf>
    <xf numFmtId="164" fontId="27" fillId="9" borderId="0" xfId="43" applyFont="1" applyFill="1" applyBorder="1" applyAlignment="1" applyProtection="1">
      <alignment horizontal="center"/>
    </xf>
    <xf numFmtId="0" fontId="26" fillId="0" borderId="40" xfId="0" applyFont="1" applyBorder="1" applyAlignment="1">
      <alignment horizontal="center" vertical="center" wrapText="1"/>
    </xf>
    <xf numFmtId="164" fontId="26" fillId="0" borderId="41" xfId="43" applyFont="1" applyFill="1" applyBorder="1" applyAlignment="1" applyProtection="1"/>
    <xf numFmtId="0" fontId="27" fillId="0" borderId="40" xfId="0" applyFont="1" applyBorder="1" applyAlignment="1">
      <alignment horizontal="center" vertical="center" wrapText="1"/>
    </xf>
    <xf numFmtId="164" fontId="27" fillId="0" borderId="41" xfId="43" applyFont="1" applyFill="1" applyBorder="1" applyAlignment="1" applyProtection="1"/>
    <xf numFmtId="0" fontId="26" fillId="0" borderId="42" xfId="0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/>
    </xf>
    <xf numFmtId="164" fontId="26" fillId="0" borderId="43" xfId="43" applyFont="1" applyFill="1" applyBorder="1" applyAlignment="1" applyProtection="1"/>
    <xf numFmtId="0" fontId="27" fillId="0" borderId="32" xfId="0" applyFont="1" applyBorder="1" applyAlignment="1">
      <alignment horizontal="center" vertical="center"/>
    </xf>
    <xf numFmtId="43" fontId="26" fillId="0" borderId="47" xfId="43" applyNumberFormat="1" applyFont="1" applyFill="1" applyBorder="1" applyAlignment="1" applyProtection="1">
      <alignment horizontal="center"/>
    </xf>
    <xf numFmtId="43" fontId="26" fillId="0" borderId="48" xfId="43" applyNumberFormat="1" applyFont="1" applyFill="1" applyBorder="1" applyAlignment="1" applyProtection="1">
      <alignment horizontal="center"/>
    </xf>
    <xf numFmtId="43" fontId="0" fillId="0" borderId="0" xfId="0" applyNumberFormat="1"/>
    <xf numFmtId="0" fontId="27" fillId="0" borderId="0" xfId="0" applyFont="1" applyAlignment="1">
      <alignment horizontal="justify" vertical="center" wrapText="1"/>
    </xf>
    <xf numFmtId="4" fontId="27" fillId="0" borderId="0" xfId="0" applyNumberFormat="1" applyFont="1" applyAlignment="1">
      <alignment horizontal="right" vertical="center" wrapText="1"/>
    </xf>
    <xf numFmtId="0" fontId="26" fillId="0" borderId="14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/>
    </xf>
    <xf numFmtId="164" fontId="27" fillId="0" borderId="25" xfId="43" applyFont="1" applyFill="1" applyBorder="1" applyAlignment="1" applyProtection="1"/>
    <xf numFmtId="0" fontId="26" fillId="0" borderId="24" xfId="0" applyFont="1" applyBorder="1" applyAlignment="1">
      <alignment vertical="center" wrapText="1"/>
    </xf>
    <xf numFmtId="164" fontId="26" fillId="0" borderId="50" xfId="43" applyFont="1" applyFill="1" applyBorder="1" applyAlignment="1" applyProtection="1"/>
    <xf numFmtId="164" fontId="27" fillId="0" borderId="14" xfId="43" applyFont="1" applyFill="1" applyBorder="1" applyAlignment="1" applyProtection="1"/>
    <xf numFmtId="0" fontId="27" fillId="0" borderId="30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justify" vertical="center" wrapText="1"/>
    </xf>
    <xf numFmtId="0" fontId="26" fillId="0" borderId="14" xfId="0" applyFont="1" applyBorder="1" applyAlignment="1">
      <alignment horizontal="center" vertical="center"/>
    </xf>
    <xf numFmtId="4" fontId="26" fillId="0" borderId="14" xfId="0" applyNumberFormat="1" applyFont="1" applyBorder="1" applyAlignment="1">
      <alignment horizontal="right" vertical="center" wrapText="1"/>
    </xf>
    <xf numFmtId="43" fontId="26" fillId="0" borderId="14" xfId="43" applyNumberFormat="1" applyFont="1" applyBorder="1" applyAlignment="1">
      <alignment vertical="center"/>
    </xf>
    <xf numFmtId="0" fontId="20" fillId="0" borderId="32" xfId="0" applyFont="1" applyBorder="1" applyAlignment="1">
      <alignment horizontal="left" vertical="center" wrapText="1"/>
    </xf>
    <xf numFmtId="0" fontId="20" fillId="0" borderId="0" xfId="0" applyFont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2" fillId="0" borderId="32" xfId="0" applyFont="1" applyBorder="1"/>
    <xf numFmtId="0" fontId="22" fillId="0" borderId="33" xfId="0" applyFont="1" applyBorder="1"/>
    <xf numFmtId="0" fontId="23" fillId="0" borderId="32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0" xfId="0" applyFont="1" applyAlignment="1">
      <alignment horizontal="center"/>
    </xf>
    <xf numFmtId="2" fontId="22" fillId="0" borderId="0" xfId="0" applyNumberFormat="1" applyFont="1"/>
    <xf numFmtId="0" fontId="23" fillId="0" borderId="0" xfId="0" applyFont="1" applyAlignment="1">
      <alignment horizontal="right"/>
    </xf>
    <xf numFmtId="0" fontId="23" fillId="0" borderId="0" xfId="0" applyFont="1"/>
    <xf numFmtId="0" fontId="0" fillId="0" borderId="32" xfId="0" applyBorder="1"/>
    <xf numFmtId="0" fontId="0" fillId="0" borderId="33" xfId="0" applyBorder="1"/>
    <xf numFmtId="0" fontId="22" fillId="0" borderId="33" xfId="0" applyFont="1" applyBorder="1" applyAlignment="1">
      <alignment horizontal="center"/>
    </xf>
    <xf numFmtId="2" fontId="22" fillId="0" borderId="32" xfId="0" applyNumberFormat="1" applyFont="1" applyBorder="1"/>
    <xf numFmtId="2" fontId="22" fillId="0" borderId="0" xfId="0" applyNumberFormat="1" applyFont="1" applyAlignment="1">
      <alignment horizontal="center"/>
    </xf>
    <xf numFmtId="2" fontId="22" fillId="0" borderId="33" xfId="0" applyNumberFormat="1" applyFont="1" applyBorder="1"/>
    <xf numFmtId="0" fontId="22" fillId="0" borderId="34" xfId="0" applyFont="1" applyBorder="1"/>
    <xf numFmtId="0" fontId="22" fillId="0" borderId="35" xfId="0" applyFont="1" applyBorder="1"/>
    <xf numFmtId="0" fontId="23" fillId="0" borderId="35" xfId="0" applyFont="1" applyBorder="1" applyAlignment="1">
      <alignment horizontal="right"/>
    </xf>
    <xf numFmtId="0" fontId="23" fillId="0" borderId="35" xfId="0" applyFont="1" applyBorder="1"/>
    <xf numFmtId="0" fontId="22" fillId="0" borderId="38" xfId="0" applyFont="1" applyBorder="1"/>
    <xf numFmtId="0" fontId="26" fillId="0" borderId="39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0" fillId="0" borderId="19" xfId="0" applyFont="1" applyBorder="1"/>
    <xf numFmtId="0" fontId="0" fillId="0" borderId="10" xfId="0" applyBorder="1"/>
    <xf numFmtId="0" fontId="0" fillId="0" borderId="20" xfId="0" applyBorder="1"/>
    <xf numFmtId="0" fontId="21" fillId="0" borderId="22" xfId="0" applyFont="1" applyBorder="1"/>
    <xf numFmtId="0" fontId="27" fillId="0" borderId="24" xfId="0" applyFont="1" applyBorder="1" applyAlignment="1">
      <alignment vertical="center"/>
    </xf>
    <xf numFmtId="0" fontId="27" fillId="0" borderId="58" xfId="0" applyFont="1" applyBorder="1" applyAlignment="1">
      <alignment horizontal="left" vertical="top"/>
    </xf>
    <xf numFmtId="164" fontId="26" fillId="0" borderId="59" xfId="43" applyFont="1" applyFill="1" applyBorder="1" applyAlignment="1" applyProtection="1"/>
    <xf numFmtId="0" fontId="25" fillId="0" borderId="14" xfId="0" applyFont="1" applyBorder="1" applyAlignment="1">
      <alignment horizontal="center" vertical="center" wrapText="1"/>
    </xf>
    <xf numFmtId="166" fontId="16" fillId="0" borderId="0" xfId="0" applyNumberFormat="1" applyFont="1"/>
    <xf numFmtId="43" fontId="17" fillId="0" borderId="0" xfId="0" applyNumberFormat="1" applyFont="1"/>
    <xf numFmtId="0" fontId="2" fillId="0" borderId="0" xfId="44"/>
    <xf numFmtId="0" fontId="2" fillId="0" borderId="61" xfId="44" applyBorder="1"/>
    <xf numFmtId="0" fontId="2" fillId="0" borderId="62" xfId="44" applyBorder="1"/>
    <xf numFmtId="0" fontId="2" fillId="0" borderId="32" xfId="44" applyBorder="1"/>
    <xf numFmtId="0" fontId="2" fillId="0" borderId="0" xfId="44" applyAlignment="1">
      <alignment horizontal="center"/>
    </xf>
    <xf numFmtId="0" fontId="2" fillId="0" borderId="33" xfId="44" applyBorder="1"/>
    <xf numFmtId="44" fontId="0" fillId="0" borderId="0" xfId="47" applyFont="1" applyBorder="1"/>
    <xf numFmtId="0" fontId="2" fillId="0" borderId="32" xfId="44" applyBorder="1" applyAlignment="1">
      <alignment horizontal="center"/>
    </xf>
    <xf numFmtId="0" fontId="28" fillId="0" borderId="0" xfId="46" applyBorder="1"/>
    <xf numFmtId="10" fontId="0" fillId="0" borderId="0" xfId="45" applyNumberFormat="1" applyFont="1" applyBorder="1" applyAlignment="1">
      <alignment horizontal="center" vertical="center"/>
    </xf>
    <xf numFmtId="17" fontId="2" fillId="0" borderId="0" xfId="44" applyNumberFormat="1"/>
    <xf numFmtId="2" fontId="2" fillId="0" borderId="0" xfId="44" applyNumberFormat="1"/>
    <xf numFmtId="10" fontId="2" fillId="0" borderId="0" xfId="48" applyNumberFormat="1" applyFont="1"/>
    <xf numFmtId="43" fontId="25" fillId="0" borderId="14" xfId="43" applyNumberFormat="1" applyFont="1" applyBorder="1" applyAlignment="1">
      <alignment vertical="center"/>
    </xf>
    <xf numFmtId="0" fontId="25" fillId="0" borderId="16" xfId="0" applyFont="1" applyBorder="1" applyAlignment="1">
      <alignment horizontal="justify" vertical="center" wrapText="1"/>
    </xf>
    <xf numFmtId="0" fontId="25" fillId="0" borderId="25" xfId="0" applyFont="1" applyBorder="1" applyAlignment="1">
      <alignment horizontal="justify" vertical="center" wrapText="1"/>
    </xf>
    <xf numFmtId="0" fontId="31" fillId="0" borderId="32" xfId="46" applyFont="1" applyBorder="1"/>
    <xf numFmtId="166" fontId="22" fillId="0" borderId="0" xfId="0" applyNumberFormat="1" applyFont="1"/>
    <xf numFmtId="2" fontId="23" fillId="0" borderId="0" xfId="0" applyNumberFormat="1" applyFont="1"/>
    <xf numFmtId="164" fontId="17" fillId="0" borderId="0" xfId="0" applyNumberFormat="1" applyFont="1"/>
    <xf numFmtId="0" fontId="26" fillId="0" borderId="0" xfId="0" applyFont="1" applyAlignment="1">
      <alignment horizontal="right"/>
    </xf>
    <xf numFmtId="43" fontId="26" fillId="0" borderId="0" xfId="43" applyNumberFormat="1" applyFont="1" applyFill="1" applyBorder="1" applyAlignment="1" applyProtection="1">
      <alignment horizontal="left"/>
    </xf>
    <xf numFmtId="0" fontId="26" fillId="0" borderId="64" xfId="0" applyFont="1" applyBorder="1" applyAlignment="1">
      <alignment horizontal="right"/>
    </xf>
    <xf numFmtId="0" fontId="26" fillId="0" borderId="65" xfId="0" applyFont="1" applyBorder="1" applyAlignment="1">
      <alignment horizontal="right"/>
    </xf>
    <xf numFmtId="0" fontId="26" fillId="0" borderId="60" xfId="0" applyFont="1" applyBorder="1" applyAlignment="1">
      <alignment horizontal="right"/>
    </xf>
    <xf numFmtId="0" fontId="26" fillId="0" borderId="61" xfId="0" applyFont="1" applyBorder="1" applyAlignment="1">
      <alignment horizontal="right"/>
    </xf>
    <xf numFmtId="43" fontId="26" fillId="0" borderId="61" xfId="43" applyNumberFormat="1" applyFont="1" applyFill="1" applyBorder="1" applyAlignment="1" applyProtection="1">
      <alignment horizontal="left"/>
    </xf>
    <xf numFmtId="43" fontId="26" fillId="0" borderId="62" xfId="43" applyNumberFormat="1" applyFont="1" applyFill="1" applyBorder="1" applyAlignment="1" applyProtection="1">
      <alignment horizontal="left"/>
    </xf>
    <xf numFmtId="0" fontId="15" fillId="0" borderId="32" xfId="0" applyFont="1" applyBorder="1"/>
    <xf numFmtId="0" fontId="30" fillId="0" borderId="32" xfId="0" applyFont="1" applyBorder="1"/>
    <xf numFmtId="0" fontId="0" fillId="0" borderId="34" xfId="0" applyBorder="1"/>
    <xf numFmtId="0" fontId="0" fillId="0" borderId="35" xfId="0" applyBorder="1"/>
    <xf numFmtId="43" fontId="0" fillId="0" borderId="35" xfId="0" applyNumberFormat="1" applyBorder="1"/>
    <xf numFmtId="0" fontId="0" fillId="0" borderId="38" xfId="0" applyBorder="1"/>
    <xf numFmtId="0" fontId="0" fillId="17" borderId="60" xfId="0" applyFill="1" applyBorder="1"/>
    <xf numFmtId="0" fontId="0" fillId="17" borderId="61" xfId="0" applyFill="1" applyBorder="1"/>
    <xf numFmtId="0" fontId="0" fillId="17" borderId="62" xfId="0" applyFill="1" applyBorder="1"/>
    <xf numFmtId="0" fontId="0" fillId="17" borderId="32" xfId="0" applyFill="1" applyBorder="1"/>
    <xf numFmtId="0" fontId="0" fillId="17" borderId="33" xfId="0" applyFill="1" applyBorder="1"/>
    <xf numFmtId="0" fontId="32" fillId="17" borderId="33" xfId="0" applyFont="1" applyFill="1" applyBorder="1"/>
    <xf numFmtId="0" fontId="0" fillId="17" borderId="34" xfId="0" applyFill="1" applyBorder="1"/>
    <xf numFmtId="0" fontId="0" fillId="17" borderId="35" xfId="0" applyFill="1" applyBorder="1"/>
    <xf numFmtId="0" fontId="0" fillId="17" borderId="38" xfId="0" applyFill="1" applyBorder="1"/>
    <xf numFmtId="0" fontId="0" fillId="17" borderId="0" xfId="0" applyFill="1"/>
    <xf numFmtId="0" fontId="32" fillId="17" borderId="0" xfId="0" applyFont="1" applyFill="1"/>
    <xf numFmtId="0" fontId="24" fillId="15" borderId="54" xfId="0" applyFont="1" applyFill="1" applyBorder="1" applyAlignment="1">
      <alignment horizontal="center" vertical="center"/>
    </xf>
    <xf numFmtId="0" fontId="24" fillId="15" borderId="56" xfId="0" applyFont="1" applyFill="1" applyBorder="1" applyAlignment="1">
      <alignment horizontal="center" vertical="center"/>
    </xf>
    <xf numFmtId="0" fontId="24" fillId="15" borderId="55" xfId="0" applyFont="1" applyFill="1" applyBorder="1" applyAlignment="1">
      <alignment horizontal="center" vertical="center"/>
    </xf>
    <xf numFmtId="0" fontId="24" fillId="15" borderId="23" xfId="0" applyFont="1" applyFill="1" applyBorder="1" applyAlignment="1">
      <alignment horizontal="center" vertical="center"/>
    </xf>
    <xf numFmtId="0" fontId="24" fillId="15" borderId="57" xfId="0" applyFont="1" applyFill="1" applyBorder="1" applyAlignment="1">
      <alignment horizontal="center" vertical="center"/>
    </xf>
    <xf numFmtId="0" fontId="24" fillId="15" borderId="24" xfId="0" applyFont="1" applyFill="1" applyBorder="1" applyAlignment="1">
      <alignment horizontal="center" vertical="center"/>
    </xf>
    <xf numFmtId="165" fontId="24" fillId="15" borderId="14" xfId="35" applyFont="1" applyFill="1" applyBorder="1" applyAlignment="1" applyProtection="1">
      <alignment horizontal="center" vertical="center"/>
    </xf>
    <xf numFmtId="0" fontId="26" fillId="0" borderId="44" xfId="0" applyFont="1" applyBorder="1" applyAlignment="1">
      <alignment horizontal="right"/>
    </xf>
    <xf numFmtId="0" fontId="26" fillId="0" borderId="45" xfId="0" applyFont="1" applyBorder="1" applyAlignment="1">
      <alignment horizontal="right"/>
    </xf>
    <xf numFmtId="0" fontId="26" fillId="0" borderId="46" xfId="0" applyFont="1" applyBorder="1" applyAlignment="1">
      <alignment horizontal="right"/>
    </xf>
    <xf numFmtId="165" fontId="24" fillId="15" borderId="63" xfId="35" applyFont="1" applyFill="1" applyBorder="1" applyAlignment="1" applyProtection="1">
      <alignment horizontal="center" vertical="center"/>
    </xf>
    <xf numFmtId="165" fontId="24" fillId="15" borderId="17" xfId="35" applyFont="1" applyFill="1" applyBorder="1" applyAlignment="1" applyProtection="1">
      <alignment horizontal="center" vertical="center"/>
    </xf>
    <xf numFmtId="0" fontId="20" fillId="0" borderId="27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0" fillId="0" borderId="32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1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3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32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43" fontId="26" fillId="0" borderId="64" xfId="43" applyNumberFormat="1" applyFont="1" applyFill="1" applyBorder="1" applyAlignment="1" applyProtection="1">
      <alignment horizontal="center" vertical="center"/>
    </xf>
    <xf numFmtId="43" fontId="26" fillId="0" borderId="65" xfId="43" applyNumberFormat="1" applyFont="1" applyFill="1" applyBorder="1" applyAlignment="1" applyProtection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165" fontId="24" fillId="15" borderId="23" xfId="35" applyFont="1" applyFill="1" applyBorder="1" applyAlignment="1" applyProtection="1">
      <alignment horizontal="center" vertical="justify"/>
    </xf>
    <xf numFmtId="165" fontId="24" fillId="15" borderId="24" xfId="35" applyFont="1" applyFill="1" applyBorder="1" applyAlignment="1" applyProtection="1">
      <alignment horizontal="center" vertical="justify"/>
    </xf>
    <xf numFmtId="165" fontId="24" fillId="15" borderId="14" xfId="35" applyFont="1" applyFill="1" applyBorder="1" applyAlignment="1" applyProtection="1">
      <alignment horizontal="center" vertical="center" wrapText="1"/>
    </xf>
    <xf numFmtId="0" fontId="24" fillId="15" borderId="51" xfId="0" applyFont="1" applyFill="1" applyBorder="1" applyAlignment="1">
      <alignment horizontal="center" vertical="center"/>
    </xf>
    <xf numFmtId="0" fontId="24" fillId="15" borderId="52" xfId="0" applyFont="1" applyFill="1" applyBorder="1" applyAlignment="1">
      <alignment horizontal="center" vertical="center"/>
    </xf>
    <xf numFmtId="0" fontId="24" fillId="15" borderId="53" xfId="0" applyFont="1" applyFill="1" applyBorder="1" applyAlignment="1">
      <alignment horizontal="center" vertical="center"/>
    </xf>
    <xf numFmtId="0" fontId="24" fillId="15" borderId="14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left"/>
    </xf>
    <xf numFmtId="0" fontId="20" fillId="0" borderId="33" xfId="0" applyFont="1" applyBorder="1" applyAlignment="1">
      <alignment horizontal="left"/>
    </xf>
    <xf numFmtId="0" fontId="20" fillId="0" borderId="31" xfId="0" applyFont="1" applyBorder="1" applyAlignment="1">
      <alignment horizontal="center"/>
    </xf>
    <xf numFmtId="0" fontId="22" fillId="0" borderId="0" xfId="0" applyFont="1" applyAlignment="1">
      <alignment horizontal="justify" vertical="justify"/>
    </xf>
    <xf numFmtId="0" fontId="22" fillId="0" borderId="33" xfId="0" applyFont="1" applyBorder="1" applyAlignment="1">
      <alignment horizontal="justify" vertical="justify"/>
    </xf>
    <xf numFmtId="0" fontId="23" fillId="0" borderId="0" xfId="0" applyFont="1" applyAlignment="1">
      <alignment horizontal="left"/>
    </xf>
    <xf numFmtId="0" fontId="23" fillId="0" borderId="33" xfId="0" applyFont="1" applyBorder="1" applyAlignment="1">
      <alignment horizontal="left"/>
    </xf>
    <xf numFmtId="0" fontId="21" fillId="0" borderId="35" xfId="0" applyFont="1" applyBorder="1" applyAlignment="1">
      <alignment horizontal="left" vertical="center" wrapText="1"/>
    </xf>
    <xf numFmtId="0" fontId="21" fillId="0" borderId="36" xfId="0" applyFont="1" applyBorder="1" applyAlignment="1">
      <alignment horizontal="left" vertical="center" wrapText="1"/>
    </xf>
    <xf numFmtId="0" fontId="20" fillId="0" borderId="37" xfId="0" applyFont="1" applyBorder="1" applyAlignment="1">
      <alignment horizontal="left" vertical="center"/>
    </xf>
    <xf numFmtId="0" fontId="20" fillId="0" borderId="35" xfId="0" applyFont="1" applyBorder="1" applyAlignment="1">
      <alignment horizontal="left" vertical="center"/>
    </xf>
    <xf numFmtId="0" fontId="20" fillId="0" borderId="38" xfId="0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2" fillId="0" borderId="33" xfId="0" applyFont="1" applyBorder="1" applyAlignment="1">
      <alignment horizontal="left"/>
    </xf>
    <xf numFmtId="49" fontId="23" fillId="0" borderId="0" xfId="0" applyNumberFormat="1" applyFont="1" applyAlignment="1">
      <alignment horizontal="left"/>
    </xf>
    <xf numFmtId="10" fontId="0" fillId="0" borderId="0" xfId="45" applyNumberFormat="1" applyFont="1" applyBorder="1" applyAlignment="1">
      <alignment horizontal="center" vertical="center"/>
    </xf>
    <xf numFmtId="0" fontId="2" fillId="0" borderId="32" xfId="44" applyBorder="1" applyAlignment="1">
      <alignment horizontal="center"/>
    </xf>
    <xf numFmtId="0" fontId="2" fillId="0" borderId="0" xfId="44" applyAlignment="1">
      <alignment horizontal="center"/>
    </xf>
    <xf numFmtId="0" fontId="2" fillId="0" borderId="60" xfId="44" applyBorder="1" applyAlignment="1">
      <alignment horizontal="center"/>
    </xf>
    <xf numFmtId="0" fontId="2" fillId="0" borderId="61" xfId="44" applyBorder="1" applyAlignment="1">
      <alignment horizontal="center"/>
    </xf>
    <xf numFmtId="0" fontId="29" fillId="0" borderId="0" xfId="44" applyFont="1" applyAlignment="1">
      <alignment horizontal="center" vertical="center"/>
    </xf>
    <xf numFmtId="0" fontId="29" fillId="0" borderId="35" xfId="44" applyFont="1" applyBorder="1" applyAlignment="1">
      <alignment horizontal="center" vertical="center"/>
    </xf>
    <xf numFmtId="0" fontId="2" fillId="0" borderId="0" xfId="44" applyAlignment="1">
      <alignment horizontal="center" vertical="center"/>
    </xf>
    <xf numFmtId="0" fontId="2" fillId="0" borderId="35" xfId="44" applyBorder="1" applyAlignment="1">
      <alignment horizontal="center" vertical="center"/>
    </xf>
    <xf numFmtId="0" fontId="2" fillId="0" borderId="33" xfId="44" applyBorder="1" applyAlignment="1">
      <alignment horizontal="center" vertical="center"/>
    </xf>
    <xf numFmtId="0" fontId="2" fillId="0" borderId="38" xfId="44" applyBorder="1" applyAlignment="1">
      <alignment horizontal="center" vertical="center"/>
    </xf>
    <xf numFmtId="0" fontId="2" fillId="0" borderId="33" xfId="44" applyBorder="1" applyAlignment="1">
      <alignment horizontal="center" wrapText="1"/>
    </xf>
    <xf numFmtId="0" fontId="2" fillId="0" borderId="32" xfId="44" applyBorder="1" applyAlignment="1">
      <alignment horizontal="center" vertical="center" wrapText="1"/>
    </xf>
    <xf numFmtId="0" fontId="2" fillId="0" borderId="0" xfId="44" applyAlignment="1">
      <alignment horizontal="center" vertical="center" wrapText="1"/>
    </xf>
    <xf numFmtId="0" fontId="2" fillId="0" borderId="34" xfId="44" applyBorder="1" applyAlignment="1">
      <alignment horizontal="center" vertical="center" wrapText="1"/>
    </xf>
    <xf numFmtId="0" fontId="2" fillId="0" borderId="35" xfId="44" applyBorder="1" applyAlignment="1">
      <alignment horizontal="center" vertical="center" wrapText="1"/>
    </xf>
    <xf numFmtId="0" fontId="2" fillId="0" borderId="32" xfId="44" applyBorder="1" applyAlignment="1">
      <alignment horizontal="center" vertical="center"/>
    </xf>
    <xf numFmtId="0" fontId="1" fillId="0" borderId="0" xfId="49" applyAlignment="1" applyProtection="1">
      <alignment horizontal="left" vertical="top" wrapText="1"/>
      <protection locked="0"/>
    </xf>
    <xf numFmtId="0" fontId="1" fillId="0" borderId="0" xfId="49"/>
    <xf numFmtId="0" fontId="33" fillId="18" borderId="66" xfId="49" applyFont="1" applyFill="1" applyBorder="1" applyAlignment="1">
      <alignment horizontal="center" vertical="center" wrapText="1"/>
    </xf>
    <xf numFmtId="0" fontId="1" fillId="0" borderId="0" xfId="49" applyAlignment="1" applyProtection="1">
      <alignment wrapText="1"/>
      <protection locked="0"/>
    </xf>
    <xf numFmtId="0" fontId="33" fillId="0" borderId="66" xfId="49" applyFont="1" applyBorder="1" applyAlignment="1">
      <alignment horizontal="center" vertical="center" wrapText="1"/>
    </xf>
    <xf numFmtId="0" fontId="35" fillId="0" borderId="66" xfId="49" applyFont="1" applyBorder="1" applyAlignment="1">
      <alignment horizontal="left" vertical="center" wrapText="1"/>
    </xf>
    <xf numFmtId="4" fontId="35" fillId="0" borderId="67" xfId="49" applyNumberFormat="1" applyFont="1" applyBorder="1" applyAlignment="1">
      <alignment horizontal="right" vertical="center" wrapText="1"/>
    </xf>
    <xf numFmtId="4" fontId="35" fillId="0" borderId="67" xfId="49" applyNumberFormat="1" applyFont="1" applyBorder="1" applyAlignment="1">
      <alignment horizontal="right" vertical="center" wrapText="1"/>
    </xf>
    <xf numFmtId="0" fontId="36" fillId="0" borderId="67" xfId="49" applyFont="1" applyBorder="1" applyAlignment="1" applyProtection="1">
      <alignment wrapText="1"/>
      <protection locked="0"/>
    </xf>
    <xf numFmtId="0" fontId="33" fillId="0" borderId="66" xfId="49" applyFont="1" applyBorder="1" applyAlignment="1" applyProtection="1">
      <alignment horizontal="center" vertical="center" wrapText="1"/>
      <protection locked="0"/>
    </xf>
    <xf numFmtId="0" fontId="35" fillId="0" borderId="66" xfId="49" applyFont="1" applyBorder="1" applyAlignment="1" applyProtection="1">
      <alignment horizontal="left" vertical="center" wrapText="1"/>
      <protection locked="0"/>
    </xf>
    <xf numFmtId="4" fontId="35" fillId="0" borderId="68" xfId="49" applyNumberFormat="1" applyFont="1" applyBorder="1" applyAlignment="1">
      <alignment horizontal="right" vertical="center" wrapText="1"/>
    </xf>
    <xf numFmtId="4" fontId="35" fillId="18" borderId="66" xfId="49" applyNumberFormat="1" applyFont="1" applyFill="1" applyBorder="1" applyAlignment="1">
      <alignment horizontal="right" vertical="center" wrapText="1"/>
    </xf>
    <xf numFmtId="0" fontId="36" fillId="0" borderId="68" xfId="49" applyFont="1" applyBorder="1" applyAlignment="1" applyProtection="1">
      <alignment wrapText="1"/>
      <protection locked="0"/>
    </xf>
    <xf numFmtId="4" fontId="35" fillId="0" borderId="66" xfId="49" applyNumberFormat="1" applyFont="1" applyBorder="1" applyAlignment="1">
      <alignment horizontal="right" vertical="center" wrapText="1"/>
    </xf>
    <xf numFmtId="0" fontId="35" fillId="0" borderId="66" xfId="49" applyFont="1" applyBorder="1" applyAlignment="1" applyProtection="1">
      <alignment horizontal="right" vertical="center" wrapText="1"/>
      <protection locked="0"/>
    </xf>
    <xf numFmtId="0" fontId="35" fillId="0" borderId="67" xfId="49" applyFont="1" applyBorder="1" applyAlignment="1" applyProtection="1">
      <alignment horizontal="right" vertical="center" wrapText="1"/>
      <protection locked="0"/>
    </xf>
    <xf numFmtId="0" fontId="37" fillId="18" borderId="69" xfId="49" applyFont="1" applyFill="1" applyBorder="1" applyAlignment="1" applyProtection="1">
      <alignment horizontal="left" wrapText="1"/>
      <protection locked="0"/>
    </xf>
    <xf numFmtId="0" fontId="37" fillId="18" borderId="70" xfId="49" applyFont="1" applyFill="1" applyBorder="1" applyAlignment="1" applyProtection="1">
      <alignment horizontal="left" wrapText="1"/>
      <protection locked="0"/>
    </xf>
    <xf numFmtId="4" fontId="38" fillId="18" borderId="14" xfId="49" applyNumberFormat="1" applyFont="1" applyFill="1" applyBorder="1" applyAlignment="1">
      <alignment horizontal="right" vertical="center" wrapText="1"/>
    </xf>
    <xf numFmtId="4" fontId="39" fillId="18" borderId="71" xfId="49" applyNumberFormat="1" applyFont="1" applyFill="1" applyBorder="1" applyAlignment="1">
      <alignment horizontal="right" vertical="center" wrapText="1"/>
    </xf>
    <xf numFmtId="4" fontId="39" fillId="18" borderId="67" xfId="49" applyNumberFormat="1" applyFont="1" applyFill="1" applyBorder="1" applyAlignment="1">
      <alignment horizontal="right" vertical="center" wrapText="1"/>
    </xf>
    <xf numFmtId="0" fontId="37" fillId="18" borderId="72" xfId="49" applyFont="1" applyFill="1" applyBorder="1" applyAlignment="1" applyProtection="1">
      <alignment horizontal="left" wrapText="1"/>
      <protection locked="0"/>
    </xf>
    <xf numFmtId="0" fontId="37" fillId="18" borderId="0" xfId="49" applyFont="1" applyFill="1" applyAlignment="1" applyProtection="1">
      <alignment horizontal="left" wrapText="1"/>
      <protection locked="0"/>
    </xf>
    <xf numFmtId="0" fontId="37" fillId="18" borderId="73" xfId="49" applyFont="1" applyFill="1" applyBorder="1" applyAlignment="1" applyProtection="1">
      <alignment horizontal="left" wrapText="1"/>
      <protection locked="0"/>
    </xf>
    <xf numFmtId="0" fontId="37" fillId="18" borderId="74" xfId="49" applyFont="1" applyFill="1" applyBorder="1" applyAlignment="1" applyProtection="1">
      <alignment horizontal="left" wrapText="1"/>
      <protection locked="0"/>
    </xf>
    <xf numFmtId="0" fontId="38" fillId="18" borderId="14" xfId="49" applyFont="1" applyFill="1" applyBorder="1" applyAlignment="1" applyProtection="1">
      <alignment horizontal="right" vertical="center" wrapText="1"/>
      <protection locked="0"/>
    </xf>
    <xf numFmtId="4" fontId="39" fillId="18" borderId="75" xfId="49" applyNumberFormat="1" applyFont="1" applyFill="1" applyBorder="1" applyAlignment="1">
      <alignment horizontal="right" vertical="center" wrapText="1"/>
    </xf>
    <xf numFmtId="4" fontId="39" fillId="18" borderId="66" xfId="49" applyNumberFormat="1" applyFont="1" applyFill="1" applyBorder="1" applyAlignment="1">
      <alignment horizontal="right" vertical="center" wrapText="1"/>
    </xf>
    <xf numFmtId="0" fontId="1" fillId="17" borderId="60" xfId="49" applyFill="1" applyBorder="1"/>
    <xf numFmtId="0" fontId="1" fillId="17" borderId="61" xfId="49" applyFill="1" applyBorder="1"/>
    <xf numFmtId="0" fontId="1" fillId="17" borderId="62" xfId="49" applyFill="1" applyBorder="1"/>
    <xf numFmtId="0" fontId="1" fillId="17" borderId="32" xfId="49" applyFill="1" applyBorder="1"/>
    <xf numFmtId="0" fontId="1" fillId="17" borderId="0" xfId="49" applyFill="1"/>
    <xf numFmtId="0" fontId="1" fillId="17" borderId="33" xfId="49" applyFill="1" applyBorder="1"/>
    <xf numFmtId="0" fontId="32" fillId="17" borderId="32" xfId="49" applyFont="1" applyFill="1" applyBorder="1"/>
    <xf numFmtId="0" fontId="32" fillId="17" borderId="0" xfId="49" applyFont="1" applyFill="1"/>
    <xf numFmtId="0" fontId="32" fillId="17" borderId="33" xfId="49" applyFont="1" applyFill="1" applyBorder="1"/>
    <xf numFmtId="0" fontId="1" fillId="17" borderId="34" xfId="49" applyFill="1" applyBorder="1"/>
    <xf numFmtId="0" fontId="1" fillId="17" borderId="35" xfId="49" applyFill="1" applyBorder="1"/>
    <xf numFmtId="0" fontId="1" fillId="17" borderId="38" xfId="49" applyFill="1" applyBorder="1"/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Hiperlink" xfId="46" builtinId="8"/>
    <cellStyle name="Moeda 2" xfId="47" xr:uid="{00000000-0005-0000-0000-00001E000000}"/>
    <cellStyle name="Normal" xfId="0" builtinId="0"/>
    <cellStyle name="Normal 2" xfId="30" xr:uid="{00000000-0005-0000-0000-000020000000}"/>
    <cellStyle name="Normal 3" xfId="31" xr:uid="{00000000-0005-0000-0000-000021000000}"/>
    <cellStyle name="Normal 4" xfId="44" xr:uid="{00000000-0005-0000-0000-000022000000}"/>
    <cellStyle name="Normal 5" xfId="49" xr:uid="{158B3A24-FA31-418C-B914-C88F52E92908}"/>
    <cellStyle name="Nota" xfId="32" builtinId="10" customBuiltin="1"/>
    <cellStyle name="Porcentagem" xfId="48" builtinId="5"/>
    <cellStyle name="Porcentagem 2" xfId="45" xr:uid="{00000000-0005-0000-0000-000025000000}"/>
    <cellStyle name="Saída" xfId="33" builtinId="21" customBuiltin="1"/>
    <cellStyle name="Separador de milhares 2" xfId="34" xr:uid="{00000000-0005-0000-0000-000027000000}"/>
    <cellStyle name="Separador de milhares_BM01" xfId="35" xr:uid="{00000000-0005-0000-0000-000028000000}"/>
    <cellStyle name="Texto de Aviso" xfId="36" builtinId="11" customBuiltin="1"/>
    <cellStyle name="Texto Explicativo" xfId="37" builtinId="53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66CC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68</xdr:row>
      <xdr:rowOff>0</xdr:rowOff>
    </xdr:from>
    <xdr:ext cx="3417346" cy="43678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E36E07D-6546-4B0F-B2E6-5E6C2195D8B9}"/>
            </a:ext>
          </a:extLst>
        </xdr:cNvPr>
        <xdr:cNvSpPr txBox="1"/>
      </xdr:nvSpPr>
      <xdr:spPr>
        <a:xfrm>
          <a:off x="0" y="14611350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EXECUÇÃO</a:t>
          </a:r>
          <a:endParaRPr lang="pt-BR" sz="1100"/>
        </a:p>
      </xdr:txBody>
    </xdr:sp>
    <xdr:clientData/>
  </xdr:oneCellAnchor>
  <xdr:oneCellAnchor>
    <xdr:from>
      <xdr:col>3</xdr:col>
      <xdr:colOff>2409825</xdr:colOff>
      <xdr:row>68</xdr:row>
      <xdr:rowOff>0</xdr:rowOff>
    </xdr:from>
    <xdr:ext cx="3417346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82095C1-F68D-41D4-BDFB-9B5711AE8AE9}"/>
            </a:ext>
          </a:extLst>
        </xdr:cNvPr>
        <xdr:cNvSpPr txBox="1"/>
      </xdr:nvSpPr>
      <xdr:spPr>
        <a:xfrm>
          <a:off x="3638550" y="14611350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FISCALIZAÇÃO</a:t>
          </a:r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212612</xdr:colOff>
      <xdr:row>118</xdr:row>
      <xdr:rowOff>170089</xdr:rowOff>
    </xdr:from>
    <xdr:ext cx="3417346" cy="43678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F230FAC-3635-4D23-B3B0-80D54A187F5D}"/>
            </a:ext>
          </a:extLst>
        </xdr:cNvPr>
        <xdr:cNvSpPr txBox="1"/>
      </xdr:nvSpPr>
      <xdr:spPr>
        <a:xfrm>
          <a:off x="212612" y="23268214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EXECUÇÃO</a:t>
          </a:r>
          <a:endParaRPr lang="pt-BR" sz="1100"/>
        </a:p>
      </xdr:txBody>
    </xdr:sp>
    <xdr:clientData/>
  </xdr:oneCellAnchor>
  <xdr:oneCellAnchor>
    <xdr:from>
      <xdr:col>5</xdr:col>
      <xdr:colOff>473528</xdr:colOff>
      <xdr:row>118</xdr:row>
      <xdr:rowOff>161585</xdr:rowOff>
    </xdr:from>
    <xdr:ext cx="3417346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987ADC1-45D0-454A-9A3A-086B589C88E2}"/>
            </a:ext>
          </a:extLst>
        </xdr:cNvPr>
        <xdr:cNvSpPr txBox="1"/>
      </xdr:nvSpPr>
      <xdr:spPr>
        <a:xfrm>
          <a:off x="3688216" y="23259710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FISCALIZAÇÃO</a:t>
          </a:r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28575</xdr:colOff>
      <xdr:row>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7F6DA5F-3BDB-4EA6-B594-CE3B28E30C2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6734175" cy="116205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24</xdr:row>
      <xdr:rowOff>0</xdr:rowOff>
    </xdr:from>
    <xdr:ext cx="3276794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A6840C9-D516-497E-9EBA-F1D8BEE476C5}"/>
            </a:ext>
          </a:extLst>
        </xdr:cNvPr>
        <xdr:cNvSpPr txBox="1"/>
      </xdr:nvSpPr>
      <xdr:spPr>
        <a:xfrm>
          <a:off x="0" y="5019675"/>
          <a:ext cx="327679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</a:t>
          </a:r>
        </a:p>
        <a:p>
          <a:r>
            <a:rPr lang="pt-BR" sz="1100" baseline="0"/>
            <a:t>                RESPONSÁVEL TÉCNICO DE EXECUÇÃO</a:t>
          </a:r>
          <a:endParaRPr lang="pt-BR" sz="1100"/>
        </a:p>
      </xdr:txBody>
    </xdr:sp>
    <xdr:clientData/>
  </xdr:oneCellAnchor>
  <xdr:oneCellAnchor>
    <xdr:from>
      <xdr:col>2</xdr:col>
      <xdr:colOff>123825</xdr:colOff>
      <xdr:row>24</xdr:row>
      <xdr:rowOff>0</xdr:rowOff>
    </xdr:from>
    <xdr:ext cx="3417346" cy="43678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72886C4B-38FB-4E54-951F-9258A727424E}"/>
            </a:ext>
          </a:extLst>
        </xdr:cNvPr>
        <xdr:cNvSpPr txBox="1"/>
      </xdr:nvSpPr>
      <xdr:spPr>
        <a:xfrm>
          <a:off x="3524250" y="5019675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FISCALIZAÇÃO</a:t>
          </a:r>
          <a:endParaRPr lang="pt-BR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ilbe\OneDrive\&#193;rea%20de%20Trabalho\Empenhos\Quadra-Florido\ADT01\Aditivo\PLANILHA%20DE%20OR&#199;AMENTARIA%20ADITIVO%20GINASIO%20COREMAS_Rev01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ADITIVO"/>
      <sheetName val="DESAGIO"/>
      <sheetName val="MEMORIAL DE CALCULO"/>
    </sheetNames>
    <sheetDataSet>
      <sheetData sheetId="0">
        <row r="19">
          <cell r="C19" t="str">
            <v>TELHA DE ALUMÍNIO ONDULADA, ESP.=0,5MM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diceseconomicos.secovi.com.br/indicadormensal.php?idindicador=59" TargetMode="External"/><Relationship Id="rId1" Type="http://schemas.openxmlformats.org/officeDocument/2006/relationships/hyperlink" Target="http://indiceseconomicos.secovi.com.br/indicadormensal.php?idindicador=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view="pageBreakPreview" topLeftCell="A55" zoomScale="115" zoomScaleNormal="115" zoomScaleSheetLayoutView="115" workbookViewId="0">
      <selection activeCell="C66" sqref="C66"/>
    </sheetView>
  </sheetViews>
  <sheetFormatPr defaultColWidth="11.5703125" defaultRowHeight="15" x14ac:dyDescent="0.25"/>
  <cols>
    <col min="1" max="1" width="8.85546875" customWidth="1"/>
    <col min="2" max="2" width="10" customWidth="1"/>
    <col min="3" max="3" width="47.5703125" customWidth="1"/>
    <col min="4" max="4" width="6" customWidth="1"/>
    <col min="5" max="5" width="10.140625" customWidth="1"/>
    <col min="6" max="6" width="14" customWidth="1"/>
    <col min="7" max="7" width="14.7109375" customWidth="1"/>
    <col min="8" max="8" width="14.42578125" customWidth="1"/>
    <col min="9" max="9" width="16.42578125" customWidth="1"/>
  </cols>
  <sheetData>
    <row r="1" spans="1:10" x14ac:dyDescent="0.25">
      <c r="A1" s="170" t="s">
        <v>46</v>
      </c>
      <c r="B1" s="171"/>
      <c r="C1" s="171"/>
      <c r="D1" s="171"/>
      <c r="E1" s="171"/>
      <c r="F1" s="171"/>
      <c r="G1" s="171"/>
      <c r="H1" s="171"/>
      <c r="I1" s="172"/>
      <c r="J1" s="1"/>
    </row>
    <row r="2" spans="1:10" ht="14.1" customHeight="1" x14ac:dyDescent="0.25">
      <c r="A2" s="178" t="s">
        <v>0</v>
      </c>
      <c r="B2" s="179"/>
      <c r="C2" s="179"/>
      <c r="D2" s="179"/>
      <c r="E2" s="179"/>
      <c r="F2" s="180"/>
      <c r="G2" s="103" t="s">
        <v>1</v>
      </c>
      <c r="H2" s="176" t="s">
        <v>52</v>
      </c>
      <c r="I2" s="177"/>
      <c r="J2" s="1"/>
    </row>
    <row r="3" spans="1:10" x14ac:dyDescent="0.25">
      <c r="A3" s="173" t="s">
        <v>2</v>
      </c>
      <c r="B3" s="174"/>
      <c r="C3" s="174"/>
      <c r="D3" s="174"/>
      <c r="E3" s="174"/>
      <c r="F3" s="175"/>
      <c r="G3" s="81" t="s">
        <v>113</v>
      </c>
      <c r="H3" s="79"/>
      <c r="I3" s="80"/>
      <c r="J3" s="1"/>
    </row>
    <row r="4" spans="1:10" ht="14.1" customHeight="1" x14ac:dyDescent="0.25">
      <c r="A4" s="184" t="s">
        <v>3</v>
      </c>
      <c r="B4" s="185"/>
      <c r="C4" s="185"/>
      <c r="D4" s="185"/>
      <c r="E4" s="185"/>
      <c r="F4" s="186"/>
      <c r="G4" s="81" t="s">
        <v>114</v>
      </c>
      <c r="H4" s="79"/>
      <c r="I4" s="80"/>
      <c r="J4" s="1"/>
    </row>
    <row r="5" spans="1:10" x14ac:dyDescent="0.25">
      <c r="A5" s="173" t="s">
        <v>4</v>
      </c>
      <c r="B5" s="174"/>
      <c r="C5" s="174"/>
      <c r="D5" s="174"/>
      <c r="E5" s="174"/>
      <c r="F5" s="175"/>
      <c r="G5" s="181" t="s">
        <v>115</v>
      </c>
      <c r="H5" s="182"/>
      <c r="I5" s="183"/>
      <c r="J5" s="1"/>
    </row>
    <row r="6" spans="1:10" ht="15.75" customHeight="1" x14ac:dyDescent="0.25">
      <c r="A6" s="78" t="s">
        <v>5</v>
      </c>
      <c r="B6" s="189" t="s">
        <v>6</v>
      </c>
      <c r="C6" s="189"/>
      <c r="D6" s="189"/>
      <c r="E6" s="189"/>
      <c r="F6" s="190"/>
      <c r="G6" s="106" t="s">
        <v>116</v>
      </c>
      <c r="H6" s="104"/>
      <c r="I6" s="105"/>
      <c r="J6" s="1"/>
    </row>
    <row r="7" spans="1:10" ht="36" customHeight="1" x14ac:dyDescent="0.25">
      <c r="A7" s="158" t="s">
        <v>7</v>
      </c>
      <c r="B7" s="161" t="s">
        <v>53</v>
      </c>
      <c r="C7" s="194" t="s">
        <v>8</v>
      </c>
      <c r="D7" s="164" t="s">
        <v>9</v>
      </c>
      <c r="E7" s="193" t="s">
        <v>47</v>
      </c>
      <c r="F7" s="168" t="s">
        <v>10</v>
      </c>
      <c r="G7" s="169"/>
      <c r="H7" s="193" t="s">
        <v>48</v>
      </c>
      <c r="I7" s="193" t="s">
        <v>49</v>
      </c>
      <c r="J7" s="111">
        <f>114076.4/123492.42</f>
        <v>0.92375224325509209</v>
      </c>
    </row>
    <row r="8" spans="1:10" x14ac:dyDescent="0.25">
      <c r="A8" s="159"/>
      <c r="B8" s="162"/>
      <c r="C8" s="195"/>
      <c r="D8" s="164"/>
      <c r="E8" s="193"/>
      <c r="F8" s="197" t="s">
        <v>50</v>
      </c>
      <c r="G8" s="193" t="s">
        <v>51</v>
      </c>
      <c r="H8" s="193"/>
      <c r="I8" s="193"/>
      <c r="J8" s="1"/>
    </row>
    <row r="9" spans="1:10" ht="8.25" customHeight="1" x14ac:dyDescent="0.25">
      <c r="A9" s="160"/>
      <c r="B9" s="163"/>
      <c r="C9" s="196"/>
      <c r="D9" s="164"/>
      <c r="E9" s="193"/>
      <c r="F9" s="197"/>
      <c r="G9" s="193"/>
      <c r="H9" s="193"/>
      <c r="I9" s="193"/>
      <c r="J9" s="1"/>
    </row>
    <row r="10" spans="1:10" x14ac:dyDescent="0.25">
      <c r="A10" s="51" t="s">
        <v>11</v>
      </c>
      <c r="B10" s="11"/>
      <c r="C10" s="12" t="s">
        <v>12</v>
      </c>
      <c r="D10" s="13"/>
      <c r="E10" s="14"/>
      <c r="F10" s="107"/>
      <c r="G10" s="108"/>
      <c r="H10" s="71">
        <f>SUM(H11:H17)</f>
        <v>2815.04</v>
      </c>
      <c r="I10" s="109">
        <f>SUM(I11:I17)</f>
        <v>3769.7543950208756</v>
      </c>
      <c r="J10" s="132">
        <f>H11+I12+I14+I15+I17+H22+I23+H27+H28+H29+H30++H31+I33+I34+H38</f>
        <v>110927.29521378507</v>
      </c>
    </row>
    <row r="11" spans="1:10" x14ac:dyDescent="0.25">
      <c r="A11" s="53" t="s">
        <v>13</v>
      </c>
      <c r="B11" s="18"/>
      <c r="C11" s="19" t="s">
        <v>14</v>
      </c>
      <c r="D11" s="18" t="s">
        <v>15</v>
      </c>
      <c r="E11" s="20">
        <v>351.88</v>
      </c>
      <c r="F11" s="20">
        <v>8</v>
      </c>
      <c r="G11" s="21"/>
      <c r="H11" s="22">
        <f>E11*F11</f>
        <v>2815.04</v>
      </c>
      <c r="I11" s="54">
        <f>G11*E11</f>
        <v>0</v>
      </c>
      <c r="J11" s="62">
        <f>J10/(H54+I54)</f>
        <v>0.67422950274121818</v>
      </c>
    </row>
    <row r="12" spans="1:10" ht="24" x14ac:dyDescent="0.25">
      <c r="A12" s="53" t="s">
        <v>119</v>
      </c>
      <c r="B12" s="23">
        <v>97633</v>
      </c>
      <c r="C12" s="24" t="s">
        <v>60</v>
      </c>
      <c r="D12" s="23" t="s">
        <v>15</v>
      </c>
      <c r="E12" s="25">
        <f>15.15*J7</f>
        <v>13.994846485314646</v>
      </c>
      <c r="F12" s="26"/>
      <c r="G12" s="27">
        <f>'MEMORIAL DE CALCULO'!E16</f>
        <v>33</v>
      </c>
      <c r="H12" s="22">
        <f t="shared" ref="H12:H17" si="0">E12*F12</f>
        <v>0</v>
      </c>
      <c r="I12" s="54">
        <f t="shared" ref="I12:I17" si="1">G12*E12</f>
        <v>461.82993401538334</v>
      </c>
    </row>
    <row r="13" spans="1:10" x14ac:dyDescent="0.25">
      <c r="A13" s="55" t="s">
        <v>63</v>
      </c>
      <c r="B13" s="65"/>
      <c r="C13" s="12" t="s">
        <v>93</v>
      </c>
      <c r="D13" s="13"/>
      <c r="E13" s="14"/>
      <c r="F13" s="15"/>
      <c r="G13" s="16"/>
      <c r="H13" s="22">
        <f t="shared" si="0"/>
        <v>0</v>
      </c>
      <c r="I13" s="54">
        <f t="shared" si="1"/>
        <v>0</v>
      </c>
    </row>
    <row r="14" spans="1:10" ht="24" x14ac:dyDescent="0.25">
      <c r="A14" s="53" t="s">
        <v>120</v>
      </c>
      <c r="B14" s="28" t="s">
        <v>61</v>
      </c>
      <c r="C14" s="29" t="s">
        <v>118</v>
      </c>
      <c r="D14" s="28" t="s">
        <v>62</v>
      </c>
      <c r="E14" s="27">
        <f>136.8*J7</f>
        <v>126.36930687729661</v>
      </c>
      <c r="F14" s="30"/>
      <c r="G14" s="27">
        <f>'MEMORIAL DE CALCULO'!E26</f>
        <v>1</v>
      </c>
      <c r="H14" s="22">
        <f t="shared" si="0"/>
        <v>0</v>
      </c>
      <c r="I14" s="54">
        <f t="shared" si="1"/>
        <v>126.36930687729661</v>
      </c>
    </row>
    <row r="15" spans="1:10" ht="24" x14ac:dyDescent="0.25">
      <c r="A15" s="53" t="s">
        <v>121</v>
      </c>
      <c r="B15" s="28">
        <v>95952</v>
      </c>
      <c r="C15" s="29" t="s">
        <v>73</v>
      </c>
      <c r="D15" s="28" t="s">
        <v>62</v>
      </c>
      <c r="E15" s="27">
        <f>1348.69*J7</f>
        <v>1245.8554129557101</v>
      </c>
      <c r="F15" s="30"/>
      <c r="G15" s="27">
        <f>'MEMORIAL DE CALCULO'!E50</f>
        <v>1.7289999999999992</v>
      </c>
      <c r="H15" s="22">
        <f t="shared" si="0"/>
        <v>0</v>
      </c>
      <c r="I15" s="54">
        <f t="shared" si="1"/>
        <v>2154.0840090004217</v>
      </c>
    </row>
    <row r="16" spans="1:10" x14ac:dyDescent="0.25">
      <c r="A16" s="55" t="s">
        <v>64</v>
      </c>
      <c r="B16" s="65"/>
      <c r="C16" s="12" t="s">
        <v>94</v>
      </c>
      <c r="D16" s="28"/>
      <c r="E16" s="27"/>
      <c r="F16" s="30"/>
      <c r="G16" s="27"/>
      <c r="H16" s="22">
        <f t="shared" si="0"/>
        <v>0</v>
      </c>
      <c r="I16" s="54">
        <f t="shared" si="1"/>
        <v>0</v>
      </c>
    </row>
    <row r="17" spans="1:10" ht="36" x14ac:dyDescent="0.25">
      <c r="A17" s="53" t="s">
        <v>122</v>
      </c>
      <c r="B17" s="28">
        <v>87496</v>
      </c>
      <c r="C17" s="29" t="s">
        <v>92</v>
      </c>
      <c r="D17" s="28" t="s">
        <v>15</v>
      </c>
      <c r="E17" s="27">
        <f>57.04*J7</f>
        <v>52.69082795527045</v>
      </c>
      <c r="F17" s="30"/>
      <c r="G17" s="27">
        <f>'MEMORIAL DE CALCULO'!E59</f>
        <v>19.5</v>
      </c>
      <c r="H17" s="22">
        <f t="shared" si="0"/>
        <v>0</v>
      </c>
      <c r="I17" s="54">
        <f t="shared" si="1"/>
        <v>1027.4711451277738</v>
      </c>
    </row>
    <row r="18" spans="1:10" x14ac:dyDescent="0.25">
      <c r="A18" s="51" t="s">
        <v>16</v>
      </c>
      <c r="B18" s="11"/>
      <c r="C18" s="31" t="s">
        <v>17</v>
      </c>
      <c r="D18" s="32"/>
      <c r="E18" s="33"/>
      <c r="F18" s="33"/>
      <c r="G18" s="27"/>
      <c r="H18" s="17">
        <f>H19</f>
        <v>10837.632</v>
      </c>
      <c r="I18" s="52">
        <f>I19</f>
        <v>2155.1853461981955</v>
      </c>
      <c r="J18">
        <f>275-202.8</f>
        <v>72.199999999999989</v>
      </c>
    </row>
    <row r="19" spans="1:10" x14ac:dyDescent="0.25">
      <c r="A19" s="53" t="s">
        <v>18</v>
      </c>
      <c r="B19" s="18"/>
      <c r="C19" s="19" t="s">
        <v>19</v>
      </c>
      <c r="D19" s="18" t="s">
        <v>15</v>
      </c>
      <c r="E19" s="20">
        <v>53.44</v>
      </c>
      <c r="F19" s="20">
        <v>202.8</v>
      </c>
      <c r="G19" s="126">
        <v>40.32906710700216</v>
      </c>
      <c r="H19" s="22">
        <f>E19*F19</f>
        <v>10837.632</v>
      </c>
      <c r="I19" s="54">
        <f>G19*E19</f>
        <v>2155.1853461981955</v>
      </c>
    </row>
    <row r="20" spans="1:10" x14ac:dyDescent="0.25">
      <c r="A20" s="51"/>
      <c r="B20" s="11"/>
      <c r="C20" s="34"/>
      <c r="D20" s="13"/>
      <c r="E20" s="35"/>
      <c r="F20" s="35"/>
      <c r="G20" s="16"/>
      <c r="H20" s="22">
        <f t="shared" ref="H20:H48" si="2">E20*F20</f>
        <v>0</v>
      </c>
      <c r="I20" s="52"/>
    </row>
    <row r="21" spans="1:10" x14ac:dyDescent="0.25">
      <c r="A21" s="51" t="s">
        <v>20</v>
      </c>
      <c r="B21" s="10"/>
      <c r="C21" s="36" t="s">
        <v>21</v>
      </c>
      <c r="D21" s="18"/>
      <c r="E21" s="20"/>
      <c r="F21" s="20"/>
      <c r="G21" s="27"/>
      <c r="H21" s="17">
        <f>SUM(H22:H23)</f>
        <v>31838.3344</v>
      </c>
      <c r="I21" s="52">
        <f>SUM(I22:I23)</f>
        <v>13390.934218764196</v>
      </c>
    </row>
    <row r="22" spans="1:10" ht="48" x14ac:dyDescent="0.25">
      <c r="A22" s="53" t="s">
        <v>22</v>
      </c>
      <c r="B22" s="18"/>
      <c r="C22" s="19" t="s">
        <v>145</v>
      </c>
      <c r="D22" s="18" t="s">
        <v>15</v>
      </c>
      <c r="E22" s="20">
        <v>64.67</v>
      </c>
      <c r="F22" s="20">
        <v>492.32</v>
      </c>
      <c r="G22" s="27"/>
      <c r="H22" s="22">
        <f>E22*F22</f>
        <v>31838.3344</v>
      </c>
      <c r="I22" s="54">
        <f>G22*E22</f>
        <v>0</v>
      </c>
    </row>
    <row r="23" spans="1:10" ht="36" x14ac:dyDescent="0.25">
      <c r="A23" s="53" t="s">
        <v>123</v>
      </c>
      <c r="B23" s="23">
        <v>96623</v>
      </c>
      <c r="C23" s="19" t="s">
        <v>112</v>
      </c>
      <c r="D23" s="18" t="s">
        <v>15</v>
      </c>
      <c r="E23" s="20">
        <f>142.12*J7</f>
        <v>131.28366881141369</v>
      </c>
      <c r="F23" s="20"/>
      <c r="G23" s="27">
        <f>'MEMORIAL DE CALCULO'!E77</f>
        <v>102</v>
      </c>
      <c r="H23" s="22"/>
      <c r="I23" s="54">
        <f>G23*E23</f>
        <v>13390.934218764196</v>
      </c>
    </row>
    <row r="24" spans="1:10" x14ac:dyDescent="0.25">
      <c r="A24" s="56"/>
      <c r="B24" s="28"/>
      <c r="C24" s="63"/>
      <c r="D24" s="39"/>
      <c r="E24" s="64"/>
      <c r="F24" s="64"/>
      <c r="G24" s="27"/>
      <c r="H24" s="22"/>
      <c r="I24" s="54"/>
    </row>
    <row r="25" spans="1:10" x14ac:dyDescent="0.25">
      <c r="A25" s="51"/>
      <c r="B25" s="11"/>
      <c r="C25" s="37"/>
      <c r="D25" s="13"/>
      <c r="E25" s="27"/>
      <c r="F25" s="27"/>
      <c r="G25" s="27"/>
      <c r="H25" s="22">
        <f t="shared" si="2"/>
        <v>0</v>
      </c>
      <c r="I25" s="52"/>
    </row>
    <row r="26" spans="1:10" x14ac:dyDescent="0.25">
      <c r="A26" s="55" t="s">
        <v>23</v>
      </c>
      <c r="B26" s="65"/>
      <c r="C26" s="37" t="s">
        <v>24</v>
      </c>
      <c r="D26" s="13"/>
      <c r="E26" s="27"/>
      <c r="F26" s="27"/>
      <c r="G26" s="27"/>
      <c r="H26" s="17">
        <f>SUM(H27:H34)</f>
        <v>39990.7474</v>
      </c>
      <c r="I26" s="52">
        <f>SUM(I27:I34)</f>
        <v>17316</v>
      </c>
    </row>
    <row r="27" spans="1:10" ht="60" x14ac:dyDescent="0.25">
      <c r="A27" s="56" t="s">
        <v>25</v>
      </c>
      <c r="B27" s="28"/>
      <c r="C27" s="40" t="s">
        <v>26</v>
      </c>
      <c r="D27" s="13" t="s">
        <v>15</v>
      </c>
      <c r="E27" s="20">
        <v>13.38</v>
      </c>
      <c r="F27" s="20">
        <v>596.21</v>
      </c>
      <c r="G27" s="27"/>
      <c r="H27" s="22">
        <f>E27*F27</f>
        <v>7977.2898000000014</v>
      </c>
      <c r="I27" s="52"/>
    </row>
    <row r="28" spans="1:10" ht="24" x14ac:dyDescent="0.25">
      <c r="A28" s="56" t="s">
        <v>27</v>
      </c>
      <c r="B28" s="66"/>
      <c r="C28" s="19" t="s">
        <v>65</v>
      </c>
      <c r="D28" s="13" t="s">
        <v>15</v>
      </c>
      <c r="E28" s="20">
        <v>1.66</v>
      </c>
      <c r="F28" s="20">
        <v>596.21</v>
      </c>
      <c r="G28" s="27"/>
      <c r="H28" s="22">
        <f t="shared" si="2"/>
        <v>989.70860000000005</v>
      </c>
      <c r="I28" s="52"/>
    </row>
    <row r="29" spans="1:10" ht="24" x14ac:dyDescent="0.25">
      <c r="A29" s="56" t="s">
        <v>28</v>
      </c>
      <c r="B29" s="38"/>
      <c r="C29" s="19" t="s">
        <v>66</v>
      </c>
      <c r="D29" s="13" t="s">
        <v>15</v>
      </c>
      <c r="E29" s="20">
        <v>9.26</v>
      </c>
      <c r="F29" s="20">
        <v>596.21</v>
      </c>
      <c r="G29" s="27"/>
      <c r="H29" s="22">
        <f t="shared" si="2"/>
        <v>5520.9045999999998</v>
      </c>
      <c r="I29" s="52"/>
    </row>
    <row r="30" spans="1:10" ht="24" x14ac:dyDescent="0.25">
      <c r="A30" s="56" t="s">
        <v>29</v>
      </c>
      <c r="B30" s="38"/>
      <c r="C30" s="19" t="s">
        <v>67</v>
      </c>
      <c r="D30" s="13" t="s">
        <v>15</v>
      </c>
      <c r="E30" s="20">
        <v>10.96</v>
      </c>
      <c r="F30" s="20">
        <v>596.21</v>
      </c>
      <c r="G30" s="27"/>
      <c r="H30" s="22">
        <f t="shared" si="2"/>
        <v>6534.4616000000005</v>
      </c>
      <c r="I30" s="52"/>
    </row>
    <row r="31" spans="1:10" x14ac:dyDescent="0.25">
      <c r="A31" s="56" t="s">
        <v>30</v>
      </c>
      <c r="B31" s="38"/>
      <c r="C31" s="19" t="s">
        <v>68</v>
      </c>
      <c r="D31" s="13" t="s">
        <v>15</v>
      </c>
      <c r="E31" s="20">
        <v>37.43</v>
      </c>
      <c r="F31" s="20">
        <v>492.32</v>
      </c>
      <c r="G31" s="27"/>
      <c r="H31" s="22">
        <f t="shared" si="2"/>
        <v>18427.5376</v>
      </c>
      <c r="I31" s="52"/>
    </row>
    <row r="32" spans="1:10" ht="24" x14ac:dyDescent="0.25">
      <c r="A32" s="56" t="s">
        <v>31</v>
      </c>
      <c r="B32" s="67"/>
      <c r="C32" s="24" t="s">
        <v>69</v>
      </c>
      <c r="D32" s="13" t="s">
        <v>15</v>
      </c>
      <c r="E32" s="26">
        <v>8.3800000000000008</v>
      </c>
      <c r="F32" s="26">
        <v>64.540000000000006</v>
      </c>
      <c r="G32" s="25"/>
      <c r="H32" s="69">
        <f t="shared" si="2"/>
        <v>540.84520000000009</v>
      </c>
      <c r="I32" s="52"/>
    </row>
    <row r="33" spans="1:9" ht="36" x14ac:dyDescent="0.25">
      <c r="A33" s="56" t="s">
        <v>124</v>
      </c>
      <c r="B33" s="110">
        <v>100721</v>
      </c>
      <c r="C33" s="29" t="s">
        <v>98</v>
      </c>
      <c r="D33" s="13" t="s">
        <v>15</v>
      </c>
      <c r="E33" s="30">
        <f>DESAGIO!F15</f>
        <v>15.41</v>
      </c>
      <c r="F33" s="30"/>
      <c r="G33" s="27">
        <f>'MEMORIAL DE CALCULO'!E86</f>
        <v>600</v>
      </c>
      <c r="H33" s="72"/>
      <c r="I33" s="58">
        <f>E33*G33</f>
        <v>9246</v>
      </c>
    </row>
    <row r="34" spans="1:9" ht="48" x14ac:dyDescent="0.25">
      <c r="A34" s="56" t="s">
        <v>125</v>
      </c>
      <c r="B34" s="110">
        <v>100730</v>
      </c>
      <c r="C34" s="29" t="s">
        <v>99</v>
      </c>
      <c r="D34" s="13" t="s">
        <v>15</v>
      </c>
      <c r="E34" s="30">
        <f>DESAGIO!F32</f>
        <v>13.45</v>
      </c>
      <c r="F34" s="30"/>
      <c r="G34" s="27">
        <f>'MEMORIAL DE CALCULO'!E93</f>
        <v>600</v>
      </c>
      <c r="H34" s="72"/>
      <c r="I34" s="58">
        <f>E34*G34</f>
        <v>8070</v>
      </c>
    </row>
    <row r="35" spans="1:9" x14ac:dyDescent="0.25">
      <c r="A35" s="55"/>
      <c r="B35" s="65"/>
      <c r="C35" s="37"/>
      <c r="D35" s="13"/>
      <c r="E35" s="27"/>
      <c r="F35" s="27"/>
      <c r="G35" s="27"/>
      <c r="H35" s="72"/>
      <c r="I35" s="58"/>
    </row>
    <row r="36" spans="1:9" x14ac:dyDescent="0.25">
      <c r="A36" s="55" t="s">
        <v>32</v>
      </c>
      <c r="B36" s="11"/>
      <c r="C36" s="70" t="s">
        <v>33</v>
      </c>
      <c r="D36" s="32"/>
      <c r="E36" s="33"/>
      <c r="F36" s="33"/>
      <c r="G36" s="33"/>
      <c r="H36" s="71">
        <f>SUM(H37:H45)</f>
        <v>9180.9599999999991</v>
      </c>
      <c r="I36" s="52">
        <f>SUM(I37:I46)</f>
        <v>5686.8405100167283</v>
      </c>
    </row>
    <row r="37" spans="1:9" ht="48" x14ac:dyDescent="0.25">
      <c r="A37" s="56" t="s">
        <v>34</v>
      </c>
      <c r="B37" s="38"/>
      <c r="C37" s="127" t="s">
        <v>146</v>
      </c>
      <c r="D37" s="13" t="s">
        <v>35</v>
      </c>
      <c r="E37" s="20">
        <v>3135.71</v>
      </c>
      <c r="F37" s="20">
        <v>1</v>
      </c>
      <c r="G37" s="27"/>
      <c r="H37" s="22">
        <f t="shared" si="2"/>
        <v>3135.71</v>
      </c>
      <c r="I37" s="52"/>
    </row>
    <row r="38" spans="1:9" ht="60" x14ac:dyDescent="0.25">
      <c r="A38" s="56" t="s">
        <v>36</v>
      </c>
      <c r="B38" s="38"/>
      <c r="C38" s="127" t="s">
        <v>147</v>
      </c>
      <c r="D38" s="13" t="s">
        <v>37</v>
      </c>
      <c r="E38" s="20">
        <v>2347.33</v>
      </c>
      <c r="F38" s="20">
        <v>1</v>
      </c>
      <c r="G38" s="27"/>
      <c r="H38" s="22">
        <f t="shared" si="2"/>
        <v>2347.33</v>
      </c>
      <c r="I38" s="52"/>
    </row>
    <row r="39" spans="1:9" ht="60" x14ac:dyDescent="0.25">
      <c r="A39" s="56" t="s">
        <v>38</v>
      </c>
      <c r="B39" s="38"/>
      <c r="C39" s="127" t="s">
        <v>148</v>
      </c>
      <c r="D39" s="13" t="s">
        <v>37</v>
      </c>
      <c r="E39" s="20">
        <v>1425.03</v>
      </c>
      <c r="F39" s="20">
        <v>1</v>
      </c>
      <c r="G39" s="27"/>
      <c r="H39" s="22">
        <f t="shared" si="2"/>
        <v>1425.03</v>
      </c>
      <c r="I39" s="52"/>
    </row>
    <row r="40" spans="1:9" ht="36" x14ac:dyDescent="0.25">
      <c r="A40" s="73" t="s">
        <v>39</v>
      </c>
      <c r="B40" s="67"/>
      <c r="C40" s="128" t="s">
        <v>149</v>
      </c>
      <c r="D40" s="68" t="s">
        <v>15</v>
      </c>
      <c r="E40" s="26">
        <v>11.95</v>
      </c>
      <c r="F40" s="26">
        <v>190.2</v>
      </c>
      <c r="G40" s="25"/>
      <c r="H40" s="22">
        <f t="shared" si="2"/>
        <v>2272.89</v>
      </c>
      <c r="I40" s="52"/>
    </row>
    <row r="41" spans="1:9" x14ac:dyDescent="0.25">
      <c r="A41" s="101" t="s">
        <v>100</v>
      </c>
      <c r="B41" s="65"/>
      <c r="C41" s="74" t="s">
        <v>101</v>
      </c>
      <c r="D41" s="75"/>
      <c r="E41" s="76"/>
      <c r="F41" s="76"/>
      <c r="G41" s="77"/>
      <c r="H41" s="44"/>
      <c r="I41" s="52"/>
    </row>
    <row r="42" spans="1:9" ht="24" x14ac:dyDescent="0.25">
      <c r="A42" s="102" t="s">
        <v>126</v>
      </c>
      <c r="B42" s="110" t="s">
        <v>103</v>
      </c>
      <c r="C42" s="29" t="s">
        <v>104</v>
      </c>
      <c r="D42" s="13" t="s">
        <v>102</v>
      </c>
      <c r="E42" s="30">
        <f>416.85*J7</f>
        <v>385.06612260088514</v>
      </c>
      <c r="F42" s="30"/>
      <c r="G42" s="30">
        <f>'MEMORIAL DE CALCULO'!E99</f>
        <v>1</v>
      </c>
      <c r="H42" s="42"/>
      <c r="I42" s="54">
        <f>E42*G42</f>
        <v>385.06612260088514</v>
      </c>
    </row>
    <row r="43" spans="1:9" ht="24" x14ac:dyDescent="0.25">
      <c r="A43" s="102" t="s">
        <v>127</v>
      </c>
      <c r="B43" s="28" t="s">
        <v>105</v>
      </c>
      <c r="C43" s="29" t="s">
        <v>106</v>
      </c>
      <c r="D43" s="13" t="s">
        <v>102</v>
      </c>
      <c r="E43" s="30">
        <f>99.39*J7</f>
        <v>91.811735457123604</v>
      </c>
      <c r="F43" s="30"/>
      <c r="G43" s="30">
        <f>'MEMORIAL DE CALCULO'!E103</f>
        <v>2</v>
      </c>
      <c r="H43" s="42"/>
      <c r="I43" s="54">
        <f t="shared" ref="I43:I45" si="3">E43*G43</f>
        <v>183.62347091424721</v>
      </c>
    </row>
    <row r="44" spans="1:9" ht="24" x14ac:dyDescent="0.25">
      <c r="A44" s="102" t="s">
        <v>128</v>
      </c>
      <c r="B44" s="28">
        <v>93141</v>
      </c>
      <c r="C44" s="29" t="s">
        <v>107</v>
      </c>
      <c r="D44" s="13" t="s">
        <v>102</v>
      </c>
      <c r="E44" s="30">
        <f>111.03*J7</f>
        <v>102.56421156861288</v>
      </c>
      <c r="F44" s="30"/>
      <c r="G44" s="30">
        <f>'MEMORIAL DE CALCULO'!E107</f>
        <v>5</v>
      </c>
      <c r="H44" s="42"/>
      <c r="I44" s="54">
        <f t="shared" si="3"/>
        <v>512.82105784306441</v>
      </c>
    </row>
    <row r="45" spans="1:9" ht="24" x14ac:dyDescent="0.25">
      <c r="A45" s="102" t="s">
        <v>129</v>
      </c>
      <c r="B45" s="110" t="s">
        <v>144</v>
      </c>
      <c r="C45" s="29" t="s">
        <v>108</v>
      </c>
      <c r="D45" s="13" t="s">
        <v>102</v>
      </c>
      <c r="E45" s="30">
        <v>255.85165881436288</v>
      </c>
      <c r="F45" s="30"/>
      <c r="G45" s="30">
        <f>'MEMORIAL DE CALCULO'!E111</f>
        <v>18</v>
      </c>
      <c r="H45" s="42"/>
      <c r="I45" s="54">
        <f t="shared" si="3"/>
        <v>4605.3298586585315</v>
      </c>
    </row>
    <row r="46" spans="1:9" x14ac:dyDescent="0.25">
      <c r="A46" s="102"/>
      <c r="B46" s="28"/>
      <c r="C46" s="29"/>
      <c r="D46" s="13"/>
      <c r="E46" s="30"/>
      <c r="F46" s="30"/>
      <c r="G46" s="27"/>
      <c r="H46" s="42"/>
      <c r="I46" s="54"/>
    </row>
    <row r="47" spans="1:9" x14ac:dyDescent="0.25">
      <c r="A47" s="55" t="s">
        <v>40</v>
      </c>
      <c r="B47" s="65"/>
      <c r="C47" s="37" t="s">
        <v>41</v>
      </c>
      <c r="D47" s="13"/>
      <c r="E47" s="27"/>
      <c r="F47" s="27"/>
      <c r="G47" s="27"/>
      <c r="H47" s="17">
        <f>H48</f>
        <v>1030.9404000000002</v>
      </c>
      <c r="I47" s="52">
        <f>I48</f>
        <v>0</v>
      </c>
    </row>
    <row r="48" spans="1:9" x14ac:dyDescent="0.25">
      <c r="A48" s="56" t="s">
        <v>42</v>
      </c>
      <c r="B48" s="28"/>
      <c r="C48" s="40" t="s">
        <v>43</v>
      </c>
      <c r="D48" s="13" t="s">
        <v>15</v>
      </c>
      <c r="E48" s="20">
        <v>1.97</v>
      </c>
      <c r="F48" s="27">
        <v>523.32000000000005</v>
      </c>
      <c r="G48" s="27"/>
      <c r="H48" s="22">
        <f t="shared" si="2"/>
        <v>1030.9404000000002</v>
      </c>
      <c r="I48" s="52"/>
    </row>
    <row r="49" spans="1:12" ht="8.25" customHeight="1" x14ac:dyDescent="0.25">
      <c r="A49" s="57"/>
      <c r="B49" s="13"/>
      <c r="C49" s="41"/>
      <c r="D49" s="13"/>
      <c r="E49" s="14"/>
      <c r="F49" s="14"/>
      <c r="G49" s="14"/>
      <c r="H49" s="42"/>
      <c r="I49" s="54"/>
      <c r="J49" s="2"/>
    </row>
    <row r="50" spans="1:12" x14ac:dyDescent="0.25">
      <c r="A50" s="57"/>
      <c r="B50" s="13"/>
      <c r="C50" s="43" t="s">
        <v>44</v>
      </c>
      <c r="D50" s="13"/>
      <c r="E50" s="14"/>
      <c r="F50" s="14"/>
      <c r="G50" s="14"/>
      <c r="H50" s="44">
        <f>H10+H18+H21+H26+H36+H47</f>
        <v>95693.654200000004</v>
      </c>
      <c r="I50" s="58">
        <f>I10+I18+I21+I26+I36+I47</f>
        <v>42318.714469999992</v>
      </c>
      <c r="J50" s="112"/>
      <c r="K50" s="62"/>
      <c r="L50" s="62"/>
    </row>
    <row r="51" spans="1:12" x14ac:dyDescent="0.25">
      <c r="A51" s="57"/>
      <c r="B51" s="13"/>
      <c r="C51" s="12" t="s">
        <v>45</v>
      </c>
      <c r="D51" s="13"/>
      <c r="E51" s="35"/>
      <c r="F51" s="45"/>
      <c r="G51" s="46"/>
      <c r="H51" s="17">
        <f>H50*0.1921-0.01</f>
        <v>18382.740971820003</v>
      </c>
      <c r="I51" s="52">
        <f>I50*0.1921</f>
        <v>8129.4250496869981</v>
      </c>
      <c r="J51" s="2"/>
    </row>
    <row r="52" spans="1:12" ht="9.75" customHeight="1" x14ac:dyDescent="0.25">
      <c r="A52" s="59"/>
      <c r="B52" s="47"/>
      <c r="C52" s="48"/>
      <c r="D52" s="47"/>
      <c r="E52" s="49"/>
      <c r="F52" s="49"/>
      <c r="G52" s="50"/>
      <c r="H52" s="191" t="s">
        <v>48</v>
      </c>
      <c r="I52" s="193" t="s">
        <v>49</v>
      </c>
      <c r="J52" s="2"/>
    </row>
    <row r="53" spans="1:12" ht="26.25" customHeight="1" x14ac:dyDescent="0.25">
      <c r="A53" s="59"/>
      <c r="B53" s="47"/>
      <c r="C53" s="48"/>
      <c r="D53" s="47"/>
      <c r="E53" s="49"/>
      <c r="F53" s="49"/>
      <c r="G53" s="50"/>
      <c r="H53" s="192"/>
      <c r="I53" s="193"/>
      <c r="J53" s="2"/>
    </row>
    <row r="54" spans="1:12" ht="15.75" thickBot="1" x14ac:dyDescent="0.3">
      <c r="A54" s="165" t="s">
        <v>153</v>
      </c>
      <c r="B54" s="166"/>
      <c r="C54" s="166"/>
      <c r="D54" s="166"/>
      <c r="E54" s="166"/>
      <c r="F54" s="166"/>
      <c r="G54" s="167"/>
      <c r="H54" s="60">
        <f>H50+H51</f>
        <v>114076.39517182001</v>
      </c>
      <c r="I54" s="61">
        <f>I50+I51</f>
        <v>50448.139519686993</v>
      </c>
      <c r="J54" s="2"/>
      <c r="K54" s="62"/>
    </row>
    <row r="55" spans="1:12" ht="15.75" thickBot="1" x14ac:dyDescent="0.3">
      <c r="A55" s="133"/>
      <c r="B55" s="133"/>
      <c r="C55" s="133"/>
      <c r="D55" s="133"/>
      <c r="E55" s="133"/>
      <c r="F55" s="135"/>
      <c r="G55" s="136" t="s">
        <v>154</v>
      </c>
      <c r="H55" s="187">
        <f>H54+I54</f>
        <v>164524.534691507</v>
      </c>
      <c r="I55" s="188"/>
      <c r="J55" s="2"/>
      <c r="K55" s="62"/>
    </row>
    <row r="56" spans="1:12" ht="15.75" thickBot="1" x14ac:dyDescent="0.3">
      <c r="A56" s="133"/>
      <c r="B56" s="133"/>
      <c r="C56" s="133"/>
      <c r="D56" s="133"/>
      <c r="E56" s="133"/>
      <c r="F56" s="133"/>
      <c r="G56" s="133"/>
      <c r="H56" s="134"/>
      <c r="I56" s="134"/>
      <c r="J56" s="2"/>
      <c r="K56" s="62"/>
    </row>
    <row r="57" spans="1:12" x14ac:dyDescent="0.25">
      <c r="A57" s="137"/>
      <c r="B57" s="138"/>
      <c r="C57" s="138"/>
      <c r="D57" s="138"/>
      <c r="E57" s="138"/>
      <c r="F57" s="138"/>
      <c r="G57" s="138"/>
      <c r="H57" s="139"/>
      <c r="I57" s="140"/>
      <c r="J57" s="2"/>
      <c r="K57" s="62"/>
    </row>
    <row r="58" spans="1:12" x14ac:dyDescent="0.25">
      <c r="A58" s="141" t="s">
        <v>150</v>
      </c>
      <c r="I58" s="91"/>
      <c r="J58" s="62"/>
      <c r="K58" s="62"/>
    </row>
    <row r="59" spans="1:12" x14ac:dyDescent="0.25">
      <c r="A59" s="141" t="s">
        <v>155</v>
      </c>
      <c r="I59" s="91"/>
      <c r="J59" s="62"/>
      <c r="K59" s="62"/>
    </row>
    <row r="60" spans="1:12" x14ac:dyDescent="0.25">
      <c r="A60" s="142" t="s">
        <v>152</v>
      </c>
      <c r="I60" s="91"/>
      <c r="J60" s="62"/>
    </row>
    <row r="61" spans="1:12" ht="15.75" thickBot="1" x14ac:dyDescent="0.3">
      <c r="A61" s="143"/>
      <c r="B61" s="144"/>
      <c r="C61" s="144"/>
      <c r="D61" s="144"/>
      <c r="E61" s="144"/>
      <c r="F61" s="144"/>
      <c r="G61" s="144"/>
      <c r="H61" s="145"/>
      <c r="I61" s="146"/>
    </row>
    <row r="62" spans="1:12" ht="15.75" thickBot="1" x14ac:dyDescent="0.3"/>
    <row r="63" spans="1:12" x14ac:dyDescent="0.25">
      <c r="A63" s="147"/>
      <c r="B63" s="148"/>
      <c r="C63" s="148"/>
      <c r="D63" s="148"/>
      <c r="E63" s="148"/>
      <c r="F63" s="148"/>
      <c r="G63" s="148"/>
      <c r="H63" s="148"/>
      <c r="I63" s="149"/>
    </row>
    <row r="64" spans="1:12" x14ac:dyDescent="0.25">
      <c r="A64" s="150"/>
      <c r="B64" s="156"/>
      <c r="C64" s="156"/>
      <c r="D64" s="156"/>
      <c r="E64" s="156"/>
      <c r="F64" s="156"/>
      <c r="G64" s="156"/>
      <c r="H64" s="156"/>
      <c r="I64" s="151"/>
    </row>
    <row r="65" spans="1:9" x14ac:dyDescent="0.25">
      <c r="A65" s="150"/>
      <c r="B65" s="156"/>
      <c r="C65" s="156"/>
      <c r="D65" s="156"/>
      <c r="E65" s="156"/>
      <c r="F65" s="156"/>
      <c r="G65" s="156"/>
      <c r="H65" s="156"/>
      <c r="I65" s="151"/>
    </row>
    <row r="66" spans="1:9" x14ac:dyDescent="0.25">
      <c r="A66" s="150"/>
      <c r="B66" s="157"/>
      <c r="C66" s="157"/>
      <c r="D66" s="157"/>
      <c r="E66" s="157"/>
      <c r="F66" s="157"/>
      <c r="G66" s="157"/>
      <c r="H66" s="157"/>
      <c r="I66" s="152"/>
    </row>
    <row r="67" spans="1:9" x14ac:dyDescent="0.25">
      <c r="A67" s="150"/>
      <c r="B67" s="156"/>
      <c r="C67" s="156"/>
      <c r="D67" s="156"/>
      <c r="E67" s="156"/>
      <c r="F67" s="156"/>
      <c r="G67" s="156"/>
      <c r="H67" s="156"/>
      <c r="I67" s="151"/>
    </row>
    <row r="68" spans="1:9" x14ac:dyDescent="0.25">
      <c r="A68" s="150"/>
      <c r="B68" s="156"/>
      <c r="C68" s="156"/>
      <c r="D68" s="156"/>
      <c r="E68" s="156"/>
      <c r="F68" s="156"/>
      <c r="G68" s="156"/>
      <c r="H68" s="156"/>
      <c r="I68" s="151"/>
    </row>
    <row r="69" spans="1:9" x14ac:dyDescent="0.25">
      <c r="A69" s="150"/>
      <c r="B69" s="156"/>
      <c r="C69" s="156"/>
      <c r="D69" s="156"/>
      <c r="E69" s="156"/>
      <c r="F69" s="156"/>
      <c r="G69" s="156"/>
      <c r="H69" s="156"/>
      <c r="I69" s="151"/>
    </row>
    <row r="70" spans="1:9" x14ac:dyDescent="0.25">
      <c r="A70" s="150"/>
      <c r="B70" s="156"/>
      <c r="C70" s="156"/>
      <c r="D70" s="156"/>
      <c r="E70" s="156"/>
      <c r="F70" s="156"/>
      <c r="G70" s="156"/>
      <c r="H70" s="156"/>
      <c r="I70" s="151"/>
    </row>
    <row r="71" spans="1:9" x14ac:dyDescent="0.25">
      <c r="A71" s="150"/>
      <c r="B71" s="156"/>
      <c r="C71" s="156"/>
      <c r="D71" s="156"/>
      <c r="E71" s="156"/>
      <c r="F71" s="156"/>
      <c r="G71" s="156"/>
      <c r="H71" s="156"/>
      <c r="I71" s="151"/>
    </row>
    <row r="72" spans="1:9" ht="15.75" thickBot="1" x14ac:dyDescent="0.3">
      <c r="A72" s="153"/>
      <c r="B72" s="154"/>
      <c r="C72" s="154"/>
      <c r="D72" s="154"/>
      <c r="E72" s="154"/>
      <c r="F72" s="154"/>
      <c r="G72" s="154"/>
      <c r="H72" s="154"/>
      <c r="I72" s="155"/>
    </row>
  </sheetData>
  <mergeCells count="22">
    <mergeCell ref="H55:I55"/>
    <mergeCell ref="B6:F6"/>
    <mergeCell ref="H52:H53"/>
    <mergeCell ref="I52:I53"/>
    <mergeCell ref="C7:C9"/>
    <mergeCell ref="E7:E9"/>
    <mergeCell ref="F8:F9"/>
    <mergeCell ref="G8:G9"/>
    <mergeCell ref="H7:H9"/>
    <mergeCell ref="I7:I9"/>
    <mergeCell ref="A1:I1"/>
    <mergeCell ref="A3:F3"/>
    <mergeCell ref="H2:I2"/>
    <mergeCell ref="A2:F2"/>
    <mergeCell ref="G5:I5"/>
    <mergeCell ref="A4:F4"/>
    <mergeCell ref="A5:F5"/>
    <mergeCell ref="A7:A9"/>
    <mergeCell ref="B7:B9"/>
    <mergeCell ref="D7:D9"/>
    <mergeCell ref="A54:G54"/>
    <mergeCell ref="F7:G7"/>
  </mergeCells>
  <phoneticPr fontId="19" type="noConversion"/>
  <printOptions horizontalCentered="1"/>
  <pageMargins left="0.23622047244094491" right="0.15748031496062992" top="0.39370078740157483" bottom="0.78740157480314965" header="0.39370078740157483" footer="0.78740157480314965"/>
  <pageSetup paperSize="9" scale="74" firstPageNumber="0" orientation="landscape" r:id="rId1"/>
  <headerFooter alignWithMargins="0"/>
  <rowBreaks count="2" manualBreakCount="2">
    <brk id="27" max="8" man="1"/>
    <brk id="3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3"/>
  <sheetViews>
    <sheetView view="pageBreakPreview" topLeftCell="A97" zoomScale="112" zoomScaleNormal="100" zoomScaleSheetLayoutView="112" workbookViewId="0">
      <selection activeCell="L117" sqref="L117"/>
    </sheetView>
  </sheetViews>
  <sheetFormatPr defaultRowHeight="15" x14ac:dyDescent="0.25"/>
  <cols>
    <col min="1" max="1" width="11.42578125" customWidth="1"/>
    <col min="2" max="3" width="9.140625" customWidth="1"/>
    <col min="6" max="6" width="9.28515625" customWidth="1"/>
    <col min="7" max="7" width="15.28515625" customWidth="1"/>
    <col min="8" max="8" width="14.140625" customWidth="1"/>
    <col min="9" max="9" width="19.140625" customWidth="1"/>
  </cols>
  <sheetData>
    <row r="1" spans="1:9" x14ac:dyDescent="0.25">
      <c r="A1" s="170" t="s">
        <v>111</v>
      </c>
      <c r="B1" s="171"/>
      <c r="C1" s="171"/>
      <c r="D1" s="171"/>
      <c r="E1" s="171"/>
      <c r="F1" s="171"/>
      <c r="G1" s="171"/>
      <c r="H1" s="171"/>
      <c r="I1" s="172"/>
    </row>
    <row r="2" spans="1:9" x14ac:dyDescent="0.25">
      <c r="A2" s="178" t="s">
        <v>0</v>
      </c>
      <c r="B2" s="179"/>
      <c r="C2" s="179"/>
      <c r="D2" s="179"/>
      <c r="E2" s="179"/>
      <c r="F2" s="180"/>
      <c r="G2" s="3" t="s">
        <v>1</v>
      </c>
      <c r="H2" s="176" t="s">
        <v>52</v>
      </c>
      <c r="I2" s="200"/>
    </row>
    <row r="3" spans="1:9" x14ac:dyDescent="0.25">
      <c r="A3" s="173" t="s">
        <v>2</v>
      </c>
      <c r="B3" s="174"/>
      <c r="C3" s="174"/>
      <c r="D3" s="174"/>
      <c r="E3" s="174"/>
      <c r="F3" s="175"/>
      <c r="G3" s="4"/>
      <c r="H3" s="5"/>
      <c r="I3" s="6"/>
    </row>
    <row r="4" spans="1:9" x14ac:dyDescent="0.25">
      <c r="A4" s="184" t="s">
        <v>3</v>
      </c>
      <c r="B4" s="185"/>
      <c r="C4" s="185"/>
      <c r="D4" s="185"/>
      <c r="E4" s="185"/>
      <c r="F4" s="186"/>
      <c r="G4" s="4" t="s">
        <v>117</v>
      </c>
      <c r="H4" s="4"/>
      <c r="I4" s="6"/>
    </row>
    <row r="5" spans="1:9" x14ac:dyDescent="0.25">
      <c r="A5" s="173" t="s">
        <v>4</v>
      </c>
      <c r="B5" s="174"/>
      <c r="C5" s="174"/>
      <c r="D5" s="174"/>
      <c r="E5" s="174"/>
      <c r="F5" s="175"/>
      <c r="G5" s="198"/>
      <c r="H5" s="174"/>
      <c r="I5" s="199"/>
    </row>
    <row r="6" spans="1:9" ht="30.75" customHeight="1" thickBot="1" x14ac:dyDescent="0.3">
      <c r="A6" s="7" t="s">
        <v>5</v>
      </c>
      <c r="B6" s="205" t="s">
        <v>6</v>
      </c>
      <c r="C6" s="205"/>
      <c r="D6" s="205"/>
      <c r="E6" s="205"/>
      <c r="F6" s="206"/>
      <c r="G6" s="207"/>
      <c r="H6" s="208"/>
      <c r="I6" s="209"/>
    </row>
    <row r="7" spans="1:9" x14ac:dyDescent="0.25">
      <c r="A7" s="82"/>
      <c r="B7" s="8"/>
      <c r="C7" s="8"/>
      <c r="D7" s="8"/>
      <c r="E7" s="8"/>
      <c r="F7" s="8"/>
      <c r="G7" s="8"/>
      <c r="H7" s="8"/>
      <c r="I7" s="83"/>
    </row>
    <row r="8" spans="1:9" x14ac:dyDescent="0.25">
      <c r="A8" s="84" t="str">
        <f>'PLANILHA DE ADITIVO'!A10</f>
        <v>1.0</v>
      </c>
      <c r="B8" s="203" t="str">
        <f>'PLANILHA DE ADITIVO'!C10</f>
        <v>SERVIÇOS PRELIMINARES</v>
      </c>
      <c r="C8" s="203"/>
      <c r="D8" s="203"/>
      <c r="E8" s="203"/>
      <c r="F8" s="203"/>
      <c r="G8" s="203"/>
      <c r="H8" s="203"/>
      <c r="I8" s="204"/>
    </row>
    <row r="9" spans="1:9" x14ac:dyDescent="0.25">
      <c r="A9" s="82"/>
      <c r="B9" s="8"/>
      <c r="C9" s="8"/>
      <c r="D9" s="8"/>
      <c r="E9" s="8"/>
      <c r="F9" s="8"/>
      <c r="G9" s="8"/>
      <c r="H9" s="8"/>
      <c r="I9" s="83"/>
    </row>
    <row r="10" spans="1:9" x14ac:dyDescent="0.25">
      <c r="A10" s="85" t="str">
        <f>'PLANILHA DE ADITIVO'!A12</f>
        <v>1.2 - Aditivo</v>
      </c>
      <c r="B10" s="210" t="str">
        <f>'PLANILHA DE ADITIVO'!C12</f>
        <v>DEMOLIÇÃO DE CONTRA-PISO, DE FORMA MANUAL, SEM REAPROVEITAMENTO</v>
      </c>
      <c r="C10" s="210"/>
      <c r="D10" s="210"/>
      <c r="E10" s="210"/>
      <c r="F10" s="210"/>
      <c r="G10" s="210"/>
      <c r="H10" s="210"/>
      <c r="I10" s="211"/>
    </row>
    <row r="11" spans="1:9" x14ac:dyDescent="0.25">
      <c r="A11" s="82"/>
      <c r="B11" s="8"/>
      <c r="C11" s="8"/>
      <c r="D11" s="8"/>
      <c r="E11" s="8"/>
      <c r="F11" s="8"/>
      <c r="G11" s="8"/>
      <c r="H11" s="8"/>
      <c r="I11" s="83"/>
    </row>
    <row r="12" spans="1:9" x14ac:dyDescent="0.25">
      <c r="A12" s="82"/>
      <c r="B12" s="86" t="s">
        <v>54</v>
      </c>
      <c r="C12" s="86" t="s">
        <v>55</v>
      </c>
      <c r="D12" s="86" t="s">
        <v>56</v>
      </c>
      <c r="E12" s="86" t="s">
        <v>57</v>
      </c>
      <c r="F12" s="86" t="s">
        <v>58</v>
      </c>
      <c r="G12" s="8"/>
      <c r="H12" s="8"/>
      <c r="I12" s="83"/>
    </row>
    <row r="13" spans="1:9" x14ac:dyDescent="0.25">
      <c r="A13" s="82"/>
      <c r="B13" s="87">
        <v>30</v>
      </c>
      <c r="C13" s="86" t="s">
        <v>55</v>
      </c>
      <c r="D13" s="8">
        <v>0.55000000000000004</v>
      </c>
      <c r="E13" s="86" t="s">
        <v>57</v>
      </c>
      <c r="F13" s="87">
        <f>B13*D13</f>
        <v>16.5</v>
      </c>
      <c r="G13" s="8" t="s">
        <v>15</v>
      </c>
      <c r="H13" s="8"/>
      <c r="I13" s="83"/>
    </row>
    <row r="14" spans="1:9" x14ac:dyDescent="0.25">
      <c r="A14" s="82"/>
      <c r="B14" s="87">
        <v>30</v>
      </c>
      <c r="C14" s="86" t="s">
        <v>55</v>
      </c>
      <c r="D14" s="8">
        <v>0.55000000000000004</v>
      </c>
      <c r="E14" s="86" t="s">
        <v>57</v>
      </c>
      <c r="F14" s="87">
        <f>B14*D14</f>
        <v>16.5</v>
      </c>
      <c r="G14" s="8" t="s">
        <v>15</v>
      </c>
      <c r="H14" s="8"/>
      <c r="I14" s="83"/>
    </row>
    <row r="15" spans="1:9" ht="15.75" thickBot="1" x14ac:dyDescent="0.3">
      <c r="A15" s="82"/>
      <c r="B15" s="8"/>
      <c r="C15" s="8"/>
      <c r="D15" s="8"/>
      <c r="E15" s="8"/>
      <c r="F15" s="8"/>
      <c r="G15" s="8"/>
      <c r="H15" s="8"/>
      <c r="I15" s="83"/>
    </row>
    <row r="16" spans="1:9" ht="15.75" thickBot="1" x14ac:dyDescent="0.3">
      <c r="A16" s="82"/>
      <c r="B16" s="8"/>
      <c r="C16" s="8"/>
      <c r="D16" s="88" t="s">
        <v>59</v>
      </c>
      <c r="E16" s="9">
        <f>SUM(F13:F14)</f>
        <v>33</v>
      </c>
      <c r="F16" s="89" t="s">
        <v>15</v>
      </c>
      <c r="G16" s="8"/>
      <c r="H16" s="8"/>
      <c r="I16" s="83"/>
    </row>
    <row r="17" spans="1:9" x14ac:dyDescent="0.25">
      <c r="A17" s="82"/>
      <c r="B17" s="8"/>
      <c r="C17" s="8"/>
      <c r="D17" s="8"/>
      <c r="E17" s="8"/>
      <c r="F17" s="8"/>
      <c r="G17" s="8"/>
      <c r="H17" s="8"/>
      <c r="I17" s="83"/>
    </row>
    <row r="18" spans="1:9" x14ac:dyDescent="0.25">
      <c r="A18" s="84" t="str">
        <f>'PLANILHA DE ADITIVO'!A13</f>
        <v>1.3</v>
      </c>
      <c r="B18" s="203" t="str">
        <f>'PLANILHA DE ADITIVO'!C13</f>
        <v>INFRA-ESTRUTURA E SUPER-ESTRUTURA</v>
      </c>
      <c r="C18" s="203"/>
      <c r="D18" s="203"/>
      <c r="E18" s="203"/>
      <c r="F18" s="203"/>
      <c r="G18" s="203"/>
      <c r="H18" s="203"/>
      <c r="I18" s="204"/>
    </row>
    <row r="19" spans="1:9" x14ac:dyDescent="0.25">
      <c r="A19" s="82"/>
      <c r="B19" s="8"/>
      <c r="C19" s="8"/>
      <c r="D19" s="8"/>
      <c r="E19" s="8"/>
      <c r="F19" s="8"/>
      <c r="G19" s="8"/>
      <c r="H19" s="8"/>
      <c r="I19" s="83"/>
    </row>
    <row r="20" spans="1:9" x14ac:dyDescent="0.25">
      <c r="A20" s="85" t="str">
        <f>'PLANILHA DE ADITIVO'!A14</f>
        <v>1.3.1 - Aditivo</v>
      </c>
      <c r="B20" s="210" t="str">
        <f>'PLANILHA DE ADITIVO'!C14</f>
        <v>ESCAVACAO MANUAL DE VALA  DE 1,5 ATE 3M</v>
      </c>
      <c r="C20" s="210"/>
      <c r="D20" s="210"/>
      <c r="E20" s="210"/>
      <c r="F20" s="210"/>
      <c r="G20" s="210"/>
      <c r="H20" s="210"/>
      <c r="I20" s="211"/>
    </row>
    <row r="21" spans="1:9" x14ac:dyDescent="0.25">
      <c r="A21" s="82"/>
      <c r="B21" s="8"/>
      <c r="C21" s="8"/>
      <c r="D21" s="8"/>
      <c r="E21" s="8"/>
      <c r="F21" s="8"/>
      <c r="G21" s="8"/>
      <c r="H21" s="8"/>
      <c r="I21" s="83"/>
    </row>
    <row r="22" spans="1:9" x14ac:dyDescent="0.25">
      <c r="A22" s="82"/>
      <c r="B22" s="86" t="s">
        <v>54</v>
      </c>
      <c r="C22" s="86" t="s">
        <v>55</v>
      </c>
      <c r="D22" s="86" t="s">
        <v>56</v>
      </c>
      <c r="E22" s="86" t="s">
        <v>55</v>
      </c>
      <c r="F22" s="86" t="s">
        <v>70</v>
      </c>
      <c r="G22" s="86" t="s">
        <v>57</v>
      </c>
      <c r="H22" s="86" t="s">
        <v>71</v>
      </c>
      <c r="I22" s="83"/>
    </row>
    <row r="23" spans="1:9" x14ac:dyDescent="0.25">
      <c r="A23" s="82"/>
      <c r="B23" s="87">
        <v>1</v>
      </c>
      <c r="C23" s="86" t="s">
        <v>55</v>
      </c>
      <c r="D23" s="87">
        <v>1</v>
      </c>
      <c r="E23" s="86" t="s">
        <v>55</v>
      </c>
      <c r="F23" s="87">
        <v>0.5</v>
      </c>
      <c r="G23" s="86" t="s">
        <v>57</v>
      </c>
      <c r="H23" s="87">
        <f>D23*F23*B23</f>
        <v>0.5</v>
      </c>
      <c r="I23" s="83" t="s">
        <v>74</v>
      </c>
    </row>
    <row r="24" spans="1:9" x14ac:dyDescent="0.25">
      <c r="A24" s="82"/>
      <c r="B24" s="87">
        <v>1</v>
      </c>
      <c r="C24" s="86" t="s">
        <v>55</v>
      </c>
      <c r="D24" s="87">
        <v>1</v>
      </c>
      <c r="E24" s="86" t="s">
        <v>55</v>
      </c>
      <c r="F24" s="87">
        <v>0.5</v>
      </c>
      <c r="G24" s="86" t="s">
        <v>57</v>
      </c>
      <c r="H24" s="87">
        <f>D24*F24*B24</f>
        <v>0.5</v>
      </c>
      <c r="I24" s="83" t="s">
        <v>75</v>
      </c>
    </row>
    <row r="25" spans="1:9" ht="15.75" thickBot="1" x14ac:dyDescent="0.3">
      <c r="A25" s="82"/>
      <c r="B25" s="8"/>
      <c r="C25" s="8"/>
      <c r="D25" s="8"/>
      <c r="E25" s="8"/>
      <c r="F25" s="8"/>
      <c r="G25" s="8"/>
      <c r="H25" s="8"/>
      <c r="I25" s="83"/>
    </row>
    <row r="26" spans="1:9" ht="15.75" thickBot="1" x14ac:dyDescent="0.3">
      <c r="A26" s="82"/>
      <c r="B26" s="8"/>
      <c r="C26" s="8"/>
      <c r="D26" s="88" t="s">
        <v>72</v>
      </c>
      <c r="E26" s="9">
        <f>SUM(H23:H24)</f>
        <v>1</v>
      </c>
      <c r="F26" s="89" t="s">
        <v>62</v>
      </c>
      <c r="G26" s="8"/>
      <c r="H26" s="8"/>
      <c r="I26" s="83"/>
    </row>
    <row r="27" spans="1:9" x14ac:dyDescent="0.25">
      <c r="A27" s="90"/>
      <c r="I27" s="91"/>
    </row>
    <row r="28" spans="1:9" x14ac:dyDescent="0.25">
      <c r="A28" s="85" t="str">
        <f>'PLANILHA DE ADITIVO'!A15</f>
        <v>1.3.2 - Aditivo</v>
      </c>
      <c r="B28" s="210" t="str">
        <f>'PLANILHA DE ADITIVO'!C15</f>
        <v>EXECUÇÃO DE ESTRUTURAS DE CONCRETO ARMADO</v>
      </c>
      <c r="C28" s="210"/>
      <c r="D28" s="210"/>
      <c r="E28" s="210"/>
      <c r="F28" s="210"/>
      <c r="G28" s="210"/>
      <c r="H28" s="210"/>
      <c r="I28" s="211"/>
    </row>
    <row r="29" spans="1:9" x14ac:dyDescent="0.25">
      <c r="A29" s="82"/>
      <c r="B29" s="8"/>
      <c r="C29" s="8"/>
      <c r="D29" s="8"/>
      <c r="E29" s="8"/>
      <c r="F29" s="8"/>
      <c r="G29" s="8"/>
      <c r="H29" s="8"/>
      <c r="I29" s="83"/>
    </row>
    <row r="30" spans="1:9" x14ac:dyDescent="0.25">
      <c r="A30" s="82"/>
      <c r="B30" s="86" t="s">
        <v>54</v>
      </c>
      <c r="C30" s="86" t="s">
        <v>55</v>
      </c>
      <c r="D30" s="86" t="s">
        <v>56</v>
      </c>
      <c r="E30" s="86" t="s">
        <v>55</v>
      </c>
      <c r="F30" s="86" t="s">
        <v>70</v>
      </c>
      <c r="G30" s="86" t="s">
        <v>57</v>
      </c>
      <c r="H30" s="86" t="s">
        <v>71</v>
      </c>
      <c r="I30" s="83"/>
    </row>
    <row r="31" spans="1:9" x14ac:dyDescent="0.25">
      <c r="A31" s="82"/>
      <c r="B31" s="87">
        <v>1</v>
      </c>
      <c r="C31" s="86" t="s">
        <v>55</v>
      </c>
      <c r="D31" s="87">
        <v>1</v>
      </c>
      <c r="E31" s="86" t="s">
        <v>55</v>
      </c>
      <c r="F31" s="87">
        <v>0.5</v>
      </c>
      <c r="G31" s="86" t="s">
        <v>57</v>
      </c>
      <c r="H31" s="87">
        <f t="shared" ref="H31:H48" si="0">D31*F31*B31</f>
        <v>0.5</v>
      </c>
      <c r="I31" s="83" t="s">
        <v>74</v>
      </c>
    </row>
    <row r="32" spans="1:9" x14ac:dyDescent="0.25">
      <c r="A32" s="82"/>
      <c r="B32" s="87">
        <v>1</v>
      </c>
      <c r="C32" s="86" t="s">
        <v>55</v>
      </c>
      <c r="D32" s="87">
        <v>1</v>
      </c>
      <c r="E32" s="86" t="s">
        <v>55</v>
      </c>
      <c r="F32" s="87">
        <v>0.5</v>
      </c>
      <c r="G32" s="86" t="s">
        <v>57</v>
      </c>
      <c r="H32" s="87">
        <f t="shared" si="0"/>
        <v>0.5</v>
      </c>
      <c r="I32" s="83" t="s">
        <v>75</v>
      </c>
    </row>
    <row r="33" spans="1:9" x14ac:dyDescent="0.25">
      <c r="A33" s="82"/>
      <c r="B33" s="87">
        <v>0.15</v>
      </c>
      <c r="C33" s="86" t="s">
        <v>55</v>
      </c>
      <c r="D33" s="87">
        <v>0.15</v>
      </c>
      <c r="E33" s="86" t="s">
        <v>55</v>
      </c>
      <c r="F33" s="87">
        <v>6.3</v>
      </c>
      <c r="G33" s="86" t="s">
        <v>57</v>
      </c>
      <c r="H33" s="87">
        <f t="shared" si="0"/>
        <v>0.14174999999999999</v>
      </c>
      <c r="I33" s="83" t="s">
        <v>76</v>
      </c>
    </row>
    <row r="34" spans="1:9" x14ac:dyDescent="0.25">
      <c r="A34" s="82"/>
      <c r="B34" s="87">
        <v>0.15</v>
      </c>
      <c r="C34" s="86" t="s">
        <v>55</v>
      </c>
      <c r="D34" s="87">
        <v>0.15</v>
      </c>
      <c r="E34" s="86" t="s">
        <v>55</v>
      </c>
      <c r="F34" s="87">
        <v>6.3</v>
      </c>
      <c r="G34" s="86" t="s">
        <v>57</v>
      </c>
      <c r="H34" s="87">
        <f t="shared" si="0"/>
        <v>0.14174999999999999</v>
      </c>
      <c r="I34" s="83" t="s">
        <v>77</v>
      </c>
    </row>
    <row r="35" spans="1:9" x14ac:dyDescent="0.25">
      <c r="A35" s="82"/>
      <c r="B35" s="87">
        <v>0.15</v>
      </c>
      <c r="C35" s="86" t="s">
        <v>55</v>
      </c>
      <c r="D35" s="87">
        <v>0.15</v>
      </c>
      <c r="E35" s="86" t="s">
        <v>55</v>
      </c>
      <c r="F35" s="87">
        <v>1.2</v>
      </c>
      <c r="G35" s="86" t="s">
        <v>57</v>
      </c>
      <c r="H35" s="87">
        <f t="shared" si="0"/>
        <v>2.7E-2</v>
      </c>
      <c r="I35" s="83" t="s">
        <v>78</v>
      </c>
    </row>
    <row r="36" spans="1:9" x14ac:dyDescent="0.25">
      <c r="A36" s="82"/>
      <c r="B36" s="87">
        <v>0.15</v>
      </c>
      <c r="C36" s="86" t="s">
        <v>55</v>
      </c>
      <c r="D36" s="87">
        <v>0.15</v>
      </c>
      <c r="E36" s="86" t="s">
        <v>55</v>
      </c>
      <c r="F36" s="87">
        <v>1.2</v>
      </c>
      <c r="G36" s="86" t="s">
        <v>57</v>
      </c>
      <c r="H36" s="87">
        <f t="shared" si="0"/>
        <v>2.7E-2</v>
      </c>
      <c r="I36" s="83" t="s">
        <v>79</v>
      </c>
    </row>
    <row r="37" spans="1:9" x14ac:dyDescent="0.25">
      <c r="A37" s="82"/>
      <c r="B37" s="87">
        <v>0.15</v>
      </c>
      <c r="C37" s="86" t="s">
        <v>55</v>
      </c>
      <c r="D37" s="87">
        <v>0.15</v>
      </c>
      <c r="E37" s="86" t="s">
        <v>55</v>
      </c>
      <c r="F37" s="87">
        <v>1.2</v>
      </c>
      <c r="G37" s="86" t="s">
        <v>57</v>
      </c>
      <c r="H37" s="87">
        <f t="shared" si="0"/>
        <v>2.7E-2</v>
      </c>
      <c r="I37" s="83" t="s">
        <v>80</v>
      </c>
    </row>
    <row r="38" spans="1:9" x14ac:dyDescent="0.25">
      <c r="A38" s="82"/>
      <c r="B38" s="87">
        <v>0.15</v>
      </c>
      <c r="C38" s="86" t="s">
        <v>55</v>
      </c>
      <c r="D38" s="87">
        <v>0.15</v>
      </c>
      <c r="E38" s="86" t="s">
        <v>55</v>
      </c>
      <c r="F38" s="87">
        <v>1.2</v>
      </c>
      <c r="G38" s="86" t="s">
        <v>57</v>
      </c>
      <c r="H38" s="87">
        <f t="shared" si="0"/>
        <v>2.7E-2</v>
      </c>
      <c r="I38" s="83" t="s">
        <v>81</v>
      </c>
    </row>
    <row r="39" spans="1:9" x14ac:dyDescent="0.25">
      <c r="A39" s="82"/>
      <c r="B39" s="87">
        <v>0.15</v>
      </c>
      <c r="C39" s="86" t="s">
        <v>55</v>
      </c>
      <c r="D39" s="87">
        <v>0.15</v>
      </c>
      <c r="E39" s="86" t="s">
        <v>55</v>
      </c>
      <c r="F39" s="87">
        <v>1.2</v>
      </c>
      <c r="G39" s="86" t="s">
        <v>57</v>
      </c>
      <c r="H39" s="87">
        <f t="shared" si="0"/>
        <v>2.7E-2</v>
      </c>
      <c r="I39" s="83" t="s">
        <v>82</v>
      </c>
    </row>
    <row r="40" spans="1:9" x14ac:dyDescent="0.25">
      <c r="A40" s="82"/>
      <c r="B40" s="87">
        <v>0.15</v>
      </c>
      <c r="C40" s="86" t="s">
        <v>55</v>
      </c>
      <c r="D40" s="87">
        <v>0.15</v>
      </c>
      <c r="E40" s="86" t="s">
        <v>55</v>
      </c>
      <c r="F40" s="87">
        <v>1.2</v>
      </c>
      <c r="G40" s="86" t="s">
        <v>57</v>
      </c>
      <c r="H40" s="87">
        <f t="shared" si="0"/>
        <v>2.7E-2</v>
      </c>
      <c r="I40" s="83" t="s">
        <v>83</v>
      </c>
    </row>
    <row r="41" spans="1:9" x14ac:dyDescent="0.25">
      <c r="A41" s="82"/>
      <c r="B41" s="87">
        <v>0.15</v>
      </c>
      <c r="C41" s="86" t="s">
        <v>55</v>
      </c>
      <c r="D41" s="87">
        <v>0.15</v>
      </c>
      <c r="E41" s="86" t="s">
        <v>55</v>
      </c>
      <c r="F41" s="87">
        <v>1.2</v>
      </c>
      <c r="G41" s="86" t="s">
        <v>57</v>
      </c>
      <c r="H41" s="87">
        <f t="shared" si="0"/>
        <v>2.7E-2</v>
      </c>
      <c r="I41" s="83" t="s">
        <v>84</v>
      </c>
    </row>
    <row r="42" spans="1:9" x14ac:dyDescent="0.25">
      <c r="A42" s="82"/>
      <c r="B42" s="87">
        <v>0.15</v>
      </c>
      <c r="C42" s="86" t="s">
        <v>55</v>
      </c>
      <c r="D42" s="87">
        <v>0.15</v>
      </c>
      <c r="E42" s="86" t="s">
        <v>55</v>
      </c>
      <c r="F42" s="87">
        <v>1.2</v>
      </c>
      <c r="G42" s="86" t="s">
        <v>57</v>
      </c>
      <c r="H42" s="87">
        <f t="shared" si="0"/>
        <v>2.7E-2</v>
      </c>
      <c r="I42" s="83" t="s">
        <v>85</v>
      </c>
    </row>
    <row r="43" spans="1:9" x14ac:dyDescent="0.25">
      <c r="A43" s="82"/>
      <c r="B43" s="87">
        <v>0.15</v>
      </c>
      <c r="C43" s="86" t="s">
        <v>55</v>
      </c>
      <c r="D43" s="87">
        <v>0.15</v>
      </c>
      <c r="E43" s="86" t="s">
        <v>55</v>
      </c>
      <c r="F43" s="87">
        <v>1.2</v>
      </c>
      <c r="G43" s="86" t="s">
        <v>57</v>
      </c>
      <c r="H43" s="87">
        <f t="shared" si="0"/>
        <v>2.7E-2</v>
      </c>
      <c r="I43" s="83" t="s">
        <v>86</v>
      </c>
    </row>
    <row r="44" spans="1:9" x14ac:dyDescent="0.25">
      <c r="A44" s="82"/>
      <c r="B44" s="87">
        <v>0.15</v>
      </c>
      <c r="C44" s="86" t="s">
        <v>55</v>
      </c>
      <c r="D44" s="87">
        <v>0.15</v>
      </c>
      <c r="E44" s="86" t="s">
        <v>55</v>
      </c>
      <c r="F44" s="87">
        <v>1.2</v>
      </c>
      <c r="G44" s="86" t="s">
        <v>57</v>
      </c>
      <c r="H44" s="87">
        <f t="shared" si="0"/>
        <v>2.7E-2</v>
      </c>
      <c r="I44" s="83" t="s">
        <v>87</v>
      </c>
    </row>
    <row r="45" spans="1:9" x14ac:dyDescent="0.25">
      <c r="A45" s="82"/>
      <c r="B45" s="87">
        <v>0.15</v>
      </c>
      <c r="C45" s="86" t="s">
        <v>55</v>
      </c>
      <c r="D45" s="87">
        <v>0.15</v>
      </c>
      <c r="E45" s="86" t="s">
        <v>55</v>
      </c>
      <c r="F45" s="87">
        <v>1.2</v>
      </c>
      <c r="G45" s="86" t="s">
        <v>57</v>
      </c>
      <c r="H45" s="87">
        <f t="shared" si="0"/>
        <v>2.7E-2</v>
      </c>
      <c r="I45" s="83" t="s">
        <v>88</v>
      </c>
    </row>
    <row r="46" spans="1:9" x14ac:dyDescent="0.25">
      <c r="A46" s="82"/>
      <c r="B46" s="87">
        <v>0.15</v>
      </c>
      <c r="C46" s="86" t="s">
        <v>55</v>
      </c>
      <c r="D46" s="87">
        <v>0.15</v>
      </c>
      <c r="E46" s="86" t="s">
        <v>55</v>
      </c>
      <c r="F46" s="87">
        <v>1.2</v>
      </c>
      <c r="G46" s="86" t="s">
        <v>57</v>
      </c>
      <c r="H46" s="87">
        <f t="shared" si="0"/>
        <v>2.7E-2</v>
      </c>
      <c r="I46" s="83" t="s">
        <v>89</v>
      </c>
    </row>
    <row r="47" spans="1:9" x14ac:dyDescent="0.25">
      <c r="A47" s="82"/>
      <c r="B47" s="87">
        <v>1.35</v>
      </c>
      <c r="C47" s="86" t="s">
        <v>55</v>
      </c>
      <c r="D47" s="87">
        <v>0.15</v>
      </c>
      <c r="E47" s="86" t="s">
        <v>55</v>
      </c>
      <c r="F47" s="87">
        <v>0.3</v>
      </c>
      <c r="G47" s="86" t="s">
        <v>57</v>
      </c>
      <c r="H47" s="87">
        <f t="shared" si="0"/>
        <v>6.0749999999999998E-2</v>
      </c>
      <c r="I47" s="83" t="s">
        <v>90</v>
      </c>
    </row>
    <row r="48" spans="1:9" x14ac:dyDescent="0.25">
      <c r="A48" s="82"/>
      <c r="B48" s="87">
        <v>1.35</v>
      </c>
      <c r="C48" s="86" t="s">
        <v>55</v>
      </c>
      <c r="D48" s="87">
        <v>0.15</v>
      </c>
      <c r="E48" s="86" t="s">
        <v>55</v>
      </c>
      <c r="F48" s="87">
        <v>0.3</v>
      </c>
      <c r="G48" s="86" t="s">
        <v>57</v>
      </c>
      <c r="H48" s="87">
        <f t="shared" si="0"/>
        <v>6.0749999999999998E-2</v>
      </c>
      <c r="I48" s="83" t="s">
        <v>91</v>
      </c>
    </row>
    <row r="49" spans="1:9" ht="15.75" thickBot="1" x14ac:dyDescent="0.3">
      <c r="A49" s="82"/>
      <c r="B49" s="8"/>
      <c r="C49" s="8"/>
      <c r="D49" s="8"/>
      <c r="E49" s="8"/>
      <c r="F49" s="8"/>
      <c r="G49" s="8"/>
      <c r="H49" s="8"/>
      <c r="I49" s="83"/>
    </row>
    <row r="50" spans="1:9" ht="15.75" thickBot="1" x14ac:dyDescent="0.3">
      <c r="A50" s="82"/>
      <c r="B50" s="8"/>
      <c r="C50" s="8"/>
      <c r="D50" s="88" t="s">
        <v>72</v>
      </c>
      <c r="E50" s="9">
        <f>SUM(H31:H48)</f>
        <v>1.7289999999999992</v>
      </c>
      <c r="F50" s="89" t="s">
        <v>62</v>
      </c>
      <c r="G50" s="8"/>
      <c r="H50" s="8"/>
      <c r="I50" s="83"/>
    </row>
    <row r="51" spans="1:9" x14ac:dyDescent="0.25">
      <c r="A51" s="90"/>
      <c r="I51" s="91"/>
    </row>
    <row r="52" spans="1:9" x14ac:dyDescent="0.25">
      <c r="A52" s="84" t="str">
        <f>'PLANILHA DE ADITIVO'!A16</f>
        <v>1.4</v>
      </c>
      <c r="B52" s="203" t="str">
        <f>'PLANILHA DE ADITIVO'!C16</f>
        <v>ALVENARIA</v>
      </c>
      <c r="C52" s="203"/>
      <c r="D52" s="203"/>
      <c r="E52" s="203"/>
      <c r="F52" s="203"/>
      <c r="G52" s="203"/>
      <c r="H52" s="203"/>
      <c r="I52" s="204"/>
    </row>
    <row r="53" spans="1:9" x14ac:dyDescent="0.25">
      <c r="A53" s="90"/>
      <c r="I53" s="91"/>
    </row>
    <row r="54" spans="1:9" ht="30.75" customHeight="1" x14ac:dyDescent="0.25">
      <c r="A54" s="85" t="str">
        <f>'PLANILHA DE ADITIVO'!A17</f>
        <v>1.4.1 - Aditivo</v>
      </c>
      <c r="B54" s="201" t="str">
        <f>'PLANILHA DE ADITIVO'!C17</f>
        <v>ALVENARIA DE VEDAÇÃO DE BLOCOS CERÂMICOS FURADOS NA HORIZONTAL DE 9X19X19CM (ESPESSURA 9CM)</v>
      </c>
      <c r="C54" s="201"/>
      <c r="D54" s="201"/>
      <c r="E54" s="201"/>
      <c r="F54" s="201"/>
      <c r="G54" s="201"/>
      <c r="H54" s="201"/>
      <c r="I54" s="202"/>
    </row>
    <row r="55" spans="1:9" x14ac:dyDescent="0.25">
      <c r="A55" s="82"/>
      <c r="B55" s="8"/>
      <c r="C55" s="8"/>
      <c r="D55" s="8"/>
      <c r="E55" s="8"/>
      <c r="F55" s="8"/>
      <c r="G55" s="8"/>
      <c r="H55" s="8"/>
      <c r="I55" s="83"/>
    </row>
    <row r="56" spans="1:9" x14ac:dyDescent="0.25">
      <c r="A56" s="82"/>
      <c r="B56" s="86" t="s">
        <v>54</v>
      </c>
      <c r="C56" s="86" t="s">
        <v>55</v>
      </c>
      <c r="D56" s="86" t="s">
        <v>56</v>
      </c>
      <c r="E56" s="86" t="s">
        <v>57</v>
      </c>
      <c r="F56" s="86" t="s">
        <v>58</v>
      </c>
      <c r="G56" s="8"/>
      <c r="H56" s="8"/>
      <c r="I56" s="83"/>
    </row>
    <row r="57" spans="1:9" x14ac:dyDescent="0.25">
      <c r="A57" s="82"/>
      <c r="B57" s="87">
        <v>30</v>
      </c>
      <c r="C57" s="86" t="s">
        <v>55</v>
      </c>
      <c r="D57" s="8">
        <v>0.65</v>
      </c>
      <c r="E57" s="86" t="s">
        <v>57</v>
      </c>
      <c r="F57" s="87">
        <f>B57*D57</f>
        <v>19.5</v>
      </c>
      <c r="G57" s="8" t="s">
        <v>15</v>
      </c>
      <c r="H57" s="8"/>
      <c r="I57" s="83"/>
    </row>
    <row r="58" spans="1:9" ht="15.75" thickBot="1" x14ac:dyDescent="0.3">
      <c r="A58" s="82"/>
      <c r="B58" s="8"/>
      <c r="C58" s="8"/>
      <c r="D58" s="8"/>
      <c r="E58" s="8"/>
      <c r="F58" s="8"/>
      <c r="G58" s="8"/>
      <c r="H58" s="8"/>
      <c r="I58" s="83"/>
    </row>
    <row r="59" spans="1:9" ht="15.75" thickBot="1" x14ac:dyDescent="0.3">
      <c r="A59" s="82"/>
      <c r="B59" s="8"/>
      <c r="C59" s="8"/>
      <c r="D59" s="88" t="s">
        <v>59</v>
      </c>
      <c r="E59" s="9">
        <f>SUM(F57:F57)</f>
        <v>19.5</v>
      </c>
      <c r="F59" s="89" t="s">
        <v>15</v>
      </c>
      <c r="G59" s="8"/>
      <c r="H59" s="8"/>
      <c r="I59" s="83"/>
    </row>
    <row r="60" spans="1:9" x14ac:dyDescent="0.25">
      <c r="A60" s="82"/>
      <c r="B60" s="8"/>
      <c r="C60" s="8"/>
      <c r="D60" s="8"/>
      <c r="E60" s="8"/>
      <c r="F60" s="8"/>
      <c r="G60" s="8"/>
      <c r="H60" s="8"/>
      <c r="I60" s="83"/>
    </row>
    <row r="61" spans="1:9" x14ac:dyDescent="0.25">
      <c r="A61" s="84" t="s">
        <v>16</v>
      </c>
      <c r="B61" s="212" t="str">
        <f>'PLANILHA DE ADITIVO'!C18</f>
        <v>SISTEMAS DE COBERTURA</v>
      </c>
      <c r="C61" s="203"/>
      <c r="D61" s="203"/>
      <c r="E61" s="203"/>
      <c r="F61" s="203"/>
      <c r="G61" s="203"/>
      <c r="H61" s="203"/>
      <c r="I61" s="204"/>
    </row>
    <row r="62" spans="1:9" x14ac:dyDescent="0.25">
      <c r="A62" s="82"/>
      <c r="B62" s="8"/>
      <c r="C62" s="8"/>
      <c r="D62" s="8"/>
      <c r="E62" s="8"/>
      <c r="F62" s="8"/>
      <c r="G62" s="8"/>
      <c r="H62" s="8"/>
      <c r="I62" s="83"/>
    </row>
    <row r="63" spans="1:9" x14ac:dyDescent="0.25">
      <c r="A63" s="85" t="s">
        <v>151</v>
      </c>
      <c r="B63" s="210" t="str">
        <f>'[1]PLANILHA DE ADITIVO'!C19</f>
        <v>TELHA DE ALUMÍNIO ONDULADA, ESP.=0,5MM</v>
      </c>
      <c r="C63" s="210"/>
      <c r="D63" s="210"/>
      <c r="E63" s="210"/>
      <c r="F63" s="210"/>
      <c r="G63" s="210"/>
      <c r="H63" s="210"/>
      <c r="I63" s="211"/>
    </row>
    <row r="64" spans="1:9" x14ac:dyDescent="0.25">
      <c r="A64" s="90"/>
      <c r="I64" s="91"/>
    </row>
    <row r="65" spans="1:10" x14ac:dyDescent="0.25">
      <c r="A65" s="90"/>
      <c r="B65" s="86" t="s">
        <v>54</v>
      </c>
      <c r="C65" s="86" t="s">
        <v>55</v>
      </c>
      <c r="D65" s="86" t="s">
        <v>56</v>
      </c>
      <c r="E65" s="86" t="s">
        <v>57</v>
      </c>
      <c r="F65" s="86" t="s">
        <v>58</v>
      </c>
      <c r="G65" s="8"/>
      <c r="I65" s="91"/>
    </row>
    <row r="66" spans="1:10" x14ac:dyDescent="0.25">
      <c r="A66" s="90"/>
      <c r="B66" s="87">
        <v>10</v>
      </c>
      <c r="C66" s="86" t="s">
        <v>55</v>
      </c>
      <c r="D66" s="130">
        <v>4.0330000000000004</v>
      </c>
      <c r="E66" s="86" t="s">
        <v>57</v>
      </c>
      <c r="F66" s="87">
        <f>B66*D66</f>
        <v>40.330000000000005</v>
      </c>
      <c r="G66" s="8" t="s">
        <v>15</v>
      </c>
      <c r="I66" s="91"/>
    </row>
    <row r="67" spans="1:10" ht="15.75" thickBot="1" x14ac:dyDescent="0.3">
      <c r="A67" s="90"/>
      <c r="B67" s="8"/>
      <c r="C67" s="8"/>
      <c r="D67" s="8"/>
      <c r="E67" s="8"/>
      <c r="F67" s="8"/>
      <c r="G67" s="8"/>
      <c r="I67" s="91"/>
    </row>
    <row r="68" spans="1:10" ht="15.75" thickBot="1" x14ac:dyDescent="0.3">
      <c r="A68" s="90"/>
      <c r="B68" s="8"/>
      <c r="C68" s="8"/>
      <c r="D68" s="88" t="s">
        <v>59</v>
      </c>
      <c r="E68" s="9">
        <f>SUM(F66:F66)</f>
        <v>40.330000000000005</v>
      </c>
      <c r="F68" s="89" t="s">
        <v>15</v>
      </c>
      <c r="G68" s="8"/>
      <c r="I68" s="91"/>
    </row>
    <row r="69" spans="1:10" x14ac:dyDescent="0.25">
      <c r="A69" s="90"/>
      <c r="B69" s="8"/>
      <c r="C69" s="8"/>
      <c r="D69" s="88"/>
      <c r="E69" s="131"/>
      <c r="F69" s="89"/>
      <c r="G69" s="8"/>
      <c r="I69" s="91"/>
    </row>
    <row r="70" spans="1:10" x14ac:dyDescent="0.25">
      <c r="A70" s="84" t="str">
        <f>'PLANILHA DE ADITIVO'!A21</f>
        <v>3.0</v>
      </c>
      <c r="B70" s="203" t="str">
        <f>'PLANILHA DE ADITIVO'!C21</f>
        <v>SISTEMA DE PISOS</v>
      </c>
      <c r="C70" s="203"/>
      <c r="D70" s="203"/>
      <c r="E70" s="203"/>
      <c r="F70" s="203"/>
      <c r="G70" s="203"/>
      <c r="H70" s="203"/>
      <c r="I70" s="204"/>
    </row>
    <row r="71" spans="1:10" x14ac:dyDescent="0.25">
      <c r="A71" s="90"/>
      <c r="I71" s="91"/>
    </row>
    <row r="72" spans="1:10" x14ac:dyDescent="0.25">
      <c r="A72" s="85" t="str">
        <f>'PLANILHA DE ADITIVO'!A23</f>
        <v>3.2 - Aditivo</v>
      </c>
      <c r="B72" s="201" t="str">
        <f>'PLANILHA DE ADITIVO'!C23</f>
        <v>LASTRO EM CONCRETO COM MATERIAL GRANULAR, APLICADO EM BLOCOS DE COROAMENTO, ESPESSURA 10CM(ARQUIBANCADAS)</v>
      </c>
      <c r="C72" s="201"/>
      <c r="D72" s="201"/>
      <c r="E72" s="201"/>
      <c r="F72" s="201"/>
      <c r="G72" s="201"/>
      <c r="H72" s="201"/>
      <c r="I72" s="202"/>
    </row>
    <row r="73" spans="1:10" x14ac:dyDescent="0.25">
      <c r="A73" s="82"/>
      <c r="B73" s="8"/>
      <c r="C73" s="8"/>
      <c r="D73" s="8"/>
      <c r="E73" s="8"/>
      <c r="F73" s="8"/>
      <c r="G73" s="8"/>
      <c r="H73" s="8"/>
      <c r="I73" s="83"/>
    </row>
    <row r="74" spans="1:10" x14ac:dyDescent="0.25">
      <c r="A74" s="85" t="s">
        <v>95</v>
      </c>
      <c r="B74" s="86" t="s">
        <v>55</v>
      </c>
      <c r="C74" s="86" t="s">
        <v>96</v>
      </c>
      <c r="D74" s="86" t="s">
        <v>55</v>
      </c>
      <c r="E74" s="86" t="s">
        <v>70</v>
      </c>
      <c r="F74" s="86" t="s">
        <v>55</v>
      </c>
      <c r="G74" s="86" t="s">
        <v>97</v>
      </c>
      <c r="H74" s="86" t="s">
        <v>57</v>
      </c>
      <c r="I74" s="92" t="s">
        <v>71</v>
      </c>
      <c r="J74" s="8"/>
    </row>
    <row r="75" spans="1:10" x14ac:dyDescent="0.25">
      <c r="A75" s="93">
        <v>6.2</v>
      </c>
      <c r="B75" s="86" t="s">
        <v>55</v>
      </c>
      <c r="C75" s="87">
        <v>4</v>
      </c>
      <c r="D75" s="86" t="s">
        <v>55</v>
      </c>
      <c r="E75" s="87">
        <v>20</v>
      </c>
      <c r="F75" s="86" t="s">
        <v>55</v>
      </c>
      <c r="G75" s="87">
        <v>2</v>
      </c>
      <c r="H75" s="94" t="s">
        <v>57</v>
      </c>
      <c r="I75" s="95">
        <f>((A75+C75)*E75)/G75</f>
        <v>102</v>
      </c>
      <c r="J75" s="8"/>
    </row>
    <row r="76" spans="1:10" ht="15.75" thickBot="1" x14ac:dyDescent="0.3">
      <c r="A76" s="82"/>
      <c r="B76" s="8"/>
      <c r="C76" s="8"/>
      <c r="D76" s="8"/>
      <c r="E76" s="8"/>
      <c r="F76" s="8"/>
      <c r="G76" s="8"/>
      <c r="H76" s="8"/>
      <c r="I76" s="83"/>
    </row>
    <row r="77" spans="1:10" ht="15.75" thickBot="1" x14ac:dyDescent="0.3">
      <c r="A77" s="82"/>
      <c r="B77" s="8"/>
      <c r="C77" s="8"/>
      <c r="D77" s="88" t="s">
        <v>59</v>
      </c>
      <c r="E77" s="9">
        <f>I75</f>
        <v>102</v>
      </c>
      <c r="F77" s="89" t="s">
        <v>15</v>
      </c>
      <c r="G77" s="8"/>
      <c r="H77" s="8"/>
      <c r="I77" s="83"/>
    </row>
    <row r="78" spans="1:10" x14ac:dyDescent="0.25">
      <c r="A78" s="90"/>
      <c r="I78" s="91"/>
    </row>
    <row r="79" spans="1:10" x14ac:dyDescent="0.25">
      <c r="A79" s="84" t="str">
        <f>'PLANILHA DE ADITIVO'!A26</f>
        <v>4.0</v>
      </c>
      <c r="B79" s="203" t="str">
        <f>'PLANILHA DE ADITIVO'!C26</f>
        <v xml:space="preserve">PINTURAS E ACABAMENTOS </v>
      </c>
      <c r="C79" s="203"/>
      <c r="D79" s="203"/>
      <c r="E79" s="203"/>
      <c r="F79" s="203"/>
      <c r="G79" s="203"/>
      <c r="H79" s="203"/>
      <c r="I79" s="204"/>
    </row>
    <row r="80" spans="1:10" x14ac:dyDescent="0.25">
      <c r="A80" s="90"/>
      <c r="I80" s="91"/>
    </row>
    <row r="81" spans="1:9" ht="29.25" customHeight="1" x14ac:dyDescent="0.25">
      <c r="A81" s="85" t="str">
        <f>'PLANILHA DE ADITIVO'!A33</f>
        <v>4.7 - Aditivo</v>
      </c>
      <c r="B81" s="201" t="str">
        <f>'PLANILHA DE ADITIVO'!C33</f>
        <v>PINTURA COM TINTA ALQUÍDICA DE FUNDO (TIPO ZARCÃO) PULVERIZADA SOBRE SUPERFÍCIES METÁLICAS (EXCETO PERFIL) EXECUTADO EM OBRA</v>
      </c>
      <c r="C81" s="201"/>
      <c r="D81" s="201"/>
      <c r="E81" s="201"/>
      <c r="F81" s="201"/>
      <c r="G81" s="201"/>
      <c r="H81" s="201"/>
      <c r="I81" s="202"/>
    </row>
    <row r="82" spans="1:9" x14ac:dyDescent="0.25">
      <c r="A82" s="82"/>
      <c r="B82" s="8"/>
      <c r="C82" s="8"/>
      <c r="D82" s="8"/>
      <c r="E82" s="8"/>
      <c r="F82" s="8"/>
      <c r="G82" s="8"/>
      <c r="H82" s="8"/>
      <c r="I82" s="83"/>
    </row>
    <row r="83" spans="1:9" x14ac:dyDescent="0.25">
      <c r="A83" s="82"/>
      <c r="B83" s="86" t="s">
        <v>54</v>
      </c>
      <c r="C83" s="86" t="s">
        <v>55</v>
      </c>
      <c r="D83" s="86" t="s">
        <v>56</v>
      </c>
      <c r="E83" s="86" t="s">
        <v>57</v>
      </c>
      <c r="F83" s="86" t="s">
        <v>58</v>
      </c>
      <c r="G83" s="8"/>
      <c r="H83" s="8"/>
      <c r="I83" s="83"/>
    </row>
    <row r="84" spans="1:9" x14ac:dyDescent="0.25">
      <c r="A84" s="82"/>
      <c r="B84" s="87">
        <v>30</v>
      </c>
      <c r="C84" s="86" t="s">
        <v>55</v>
      </c>
      <c r="D84" s="8">
        <v>20</v>
      </c>
      <c r="E84" s="86" t="s">
        <v>57</v>
      </c>
      <c r="F84" s="87">
        <f>B84*D84</f>
        <v>600</v>
      </c>
      <c r="G84" s="8" t="s">
        <v>15</v>
      </c>
      <c r="H84" s="8"/>
      <c r="I84" s="83"/>
    </row>
    <row r="85" spans="1:9" ht="15.75" thickBot="1" x14ac:dyDescent="0.3">
      <c r="A85" s="82"/>
      <c r="B85" s="8"/>
      <c r="C85" s="8"/>
      <c r="D85" s="8"/>
      <c r="E85" s="8"/>
      <c r="F85" s="8"/>
      <c r="G85" s="8"/>
      <c r="H85" s="8"/>
      <c r="I85" s="83"/>
    </row>
    <row r="86" spans="1:9" ht="15.75" thickBot="1" x14ac:dyDescent="0.3">
      <c r="A86" s="82"/>
      <c r="B86" s="8"/>
      <c r="C86" s="8"/>
      <c r="D86" s="88" t="s">
        <v>59</v>
      </c>
      <c r="E86" s="9">
        <f>SUM(F84:F84)</f>
        <v>600</v>
      </c>
      <c r="F86" s="89" t="s">
        <v>15</v>
      </c>
      <c r="G86" s="8"/>
      <c r="H86" s="8"/>
      <c r="I86" s="83"/>
    </row>
    <row r="87" spans="1:9" x14ac:dyDescent="0.25">
      <c r="A87" s="90"/>
      <c r="I87" s="91"/>
    </row>
    <row r="88" spans="1:9" x14ac:dyDescent="0.25">
      <c r="A88" s="85" t="str">
        <f>'PLANILHA DE ADITIVO'!A34</f>
        <v>4.8 - Aditivo</v>
      </c>
      <c r="B88" s="201" t="str">
        <f>'PLANILHA DE ADITIVO'!C34</f>
        <v>PINTURA COM TINTA EPOXÍDICA DE ACABAMENTO APLICADA A ROLO OU PINCEL SOBRE PERFIL METÁLICO EXECUTADO EM FÁBRICA (POR DEMÃO). AF_01/2020</v>
      </c>
      <c r="C88" s="201"/>
      <c r="D88" s="201"/>
      <c r="E88" s="201"/>
      <c r="F88" s="201"/>
      <c r="G88" s="201"/>
      <c r="H88" s="201"/>
      <c r="I88" s="202"/>
    </row>
    <row r="89" spans="1:9" x14ac:dyDescent="0.25">
      <c r="A89" s="82"/>
      <c r="B89" s="8"/>
      <c r="C89" s="8"/>
      <c r="D89" s="8"/>
      <c r="E89" s="8"/>
      <c r="F89" s="8"/>
      <c r="G89" s="8"/>
      <c r="H89" s="8"/>
      <c r="I89" s="83"/>
    </row>
    <row r="90" spans="1:9" x14ac:dyDescent="0.25">
      <c r="A90" s="82"/>
      <c r="B90" s="86" t="s">
        <v>54</v>
      </c>
      <c r="C90" s="86" t="s">
        <v>55</v>
      </c>
      <c r="D90" s="86" t="s">
        <v>56</v>
      </c>
      <c r="E90" s="86" t="s">
        <v>57</v>
      </c>
      <c r="F90" s="86" t="s">
        <v>58</v>
      </c>
      <c r="G90" s="8"/>
      <c r="H90" s="8"/>
      <c r="I90" s="83"/>
    </row>
    <row r="91" spans="1:9" x14ac:dyDescent="0.25">
      <c r="A91" s="82"/>
      <c r="B91" s="87">
        <v>30</v>
      </c>
      <c r="C91" s="86" t="s">
        <v>55</v>
      </c>
      <c r="D91" s="8">
        <v>20</v>
      </c>
      <c r="E91" s="86" t="s">
        <v>57</v>
      </c>
      <c r="F91" s="87">
        <f>B91*D91</f>
        <v>600</v>
      </c>
      <c r="G91" s="8" t="s">
        <v>15</v>
      </c>
      <c r="H91" s="8"/>
      <c r="I91" s="83"/>
    </row>
    <row r="92" spans="1:9" ht="15.75" thickBot="1" x14ac:dyDescent="0.3">
      <c r="A92" s="82"/>
      <c r="B92" s="8"/>
      <c r="C92" s="8"/>
      <c r="D92" s="8"/>
      <c r="E92" s="8"/>
      <c r="F92" s="8"/>
      <c r="G92" s="8"/>
      <c r="H92" s="8"/>
      <c r="I92" s="83"/>
    </row>
    <row r="93" spans="1:9" ht="15.75" thickBot="1" x14ac:dyDescent="0.3">
      <c r="A93" s="82"/>
      <c r="B93" s="8"/>
      <c r="C93" s="8"/>
      <c r="D93" s="88" t="s">
        <v>59</v>
      </c>
      <c r="E93" s="9">
        <f>SUM(F91:F91)</f>
        <v>600</v>
      </c>
      <c r="F93" s="89" t="s">
        <v>15</v>
      </c>
      <c r="G93" s="8"/>
      <c r="H93" s="8"/>
      <c r="I93" s="83"/>
    </row>
    <row r="94" spans="1:9" x14ac:dyDescent="0.25">
      <c r="A94" s="90"/>
      <c r="I94" s="91"/>
    </row>
    <row r="95" spans="1:9" x14ac:dyDescent="0.25">
      <c r="A95" s="84" t="str">
        <f>'PLANILHA DE ADITIVO'!A41</f>
        <v>5.5</v>
      </c>
      <c r="B95" s="203" t="str">
        <f>'PLANILHA DE ADITIVO'!C41</f>
        <v>INSTALAÇÕES ELETRICA</v>
      </c>
      <c r="C95" s="203"/>
      <c r="D95" s="203"/>
      <c r="E95" s="203"/>
      <c r="F95" s="203"/>
      <c r="G95" s="203"/>
      <c r="H95" s="203"/>
      <c r="I95" s="204"/>
    </row>
    <row r="96" spans="1:9" x14ac:dyDescent="0.25">
      <c r="A96" s="90"/>
      <c r="I96" s="91"/>
    </row>
    <row r="97" spans="1:9" x14ac:dyDescent="0.25">
      <c r="A97" s="85" t="str">
        <f>'PLANILHA DE ADITIVO'!A42</f>
        <v>5.5.1 - Aditivo</v>
      </c>
      <c r="B97" s="201" t="str">
        <f>'PLANILHA DE ADITIVO'!C42</f>
        <v>QUADRO DE DISTRIBUICAO DE ENERGIA DE EMBUTIR, EM CHAPA METALICA</v>
      </c>
      <c r="C97" s="201"/>
      <c r="D97" s="201"/>
      <c r="E97" s="201"/>
      <c r="F97" s="201"/>
      <c r="G97" s="201"/>
      <c r="H97" s="201"/>
      <c r="I97" s="202"/>
    </row>
    <row r="98" spans="1:9" ht="15.75" thickBot="1" x14ac:dyDescent="0.3">
      <c r="A98" s="82"/>
      <c r="B98" s="8"/>
      <c r="C98" s="8"/>
      <c r="D98" s="8"/>
      <c r="E98" s="8"/>
      <c r="F98" s="8"/>
      <c r="G98" s="8"/>
      <c r="H98" s="8"/>
      <c r="I98" s="83"/>
    </row>
    <row r="99" spans="1:9" ht="15.75" thickBot="1" x14ac:dyDescent="0.3">
      <c r="A99" s="82"/>
      <c r="B99" s="8"/>
      <c r="C99" s="8"/>
      <c r="D99" s="88" t="s">
        <v>109</v>
      </c>
      <c r="E99" s="9">
        <v>1</v>
      </c>
      <c r="F99" s="89" t="s">
        <v>110</v>
      </c>
      <c r="G99" s="8"/>
      <c r="H99" s="8"/>
      <c r="I99" s="83"/>
    </row>
    <row r="100" spans="1:9" x14ac:dyDescent="0.25">
      <c r="A100" s="90"/>
      <c r="I100" s="91"/>
    </row>
    <row r="101" spans="1:9" x14ac:dyDescent="0.25">
      <c r="A101" s="85" t="str">
        <f>'PLANILHA DE ADITIVO'!A43</f>
        <v>5.5.2 - Aditivo</v>
      </c>
      <c r="B101" s="201" t="str">
        <f>'PLANILHA DE ADITIVO'!C43</f>
        <v>DISJUNTOR TERMOMAGNETICO TRIPOLAR PADRAO NEMA (AMERICANO) 60 A 100A</v>
      </c>
      <c r="C101" s="201"/>
      <c r="D101" s="201"/>
      <c r="E101" s="201"/>
      <c r="F101" s="201"/>
      <c r="G101" s="201"/>
      <c r="H101" s="201"/>
      <c r="I101" s="202"/>
    </row>
    <row r="102" spans="1:9" ht="15.75" thickBot="1" x14ac:dyDescent="0.3">
      <c r="A102" s="82"/>
      <c r="B102" s="8"/>
      <c r="C102" s="8"/>
      <c r="D102" s="8"/>
      <c r="E102" s="8"/>
      <c r="F102" s="8"/>
      <c r="G102" s="8"/>
      <c r="H102" s="8"/>
      <c r="I102" s="83"/>
    </row>
    <row r="103" spans="1:9" ht="15.75" thickBot="1" x14ac:dyDescent="0.3">
      <c r="A103" s="82"/>
      <c r="B103" s="8"/>
      <c r="C103" s="8"/>
      <c r="D103" s="88" t="s">
        <v>109</v>
      </c>
      <c r="E103" s="9">
        <v>2</v>
      </c>
      <c r="F103" s="89" t="s">
        <v>110</v>
      </c>
      <c r="G103" s="8"/>
      <c r="H103" s="8"/>
      <c r="I103" s="83"/>
    </row>
    <row r="104" spans="1:9" x14ac:dyDescent="0.25">
      <c r="A104" s="90"/>
      <c r="I104" s="91"/>
    </row>
    <row r="105" spans="1:9" x14ac:dyDescent="0.25">
      <c r="A105" s="85" t="str">
        <f>'PLANILHA DE ADITIVO'!A44</f>
        <v>5.5.3 - Aditivo</v>
      </c>
      <c r="B105" s="201" t="str">
        <f>'PLANILHA DE ADITIVO'!C44</f>
        <v>PONTO DE TOMADA RESIDENCIAL INCLUINDO TOMADA 10A/250V, CAIXA ELÉTRICA</v>
      </c>
      <c r="C105" s="201"/>
      <c r="D105" s="201"/>
      <c r="E105" s="201"/>
      <c r="F105" s="201"/>
      <c r="G105" s="201"/>
      <c r="H105" s="201"/>
      <c r="I105" s="202"/>
    </row>
    <row r="106" spans="1:9" ht="15.75" thickBot="1" x14ac:dyDescent="0.3">
      <c r="A106" s="82"/>
      <c r="B106" s="8"/>
      <c r="C106" s="8"/>
      <c r="D106" s="8"/>
      <c r="E106" s="8"/>
      <c r="F106" s="8"/>
      <c r="G106" s="8"/>
      <c r="H106" s="8"/>
      <c r="I106" s="83"/>
    </row>
    <row r="107" spans="1:9" ht="15.75" thickBot="1" x14ac:dyDescent="0.3">
      <c r="A107" s="82"/>
      <c r="B107" s="8"/>
      <c r="C107" s="8"/>
      <c r="D107" s="88" t="s">
        <v>109</v>
      </c>
      <c r="E107" s="9">
        <v>5</v>
      </c>
      <c r="F107" s="89" t="s">
        <v>110</v>
      </c>
      <c r="G107" s="8"/>
      <c r="H107" s="8"/>
      <c r="I107" s="83"/>
    </row>
    <row r="108" spans="1:9" x14ac:dyDescent="0.25">
      <c r="A108" s="90"/>
      <c r="I108" s="91"/>
    </row>
    <row r="109" spans="1:9" x14ac:dyDescent="0.25">
      <c r="A109" s="85" t="str">
        <f>'PLANILHA DE ADITIVO'!A45</f>
        <v>5.5.4 - Aditivo</v>
      </c>
      <c r="B109" s="201" t="str">
        <f>'PLANILHA DE ADITIVO'!C45</f>
        <v>REFLETOR RETANGULAR FECHADO, COM LÂMPADA VAPOR METÁLICO 400 W</v>
      </c>
      <c r="C109" s="201"/>
      <c r="D109" s="201"/>
      <c r="E109" s="201"/>
      <c r="F109" s="201"/>
      <c r="G109" s="201"/>
      <c r="H109" s="201"/>
      <c r="I109" s="202"/>
    </row>
    <row r="110" spans="1:9" ht="15.75" thickBot="1" x14ac:dyDescent="0.3">
      <c r="A110" s="82"/>
      <c r="B110" s="8"/>
      <c r="C110" s="8"/>
      <c r="D110" s="8"/>
      <c r="E110" s="8"/>
      <c r="F110" s="8"/>
      <c r="G110" s="8"/>
      <c r="H110" s="8"/>
      <c r="I110" s="83"/>
    </row>
    <row r="111" spans="1:9" ht="15.75" thickBot="1" x14ac:dyDescent="0.3">
      <c r="A111" s="96"/>
      <c r="B111" s="97"/>
      <c r="C111" s="97"/>
      <c r="D111" s="98" t="s">
        <v>109</v>
      </c>
      <c r="E111" s="9">
        <v>18</v>
      </c>
      <c r="F111" s="99" t="s">
        <v>110</v>
      </c>
      <c r="G111" s="97"/>
      <c r="H111" s="97"/>
      <c r="I111" s="100"/>
    </row>
    <row r="113" spans="1:9" ht="15.75" thickBot="1" x14ac:dyDescent="0.3"/>
    <row r="114" spans="1:9" x14ac:dyDescent="0.25">
      <c r="A114" s="147"/>
      <c r="B114" s="148"/>
      <c r="C114" s="148"/>
      <c r="D114" s="148"/>
      <c r="E114" s="148"/>
      <c r="F114" s="148"/>
      <c r="G114" s="148"/>
      <c r="H114" s="148"/>
      <c r="I114" s="149"/>
    </row>
    <row r="115" spans="1:9" x14ac:dyDescent="0.25">
      <c r="A115" s="150"/>
      <c r="B115" s="156"/>
      <c r="C115" s="156"/>
      <c r="D115" s="156"/>
      <c r="E115" s="156"/>
      <c r="F115" s="156"/>
      <c r="G115" s="156"/>
      <c r="H115" s="156"/>
      <c r="I115" s="151"/>
    </row>
    <row r="116" spans="1:9" x14ac:dyDescent="0.25">
      <c r="A116" s="150"/>
      <c r="B116" s="156"/>
      <c r="C116" s="156"/>
      <c r="D116" s="156"/>
      <c r="E116" s="156"/>
      <c r="F116" s="156"/>
      <c r="G116" s="156"/>
      <c r="H116" s="156"/>
      <c r="I116" s="151"/>
    </row>
    <row r="117" spans="1:9" x14ac:dyDescent="0.25">
      <c r="A117" s="150"/>
      <c r="B117" s="157"/>
      <c r="C117" s="157"/>
      <c r="D117" s="157"/>
      <c r="E117" s="157"/>
      <c r="F117" s="157"/>
      <c r="G117" s="157"/>
      <c r="H117" s="157"/>
      <c r="I117" s="152"/>
    </row>
    <row r="118" spans="1:9" x14ac:dyDescent="0.25">
      <c r="A118" s="150"/>
      <c r="B118" s="156"/>
      <c r="C118" s="156"/>
      <c r="D118" s="156"/>
      <c r="E118" s="156"/>
      <c r="F118" s="156"/>
      <c r="G118" s="156"/>
      <c r="H118" s="156"/>
      <c r="I118" s="151"/>
    </row>
    <row r="119" spans="1:9" x14ac:dyDescent="0.25">
      <c r="A119" s="150"/>
      <c r="B119" s="156"/>
      <c r="C119" s="156"/>
      <c r="D119" s="156"/>
      <c r="E119" s="156"/>
      <c r="F119" s="156"/>
      <c r="G119" s="156"/>
      <c r="H119" s="156"/>
      <c r="I119" s="151"/>
    </row>
    <row r="120" spans="1:9" x14ac:dyDescent="0.25">
      <c r="A120" s="150"/>
      <c r="B120" s="156"/>
      <c r="C120" s="156"/>
      <c r="D120" s="156"/>
      <c r="E120" s="156"/>
      <c r="F120" s="156"/>
      <c r="G120" s="156"/>
      <c r="H120" s="156"/>
      <c r="I120" s="151"/>
    </row>
    <row r="121" spans="1:9" x14ac:dyDescent="0.25">
      <c r="A121" s="150"/>
      <c r="B121" s="156"/>
      <c r="C121" s="156"/>
      <c r="D121" s="156"/>
      <c r="E121" s="156"/>
      <c r="F121" s="156"/>
      <c r="G121" s="156"/>
      <c r="H121" s="156"/>
      <c r="I121" s="151"/>
    </row>
    <row r="122" spans="1:9" x14ac:dyDescent="0.25">
      <c r="A122" s="150"/>
      <c r="B122" s="156"/>
      <c r="C122" s="156"/>
      <c r="D122" s="156"/>
      <c r="E122" s="156"/>
      <c r="F122" s="156"/>
      <c r="G122" s="156"/>
      <c r="H122" s="156"/>
      <c r="I122" s="151"/>
    </row>
    <row r="123" spans="1:9" ht="15.75" thickBot="1" x14ac:dyDescent="0.3">
      <c r="A123" s="153"/>
      <c r="B123" s="154"/>
      <c r="C123" s="154"/>
      <c r="D123" s="154"/>
      <c r="E123" s="154"/>
      <c r="F123" s="154"/>
      <c r="G123" s="154"/>
      <c r="H123" s="154"/>
      <c r="I123" s="155"/>
    </row>
  </sheetData>
  <mergeCells count="28">
    <mergeCell ref="B63:I63"/>
    <mergeCell ref="B61:I61"/>
    <mergeCell ref="B97:I97"/>
    <mergeCell ref="B101:I101"/>
    <mergeCell ref="B105:I105"/>
    <mergeCell ref="B109:I109"/>
    <mergeCell ref="B70:I70"/>
    <mergeCell ref="B72:I72"/>
    <mergeCell ref="B79:I79"/>
    <mergeCell ref="B81:I81"/>
    <mergeCell ref="B88:I88"/>
    <mergeCell ref="B95:I95"/>
    <mergeCell ref="B54:I54"/>
    <mergeCell ref="B8:I8"/>
    <mergeCell ref="B18:I18"/>
    <mergeCell ref="B52:I52"/>
    <mergeCell ref="B6:F6"/>
    <mergeCell ref="G6:I6"/>
    <mergeCell ref="B10:I10"/>
    <mergeCell ref="B20:I20"/>
    <mergeCell ref="B28:I28"/>
    <mergeCell ref="A5:F5"/>
    <mergeCell ref="G5:I5"/>
    <mergeCell ref="A1:I1"/>
    <mergeCell ref="A2:F2"/>
    <mergeCell ref="H2:I2"/>
    <mergeCell ref="A3:F3"/>
    <mergeCell ref="A4:F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1" orientation="portrait" r:id="rId1"/>
  <rowBreaks count="1" manualBreakCount="1">
    <brk id="55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AB75-56BB-408E-A7DE-983036337D7E}">
  <sheetPr>
    <outlinePr summaryBelow="0"/>
  </sheetPr>
  <dimension ref="A1:H28"/>
  <sheetViews>
    <sheetView tabSelected="1" view="pageBreakPreview" zoomScale="60" zoomScaleNormal="100" workbookViewId="0">
      <selection activeCell="J24" sqref="J24"/>
    </sheetView>
  </sheetViews>
  <sheetFormatPr defaultRowHeight="15" x14ac:dyDescent="0.25"/>
  <cols>
    <col min="1" max="1" width="12.140625" style="231" customWidth="1"/>
    <col min="2" max="2" width="38.85546875" style="231" customWidth="1"/>
    <col min="3" max="3" width="17.5703125" style="231" customWidth="1"/>
    <col min="4" max="4" width="16.140625" style="231" customWidth="1"/>
    <col min="5" max="5" width="15.85546875" style="231" customWidth="1"/>
    <col min="6" max="6" width="21.7109375" style="231" customWidth="1"/>
    <col min="7" max="16384" width="9.140625" style="231"/>
  </cols>
  <sheetData>
    <row r="1" spans="1:6" ht="92.1" customHeight="1" x14ac:dyDescent="0.25">
      <c r="A1" s="230"/>
      <c r="B1" s="230"/>
      <c r="C1" s="230"/>
      <c r="D1" s="230"/>
      <c r="E1" s="230"/>
      <c r="F1" s="230"/>
    </row>
    <row r="2" spans="1:6" ht="15.95" customHeight="1" x14ac:dyDescent="0.25">
      <c r="A2" s="232" t="s">
        <v>156</v>
      </c>
      <c r="B2" s="232" t="s">
        <v>157</v>
      </c>
      <c r="C2" s="232" t="s">
        <v>158</v>
      </c>
      <c r="D2" s="232" t="s">
        <v>159</v>
      </c>
      <c r="E2" s="232" t="s">
        <v>160</v>
      </c>
      <c r="F2" s="233"/>
    </row>
    <row r="3" spans="1:6" ht="12" customHeight="1" x14ac:dyDescent="0.25">
      <c r="A3" s="234" t="s">
        <v>161</v>
      </c>
      <c r="B3" s="235" t="s">
        <v>162</v>
      </c>
      <c r="C3" s="236">
        <v>6584.7943950208801</v>
      </c>
      <c r="D3" s="237">
        <v>100</v>
      </c>
      <c r="E3" s="238"/>
      <c r="F3" s="233"/>
    </row>
    <row r="4" spans="1:6" ht="12.95" customHeight="1" x14ac:dyDescent="0.25">
      <c r="A4" s="239"/>
      <c r="B4" s="240"/>
      <c r="C4" s="241"/>
      <c r="D4" s="242">
        <f>C3</f>
        <v>6584.7943950208801</v>
      </c>
      <c r="E4" s="243"/>
      <c r="F4" s="233"/>
    </row>
    <row r="5" spans="1:6" ht="12" customHeight="1" x14ac:dyDescent="0.25">
      <c r="A5" s="234" t="s">
        <v>163</v>
      </c>
      <c r="B5" s="235" t="s">
        <v>164</v>
      </c>
      <c r="C5" s="236">
        <v>12992.817346198201</v>
      </c>
      <c r="D5" s="237">
        <v>100</v>
      </c>
      <c r="E5" s="238"/>
      <c r="F5" s="233"/>
    </row>
    <row r="6" spans="1:6" ht="12.95" customHeight="1" x14ac:dyDescent="0.25">
      <c r="A6" s="239"/>
      <c r="B6" s="240"/>
      <c r="C6" s="241"/>
      <c r="D6" s="242">
        <f>C5</f>
        <v>12992.817346198201</v>
      </c>
      <c r="E6" s="243"/>
      <c r="F6" s="233"/>
    </row>
    <row r="7" spans="1:6" ht="12" customHeight="1" x14ac:dyDescent="0.25">
      <c r="A7" s="234" t="s">
        <v>165</v>
      </c>
      <c r="B7" s="235" t="s">
        <v>166</v>
      </c>
      <c r="C7" s="236">
        <v>45229.268618764203</v>
      </c>
      <c r="D7" s="237">
        <v>40</v>
      </c>
      <c r="E7" s="237">
        <v>60</v>
      </c>
      <c r="F7" s="233"/>
    </row>
    <row r="8" spans="1:6" ht="12.95" customHeight="1" x14ac:dyDescent="0.25">
      <c r="A8" s="239"/>
      <c r="B8" s="240"/>
      <c r="C8" s="241"/>
      <c r="D8" s="242">
        <f>C7*0.4</f>
        <v>18091.707447505683</v>
      </c>
      <c r="E8" s="242">
        <f>C7*0.6</f>
        <v>27137.56117125852</v>
      </c>
      <c r="F8" s="233"/>
    </row>
    <row r="9" spans="1:6" ht="12" customHeight="1" x14ac:dyDescent="0.25">
      <c r="A9" s="234" t="s">
        <v>167</v>
      </c>
      <c r="B9" s="235" t="s">
        <v>168</v>
      </c>
      <c r="C9" s="244">
        <v>57306.75</v>
      </c>
      <c r="D9" s="237">
        <v>40</v>
      </c>
      <c r="E9" s="237">
        <v>60</v>
      </c>
      <c r="F9" s="233"/>
    </row>
    <row r="10" spans="1:6" ht="12.95" customHeight="1" x14ac:dyDescent="0.25">
      <c r="A10" s="239"/>
      <c r="B10" s="240"/>
      <c r="C10" s="245"/>
      <c r="D10" s="242">
        <f>C9*0.4</f>
        <v>22922.7</v>
      </c>
      <c r="E10" s="242">
        <f>C9*0.6</f>
        <v>34384.049999999996</v>
      </c>
      <c r="F10" s="233"/>
    </row>
    <row r="11" spans="1:6" ht="12" customHeight="1" x14ac:dyDescent="0.25">
      <c r="A11" s="234" t="s">
        <v>169</v>
      </c>
      <c r="B11" s="235" t="s">
        <v>170</v>
      </c>
      <c r="C11" s="244">
        <v>14867.800510016699</v>
      </c>
      <c r="D11" s="238"/>
      <c r="E11" s="237">
        <v>100</v>
      </c>
      <c r="F11" s="233"/>
    </row>
    <row r="12" spans="1:6" ht="12.95" customHeight="1" x14ac:dyDescent="0.25">
      <c r="A12" s="239"/>
      <c r="B12" s="240"/>
      <c r="C12" s="245"/>
      <c r="D12" s="243"/>
      <c r="E12" s="242">
        <f>C11</f>
        <v>14867.800510016699</v>
      </c>
      <c r="F12" s="233"/>
    </row>
    <row r="13" spans="1:6" ht="12" customHeight="1" x14ac:dyDescent="0.25">
      <c r="A13" s="234" t="s">
        <v>171</v>
      </c>
      <c r="B13" s="235" t="s">
        <v>172</v>
      </c>
      <c r="C13" s="244">
        <v>1030.94</v>
      </c>
      <c r="D13" s="238"/>
      <c r="E13" s="237">
        <v>100</v>
      </c>
      <c r="F13" s="233"/>
    </row>
    <row r="14" spans="1:6" ht="12.95" customHeight="1" x14ac:dyDescent="0.25">
      <c r="A14" s="239"/>
      <c r="B14" s="240"/>
      <c r="C14" s="246"/>
      <c r="D14" s="243"/>
      <c r="E14" s="242">
        <f>C13</f>
        <v>1030.94</v>
      </c>
      <c r="F14" s="233"/>
    </row>
    <row r="15" spans="1:6" ht="12" customHeight="1" x14ac:dyDescent="0.25">
      <c r="A15" s="247" t="s">
        <v>173</v>
      </c>
      <c r="B15" s="248"/>
      <c r="C15" s="249">
        <f>SUM(C3:C14)</f>
        <v>138012.37086999998</v>
      </c>
      <c r="D15" s="250">
        <f>D4+D6+D8+D10</f>
        <v>60592.019188724764</v>
      </c>
      <c r="E15" s="251">
        <f>E8+E10+E12+E14</f>
        <v>77420.351681275206</v>
      </c>
      <c r="F15" s="233"/>
    </row>
    <row r="16" spans="1:6" ht="12" customHeight="1" x14ac:dyDescent="0.25">
      <c r="A16" s="252" t="s">
        <v>174</v>
      </c>
      <c r="B16" s="253"/>
      <c r="C16" s="249"/>
      <c r="D16" s="250">
        <f>D15</f>
        <v>60592.019188724764</v>
      </c>
      <c r="E16" s="251">
        <f>D16+E15</f>
        <v>138012.37086999998</v>
      </c>
      <c r="F16" s="233"/>
    </row>
    <row r="17" spans="1:8" ht="12" customHeight="1" x14ac:dyDescent="0.25">
      <c r="A17" s="252" t="s">
        <v>175</v>
      </c>
      <c r="B17" s="253"/>
      <c r="C17" s="249"/>
      <c r="D17" s="250">
        <f>D15/E16*100</f>
        <v>43.903324612689318</v>
      </c>
      <c r="E17" s="251">
        <f>E15/E16*100</f>
        <v>56.096675387310668</v>
      </c>
      <c r="F17" s="233"/>
    </row>
    <row r="18" spans="1:8" ht="12.95" customHeight="1" x14ac:dyDescent="0.25">
      <c r="A18" s="254" t="s">
        <v>176</v>
      </c>
      <c r="B18" s="255"/>
      <c r="C18" s="256"/>
      <c r="D18" s="257">
        <f>D17</f>
        <v>43.903324612689318</v>
      </c>
      <c r="E18" s="258">
        <f>D18+E17</f>
        <v>99.999999999999986</v>
      </c>
      <c r="F18" s="233"/>
    </row>
    <row r="19" spans="1:8" ht="15.75" thickBot="1" x14ac:dyDescent="0.3"/>
    <row r="20" spans="1:8" x14ac:dyDescent="0.25">
      <c r="A20" s="259"/>
      <c r="B20" s="260"/>
      <c r="C20" s="260"/>
      <c r="D20" s="260"/>
      <c r="E20" s="261"/>
    </row>
    <row r="21" spans="1:8" x14ac:dyDescent="0.25">
      <c r="A21" s="262"/>
      <c r="B21" s="263"/>
      <c r="C21" s="263"/>
      <c r="D21" s="263"/>
      <c r="E21" s="264"/>
    </row>
    <row r="22" spans="1:8" x14ac:dyDescent="0.25">
      <c r="A22" s="265"/>
      <c r="B22" s="266"/>
      <c r="C22" s="266"/>
      <c r="D22" s="266"/>
      <c r="E22" s="267"/>
      <c r="F22" s="266"/>
      <c r="G22" s="266"/>
      <c r="H22" s="266"/>
    </row>
    <row r="23" spans="1:8" x14ac:dyDescent="0.25">
      <c r="A23" s="262"/>
      <c r="B23" s="263"/>
      <c r="C23" s="263"/>
      <c r="D23" s="263"/>
      <c r="E23" s="264"/>
      <c r="F23" s="263"/>
      <c r="G23" s="263"/>
      <c r="H23" s="263"/>
    </row>
    <row r="24" spans="1:8" x14ac:dyDescent="0.25">
      <c r="A24" s="262"/>
      <c r="B24" s="263"/>
      <c r="C24" s="263"/>
      <c r="D24" s="263"/>
      <c r="E24" s="264"/>
      <c r="F24" s="263"/>
      <c r="G24" s="263"/>
      <c r="H24" s="263"/>
    </row>
    <row r="25" spans="1:8" x14ac:dyDescent="0.25">
      <c r="A25" s="262"/>
      <c r="B25" s="263"/>
      <c r="C25" s="263"/>
      <c r="D25" s="263"/>
      <c r="E25" s="264"/>
      <c r="F25" s="263"/>
      <c r="G25" s="263"/>
      <c r="H25" s="263"/>
    </row>
    <row r="26" spans="1:8" x14ac:dyDescent="0.25">
      <c r="A26" s="262"/>
      <c r="B26" s="263"/>
      <c r="C26" s="263"/>
      <c r="D26" s="263"/>
      <c r="E26" s="264"/>
      <c r="F26" s="263"/>
      <c r="G26" s="263"/>
      <c r="H26" s="263"/>
    </row>
    <row r="27" spans="1:8" x14ac:dyDescent="0.25">
      <c r="A27" s="262"/>
      <c r="B27" s="263"/>
      <c r="C27" s="263"/>
      <c r="D27" s="263"/>
      <c r="E27" s="264"/>
      <c r="F27" s="263"/>
      <c r="G27" s="263"/>
      <c r="H27" s="263"/>
    </row>
    <row r="28" spans="1:8" ht="15.75" thickBot="1" x14ac:dyDescent="0.3">
      <c r="A28" s="268"/>
      <c r="B28" s="269"/>
      <c r="C28" s="269"/>
      <c r="D28" s="269"/>
      <c r="E28" s="270"/>
      <c r="F28" s="263"/>
      <c r="G28" s="263"/>
      <c r="H28" s="263"/>
    </row>
  </sheetData>
  <mergeCells count="24">
    <mergeCell ref="A15:B15"/>
    <mergeCell ref="C15:C18"/>
    <mergeCell ref="A16:B16"/>
    <mergeCell ref="A17:B17"/>
    <mergeCell ref="A18:B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A1:F1"/>
    <mergeCell ref="A3:A4"/>
    <mergeCell ref="B3:B4"/>
    <mergeCell ref="C3:C4"/>
    <mergeCell ref="A5:A6"/>
    <mergeCell ref="B5:B6"/>
    <mergeCell ref="C5:C6"/>
  </mergeCells>
  <printOptions horizontalCentered="1"/>
  <pageMargins left="1.6141732283464567" right="0.27559055118110237" top="1.1811023622047245" bottom="0.27559055118110237" header="0" footer="0"/>
  <pageSetup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view="pageBreakPreview" zoomScale="98" zoomScaleNormal="100" zoomScaleSheetLayoutView="98" workbookViewId="0">
      <selection activeCell="E1" sqref="E1"/>
    </sheetView>
  </sheetViews>
  <sheetFormatPr defaultColWidth="9.140625" defaultRowHeight="15" x14ac:dyDescent="0.25"/>
  <cols>
    <col min="1" max="1" width="17.7109375" style="113" customWidth="1"/>
    <col min="2" max="2" width="14.28515625" style="113" bestFit="1" customWidth="1"/>
    <col min="3" max="3" width="11.85546875" style="113" customWidth="1"/>
    <col min="4" max="5" width="9.140625" style="113"/>
    <col min="6" max="6" width="13" style="113" customWidth="1"/>
    <col min="7" max="11" width="9.140625" style="113"/>
    <col min="12" max="13" width="0" style="113" hidden="1" customWidth="1"/>
    <col min="14" max="16384" width="9.140625" style="113"/>
  </cols>
  <sheetData>
    <row r="1" spans="1:13" ht="15.75" thickBot="1" x14ac:dyDescent="0.3"/>
    <row r="2" spans="1:13" x14ac:dyDescent="0.25">
      <c r="A2" s="216" t="s">
        <v>141</v>
      </c>
      <c r="B2" s="217"/>
      <c r="C2" s="217"/>
      <c r="D2" s="114"/>
      <c r="E2" s="114"/>
      <c r="F2" s="115"/>
      <c r="M2" s="125">
        <f>1-(B5/B4)</f>
        <v>7.6247756744907913E-2</v>
      </c>
    </row>
    <row r="3" spans="1:13" x14ac:dyDescent="0.25">
      <c r="A3" s="116"/>
      <c r="B3" s="117" t="s">
        <v>140</v>
      </c>
      <c r="C3" s="117" t="s">
        <v>139</v>
      </c>
      <c r="F3" s="118"/>
      <c r="L3" s="113">
        <v>276.97000000000003</v>
      </c>
      <c r="M3" s="124">
        <f>(L3*(1-M2))</f>
        <v>255.85165881436288</v>
      </c>
    </row>
    <row r="4" spans="1:13" x14ac:dyDescent="0.25">
      <c r="A4" s="116" t="s">
        <v>138</v>
      </c>
      <c r="B4" s="119">
        <v>123492.42</v>
      </c>
      <c r="C4" s="213">
        <f>ROUND(1-(B5/B4),3)</f>
        <v>7.5999999999999998E-2</v>
      </c>
      <c r="F4" s="118"/>
    </row>
    <row r="5" spans="1:13" x14ac:dyDescent="0.25">
      <c r="A5" s="116" t="s">
        <v>137</v>
      </c>
      <c r="B5" s="119">
        <v>114076.4</v>
      </c>
      <c r="C5" s="213"/>
      <c r="F5" s="118"/>
    </row>
    <row r="6" spans="1:13" x14ac:dyDescent="0.25">
      <c r="A6" s="116"/>
      <c r="F6" s="118"/>
    </row>
    <row r="7" spans="1:13" x14ac:dyDescent="0.25">
      <c r="A7" s="214" t="s">
        <v>136</v>
      </c>
      <c r="B7" s="215"/>
      <c r="C7" s="215"/>
      <c r="F7" s="118"/>
    </row>
    <row r="8" spans="1:13" x14ac:dyDescent="0.25">
      <c r="A8" s="120"/>
      <c r="B8" s="117"/>
      <c r="C8" s="117"/>
      <c r="F8" s="118"/>
    </row>
    <row r="9" spans="1:13" x14ac:dyDescent="0.25">
      <c r="A9" s="116" t="s">
        <v>135</v>
      </c>
      <c r="B9" s="113">
        <v>774.93899999999996</v>
      </c>
      <c r="C9" s="213">
        <f>ROUND((B10-B9)/B10,3)</f>
        <v>3.1E-2</v>
      </c>
      <c r="E9" s="121"/>
      <c r="F9" s="118"/>
    </row>
    <row r="10" spans="1:13" x14ac:dyDescent="0.25">
      <c r="A10" s="116" t="s">
        <v>133</v>
      </c>
      <c r="B10" s="113">
        <v>799.58900000000006</v>
      </c>
      <c r="C10" s="213"/>
      <c r="F10" s="118"/>
    </row>
    <row r="11" spans="1:13" x14ac:dyDescent="0.25">
      <c r="A11" s="129" t="s">
        <v>134</v>
      </c>
      <c r="C11" s="122"/>
      <c r="F11" s="118"/>
    </row>
    <row r="12" spans="1:13" x14ac:dyDescent="0.25">
      <c r="A12" s="116"/>
      <c r="C12" s="122"/>
      <c r="F12" s="118"/>
    </row>
    <row r="13" spans="1:13" ht="15" customHeight="1" x14ac:dyDescent="0.25">
      <c r="A13" s="229" t="s">
        <v>132</v>
      </c>
      <c r="B13" s="220"/>
      <c r="C13" s="220"/>
      <c r="D13" s="215" t="s">
        <v>131</v>
      </c>
      <c r="E13" s="215"/>
      <c r="F13" s="224" t="s">
        <v>130</v>
      </c>
    </row>
    <row r="14" spans="1:13" x14ac:dyDescent="0.25">
      <c r="A14" s="229"/>
      <c r="B14" s="220"/>
      <c r="C14" s="220"/>
      <c r="D14" s="123">
        <v>44013</v>
      </c>
      <c r="E14" s="123">
        <v>43739</v>
      </c>
      <c r="F14" s="224"/>
    </row>
    <row r="15" spans="1:13" ht="15" customHeight="1" x14ac:dyDescent="0.25">
      <c r="A15" s="225" t="s">
        <v>142</v>
      </c>
      <c r="B15" s="226"/>
      <c r="C15" s="226"/>
      <c r="D15" s="218">
        <v>17.21</v>
      </c>
      <c r="E15" s="220">
        <f>ROUND(D15*(1-C9),2)</f>
        <v>16.68</v>
      </c>
      <c r="F15" s="222">
        <f>ROUND(E15*(1-C4),2)</f>
        <v>15.41</v>
      </c>
    </row>
    <row r="16" spans="1:13" x14ac:dyDescent="0.25">
      <c r="A16" s="225"/>
      <c r="B16" s="226"/>
      <c r="C16" s="226"/>
      <c r="D16" s="218"/>
      <c r="E16" s="220"/>
      <c r="F16" s="222"/>
    </row>
    <row r="17" spans="1:6" ht="36.75" customHeight="1" thickBot="1" x14ac:dyDescent="0.3">
      <c r="A17" s="227"/>
      <c r="B17" s="228"/>
      <c r="C17" s="228"/>
      <c r="D17" s="219"/>
      <c r="E17" s="221"/>
      <c r="F17" s="223"/>
    </row>
    <row r="18" spans="1:6" ht="15.75" thickBot="1" x14ac:dyDescent="0.3"/>
    <row r="19" spans="1:6" x14ac:dyDescent="0.25">
      <c r="A19" s="216" t="s">
        <v>141</v>
      </c>
      <c r="B19" s="217"/>
      <c r="C19" s="217"/>
      <c r="D19" s="114"/>
      <c r="E19" s="114"/>
      <c r="F19" s="115"/>
    </row>
    <row r="20" spans="1:6" x14ac:dyDescent="0.25">
      <c r="A20" s="116"/>
      <c r="B20" s="117" t="s">
        <v>140</v>
      </c>
      <c r="C20" s="117" t="s">
        <v>139</v>
      </c>
      <c r="F20" s="118"/>
    </row>
    <row r="21" spans="1:6" x14ac:dyDescent="0.25">
      <c r="A21" s="116" t="s">
        <v>138</v>
      </c>
      <c r="B21" s="119">
        <v>123492.42</v>
      </c>
      <c r="C21" s="213">
        <f>ROUND(1-(B22/B21),3)</f>
        <v>7.5999999999999998E-2</v>
      </c>
      <c r="F21" s="118"/>
    </row>
    <row r="22" spans="1:6" x14ac:dyDescent="0.25">
      <c r="A22" s="116" t="s">
        <v>137</v>
      </c>
      <c r="B22" s="119">
        <v>114076.4</v>
      </c>
      <c r="C22" s="213"/>
      <c r="F22" s="118"/>
    </row>
    <row r="23" spans="1:6" x14ac:dyDescent="0.25">
      <c r="A23" s="116"/>
      <c r="F23" s="118"/>
    </row>
    <row r="24" spans="1:6" x14ac:dyDescent="0.25">
      <c r="A24" s="214" t="s">
        <v>136</v>
      </c>
      <c r="B24" s="215"/>
      <c r="C24" s="215"/>
      <c r="F24" s="118"/>
    </row>
    <row r="25" spans="1:6" x14ac:dyDescent="0.25">
      <c r="A25" s="120"/>
      <c r="B25" s="117"/>
      <c r="C25" s="117"/>
      <c r="F25" s="118"/>
    </row>
    <row r="26" spans="1:6" x14ac:dyDescent="0.25">
      <c r="A26" s="116" t="s">
        <v>135</v>
      </c>
      <c r="B26" s="113">
        <v>774.93899999999996</v>
      </c>
      <c r="C26" s="213">
        <f>ROUND((B27-B26)/B27,3)</f>
        <v>3.1E-2</v>
      </c>
      <c r="E26" s="121"/>
      <c r="F26" s="118"/>
    </row>
    <row r="27" spans="1:6" x14ac:dyDescent="0.25">
      <c r="A27" s="116" t="s">
        <v>133</v>
      </c>
      <c r="B27" s="113">
        <v>799.58900000000006</v>
      </c>
      <c r="C27" s="213"/>
      <c r="F27" s="118"/>
    </row>
    <row r="28" spans="1:6" x14ac:dyDescent="0.25">
      <c r="A28" s="129" t="s">
        <v>134</v>
      </c>
      <c r="C28" s="122"/>
      <c r="F28" s="118"/>
    </row>
    <row r="29" spans="1:6" x14ac:dyDescent="0.25">
      <c r="A29" s="116"/>
      <c r="C29" s="122"/>
      <c r="F29" s="118"/>
    </row>
    <row r="30" spans="1:6" x14ac:dyDescent="0.25">
      <c r="A30" s="229" t="s">
        <v>132</v>
      </c>
      <c r="B30" s="220"/>
      <c r="C30" s="220"/>
      <c r="D30" s="215" t="s">
        <v>131</v>
      </c>
      <c r="E30" s="215"/>
      <c r="F30" s="224" t="s">
        <v>130</v>
      </c>
    </row>
    <row r="31" spans="1:6" x14ac:dyDescent="0.25">
      <c r="A31" s="229"/>
      <c r="B31" s="220"/>
      <c r="C31" s="220"/>
      <c r="D31" s="123">
        <v>44013</v>
      </c>
      <c r="E31" s="123">
        <v>43739</v>
      </c>
      <c r="F31" s="224"/>
    </row>
    <row r="32" spans="1:6" x14ac:dyDescent="0.25">
      <c r="A32" s="225" t="s">
        <v>143</v>
      </c>
      <c r="B32" s="226"/>
      <c r="C32" s="226"/>
      <c r="D32" s="218">
        <v>15.03</v>
      </c>
      <c r="E32" s="220">
        <f>ROUND(D32*(1-C26),2)</f>
        <v>14.56</v>
      </c>
      <c r="F32" s="222">
        <f>ROUND(E32*(1-C21),2)</f>
        <v>13.45</v>
      </c>
    </row>
    <row r="33" spans="1:6" x14ac:dyDescent="0.25">
      <c r="A33" s="225"/>
      <c r="B33" s="226"/>
      <c r="C33" s="226"/>
      <c r="D33" s="218"/>
      <c r="E33" s="220"/>
      <c r="F33" s="222"/>
    </row>
    <row r="34" spans="1:6" ht="34.5" customHeight="1" thickBot="1" x14ac:dyDescent="0.3">
      <c r="A34" s="227"/>
      <c r="B34" s="228"/>
      <c r="C34" s="228"/>
      <c r="D34" s="219"/>
      <c r="E34" s="221"/>
      <c r="F34" s="223"/>
    </row>
  </sheetData>
  <mergeCells count="22">
    <mergeCell ref="A32:C34"/>
    <mergeCell ref="D32:D34"/>
    <mergeCell ref="E32:E34"/>
    <mergeCell ref="F32:F34"/>
    <mergeCell ref="A30:C31"/>
    <mergeCell ref="D30:E30"/>
    <mergeCell ref="F30:F31"/>
    <mergeCell ref="E15:E17"/>
    <mergeCell ref="D13:E13"/>
    <mergeCell ref="F15:F17"/>
    <mergeCell ref="F13:F14"/>
    <mergeCell ref="A2:C2"/>
    <mergeCell ref="A7:C7"/>
    <mergeCell ref="C9:C10"/>
    <mergeCell ref="A15:C17"/>
    <mergeCell ref="A13:C14"/>
    <mergeCell ref="C4:C5"/>
    <mergeCell ref="C21:C22"/>
    <mergeCell ref="A24:C24"/>
    <mergeCell ref="C26:C27"/>
    <mergeCell ref="A19:C19"/>
    <mergeCell ref="D15:D17"/>
  </mergeCells>
  <hyperlinks>
    <hyperlink ref="A11" r:id="rId1" xr:uid="{00000000-0004-0000-0200-000000000000}"/>
    <hyperlink ref="A28" r:id="rId2" xr:uid="{00000000-0004-0000-0200-000001000000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5</vt:i4>
      </vt:variant>
    </vt:vector>
  </HeadingPairs>
  <TitlesOfParts>
    <vt:vector size="9" baseType="lpstr">
      <vt:lpstr>PLANILHA DE ADITIVO</vt:lpstr>
      <vt:lpstr>MEMORIAL DE CALCULO</vt:lpstr>
      <vt:lpstr>CRONOGRAMA</vt:lpstr>
      <vt:lpstr>DESAGIO</vt:lpstr>
      <vt:lpstr>CRONOGRAMA!Area_de_impressao</vt:lpstr>
      <vt:lpstr>'MEMORIAL DE CALCULO'!Area_de_impressao</vt:lpstr>
      <vt:lpstr>'PLANILHA DE ADITIVO'!Area_de_impressao</vt:lpstr>
      <vt:lpstr>JR_PAGE_ANCHOR_4_1</vt:lpstr>
      <vt:lpstr>'PLANILHA DE ADITIVO'!Titulos_de_impressao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WDconstruções</dc:creator>
  <cp:lastModifiedBy>Desktop</cp:lastModifiedBy>
  <cp:lastPrinted>2026-04-27T21:52:43Z</cp:lastPrinted>
  <dcterms:created xsi:type="dcterms:W3CDTF">2021-01-22T21:05:38Z</dcterms:created>
  <dcterms:modified xsi:type="dcterms:W3CDTF">2026-04-28T20:55:46Z</dcterms:modified>
</cp:coreProperties>
</file>