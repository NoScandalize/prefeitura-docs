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5. 2020\TP 03 2020 - Quadra Florido\BMs e Relatório Fotográfico\"/>
    </mc:Choice>
  </mc:AlternateContent>
  <xr:revisionPtr revIDLastSave="0" documentId="13_ncr:1_{BE93450D-5F06-4ED4-8619-9A10AAD1BDAB}" xr6:coauthVersionLast="47" xr6:coauthVersionMax="47" xr10:uidLastSave="{00000000-0000-0000-0000-000000000000}"/>
  <bookViews>
    <workbookView xWindow="-120" yWindow="-120" windowWidth="20730" windowHeight="11040" tabRatio="726" xr2:uid="{00000000-000D-0000-FFFF-FFFF00000000}"/>
  </bookViews>
  <sheets>
    <sheet name="BM 03" sheetId="1" r:id="rId1"/>
    <sheet name="MEMORIAL DE CÁLCULO" sheetId="2" r:id="rId2"/>
  </sheets>
  <definedNames>
    <definedName name="_xlnm.Print_Area" localSheetId="0">'BM 03'!$A$1:$J$55</definedName>
    <definedName name="_xlnm.Print_Titles" localSheetId="0">'BM 03'!$1:$9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G19" i="1" l="1"/>
  <c r="F19" i="1"/>
  <c r="K6" i="1"/>
  <c r="L8" i="1"/>
  <c r="G11" i="1"/>
  <c r="J11" i="1" s="1"/>
  <c r="H11" i="1"/>
  <c r="I11" i="1"/>
  <c r="D12" i="1"/>
  <c r="H12" i="1" s="1"/>
  <c r="G12" i="1"/>
  <c r="I13" i="1"/>
  <c r="D14" i="1"/>
  <c r="H14" i="1" s="1"/>
  <c r="G14" i="1"/>
  <c r="D15" i="1"/>
  <c r="H15" i="1" s="1"/>
  <c r="G15" i="1"/>
  <c r="I16" i="1"/>
  <c r="D17" i="1"/>
  <c r="H17" i="1" s="1"/>
  <c r="G17" i="1"/>
  <c r="J17" i="1" s="1"/>
  <c r="J19" i="1"/>
  <c r="J18" i="1" s="1"/>
  <c r="H19" i="1"/>
  <c r="I19" i="1"/>
  <c r="G20" i="1"/>
  <c r="J20" i="1" s="1"/>
  <c r="H20" i="1"/>
  <c r="H18" i="1" s="1"/>
  <c r="I20" i="1"/>
  <c r="G22" i="1"/>
  <c r="J22" i="1" s="1"/>
  <c r="H22" i="1"/>
  <c r="I22" i="1"/>
  <c r="I21" i="1" s="1"/>
  <c r="D23" i="1"/>
  <c r="G23" i="1"/>
  <c r="J23" i="1" s="1"/>
  <c r="H23" i="1"/>
  <c r="I23" i="1"/>
  <c r="I25" i="1"/>
  <c r="H25" i="1"/>
  <c r="I26" i="1"/>
  <c r="G26" i="1"/>
  <c r="J26" i="1" s="1"/>
  <c r="H26" i="1"/>
  <c r="I27" i="1"/>
  <c r="G27" i="1"/>
  <c r="J27" i="1" s="1"/>
  <c r="H27" i="1"/>
  <c r="I28" i="1"/>
  <c r="G28" i="1"/>
  <c r="J28" i="1" s="1"/>
  <c r="H28" i="1"/>
  <c r="H29" i="1"/>
  <c r="I29" i="1"/>
  <c r="J29" i="1"/>
  <c r="H30" i="1"/>
  <c r="I30" i="1"/>
  <c r="J30" i="1"/>
  <c r="G31" i="1"/>
  <c r="J31" i="1" s="1"/>
  <c r="H31" i="1"/>
  <c r="I31" i="1"/>
  <c r="G32" i="1"/>
  <c r="J32" i="1" s="1"/>
  <c r="H32" i="1"/>
  <c r="I32" i="1"/>
  <c r="H34" i="1"/>
  <c r="I34" i="1"/>
  <c r="J34" i="1"/>
  <c r="G35" i="1"/>
  <c r="J35" i="1" s="1"/>
  <c r="H35" i="1"/>
  <c r="I35" i="1"/>
  <c r="H36" i="1"/>
  <c r="I36" i="1"/>
  <c r="J36" i="1"/>
  <c r="H37" i="1"/>
  <c r="I37" i="1"/>
  <c r="J37" i="1"/>
  <c r="D39" i="1"/>
  <c r="H39" i="1" s="1"/>
  <c r="G39" i="1"/>
  <c r="D40" i="1"/>
  <c r="H40" i="1" s="1"/>
  <c r="G40" i="1"/>
  <c r="J40" i="1" s="1"/>
  <c r="D41" i="1"/>
  <c r="H41" i="1" s="1"/>
  <c r="G41" i="1"/>
  <c r="J41" i="1" s="1"/>
  <c r="G42" i="1"/>
  <c r="J42" i="1" s="1"/>
  <c r="H42" i="1"/>
  <c r="I42" i="1"/>
  <c r="I43" i="1"/>
  <c r="H44" i="1"/>
  <c r="H43" i="1" s="1"/>
  <c r="I44" i="1"/>
  <c r="J44" i="1"/>
  <c r="J43" i="1" s="1"/>
  <c r="J57" i="1"/>
  <c r="J58" i="1" s="1"/>
  <c r="B11" i="2"/>
  <c r="B16" i="2"/>
  <c r="B21" i="2"/>
  <c r="B25" i="2"/>
  <c r="B29" i="2"/>
  <c r="B33" i="2"/>
  <c r="H33" i="1" l="1"/>
  <c r="J15" i="1"/>
  <c r="I40" i="1"/>
  <c r="J12" i="1"/>
  <c r="I41" i="1"/>
  <c r="H24" i="1"/>
  <c r="H21" i="1"/>
  <c r="J14" i="1"/>
  <c r="J10" i="1" s="1"/>
  <c r="G25" i="1"/>
  <c r="J25" i="1" s="1"/>
  <c r="J24" i="1" s="1"/>
  <c r="I15" i="1"/>
  <c r="I12" i="1"/>
  <c r="I24" i="1"/>
  <c r="I18" i="1"/>
  <c r="H10" i="1"/>
  <c r="H46" i="1" s="1"/>
  <c r="J33" i="1"/>
  <c r="J21" i="1"/>
  <c r="I39" i="1"/>
  <c r="I14" i="1"/>
  <c r="J39" i="1"/>
  <c r="I17" i="1"/>
  <c r="I10" i="1" l="1"/>
  <c r="I33" i="1"/>
  <c r="I46" i="1" s="1"/>
  <c r="J46" i="1"/>
  <c r="H47" i="1"/>
  <c r="H49" i="1" s="1"/>
  <c r="J47" i="1" l="1"/>
  <c r="J49" i="1" s="1"/>
  <c r="I47" i="1"/>
  <c r="I49" i="1" s="1"/>
</calcChain>
</file>

<file path=xl/sharedStrings.xml><?xml version="1.0" encoding="utf-8"?>
<sst xmlns="http://schemas.openxmlformats.org/spreadsheetml/2006/main" count="172" uniqueCount="113">
  <si>
    <t>BOLETIM DE MEDIÇÃO 03</t>
  </si>
  <si>
    <t>CONVÊNIO : SEC. ESTADUAL DE EDUCAÇÃO. 469/2019.</t>
  </si>
  <si>
    <t>MODALIDADE:</t>
  </si>
  <si>
    <t>TOMADA DE PREÇOS       003 /2020</t>
  </si>
  <si>
    <t>Agente Promotor: PREFEITURA MUNICIPAL DE COREMAS.</t>
  </si>
  <si>
    <t xml:space="preserve">INÍCIO DA OBRA: </t>
  </si>
  <si>
    <t>Contratada: FFJ CONSTRUTORA LTDA</t>
  </si>
  <si>
    <t xml:space="preserve">TÉRMINO DA OBRA: </t>
  </si>
  <si>
    <t>23/08/2020.</t>
  </si>
  <si>
    <t>Localização: GINÁSIO DA ESCOLA FLÓRIDO NITÃO.</t>
  </si>
  <si>
    <t>VALOR DO CONTRATO DA OBRA:   R$ 114.076,40</t>
  </si>
  <si>
    <t xml:space="preserve">Objetivo:  </t>
  </si>
  <si>
    <t>Reforma da quadra poliesportiva da Escola Municipal Flórido Nitão Diniz</t>
  </si>
  <si>
    <t>PERÍODO DE REFERÊNCIA: 11/02/2021 a 29/05/2022.</t>
  </si>
  <si>
    <t>ITEM</t>
  </si>
  <si>
    <t>DISCRIMINAÇÃO DOS SERVIÇOS</t>
  </si>
  <si>
    <t>UNID.</t>
  </si>
  <si>
    <t>UNIT.</t>
  </si>
  <si>
    <t>QUANTIDADE</t>
  </si>
  <si>
    <t>FINANCEIRO</t>
  </si>
  <si>
    <t>PREVISTA</t>
  </si>
  <si>
    <t>MEDIDO</t>
  </si>
  <si>
    <t>ACUMULADO</t>
  </si>
  <si>
    <t>PREVISTO</t>
  </si>
  <si>
    <t xml:space="preserve">MEDIDO </t>
  </si>
  <si>
    <t>1.0</t>
  </si>
  <si>
    <t>SERVIÇOS PRELIMINARES</t>
  </si>
  <si>
    <t>1.1</t>
  </si>
  <si>
    <t>PLACA DE OBRA EM CHAPA DE ACO GALVANIZADO</t>
  </si>
  <si>
    <t>m²</t>
  </si>
  <si>
    <t>1.2 - Aditivo</t>
  </si>
  <si>
    <t>DEMOLIÇÃO DE CONTRA-PISO, DE FORMA MANUAL, SEM REAPROVEITAMENTO</t>
  </si>
  <si>
    <t>1.3</t>
  </si>
  <si>
    <t>INFRA-ESTRUTURA E SUPER-ESTRUTURA</t>
  </si>
  <si>
    <t>1.3.1 - Aditivo</t>
  </si>
  <si>
    <t>ESCAVACAO MANUAL DE VALA  DE 1,5 ATE 3M</t>
  </si>
  <si>
    <t>m³</t>
  </si>
  <si>
    <t>1.3.2 - Aditivo</t>
  </si>
  <si>
    <t>EXECUÇÃO DE ESTRUTURAS DE CONCRETO ARMADO</t>
  </si>
  <si>
    <t>1.4</t>
  </si>
  <si>
    <t>ALVENARIA</t>
  </si>
  <si>
    <t>1.4.1 - Aditivo</t>
  </si>
  <si>
    <t>ALVENARIA DE VEDAÇÃO DE BLOCOS CERÂMICOS FURADOS NA HORIZONTAL DE 9X19X19CM (ESPESSURA 9CM)</t>
  </si>
  <si>
    <t>2.0</t>
  </si>
  <si>
    <t>SISTEMAS DE COBERTURA</t>
  </si>
  <si>
    <t>2.1</t>
  </si>
  <si>
    <t>TELHA DE ALUMÍNIO ONDULADA, ESP.=0,5MM</t>
  </si>
  <si>
    <t>2.1 - Aditivo</t>
  </si>
  <si>
    <t>3.0</t>
  </si>
  <si>
    <t>SISTEMA DE PISOS</t>
  </si>
  <si>
    <t>3.1</t>
  </si>
  <si>
    <t xml:space="preserve">Piso industrial em concreto polido para quadra poliesportiva, com juntas de dilatação plásticas e polimento mecanizado, espessura 1cm. </t>
  </si>
  <si>
    <t>3.2 - Aditivo</t>
  </si>
  <si>
    <t>LASTRO EM CONCRETO COM MATERIAL GRANULAR, APLICADO EM BLOCOS DE COROAMENTO, ESPESSURA 10CM(ARQUIBANCADAS)</t>
  </si>
  <si>
    <t>4.0</t>
  </si>
  <si>
    <t xml:space="preserve">PINTURAS E ACABAMENTOS </t>
  </si>
  <si>
    <t>4.1</t>
  </si>
  <si>
    <t>MASSA ÚNICA, PARA RECEBIMENTO DE PINTURA, EM ARGAMASSA TRAÇO 1:2:8, PREPARO MECÂNICO COM BETONEIRA 400L, APLICADA MANUALMENTE EM FACES INTERNAS DE PAREDES, ESPESSURA DE 10MM, COM EXECUÇÃO DE TALISCAS. AF_06/2014</t>
  </si>
  <si>
    <t>4.2</t>
  </si>
  <si>
    <r>
      <rPr>
        <sz val="8"/>
        <rFont val="Arial"/>
        <family val="2"/>
      </rPr>
      <t>APLICAÇÃO DE FUNDO SELADOR ACRÍLICO EM PAREDES, UMA DEMÃO. AF_06/2014</t>
    </r>
  </si>
  <si>
    <t>4.3</t>
  </si>
  <si>
    <t>APLICAÇÃO E LIXAMENTO DE MASSA LÁTEX EM PAREDES, DUAS DEMÃOS. AF_06/2014</t>
  </si>
  <si>
    <t>4.4</t>
  </si>
  <si>
    <t>APLICAÇÃO MANUAL DE PINTURA COM TINTA LÁTEX ACRÍLICA EM PAREDES, DUAS DEMÃOS. AF_06/2014</t>
  </si>
  <si>
    <t>4.5</t>
  </si>
  <si>
    <r>
      <rPr>
        <sz val="8"/>
        <rFont val="Arial"/>
        <family val="2"/>
      </rPr>
      <t>APLICACAO DE TINTA A BASE DE EPOXI SOBRE PISO</t>
    </r>
  </si>
  <si>
    <t>4.6</t>
  </si>
  <si>
    <r>
      <rPr>
        <sz val="8"/>
        <rFont val="Arial"/>
        <family val="2"/>
      </rPr>
      <t>PINTURA ACRILICA DE FAIXAS DE DEMARCACAO EM QUADRA POLIESPORTIVA, 5 CM DE LARGURA</t>
    </r>
  </si>
  <si>
    <t>m</t>
  </si>
  <si>
    <t>4.7 - Aditivo</t>
  </si>
  <si>
    <t>PINTURA COM TINTA ALQUÍDICA DE FUNDO (TIPO ZARCÃO) PULVERIZADA SOBRE SUPERFÍCIES METÁLICAS (EXCETO PERFIL) EXECUTADO EM OBRA</t>
  </si>
  <si>
    <t>4.8 - Aditivo</t>
  </si>
  <si>
    <t>PINTURA COM TINTA EPOXÍDICA DE ACABAMENTO APLICADA A ROLO OU PINCEL SOBRE PERFIL METÁLICO EXECUTADO EM FÁBRICA (POR DEMÃO). AF_01/2020</t>
  </si>
  <si>
    <t>5.0</t>
  </si>
  <si>
    <t>SERVIÇOS COMPLEMENTARES</t>
  </si>
  <si>
    <t>5.1</t>
  </si>
  <si>
    <r>
      <rPr>
        <sz val="8"/>
        <rFont val="Arial"/>
        <family val="2"/>
      </rPr>
      <t>Estrutura/suporte oficial p/tabela de basquete em tubo aço galvanizado d=5", H=3,05m piso/aro, pintura sintética, fornecimento e instalação</t>
    </r>
  </si>
  <si>
    <t>par</t>
  </si>
  <si>
    <t>5.2</t>
  </si>
  <si>
    <r>
      <rPr>
        <sz val="8"/>
        <rFont val="Arial"/>
        <family val="2"/>
      </rPr>
      <t>Conjunto para futsal com traves oficiais de 3,00 x 2,00 m em tubo de aco galvanizado 3" com requadro em tubo de 1", pintura em primer com tinta esmalte sintetico e redes de polietileno fio 4 mm</t>
    </r>
  </si>
  <si>
    <t>und</t>
  </si>
  <si>
    <t>5.3</t>
  </si>
  <si>
    <r>
      <rPr>
        <sz val="8"/>
        <rFont val="Arial"/>
        <family val="2"/>
      </rPr>
      <t>Conjunto para quadra de volei com postes em tubo de aco galvanizado 3", h = *255* cm, pintura em tinta esmalte sintetico, rede de nylon com 2 mm, malha 10 x 10 cm e antenas oficiais em fibra de vidro</t>
    </r>
  </si>
  <si>
    <t>5.4</t>
  </si>
  <si>
    <r>
      <rPr>
        <sz val="8"/>
        <rFont val="Arial"/>
        <family val="2"/>
      </rPr>
      <t>Fornecimento e instalação de rede de proteção em nylon malha 10 x 10 cm para quadra de esporte</t>
    </r>
  </si>
  <si>
    <t>5.5</t>
  </si>
  <si>
    <t>INSTALAÇÕES ELETRICA</t>
  </si>
  <si>
    <t>5.5.1 - Aditivo</t>
  </si>
  <si>
    <t>QUADRO DE DISTRIBUICAO DE ENERGIA DE EMBUTIR, EM CHAPA METALICA</t>
  </si>
  <si>
    <t>unid</t>
  </si>
  <si>
    <t>5.5.2 - Aditivo</t>
  </si>
  <si>
    <t>DISJUNTOR TERMOMAGNETICO TRIPOLAR PADRAO NEMA (AMERICANO) 60 A 100A</t>
  </si>
  <si>
    <t>5.5.3 - Aditivo</t>
  </si>
  <si>
    <t>PONTO DE TOMADA RESIDENCIAL INCLUINDO TOMADA 10A/250V, CAIXA ELÉTRICA</t>
  </si>
  <si>
    <t>5.5.4 - Aditivo</t>
  </si>
  <si>
    <t>REFLETOR RETANGULAR FECHADO, COM LÂMPADA VAPOR METÁLICO 400 W</t>
  </si>
  <si>
    <t>6.0</t>
  </si>
  <si>
    <t>SERVIÇOS FINAIS</t>
  </si>
  <si>
    <t>6.1</t>
  </si>
  <si>
    <t>Limpeza final da obra</t>
  </si>
  <si>
    <t>SUBTOTAL</t>
  </si>
  <si>
    <t>BDI (19,21%)</t>
  </si>
  <si>
    <t>TOTAL GERAL DO BOLETIM:</t>
  </si>
  <si>
    <t>Importa o presente Boletim Medição na quantia R$ 41.919,05 (Quarenta e um mil, novecentos e dezenove reais e cinco centavos)</t>
  </si>
  <si>
    <t>Assinatura do Responsável pela Execução</t>
  </si>
  <si>
    <t>Assinatura do Responsável pela Fiscalização</t>
  </si>
  <si>
    <t>MEMORIAL DE CÁLCULO (BM 03)</t>
  </si>
  <si>
    <t xml:space="preserve">A= 14 placas de 6,6m² </t>
  </si>
  <si>
    <t xml:space="preserve">A= </t>
  </si>
  <si>
    <t>A = 7,863m de comprimento X 18,10m de largura.</t>
  </si>
  <si>
    <t>A= Perimetro x Altura = (90,6 x 2,52) x 2 + (51,70 x 1,35) x 2</t>
  </si>
  <si>
    <t>APLICAÇÃO DE FUNDO SELADOR ACRÍLICO EM PAREDES, UMA DEMÃO. AF_06/2014</t>
  </si>
  <si>
    <t>Coremas - PB, 30 de maio de 2022.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</si>
</sst>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(* #,##0.00_);_(* \(#,##0.00\);_(* \-??_);_(@_)"/>
    <numFmt numFmtId="165" formatCode="_ * #,##0.00_ ;_ * \-#,##0.00_ ;_ * \-??_ ;_ @_ "/>
    <numFmt numFmtId="166" formatCode="&quot;R$ &quot;#,##0.00;&quot;R$ -&quot;#,##0.00"/>
    <numFmt numFmtId="167" formatCode="0.000"/>
  </numFmts>
  <fonts count="36" x14ac:knownFonts="1"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58"/>
      <name val="Calibri"/>
      <family val="2"/>
    </font>
    <font>
      <b/>
      <sz val="11"/>
      <color indexed="10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0"/>
      <name val="Arial"/>
      <family val="2"/>
    </font>
    <font>
      <sz val="11"/>
      <color indexed="19"/>
      <name val="Calibri"/>
      <family val="2"/>
    </font>
    <font>
      <b/>
      <sz val="11"/>
      <color indexed="63"/>
      <name val="Calibri"/>
      <family val="2"/>
    </font>
    <font>
      <i/>
      <sz val="11"/>
      <color indexed="23"/>
      <name val="Calibri"/>
      <family val="2"/>
    </font>
    <font>
      <b/>
      <sz val="15"/>
      <color indexed="57"/>
      <name val="Calibri"/>
      <family val="2"/>
    </font>
    <font>
      <b/>
      <sz val="13"/>
      <color indexed="57"/>
      <name val="Calibri"/>
      <family val="2"/>
    </font>
    <font>
      <b/>
      <sz val="11"/>
      <color indexed="57"/>
      <name val="Calibri"/>
      <family val="2"/>
    </font>
    <font>
      <b/>
      <sz val="11"/>
      <color indexed="8"/>
      <name val="Calibri"/>
      <family val="2"/>
    </font>
    <font>
      <sz val="11"/>
      <color indexed="8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9"/>
      <color indexed="8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sz val="9"/>
      <color indexed="63"/>
      <name val="Arial"/>
      <family val="2"/>
    </font>
    <font>
      <b/>
      <sz val="12"/>
      <name val="Arial"/>
      <family val="2"/>
    </font>
    <font>
      <sz val="11"/>
      <color indexed="8"/>
      <name val="Calibri"/>
      <family val="2"/>
    </font>
    <font>
      <sz val="8"/>
      <color indexed="8"/>
      <name val="Calibri"/>
      <family val="2"/>
    </font>
    <font>
      <sz val="8"/>
      <color indexed="8"/>
      <name val="Arial"/>
      <family val="2"/>
    </font>
    <font>
      <sz val="8"/>
      <color indexed="8"/>
      <name val="Arial"/>
      <family val="2"/>
    </font>
    <font>
      <b/>
      <sz val="10"/>
      <color indexed="8"/>
      <name val="Arial"/>
      <family val="2"/>
    </font>
    <font>
      <b/>
      <sz val="9"/>
      <color indexed="8"/>
      <name val="Arial"/>
      <family val="2"/>
    </font>
    <font>
      <sz val="9"/>
      <color indexed="8"/>
      <name val="Arial"/>
      <family val="2"/>
    </font>
    <font>
      <sz val="8"/>
      <color indexed="8"/>
      <name val="Arial"/>
      <family val="2"/>
    </font>
    <font>
      <sz val="9"/>
      <color indexed="8"/>
      <name val="Times New Roman"/>
      <family val="1"/>
    </font>
    <font>
      <b/>
      <sz val="9"/>
      <color indexed="8"/>
      <name val="Times New Roman"/>
      <family val="1"/>
    </font>
    <font>
      <sz val="9"/>
      <name val="Times New Roman"/>
      <family val="1"/>
    </font>
    <font>
      <sz val="10"/>
      <color indexed="8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26"/>
        <bgColor indexed="42"/>
      </patternFill>
    </fill>
    <fill>
      <patternFill patternType="solid">
        <fgColor indexed="22"/>
        <bgColor indexed="42"/>
      </patternFill>
    </fill>
    <fill>
      <patternFill patternType="solid">
        <fgColor indexed="27"/>
        <bgColor indexed="44"/>
      </patternFill>
    </fill>
    <fill>
      <patternFill patternType="solid">
        <fgColor indexed="22"/>
        <bgColor indexed="31"/>
      </patternFill>
    </fill>
    <fill>
      <patternFill patternType="solid">
        <fgColor indexed="51"/>
        <bgColor indexed="23"/>
      </patternFill>
    </fill>
    <fill>
      <patternFill patternType="solid">
        <fgColor indexed="9"/>
        <bgColor indexed="42"/>
      </patternFill>
    </fill>
    <fill>
      <patternFill patternType="solid">
        <fgColor indexed="55"/>
        <bgColor indexed="23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3"/>
      </patternFill>
    </fill>
    <fill>
      <patternFill patternType="solid">
        <fgColor indexed="54"/>
        <bgColor indexed="62"/>
      </patternFill>
    </fill>
    <fill>
      <patternFill patternType="solid">
        <fgColor indexed="10"/>
        <bgColor indexed="16"/>
      </patternFill>
    </fill>
    <fill>
      <patternFill patternType="solid">
        <fgColor indexed="45"/>
        <bgColor indexed="46"/>
      </patternFill>
    </fill>
    <fill>
      <patternFill patternType="solid">
        <fgColor indexed="43"/>
        <bgColor indexed="26"/>
      </patternFill>
    </fill>
    <fill>
      <patternFill patternType="solid">
        <fgColor indexed="44"/>
        <bgColor indexed="64"/>
      </patternFill>
    </fill>
  </fills>
  <borders count="5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1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medium">
        <color indexed="64"/>
      </left>
      <right/>
      <top style="thin">
        <color indexed="8"/>
      </top>
      <bottom style="thin">
        <color indexed="8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8"/>
      </bottom>
      <diagonal/>
    </border>
    <border>
      <left/>
      <right/>
      <top style="medium">
        <color indexed="64"/>
      </top>
      <bottom style="thin">
        <color indexed="8"/>
      </bottom>
      <diagonal/>
    </border>
    <border>
      <left/>
      <right style="medium">
        <color indexed="64"/>
      </right>
      <top style="medium">
        <color indexed="64"/>
      </top>
      <bottom style="thin">
        <color indexed="8"/>
      </bottom>
      <diagonal/>
    </border>
    <border>
      <left style="medium">
        <color indexed="64"/>
      </left>
      <right/>
      <top style="thin">
        <color indexed="8"/>
      </top>
      <bottom/>
      <diagonal/>
    </border>
    <border>
      <left/>
      <right style="medium">
        <color indexed="64"/>
      </right>
      <top style="thin">
        <color indexed="8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46">
    <xf numFmtId="0" fontId="0" fillId="0" borderId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4" borderId="0" applyNumberFormat="0" applyBorder="0" applyAlignment="0" applyProtection="0"/>
    <xf numFmtId="0" fontId="24" fillId="6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7" borderId="0" applyNumberFormat="0" applyBorder="0" applyAlignment="0" applyProtection="0"/>
    <xf numFmtId="0" fontId="24" fillId="6" borderId="0" applyNumberFormat="0" applyBorder="0" applyAlignment="0" applyProtection="0"/>
    <xf numFmtId="0" fontId="24" fillId="4" borderId="0" applyNumberFormat="0" applyBorder="0" applyAlignment="0" applyProtection="0"/>
    <xf numFmtId="0" fontId="1" fillId="6" borderId="0" applyNumberFormat="0" applyBorder="0" applyAlignment="0" applyProtection="0"/>
    <xf numFmtId="0" fontId="1" fillId="3" borderId="0" applyNumberFormat="0" applyBorder="0" applyAlignment="0" applyProtection="0"/>
    <xf numFmtId="0" fontId="1" fillId="8" borderId="0" applyNumberFormat="0" applyBorder="0" applyAlignment="0" applyProtection="0"/>
    <xf numFmtId="0" fontId="1" fillId="7" borderId="0" applyNumberFormat="0" applyBorder="0" applyAlignment="0" applyProtection="0"/>
    <xf numFmtId="0" fontId="1" fillId="6" borderId="0" applyNumberFormat="0" applyBorder="0" applyAlignment="0" applyProtection="0"/>
    <xf numFmtId="0" fontId="1" fillId="3" borderId="0" applyNumberFormat="0" applyBorder="0" applyAlignment="0" applyProtection="0"/>
    <xf numFmtId="0" fontId="2" fillId="6" borderId="0" applyNumberFormat="0" applyBorder="0" applyAlignment="0" applyProtection="0"/>
    <xf numFmtId="0" fontId="3" fillId="9" borderId="1" applyNumberFormat="0" applyAlignment="0" applyProtection="0"/>
    <xf numFmtId="0" fontId="4" fillId="10" borderId="2" applyNumberFormat="0" applyAlignment="0" applyProtection="0"/>
    <xf numFmtId="0" fontId="5" fillId="0" borderId="3" applyNumberFormat="0" applyFill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8" borderId="0" applyNumberFormat="0" applyBorder="0" applyAlignment="0" applyProtection="0"/>
    <xf numFmtId="0" fontId="1" fillId="13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6" fillId="3" borderId="1" applyNumberFormat="0" applyAlignment="0" applyProtection="0"/>
    <xf numFmtId="0" fontId="7" fillId="15" borderId="0" applyNumberFormat="0" applyBorder="0" applyAlignment="0" applyProtection="0"/>
    <xf numFmtId="0" fontId="9" fillId="16" borderId="0" applyNumberFormat="0" applyBorder="0" applyAlignment="0" applyProtection="0"/>
    <xf numFmtId="0" fontId="24" fillId="0" borderId="0"/>
    <xf numFmtId="0" fontId="8" fillId="0" borderId="0"/>
    <xf numFmtId="0" fontId="24" fillId="4" borderId="4" applyNumberFormat="0" applyAlignment="0" applyProtection="0"/>
    <xf numFmtId="0" fontId="10" fillId="9" borderId="5" applyNumberFormat="0" applyAlignment="0" applyProtection="0"/>
    <xf numFmtId="164" fontId="24" fillId="0" borderId="0" applyFill="0" applyBorder="0" applyAlignment="0" applyProtection="0"/>
    <xf numFmtId="165" fontId="8" fillId="0" borderId="0" applyFill="0" applyBorder="0" applyAlignment="0" applyProtection="0"/>
    <xf numFmtId="0" fontId="5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6" applyNumberFormat="0" applyFill="0" applyAlignment="0" applyProtection="0"/>
    <xf numFmtId="0" fontId="13" fillId="0" borderId="7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164" fontId="24" fillId="0" borderId="0" applyFill="0" applyBorder="0" applyAlignment="0" applyProtection="0"/>
  </cellStyleXfs>
  <cellXfs count="185">
    <xf numFmtId="0" fontId="0" fillId="0" borderId="0" xfId="0"/>
    <xf numFmtId="0" fontId="16" fillId="0" borderId="0" xfId="0" applyFont="1"/>
    <xf numFmtId="0" fontId="19" fillId="0" borderId="0" xfId="0" applyFont="1"/>
    <xf numFmtId="164" fontId="24" fillId="9" borderId="10" xfId="45" applyFill="1" applyBorder="1" applyAlignment="1" applyProtection="1">
      <alignment horizontal="center"/>
    </xf>
    <xf numFmtId="0" fontId="17" fillId="0" borderId="0" xfId="0" applyFont="1" applyFill="1" applyBorder="1" applyAlignment="1">
      <alignment horizontal="center"/>
    </xf>
    <xf numFmtId="166" fontId="17" fillId="0" borderId="11" xfId="37" applyNumberFormat="1" applyFont="1" applyFill="1" applyBorder="1" applyAlignment="1" applyProtection="1">
      <alignment horizontal="center"/>
    </xf>
    <xf numFmtId="2" fontId="21" fillId="9" borderId="0" xfId="0" applyNumberFormat="1" applyFont="1" applyFill="1" applyBorder="1" applyAlignment="1">
      <alignment horizontal="center"/>
    </xf>
    <xf numFmtId="2" fontId="21" fillId="9" borderId="12" xfId="0" applyNumberFormat="1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/>
    </xf>
    <xf numFmtId="0" fontId="20" fillId="0" borderId="10" xfId="0" applyFont="1" applyFill="1" applyBorder="1" applyAlignment="1">
      <alignment horizontal="center"/>
    </xf>
    <xf numFmtId="166" fontId="17" fillId="0" borderId="10" xfId="37" applyNumberFormat="1" applyFont="1" applyFill="1" applyBorder="1" applyAlignment="1" applyProtection="1">
      <alignment horizontal="center"/>
    </xf>
    <xf numFmtId="2" fontId="22" fillId="0" borderId="13" xfId="0" applyNumberFormat="1" applyFont="1" applyFill="1" applyBorder="1" applyAlignment="1" applyProtection="1">
      <alignment horizontal="center"/>
    </xf>
    <xf numFmtId="166" fontId="17" fillId="0" borderId="13" xfId="37" applyNumberFormat="1" applyFont="1" applyFill="1" applyBorder="1" applyAlignment="1" applyProtection="1">
      <alignment horizontal="center"/>
    </xf>
    <xf numFmtId="166" fontId="17" fillId="0" borderId="14" xfId="0" applyNumberFormat="1" applyFont="1" applyFill="1" applyBorder="1" applyAlignment="1" applyProtection="1">
      <alignment horizontal="center"/>
    </xf>
    <xf numFmtId="164" fontId="24" fillId="9" borderId="12" xfId="45" applyFill="1" applyBorder="1" applyAlignment="1">
      <alignment horizontal="center"/>
    </xf>
    <xf numFmtId="164" fontId="24" fillId="9" borderId="12" xfId="45" applyFill="1" applyBorder="1" applyAlignment="1" applyProtection="1">
      <alignment horizontal="center"/>
    </xf>
    <xf numFmtId="164" fontId="25" fillId="9" borderId="12" xfId="45" applyFont="1" applyFill="1" applyBorder="1" applyAlignment="1" applyProtection="1">
      <alignment horizontal="center"/>
    </xf>
    <xf numFmtId="2" fontId="22" fillId="0" borderId="12" xfId="0" applyNumberFormat="1" applyFont="1" applyFill="1" applyBorder="1" applyAlignment="1" applyProtection="1">
      <alignment horizontal="center"/>
    </xf>
    <xf numFmtId="166" fontId="17" fillId="0" borderId="12" xfId="37" applyNumberFormat="1" applyFont="1" applyFill="1" applyBorder="1" applyAlignment="1" applyProtection="1">
      <alignment horizontal="center"/>
    </xf>
    <xf numFmtId="166" fontId="17" fillId="0" borderId="11" xfId="0" applyNumberFormat="1" applyFont="1" applyFill="1" applyBorder="1" applyAlignment="1" applyProtection="1">
      <alignment horizontal="center"/>
    </xf>
    <xf numFmtId="0" fontId="17" fillId="0" borderId="15" xfId="0" applyFont="1" applyFill="1" applyBorder="1" applyAlignment="1">
      <alignment horizontal="center"/>
    </xf>
    <xf numFmtId="49" fontId="23" fillId="0" borderId="16" xfId="0" applyNumberFormat="1" applyFont="1" applyFill="1" applyBorder="1" applyAlignment="1">
      <alignment horizontal="left"/>
    </xf>
    <xf numFmtId="164" fontId="18" fillId="0" borderId="13" xfId="45" applyFont="1" applyFill="1" applyBorder="1" applyAlignment="1" applyProtection="1"/>
    <xf numFmtId="0" fontId="0" fillId="0" borderId="17" xfId="0" applyBorder="1"/>
    <xf numFmtId="165" fontId="18" fillId="0" borderId="18" xfId="37" applyFont="1" applyFill="1" applyBorder="1" applyAlignment="1" applyProtection="1"/>
    <xf numFmtId="0" fontId="21" fillId="17" borderId="19" xfId="0" applyFont="1" applyFill="1" applyBorder="1"/>
    <xf numFmtId="0" fontId="21" fillId="17" borderId="0" xfId="0" applyFont="1" applyFill="1" applyBorder="1"/>
    <xf numFmtId="165" fontId="21" fillId="17" borderId="0" xfId="37" applyFont="1" applyFill="1" applyBorder="1" applyAlignment="1" applyProtection="1"/>
    <xf numFmtId="165" fontId="21" fillId="17" borderId="0" xfId="37" applyFont="1" applyFill="1" applyBorder="1" applyAlignment="1" applyProtection="1">
      <alignment horizontal="right"/>
    </xf>
    <xf numFmtId="0" fontId="21" fillId="17" borderId="20" xfId="0" applyFont="1" applyFill="1" applyBorder="1"/>
    <xf numFmtId="0" fontId="17" fillId="17" borderId="21" xfId="0" applyFont="1" applyFill="1" applyBorder="1" applyAlignment="1">
      <alignment horizontal="centerContinuous" vertical="center"/>
    </xf>
    <xf numFmtId="165" fontId="17" fillId="17" borderId="21" xfId="37" applyFont="1" applyFill="1" applyBorder="1" applyAlignment="1" applyProtection="1">
      <alignment horizontal="centerContinuous" vertical="center"/>
    </xf>
    <xf numFmtId="0" fontId="17" fillId="17" borderId="21" xfId="0" applyFont="1" applyFill="1" applyBorder="1" applyAlignment="1">
      <alignment horizontal="center" vertical="center"/>
    </xf>
    <xf numFmtId="165" fontId="17" fillId="17" borderId="21" xfId="37" applyFont="1" applyFill="1" applyBorder="1" applyAlignment="1" applyProtection="1">
      <alignment horizontal="center" vertical="center" wrapText="1"/>
    </xf>
    <xf numFmtId="0" fontId="17" fillId="17" borderId="21" xfId="0" applyFont="1" applyFill="1" applyBorder="1" applyAlignment="1">
      <alignment horizontal="center" vertical="center" wrapText="1"/>
    </xf>
    <xf numFmtId="0" fontId="27" fillId="0" borderId="22" xfId="0" applyNumberFormat="1" applyFont="1" applyFill="1" applyBorder="1" applyAlignment="1" applyProtection="1">
      <alignment horizontal="center" vertical="center" wrapText="1"/>
    </xf>
    <xf numFmtId="0" fontId="29" fillId="0" borderId="21" xfId="0" applyFont="1" applyBorder="1" applyAlignment="1">
      <alignment vertical="top" wrapText="1"/>
    </xf>
    <xf numFmtId="0" fontId="19" fillId="0" borderId="21" xfId="0" applyFont="1" applyBorder="1" applyAlignment="1">
      <alignment horizontal="center" vertical="center"/>
    </xf>
    <xf numFmtId="49" fontId="18" fillId="0" borderId="21" xfId="0" applyNumberFormat="1" applyFont="1" applyFill="1" applyBorder="1" applyAlignment="1">
      <alignment horizontal="left" vertical="center" wrapText="1"/>
    </xf>
    <xf numFmtId="0" fontId="29" fillId="0" borderId="21" xfId="0" applyFont="1" applyFill="1" applyBorder="1" applyAlignment="1">
      <alignment vertical="center" wrapText="1"/>
    </xf>
    <xf numFmtId="0" fontId="19" fillId="0" borderId="21" xfId="0" applyFont="1" applyFill="1" applyBorder="1" applyAlignment="1">
      <alignment horizontal="center" vertical="center"/>
    </xf>
    <xf numFmtId="164" fontId="26" fillId="9" borderId="0" xfId="45" applyFont="1" applyFill="1" applyBorder="1" applyAlignment="1" applyProtection="1">
      <alignment horizontal="center"/>
    </xf>
    <xf numFmtId="164" fontId="16" fillId="9" borderId="0" xfId="45" applyFont="1" applyFill="1" applyBorder="1" applyAlignment="1">
      <alignment horizontal="center"/>
    </xf>
    <xf numFmtId="164" fontId="16" fillId="9" borderId="0" xfId="45" applyFont="1" applyFill="1" applyBorder="1" applyAlignment="1" applyProtection="1">
      <alignment horizontal="center"/>
    </xf>
    <xf numFmtId="49" fontId="17" fillId="0" borderId="21" xfId="0" applyNumberFormat="1" applyFont="1" applyFill="1" applyBorder="1" applyAlignment="1">
      <alignment horizontal="left" vertical="center" wrapText="1"/>
    </xf>
    <xf numFmtId="0" fontId="30" fillId="0" borderId="22" xfId="0" applyNumberFormat="1" applyFont="1" applyFill="1" applyBorder="1" applyAlignment="1" applyProtection="1">
      <alignment horizontal="justify" vertical="center" wrapText="1"/>
    </xf>
    <xf numFmtId="0" fontId="19" fillId="0" borderId="16" xfId="0" applyFont="1" applyBorder="1" applyAlignment="1">
      <alignment horizontal="center" vertical="center"/>
    </xf>
    <xf numFmtId="0" fontId="19" fillId="0" borderId="0" xfId="0" applyFont="1" applyBorder="1" applyAlignment="1">
      <alignment horizontal="left" vertical="center" wrapText="1"/>
    </xf>
    <xf numFmtId="0" fontId="19" fillId="0" borderId="0" xfId="0" applyFont="1" applyBorder="1" applyAlignment="1">
      <alignment horizontal="center" vertical="center"/>
    </xf>
    <xf numFmtId="0" fontId="29" fillId="0" borderId="23" xfId="0" applyFont="1" applyBorder="1" applyAlignment="1">
      <alignment horizontal="left"/>
    </xf>
    <xf numFmtId="0" fontId="29" fillId="0" borderId="10" xfId="0" applyFont="1" applyBorder="1" applyAlignment="1">
      <alignment horizontal="center"/>
    </xf>
    <xf numFmtId="2" fontId="18" fillId="9" borderId="10" xfId="0" applyNumberFormat="1" applyFont="1" applyFill="1" applyBorder="1" applyAlignment="1">
      <alignment horizontal="center"/>
    </xf>
    <xf numFmtId="49" fontId="17" fillId="0" borderId="17" xfId="0" applyNumberFormat="1" applyFont="1" applyFill="1" applyBorder="1" applyAlignment="1">
      <alignment horizontal="left"/>
    </xf>
    <xf numFmtId="0" fontId="17" fillId="0" borderId="12" xfId="0" applyFont="1" applyFill="1" applyBorder="1" applyAlignment="1">
      <alignment horizontal="center"/>
    </xf>
    <xf numFmtId="2" fontId="18" fillId="9" borderId="12" xfId="0" applyNumberFormat="1" applyFont="1" applyFill="1" applyBorder="1" applyAlignment="1">
      <alignment horizontal="center"/>
    </xf>
    <xf numFmtId="164" fontId="19" fillId="9" borderId="12" xfId="45" applyFont="1" applyFill="1" applyBorder="1" applyAlignment="1">
      <alignment horizontal="center"/>
    </xf>
    <xf numFmtId="164" fontId="19" fillId="9" borderId="12" xfId="45" applyFont="1" applyFill="1" applyBorder="1" applyAlignment="1" applyProtection="1">
      <alignment horizontal="center"/>
    </xf>
    <xf numFmtId="49" fontId="17" fillId="0" borderId="24" xfId="0" applyNumberFormat="1" applyFont="1" applyFill="1" applyBorder="1" applyAlignment="1">
      <alignment horizontal="left"/>
    </xf>
    <xf numFmtId="0" fontId="17" fillId="0" borderId="13" xfId="0" applyFont="1" applyFill="1" applyBorder="1" applyAlignment="1">
      <alignment horizontal="center"/>
    </xf>
    <xf numFmtId="2" fontId="18" fillId="9" borderId="13" xfId="0" applyNumberFormat="1" applyFont="1" applyFill="1" applyBorder="1" applyAlignment="1">
      <alignment horizontal="center"/>
    </xf>
    <xf numFmtId="164" fontId="19" fillId="9" borderId="13" xfId="45" applyFont="1" applyFill="1" applyBorder="1" applyAlignment="1">
      <alignment horizontal="center"/>
    </xf>
    <xf numFmtId="164" fontId="19" fillId="9" borderId="13" xfId="45" applyFont="1" applyFill="1" applyBorder="1" applyAlignment="1" applyProtection="1">
      <alignment horizontal="center"/>
    </xf>
    <xf numFmtId="0" fontId="29" fillId="0" borderId="22" xfId="0" applyNumberFormat="1" applyFont="1" applyFill="1" applyBorder="1" applyAlignment="1" applyProtection="1">
      <alignment horizontal="center" vertical="center" wrapText="1"/>
    </xf>
    <xf numFmtId="0" fontId="19" fillId="0" borderId="22" xfId="0" applyNumberFormat="1" applyFont="1" applyFill="1" applyBorder="1" applyAlignment="1" applyProtection="1">
      <alignment horizontal="center" vertical="center" wrapText="1"/>
    </xf>
    <xf numFmtId="0" fontId="19" fillId="0" borderId="22" xfId="0" applyNumberFormat="1" applyFont="1" applyFill="1" applyBorder="1" applyAlignment="1" applyProtection="1">
      <alignment horizontal="justify" vertical="center" wrapText="1"/>
    </xf>
    <xf numFmtId="0" fontId="29" fillId="0" borderId="22" xfId="0" applyNumberFormat="1" applyFont="1" applyFill="1" applyBorder="1" applyAlignment="1" applyProtection="1">
      <alignment horizontal="justify" vertical="center" wrapText="1"/>
    </xf>
    <xf numFmtId="0" fontId="29" fillId="0" borderId="25" xfId="0" applyNumberFormat="1" applyFont="1" applyFill="1" applyBorder="1" applyAlignment="1" applyProtection="1">
      <alignment horizontal="center" vertical="center" wrapText="1"/>
    </xf>
    <xf numFmtId="0" fontId="19" fillId="0" borderId="21" xfId="0" applyFont="1" applyFill="1" applyBorder="1" applyAlignment="1">
      <alignment vertical="center" wrapText="1"/>
    </xf>
    <xf numFmtId="0" fontId="19" fillId="0" borderId="25" xfId="0" applyNumberFormat="1" applyFont="1" applyFill="1" applyBorder="1" applyAlignment="1" applyProtection="1">
      <alignment horizontal="center" vertical="center" wrapText="1"/>
    </xf>
    <xf numFmtId="0" fontId="31" fillId="0" borderId="22" xfId="0" applyNumberFormat="1" applyFont="1" applyFill="1" applyBorder="1" applyAlignment="1" applyProtection="1">
      <alignment horizontal="justify" vertical="center" wrapText="1"/>
    </xf>
    <xf numFmtId="0" fontId="26" fillId="0" borderId="22" xfId="0" applyNumberFormat="1" applyFont="1" applyFill="1" applyBorder="1" applyAlignment="1" applyProtection="1">
      <alignment horizontal="center" vertical="center" wrapText="1"/>
    </xf>
    <xf numFmtId="0" fontId="20" fillId="0" borderId="21" xfId="0" applyFont="1" applyBorder="1" applyAlignment="1">
      <alignment horizontal="left" vertical="center" wrapText="1"/>
    </xf>
    <xf numFmtId="0" fontId="20" fillId="0" borderId="21" xfId="0" applyFont="1" applyBorder="1"/>
    <xf numFmtId="0" fontId="8" fillId="0" borderId="21" xfId="0" applyFont="1" applyBorder="1" applyAlignment="1">
      <alignment horizontal="left"/>
    </xf>
    <xf numFmtId="14" fontId="20" fillId="0" borderId="21" xfId="0" applyNumberFormat="1" applyFont="1" applyBorder="1" applyAlignment="1">
      <alignment horizontal="left"/>
    </xf>
    <xf numFmtId="0" fontId="8" fillId="0" borderId="21" xfId="0" applyFont="1" applyFill="1" applyBorder="1"/>
    <xf numFmtId="0" fontId="20" fillId="0" borderId="21" xfId="0" applyFont="1" applyFill="1" applyBorder="1"/>
    <xf numFmtId="0" fontId="8" fillId="0" borderId="21" xfId="0" applyFont="1" applyBorder="1"/>
    <xf numFmtId="0" fontId="20" fillId="0" borderId="21" xfId="0" applyFont="1" applyBorder="1" applyAlignment="1">
      <alignment vertical="center"/>
    </xf>
    <xf numFmtId="0" fontId="20" fillId="0" borderId="26" xfId="0" applyFont="1" applyBorder="1" applyAlignment="1">
      <alignment horizontal="centerContinuous" vertical="center" wrapText="1"/>
    </xf>
    <xf numFmtId="0" fontId="20" fillId="0" borderId="27" xfId="0" applyFont="1" applyBorder="1" applyAlignment="1">
      <alignment horizontal="centerContinuous" vertical="center" wrapText="1"/>
    </xf>
    <xf numFmtId="0" fontId="20" fillId="0" borderId="10" xfId="0" applyFont="1" applyBorder="1" applyAlignment="1">
      <alignment horizontal="centerContinuous" vertical="center" wrapText="1"/>
    </xf>
    <xf numFmtId="0" fontId="20" fillId="0" borderId="26" xfId="0" applyFont="1" applyBorder="1" applyAlignment="1">
      <alignment horizontal="centerContinuous"/>
    </xf>
    <xf numFmtId="0" fontId="20" fillId="0" borderId="10" xfId="0" applyFont="1" applyBorder="1" applyAlignment="1">
      <alignment horizontal="centerContinuous"/>
    </xf>
    <xf numFmtId="0" fontId="20" fillId="0" borderId="27" xfId="0" applyFont="1" applyBorder="1" applyAlignment="1">
      <alignment horizontal="centerContinuous"/>
    </xf>
    <xf numFmtId="0" fontId="28" fillId="0" borderId="26" xfId="0" applyFont="1" applyBorder="1" applyAlignment="1">
      <alignment horizontal="centerContinuous" vertical="center" wrapText="1"/>
    </xf>
    <xf numFmtId="0" fontId="28" fillId="0" borderId="10" xfId="0" applyFont="1" applyBorder="1" applyAlignment="1">
      <alignment horizontal="centerContinuous" vertical="center" wrapText="1"/>
    </xf>
    <xf numFmtId="0" fontId="28" fillId="0" borderId="27" xfId="0" applyFont="1" applyBorder="1" applyAlignment="1">
      <alignment horizontal="centerContinuous" vertical="center" wrapText="1"/>
    </xf>
    <xf numFmtId="0" fontId="20" fillId="0" borderId="12" xfId="0" applyFont="1" applyBorder="1" applyAlignment="1">
      <alignment horizontal="centerContinuous"/>
    </xf>
    <xf numFmtId="0" fontId="32" fillId="0" borderId="28" xfId="0" applyNumberFormat="1" applyFont="1" applyFill="1" applyBorder="1" applyAlignment="1" applyProtection="1">
      <alignment horizontal="center" vertical="center" wrapText="1"/>
    </xf>
    <xf numFmtId="0" fontId="19" fillId="0" borderId="29" xfId="0" applyNumberFormat="1" applyFont="1" applyFill="1" applyBorder="1" applyAlignment="1" applyProtection="1">
      <alignment horizontal="justify" vertical="center" wrapText="1"/>
    </xf>
    <xf numFmtId="0" fontId="26" fillId="0" borderId="0" xfId="0" applyNumberFormat="1" applyFont="1" applyFill="1" applyBorder="1" applyAlignment="1" applyProtection="1">
      <alignment horizontal="center" vertical="center" wrapText="1"/>
    </xf>
    <xf numFmtId="0" fontId="33" fillId="0" borderId="21" xfId="0" applyFont="1" applyBorder="1" applyAlignment="1">
      <alignment vertical="top" wrapText="1"/>
    </xf>
    <xf numFmtId="0" fontId="33" fillId="0" borderId="30" xfId="0" applyNumberFormat="1" applyFont="1" applyFill="1" applyBorder="1" applyAlignment="1" applyProtection="1">
      <alignment horizontal="center" vertical="center" wrapText="1"/>
    </xf>
    <xf numFmtId="0" fontId="32" fillId="0" borderId="21" xfId="0" applyNumberFormat="1" applyFont="1" applyFill="1" applyBorder="1" applyAlignment="1" applyProtection="1">
      <alignment horizontal="justify" vertical="center" wrapText="1"/>
    </xf>
    <xf numFmtId="0" fontId="32" fillId="0" borderId="21" xfId="0" applyNumberFormat="1" applyFont="1" applyFill="1" applyBorder="1" applyAlignment="1" applyProtection="1">
      <alignment horizontal="center" vertical="center" wrapText="1"/>
    </xf>
    <xf numFmtId="167" fontId="16" fillId="0" borderId="0" xfId="0" applyNumberFormat="1" applyFont="1"/>
    <xf numFmtId="0" fontId="32" fillId="0" borderId="22" xfId="0" applyNumberFormat="1" applyFont="1" applyFill="1" applyBorder="1" applyAlignment="1" applyProtection="1">
      <alignment horizontal="justify" vertical="center" wrapText="1"/>
    </xf>
    <xf numFmtId="0" fontId="32" fillId="0" borderId="22" xfId="0" applyNumberFormat="1" applyFont="1" applyFill="1" applyBorder="1" applyAlignment="1" applyProtection="1">
      <alignment horizontal="center" vertical="center" wrapText="1"/>
    </xf>
    <xf numFmtId="0" fontId="32" fillId="0" borderId="30" xfId="0" applyNumberFormat="1" applyFont="1" applyFill="1" applyBorder="1" applyAlignment="1" applyProtection="1">
      <alignment horizontal="center" vertical="center" wrapText="1"/>
    </xf>
    <xf numFmtId="0" fontId="32" fillId="0" borderId="21" xfId="0" applyFont="1" applyBorder="1" applyAlignment="1">
      <alignment horizontal="center" vertical="center"/>
    </xf>
    <xf numFmtId="0" fontId="33" fillId="0" borderId="31" xfId="0" applyNumberFormat="1" applyFont="1" applyFill="1" applyBorder="1" applyAlignment="1" applyProtection="1">
      <alignment horizontal="center" vertical="center" wrapText="1"/>
    </xf>
    <xf numFmtId="0" fontId="32" fillId="0" borderId="31" xfId="0" applyNumberFormat="1" applyFont="1" applyFill="1" applyBorder="1" applyAlignment="1" applyProtection="1">
      <alignment horizontal="center" vertical="center" wrapText="1"/>
    </xf>
    <xf numFmtId="0" fontId="33" fillId="0" borderId="21" xfId="0" applyNumberFormat="1" applyFont="1" applyFill="1" applyBorder="1" applyAlignment="1" applyProtection="1">
      <alignment horizontal="justify" vertical="center" wrapText="1"/>
    </xf>
    <xf numFmtId="0" fontId="33" fillId="0" borderId="21" xfId="0" applyFont="1" applyBorder="1" applyAlignment="1">
      <alignment horizontal="center" vertical="center"/>
    </xf>
    <xf numFmtId="49" fontId="23" fillId="0" borderId="16" xfId="0" applyNumberFormat="1" applyFont="1" applyFill="1" applyBorder="1" applyAlignment="1">
      <alignment horizontal="centerContinuous" wrapText="1"/>
    </xf>
    <xf numFmtId="49" fontId="23" fillId="0" borderId="0" xfId="0" applyNumberFormat="1" applyFont="1" applyFill="1" applyBorder="1" applyAlignment="1">
      <alignment horizontal="centerContinuous" wrapText="1"/>
    </xf>
    <xf numFmtId="49" fontId="23" fillId="0" borderId="15" xfId="0" applyNumberFormat="1" applyFont="1" applyFill="1" applyBorder="1" applyAlignment="1">
      <alignment horizontal="centerContinuous" wrapText="1"/>
    </xf>
    <xf numFmtId="43" fontId="19" fillId="0" borderId="0" xfId="0" applyNumberFormat="1" applyFont="1"/>
    <xf numFmtId="164" fontId="0" fillId="0" borderId="0" xfId="0" applyNumberFormat="1"/>
    <xf numFmtId="164" fontId="18" fillId="0" borderId="22" xfId="45" applyFont="1" applyFill="1" applyBorder="1" applyAlignment="1" applyProtection="1">
      <alignment horizontal="right"/>
    </xf>
    <xf numFmtId="164" fontId="17" fillId="0" borderId="22" xfId="45" applyFont="1" applyFill="1" applyBorder="1" applyAlignment="1" applyProtection="1"/>
    <xf numFmtId="4" fontId="21" fillId="0" borderId="22" xfId="0" applyNumberFormat="1" applyFont="1" applyFill="1" applyBorder="1" applyAlignment="1" applyProtection="1">
      <alignment horizontal="right" vertical="center" wrapText="1"/>
    </xf>
    <xf numFmtId="164" fontId="18" fillId="0" borderId="22" xfId="45" applyFont="1" applyFill="1" applyBorder="1" applyAlignment="1" applyProtection="1"/>
    <xf numFmtId="4" fontId="21" fillId="0" borderId="0" xfId="0" applyNumberFormat="1" applyFont="1" applyFill="1" applyBorder="1" applyAlignment="1" applyProtection="1">
      <alignment horizontal="right" vertical="center" wrapText="1"/>
    </xf>
    <xf numFmtId="4" fontId="34" fillId="0" borderId="22" xfId="0" applyNumberFormat="1" applyFont="1" applyFill="1" applyBorder="1" applyAlignment="1" applyProtection="1">
      <alignment horizontal="right" vertical="center" wrapText="1"/>
    </xf>
    <xf numFmtId="43" fontId="18" fillId="0" borderId="21" xfId="45" applyNumberFormat="1" applyFont="1" applyFill="1" applyBorder="1" applyAlignment="1">
      <alignment vertical="center"/>
    </xf>
    <xf numFmtId="164" fontId="18" fillId="0" borderId="32" xfId="45" applyFont="1" applyFill="1" applyBorder="1" applyAlignment="1" applyProtection="1"/>
    <xf numFmtId="164" fontId="17" fillId="0" borderId="32" xfId="45" applyFont="1" applyFill="1" applyBorder="1" applyAlignment="1" applyProtection="1"/>
    <xf numFmtId="164" fontId="18" fillId="0" borderId="20" xfId="45" applyFont="1" applyFill="1" applyBorder="1" applyAlignment="1" applyProtection="1">
      <alignment horizontal="right"/>
    </xf>
    <xf numFmtId="164" fontId="18" fillId="0" borderId="0" xfId="45" applyFont="1" applyFill="1" applyBorder="1" applyAlignment="1" applyProtection="1">
      <alignment horizontal="right"/>
    </xf>
    <xf numFmtId="164" fontId="18" fillId="0" borderId="33" xfId="45" applyFont="1" applyFill="1" applyBorder="1" applyAlignment="1" applyProtection="1"/>
    <xf numFmtId="164" fontId="18" fillId="0" borderId="10" xfId="45" applyFont="1" applyFill="1" applyBorder="1" applyAlignment="1" applyProtection="1">
      <alignment horizontal="right"/>
    </xf>
    <xf numFmtId="43" fontId="17" fillId="0" borderId="23" xfId="45" applyNumberFormat="1" applyFont="1" applyFill="1" applyBorder="1" applyAlignment="1" applyProtection="1">
      <alignment horizontal="center"/>
    </xf>
    <xf numFmtId="2" fontId="18" fillId="0" borderId="21" xfId="0" applyNumberFormat="1" applyFont="1" applyFill="1" applyBorder="1" applyAlignment="1">
      <alignment vertical="center"/>
    </xf>
    <xf numFmtId="0" fontId="18" fillId="0" borderId="21" xfId="0" applyFont="1" applyFill="1" applyBorder="1" applyAlignment="1">
      <alignment vertical="center"/>
    </xf>
    <xf numFmtId="0" fontId="18" fillId="0" borderId="32" xfId="0" applyFont="1" applyFill="1" applyBorder="1" applyAlignment="1">
      <alignment horizontal="left" vertical="top"/>
    </xf>
    <xf numFmtId="43" fontId="18" fillId="0" borderId="27" xfId="45" applyNumberFormat="1" applyFont="1" applyFill="1" applyBorder="1" applyAlignment="1">
      <alignment vertical="center"/>
    </xf>
    <xf numFmtId="43" fontId="21" fillId="0" borderId="21" xfId="45" applyNumberFormat="1" applyFont="1" applyFill="1" applyBorder="1" applyAlignment="1">
      <alignment vertical="center"/>
    </xf>
    <xf numFmtId="43" fontId="34" fillId="0" borderId="21" xfId="45" applyNumberFormat="1" applyFont="1" applyFill="1" applyBorder="1" applyAlignment="1">
      <alignment vertical="center"/>
    </xf>
    <xf numFmtId="0" fontId="17" fillId="0" borderId="21" xfId="0" applyFont="1" applyFill="1" applyBorder="1" applyAlignment="1">
      <alignment vertical="center"/>
    </xf>
    <xf numFmtId="0" fontId="18" fillId="0" borderId="21" xfId="0" applyFont="1" applyFill="1" applyBorder="1"/>
    <xf numFmtId="164" fontId="18" fillId="0" borderId="21" xfId="45" applyFont="1" applyFill="1" applyBorder="1" applyAlignment="1">
      <alignment horizontal="left" vertical="center"/>
    </xf>
    <xf numFmtId="2" fontId="18" fillId="0" borderId="0" xfId="0" applyNumberFormat="1" applyFont="1" applyFill="1" applyBorder="1" applyAlignment="1">
      <alignment horizontal="center"/>
    </xf>
    <xf numFmtId="164" fontId="18" fillId="0" borderId="0" xfId="45" applyFont="1" applyFill="1" applyBorder="1" applyAlignment="1" applyProtection="1">
      <alignment horizontal="center"/>
    </xf>
    <xf numFmtId="164" fontId="18" fillId="0" borderId="10" xfId="45" applyFont="1" applyFill="1" applyBorder="1" applyAlignment="1">
      <alignment horizontal="center"/>
    </xf>
    <xf numFmtId="164" fontId="18" fillId="0" borderId="10" xfId="45" applyFont="1" applyFill="1" applyBorder="1" applyAlignment="1" applyProtection="1">
      <alignment horizontal="center"/>
    </xf>
    <xf numFmtId="0" fontId="20" fillId="0" borderId="33" xfId="0" applyFont="1" applyBorder="1" applyAlignment="1">
      <alignment horizontal="left" vertical="center" wrapText="1"/>
    </xf>
    <xf numFmtId="0" fontId="20" fillId="0" borderId="0" xfId="0" applyFont="1" applyBorder="1"/>
    <xf numFmtId="14" fontId="20" fillId="0" borderId="0" xfId="0" applyNumberFormat="1" applyFont="1" applyBorder="1" applyAlignment="1">
      <alignment horizontal="left"/>
    </xf>
    <xf numFmtId="0" fontId="20" fillId="0" borderId="0" xfId="0" applyFont="1" applyBorder="1" applyAlignment="1">
      <alignment horizontal="left" vertical="center" wrapText="1"/>
    </xf>
    <xf numFmtId="0" fontId="28" fillId="0" borderId="12" xfId="0" applyFont="1" applyBorder="1" applyAlignment="1">
      <alignment horizontal="left" vertical="center"/>
    </xf>
    <xf numFmtId="0" fontId="28" fillId="0" borderId="12" xfId="0" applyFont="1" applyBorder="1" applyAlignment="1">
      <alignment horizontal="left" vertical="center" wrapText="1"/>
    </xf>
    <xf numFmtId="0" fontId="19" fillId="0" borderId="0" xfId="0" applyNumberFormat="1" applyFont="1" applyFill="1" applyBorder="1" applyAlignment="1" applyProtection="1">
      <alignment vertical="center" wrapText="1"/>
    </xf>
    <xf numFmtId="43" fontId="0" fillId="0" borderId="0" xfId="0" applyNumberFormat="1"/>
    <xf numFmtId="0" fontId="21" fillId="0" borderId="22" xfId="0" applyNumberFormat="1" applyFont="1" applyFill="1" applyBorder="1" applyAlignment="1" applyProtection="1">
      <alignment horizontal="justify" vertical="center" wrapText="1"/>
    </xf>
    <xf numFmtId="0" fontId="20" fillId="0" borderId="34" xfId="0" applyFont="1" applyBorder="1" applyAlignment="1">
      <alignment horizontal="centerContinuous"/>
    </xf>
    <xf numFmtId="0" fontId="20" fillId="0" borderId="35" xfId="0" applyFont="1" applyBorder="1" applyAlignment="1">
      <alignment horizontal="centerContinuous"/>
    </xf>
    <xf numFmtId="0" fontId="20" fillId="0" borderId="36" xfId="0" applyFont="1" applyBorder="1" applyAlignment="1">
      <alignment horizontal="centerContinuous"/>
    </xf>
    <xf numFmtId="0" fontId="20" fillId="0" borderId="37" xfId="0" applyFont="1" applyBorder="1" applyAlignment="1">
      <alignment horizontal="left" vertical="center"/>
    </xf>
    <xf numFmtId="0" fontId="20" fillId="0" borderId="38" xfId="0" applyFont="1" applyBorder="1" applyAlignment="1">
      <alignment horizontal="left" vertical="center" wrapText="1"/>
    </xf>
    <xf numFmtId="0" fontId="20" fillId="0" borderId="39" xfId="0" applyFont="1" applyBorder="1"/>
    <xf numFmtId="0" fontId="8" fillId="0" borderId="40" xfId="0" applyFont="1" applyFill="1" applyBorder="1"/>
    <xf numFmtId="0" fontId="20" fillId="0" borderId="39" xfId="0" applyFont="1" applyBorder="1" applyAlignment="1">
      <alignment horizontal="left" vertical="center"/>
    </xf>
    <xf numFmtId="0" fontId="20" fillId="0" borderId="40" xfId="0" applyFont="1" applyFill="1" applyBorder="1"/>
    <xf numFmtId="0" fontId="8" fillId="0" borderId="40" xfId="0" applyFont="1" applyBorder="1"/>
    <xf numFmtId="0" fontId="20" fillId="0" borderId="41" xfId="0" applyFont="1" applyBorder="1" applyAlignment="1">
      <alignment horizontal="left" vertical="center" wrapText="1"/>
    </xf>
    <xf numFmtId="0" fontId="28" fillId="0" borderId="42" xfId="0" applyFont="1" applyBorder="1" applyAlignment="1">
      <alignment horizontal="left" vertical="center" wrapText="1"/>
    </xf>
    <xf numFmtId="0" fontId="35" fillId="0" borderId="39" xfId="0" applyFont="1" applyBorder="1"/>
    <xf numFmtId="0" fontId="35" fillId="0" borderId="0" xfId="0" applyFont="1" applyBorder="1"/>
    <xf numFmtId="0" fontId="35" fillId="0" borderId="40" xfId="0" applyFont="1" applyBorder="1"/>
    <xf numFmtId="0" fontId="28" fillId="0" borderId="43" xfId="0" applyNumberFormat="1" applyFont="1" applyFill="1" applyBorder="1" applyAlignment="1" applyProtection="1">
      <alignment horizontal="center" vertical="center" wrapText="1"/>
    </xf>
    <xf numFmtId="49" fontId="20" fillId="0" borderId="44" xfId="0" applyNumberFormat="1" applyFont="1" applyFill="1" applyBorder="1" applyAlignment="1">
      <alignment horizontal="centerContinuous" vertical="center" wrapText="1"/>
    </xf>
    <xf numFmtId="49" fontId="20" fillId="0" borderId="45" xfId="0" applyNumberFormat="1" applyFont="1" applyFill="1" applyBorder="1" applyAlignment="1">
      <alignment horizontal="centerContinuous" vertical="center" wrapText="1"/>
    </xf>
    <xf numFmtId="0" fontId="35" fillId="0" borderId="46" xfId="0" applyNumberFormat="1" applyFont="1" applyFill="1" applyBorder="1" applyAlignment="1" applyProtection="1">
      <alignment horizontal="center" vertical="center" wrapText="1"/>
    </xf>
    <xf numFmtId="0" fontId="35" fillId="0" borderId="39" xfId="0" applyFont="1" applyBorder="1" applyAlignment="1">
      <alignment horizontal="left"/>
    </xf>
    <xf numFmtId="0" fontId="35" fillId="0" borderId="0" xfId="0" applyFont="1" applyBorder="1" applyAlignment="1">
      <alignment horizontal="left"/>
    </xf>
    <xf numFmtId="0" fontId="35" fillId="0" borderId="40" xfId="0" applyFont="1" applyBorder="1" applyAlignment="1">
      <alignment horizontal="left"/>
    </xf>
    <xf numFmtId="2" fontId="35" fillId="0" borderId="0" xfId="0" applyNumberFormat="1" applyFont="1" applyBorder="1" applyAlignment="1">
      <alignment horizontal="left"/>
    </xf>
    <xf numFmtId="0" fontId="28" fillId="0" borderId="31" xfId="0" applyNumberFormat="1" applyFont="1" applyFill="1" applyBorder="1" applyAlignment="1" applyProtection="1">
      <alignment horizontal="center" vertical="center" wrapText="1"/>
    </xf>
    <xf numFmtId="0" fontId="28" fillId="0" borderId="26" xfId="0" applyNumberFormat="1" applyFont="1" applyFill="1" applyBorder="1" applyAlignment="1" applyProtection="1">
      <alignment horizontal="centerContinuous" vertical="center"/>
    </xf>
    <xf numFmtId="0" fontId="28" fillId="0" borderId="10" xfId="0" applyNumberFormat="1" applyFont="1" applyFill="1" applyBorder="1" applyAlignment="1" applyProtection="1">
      <alignment horizontal="centerContinuous" vertical="center"/>
    </xf>
    <xf numFmtId="0" fontId="28" fillId="0" borderId="47" xfId="0" applyNumberFormat="1" applyFont="1" applyFill="1" applyBorder="1" applyAlignment="1" applyProtection="1">
      <alignment horizontal="centerContinuous" vertical="center"/>
    </xf>
    <xf numFmtId="0" fontId="35" fillId="0" borderId="39" xfId="0" applyNumberFormat="1" applyFont="1" applyFill="1" applyBorder="1" applyAlignment="1" applyProtection="1">
      <alignment horizontal="center" vertical="center" wrapText="1"/>
    </xf>
    <xf numFmtId="0" fontId="28" fillId="0" borderId="37" xfId="0" applyNumberFormat="1" applyFont="1" applyFill="1" applyBorder="1" applyAlignment="1" applyProtection="1">
      <alignment horizontal="center" vertical="center" wrapText="1"/>
    </xf>
    <xf numFmtId="0" fontId="35" fillId="0" borderId="48" xfId="0" applyFont="1" applyBorder="1"/>
    <xf numFmtId="2" fontId="35" fillId="0" borderId="49" xfId="0" applyNumberFormat="1" applyFont="1" applyBorder="1" applyAlignment="1">
      <alignment horizontal="left"/>
    </xf>
    <xf numFmtId="0" fontId="35" fillId="0" borderId="49" xfId="0" applyFont="1" applyBorder="1"/>
    <xf numFmtId="0" fontId="35" fillId="0" borderId="50" xfId="0" applyFont="1" applyBorder="1"/>
    <xf numFmtId="0" fontId="35" fillId="0" borderId="0" xfId="0" applyFont="1" applyFill="1" applyBorder="1" applyAlignment="1">
      <alignment horizontal="center" vertical="center" wrapText="1"/>
    </xf>
    <xf numFmtId="0" fontId="35" fillId="0" borderId="40" xfId="0" applyFont="1" applyFill="1" applyBorder="1" applyAlignment="1">
      <alignment horizontal="center" vertical="center" wrapText="1"/>
    </xf>
    <xf numFmtId="0" fontId="35" fillId="0" borderId="13" xfId="0" applyNumberFormat="1" applyFont="1" applyFill="1" applyBorder="1" applyAlignment="1" applyProtection="1">
      <alignment horizontal="center" vertical="center" wrapText="1"/>
    </xf>
    <xf numFmtId="0" fontId="35" fillId="0" borderId="51" xfId="0" applyNumberFormat="1" applyFont="1" applyFill="1" applyBorder="1" applyAlignment="1" applyProtection="1">
      <alignment horizontal="center" vertical="center" wrapText="1"/>
    </xf>
    <xf numFmtId="0" fontId="35" fillId="0" borderId="13" xfId="0" applyFont="1" applyFill="1" applyBorder="1" applyAlignment="1">
      <alignment horizontal="center" vertical="center" wrapText="1"/>
    </xf>
    <xf numFmtId="0" fontId="35" fillId="0" borderId="51" xfId="0" applyFont="1" applyFill="1" applyBorder="1" applyAlignment="1">
      <alignment horizontal="center" vertical="center" wrapText="1"/>
    </xf>
  </cellXfs>
  <cellStyles count="46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Neutro" xfId="31" builtinId="28" customBuiltin="1"/>
    <cellStyle name="Normal" xfId="0" builtinId="0"/>
    <cellStyle name="Normal 2" xfId="32" xr:uid="{00000000-0005-0000-0000-000020000000}"/>
    <cellStyle name="Normal 3" xfId="33" xr:uid="{00000000-0005-0000-0000-000021000000}"/>
    <cellStyle name="Nota" xfId="34" builtinId="10" customBuiltin="1"/>
    <cellStyle name="Ruim" xfId="30" builtinId="27" customBuiltin="1"/>
    <cellStyle name="Saída" xfId="35" builtinId="21" customBuiltin="1"/>
    <cellStyle name="Separador de milhares 2" xfId="36" xr:uid="{00000000-0005-0000-0000-000024000000}"/>
    <cellStyle name="Separador de milhares_BM01" xfId="37" xr:uid="{00000000-0005-0000-0000-000025000000}"/>
    <cellStyle name="Texto de Aviso" xfId="38" builtinId="11" customBuiltin="1"/>
    <cellStyle name="Texto Explicativo" xfId="39" builtinId="53" customBuiltin="1"/>
    <cellStyle name="Título 1" xfId="40" builtinId="16" customBuiltin="1"/>
    <cellStyle name="Título 2" xfId="41" builtinId="17" customBuiltin="1"/>
    <cellStyle name="Título 3" xfId="42" builtinId="18" customBuiltin="1"/>
    <cellStyle name="Título 4" xfId="43" builtinId="19" customBuiltin="1"/>
    <cellStyle name="Total" xfId="44" builtinId="25" customBuiltin="1"/>
    <cellStyle name="Vírgula" xfId="45" builtinId="3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66CC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FFF"/>
      <rgbColor rgb="0069FFFF"/>
      <rgbColor rgb="00E0FFE0"/>
      <rgbColor rgb="00FFFF80"/>
      <rgbColor rgb="00A6CAF0"/>
      <rgbColor rgb="00DD9CB3"/>
      <rgbColor rgb="00B38FEE"/>
      <rgbColor rgb="00E3E3E3"/>
      <rgbColor rgb="002A6FF9"/>
      <rgbColor rgb="003FB8CD"/>
      <rgbColor rgb="00488436"/>
      <rgbColor rgb="00958C41"/>
      <rgbColor rgb="008E5E42"/>
      <rgbColor rgb="00A0627A"/>
      <rgbColor rgb="00624FAC"/>
      <rgbColor rgb="00969696"/>
      <rgbColor rgb="001D2FBE"/>
      <rgbColor rgb="00286676"/>
      <rgbColor rgb="00004500"/>
      <rgbColor rgb="00453E01"/>
      <rgbColor rgb="006A2813"/>
      <rgbColor rgb="0085396A"/>
      <rgbColor rgb="004A3285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8"/>
  <sheetViews>
    <sheetView tabSelected="1" topLeftCell="A32" zoomScale="120" zoomScaleNormal="120" workbookViewId="0">
      <selection activeCell="G38" sqref="G38"/>
    </sheetView>
  </sheetViews>
  <sheetFormatPr defaultColWidth="11.5703125" defaultRowHeight="15" x14ac:dyDescent="0.25"/>
  <cols>
    <col min="1" max="1" width="8.85546875" customWidth="1"/>
    <col min="2" max="2" width="47.5703125" customWidth="1"/>
    <col min="3" max="3" width="6" customWidth="1"/>
    <col min="4" max="4" width="9.42578125" customWidth="1"/>
    <col min="5" max="5" width="9.140625" customWidth="1"/>
    <col min="6" max="6" width="10" customWidth="1"/>
    <col min="7" max="7" width="12.5703125" customWidth="1"/>
    <col min="8" max="8" width="11.42578125" customWidth="1"/>
    <col min="10" max="10" width="13.42578125" customWidth="1"/>
  </cols>
  <sheetData>
    <row r="1" spans="1:12" x14ac:dyDescent="0.25">
      <c r="A1" s="88" t="s">
        <v>0</v>
      </c>
      <c r="B1" s="88"/>
      <c r="C1" s="88"/>
      <c r="D1" s="88"/>
      <c r="E1" s="88"/>
      <c r="F1" s="88"/>
      <c r="G1" s="88"/>
      <c r="H1" s="88"/>
      <c r="I1" s="88"/>
      <c r="J1" s="88"/>
      <c r="K1" s="1"/>
    </row>
    <row r="2" spans="1:12" ht="26.25" customHeight="1" x14ac:dyDescent="0.25">
      <c r="A2" s="79" t="s">
        <v>1</v>
      </c>
      <c r="B2" s="81"/>
      <c r="C2" s="81"/>
      <c r="D2" s="81"/>
      <c r="E2" s="80"/>
      <c r="F2" s="72" t="s">
        <v>2</v>
      </c>
      <c r="G2" s="72"/>
      <c r="H2" s="72" t="s">
        <v>3</v>
      </c>
      <c r="I2" s="72"/>
      <c r="J2" s="73"/>
      <c r="K2" s="1"/>
    </row>
    <row r="3" spans="1:12" x14ac:dyDescent="0.25">
      <c r="A3" s="82" t="s">
        <v>4</v>
      </c>
      <c r="B3" s="83"/>
      <c r="C3" s="83"/>
      <c r="D3" s="83"/>
      <c r="E3" s="84"/>
      <c r="F3" s="72" t="s">
        <v>5</v>
      </c>
      <c r="G3" s="72"/>
      <c r="H3" s="74">
        <v>44005</v>
      </c>
      <c r="I3" s="72"/>
      <c r="J3" s="75"/>
      <c r="K3" s="1"/>
    </row>
    <row r="4" spans="1:12" ht="14.1" customHeight="1" x14ac:dyDescent="0.25">
      <c r="A4" s="79" t="s">
        <v>6</v>
      </c>
      <c r="B4" s="81"/>
      <c r="C4" s="81"/>
      <c r="D4" s="81"/>
      <c r="E4" s="80"/>
      <c r="F4" s="72" t="s">
        <v>7</v>
      </c>
      <c r="G4" s="72"/>
      <c r="H4" s="72" t="s">
        <v>8</v>
      </c>
      <c r="I4" s="72"/>
      <c r="J4" s="76"/>
      <c r="K4" s="1"/>
    </row>
    <row r="5" spans="1:12" x14ac:dyDescent="0.25">
      <c r="A5" s="82" t="s">
        <v>9</v>
      </c>
      <c r="B5" s="83"/>
      <c r="C5" s="83"/>
      <c r="D5" s="83"/>
      <c r="E5" s="84"/>
      <c r="F5" s="72" t="s">
        <v>10</v>
      </c>
      <c r="G5" s="72"/>
      <c r="H5" s="72"/>
      <c r="I5" s="72"/>
      <c r="J5" s="77"/>
      <c r="K5" s="1"/>
    </row>
    <row r="6" spans="1:12" ht="25.5" x14ac:dyDescent="0.25">
      <c r="A6" s="71" t="s">
        <v>11</v>
      </c>
      <c r="B6" s="85" t="s">
        <v>12</v>
      </c>
      <c r="C6" s="86"/>
      <c r="D6" s="86"/>
      <c r="E6" s="87"/>
      <c r="F6" s="78" t="s">
        <v>13</v>
      </c>
      <c r="G6" s="72"/>
      <c r="H6" s="72"/>
      <c r="I6" s="72"/>
      <c r="J6" s="77"/>
      <c r="K6" s="96">
        <f>114076.4/123492.42</f>
        <v>0.92375224325509209</v>
      </c>
    </row>
    <row r="7" spans="1:12" x14ac:dyDescent="0.25">
      <c r="A7" s="30" t="s">
        <v>14</v>
      </c>
      <c r="B7" s="30" t="s">
        <v>15</v>
      </c>
      <c r="C7" s="31" t="s">
        <v>16</v>
      </c>
      <c r="D7" s="31" t="s">
        <v>17</v>
      </c>
      <c r="E7" s="31" t="s">
        <v>18</v>
      </c>
      <c r="F7" s="31"/>
      <c r="G7" s="31"/>
      <c r="H7" s="30" t="s">
        <v>19</v>
      </c>
      <c r="I7" s="30"/>
      <c r="J7" s="30"/>
      <c r="K7" s="1"/>
    </row>
    <row r="8" spans="1:12" x14ac:dyDescent="0.25">
      <c r="A8" s="30"/>
      <c r="B8" s="30"/>
      <c r="C8" s="31"/>
      <c r="D8" s="31"/>
      <c r="E8" s="32" t="s">
        <v>20</v>
      </c>
      <c r="F8" s="33" t="s">
        <v>21</v>
      </c>
      <c r="G8" s="34" t="s">
        <v>22</v>
      </c>
      <c r="H8" s="32" t="s">
        <v>23</v>
      </c>
      <c r="I8" s="32" t="s">
        <v>24</v>
      </c>
      <c r="J8" s="32" t="s">
        <v>22</v>
      </c>
      <c r="K8" s="1"/>
      <c r="L8">
        <f>114076.4+50448.16</f>
        <v>164524.56</v>
      </c>
    </row>
    <row r="9" spans="1:12" ht="8.25" customHeight="1" x14ac:dyDescent="0.25">
      <c r="A9" s="25"/>
      <c r="B9" s="26"/>
      <c r="C9" s="27"/>
      <c r="D9" s="28"/>
      <c r="E9" s="28"/>
      <c r="F9" s="27"/>
      <c r="G9" s="26"/>
      <c r="H9" s="26"/>
      <c r="I9" s="26"/>
      <c r="J9" s="29"/>
      <c r="K9" s="1"/>
    </row>
    <row r="10" spans="1:12" x14ac:dyDescent="0.25">
      <c r="A10" s="62" t="s">
        <v>25</v>
      </c>
      <c r="B10" s="36" t="s">
        <v>26</v>
      </c>
      <c r="C10" s="37"/>
      <c r="D10" s="124"/>
      <c r="E10" s="125"/>
      <c r="F10" s="126"/>
      <c r="G10" s="110"/>
      <c r="H10" s="111">
        <f>SUM(H11:H17)</f>
        <v>6584.7943950208764</v>
      </c>
      <c r="I10" s="111">
        <f>SUM(I11:I17)</f>
        <v>0</v>
      </c>
      <c r="J10" s="111">
        <f>SUM(J11:J17)</f>
        <v>6584.7943950208764</v>
      </c>
      <c r="K10" s="2"/>
    </row>
    <row r="11" spans="1:12" x14ac:dyDescent="0.25">
      <c r="A11" s="63" t="s">
        <v>27</v>
      </c>
      <c r="B11" s="45" t="s">
        <v>28</v>
      </c>
      <c r="C11" s="70" t="s">
        <v>29</v>
      </c>
      <c r="D11" s="112">
        <v>351.88</v>
      </c>
      <c r="E11" s="112">
        <v>8</v>
      </c>
      <c r="F11" s="127"/>
      <c r="G11" s="116">
        <f>E11</f>
        <v>8</v>
      </c>
      <c r="H11" s="113">
        <f>D11*E11</f>
        <v>2815.04</v>
      </c>
      <c r="I11" s="113">
        <f>F11*D11</f>
        <v>0</v>
      </c>
      <c r="J11" s="113">
        <f>G11*D11</f>
        <v>2815.04</v>
      </c>
    </row>
    <row r="12" spans="1:12" ht="24" x14ac:dyDescent="0.25">
      <c r="A12" s="63" t="s">
        <v>30</v>
      </c>
      <c r="B12" s="90" t="s">
        <v>31</v>
      </c>
      <c r="C12" s="70" t="s">
        <v>29</v>
      </c>
      <c r="D12" s="128">
        <f>15.15*K6</f>
        <v>13.994846485314646</v>
      </c>
      <c r="E12" s="112">
        <v>33</v>
      </c>
      <c r="F12" s="127"/>
      <c r="G12" s="116">
        <f>E12</f>
        <v>33</v>
      </c>
      <c r="H12" s="113">
        <f>D12*E12</f>
        <v>461.82993401538334</v>
      </c>
      <c r="I12" s="113">
        <f t="shared" ref="I12:I17" si="0">F12*D12</f>
        <v>0</v>
      </c>
      <c r="J12" s="113">
        <f>G12*D12</f>
        <v>461.82993401538334</v>
      </c>
    </row>
    <row r="13" spans="1:12" x14ac:dyDescent="0.25">
      <c r="A13" s="93" t="s">
        <v>32</v>
      </c>
      <c r="B13" s="92" t="s">
        <v>33</v>
      </c>
      <c r="C13" s="91"/>
      <c r="D13" s="128"/>
      <c r="E13" s="114"/>
      <c r="F13" s="127"/>
      <c r="G13" s="116"/>
      <c r="H13" s="113"/>
      <c r="I13" s="113">
        <f t="shared" si="0"/>
        <v>0</v>
      </c>
      <c r="J13" s="113"/>
    </row>
    <row r="14" spans="1:12" ht="24" x14ac:dyDescent="0.25">
      <c r="A14" s="89" t="s">
        <v>34</v>
      </c>
      <c r="B14" s="94" t="s">
        <v>35</v>
      </c>
      <c r="C14" s="95" t="s">
        <v>36</v>
      </c>
      <c r="D14" s="129">
        <f>136.8*K6</f>
        <v>126.36930687729661</v>
      </c>
      <c r="E14" s="129">
        <v>1</v>
      </c>
      <c r="F14" s="127"/>
      <c r="G14" s="116">
        <f>E14</f>
        <v>1</v>
      </c>
      <c r="H14" s="113">
        <f>D14*E14</f>
        <v>126.36930687729661</v>
      </c>
      <c r="I14" s="113">
        <f t="shared" si="0"/>
        <v>0</v>
      </c>
      <c r="J14" s="113">
        <f>G14*D14</f>
        <v>126.36930687729661</v>
      </c>
    </row>
    <row r="15" spans="1:12" ht="24" x14ac:dyDescent="0.25">
      <c r="A15" s="89" t="s">
        <v>37</v>
      </c>
      <c r="B15" s="94" t="s">
        <v>38</v>
      </c>
      <c r="C15" s="95" t="s">
        <v>36</v>
      </c>
      <c r="D15" s="129">
        <f>1348.69*K6</f>
        <v>1245.8554129557101</v>
      </c>
      <c r="E15" s="129">
        <v>1.7290000000000001</v>
      </c>
      <c r="F15" s="127"/>
      <c r="G15" s="116">
        <f>E15</f>
        <v>1.7290000000000001</v>
      </c>
      <c r="H15" s="113">
        <f>D15*E15</f>
        <v>2154.0840090004231</v>
      </c>
      <c r="I15" s="113">
        <f t="shared" si="0"/>
        <v>0</v>
      </c>
      <c r="J15" s="113">
        <f>G15*D15</f>
        <v>2154.0840090004231</v>
      </c>
    </row>
    <row r="16" spans="1:12" x14ac:dyDescent="0.25">
      <c r="A16" s="93" t="s">
        <v>39</v>
      </c>
      <c r="B16" s="92" t="s">
        <v>40</v>
      </c>
      <c r="C16" s="95"/>
      <c r="D16" s="129"/>
      <c r="E16" s="129"/>
      <c r="F16" s="129"/>
      <c r="G16" s="116"/>
      <c r="H16" s="113"/>
      <c r="I16" s="113">
        <f t="shared" si="0"/>
        <v>0</v>
      </c>
      <c r="J16" s="113"/>
    </row>
    <row r="17" spans="1:11" ht="36" x14ac:dyDescent="0.25">
      <c r="A17" s="89" t="s">
        <v>41</v>
      </c>
      <c r="B17" s="94" t="s">
        <v>42</v>
      </c>
      <c r="C17" s="95" t="s">
        <v>29</v>
      </c>
      <c r="D17" s="129">
        <f>57.04*K6</f>
        <v>52.69082795527045</v>
      </c>
      <c r="E17" s="129">
        <v>19.5</v>
      </c>
      <c r="F17" s="127"/>
      <c r="G17" s="116">
        <f>E17</f>
        <v>19.5</v>
      </c>
      <c r="H17" s="113">
        <f>D17*E17</f>
        <v>1027.4711451277738</v>
      </c>
      <c r="I17" s="113">
        <f t="shared" si="0"/>
        <v>0</v>
      </c>
      <c r="J17" s="113">
        <f>G17*D17</f>
        <v>1027.4711451277738</v>
      </c>
    </row>
    <row r="18" spans="1:11" x14ac:dyDescent="0.25">
      <c r="A18" s="62" t="s">
        <v>43</v>
      </c>
      <c r="B18" s="44" t="s">
        <v>44</v>
      </c>
      <c r="C18" s="37"/>
      <c r="D18" s="116"/>
      <c r="E18" s="116"/>
      <c r="F18" s="116"/>
      <c r="G18" s="116"/>
      <c r="H18" s="111">
        <f>SUM(H19:H20)</f>
        <v>12992.817346198197</v>
      </c>
      <c r="I18" s="111">
        <f>SUM(I19:I20)</f>
        <v>5899.7759999999998</v>
      </c>
      <c r="J18" s="111">
        <f>SUM(J19:J20)</f>
        <v>12992.817346198197</v>
      </c>
      <c r="K18" s="144"/>
    </row>
    <row r="19" spans="1:11" x14ac:dyDescent="0.25">
      <c r="A19" s="63" t="s">
        <v>45</v>
      </c>
      <c r="B19" s="64" t="s">
        <v>46</v>
      </c>
      <c r="C19" s="70" t="s">
        <v>29</v>
      </c>
      <c r="D19" s="112">
        <v>53.44</v>
      </c>
      <c r="E19" s="112">
        <v>202.8</v>
      </c>
      <c r="F19" s="127">
        <f>E19-K19</f>
        <v>110.4</v>
      </c>
      <c r="G19" s="116">
        <f>K19+F19</f>
        <v>202.8</v>
      </c>
      <c r="H19" s="113">
        <f t="shared" ref="H19:H44" si="1">D19*E19</f>
        <v>10837.632</v>
      </c>
      <c r="I19" s="113">
        <f>F19*D19</f>
        <v>5899.7759999999998</v>
      </c>
      <c r="J19" s="113">
        <f>G19*D19</f>
        <v>10837.632</v>
      </c>
      <c r="K19" s="127">
        <v>92.4</v>
      </c>
    </row>
    <row r="20" spans="1:11" ht="24" x14ac:dyDescent="0.25">
      <c r="A20" s="63" t="s">
        <v>47</v>
      </c>
      <c r="B20" s="97" t="s">
        <v>46</v>
      </c>
      <c r="C20" s="98" t="s">
        <v>29</v>
      </c>
      <c r="D20" s="115">
        <v>53.44</v>
      </c>
      <c r="E20" s="124">
        <v>40.329067107002203</v>
      </c>
      <c r="F20" s="127"/>
      <c r="G20" s="116">
        <f>E20</f>
        <v>40.329067107002203</v>
      </c>
      <c r="H20" s="113">
        <f t="shared" si="1"/>
        <v>2155.1853461981977</v>
      </c>
      <c r="I20" s="113">
        <f>F20*D20</f>
        <v>0</v>
      </c>
      <c r="J20" s="113">
        <f>G20*D20</f>
        <v>2155.1853461981977</v>
      </c>
    </row>
    <row r="21" spans="1:11" x14ac:dyDescent="0.25">
      <c r="A21" s="62" t="s">
        <v>48</v>
      </c>
      <c r="B21" s="65" t="s">
        <v>49</v>
      </c>
      <c r="C21" s="35"/>
      <c r="D21" s="112"/>
      <c r="E21" s="112"/>
      <c r="F21" s="116"/>
      <c r="G21" s="116"/>
      <c r="H21" s="111">
        <f>SUM(H22:H23)</f>
        <v>45229.268618764196</v>
      </c>
      <c r="I21" s="111">
        <f>SUM(I22:I23)</f>
        <v>0</v>
      </c>
      <c r="J21" s="111">
        <f>SUM(J22:J23)</f>
        <v>45229.268618764196</v>
      </c>
    </row>
    <row r="22" spans="1:11" ht="36" x14ac:dyDescent="0.25">
      <c r="A22" s="63" t="s">
        <v>50</v>
      </c>
      <c r="B22" s="64" t="s">
        <v>51</v>
      </c>
      <c r="C22" s="70" t="s">
        <v>29</v>
      </c>
      <c r="D22" s="112">
        <v>64.67</v>
      </c>
      <c r="E22" s="112">
        <v>492.32</v>
      </c>
      <c r="F22" s="116"/>
      <c r="G22" s="116">
        <f>E22</f>
        <v>492.32</v>
      </c>
      <c r="H22" s="113">
        <f t="shared" si="1"/>
        <v>31838.3344</v>
      </c>
      <c r="I22" s="113">
        <f>F22*D22</f>
        <v>0</v>
      </c>
      <c r="J22" s="113">
        <f>G22*D22</f>
        <v>31838.3344</v>
      </c>
      <c r="K22" s="144"/>
    </row>
    <row r="23" spans="1:11" ht="36" x14ac:dyDescent="0.25">
      <c r="A23" s="89" t="s">
        <v>52</v>
      </c>
      <c r="B23" s="97" t="s">
        <v>53</v>
      </c>
      <c r="C23" s="98" t="s">
        <v>29</v>
      </c>
      <c r="D23" s="116">
        <f>142.12*K6</f>
        <v>131.28366881141369</v>
      </c>
      <c r="E23" s="116">
        <v>102</v>
      </c>
      <c r="F23" s="127"/>
      <c r="G23" s="116">
        <f>E23</f>
        <v>102</v>
      </c>
      <c r="H23" s="113">
        <f t="shared" si="1"/>
        <v>13390.934218764196</v>
      </c>
      <c r="I23" s="113">
        <f>F23*D23</f>
        <v>0</v>
      </c>
      <c r="J23" s="113">
        <f>G23*D23</f>
        <v>13390.934218764196</v>
      </c>
    </row>
    <row r="24" spans="1:11" x14ac:dyDescent="0.25">
      <c r="A24" s="66" t="s">
        <v>54</v>
      </c>
      <c r="B24" s="39" t="s">
        <v>55</v>
      </c>
      <c r="C24" s="37"/>
      <c r="D24" s="116"/>
      <c r="E24" s="116"/>
      <c r="F24" s="116"/>
      <c r="G24" s="116"/>
      <c r="H24" s="111">
        <f>SUM(H25:H32)</f>
        <v>57306.7474</v>
      </c>
      <c r="I24" s="111">
        <f>SUM(I25:I32)</f>
        <v>18968.382799999999</v>
      </c>
      <c r="J24" s="111">
        <f>SUM(J25:J32)</f>
        <v>49329.122399999993</v>
      </c>
    </row>
    <row r="25" spans="1:11" ht="60" x14ac:dyDescent="0.25">
      <c r="A25" s="68" t="s">
        <v>56</v>
      </c>
      <c r="B25" s="67" t="s">
        <v>57</v>
      </c>
      <c r="C25" s="37" t="s">
        <v>29</v>
      </c>
      <c r="D25" s="112">
        <v>13.38</v>
      </c>
      <c r="E25" s="112">
        <v>596.21</v>
      </c>
      <c r="F25" s="112"/>
      <c r="G25" s="116">
        <f>F25</f>
        <v>0</v>
      </c>
      <c r="H25" s="113">
        <f t="shared" si="1"/>
        <v>7977.2898000000014</v>
      </c>
      <c r="I25" s="113">
        <f>F25*D25</f>
        <v>0</v>
      </c>
      <c r="J25" s="113">
        <f>G25*D25</f>
        <v>0</v>
      </c>
    </row>
    <row r="26" spans="1:11" ht="22.5" x14ac:dyDescent="0.25">
      <c r="A26" s="68" t="s">
        <v>58</v>
      </c>
      <c r="B26" s="69" t="s">
        <v>59</v>
      </c>
      <c r="C26" s="37" t="s">
        <v>29</v>
      </c>
      <c r="D26" s="112">
        <v>1.66</v>
      </c>
      <c r="E26" s="112">
        <v>596.21</v>
      </c>
      <c r="F26" s="112"/>
      <c r="G26" s="116">
        <f>E26</f>
        <v>596.21</v>
      </c>
      <c r="H26" s="113">
        <f t="shared" si="1"/>
        <v>989.70860000000005</v>
      </c>
      <c r="I26" s="113">
        <f t="shared" ref="I26:I37" si="2">F26*D26</f>
        <v>0</v>
      </c>
      <c r="J26" s="113">
        <f t="shared" ref="J26:J37" si="3">G26*D26</f>
        <v>989.70860000000005</v>
      </c>
    </row>
    <row r="27" spans="1:11" ht="22.5" x14ac:dyDescent="0.25">
      <c r="A27" s="68" t="s">
        <v>60</v>
      </c>
      <c r="B27" s="145" t="s">
        <v>61</v>
      </c>
      <c r="C27" s="37" t="s">
        <v>29</v>
      </c>
      <c r="D27" s="112">
        <v>9.26</v>
      </c>
      <c r="E27" s="112">
        <v>596.21</v>
      </c>
      <c r="F27" s="112"/>
      <c r="G27" s="116">
        <f>E27</f>
        <v>596.21</v>
      </c>
      <c r="H27" s="113">
        <f t="shared" si="1"/>
        <v>5520.9045999999998</v>
      </c>
      <c r="I27" s="113">
        <f t="shared" si="2"/>
        <v>0</v>
      </c>
      <c r="J27" s="113">
        <f t="shared" si="3"/>
        <v>5520.9045999999998</v>
      </c>
    </row>
    <row r="28" spans="1:11" ht="22.5" x14ac:dyDescent="0.25">
      <c r="A28" s="68" t="s">
        <v>62</v>
      </c>
      <c r="B28" s="145" t="s">
        <v>63</v>
      </c>
      <c r="C28" s="37" t="s">
        <v>29</v>
      </c>
      <c r="D28" s="112">
        <v>10.96</v>
      </c>
      <c r="E28" s="112">
        <v>596.21</v>
      </c>
      <c r="F28" s="112"/>
      <c r="G28" s="116">
        <f>E28</f>
        <v>596.21</v>
      </c>
      <c r="H28" s="113">
        <f t="shared" si="1"/>
        <v>6534.4616000000005</v>
      </c>
      <c r="I28" s="113">
        <f t="shared" si="2"/>
        <v>0</v>
      </c>
      <c r="J28" s="113">
        <f t="shared" si="3"/>
        <v>6534.4616000000005</v>
      </c>
    </row>
    <row r="29" spans="1:11" x14ac:dyDescent="0.25">
      <c r="A29" s="68" t="s">
        <v>64</v>
      </c>
      <c r="B29" s="69" t="s">
        <v>65</v>
      </c>
      <c r="C29" s="37" t="s">
        <v>29</v>
      </c>
      <c r="D29" s="112">
        <v>37.43</v>
      </c>
      <c r="E29" s="112">
        <v>492.32</v>
      </c>
      <c r="F29" s="112">
        <v>492.32</v>
      </c>
      <c r="G29" s="116">
        <v>492.32</v>
      </c>
      <c r="H29" s="113">
        <f t="shared" si="1"/>
        <v>18427.5376</v>
      </c>
      <c r="I29" s="113">
        <f t="shared" si="2"/>
        <v>18427.5376</v>
      </c>
      <c r="J29" s="113">
        <f t="shared" si="3"/>
        <v>18427.5376</v>
      </c>
      <c r="K29" s="109"/>
    </row>
    <row r="30" spans="1:11" ht="22.5" x14ac:dyDescent="0.25">
      <c r="A30" s="68" t="s">
        <v>66</v>
      </c>
      <c r="B30" s="69" t="s">
        <v>67</v>
      </c>
      <c r="C30" s="37" t="s">
        <v>68</v>
      </c>
      <c r="D30" s="112">
        <v>8.3800000000000008</v>
      </c>
      <c r="E30" s="112">
        <v>64.540000000000006</v>
      </c>
      <c r="F30" s="112">
        <v>64.540000000000006</v>
      </c>
      <c r="G30" s="116">
        <v>64.5</v>
      </c>
      <c r="H30" s="113">
        <f t="shared" si="1"/>
        <v>540.84520000000009</v>
      </c>
      <c r="I30" s="113">
        <f t="shared" si="2"/>
        <v>540.84520000000009</v>
      </c>
      <c r="J30" s="113">
        <f t="shared" si="3"/>
        <v>540.5100000000001</v>
      </c>
      <c r="K30" s="109"/>
    </row>
    <row r="31" spans="1:11" ht="36" x14ac:dyDescent="0.25">
      <c r="A31" s="99" t="s">
        <v>69</v>
      </c>
      <c r="B31" s="94" t="s">
        <v>70</v>
      </c>
      <c r="C31" s="100" t="s">
        <v>29</v>
      </c>
      <c r="D31" s="116">
        <v>15.41</v>
      </c>
      <c r="E31" s="116">
        <v>600</v>
      </c>
      <c r="F31" s="127"/>
      <c r="G31" s="116">
        <f>E31</f>
        <v>600</v>
      </c>
      <c r="H31" s="113">
        <f t="shared" si="1"/>
        <v>9246</v>
      </c>
      <c r="I31" s="113">
        <f t="shared" si="2"/>
        <v>0</v>
      </c>
      <c r="J31" s="113">
        <f t="shared" si="3"/>
        <v>9246</v>
      </c>
      <c r="K31" s="109"/>
    </row>
    <row r="32" spans="1:11" ht="48" x14ac:dyDescent="0.25">
      <c r="A32" s="99" t="s">
        <v>71</v>
      </c>
      <c r="B32" s="94" t="s">
        <v>72</v>
      </c>
      <c r="C32" s="100" t="s">
        <v>29</v>
      </c>
      <c r="D32" s="116">
        <v>13.45</v>
      </c>
      <c r="E32" s="116">
        <v>600</v>
      </c>
      <c r="F32" s="127"/>
      <c r="G32" s="116">
        <f>E32</f>
        <v>600</v>
      </c>
      <c r="H32" s="113">
        <f t="shared" si="1"/>
        <v>8070</v>
      </c>
      <c r="I32" s="113">
        <f t="shared" si="2"/>
        <v>0</v>
      </c>
      <c r="J32" s="113">
        <f t="shared" si="3"/>
        <v>8070</v>
      </c>
      <c r="K32" s="109"/>
    </row>
    <row r="33" spans="1:11" x14ac:dyDescent="0.25">
      <c r="A33" s="66" t="s">
        <v>73</v>
      </c>
      <c r="B33" s="39" t="s">
        <v>74</v>
      </c>
      <c r="C33" s="37"/>
      <c r="D33" s="116"/>
      <c r="E33" s="116"/>
      <c r="F33" s="116"/>
      <c r="G33" s="116"/>
      <c r="H33" s="111">
        <f>SUM(H34:H42)</f>
        <v>14867.800510016728</v>
      </c>
      <c r="I33" s="111">
        <f>SUM(I34:I42)</f>
        <v>9180.9599999999991</v>
      </c>
      <c r="J33" s="111">
        <f>SUM(J34:J42)</f>
        <v>14867.800510016728</v>
      </c>
    </row>
    <row r="34" spans="1:11" ht="33.75" x14ac:dyDescent="0.25">
      <c r="A34" s="68" t="s">
        <v>75</v>
      </c>
      <c r="B34" s="69" t="s">
        <v>76</v>
      </c>
      <c r="C34" s="37" t="s">
        <v>77</v>
      </c>
      <c r="D34" s="112">
        <v>3135.71</v>
      </c>
      <c r="E34" s="112">
        <v>1</v>
      </c>
      <c r="F34" s="112">
        <v>1</v>
      </c>
      <c r="G34" s="116">
        <v>1</v>
      </c>
      <c r="H34" s="113">
        <f t="shared" si="1"/>
        <v>3135.71</v>
      </c>
      <c r="I34" s="113">
        <f>F34*D34</f>
        <v>3135.71</v>
      </c>
      <c r="J34" s="113">
        <f t="shared" si="3"/>
        <v>3135.71</v>
      </c>
      <c r="K34" s="109"/>
    </row>
    <row r="35" spans="1:11" ht="33.75" x14ac:dyDescent="0.25">
      <c r="A35" s="68" t="s">
        <v>78</v>
      </c>
      <c r="B35" s="69" t="s">
        <v>79</v>
      </c>
      <c r="C35" s="37" t="s">
        <v>80</v>
      </c>
      <c r="D35" s="112">
        <v>2347.33</v>
      </c>
      <c r="E35" s="112">
        <v>1</v>
      </c>
      <c r="F35" s="112">
        <v>1</v>
      </c>
      <c r="G35" s="116">
        <f>F35</f>
        <v>1</v>
      </c>
      <c r="H35" s="113">
        <f t="shared" si="1"/>
        <v>2347.33</v>
      </c>
      <c r="I35" s="113">
        <f t="shared" si="2"/>
        <v>2347.33</v>
      </c>
      <c r="J35" s="113">
        <f t="shared" si="3"/>
        <v>2347.33</v>
      </c>
    </row>
    <row r="36" spans="1:11" ht="45" x14ac:dyDescent="0.25">
      <c r="A36" s="68" t="s">
        <v>81</v>
      </c>
      <c r="B36" s="69" t="s">
        <v>82</v>
      </c>
      <c r="C36" s="37" t="s">
        <v>80</v>
      </c>
      <c r="D36" s="112">
        <v>1425.03</v>
      </c>
      <c r="E36" s="112">
        <v>1</v>
      </c>
      <c r="F36" s="112">
        <v>1</v>
      </c>
      <c r="G36" s="116">
        <v>1</v>
      </c>
      <c r="H36" s="113">
        <f t="shared" si="1"/>
        <v>1425.03</v>
      </c>
      <c r="I36" s="113">
        <f t="shared" si="2"/>
        <v>1425.03</v>
      </c>
      <c r="J36" s="113">
        <f t="shared" si="3"/>
        <v>1425.03</v>
      </c>
      <c r="K36" s="109"/>
    </row>
    <row r="37" spans="1:11" ht="22.5" x14ac:dyDescent="0.25">
      <c r="A37" s="68" t="s">
        <v>83</v>
      </c>
      <c r="B37" s="69" t="s">
        <v>84</v>
      </c>
      <c r="C37" s="37" t="s">
        <v>29</v>
      </c>
      <c r="D37" s="112">
        <v>11.95</v>
      </c>
      <c r="E37" s="112">
        <v>190.2</v>
      </c>
      <c r="F37" s="112">
        <v>190.2</v>
      </c>
      <c r="G37" s="116">
        <v>190.2</v>
      </c>
      <c r="H37" s="113">
        <f t="shared" si="1"/>
        <v>2272.89</v>
      </c>
      <c r="I37" s="113">
        <f t="shared" si="2"/>
        <v>2272.89</v>
      </c>
      <c r="J37" s="113">
        <f t="shared" si="3"/>
        <v>2272.89</v>
      </c>
      <c r="K37" s="109"/>
    </row>
    <row r="38" spans="1:11" x14ac:dyDescent="0.25">
      <c r="A38" s="101" t="s">
        <v>85</v>
      </c>
      <c r="B38" s="103" t="s">
        <v>86</v>
      </c>
      <c r="C38" s="104"/>
      <c r="D38" s="116"/>
      <c r="E38" s="116"/>
      <c r="F38" s="116"/>
      <c r="G38" s="116"/>
      <c r="H38" s="113"/>
      <c r="I38" s="111"/>
      <c r="J38" s="111"/>
    </row>
    <row r="39" spans="1:11" ht="24" x14ac:dyDescent="0.25">
      <c r="A39" s="102" t="s">
        <v>87</v>
      </c>
      <c r="B39" s="94" t="s">
        <v>88</v>
      </c>
      <c r="C39" s="100" t="s">
        <v>89</v>
      </c>
      <c r="D39" s="116">
        <f>416.85*K6</f>
        <v>385.06612260088514</v>
      </c>
      <c r="E39" s="116">
        <v>1</v>
      </c>
      <c r="F39" s="127"/>
      <c r="G39" s="116">
        <f>E39</f>
        <v>1</v>
      </c>
      <c r="H39" s="113">
        <f t="shared" si="1"/>
        <v>385.06612260088514</v>
      </c>
      <c r="I39" s="113">
        <f>F39*D39</f>
        <v>0</v>
      </c>
      <c r="J39" s="113">
        <f>G39*D39</f>
        <v>385.06612260088514</v>
      </c>
      <c r="K39" s="109"/>
    </row>
    <row r="40" spans="1:11" ht="24" x14ac:dyDescent="0.25">
      <c r="A40" s="102" t="s">
        <v>90</v>
      </c>
      <c r="B40" s="94" t="s">
        <v>91</v>
      </c>
      <c r="C40" s="100" t="s">
        <v>89</v>
      </c>
      <c r="D40" s="116">
        <f>99.39*K6</f>
        <v>91.811735457123604</v>
      </c>
      <c r="E40" s="116">
        <v>2</v>
      </c>
      <c r="F40" s="127"/>
      <c r="G40" s="116">
        <f>E40</f>
        <v>2</v>
      </c>
      <c r="H40" s="113">
        <f t="shared" si="1"/>
        <v>183.62347091424721</v>
      </c>
      <c r="I40" s="113">
        <f>F40*D40</f>
        <v>0</v>
      </c>
      <c r="J40" s="113">
        <f>G40*D40</f>
        <v>183.62347091424721</v>
      </c>
    </row>
    <row r="41" spans="1:11" ht="24" x14ac:dyDescent="0.25">
      <c r="A41" s="102" t="s">
        <v>92</v>
      </c>
      <c r="B41" s="94" t="s">
        <v>93</v>
      </c>
      <c r="C41" s="100" t="s">
        <v>89</v>
      </c>
      <c r="D41" s="116">
        <f>111.03*K6</f>
        <v>102.56421156861288</v>
      </c>
      <c r="E41" s="116">
        <v>5</v>
      </c>
      <c r="F41" s="127"/>
      <c r="G41" s="116">
        <f>E41</f>
        <v>5</v>
      </c>
      <c r="H41" s="113">
        <f t="shared" si="1"/>
        <v>512.82105784306441</v>
      </c>
      <c r="I41" s="113">
        <f>F41*D41</f>
        <v>0</v>
      </c>
      <c r="J41" s="113">
        <f>G41*D41</f>
        <v>512.82105784306441</v>
      </c>
    </row>
    <row r="42" spans="1:11" ht="24" x14ac:dyDescent="0.25">
      <c r="A42" s="102" t="s">
        <v>94</v>
      </c>
      <c r="B42" s="94" t="s">
        <v>95</v>
      </c>
      <c r="C42" s="100" t="s">
        <v>89</v>
      </c>
      <c r="D42" s="116">
        <v>255.85165881436299</v>
      </c>
      <c r="E42" s="116">
        <v>18</v>
      </c>
      <c r="F42" s="127"/>
      <c r="G42" s="116">
        <f>E42</f>
        <v>18</v>
      </c>
      <c r="H42" s="113">
        <f t="shared" si="1"/>
        <v>4605.3298586585342</v>
      </c>
      <c r="I42" s="113">
        <f>F42*D42</f>
        <v>0</v>
      </c>
      <c r="J42" s="113">
        <f>G42*D42</f>
        <v>4605.3298586585342</v>
      </c>
    </row>
    <row r="43" spans="1:11" x14ac:dyDescent="0.25">
      <c r="A43" s="66" t="s">
        <v>96</v>
      </c>
      <c r="B43" s="39" t="s">
        <v>97</v>
      </c>
      <c r="C43" s="37"/>
      <c r="D43" s="116"/>
      <c r="E43" s="116"/>
      <c r="F43" s="116"/>
      <c r="G43" s="116"/>
      <c r="H43" s="111">
        <f>H44</f>
        <v>1030.9404000000002</v>
      </c>
      <c r="I43" s="111">
        <f>I44</f>
        <v>1030.9404000000002</v>
      </c>
      <c r="J43" s="111">
        <f>J44</f>
        <v>1030.9404000000002</v>
      </c>
    </row>
    <row r="44" spans="1:11" x14ac:dyDescent="0.25">
      <c r="A44" s="68" t="s">
        <v>98</v>
      </c>
      <c r="B44" s="67" t="s">
        <v>99</v>
      </c>
      <c r="C44" s="37" t="s">
        <v>29</v>
      </c>
      <c r="D44" s="112">
        <v>1.97</v>
      </c>
      <c r="E44" s="116">
        <v>523.32000000000005</v>
      </c>
      <c r="F44" s="116">
        <v>523.32000000000005</v>
      </c>
      <c r="G44" s="116">
        <v>523.32000000000005</v>
      </c>
      <c r="H44" s="113">
        <f t="shared" si="1"/>
        <v>1030.9404000000002</v>
      </c>
      <c r="I44" s="113">
        <f>F44*D44</f>
        <v>1030.9404000000002</v>
      </c>
      <c r="J44" s="113">
        <f>G44*D44</f>
        <v>1030.9404000000002</v>
      </c>
      <c r="K44" s="109"/>
    </row>
    <row r="45" spans="1:11" ht="8.25" customHeight="1" x14ac:dyDescent="0.25">
      <c r="A45" s="40"/>
      <c r="B45" s="38"/>
      <c r="C45" s="37"/>
      <c r="D45" s="124"/>
      <c r="E45" s="124"/>
      <c r="F45" s="124"/>
      <c r="G45" s="124"/>
      <c r="H45" s="117"/>
      <c r="I45" s="113"/>
      <c r="J45" s="113"/>
      <c r="K45" s="2"/>
    </row>
    <row r="46" spans="1:11" x14ac:dyDescent="0.25">
      <c r="A46" s="40"/>
      <c r="B46" s="44" t="s">
        <v>100</v>
      </c>
      <c r="C46" s="37"/>
      <c r="D46" s="124"/>
      <c r="E46" s="124"/>
      <c r="F46" s="124"/>
      <c r="G46" s="124"/>
      <c r="H46" s="118">
        <f>H10+H18+H21+H24+H33+H43</f>
        <v>138012.36867</v>
      </c>
      <c r="I46" s="118">
        <f>I10+I18+I21+I24+I33+I43</f>
        <v>35080.059199999996</v>
      </c>
      <c r="J46" s="118">
        <f>J10+J18+J21+J24+J33+J43</f>
        <v>130034.74367000001</v>
      </c>
      <c r="K46" s="2"/>
    </row>
    <row r="47" spans="1:11" x14ac:dyDescent="0.25">
      <c r="A47" s="37"/>
      <c r="B47" s="36" t="s">
        <v>101</v>
      </c>
      <c r="C47" s="37"/>
      <c r="D47" s="130"/>
      <c r="E47" s="131"/>
      <c r="F47" s="132"/>
      <c r="G47" s="119"/>
      <c r="H47" s="111">
        <f>H46*0.1921-0.01</f>
        <v>26512.166021507001</v>
      </c>
      <c r="I47" s="111">
        <f>I46*0.1921-0.02</f>
        <v>6738.8593723199983</v>
      </c>
      <c r="J47" s="111">
        <f>J46*0.1921-0.01</f>
        <v>24979.664259007004</v>
      </c>
      <c r="K47" s="2"/>
    </row>
    <row r="48" spans="1:11" ht="9.75" customHeight="1" x14ac:dyDescent="0.25">
      <c r="A48" s="46"/>
      <c r="B48" s="47"/>
      <c r="C48" s="48"/>
      <c r="D48" s="133"/>
      <c r="E48" s="133"/>
      <c r="F48" s="134"/>
      <c r="G48" s="120"/>
      <c r="H48" s="121"/>
      <c r="I48" s="22"/>
      <c r="J48" s="24"/>
      <c r="K48" s="2"/>
    </row>
    <row r="49" spans="1:11" x14ac:dyDescent="0.25">
      <c r="A49" s="49" t="s">
        <v>102</v>
      </c>
      <c r="B49" s="50"/>
      <c r="C49" s="51"/>
      <c r="D49" s="135"/>
      <c r="E49" s="136"/>
      <c r="F49" s="136"/>
      <c r="G49" s="122"/>
      <c r="H49" s="123">
        <f>H46+H47</f>
        <v>164524.534691507</v>
      </c>
      <c r="I49" s="123">
        <f>I46+I47</f>
        <v>41818.918572319992</v>
      </c>
      <c r="J49" s="123">
        <f>J46+J47</f>
        <v>155014.40792900702</v>
      </c>
      <c r="K49" s="108"/>
    </row>
    <row r="50" spans="1:11" x14ac:dyDescent="0.25">
      <c r="A50" s="52" t="s">
        <v>112</v>
      </c>
      <c r="B50" s="53"/>
      <c r="C50" s="54"/>
      <c r="D50" s="55"/>
      <c r="E50" s="56"/>
      <c r="F50" s="56"/>
      <c r="G50" s="17"/>
      <c r="H50" s="18"/>
      <c r="I50" s="18"/>
      <c r="J50" s="19"/>
      <c r="K50" s="2"/>
    </row>
    <row r="51" spans="1:11" x14ac:dyDescent="0.25">
      <c r="A51" s="57"/>
      <c r="B51" s="58"/>
      <c r="C51" s="59"/>
      <c r="D51" s="60"/>
      <c r="E51" s="61"/>
      <c r="F51" s="61"/>
      <c r="G51" s="11"/>
      <c r="H51" s="12"/>
      <c r="I51" s="12"/>
      <c r="J51" s="13"/>
      <c r="K51" s="2"/>
    </row>
    <row r="52" spans="1:11" ht="34.5" customHeight="1" x14ac:dyDescent="0.25">
      <c r="A52" s="105" t="s">
        <v>103</v>
      </c>
      <c r="B52" s="106"/>
      <c r="C52" s="106"/>
      <c r="D52" s="106"/>
      <c r="E52" s="106"/>
      <c r="F52" s="106"/>
      <c r="G52" s="106"/>
      <c r="H52" s="106"/>
      <c r="I52" s="106"/>
      <c r="J52" s="107"/>
      <c r="K52" s="2"/>
    </row>
    <row r="53" spans="1:11" ht="34.5" customHeight="1" x14ac:dyDescent="0.25">
      <c r="A53" s="105"/>
      <c r="B53" s="106"/>
      <c r="C53" s="106"/>
      <c r="D53" s="106"/>
      <c r="E53" s="106"/>
      <c r="F53" s="106"/>
      <c r="G53" s="106"/>
      <c r="H53" s="106"/>
      <c r="I53" s="106"/>
      <c r="J53" s="107"/>
      <c r="K53" s="2"/>
    </row>
    <row r="54" spans="1:11" ht="15.75" x14ac:dyDescent="0.25">
      <c r="A54" s="21"/>
      <c r="B54" s="8"/>
      <c r="C54" s="6"/>
      <c r="D54" s="42"/>
      <c r="E54" s="43"/>
      <c r="F54" s="41"/>
      <c r="G54" s="43"/>
      <c r="H54" s="4"/>
      <c r="I54" s="4"/>
      <c r="J54" s="20"/>
      <c r="K54" s="2"/>
    </row>
    <row r="55" spans="1:11" x14ac:dyDescent="0.25">
      <c r="A55" s="23"/>
      <c r="B55" s="9" t="s">
        <v>104</v>
      </c>
      <c r="C55" s="7"/>
      <c r="D55" s="14"/>
      <c r="E55" s="15"/>
      <c r="F55" s="16"/>
      <c r="G55" s="3"/>
      <c r="H55" s="10" t="s">
        <v>105</v>
      </c>
      <c r="I55" s="10"/>
      <c r="J55" s="5"/>
      <c r="K55" s="2"/>
    </row>
    <row r="57" spans="1:11" x14ac:dyDescent="0.25">
      <c r="J57">
        <f>30338.4+50448.14</f>
        <v>80786.540000000008</v>
      </c>
    </row>
    <row r="58" spans="1:11" x14ac:dyDescent="0.25">
      <c r="J58">
        <f>164524.53-J57</f>
        <v>83737.989999999991</v>
      </c>
    </row>
  </sheetData>
  <pageMargins left="0.23622047244094491" right="0.15748031496062992" top="0.39370078740157483" bottom="0.78740157480314965" header="0.39370078740157483" footer="0.78740157480314965"/>
  <pageSetup paperSize="9" scale="71" firstPageNumber="0" orientation="portrait" r:id="rId1"/>
  <headerFooter alignWithMargins="0">
    <oddHeader>&amp;C&amp;"Times New Roman,Normal"&amp;12&amp;A</oddHeader>
    <oddFooter>&amp;C&amp;"Times New Roman,Normal"&amp;12Página &amp;P</oddFooter>
  </headerFooter>
  <rowBreaks count="1" manualBreakCount="1">
    <brk id="37" max="65535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3"/>
  <sheetViews>
    <sheetView view="pageBreakPreview" zoomScale="60" zoomScaleNormal="80" workbookViewId="0">
      <selection activeCell="K11" sqref="K11"/>
    </sheetView>
  </sheetViews>
  <sheetFormatPr defaultRowHeight="15" x14ac:dyDescent="0.25"/>
  <cols>
    <col min="1" max="1" width="10.28515625" customWidth="1"/>
    <col min="2" max="2" width="9.5703125" customWidth="1"/>
  </cols>
  <sheetData>
    <row r="1" spans="1:11" x14ac:dyDescent="0.25">
      <c r="A1" s="146" t="s">
        <v>106</v>
      </c>
      <c r="B1" s="147"/>
      <c r="C1" s="147"/>
      <c r="D1" s="147"/>
      <c r="E1" s="147"/>
      <c r="F1" s="147"/>
      <c r="G1" s="147"/>
      <c r="H1" s="147"/>
      <c r="I1" s="147"/>
      <c r="J1" s="148"/>
    </row>
    <row r="2" spans="1:11" ht="15" customHeight="1" x14ac:dyDescent="0.25">
      <c r="A2" s="149" t="s">
        <v>1</v>
      </c>
      <c r="B2" s="137"/>
      <c r="C2" s="137"/>
      <c r="D2" s="137"/>
      <c r="E2" s="137"/>
      <c r="F2" s="137"/>
      <c r="G2" s="137"/>
      <c r="H2" s="137"/>
      <c r="I2" s="137"/>
      <c r="J2" s="150"/>
    </row>
    <row r="3" spans="1:11" x14ac:dyDescent="0.25">
      <c r="A3" s="151" t="s">
        <v>4</v>
      </c>
      <c r="B3" s="138"/>
      <c r="C3" s="138"/>
      <c r="D3" s="138"/>
      <c r="E3" s="138"/>
      <c r="F3" s="138"/>
      <c r="G3" s="138"/>
      <c r="H3" s="139"/>
      <c r="I3" s="138"/>
      <c r="J3" s="152"/>
    </row>
    <row r="4" spans="1:11" x14ac:dyDescent="0.25">
      <c r="A4" s="153" t="s">
        <v>6</v>
      </c>
      <c r="B4" s="140"/>
      <c r="C4" s="140"/>
      <c r="D4" s="140"/>
      <c r="E4" s="140"/>
      <c r="F4" s="138"/>
      <c r="G4" s="138"/>
      <c r="H4" s="138"/>
      <c r="I4" s="138"/>
      <c r="J4" s="154"/>
    </row>
    <row r="5" spans="1:11" x14ac:dyDescent="0.25">
      <c r="A5" s="151" t="s">
        <v>9</v>
      </c>
      <c r="B5" s="138"/>
      <c r="C5" s="138"/>
      <c r="D5" s="138"/>
      <c r="E5" s="138"/>
      <c r="F5" s="138"/>
      <c r="G5" s="138"/>
      <c r="H5" s="138"/>
      <c r="I5" s="138"/>
      <c r="J5" s="155"/>
    </row>
    <row r="6" spans="1:11" ht="23.25" customHeight="1" x14ac:dyDescent="0.25">
      <c r="A6" s="156" t="s">
        <v>11</v>
      </c>
      <c r="B6" s="141" t="s">
        <v>12</v>
      </c>
      <c r="C6" s="142"/>
      <c r="D6" s="142"/>
      <c r="E6" s="142"/>
      <c r="F6" s="142"/>
      <c r="G6" s="142"/>
      <c r="H6" s="142"/>
      <c r="I6" s="142"/>
      <c r="J6" s="157"/>
    </row>
    <row r="7" spans="1:11" x14ac:dyDescent="0.25">
      <c r="A7" s="158"/>
      <c r="B7" s="159"/>
      <c r="C7" s="159"/>
      <c r="D7" s="159"/>
      <c r="E7" s="159"/>
      <c r="F7" s="159"/>
      <c r="G7" s="159"/>
      <c r="H7" s="159"/>
      <c r="I7" s="159"/>
      <c r="J7" s="160"/>
    </row>
    <row r="8" spans="1:11" ht="21" customHeight="1" x14ac:dyDescent="0.25">
      <c r="A8" s="161" t="s">
        <v>43</v>
      </c>
      <c r="B8" s="162" t="s">
        <v>44</v>
      </c>
      <c r="C8" s="162"/>
      <c r="D8" s="162"/>
      <c r="E8" s="162"/>
      <c r="F8" s="162"/>
      <c r="G8" s="162"/>
      <c r="H8" s="162"/>
      <c r="I8" s="162"/>
      <c r="J8" s="163"/>
    </row>
    <row r="9" spans="1:11" x14ac:dyDescent="0.25">
      <c r="A9" s="164" t="s">
        <v>45</v>
      </c>
      <c r="B9" s="181" t="s">
        <v>46</v>
      </c>
      <c r="C9" s="181"/>
      <c r="D9" s="181"/>
      <c r="E9" s="181"/>
      <c r="F9" s="181"/>
      <c r="G9" s="181"/>
      <c r="H9" s="181"/>
      <c r="I9" s="181"/>
      <c r="J9" s="182"/>
    </row>
    <row r="10" spans="1:11" x14ac:dyDescent="0.25">
      <c r="A10" s="165" t="s">
        <v>107</v>
      </c>
      <c r="B10" s="166"/>
      <c r="C10" s="166"/>
      <c r="D10" s="166"/>
      <c r="E10" s="166"/>
      <c r="F10" s="166"/>
      <c r="G10" s="166"/>
      <c r="H10" s="166"/>
      <c r="I10" s="166"/>
      <c r="J10" s="167"/>
    </row>
    <row r="11" spans="1:11" x14ac:dyDescent="0.25">
      <c r="A11" s="165" t="s">
        <v>108</v>
      </c>
      <c r="B11" s="168">
        <f>14*6.6</f>
        <v>92.399999999999991</v>
      </c>
      <c r="C11" s="166" t="s">
        <v>29</v>
      </c>
      <c r="D11" s="159"/>
      <c r="E11" s="159"/>
      <c r="F11" s="159"/>
      <c r="G11" s="159"/>
      <c r="H11" s="159"/>
      <c r="I11" s="159"/>
      <c r="J11" s="160"/>
    </row>
    <row r="12" spans="1:11" x14ac:dyDescent="0.25">
      <c r="A12" s="158"/>
      <c r="B12" s="159"/>
      <c r="C12" s="159"/>
      <c r="D12" s="159"/>
      <c r="E12" s="159"/>
      <c r="F12" s="159"/>
      <c r="G12" s="159"/>
      <c r="H12" s="159"/>
      <c r="I12" s="159"/>
      <c r="J12" s="160"/>
    </row>
    <row r="13" spans="1:11" ht="24" customHeight="1" x14ac:dyDescent="0.25">
      <c r="A13" s="169" t="s">
        <v>48</v>
      </c>
      <c r="B13" s="170" t="s">
        <v>49</v>
      </c>
      <c r="C13" s="171"/>
      <c r="D13" s="171"/>
      <c r="E13" s="171"/>
      <c r="F13" s="171"/>
      <c r="G13" s="171"/>
      <c r="H13" s="171"/>
      <c r="I13" s="171"/>
      <c r="J13" s="172"/>
    </row>
    <row r="14" spans="1:11" ht="30.75" customHeight="1" x14ac:dyDescent="0.25">
      <c r="A14" s="173" t="s">
        <v>50</v>
      </c>
      <c r="B14" s="181" t="s">
        <v>51</v>
      </c>
      <c r="C14" s="181"/>
      <c r="D14" s="181"/>
      <c r="E14" s="181"/>
      <c r="F14" s="181"/>
      <c r="G14" s="181"/>
      <c r="H14" s="181"/>
      <c r="I14" s="181"/>
      <c r="J14" s="182"/>
      <c r="K14" s="143"/>
    </row>
    <row r="15" spans="1:11" x14ac:dyDescent="0.25">
      <c r="A15" s="158" t="s">
        <v>109</v>
      </c>
      <c r="B15" s="159"/>
      <c r="C15" s="159"/>
      <c r="D15" s="159"/>
      <c r="E15" s="159"/>
      <c r="F15" s="159"/>
      <c r="G15" s="159"/>
      <c r="H15" s="159"/>
      <c r="I15" s="159"/>
      <c r="J15" s="160"/>
    </row>
    <row r="16" spans="1:11" x14ac:dyDescent="0.25">
      <c r="A16" s="158" t="s">
        <v>108</v>
      </c>
      <c r="B16" s="168">
        <f>7.863*18.1</f>
        <v>142.32030000000003</v>
      </c>
      <c r="C16" s="159" t="s">
        <v>29</v>
      </c>
      <c r="D16" s="159"/>
      <c r="E16" s="159"/>
      <c r="F16" s="159"/>
      <c r="G16" s="159"/>
      <c r="H16" s="159"/>
      <c r="I16" s="159"/>
      <c r="J16" s="160"/>
    </row>
    <row r="17" spans="1:10" x14ac:dyDescent="0.25">
      <c r="A17" s="158"/>
      <c r="B17" s="159"/>
      <c r="C17" s="159"/>
      <c r="D17" s="159"/>
      <c r="E17" s="159"/>
      <c r="F17" s="159"/>
      <c r="G17" s="159"/>
      <c r="H17" s="159"/>
      <c r="I17" s="159"/>
      <c r="J17" s="160"/>
    </row>
    <row r="18" spans="1:10" x14ac:dyDescent="0.25">
      <c r="A18" s="174" t="s">
        <v>54</v>
      </c>
      <c r="B18" s="170" t="s">
        <v>55</v>
      </c>
      <c r="C18" s="171"/>
      <c r="D18" s="171"/>
      <c r="E18" s="171"/>
      <c r="F18" s="171"/>
      <c r="G18" s="171"/>
      <c r="H18" s="171"/>
      <c r="I18" s="171"/>
      <c r="J18" s="172"/>
    </row>
    <row r="19" spans="1:10" ht="39.75" customHeight="1" x14ac:dyDescent="0.25">
      <c r="A19" s="164" t="s">
        <v>56</v>
      </c>
      <c r="B19" s="183" t="s">
        <v>57</v>
      </c>
      <c r="C19" s="183"/>
      <c r="D19" s="183"/>
      <c r="E19" s="183"/>
      <c r="F19" s="183"/>
      <c r="G19" s="183"/>
      <c r="H19" s="183"/>
      <c r="I19" s="183"/>
      <c r="J19" s="184"/>
    </row>
    <row r="20" spans="1:10" x14ac:dyDescent="0.25">
      <c r="A20" s="158" t="s">
        <v>110</v>
      </c>
      <c r="B20" s="159"/>
      <c r="C20" s="159"/>
      <c r="D20" s="159"/>
      <c r="E20" s="159"/>
      <c r="F20" s="159"/>
      <c r="G20" s="159"/>
      <c r="H20" s="159"/>
      <c r="I20" s="159"/>
      <c r="J20" s="160"/>
    </row>
    <row r="21" spans="1:10" x14ac:dyDescent="0.25">
      <c r="A21" s="158" t="s">
        <v>108</v>
      </c>
      <c r="B21" s="168">
        <f>(90.6*2.52)*2+(51.7*1.35)*2</f>
        <v>596.21399999999994</v>
      </c>
      <c r="C21" s="159" t="s">
        <v>29</v>
      </c>
      <c r="D21" s="159"/>
      <c r="E21" s="159"/>
      <c r="F21" s="159"/>
      <c r="G21" s="159"/>
      <c r="H21" s="159"/>
      <c r="I21" s="159"/>
      <c r="J21" s="160"/>
    </row>
    <row r="22" spans="1:10" x14ac:dyDescent="0.25">
      <c r="A22" s="158"/>
      <c r="B22" s="159"/>
      <c r="C22" s="159"/>
      <c r="D22" s="159"/>
      <c r="E22" s="159"/>
      <c r="F22" s="159"/>
      <c r="G22" s="159"/>
      <c r="H22" s="159"/>
      <c r="I22" s="159"/>
      <c r="J22" s="160"/>
    </row>
    <row r="23" spans="1:10" x14ac:dyDescent="0.25">
      <c r="A23" s="173" t="s">
        <v>58</v>
      </c>
      <c r="B23" s="179" t="s">
        <v>111</v>
      </c>
      <c r="C23" s="179"/>
      <c r="D23" s="179"/>
      <c r="E23" s="179"/>
      <c r="F23" s="179"/>
      <c r="G23" s="179"/>
      <c r="H23" s="179"/>
      <c r="I23" s="179"/>
      <c r="J23" s="180"/>
    </row>
    <row r="24" spans="1:10" x14ac:dyDescent="0.25">
      <c r="A24" s="158" t="s">
        <v>110</v>
      </c>
      <c r="B24" s="159"/>
      <c r="C24" s="159"/>
      <c r="D24" s="159"/>
      <c r="E24" s="159"/>
      <c r="F24" s="159"/>
      <c r="G24" s="159"/>
      <c r="H24" s="159"/>
      <c r="I24" s="159"/>
      <c r="J24" s="160"/>
    </row>
    <row r="25" spans="1:10" x14ac:dyDescent="0.25">
      <c r="A25" s="158" t="s">
        <v>108</v>
      </c>
      <c r="B25" s="168">
        <f>(90.6*2.52)*2+(51.7*1.35)*2</f>
        <v>596.21399999999994</v>
      </c>
      <c r="C25" s="159" t="s">
        <v>29</v>
      </c>
      <c r="D25" s="159"/>
      <c r="E25" s="159"/>
      <c r="F25" s="159"/>
      <c r="G25" s="159"/>
      <c r="H25" s="159"/>
      <c r="I25" s="159"/>
      <c r="J25" s="160"/>
    </row>
    <row r="26" spans="1:10" x14ac:dyDescent="0.25">
      <c r="A26" s="158"/>
      <c r="B26" s="159"/>
      <c r="C26" s="159"/>
      <c r="D26" s="159"/>
      <c r="E26" s="159"/>
      <c r="F26" s="159"/>
      <c r="G26" s="159"/>
      <c r="H26" s="159"/>
      <c r="I26" s="159"/>
      <c r="J26" s="160"/>
    </row>
    <row r="27" spans="1:10" ht="24" customHeight="1" x14ac:dyDescent="0.25">
      <c r="A27" s="173" t="s">
        <v>60</v>
      </c>
      <c r="B27" s="179" t="s">
        <v>61</v>
      </c>
      <c r="C27" s="179"/>
      <c r="D27" s="179"/>
      <c r="E27" s="179"/>
      <c r="F27" s="179"/>
      <c r="G27" s="179"/>
      <c r="H27" s="179"/>
      <c r="I27" s="179"/>
      <c r="J27" s="180"/>
    </row>
    <row r="28" spans="1:10" x14ac:dyDescent="0.25">
      <c r="A28" s="158" t="s">
        <v>110</v>
      </c>
      <c r="B28" s="159"/>
      <c r="C28" s="159"/>
      <c r="D28" s="159"/>
      <c r="E28" s="159"/>
      <c r="F28" s="159"/>
      <c r="G28" s="159"/>
      <c r="H28" s="159"/>
      <c r="I28" s="159"/>
      <c r="J28" s="160"/>
    </row>
    <row r="29" spans="1:10" x14ac:dyDescent="0.25">
      <c r="A29" s="158" t="s">
        <v>108</v>
      </c>
      <c r="B29" s="168">
        <f>(90.6*2.52)*2+(51.7*1.35)*2</f>
        <v>596.21399999999994</v>
      </c>
      <c r="C29" s="159" t="s">
        <v>29</v>
      </c>
      <c r="D29" s="159"/>
      <c r="E29" s="159"/>
      <c r="F29" s="159"/>
      <c r="G29" s="159"/>
      <c r="H29" s="159"/>
      <c r="I29" s="159"/>
      <c r="J29" s="160"/>
    </row>
    <row r="30" spans="1:10" x14ac:dyDescent="0.25">
      <c r="A30" s="158"/>
      <c r="B30" s="159"/>
      <c r="C30" s="159"/>
      <c r="D30" s="159"/>
      <c r="E30" s="159"/>
      <c r="F30" s="159"/>
      <c r="G30" s="159"/>
      <c r="H30" s="159"/>
      <c r="I30" s="159"/>
      <c r="J30" s="160"/>
    </row>
    <row r="31" spans="1:10" ht="30" customHeight="1" x14ac:dyDescent="0.25">
      <c r="A31" s="173" t="s">
        <v>62</v>
      </c>
      <c r="B31" s="179" t="s">
        <v>63</v>
      </c>
      <c r="C31" s="179"/>
      <c r="D31" s="179"/>
      <c r="E31" s="179"/>
      <c r="F31" s="179"/>
      <c r="G31" s="179"/>
      <c r="H31" s="179"/>
      <c r="I31" s="179"/>
      <c r="J31" s="180"/>
    </row>
    <row r="32" spans="1:10" x14ac:dyDescent="0.25">
      <c r="A32" s="158" t="s">
        <v>110</v>
      </c>
      <c r="B32" s="159"/>
      <c r="C32" s="159"/>
      <c r="D32" s="159"/>
      <c r="E32" s="159"/>
      <c r="F32" s="159"/>
      <c r="G32" s="159"/>
      <c r="H32" s="159"/>
      <c r="I32" s="159"/>
      <c r="J32" s="160"/>
    </row>
    <row r="33" spans="1:10" ht="15.75" thickBot="1" x14ac:dyDescent="0.3">
      <c r="A33" s="175" t="s">
        <v>108</v>
      </c>
      <c r="B33" s="176">
        <f>(90.6*2.52)*2+(51.7*1.35)*2</f>
        <v>596.21399999999994</v>
      </c>
      <c r="C33" s="177" t="s">
        <v>29</v>
      </c>
      <c r="D33" s="177"/>
      <c r="E33" s="177"/>
      <c r="F33" s="177"/>
      <c r="G33" s="177"/>
      <c r="H33" s="177"/>
      <c r="I33" s="177"/>
      <c r="J33" s="178"/>
    </row>
  </sheetData>
  <mergeCells count="6">
    <mergeCell ref="B31:J31"/>
    <mergeCell ref="B9:J9"/>
    <mergeCell ref="B14:J14"/>
    <mergeCell ref="B19:J19"/>
    <mergeCell ref="B23:J23"/>
    <mergeCell ref="B27:J27"/>
  </mergeCells>
  <pageMargins left="0.511811024" right="0.511811024" top="0.78740157499999996" bottom="0.78740157499999996" header="0.31496062000000002" footer="0.31496062000000002"/>
  <pageSetup paperSize="9" scale="9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2</vt:i4>
      </vt:variant>
    </vt:vector>
  </HeadingPairs>
  <TitlesOfParts>
    <vt:vector size="4" baseType="lpstr">
      <vt:lpstr>BM 03</vt:lpstr>
      <vt:lpstr>MEMORIAL DE CÁLCULO</vt:lpstr>
      <vt:lpstr>'BM 03'!Area_de_impressao</vt:lpstr>
      <vt:lpstr>'BM 03'!Titulos_de_impressao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WDconstruções</dc:creator>
  <cp:lastModifiedBy>Joelma Ferreira</cp:lastModifiedBy>
  <cp:lastPrinted>2022-07-15T18:08:08Z</cp:lastPrinted>
  <dcterms:created xsi:type="dcterms:W3CDTF">2022-07-15T17:56:38Z</dcterms:created>
  <dcterms:modified xsi:type="dcterms:W3CDTF">2022-12-07T13:34:26Z</dcterms:modified>
</cp:coreProperties>
</file>