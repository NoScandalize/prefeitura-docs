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2020\TP 04 2020 - Logradouro\BMs e Relatório Fotográfico\"/>
    </mc:Choice>
  </mc:AlternateContent>
  <xr:revisionPtr revIDLastSave="0" documentId="13_ncr:1_{CA73FE76-B336-4240-B19D-BA2B939A3AB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OLETIM DE MEDIÇÃO_001" sheetId="2" r:id="rId1"/>
  </sheets>
  <definedNames>
    <definedName name="_xlnm.Print_Area" localSheetId="0">'BOLETIM DE MEDIÇÃO_001'!$A$1:$M$146</definedName>
    <definedName name="_xlnm.Print_Titles" localSheetId="0">'BOLETIM DE MEDIÇÃO_001'!$1:$9</definedName>
  </definedNames>
  <calcPr calcId="181029"/>
</workbook>
</file>

<file path=xl/calcChain.xml><?xml version="1.0" encoding="utf-8"?>
<calcChain xmlns="http://schemas.openxmlformats.org/spreadsheetml/2006/main">
  <c r="K29" i="2" l="1"/>
  <c r="J29" i="2"/>
  <c r="L18" i="2"/>
  <c r="K18" i="2"/>
  <c r="J18" i="2"/>
  <c r="K19" i="2"/>
  <c r="J19" i="2"/>
  <c r="L19" i="2"/>
  <c r="G81" i="2" l="1"/>
  <c r="G80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89" i="2"/>
  <c r="G65" i="2"/>
  <c r="G66" i="2"/>
  <c r="G67" i="2"/>
  <c r="G68" i="2"/>
  <c r="G69" i="2"/>
  <c r="G70" i="2"/>
  <c r="G64" i="2"/>
  <c r="G39" i="2"/>
  <c r="G40" i="2"/>
  <c r="G41" i="2"/>
  <c r="G42" i="2"/>
  <c r="G38" i="2"/>
  <c r="J63" i="2" l="1"/>
  <c r="J113" i="2"/>
  <c r="F140" i="2" s="1"/>
  <c r="J119" i="2"/>
  <c r="M121" i="2"/>
  <c r="M122" i="2"/>
  <c r="M123" i="2"/>
  <c r="M124" i="2"/>
  <c r="M125" i="2"/>
  <c r="M126" i="2"/>
  <c r="M127" i="2"/>
  <c r="M128" i="2"/>
  <c r="L121" i="2"/>
  <c r="L122" i="2"/>
  <c r="L123" i="2"/>
  <c r="L124" i="2"/>
  <c r="L125" i="2"/>
  <c r="L126" i="2"/>
  <c r="L127" i="2"/>
  <c r="L128" i="2"/>
  <c r="K121" i="2"/>
  <c r="K122" i="2"/>
  <c r="K123" i="2"/>
  <c r="K124" i="2"/>
  <c r="K125" i="2"/>
  <c r="K126" i="2"/>
  <c r="K127" i="2"/>
  <c r="K128" i="2"/>
  <c r="J121" i="2"/>
  <c r="J122" i="2"/>
  <c r="J123" i="2"/>
  <c r="J124" i="2"/>
  <c r="J125" i="2"/>
  <c r="J126" i="2"/>
  <c r="J127" i="2"/>
  <c r="J128" i="2"/>
  <c r="H121" i="2"/>
  <c r="H122" i="2"/>
  <c r="H123" i="2"/>
  <c r="H124" i="2"/>
  <c r="H125" i="2"/>
  <c r="H126" i="2"/>
  <c r="H127" i="2"/>
  <c r="H128" i="2"/>
  <c r="M115" i="2"/>
  <c r="M116" i="2"/>
  <c r="M117" i="2"/>
  <c r="L115" i="2"/>
  <c r="L116" i="2"/>
  <c r="L117" i="2"/>
  <c r="K115" i="2"/>
  <c r="K116" i="2"/>
  <c r="K117" i="2"/>
  <c r="J115" i="2"/>
  <c r="J116" i="2"/>
  <c r="J117" i="2"/>
  <c r="H115" i="2"/>
  <c r="H116" i="2"/>
  <c r="H117" i="2"/>
  <c r="M110" i="2"/>
  <c r="M111" i="2"/>
  <c r="L110" i="2"/>
  <c r="L111" i="2"/>
  <c r="K110" i="2"/>
  <c r="K111" i="2"/>
  <c r="J110" i="2"/>
  <c r="J111" i="2"/>
  <c r="H110" i="2"/>
  <c r="H111" i="2"/>
  <c r="L90" i="2"/>
  <c r="M90" i="2" s="1"/>
  <c r="L91" i="2"/>
  <c r="M91" i="2" s="1"/>
  <c r="L93" i="2"/>
  <c r="M93" i="2" s="1"/>
  <c r="L94" i="2"/>
  <c r="M94" i="2" s="1"/>
  <c r="L95" i="2"/>
  <c r="M95" i="2" s="1"/>
  <c r="L97" i="2"/>
  <c r="M97" i="2" s="1"/>
  <c r="L98" i="2"/>
  <c r="M98" i="2" s="1"/>
  <c r="L99" i="2"/>
  <c r="M99" i="2" s="1"/>
  <c r="L101" i="2"/>
  <c r="M101" i="2" s="1"/>
  <c r="L102" i="2"/>
  <c r="M102" i="2" s="1"/>
  <c r="L103" i="2"/>
  <c r="M103" i="2" s="1"/>
  <c r="L105" i="2"/>
  <c r="M105" i="2" s="1"/>
  <c r="L106" i="2"/>
  <c r="M106" i="2" s="1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H90" i="2"/>
  <c r="H91" i="2"/>
  <c r="H92" i="2"/>
  <c r="L92" i="2" s="1"/>
  <c r="M92" i="2" s="1"/>
  <c r="H93" i="2"/>
  <c r="H94" i="2"/>
  <c r="H95" i="2"/>
  <c r="H96" i="2"/>
  <c r="L96" i="2" s="1"/>
  <c r="M96" i="2" s="1"/>
  <c r="H97" i="2"/>
  <c r="H98" i="2"/>
  <c r="H99" i="2"/>
  <c r="H100" i="2"/>
  <c r="L100" i="2" s="1"/>
  <c r="M100" i="2" s="1"/>
  <c r="H101" i="2"/>
  <c r="H102" i="2"/>
  <c r="H103" i="2"/>
  <c r="H104" i="2"/>
  <c r="L104" i="2" s="1"/>
  <c r="M104" i="2" s="1"/>
  <c r="H105" i="2"/>
  <c r="H106" i="2"/>
  <c r="M86" i="2"/>
  <c r="L86" i="2"/>
  <c r="K86" i="2"/>
  <c r="J86" i="2"/>
  <c r="H86" i="2"/>
  <c r="K81" i="2"/>
  <c r="K82" i="2"/>
  <c r="H81" i="2"/>
  <c r="L81" i="2" s="1"/>
  <c r="M81" i="2" s="1"/>
  <c r="H82" i="2"/>
  <c r="L82" i="2" s="1"/>
  <c r="M82" i="2" s="1"/>
  <c r="J81" i="2"/>
  <c r="J82" i="2"/>
  <c r="M73" i="2"/>
  <c r="M74" i="2"/>
  <c r="M75" i="2"/>
  <c r="M76" i="2"/>
  <c r="M77" i="2"/>
  <c r="L73" i="2"/>
  <c r="L74" i="2"/>
  <c r="L75" i="2"/>
  <c r="L76" i="2"/>
  <c r="L77" i="2"/>
  <c r="K73" i="2"/>
  <c r="K74" i="2"/>
  <c r="K75" i="2"/>
  <c r="K76" i="2"/>
  <c r="K77" i="2"/>
  <c r="J77" i="2"/>
  <c r="J76" i="2"/>
  <c r="J75" i="2"/>
  <c r="J74" i="2"/>
  <c r="J73" i="2"/>
  <c r="H77" i="2"/>
  <c r="H76" i="2"/>
  <c r="H75" i="2"/>
  <c r="H74" i="2"/>
  <c r="H73" i="2"/>
  <c r="J65" i="2"/>
  <c r="J66" i="2"/>
  <c r="J67" i="2"/>
  <c r="J68" i="2"/>
  <c r="J69" i="2"/>
  <c r="L65" i="2"/>
  <c r="M65" i="2" s="1"/>
  <c r="L69" i="2"/>
  <c r="M69" i="2" s="1"/>
  <c r="K65" i="2"/>
  <c r="K66" i="2"/>
  <c r="K67" i="2"/>
  <c r="K68" i="2"/>
  <c r="K69" i="2"/>
  <c r="H65" i="2"/>
  <c r="H66" i="2"/>
  <c r="L66" i="2" s="1"/>
  <c r="M66" i="2" s="1"/>
  <c r="H67" i="2"/>
  <c r="L67" i="2" s="1"/>
  <c r="M67" i="2" s="1"/>
  <c r="H68" i="2"/>
  <c r="L68" i="2" s="1"/>
  <c r="H69" i="2"/>
  <c r="K56" i="2"/>
  <c r="K57" i="2"/>
  <c r="K58" i="2"/>
  <c r="J56" i="2"/>
  <c r="J57" i="2"/>
  <c r="J58" i="2"/>
  <c r="H56" i="2"/>
  <c r="L56" i="2" s="1"/>
  <c r="M56" i="2" s="1"/>
  <c r="H57" i="2"/>
  <c r="L57" i="2" s="1"/>
  <c r="M57" i="2" s="1"/>
  <c r="H58" i="2"/>
  <c r="L58" i="2" s="1"/>
  <c r="M58" i="2" s="1"/>
  <c r="K48" i="2"/>
  <c r="K49" i="2"/>
  <c r="J48" i="2"/>
  <c r="J49" i="2"/>
  <c r="H48" i="2"/>
  <c r="L48" i="2" s="1"/>
  <c r="M48" i="2" s="1"/>
  <c r="H49" i="2"/>
  <c r="L49" i="2" s="1"/>
  <c r="M49" i="2" s="1"/>
  <c r="K39" i="2"/>
  <c r="K40" i="2"/>
  <c r="K41" i="2"/>
  <c r="J39" i="2"/>
  <c r="J40" i="2"/>
  <c r="J41" i="2"/>
  <c r="H39" i="2"/>
  <c r="L39" i="2" s="1"/>
  <c r="M39" i="2" s="1"/>
  <c r="H40" i="2"/>
  <c r="L40" i="2" s="1"/>
  <c r="M40" i="2" s="1"/>
  <c r="H41" i="2"/>
  <c r="L41" i="2" s="1"/>
  <c r="M41" i="2" s="1"/>
  <c r="H30" i="2"/>
  <c r="H31" i="2"/>
  <c r="L31" i="2" s="1"/>
  <c r="M31" i="2" s="1"/>
  <c r="H32" i="2"/>
  <c r="L32" i="2" s="1"/>
  <c r="M32" i="2" s="1"/>
  <c r="M30" i="2"/>
  <c r="L30" i="2"/>
  <c r="K30" i="2"/>
  <c r="K31" i="2"/>
  <c r="K32" i="2"/>
  <c r="J30" i="2"/>
  <c r="J31" i="2"/>
  <c r="J32" i="2"/>
  <c r="J20" i="2"/>
  <c r="J21" i="2"/>
  <c r="J22" i="2"/>
  <c r="J23" i="2"/>
  <c r="J24" i="2"/>
  <c r="J25" i="2"/>
  <c r="J26" i="2"/>
  <c r="J27" i="2"/>
  <c r="K20" i="2"/>
  <c r="K21" i="2"/>
  <c r="K22" i="2"/>
  <c r="K23" i="2"/>
  <c r="K24" i="2"/>
  <c r="K25" i="2"/>
  <c r="K26" i="2"/>
  <c r="K27" i="2"/>
  <c r="K12" i="2"/>
  <c r="K13" i="2"/>
  <c r="K14" i="2"/>
  <c r="K15" i="2"/>
  <c r="K16" i="2"/>
  <c r="J12" i="2"/>
  <c r="J13" i="2"/>
  <c r="J14" i="2"/>
  <c r="J15" i="2"/>
  <c r="J16" i="2"/>
  <c r="K133" i="2"/>
  <c r="K132" i="2" s="1"/>
  <c r="J133" i="2"/>
  <c r="J132" i="2" s="1"/>
  <c r="H133" i="2"/>
  <c r="L133" i="2" s="1"/>
  <c r="M133" i="2" s="1"/>
  <c r="K131" i="2"/>
  <c r="J131" i="2"/>
  <c r="H131" i="2"/>
  <c r="L131" i="2" s="1"/>
  <c r="K129" i="2"/>
  <c r="J129" i="2"/>
  <c r="H129" i="2"/>
  <c r="L129" i="2" s="1"/>
  <c r="K120" i="2"/>
  <c r="J120" i="2"/>
  <c r="H120" i="2"/>
  <c r="L120" i="2" s="1"/>
  <c r="K118" i="2"/>
  <c r="J118" i="2"/>
  <c r="H118" i="2"/>
  <c r="L118" i="2" s="1"/>
  <c r="K114" i="2"/>
  <c r="K113" i="2" s="1"/>
  <c r="J114" i="2"/>
  <c r="H114" i="2"/>
  <c r="L114" i="2" s="1"/>
  <c r="M114" i="2" s="1"/>
  <c r="K112" i="2"/>
  <c r="J112" i="2"/>
  <c r="H112" i="2"/>
  <c r="L112" i="2" s="1"/>
  <c r="K109" i="2"/>
  <c r="J109" i="2"/>
  <c r="H109" i="2"/>
  <c r="L109" i="2" s="1"/>
  <c r="K107" i="2"/>
  <c r="J107" i="2"/>
  <c r="H107" i="2"/>
  <c r="L107" i="2" s="1"/>
  <c r="K89" i="2"/>
  <c r="J89" i="2"/>
  <c r="H89" i="2"/>
  <c r="L89" i="2" s="1"/>
  <c r="K87" i="2"/>
  <c r="J87" i="2"/>
  <c r="H87" i="2"/>
  <c r="L87" i="2" s="1"/>
  <c r="K85" i="2"/>
  <c r="J85" i="2"/>
  <c r="H85" i="2"/>
  <c r="L85" i="2" s="1"/>
  <c r="M85" i="2" s="1"/>
  <c r="K83" i="2"/>
  <c r="J83" i="2"/>
  <c r="H83" i="2"/>
  <c r="L83" i="2" s="1"/>
  <c r="K80" i="2"/>
  <c r="J80" i="2"/>
  <c r="H80" i="2"/>
  <c r="L80" i="2" s="1"/>
  <c r="K78" i="2"/>
  <c r="J78" i="2"/>
  <c r="H78" i="2"/>
  <c r="L78" i="2" s="1"/>
  <c r="K72" i="2"/>
  <c r="J72" i="2"/>
  <c r="H72" i="2"/>
  <c r="L72" i="2" s="1"/>
  <c r="K70" i="2"/>
  <c r="J70" i="2"/>
  <c r="H70" i="2"/>
  <c r="L70" i="2" s="1"/>
  <c r="K64" i="2"/>
  <c r="J64" i="2"/>
  <c r="H64" i="2"/>
  <c r="L64" i="2" s="1"/>
  <c r="K62" i="2"/>
  <c r="J62" i="2"/>
  <c r="H62" i="2"/>
  <c r="L62" i="2" s="1"/>
  <c r="K61" i="2"/>
  <c r="J61" i="2"/>
  <c r="H61" i="2"/>
  <c r="L61" i="2" s="1"/>
  <c r="K59" i="2"/>
  <c r="J59" i="2"/>
  <c r="H59" i="2"/>
  <c r="L59" i="2" s="1"/>
  <c r="K55" i="2"/>
  <c r="J55" i="2"/>
  <c r="H55" i="2"/>
  <c r="L55" i="2" s="1"/>
  <c r="K53" i="2"/>
  <c r="J53" i="2"/>
  <c r="H53" i="2"/>
  <c r="L53" i="2" s="1"/>
  <c r="K52" i="2"/>
  <c r="J52" i="2"/>
  <c r="H52" i="2"/>
  <c r="L52" i="2" s="1"/>
  <c r="K50" i="2"/>
  <c r="J50" i="2"/>
  <c r="H50" i="2"/>
  <c r="L50" i="2" s="1"/>
  <c r="K47" i="2"/>
  <c r="J47" i="2"/>
  <c r="H47" i="2"/>
  <c r="L47" i="2" s="1"/>
  <c r="K45" i="2"/>
  <c r="J45" i="2"/>
  <c r="H45" i="2"/>
  <c r="L45" i="2" s="1"/>
  <c r="K44" i="2"/>
  <c r="J44" i="2"/>
  <c r="H44" i="2"/>
  <c r="L44" i="2" s="1"/>
  <c r="K42" i="2"/>
  <c r="J42" i="2"/>
  <c r="H42" i="2"/>
  <c r="L42" i="2" s="1"/>
  <c r="K38" i="2"/>
  <c r="J38" i="2"/>
  <c r="H38" i="2"/>
  <c r="L38" i="2" s="1"/>
  <c r="K36" i="2"/>
  <c r="J36" i="2"/>
  <c r="H36" i="2"/>
  <c r="L36" i="2" s="1"/>
  <c r="K35" i="2"/>
  <c r="J35" i="2"/>
  <c r="H35" i="2"/>
  <c r="L35" i="2" s="1"/>
  <c r="H20" i="2"/>
  <c r="L20" i="2" s="1"/>
  <c r="M20" i="2" s="1"/>
  <c r="H21" i="2"/>
  <c r="L21" i="2" s="1"/>
  <c r="M21" i="2" s="1"/>
  <c r="H22" i="2"/>
  <c r="L22" i="2" s="1"/>
  <c r="M22" i="2" s="1"/>
  <c r="H23" i="2"/>
  <c r="L23" i="2" s="1"/>
  <c r="M23" i="2" s="1"/>
  <c r="H24" i="2"/>
  <c r="L24" i="2" s="1"/>
  <c r="M24" i="2" s="1"/>
  <c r="H25" i="2"/>
  <c r="L25" i="2" s="1"/>
  <c r="M25" i="2" s="1"/>
  <c r="H26" i="2"/>
  <c r="L26" i="2" s="1"/>
  <c r="M26" i="2" s="1"/>
  <c r="H27" i="2"/>
  <c r="L27" i="2" s="1"/>
  <c r="M27" i="2" s="1"/>
  <c r="H12" i="2"/>
  <c r="L12" i="2" s="1"/>
  <c r="M12" i="2" s="1"/>
  <c r="H13" i="2"/>
  <c r="L13" i="2" s="1"/>
  <c r="M13" i="2" s="1"/>
  <c r="H14" i="2"/>
  <c r="L14" i="2" s="1"/>
  <c r="M14" i="2" s="1"/>
  <c r="H15" i="2"/>
  <c r="L15" i="2" s="1"/>
  <c r="M15" i="2" s="1"/>
  <c r="H16" i="2"/>
  <c r="L16" i="2" s="1"/>
  <c r="M16" i="2" s="1"/>
  <c r="M68" i="2" l="1"/>
  <c r="L88" i="2"/>
  <c r="K88" i="2"/>
  <c r="K108" i="2"/>
  <c r="M131" i="2"/>
  <c r="K130" i="2"/>
  <c r="K60" i="2"/>
  <c r="K71" i="2"/>
  <c r="K84" i="2"/>
  <c r="K119" i="2"/>
  <c r="M129" i="2"/>
  <c r="J130" i="2"/>
  <c r="M109" i="2"/>
  <c r="M107" i="2"/>
  <c r="M89" i="2"/>
  <c r="L132" i="2"/>
  <c r="M132" i="2" s="1"/>
  <c r="L130" i="2"/>
  <c r="M130" i="2" s="1"/>
  <c r="M120" i="2"/>
  <c r="L119" i="2"/>
  <c r="K79" i="2"/>
  <c r="J88" i="2"/>
  <c r="J108" i="2"/>
  <c r="J84" i="2"/>
  <c r="M118" i="2"/>
  <c r="L113" i="2"/>
  <c r="M112" i="2"/>
  <c r="L108" i="2"/>
  <c r="M53" i="2"/>
  <c r="J54" i="2"/>
  <c r="J79" i="2"/>
  <c r="M72" i="2"/>
  <c r="M83" i="2"/>
  <c r="K37" i="2"/>
  <c r="M70" i="2"/>
  <c r="K43" i="2"/>
  <c r="L43" i="2"/>
  <c r="K54" i="2"/>
  <c r="M59" i="2"/>
  <c r="M61" i="2"/>
  <c r="K63" i="2"/>
  <c r="M36" i="2"/>
  <c r="M47" i="2"/>
  <c r="K51" i="2"/>
  <c r="M52" i="2"/>
  <c r="L51" i="2"/>
  <c r="K34" i="2"/>
  <c r="J46" i="2"/>
  <c r="J37" i="2"/>
  <c r="K46" i="2"/>
  <c r="J51" i="2"/>
  <c r="J60" i="2"/>
  <c r="J71" i="2"/>
  <c r="M87" i="2"/>
  <c r="L84" i="2"/>
  <c r="M80" i="2"/>
  <c r="L79" i="2"/>
  <c r="M78" i="2"/>
  <c r="L71" i="2"/>
  <c r="L63" i="2"/>
  <c r="M64" i="2"/>
  <c r="L54" i="2"/>
  <c r="M55" i="2"/>
  <c r="M62" i="2"/>
  <c r="L60" i="2"/>
  <c r="M50" i="2"/>
  <c r="L46" i="2"/>
  <c r="J43" i="2"/>
  <c r="M44" i="2"/>
  <c r="M45" i="2"/>
  <c r="M38" i="2"/>
  <c r="M42" i="2"/>
  <c r="L37" i="2"/>
  <c r="M35" i="2"/>
  <c r="L34" i="2"/>
  <c r="J34" i="2"/>
  <c r="H29" i="2"/>
  <c r="L29" i="2" s="1"/>
  <c r="K17" i="2"/>
  <c r="J17" i="2"/>
  <c r="H17" i="2"/>
  <c r="L17" i="2" s="1"/>
  <c r="M88" i="2" l="1"/>
  <c r="M84" i="2"/>
  <c r="M119" i="2"/>
  <c r="M71" i="2"/>
  <c r="M54" i="2"/>
  <c r="M113" i="2"/>
  <c r="M108" i="2"/>
  <c r="M79" i="2"/>
  <c r="M63" i="2"/>
  <c r="M51" i="2"/>
  <c r="M43" i="2"/>
  <c r="M37" i="2"/>
  <c r="M46" i="2"/>
  <c r="M34" i="2"/>
  <c r="M60" i="2"/>
  <c r="M29" i="2"/>
  <c r="M17" i="2"/>
  <c r="J33" i="2"/>
  <c r="J28" i="2" s="1"/>
  <c r="K33" i="2" l="1"/>
  <c r="K28" i="2" s="1"/>
  <c r="H33" i="2"/>
  <c r="L33" i="2" s="1"/>
  <c r="L28" i="2" s="1"/>
  <c r="H19" i="2" l="1"/>
  <c r="H11" i="2"/>
  <c r="L11" i="2" s="1"/>
  <c r="L10" i="2" s="1"/>
  <c r="K11" i="2"/>
  <c r="K10" i="2" s="1"/>
  <c r="G140" i="2" l="1"/>
  <c r="H140" i="2"/>
  <c r="M33" i="2"/>
  <c r="J11" i="2" l="1"/>
  <c r="J10" i="2" s="1"/>
  <c r="M11" i="2" l="1"/>
  <c r="M28" i="2"/>
  <c r="M10" i="2" l="1"/>
  <c r="M19" i="2"/>
  <c r="G141" i="2" l="1"/>
  <c r="J6" i="2" s="1"/>
  <c r="M18" i="2" l="1"/>
  <c r="F141" i="2"/>
  <c r="I142" i="2" s="1"/>
  <c r="H141" i="2"/>
  <c r="F143" i="2" s="1"/>
  <c r="I140" i="2"/>
  <c r="I141" i="2" l="1"/>
  <c r="I143" i="2"/>
</calcChain>
</file>

<file path=xl/sharedStrings.xml><?xml version="1.0" encoding="utf-8"?>
<sst xmlns="http://schemas.openxmlformats.org/spreadsheetml/2006/main" count="512" uniqueCount="285">
  <si>
    <t>SINAPI</t>
  </si>
  <si>
    <t>m²</t>
  </si>
  <si>
    <t>1.1</t>
  </si>
  <si>
    <t>1.2</t>
  </si>
  <si>
    <t>2.1</t>
  </si>
  <si>
    <t>ITEM</t>
  </si>
  <si>
    <t>CÓDIGO</t>
  </si>
  <si>
    <t>BANCO</t>
  </si>
  <si>
    <t>DESCRIÇÃO</t>
  </si>
  <si>
    <t>UND</t>
  </si>
  <si>
    <t>PREÇO UNIT C/ BDI</t>
  </si>
  <si>
    <t>VALORES (R$)</t>
  </si>
  <si>
    <t>LICITADO</t>
  </si>
  <si>
    <t>MEDIDO NO PERÍODO</t>
  </si>
  <si>
    <t>ACUMULADO INCLUINDO O PERÍODO</t>
  </si>
  <si>
    <t>QUANTIDADES</t>
  </si>
  <si>
    <t>LICITADA</t>
  </si>
  <si>
    <t>MEDIDA NO PERÍODO</t>
  </si>
  <si>
    <t>ACUMULADA INCLUINDO O PERÍODO</t>
  </si>
  <si>
    <t>%</t>
  </si>
  <si>
    <t>OBRA:</t>
  </si>
  <si>
    <t>1.0</t>
  </si>
  <si>
    <t>2.0</t>
  </si>
  <si>
    <t>RESUMO</t>
  </si>
  <si>
    <t>TOTAL GERAL(R$)</t>
  </si>
  <si>
    <t>DEDUÇÃO DAS MEDIÇÕES ANTERIORES(R$)</t>
  </si>
  <si>
    <t>TOTAL DESTA MEDIÇÃO(R$)</t>
  </si>
  <si>
    <t xml:space="preserve">VALOR: </t>
  </si>
  <si>
    <t>BOLETIM DE MEDIÇÃO</t>
  </si>
  <si>
    <t>CONSTRUTORA:</t>
  </si>
  <si>
    <t>VALOR DO BM</t>
  </si>
  <si>
    <t>DATA DE EMISSÃO</t>
  </si>
  <si>
    <t>MUN. COREMAS-PB</t>
  </si>
  <si>
    <t>MUTUÁRIO:</t>
  </si>
  <si>
    <t>LOCALIZAÇÃO:</t>
  </si>
  <si>
    <t>COREMAS - PB</t>
  </si>
  <si>
    <t>ACUMULADO</t>
  </si>
  <si>
    <t>3.0</t>
  </si>
  <si>
    <t>3.2</t>
  </si>
  <si>
    <t>SERVIÇOS PRELIMINARES</t>
  </si>
  <si>
    <t>PAVIMENTAÇÃO</t>
  </si>
  <si>
    <t>3.1</t>
  </si>
  <si>
    <t>m</t>
  </si>
  <si>
    <t>74209/001</t>
  </si>
  <si>
    <t>OBRA</t>
  </si>
  <si>
    <t>OBRAPLAN EMPRESA DE LIMPEZA E CONSERVAÇÃO URBANA LTDA</t>
  </si>
  <si>
    <t>REFORMA DA ESCOLA DO LOGRADOURO</t>
  </si>
  <si>
    <t>Demolição de alvenaria de bloco furado, de forma manual, sem reaproveitamento. af_12/2017</t>
  </si>
  <si>
    <t>Remoção de portas, de forma manual, sem reaproveitamento. af_12/2017</t>
  </si>
  <si>
    <t>1.3</t>
  </si>
  <si>
    <t>Remoção de louças, de forma manual, sem reaproveitamento.</t>
  </si>
  <si>
    <t>un</t>
  </si>
  <si>
    <t>1.4</t>
  </si>
  <si>
    <t>CPU</t>
  </si>
  <si>
    <t>Demolição de piso cimentado</t>
  </si>
  <si>
    <t>1.5</t>
  </si>
  <si>
    <t>Demolição de revestimento cerâmico, de forma manual, sem reaproveitamento. af_12/2017 - Cozinha e WC</t>
  </si>
  <si>
    <t>1.6</t>
  </si>
  <si>
    <t>Carga manual de entulho em caminhão basculante 6 m³.</t>
  </si>
  <si>
    <t>m³</t>
  </si>
  <si>
    <t>1.7</t>
  </si>
  <si>
    <t>Transporte com caminhão basculante de 6 m3, em via urbana pavimentada dmt até 30 km (unidade: m3xkm). af_01/2018 - material excedente(bota-fora)</t>
  </si>
  <si>
    <t>m3 x km</t>
  </si>
  <si>
    <t>Execução de passeio (calçada) ou piso de concreto com concreto, espessura de 5 cm moldado in loco, feito em obra, acabamento convencional, não armado. af_07/2016</t>
  </si>
  <si>
    <t>2.2</t>
  </si>
  <si>
    <t>Chapisco aplicado em alvenaria (sem presença de vãos) e estruturas de concreto de fachada, com colher de pedreiro.  argamassa traço 1:3 com preparo em betoneira 400l. af_06/2014</t>
  </si>
  <si>
    <t>2.3</t>
  </si>
  <si>
    <t>Emboço ou massa única em argamassa traço 1:2:8, preparo manual, aplicada manualmente em panos de fachada com presença de vãos, espessura de 25 mm. af_06/2014</t>
  </si>
  <si>
    <t>2.4</t>
  </si>
  <si>
    <t>Aplicação e lixamento de massa látex em paredes, duas demãos</t>
  </si>
  <si>
    <t>2.5</t>
  </si>
  <si>
    <t>Aplicação de fundo selador acrílico em paredes, uma demão. af_06/2014</t>
  </si>
  <si>
    <t>2.6</t>
  </si>
  <si>
    <t>Aplicação manual de pintura com tinta látex acrílica em paredes, duas demãos. af_06/2014</t>
  </si>
  <si>
    <t>2.7</t>
  </si>
  <si>
    <t>Revestimento cerâmico para paredes internas com placas tipo esmaltadaextra de dimensões 33x45 cm aplicadas em ambientes de área menor que 5 m² na altura inteira das paredes. af_06/2014 - WCs</t>
  </si>
  <si>
    <t>2.8</t>
  </si>
  <si>
    <t>Revestimento cerâmico para paredes internas com placas tipo esmaltadaextra de dimensões 33x45 cm aplicadas em ambientes de área maior que 5 m² na altura inteira das paredes. af_06/2014 - Cozinha/Serviço</t>
  </si>
  <si>
    <t>2.9</t>
  </si>
  <si>
    <t>Revestimento cerâmico para piso com placas tipo grês de dimensões 35x35 cm aplicada em ambientes de área maior que 10 m²</t>
  </si>
  <si>
    <t>m2</t>
  </si>
  <si>
    <t>REVESTIMENTOS - PISOS E PAREDES</t>
  </si>
  <si>
    <t>DEMOLIÇÕES E RETIRADAS</t>
  </si>
  <si>
    <t>COBERTA</t>
  </si>
  <si>
    <t>Aplicação e lixamento de massa látex em teto, duas demãos.</t>
  </si>
  <si>
    <t xml:space="preserve">Aplicação de fundo selador látex pva em teto, uma demão. af_06/2014 </t>
  </si>
  <si>
    <t>3.3</t>
  </si>
  <si>
    <t>Aplicação manual de pintura com tinta látex pva em teto, duas demãos.af_06/2014</t>
  </si>
  <si>
    <t>3.4</t>
  </si>
  <si>
    <t>Trama de madeira composta por ripas, caibros e terças para telhados demais que 2 águas para telha cerâmica capa-canal, incluso transporte v
ertical. af_07/2019</t>
  </si>
  <si>
    <t>Telhamento com telha cerâmica capa-canal, tipo plan, com até 2 águas,incluso transporte vertical. af_07/2019</t>
  </si>
  <si>
    <t>4.0</t>
  </si>
  <si>
    <t>ESQUADRIAS</t>
  </si>
  <si>
    <t>4.1</t>
  </si>
  <si>
    <t>73739/001</t>
  </si>
  <si>
    <t>Pintura esmalte acetinado em madeira, duas demaos</t>
  </si>
  <si>
    <t>4.2</t>
  </si>
  <si>
    <t>73924/002</t>
  </si>
  <si>
    <t>Pintura esmalte acetinado, duas demaos, sobre superficie metalica</t>
  </si>
  <si>
    <t>5.0</t>
  </si>
  <si>
    <t>INSTALAÇÕES HIDROSANITÁRIAS</t>
  </si>
  <si>
    <t>5.1</t>
  </si>
  <si>
    <t>Vaso sanitário sifonado com caixa acoplada louça branca, incluso engate flexível em plástico branco, 1/2  x 40cm - fornecimento e instalação
. af_12/2013</t>
  </si>
  <si>
    <t>5.2</t>
  </si>
  <si>
    <t>Lavatório louça branca suspenso, 29,5 x 39cm ou equivalente, padrão popular, incluso sifão flexível em pvc, válvula e engate flexível 30cm em plástico e torneira cromada de mesa, padrão popular - fornecimento e instalação. af_12/2013</t>
  </si>
  <si>
    <t>5.3</t>
  </si>
  <si>
    <t>I 007608</t>
  </si>
  <si>
    <t>Chuveiro plastico branco simples 5 '' para acoplar em haste 1/2 ", agua fria</t>
  </si>
  <si>
    <t>5.4</t>
  </si>
  <si>
    <t>Papeleira de parede em metal cromado sem tampa, incluso fixação</t>
  </si>
  <si>
    <t>5.5</t>
  </si>
  <si>
    <t>Saboneteira plastica tipo dispenser para sabonete liquido</t>
  </si>
  <si>
    <t>6.0</t>
  </si>
  <si>
    <t>SERVIÇOS FINAIS</t>
  </si>
  <si>
    <t>6.1</t>
  </si>
  <si>
    <t>83696/001</t>
  </si>
  <si>
    <t>Pintura de alvenaria com cal.</t>
  </si>
  <si>
    <t>6.2</t>
  </si>
  <si>
    <t>Limpeza final da obra</t>
  </si>
  <si>
    <t>7.0</t>
  </si>
  <si>
    <t>7.1</t>
  </si>
  <si>
    <t>73859/002</t>
  </si>
  <si>
    <t>Capina e limpeza manual de terreno.</t>
  </si>
  <si>
    <t>7.2</t>
  </si>
  <si>
    <t>Regularizacao de superficies em terra com motoniveladora</t>
  </si>
  <si>
    <t xml:space="preserve"> m²</t>
  </si>
  <si>
    <t>7.3</t>
  </si>
  <si>
    <t>Locação convencional de obra, através de gabarito de tábuas corridas pontaletadas a cada 1,50m, sem reaproveitamento</t>
  </si>
  <si>
    <t>7.4</t>
  </si>
  <si>
    <t>Placa indicativa de obra em chapa de aço galvanizado</t>
  </si>
  <si>
    <t>8.0</t>
  </si>
  <si>
    <t>MOVIMENTO DE TERRA</t>
  </si>
  <si>
    <t>8.1</t>
  </si>
  <si>
    <t>Escavação manual em campo aberto, em solo exceto rocha, até 2,00m de profunididade</t>
  </si>
  <si>
    <t>8.2</t>
  </si>
  <si>
    <t>Aterro apiloado (manual) em camadas de 20cm, com material de empréstimo</t>
  </si>
  <si>
    <t>9.0</t>
  </si>
  <si>
    <t>INFRAESTRUTURA</t>
  </si>
  <si>
    <t>9.1</t>
  </si>
  <si>
    <t>Concreto magro para lastro, traço 1:4,5:4,5 (cimento/ areia média/ brita 1)  - preparo mecânico com betoneira 400 l. af_07/2016</t>
  </si>
  <si>
    <t>m3</t>
  </si>
  <si>
    <t>9.2</t>
  </si>
  <si>
    <t>Lançamento com uso de baldes, adensamento e acabamento de concreto em estruturas. af_12/2015</t>
  </si>
  <si>
    <t>9.3</t>
  </si>
  <si>
    <t>Embasamento com pedra argamassada utilizando argamassa de cimento e areia no traço 1:4</t>
  </si>
  <si>
    <t>9.4</t>
  </si>
  <si>
    <t>Execução de estruturas de concreto armado, para edificação habitacional unifamiliar térrea (casa isolada), fck = 25 mpa. af_01/2017 - vigas baldrames e blocos</t>
  </si>
  <si>
    <t>9.5</t>
  </si>
  <si>
    <t>74106/001</t>
  </si>
  <si>
    <t>Impermeabilização de superfície com argamassa de cimento e areia média no traço 1:3, com aditivo impermeabilizante, e = 2cm, para funidação corrida</t>
  </si>
  <si>
    <t>10.0</t>
  </si>
  <si>
    <t>PAREDES E PAINÉIS</t>
  </si>
  <si>
    <t>10.1</t>
  </si>
  <si>
    <t>Alvenaria de vedação de blocos cerâmicos furados na horizontal de 9x19x19cm (espessura 9cm) de paredes com área líquida maior ou igual a 6m² sem vãos e argamassa de assentamento com preparo em betoneira</t>
  </si>
  <si>
    <t>10.2</t>
  </si>
  <si>
    <t>Execução de estruturas de concreto armado, para edificação habitacional unifamiliar térrea (casa isolada), fck = 25 mpa. af_01/2017 - Pilares e Vigas</t>
  </si>
  <si>
    <t>11.0</t>
  </si>
  <si>
    <t>11.1</t>
  </si>
  <si>
    <t>Laje pre-moldada trelicada (lajotas + vigotas) para até 100 kg/m² vaos até 6,00m/incl vigotas tijolos armadura negativa capeamento 3cm concreto 20mpa escoramento material e mao  de obra.</t>
  </si>
  <si>
    <t>11.2</t>
  </si>
  <si>
    <t>Estrutura de madeira de lei primeira qualidade, serrada, nao aparelhada, para telhas cerâmicas</t>
  </si>
  <si>
    <t>11.3</t>
  </si>
  <si>
    <t>Cobertura com telha cerâmica, com argamassa traço 1:3 de cimento e areia e arame recozido</t>
  </si>
  <si>
    <t>11.4</t>
  </si>
  <si>
    <t>74066/002</t>
  </si>
  <si>
    <t>Impermeabilizacao de superficie, com impermeabilizante flexivel a base acrilica.</t>
  </si>
  <si>
    <t>11.5</t>
  </si>
  <si>
    <t>Calha em chapa de aço galvanizado número 24, desenvolvimento de 100 cm, incluso transporte vertical. af_06/2016</t>
  </si>
  <si>
    <t>11.6</t>
  </si>
  <si>
    <t>Rufo em fibrocimento para telha ondulada e = 6 mm, aba de 26 cm, incluso transporte vertical. af_06/2016</t>
  </si>
  <si>
    <t>11.7</t>
  </si>
  <si>
    <t>Forro em placas de gesso, para ambientes comerciais. af_05/2017_p</t>
  </si>
  <si>
    <t>12.0</t>
  </si>
  <si>
    <t>12.1</t>
  </si>
  <si>
    <t>Kit de porta de madeira para pintura, semi-oca (leve ou média), padrão médio, 80x210cm, espessura de 3,5cm, itens inclusos: dobradiças, montagem e instalação do batente, fechadura com execução do furo - fornecimento e instalação. af_08/2015</t>
  </si>
  <si>
    <t>12.2</t>
  </si>
  <si>
    <t>Kit de porta de madeira para pintura, semi-oca (leve ou média), padrão médio, 70x210cm, espessura de 3,5cm, itens inclusos: dobradiças, montagem e instalação do batente, fechadura com execução do furo - fornecimento e instalação. af_08/2015</t>
  </si>
  <si>
    <t>12.3</t>
  </si>
  <si>
    <t>Verga moldada in loco com utilização de blocos canaleta para janelas com até 1,5 m de vão. af_03/2016</t>
  </si>
  <si>
    <t>12.4</t>
  </si>
  <si>
    <t>Contraverga moldada in loco com utilização de blocos canaleta para vãos de até 1,5 m de comprimento. af_03/2016</t>
  </si>
  <si>
    <t>12.5</t>
  </si>
  <si>
    <t>Verga moldada in loco com utilização de blocos canaleta para janelas com mais de 1,5 m de vão. af_03/2016</t>
  </si>
  <si>
    <t>12.6</t>
  </si>
  <si>
    <t>Contraverga moldada in loco com utilização de blocos canaleta para vãos de mais de 1,5 m de comprimento. af_03/2016</t>
  </si>
  <si>
    <t>12.7</t>
  </si>
  <si>
    <t>Janela de alumínio maxim-ar, fixação com argamassa, com vidros, padronizada. af_07/2016 - WC</t>
  </si>
  <si>
    <t>13.0</t>
  </si>
  <si>
    <t>REVESTIMENTO</t>
  </si>
  <si>
    <t>13.1</t>
  </si>
  <si>
    <t>Chapisco aplicado tanto em pilares e vigas de concreto como em alvenarias de paredes internas, com colher de pedreiro, argamassa traço 1:3 com preparo manual</t>
  </si>
  <si>
    <t>13.2</t>
  </si>
  <si>
    <t>Emboço, para recebimento de cerâmica, em argamassa traço 1:2:8, preparo manual com betoneira 400L, aplicado manualmente em faces internas de paredes de ambientes, espessura de 20mm, com execução de taliscas</t>
  </si>
  <si>
    <t>13.3</t>
  </si>
  <si>
    <t>Revestimento cerâmico para paredes internas com placas tipo grês ou semi-grês de dimensões 25x35 cm aplicadas em ambientes de área maior que 5m² na altura inteira das paredes</t>
  </si>
  <si>
    <t>13.4</t>
  </si>
  <si>
    <t>Massa única, para recebimento de pintura ou cerâmica, preparo manual em argamassa no traço 1:2:8, aplicado manualmente, em faces internas de paredes de ambientes com área maior que 10m2, espessura 10mm, sem taliscas</t>
  </si>
  <si>
    <t>14.0</t>
  </si>
  <si>
    <t>14.1</t>
  </si>
  <si>
    <t>Contrapiso em argamassa traço 1:4 (cim e areia), em betoneira 400 l, espessura 4 cm áreas secas e areas molhadas sobre laje e 3 cm áreas molhadas sobre impermeabilização, para edificação habitacional unifamiliar(casa) e edificação pública padrão. af_11/2014</t>
  </si>
  <si>
    <t>14.2</t>
  </si>
  <si>
    <t>14.3</t>
  </si>
  <si>
    <t>Rodapé cerâmico de 7cm de altura com placas tipo esmaltada comercial de dimensões 35x35cm (padrao popular). af_06/2017</t>
  </si>
  <si>
    <t>15.0</t>
  </si>
  <si>
    <t>INSTALAÇÃO HIDROSSANITÁRIA</t>
  </si>
  <si>
    <t>15.1.1</t>
  </si>
  <si>
    <t>Tubo em PVC soldável água fria Ø 20mm, fornecimento e instalações</t>
  </si>
  <si>
    <t>15.1.2</t>
  </si>
  <si>
    <t>Joelho 90 graus, ppr, dn 20 mm, classe pn 20, instalado em ramal ou sub-ramal de água fornecimento e instalação . af_06/2015</t>
  </si>
  <si>
    <t>unid</t>
  </si>
  <si>
    <t>15.1.3</t>
  </si>
  <si>
    <t>Tê com bucha de latão na bolsa central, pvc, soldável, dn 20mm x 1/2,instalado em ramal ou sub-ramal de água - fornecimento e instalação.
af_12/2014</t>
  </si>
  <si>
    <t>15.1.4</t>
  </si>
  <si>
    <t>Joelho 90 graus, pvc, soldável, dn 20mm, instalado em ramal de distribuição de água - fornecimento e instalação. af_12/2014</t>
  </si>
  <si>
    <t>15.2.1</t>
  </si>
  <si>
    <t>Tubo PVC esgoto Ø 100mm, inclusive conexões (rede externa)</t>
  </si>
  <si>
    <t>15.2.2</t>
  </si>
  <si>
    <t>Tubo PVC esgoto Ø 50mm, inclusive conexões (rede interna)</t>
  </si>
  <si>
    <t>15.2.3</t>
  </si>
  <si>
    <t>Tubo PVC esgoto Ø 40mm, inclusive conexões (rede interna)</t>
  </si>
  <si>
    <t>15.2.4</t>
  </si>
  <si>
    <t>Ralo sifonado PVC dn 100x40mm, junta soldável</t>
  </si>
  <si>
    <t>15.2.5</t>
  </si>
  <si>
    <t>Luva simples, pvc, serie normal, esgoto predial, dn 100 mm, junta elástica, fornecido e instalado em ramal de descarga ou ramal de esgoto sanitário. af_12/2014</t>
  </si>
  <si>
    <t>15.2.6</t>
  </si>
  <si>
    <t>Luva simples, pvc, serie normal, esgoto predial, dn 50 mm, junta elástica, fornecido e instalado em prumada de esgoto sanitário ou ventilação. af_12/2014</t>
  </si>
  <si>
    <t>15.2.7</t>
  </si>
  <si>
    <t>Composição</t>
  </si>
  <si>
    <t xml:space="preserve">Joelho 90 graus, pvc, serie normal, esgoto predial, dn 40 mm, junta elástica, fornecido e instalado em prumada de esgoto sanitário ou ventilação. </t>
  </si>
  <si>
    <t>15.2.8</t>
  </si>
  <si>
    <t>Joelho 45 graus, pvc, serie normal, esgoto predial, dn 50 mm, junta elástica, fornecido e instalado em prumada de esgoto sanitário ou ventilação. af_12/2014</t>
  </si>
  <si>
    <t>15.2.9</t>
  </si>
  <si>
    <t>Joelho 45 graus, pvc, serie normal, esgoto predial, dn 40 mm, junta elástica, fornecido e instalado em prumada de esgoto sanitário ou ventilação. af_12/2014</t>
  </si>
  <si>
    <t>15.2.10</t>
  </si>
  <si>
    <t>Junção simples, pvc, serie normal, esgoto predial, dn 100 x 100 mm, junta elástica, fornecido e instalado em prumada de esgoto sanitário ou ventilação. af_12/2014</t>
  </si>
  <si>
    <t>15.2.11</t>
  </si>
  <si>
    <t>Junção simples, pvc, serie normal, esgoto predial, dn 100 x 50 mm, junta elástica, fornecido e instalado em ramal de descarga ou ramal de esgoto sanitário. af_12/2014</t>
  </si>
  <si>
    <t>15.2.12</t>
  </si>
  <si>
    <t xml:space="preserve">Tê de redução, pvc, serie normal, esgoto predial, dn 100 x 50 mm, junta elástica, fornecido e instalado em ramal de descarga ou ramal de esgoto sanitário. </t>
  </si>
  <si>
    <t>15.2.13</t>
  </si>
  <si>
    <t>Insumo 39319</t>
  </si>
  <si>
    <t>Terminal de ventilacao, 50 mm, serie normal, esgoto predial</t>
  </si>
  <si>
    <t>15.3.1</t>
  </si>
  <si>
    <t>Vaso sanitário sifonado com caixa acoplada, louça branca, padrão médio, incluso engate flexível em metal cromado, 1/2" x 40cm</t>
  </si>
  <si>
    <t>15.3.2</t>
  </si>
  <si>
    <t>16.0</t>
  </si>
  <si>
    <t>INSTALAÇÃO ELÉTRICA</t>
  </si>
  <si>
    <t>16.1</t>
  </si>
  <si>
    <t>Ponto de iluminação residencial incluindo interruptor simples, caixa elétrica, eletroduto, cabo, rasgo, quebra e chumbamento (excluindo luminária e lâmpada). af_01/2016</t>
  </si>
  <si>
    <t>16.2</t>
  </si>
  <si>
    <t>Ponto de tomada residencial incluindo tomada 10a/250v, caixa elétrica, eletroduto, cabo, rasgo, quebra e chumbamento. af_01/2016</t>
  </si>
  <si>
    <t>16.3</t>
  </si>
  <si>
    <t>Ponto de tomada residencial incluindo tomada (2 módulos) 10a/250v, caixa elétrica, eletroduto, cabo, rasgo, quebra e chumbamento. af_01/2016</t>
  </si>
  <si>
    <t>16.4</t>
  </si>
  <si>
    <t>Luminária completa de embutir tipo calha 2x 40w c/ reator/lamp. fluoresc.</t>
  </si>
  <si>
    <t>17.0</t>
  </si>
  <si>
    <t>PINTURA</t>
  </si>
  <si>
    <t>17.1</t>
  </si>
  <si>
    <t>Pintura esmalte acetinado em esquadria de madeira, 2 demãos</t>
  </si>
  <si>
    <t>17.2</t>
  </si>
  <si>
    <t>17.3</t>
  </si>
  <si>
    <t>17.4</t>
  </si>
  <si>
    <t>17.5</t>
  </si>
  <si>
    <t>18.0</t>
  </si>
  <si>
    <t>ÁREA DE RECREAÇÃO</t>
  </si>
  <si>
    <t>18.1</t>
  </si>
  <si>
    <t>18.2</t>
  </si>
  <si>
    <t>18.3</t>
  </si>
  <si>
    <t>Execução de passeio em piso intertravado, com bloco 16 faces (na coloração natural) de (22 x 11) cm, espessura de 6cm. AF_12/2015.</t>
  </si>
  <si>
    <t>18.4</t>
  </si>
  <si>
    <t>18.5</t>
  </si>
  <si>
    <t>18.6</t>
  </si>
  <si>
    <t>Fabricação e instalação de tesoura inteira em madeira não aparelhada,vão de 10 m, para telha cerâmica ou de concreto, incluso içamento. af_
07/2019</t>
  </si>
  <si>
    <t>18.7</t>
  </si>
  <si>
    <t>18.8</t>
  </si>
  <si>
    <t>18.9</t>
  </si>
  <si>
    <t>18.10</t>
  </si>
  <si>
    <t>19.0</t>
  </si>
  <si>
    <t>JARDINAGEM</t>
  </si>
  <si>
    <t>19.1</t>
  </si>
  <si>
    <t>Plantio de árvores ornamentais com porte de 100 a 200 cm em covas de 50 x 50 x 60</t>
  </si>
  <si>
    <t>20.0</t>
  </si>
  <si>
    <t>20.1</t>
  </si>
  <si>
    <t>02</t>
  </si>
  <si>
    <t>OITENTA MIL, DUZENTOS E VINTE E SEIS REAIS E CINQUENTA E OITO CENTAVOS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</si>
</sst>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R$&quot;\ #,##0.00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_(&quot;R$ &quot;* #,##0.00_);_(&quot;R$ &quot;* \(#,##0.00\);_(&quot;R$ &quot;* &quot;-&quot;??_);_(@_)"/>
    <numFmt numFmtId="168" formatCode="_(* #,##0.00_);_(* \(#,##0.00\);_(* \-??_);_(@_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  <xf numFmtId="0" fontId="13" fillId="0" borderId="0"/>
    <xf numFmtId="43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0" fontId="11" fillId="0" borderId="0"/>
    <xf numFmtId="0" fontId="16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/>
    <xf numFmtId="43" fontId="11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8" fontId="16" fillId="0" borderId="0" applyFill="0" applyBorder="0" applyAlignment="0" applyProtection="0"/>
    <xf numFmtId="9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Border="1" applyAlignment="1">
      <alignment horizontal="left" wrapText="1"/>
    </xf>
    <xf numFmtId="4" fontId="3" fillId="0" borderId="0" xfId="0" applyNumberFormat="1" applyFont="1"/>
    <xf numFmtId="4" fontId="3" fillId="0" borderId="5" xfId="0" applyNumberFormat="1" applyFont="1" applyBorder="1"/>
    <xf numFmtId="4" fontId="5" fillId="0" borderId="1" xfId="0" applyNumberFormat="1" applyFont="1" applyBorder="1"/>
    <xf numFmtId="0" fontId="0" fillId="0" borderId="0" xfId="0" applyAlignment="1">
      <alignment horizontal="right"/>
    </xf>
    <xf numFmtId="4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right" vertical="top" wrapText="1"/>
    </xf>
    <xf numFmtId="4" fontId="7" fillId="0" borderId="0" xfId="0" applyNumberFormat="1" applyFont="1"/>
    <xf numFmtId="0" fontId="7" fillId="0" borderId="0" xfId="0" applyFont="1" applyAlignment="1">
      <alignment horizontal="right"/>
    </xf>
    <xf numFmtId="0" fontId="5" fillId="2" borderId="0" xfId="0" applyFont="1" applyFill="1" applyAlignment="1">
      <alignment horizontal="right" vertical="top" wrapText="1"/>
    </xf>
    <xf numFmtId="0" fontId="1" fillId="0" borderId="0" xfId="0" applyFont="1" applyAlignment="1">
      <alignment horizontal="right"/>
    </xf>
    <xf numFmtId="0" fontId="3" fillId="0" borderId="0" xfId="0" applyFont="1" applyBorder="1"/>
    <xf numFmtId="0" fontId="2" fillId="0" borderId="15" xfId="0" applyFont="1" applyBorder="1" applyAlignment="1">
      <alignment vertical="center"/>
    </xf>
    <xf numFmtId="10" fontId="3" fillId="0" borderId="16" xfId="2" applyNumberFormat="1" applyFont="1" applyBorder="1"/>
    <xf numFmtId="10" fontId="5" fillId="0" borderId="11" xfId="2" applyNumberFormat="1" applyFont="1" applyBorder="1"/>
    <xf numFmtId="10" fontId="5" fillId="0" borderId="14" xfId="2" applyNumberFormat="1" applyFont="1" applyBorder="1"/>
    <xf numFmtId="0" fontId="5" fillId="0" borderId="4" xfId="0" applyFont="1" applyBorder="1" applyAlignment="1"/>
    <xf numFmtId="43" fontId="6" fillId="0" borderId="3" xfId="1" applyFont="1" applyFill="1" applyBorder="1" applyAlignment="1">
      <alignment horizontal="center" vertical="center" wrapText="1"/>
    </xf>
    <xf numFmtId="0" fontId="1" fillId="0" borderId="0" xfId="0" applyFont="1"/>
    <xf numFmtId="0" fontId="6" fillId="6" borderId="9" xfId="3" applyFont="1" applyFill="1" applyBorder="1" applyAlignment="1">
      <alignment horizontal="center" vertical="center"/>
    </xf>
    <xf numFmtId="0" fontId="6" fillId="6" borderId="32" xfId="3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/>
    </xf>
    <xf numFmtId="0" fontId="6" fillId="3" borderId="9" xfId="3" applyFont="1" applyFill="1" applyBorder="1" applyAlignment="1">
      <alignment horizontal="center" vertical="center"/>
    </xf>
    <xf numFmtId="0" fontId="6" fillId="3" borderId="32" xfId="3" applyFont="1" applyFill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/>
    </xf>
    <xf numFmtId="43" fontId="14" fillId="3" borderId="38" xfId="1" applyFont="1" applyFill="1" applyBorder="1" applyAlignment="1">
      <alignment horizontal="center" vertical="center" wrapText="1"/>
    </xf>
    <xf numFmtId="43" fontId="6" fillId="3" borderId="38" xfId="1" applyFont="1" applyFill="1" applyBorder="1" applyAlignment="1">
      <alignment horizontal="center" vertical="center" wrapText="1"/>
    </xf>
    <xf numFmtId="43" fontId="14" fillId="0" borderId="35" xfId="1" applyFont="1" applyFill="1" applyBorder="1" applyAlignment="1">
      <alignment horizontal="center" vertical="center"/>
    </xf>
    <xf numFmtId="0" fontId="14" fillId="5" borderId="36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center" vertical="center" wrapText="1"/>
    </xf>
    <xf numFmtId="0" fontId="6" fillId="3" borderId="37" xfId="3" applyFont="1" applyFill="1" applyBorder="1" applyAlignment="1">
      <alignment horizontal="center" vertical="center"/>
    </xf>
    <xf numFmtId="0" fontId="14" fillId="5" borderId="35" xfId="3" applyFont="1" applyFill="1" applyBorder="1" applyAlignment="1">
      <alignment horizontal="center" vertical="center"/>
    </xf>
    <xf numFmtId="0" fontId="14" fillId="5" borderId="37" xfId="4" applyFont="1" applyFill="1" applyBorder="1" applyAlignment="1">
      <alignment horizontal="center" vertical="center"/>
    </xf>
    <xf numFmtId="0" fontId="6" fillId="3" borderId="36" xfId="3" applyFont="1" applyFill="1" applyBorder="1" applyAlignment="1">
      <alignment horizontal="center" vertical="center"/>
    </xf>
    <xf numFmtId="0" fontId="14" fillId="5" borderId="36" xfId="3" applyFont="1" applyFill="1" applyBorder="1" applyAlignment="1">
      <alignment horizontal="center" vertical="center"/>
    </xf>
    <xf numFmtId="0" fontId="14" fillId="5" borderId="37" xfId="3" applyFont="1" applyFill="1" applyBorder="1" applyAlignment="1">
      <alignment horizontal="center" vertical="center"/>
    </xf>
    <xf numFmtId="43" fontId="14" fillId="6" borderId="38" xfId="1" applyFont="1" applyFill="1" applyBorder="1" applyAlignment="1">
      <alignment horizontal="center" vertical="center" wrapText="1"/>
    </xf>
    <xf numFmtId="0" fontId="14" fillId="5" borderId="35" xfId="3" applyFont="1" applyFill="1" applyBorder="1" applyAlignment="1">
      <alignment horizontal="center" vertical="center" wrapText="1"/>
    </xf>
    <xf numFmtId="43" fontId="14" fillId="5" borderId="35" xfId="5" applyFont="1" applyFill="1" applyBorder="1" applyAlignment="1">
      <alignment horizontal="center" vertical="center"/>
    </xf>
    <xf numFmtId="0" fontId="6" fillId="3" borderId="35" xfId="3" applyFont="1" applyFill="1" applyBorder="1" applyAlignment="1">
      <alignment horizontal="center" vertical="center" wrapText="1"/>
    </xf>
    <xf numFmtId="43" fontId="6" fillId="3" borderId="35" xfId="5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 wrapText="1"/>
    </xf>
    <xf numFmtId="43" fontId="6" fillId="6" borderId="2" xfId="5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43" fontId="5" fillId="6" borderId="35" xfId="0" applyNumberFormat="1" applyFont="1" applyFill="1" applyBorder="1" applyAlignment="1">
      <alignment horizontal="center" vertical="center"/>
    </xf>
    <xf numFmtId="43" fontId="1" fillId="0" borderId="35" xfId="0" applyNumberFormat="1" applyFont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 wrapText="1"/>
    </xf>
    <xf numFmtId="43" fontId="14" fillId="3" borderId="2" xfId="5" applyFont="1" applyFill="1" applyBorder="1" applyAlignment="1">
      <alignment horizontal="center" vertical="center"/>
    </xf>
    <xf numFmtId="43" fontId="14" fillId="0" borderId="35" xfId="1" applyFont="1" applyBorder="1" applyAlignment="1">
      <alignment horizontal="center" vertical="center" wrapText="1"/>
    </xf>
    <xf numFmtId="43" fontId="14" fillId="0" borderId="35" xfId="1" applyFont="1" applyBorder="1" applyAlignment="1">
      <alignment horizontal="center" vertical="center"/>
    </xf>
    <xf numFmtId="10" fontId="6" fillId="3" borderId="33" xfId="88" applyNumberFormat="1" applyFont="1" applyFill="1" applyBorder="1" applyAlignment="1">
      <alignment horizontal="center" vertical="center"/>
    </xf>
    <xf numFmtId="43" fontId="14" fillId="0" borderId="2" xfId="1" applyFont="1" applyBorder="1" applyAlignment="1">
      <alignment horizontal="center" vertical="center"/>
    </xf>
    <xf numFmtId="10" fontId="14" fillId="0" borderId="33" xfId="88" applyNumberFormat="1" applyFont="1" applyBorder="1" applyAlignment="1">
      <alignment horizontal="center" vertical="center"/>
    </xf>
    <xf numFmtId="43" fontId="6" fillId="3" borderId="39" xfId="1" applyFont="1" applyFill="1" applyBorder="1" applyAlignment="1">
      <alignment horizontal="center" vertical="center" wrapText="1"/>
    </xf>
    <xf numFmtId="43" fontId="6" fillId="3" borderId="2" xfId="1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6" fillId="3" borderId="35" xfId="3" applyFont="1" applyFill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0" fontId="3" fillId="0" borderId="41" xfId="2" applyNumberFormat="1" applyFont="1" applyBorder="1" applyAlignment="1">
      <alignment vertical="center"/>
    </xf>
    <xf numFmtId="43" fontId="14" fillId="0" borderId="42" xfId="1" applyFont="1" applyBorder="1" applyAlignment="1">
      <alignment horizontal="center" vertical="center"/>
    </xf>
    <xf numFmtId="10" fontId="14" fillId="0" borderId="43" xfId="88" applyNumberFormat="1" applyFont="1" applyBorder="1" applyAlignment="1">
      <alignment horizontal="center" vertical="center"/>
    </xf>
    <xf numFmtId="43" fontId="14" fillId="0" borderId="38" xfId="1" applyFont="1" applyFill="1" applyBorder="1" applyAlignment="1">
      <alignment horizontal="center" vertical="center"/>
    </xf>
    <xf numFmtId="43" fontId="14" fillId="5" borderId="38" xfId="5" applyFont="1" applyFill="1" applyBorder="1" applyAlignment="1">
      <alignment horizontal="center" vertical="center" wrapText="1"/>
    </xf>
    <xf numFmtId="0" fontId="14" fillId="5" borderId="44" xfId="3" applyFont="1" applyFill="1" applyBorder="1" applyAlignment="1">
      <alignment horizontal="center" vertical="center"/>
    </xf>
    <xf numFmtId="0" fontId="14" fillId="5" borderId="45" xfId="3" applyFont="1" applyFill="1" applyBorder="1" applyAlignment="1">
      <alignment horizontal="center" vertical="center"/>
    </xf>
    <xf numFmtId="0" fontId="14" fillId="5" borderId="42" xfId="3" applyFont="1" applyFill="1" applyBorder="1" applyAlignment="1">
      <alignment horizontal="center" vertical="center" wrapText="1"/>
    </xf>
    <xf numFmtId="0" fontId="1" fillId="5" borderId="42" xfId="4" applyFont="1" applyFill="1" applyBorder="1" applyAlignment="1">
      <alignment horizontal="center" vertical="center"/>
    </xf>
    <xf numFmtId="43" fontId="14" fillId="5" borderId="42" xfId="5" applyFont="1" applyFill="1" applyBorder="1" applyAlignment="1">
      <alignment horizontal="center" vertical="center"/>
    </xf>
    <xf numFmtId="43" fontId="14" fillId="5" borderId="46" xfId="1" applyFont="1" applyFill="1" applyBorder="1" applyAlignment="1">
      <alignment horizontal="center" vertical="center" wrapText="1"/>
    </xf>
    <xf numFmtId="43" fontId="1" fillId="0" borderId="42" xfId="0" applyNumberFormat="1" applyFont="1" applyBorder="1" applyAlignment="1">
      <alignment horizontal="center" vertical="center"/>
    </xf>
    <xf numFmtId="43" fontId="14" fillId="0" borderId="42" xfId="1" applyFont="1" applyBorder="1" applyAlignment="1">
      <alignment horizontal="center" vertical="center" wrapText="1"/>
    </xf>
    <xf numFmtId="43" fontId="14" fillId="5" borderId="35" xfId="1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right" vertical="center"/>
    </xf>
    <xf numFmtId="43" fontId="14" fillId="5" borderId="42" xfId="5" applyFont="1" applyFill="1" applyBorder="1" applyAlignment="1">
      <alignment horizontal="right" vertical="center" wrapText="1"/>
    </xf>
    <xf numFmtId="0" fontId="14" fillId="5" borderId="45" xfId="3" applyFont="1" applyFill="1" applyBorder="1" applyAlignment="1">
      <alignment horizontal="center" vertical="center" wrapText="1"/>
    </xf>
    <xf numFmtId="0" fontId="14" fillId="5" borderId="9" xfId="3" applyFont="1" applyFill="1" applyBorder="1" applyAlignment="1">
      <alignment horizontal="center" vertical="center"/>
    </xf>
    <xf numFmtId="0" fontId="14" fillId="5" borderId="32" xfId="3" applyFont="1" applyFill="1" applyBorder="1" applyAlignment="1">
      <alignment horizontal="center" vertical="center"/>
    </xf>
    <xf numFmtId="0" fontId="14" fillId="5" borderId="2" xfId="3" applyFont="1" applyFill="1" applyBorder="1" applyAlignment="1">
      <alignment horizontal="center" vertical="center" wrapText="1"/>
    </xf>
    <xf numFmtId="0" fontId="14" fillId="5" borderId="2" xfId="3" applyFont="1" applyFill="1" applyBorder="1" applyAlignment="1">
      <alignment horizontal="center" vertical="center"/>
    </xf>
    <xf numFmtId="43" fontId="14" fillId="5" borderId="2" xfId="5" applyFont="1" applyFill="1" applyBorder="1" applyAlignment="1">
      <alignment horizontal="center" vertical="center"/>
    </xf>
    <xf numFmtId="43" fontId="14" fillId="5" borderId="38" xfId="5" applyFont="1" applyFill="1" applyBorder="1" applyAlignment="1">
      <alignment horizontal="center" vertical="center"/>
    </xf>
    <xf numFmtId="43" fontId="14" fillId="6" borderId="47" xfId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3" fontId="5" fillId="6" borderId="2" xfId="0" applyNumberFormat="1" applyFont="1" applyFill="1" applyBorder="1" applyAlignment="1">
      <alignment horizontal="center" vertical="center"/>
    </xf>
    <xf numFmtId="10" fontId="14" fillId="0" borderId="35" xfId="88" applyNumberFormat="1" applyFont="1" applyBorder="1" applyAlignment="1">
      <alignment horizontal="center" vertical="center"/>
    </xf>
    <xf numFmtId="0" fontId="1" fillId="5" borderId="35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right" vertical="center" wrapText="1"/>
    </xf>
    <xf numFmtId="43" fontId="3" fillId="0" borderId="0" xfId="0" applyNumberFormat="1" applyFont="1"/>
    <xf numFmtId="43" fontId="14" fillId="0" borderId="35" xfId="0" applyNumberFormat="1" applyFont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8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5" fillId="0" borderId="10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8" fillId="0" borderId="3" xfId="0" applyFont="1" applyFill="1" applyBorder="1" applyAlignment="1">
      <alignment horizontal="center"/>
    </xf>
    <xf numFmtId="4" fontId="5" fillId="0" borderId="6" xfId="0" applyNumberFormat="1" applyFont="1" applyBorder="1" applyAlignment="1">
      <alignment horizontal="right"/>
    </xf>
    <xf numFmtId="4" fontId="5" fillId="0" borderId="7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4" fontId="5" fillId="0" borderId="17" xfId="0" applyNumberFormat="1" applyFont="1" applyBorder="1" applyAlignment="1">
      <alignment horizontal="right"/>
    </xf>
    <xf numFmtId="4" fontId="5" fillId="0" borderId="18" xfId="0" applyNumberFormat="1" applyFont="1" applyBorder="1" applyAlignment="1">
      <alignment horizontal="right"/>
    </xf>
    <xf numFmtId="4" fontId="5" fillId="0" borderId="19" xfId="0" applyNumberFormat="1" applyFont="1" applyBorder="1" applyAlignment="1">
      <alignment horizontal="right"/>
    </xf>
    <xf numFmtId="0" fontId="5" fillId="0" borderId="3" xfId="0" applyFont="1" applyFill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left" wrapText="1"/>
    </xf>
    <xf numFmtId="0" fontId="5" fillId="3" borderId="34" xfId="0" applyFont="1" applyFill="1" applyBorder="1" applyAlignment="1">
      <alignment horizontal="left" wrapText="1"/>
    </xf>
    <xf numFmtId="0" fontId="5" fillId="3" borderId="23" xfId="0" applyFont="1" applyFill="1" applyBorder="1" applyAlignment="1">
      <alignment horizontal="center"/>
    </xf>
    <xf numFmtId="14" fontId="5" fillId="3" borderId="24" xfId="0" applyNumberFormat="1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164" fontId="10" fillId="3" borderId="24" xfId="0" applyNumberFormat="1" applyFont="1" applyFill="1" applyBorder="1" applyAlignment="1">
      <alignment horizontal="center"/>
    </xf>
    <xf numFmtId="0" fontId="5" fillId="3" borderId="23" xfId="0" applyFont="1" applyFill="1" applyBorder="1" applyAlignment="1">
      <alignment horizontal="left"/>
    </xf>
    <xf numFmtId="0" fontId="5" fillId="3" borderId="24" xfId="0" applyFont="1" applyFill="1" applyBorder="1" applyAlignment="1">
      <alignment horizontal="left"/>
    </xf>
    <xf numFmtId="49" fontId="5" fillId="3" borderId="25" xfId="0" applyNumberFormat="1" applyFont="1" applyFill="1" applyBorder="1" applyAlignment="1">
      <alignment horizontal="center" vertical="center"/>
    </xf>
    <xf numFmtId="49" fontId="5" fillId="3" borderId="24" xfId="0" applyNumberFormat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left"/>
    </xf>
    <xf numFmtId="0" fontId="5" fillId="3" borderId="27" xfId="0" applyFont="1" applyFill="1" applyBorder="1" applyAlignment="1">
      <alignment horizontal="left"/>
    </xf>
    <xf numFmtId="0" fontId="5" fillId="3" borderId="28" xfId="0" applyFont="1" applyFill="1" applyBorder="1" applyAlignment="1">
      <alignment horizontal="left"/>
    </xf>
    <xf numFmtId="0" fontId="5" fillId="3" borderId="29" xfId="0" applyFont="1" applyFill="1" applyBorder="1" applyAlignment="1">
      <alignment horizontal="left"/>
    </xf>
    <xf numFmtId="0" fontId="5" fillId="3" borderId="30" xfId="0" applyFont="1" applyFill="1" applyBorder="1" applyAlignment="1">
      <alignment horizontal="left"/>
    </xf>
    <xf numFmtId="0" fontId="5" fillId="3" borderId="31" xfId="0" applyFont="1" applyFill="1" applyBorder="1" applyAlignment="1">
      <alignment horizontal="left"/>
    </xf>
    <xf numFmtId="43" fontId="14" fillId="7" borderId="35" xfId="0" applyNumberFormat="1" applyFont="1" applyFill="1" applyBorder="1" applyAlignment="1">
      <alignment horizontal="center" vertical="center"/>
    </xf>
    <xf numFmtId="43" fontId="14" fillId="7" borderId="35" xfId="1" applyFont="1" applyFill="1" applyBorder="1" applyAlignment="1">
      <alignment horizontal="center" vertical="center" wrapText="1"/>
    </xf>
    <xf numFmtId="43" fontId="14" fillId="7" borderId="35" xfId="1" applyFont="1" applyFill="1" applyBorder="1" applyAlignment="1">
      <alignment horizontal="center" vertical="center"/>
    </xf>
    <xf numFmtId="10" fontId="14" fillId="7" borderId="33" xfId="88" applyNumberFormat="1" applyFont="1" applyFill="1" applyBorder="1" applyAlignment="1">
      <alignment horizontal="center" vertical="center"/>
    </xf>
    <xf numFmtId="43" fontId="6" fillId="7" borderId="35" xfId="0" applyNumberFormat="1" applyFont="1" applyFill="1" applyBorder="1" applyAlignment="1">
      <alignment horizontal="center" vertical="center"/>
    </xf>
  </cellXfs>
  <cellStyles count="104">
    <cellStyle name="Moeda 2" xfId="6" xr:uid="{00000000-0005-0000-0000-000000000000}"/>
    <cellStyle name="Moeda 2 2" xfId="7" xr:uid="{00000000-0005-0000-0000-000001000000}"/>
    <cellStyle name="Moeda 3" xfId="8" xr:uid="{00000000-0005-0000-0000-000002000000}"/>
    <cellStyle name="Normal" xfId="0" builtinId="0"/>
    <cellStyle name="Normal 11" xfId="9" xr:uid="{00000000-0005-0000-0000-000004000000}"/>
    <cellStyle name="Normal 2" xfId="10" xr:uid="{00000000-0005-0000-0000-000005000000}"/>
    <cellStyle name="Normal 2 10" xfId="42" xr:uid="{00000000-0005-0000-0000-000006000000}"/>
    <cellStyle name="Normal 2 2" xfId="3" xr:uid="{00000000-0005-0000-0000-000007000000}"/>
    <cellStyle name="Normal 2 2 2" xfId="11" xr:uid="{00000000-0005-0000-0000-000008000000}"/>
    <cellStyle name="Normal 2 2 2 2" xfId="12" xr:uid="{00000000-0005-0000-0000-000009000000}"/>
    <cellStyle name="Normal 2 2 3" xfId="4" xr:uid="{00000000-0005-0000-0000-00000A000000}"/>
    <cellStyle name="Normal 2 3" xfId="13" xr:uid="{00000000-0005-0000-0000-00000B000000}"/>
    <cellStyle name="Normal 3" xfId="14" xr:uid="{00000000-0005-0000-0000-00000C000000}"/>
    <cellStyle name="Normal 3 2" xfId="15" xr:uid="{00000000-0005-0000-0000-00000D000000}"/>
    <cellStyle name="Normal 3 2 2" xfId="16" xr:uid="{00000000-0005-0000-0000-00000E000000}"/>
    <cellStyle name="Normal 4" xfId="17" xr:uid="{00000000-0005-0000-0000-00000F000000}"/>
    <cellStyle name="Normal 4 2" xfId="18" xr:uid="{00000000-0005-0000-0000-000010000000}"/>
    <cellStyle name="Normal 4 2 2" xfId="19" xr:uid="{00000000-0005-0000-0000-000011000000}"/>
    <cellStyle name="Normal 5" xfId="20" xr:uid="{00000000-0005-0000-0000-000012000000}"/>
    <cellStyle name="Normal 5 2" xfId="21" xr:uid="{00000000-0005-0000-0000-000013000000}"/>
    <cellStyle name="Normal 6" xfId="22" xr:uid="{00000000-0005-0000-0000-000014000000}"/>
    <cellStyle name="Normal 7" xfId="23" xr:uid="{00000000-0005-0000-0000-000015000000}"/>
    <cellStyle name="Normal 9" xfId="39" xr:uid="{00000000-0005-0000-0000-000016000000}"/>
    <cellStyle name="Normal 9 2" xfId="43" xr:uid="{00000000-0005-0000-0000-000017000000}"/>
    <cellStyle name="Percent 2" xfId="24" xr:uid="{00000000-0005-0000-0000-000018000000}"/>
    <cellStyle name="Porcentagem" xfId="2" builtinId="5"/>
    <cellStyle name="Porcentagem 2 10" xfId="87" xr:uid="{00000000-0005-0000-0000-00001A000000}"/>
    <cellStyle name="Porcentagem 2 11" xfId="83" xr:uid="{00000000-0005-0000-0000-00001B000000}"/>
    <cellStyle name="Porcentagem 2 12" xfId="89" xr:uid="{00000000-0005-0000-0000-00001C000000}"/>
    <cellStyle name="Porcentagem 2 13" xfId="86" xr:uid="{00000000-0005-0000-0000-00001D000000}"/>
    <cellStyle name="Porcentagem 2 14" xfId="94" xr:uid="{00000000-0005-0000-0000-00001E000000}"/>
    <cellStyle name="Porcentagem 2 15" xfId="85" xr:uid="{00000000-0005-0000-0000-00001F000000}"/>
    <cellStyle name="Porcentagem 2 2" xfId="25" xr:uid="{00000000-0005-0000-0000-000020000000}"/>
    <cellStyle name="Porcentagem 2 2 10" xfId="88" xr:uid="{00000000-0005-0000-0000-000021000000}"/>
    <cellStyle name="Porcentagem 2 2 11" xfId="82" xr:uid="{00000000-0005-0000-0000-000022000000}"/>
    <cellStyle name="Porcentagem 2 2 12" xfId="92" xr:uid="{00000000-0005-0000-0000-000023000000}"/>
    <cellStyle name="Porcentagem 2 2 13" xfId="78" xr:uid="{00000000-0005-0000-0000-000024000000}"/>
    <cellStyle name="Porcentagem 2 2 14" xfId="100" xr:uid="{00000000-0005-0000-0000-000025000000}"/>
    <cellStyle name="Porcentagem 2 2 15" xfId="80" xr:uid="{00000000-0005-0000-0000-000026000000}"/>
    <cellStyle name="Porcentagem 2 2 2" xfId="26" xr:uid="{00000000-0005-0000-0000-000027000000}"/>
    <cellStyle name="Porcentagem 2 2 3" xfId="45" xr:uid="{00000000-0005-0000-0000-000028000000}"/>
    <cellStyle name="Porcentagem 2 2 4" xfId="50" xr:uid="{00000000-0005-0000-0000-000029000000}"/>
    <cellStyle name="Porcentagem 2 2 5" xfId="59" xr:uid="{00000000-0005-0000-0000-00002A000000}"/>
    <cellStyle name="Porcentagem 2 2 6" xfId="56" xr:uid="{00000000-0005-0000-0000-00002B000000}"/>
    <cellStyle name="Porcentagem 2 2 7" xfId="69" xr:uid="{00000000-0005-0000-0000-00002C000000}"/>
    <cellStyle name="Porcentagem 2 2 8" xfId="65" xr:uid="{00000000-0005-0000-0000-00002D000000}"/>
    <cellStyle name="Porcentagem 2 2 9" xfId="67" xr:uid="{00000000-0005-0000-0000-00002E000000}"/>
    <cellStyle name="Porcentagem 2 3" xfId="44" xr:uid="{00000000-0005-0000-0000-00002F000000}"/>
    <cellStyle name="Porcentagem 2 4" xfId="49" xr:uid="{00000000-0005-0000-0000-000030000000}"/>
    <cellStyle name="Porcentagem 2 5" xfId="58" xr:uid="{00000000-0005-0000-0000-000031000000}"/>
    <cellStyle name="Porcentagem 2 6" xfId="57" xr:uid="{00000000-0005-0000-0000-000032000000}"/>
    <cellStyle name="Porcentagem 2 7" xfId="68" xr:uid="{00000000-0005-0000-0000-000033000000}"/>
    <cellStyle name="Porcentagem 2 8" xfId="66" xr:uid="{00000000-0005-0000-0000-000034000000}"/>
    <cellStyle name="Porcentagem 2 9" xfId="75" xr:uid="{00000000-0005-0000-0000-000035000000}"/>
    <cellStyle name="Porcentagem 3" xfId="27" xr:uid="{00000000-0005-0000-0000-000036000000}"/>
    <cellStyle name="Porcentagem 4" xfId="28" xr:uid="{00000000-0005-0000-0000-000037000000}"/>
    <cellStyle name="Porcentagem 6" xfId="29" xr:uid="{00000000-0005-0000-0000-000038000000}"/>
    <cellStyle name="Separador de milhares 10" xfId="55" xr:uid="{00000000-0005-0000-0000-00003A000000}"/>
    <cellStyle name="Separador de milhares 11" xfId="64" xr:uid="{00000000-0005-0000-0000-00003B000000}"/>
    <cellStyle name="Separador de milhares 13" xfId="90" xr:uid="{00000000-0005-0000-0000-00003C000000}"/>
    <cellStyle name="Separador de milhares 16" xfId="84" xr:uid="{00000000-0005-0000-0000-00003D000000}"/>
    <cellStyle name="Separador de milhares 18" xfId="79" xr:uid="{00000000-0005-0000-0000-00003E000000}"/>
    <cellStyle name="Separador de milhares 2" xfId="30" xr:uid="{00000000-0005-0000-0000-00003F000000}"/>
    <cellStyle name="Separador de milhares 2 10" xfId="71" xr:uid="{00000000-0005-0000-0000-000040000000}"/>
    <cellStyle name="Separador de milhares 2 11" xfId="91" xr:uid="{00000000-0005-0000-0000-000041000000}"/>
    <cellStyle name="Separador de milhares 2 12" xfId="63" xr:uid="{00000000-0005-0000-0000-000042000000}"/>
    <cellStyle name="Separador de milhares 2 13" xfId="93" xr:uid="{00000000-0005-0000-0000-000043000000}"/>
    <cellStyle name="Separador de milhares 2 14" xfId="81" xr:uid="{00000000-0005-0000-0000-000044000000}"/>
    <cellStyle name="Separador de milhares 2 15" xfId="95" xr:uid="{00000000-0005-0000-0000-000045000000}"/>
    <cellStyle name="Separador de milhares 2 16" xfId="99" xr:uid="{00000000-0005-0000-0000-000046000000}"/>
    <cellStyle name="Separador de milhares 2 2" xfId="31" xr:uid="{00000000-0005-0000-0000-000047000000}"/>
    <cellStyle name="Separador de milhares 2 2 10" xfId="96" xr:uid="{00000000-0005-0000-0000-000048000000}"/>
    <cellStyle name="Separador de milhares 2 2 11" xfId="97" xr:uid="{00000000-0005-0000-0000-000049000000}"/>
    <cellStyle name="Separador de milhares 2 2 12" xfId="98" xr:uid="{00000000-0005-0000-0000-00004A000000}"/>
    <cellStyle name="Separador de milhares 2 2 13" xfId="101" xr:uid="{00000000-0005-0000-0000-00004B000000}"/>
    <cellStyle name="Separador de milhares 2 2 14" xfId="102" xr:uid="{00000000-0005-0000-0000-00004C000000}"/>
    <cellStyle name="Separador de milhares 2 2 15" xfId="103" xr:uid="{00000000-0005-0000-0000-00004D000000}"/>
    <cellStyle name="Separador de milhares 2 2 2" xfId="41" xr:uid="{00000000-0005-0000-0000-00004E000000}"/>
    <cellStyle name="Separador de milhares 2 2 3" xfId="48" xr:uid="{00000000-0005-0000-0000-00004F000000}"/>
    <cellStyle name="Separador de milhares 2 2 4" xfId="53" xr:uid="{00000000-0005-0000-0000-000050000000}"/>
    <cellStyle name="Separador de milhares 2 2 5" xfId="61" xr:uid="{00000000-0005-0000-0000-000051000000}"/>
    <cellStyle name="Separador de milhares 2 2 6" xfId="62" xr:uid="{00000000-0005-0000-0000-000052000000}"/>
    <cellStyle name="Separador de milhares 2 2 7" xfId="72" xr:uid="{00000000-0005-0000-0000-000053000000}"/>
    <cellStyle name="Separador de milhares 2 2 8" xfId="76" xr:uid="{00000000-0005-0000-0000-000054000000}"/>
    <cellStyle name="Separador de milhares 2 2 9" xfId="77" xr:uid="{00000000-0005-0000-0000-000055000000}"/>
    <cellStyle name="Separador de milhares 2 3" xfId="32" xr:uid="{00000000-0005-0000-0000-000056000000}"/>
    <cellStyle name="Separador de milhares 2 4" xfId="47" xr:uid="{00000000-0005-0000-0000-000057000000}"/>
    <cellStyle name="Separador de milhares 2 5" xfId="52" xr:uid="{00000000-0005-0000-0000-000058000000}"/>
    <cellStyle name="Separador de milhares 2 6" xfId="60" xr:uid="{00000000-0005-0000-0000-000059000000}"/>
    <cellStyle name="Separador de milhares 2 7" xfId="54" xr:uid="{00000000-0005-0000-0000-00005A000000}"/>
    <cellStyle name="Separador de milhares 2 8" xfId="70" xr:uid="{00000000-0005-0000-0000-00005B000000}"/>
    <cellStyle name="Separador de milhares 2 9" xfId="73" xr:uid="{00000000-0005-0000-0000-00005C000000}"/>
    <cellStyle name="Separador de milhares 2_ORÇAMENTO matureia corrigido (DEZ 2009)" xfId="74" xr:uid="{00000000-0005-0000-0000-00005D000000}"/>
    <cellStyle name="Separador de milhares 3" xfId="33" xr:uid="{00000000-0005-0000-0000-00005E000000}"/>
    <cellStyle name="Separador de milhares 3 2" xfId="34" xr:uid="{00000000-0005-0000-0000-00005F000000}"/>
    <cellStyle name="Separador de milhares 4" xfId="35" xr:uid="{00000000-0005-0000-0000-000060000000}"/>
    <cellStyle name="Separador de milhares 5" xfId="36" xr:uid="{00000000-0005-0000-0000-000061000000}"/>
    <cellStyle name="Separador de milhares 6" xfId="37" xr:uid="{00000000-0005-0000-0000-000062000000}"/>
    <cellStyle name="Separador de milhares 7" xfId="46" xr:uid="{00000000-0005-0000-0000-000063000000}"/>
    <cellStyle name="Separador de milhares 8" xfId="51" xr:uid="{00000000-0005-0000-0000-000064000000}"/>
    <cellStyle name="Vírgula" xfId="1" builtinId="3"/>
    <cellStyle name="Vírgula 2" xfId="38" xr:uid="{00000000-0005-0000-0000-000065000000}"/>
    <cellStyle name="Vírgula 2 2" xfId="40" xr:uid="{00000000-0005-0000-0000-000066000000}"/>
    <cellStyle name="Vírgula 3" xfId="5" xr:uid="{00000000-0005-0000-0000-00006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"/>
  <sheetViews>
    <sheetView tabSelected="1" view="pageBreakPreview" zoomScale="70" zoomScaleNormal="69" zoomScaleSheetLayoutView="70" workbookViewId="0">
      <pane ySplit="9" topLeftCell="A17" activePane="bottomLeft" state="frozen"/>
      <selection pane="bottomLeft" activeCell="F143" sqref="F143:H143"/>
    </sheetView>
  </sheetViews>
  <sheetFormatPr defaultRowHeight="15.75" x14ac:dyDescent="0.25"/>
  <cols>
    <col min="1" max="1" width="7.85546875" style="1" customWidth="1"/>
    <col min="2" max="2" width="14.85546875" style="1" customWidth="1"/>
    <col min="3" max="3" width="9.7109375" style="1" customWidth="1"/>
    <col min="4" max="4" width="58.42578125" style="1" customWidth="1"/>
    <col min="5" max="5" width="5.85546875" style="1" customWidth="1"/>
    <col min="6" max="7" width="13.7109375" style="1" customWidth="1"/>
    <col min="8" max="8" width="14.7109375" style="1" customWidth="1"/>
    <col min="9" max="9" width="13.7109375" style="1" customWidth="1"/>
    <col min="10" max="10" width="16.7109375" style="1" bestFit="1" customWidth="1"/>
    <col min="11" max="11" width="15.42578125" style="1" customWidth="1"/>
    <col min="12" max="12" width="20.7109375" style="1" bestFit="1" customWidth="1"/>
    <col min="13" max="13" width="12.28515625" style="1" customWidth="1"/>
    <col min="14" max="14" width="20.28515625" style="1" bestFit="1" customWidth="1"/>
    <col min="15" max="16384" width="9.140625" style="1"/>
  </cols>
  <sheetData>
    <row r="1" spans="1:15" ht="24" customHeight="1" thickBot="1" x14ac:dyDescent="0.45">
      <c r="A1" s="119" t="s">
        <v>28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5" ht="20.100000000000001" customHeight="1" x14ac:dyDescent="0.25">
      <c r="A2" s="126" t="s">
        <v>20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2" t="s">
        <v>28</v>
      </c>
      <c r="M2" s="122"/>
    </row>
    <row r="3" spans="1:15" ht="16.5" thickBot="1" x14ac:dyDescent="0.3">
      <c r="A3" s="120" t="s">
        <v>46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8" t="s">
        <v>283</v>
      </c>
      <c r="M3" s="128"/>
    </row>
    <row r="4" spans="1:15" ht="16.5" thickBot="1" x14ac:dyDescent="0.3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9"/>
      <c r="M4" s="129"/>
    </row>
    <row r="5" spans="1:15" x14ac:dyDescent="0.25">
      <c r="A5" s="126" t="s">
        <v>33</v>
      </c>
      <c r="B5" s="126"/>
      <c r="C5" s="130" t="s">
        <v>29</v>
      </c>
      <c r="D5" s="131"/>
      <c r="E5" s="131"/>
      <c r="F5" s="132"/>
      <c r="G5" s="130" t="s">
        <v>34</v>
      </c>
      <c r="H5" s="131"/>
      <c r="I5" s="132"/>
      <c r="J5" s="122" t="s">
        <v>30</v>
      </c>
      <c r="K5" s="122"/>
      <c r="L5" s="122" t="s">
        <v>31</v>
      </c>
      <c r="M5" s="122"/>
    </row>
    <row r="6" spans="1:15" ht="16.5" thickBot="1" x14ac:dyDescent="0.3">
      <c r="A6" s="127" t="s">
        <v>32</v>
      </c>
      <c r="B6" s="127"/>
      <c r="C6" s="133" t="s">
        <v>45</v>
      </c>
      <c r="D6" s="134"/>
      <c r="E6" s="134"/>
      <c r="F6" s="135"/>
      <c r="G6" s="133" t="s">
        <v>35</v>
      </c>
      <c r="H6" s="134"/>
      <c r="I6" s="135"/>
      <c r="J6" s="125">
        <f>G141</f>
        <v>80226.575621000011</v>
      </c>
      <c r="K6" s="125"/>
      <c r="L6" s="123">
        <v>44032</v>
      </c>
      <c r="M6" s="124"/>
      <c r="O6" s="22"/>
    </row>
    <row r="7" spans="1:15" ht="12.95" customHeight="1" thickBot="1" x14ac:dyDescent="0.3">
      <c r="A7" s="64"/>
      <c r="B7" s="3"/>
      <c r="C7" s="3"/>
      <c r="D7" s="3"/>
      <c r="E7" s="3"/>
      <c r="F7" s="3"/>
      <c r="G7" s="3"/>
      <c r="H7" s="3"/>
      <c r="I7" s="3"/>
      <c r="J7" s="3"/>
      <c r="K7" s="3"/>
      <c r="L7" s="65"/>
      <c r="M7" s="66"/>
    </row>
    <row r="8" spans="1:15" s="2" customFormat="1" ht="17.100000000000001" customHeight="1" thickBot="1" x14ac:dyDescent="0.3">
      <c r="A8" s="98" t="s">
        <v>5</v>
      </c>
      <c r="B8" s="98" t="s">
        <v>6</v>
      </c>
      <c r="C8" s="98" t="s">
        <v>7</v>
      </c>
      <c r="D8" s="98" t="s">
        <v>8</v>
      </c>
      <c r="E8" s="61"/>
      <c r="F8" s="99" t="s">
        <v>15</v>
      </c>
      <c r="G8" s="99"/>
      <c r="H8" s="99"/>
      <c r="I8" s="98" t="s">
        <v>10</v>
      </c>
      <c r="J8" s="99" t="s">
        <v>11</v>
      </c>
      <c r="K8" s="99"/>
      <c r="L8" s="99"/>
      <c r="M8" s="98" t="s">
        <v>19</v>
      </c>
    </row>
    <row r="9" spans="1:15" s="2" customFormat="1" ht="68.25" customHeight="1" thickBot="1" x14ac:dyDescent="0.3">
      <c r="A9" s="98"/>
      <c r="B9" s="98"/>
      <c r="C9" s="98"/>
      <c r="D9" s="98"/>
      <c r="E9" s="61" t="s">
        <v>9</v>
      </c>
      <c r="F9" s="62" t="s">
        <v>16</v>
      </c>
      <c r="G9" s="62" t="s">
        <v>17</v>
      </c>
      <c r="H9" s="62" t="s">
        <v>18</v>
      </c>
      <c r="I9" s="98"/>
      <c r="J9" s="62" t="s">
        <v>12</v>
      </c>
      <c r="K9" s="62" t="s">
        <v>13</v>
      </c>
      <c r="L9" s="62" t="s">
        <v>14</v>
      </c>
      <c r="M9" s="98"/>
    </row>
    <row r="10" spans="1:15" s="2" customFormat="1" ht="33.75" customHeight="1" x14ac:dyDescent="0.25">
      <c r="A10" s="26" t="s">
        <v>21</v>
      </c>
      <c r="B10" s="27"/>
      <c r="C10" s="27"/>
      <c r="D10" s="51" t="s">
        <v>82</v>
      </c>
      <c r="E10" s="28"/>
      <c r="F10" s="52"/>
      <c r="G10" s="58"/>
      <c r="H10" s="59"/>
      <c r="I10" s="60"/>
      <c r="J10" s="58">
        <f>SUM(J11:J17)</f>
        <v>2786.377528</v>
      </c>
      <c r="K10" s="58">
        <f t="shared" ref="K10:L10" si="0">SUM(K11:K17)</f>
        <v>0</v>
      </c>
      <c r="L10" s="58">
        <f t="shared" si="0"/>
        <v>2786.377528</v>
      </c>
      <c r="M10" s="55">
        <f>L10/J10</f>
        <v>1</v>
      </c>
      <c r="N10" s="2" t="s">
        <v>36</v>
      </c>
    </row>
    <row r="11" spans="1:15" ht="31.5" x14ac:dyDescent="0.25">
      <c r="A11" s="32" t="s">
        <v>2</v>
      </c>
      <c r="B11" s="39">
        <v>97622</v>
      </c>
      <c r="C11" s="36" t="s">
        <v>0</v>
      </c>
      <c r="D11" s="41" t="s">
        <v>47</v>
      </c>
      <c r="E11" s="35" t="s">
        <v>1</v>
      </c>
      <c r="F11" s="42">
        <v>39.72</v>
      </c>
      <c r="G11" s="31"/>
      <c r="H11" s="56">
        <f>G11+N11</f>
        <v>39.72</v>
      </c>
      <c r="I11" s="33">
        <v>1.23</v>
      </c>
      <c r="J11" s="50">
        <f t="shared" ref="J11:L17" si="1">F11*$I11</f>
        <v>48.855599999999995</v>
      </c>
      <c r="K11" s="53">
        <f t="shared" si="1"/>
        <v>0</v>
      </c>
      <c r="L11" s="54">
        <f t="shared" si="1"/>
        <v>48.855599999999995</v>
      </c>
      <c r="M11" s="57">
        <f>L11/J11</f>
        <v>1</v>
      </c>
      <c r="N11" s="31">
        <v>39.72</v>
      </c>
    </row>
    <row r="12" spans="1:15" ht="31.5" x14ac:dyDescent="0.25">
      <c r="A12" s="32" t="s">
        <v>3</v>
      </c>
      <c r="B12" s="39">
        <v>97644</v>
      </c>
      <c r="C12" s="36" t="s">
        <v>0</v>
      </c>
      <c r="D12" s="41" t="s">
        <v>48</v>
      </c>
      <c r="E12" s="35" t="s">
        <v>1</v>
      </c>
      <c r="F12" s="42">
        <v>4.83</v>
      </c>
      <c r="G12" s="69"/>
      <c r="H12" s="56">
        <f t="shared" ref="H12:H16" si="2">G12+N12</f>
        <v>4.83</v>
      </c>
      <c r="I12" s="70">
        <v>6.54</v>
      </c>
      <c r="J12" s="50">
        <f t="shared" si="1"/>
        <v>31.588200000000001</v>
      </c>
      <c r="K12" s="53">
        <f t="shared" si="1"/>
        <v>0</v>
      </c>
      <c r="L12" s="54">
        <f t="shared" si="1"/>
        <v>31.588200000000001</v>
      </c>
      <c r="M12" s="57">
        <f t="shared" ref="M12:M16" si="3">L12/J12</f>
        <v>1</v>
      </c>
      <c r="N12" s="69">
        <v>4.83</v>
      </c>
    </row>
    <row r="13" spans="1:15" ht="31.5" x14ac:dyDescent="0.25">
      <c r="A13" s="32" t="s">
        <v>49</v>
      </c>
      <c r="B13" s="39">
        <v>97663</v>
      </c>
      <c r="C13" s="36" t="s">
        <v>0</v>
      </c>
      <c r="D13" s="41" t="s">
        <v>50</v>
      </c>
      <c r="E13" s="35" t="s">
        <v>51</v>
      </c>
      <c r="F13" s="42">
        <v>7</v>
      </c>
      <c r="G13" s="69"/>
      <c r="H13" s="56">
        <f t="shared" si="2"/>
        <v>7</v>
      </c>
      <c r="I13" s="70">
        <v>8.64</v>
      </c>
      <c r="J13" s="50">
        <f t="shared" si="1"/>
        <v>60.480000000000004</v>
      </c>
      <c r="K13" s="53">
        <f t="shared" si="1"/>
        <v>0</v>
      </c>
      <c r="L13" s="54">
        <f t="shared" si="1"/>
        <v>60.480000000000004</v>
      </c>
      <c r="M13" s="57">
        <f t="shared" si="3"/>
        <v>1</v>
      </c>
      <c r="N13" s="69">
        <v>7</v>
      </c>
    </row>
    <row r="14" spans="1:15" x14ac:dyDescent="0.25">
      <c r="A14" s="32" t="s">
        <v>52</v>
      </c>
      <c r="B14" s="39"/>
      <c r="C14" s="36" t="s">
        <v>53</v>
      </c>
      <c r="D14" s="41" t="s">
        <v>54</v>
      </c>
      <c r="E14" s="35" t="s">
        <v>1</v>
      </c>
      <c r="F14" s="42">
        <v>42.825000000000003</v>
      </c>
      <c r="G14" s="69"/>
      <c r="H14" s="56">
        <f t="shared" si="2"/>
        <v>42.825000000000003</v>
      </c>
      <c r="I14" s="70">
        <v>22.64</v>
      </c>
      <c r="J14" s="50">
        <f t="shared" si="1"/>
        <v>969.55800000000011</v>
      </c>
      <c r="K14" s="53">
        <f t="shared" si="1"/>
        <v>0</v>
      </c>
      <c r="L14" s="54">
        <f t="shared" si="1"/>
        <v>969.55800000000011</v>
      </c>
      <c r="M14" s="57">
        <f t="shared" si="3"/>
        <v>1</v>
      </c>
      <c r="N14" s="69">
        <v>42.825000000000003</v>
      </c>
    </row>
    <row r="15" spans="1:15" ht="31.5" x14ac:dyDescent="0.25">
      <c r="A15" s="32" t="s">
        <v>55</v>
      </c>
      <c r="B15" s="39">
        <v>97636</v>
      </c>
      <c r="C15" s="36" t="s">
        <v>0</v>
      </c>
      <c r="D15" s="41" t="s">
        <v>56</v>
      </c>
      <c r="E15" s="35" t="s">
        <v>1</v>
      </c>
      <c r="F15" s="42">
        <v>143.58500000000001</v>
      </c>
      <c r="G15" s="69"/>
      <c r="H15" s="56">
        <f t="shared" si="2"/>
        <v>143.58500000000001</v>
      </c>
      <c r="I15" s="70">
        <v>9.82</v>
      </c>
      <c r="J15" s="50">
        <f t="shared" si="1"/>
        <v>1410.0047000000002</v>
      </c>
      <c r="K15" s="53">
        <f t="shared" si="1"/>
        <v>0</v>
      </c>
      <c r="L15" s="54">
        <f t="shared" si="1"/>
        <v>1410.0047000000002</v>
      </c>
      <c r="M15" s="57">
        <f t="shared" si="3"/>
        <v>1</v>
      </c>
      <c r="N15" s="69">
        <v>143.58500000000001</v>
      </c>
    </row>
    <row r="16" spans="1:15" x14ac:dyDescent="0.25">
      <c r="A16" s="32" t="s">
        <v>57</v>
      </c>
      <c r="B16" s="39">
        <v>72897</v>
      </c>
      <c r="C16" s="36" t="s">
        <v>0</v>
      </c>
      <c r="D16" s="41" t="s">
        <v>58</v>
      </c>
      <c r="E16" s="35" t="s">
        <v>59</v>
      </c>
      <c r="F16" s="42">
        <v>12.4072</v>
      </c>
      <c r="G16" s="69"/>
      <c r="H16" s="56">
        <f t="shared" si="2"/>
        <v>12.4072</v>
      </c>
      <c r="I16" s="70">
        <v>19.739999999999998</v>
      </c>
      <c r="J16" s="50">
        <f t="shared" si="1"/>
        <v>244.91812799999997</v>
      </c>
      <c r="K16" s="53">
        <f t="shared" si="1"/>
        <v>0</v>
      </c>
      <c r="L16" s="54">
        <f t="shared" si="1"/>
        <v>244.91812799999997</v>
      </c>
      <c r="M16" s="57">
        <f t="shared" si="3"/>
        <v>1</v>
      </c>
      <c r="N16" s="69">
        <v>12.4072</v>
      </c>
    </row>
    <row r="17" spans="1:15" ht="47.25" x14ac:dyDescent="0.25">
      <c r="A17" s="32" t="s">
        <v>60</v>
      </c>
      <c r="B17" s="39">
        <v>97914</v>
      </c>
      <c r="C17" s="36" t="s">
        <v>0</v>
      </c>
      <c r="D17" s="41" t="s">
        <v>61</v>
      </c>
      <c r="E17" s="35" t="s">
        <v>62</v>
      </c>
      <c r="F17" s="42">
        <v>16.132999999999999</v>
      </c>
      <c r="G17" s="69"/>
      <c r="H17" s="56">
        <f>G17+N17</f>
        <v>16.132999999999999</v>
      </c>
      <c r="I17" s="70">
        <v>1.3</v>
      </c>
      <c r="J17" s="50">
        <f t="shared" si="1"/>
        <v>20.972899999999999</v>
      </c>
      <c r="K17" s="53">
        <f t="shared" si="1"/>
        <v>0</v>
      </c>
      <c r="L17" s="54">
        <f t="shared" si="1"/>
        <v>20.972899999999999</v>
      </c>
      <c r="M17" s="57">
        <f>L17/J17</f>
        <v>1</v>
      </c>
      <c r="N17" s="69">
        <v>16.132999999999999</v>
      </c>
    </row>
    <row r="18" spans="1:15" x14ac:dyDescent="0.25">
      <c r="A18" s="37" t="s">
        <v>22</v>
      </c>
      <c r="B18" s="34"/>
      <c r="C18" s="34"/>
      <c r="D18" s="43" t="s">
        <v>81</v>
      </c>
      <c r="E18" s="63"/>
      <c r="F18" s="44"/>
      <c r="G18" s="29"/>
      <c r="H18" s="29"/>
      <c r="I18" s="29"/>
      <c r="J18" s="30">
        <f>SUM(J19:J27)</f>
        <v>54233.186010000005</v>
      </c>
      <c r="K18" s="30">
        <f>SUM(K19:K27)</f>
        <v>14192.631200000002</v>
      </c>
      <c r="L18" s="30">
        <f>SUM(L19:L27)</f>
        <v>54232.359700000001</v>
      </c>
      <c r="M18" s="55">
        <f>L18/J18</f>
        <v>0.99998476375701306</v>
      </c>
      <c r="O18" s="96"/>
    </row>
    <row r="19" spans="1:15" ht="47.25" x14ac:dyDescent="0.25">
      <c r="A19" s="38" t="s">
        <v>4</v>
      </c>
      <c r="B19" s="39">
        <v>94990</v>
      </c>
      <c r="C19" s="39" t="s">
        <v>0</v>
      </c>
      <c r="D19" s="41" t="s">
        <v>63</v>
      </c>
      <c r="E19" s="35" t="s">
        <v>59</v>
      </c>
      <c r="F19" s="42">
        <v>2.1412500000000003</v>
      </c>
      <c r="G19" s="42">
        <v>2.14</v>
      </c>
      <c r="H19" s="56">
        <f>G19+N19</f>
        <v>2.14</v>
      </c>
      <c r="I19" s="33">
        <v>573.96</v>
      </c>
      <c r="J19" s="136">
        <f>F19*$I19</f>
        <v>1228.9918500000003</v>
      </c>
      <c r="K19" s="137">
        <f>G19*$I19</f>
        <v>1228.2744000000002</v>
      </c>
      <c r="L19" s="138">
        <f>H19*$I19</f>
        <v>1228.2744000000002</v>
      </c>
      <c r="M19" s="139">
        <f t="shared" ref="M19:M33" si="4">L19/J19</f>
        <v>0.99941622883829528</v>
      </c>
    </row>
    <row r="20" spans="1:15" ht="63" x14ac:dyDescent="0.25">
      <c r="A20" s="83" t="s">
        <v>64</v>
      </c>
      <c r="B20" s="84">
        <v>87894</v>
      </c>
      <c r="C20" s="84" t="s">
        <v>0</v>
      </c>
      <c r="D20" s="85" t="s">
        <v>65</v>
      </c>
      <c r="E20" s="86" t="s">
        <v>1</v>
      </c>
      <c r="F20" s="87">
        <v>5.3999999999999995</v>
      </c>
      <c r="G20" s="88">
        <v>5.4</v>
      </c>
      <c r="H20" s="56">
        <f t="shared" ref="H20:H27" si="5">G20+N20</f>
        <v>5.4</v>
      </c>
      <c r="I20" s="33">
        <v>4.83</v>
      </c>
      <c r="J20" s="50">
        <f t="shared" ref="J20:J27" si="6">F20*$I20</f>
        <v>26.081999999999997</v>
      </c>
      <c r="K20" s="53">
        <f t="shared" ref="K20:K27" si="7">G20*$I20</f>
        <v>26.082000000000001</v>
      </c>
      <c r="L20" s="54">
        <f t="shared" ref="L20:L33" si="8">H20*$I20</f>
        <v>26.082000000000001</v>
      </c>
      <c r="M20" s="57">
        <f t="shared" si="4"/>
        <v>1.0000000000000002</v>
      </c>
    </row>
    <row r="21" spans="1:15" ht="47.25" x14ac:dyDescent="0.25">
      <c r="A21" s="83" t="s">
        <v>66</v>
      </c>
      <c r="B21" s="84">
        <v>87777</v>
      </c>
      <c r="C21" s="84" t="s">
        <v>0</v>
      </c>
      <c r="D21" s="85" t="s">
        <v>67</v>
      </c>
      <c r="E21" s="86" t="s">
        <v>1</v>
      </c>
      <c r="F21" s="87">
        <v>5.3999999999999995</v>
      </c>
      <c r="G21" s="88">
        <v>5.4</v>
      </c>
      <c r="H21" s="56">
        <f t="shared" si="5"/>
        <v>5.4</v>
      </c>
      <c r="I21" s="33">
        <v>43.52</v>
      </c>
      <c r="J21" s="50">
        <f t="shared" si="6"/>
        <v>235.00799999999998</v>
      </c>
      <c r="K21" s="53">
        <f t="shared" si="7"/>
        <v>235.00800000000004</v>
      </c>
      <c r="L21" s="54">
        <f t="shared" si="8"/>
        <v>235.00800000000004</v>
      </c>
      <c r="M21" s="57">
        <f t="shared" si="4"/>
        <v>1.0000000000000002</v>
      </c>
    </row>
    <row r="22" spans="1:15" ht="31.5" x14ac:dyDescent="0.25">
      <c r="A22" s="83" t="s">
        <v>68</v>
      </c>
      <c r="B22" s="84">
        <v>88497</v>
      </c>
      <c r="C22" s="84" t="s">
        <v>0</v>
      </c>
      <c r="D22" s="85" t="s">
        <v>69</v>
      </c>
      <c r="E22" s="86" t="s">
        <v>1</v>
      </c>
      <c r="F22" s="87">
        <v>809.26999999999987</v>
      </c>
      <c r="G22" s="88"/>
      <c r="H22" s="56">
        <f t="shared" si="5"/>
        <v>809.26999999999987</v>
      </c>
      <c r="I22" s="33">
        <v>11.44</v>
      </c>
      <c r="J22" s="50">
        <f t="shared" si="6"/>
        <v>9258.0487999999987</v>
      </c>
      <c r="K22" s="53">
        <f t="shared" si="7"/>
        <v>0</v>
      </c>
      <c r="L22" s="54">
        <f t="shared" si="8"/>
        <v>9258.0487999999987</v>
      </c>
      <c r="M22" s="57">
        <f t="shared" si="4"/>
        <v>1</v>
      </c>
      <c r="N22" s="88">
        <v>809.26999999999987</v>
      </c>
    </row>
    <row r="23" spans="1:15" ht="31.5" x14ac:dyDescent="0.25">
      <c r="A23" s="83" t="s">
        <v>70</v>
      </c>
      <c r="B23" s="84">
        <v>88485</v>
      </c>
      <c r="C23" s="84" t="s">
        <v>0</v>
      </c>
      <c r="D23" s="85" t="s">
        <v>71</v>
      </c>
      <c r="E23" s="86" t="s">
        <v>1</v>
      </c>
      <c r="F23" s="87">
        <v>809.26999999999987</v>
      </c>
      <c r="G23" s="88">
        <v>809.27</v>
      </c>
      <c r="H23" s="56">
        <f t="shared" si="5"/>
        <v>809.27</v>
      </c>
      <c r="I23" s="33">
        <v>2.0299999999999998</v>
      </c>
      <c r="J23" s="50">
        <f t="shared" si="6"/>
        <v>1642.8180999999995</v>
      </c>
      <c r="K23" s="53">
        <f t="shared" si="7"/>
        <v>1642.8180999999997</v>
      </c>
      <c r="L23" s="54">
        <f t="shared" si="8"/>
        <v>1642.8180999999997</v>
      </c>
      <c r="M23" s="57">
        <f t="shared" si="4"/>
        <v>1.0000000000000002</v>
      </c>
    </row>
    <row r="24" spans="1:15" ht="31.5" x14ac:dyDescent="0.25">
      <c r="A24" s="83" t="s">
        <v>72</v>
      </c>
      <c r="B24" s="84">
        <v>88489</v>
      </c>
      <c r="C24" s="84" t="s">
        <v>0</v>
      </c>
      <c r="D24" s="85" t="s">
        <v>73</v>
      </c>
      <c r="E24" s="86" t="s">
        <v>1</v>
      </c>
      <c r="F24" s="87">
        <v>809.26999999999987</v>
      </c>
      <c r="G24" s="88">
        <v>809.27</v>
      </c>
      <c r="H24" s="56">
        <f t="shared" si="5"/>
        <v>809.27</v>
      </c>
      <c r="I24" s="33">
        <v>13.38</v>
      </c>
      <c r="J24" s="50">
        <f t="shared" si="6"/>
        <v>10828.032599999999</v>
      </c>
      <c r="K24" s="53">
        <f t="shared" si="7"/>
        <v>10828.0326</v>
      </c>
      <c r="L24" s="54">
        <f t="shared" si="8"/>
        <v>10828.0326</v>
      </c>
      <c r="M24" s="57">
        <f t="shared" si="4"/>
        <v>1.0000000000000002</v>
      </c>
    </row>
    <row r="25" spans="1:15" ht="63" x14ac:dyDescent="0.25">
      <c r="A25" s="83" t="s">
        <v>74</v>
      </c>
      <c r="B25" s="84">
        <v>87272</v>
      </c>
      <c r="C25" s="84" t="s">
        <v>0</v>
      </c>
      <c r="D25" s="85" t="s">
        <v>75</v>
      </c>
      <c r="E25" s="86" t="s">
        <v>1</v>
      </c>
      <c r="F25" s="87">
        <v>238.46999999999997</v>
      </c>
      <c r="G25" s="88"/>
      <c r="H25" s="56">
        <f t="shared" si="5"/>
        <v>238.46999999999997</v>
      </c>
      <c r="I25" s="33">
        <v>63.86</v>
      </c>
      <c r="J25" s="50">
        <f t="shared" si="6"/>
        <v>15228.694199999998</v>
      </c>
      <c r="K25" s="53">
        <f t="shared" si="7"/>
        <v>0</v>
      </c>
      <c r="L25" s="54">
        <f t="shared" si="8"/>
        <v>15228.694199999998</v>
      </c>
      <c r="M25" s="57">
        <f t="shared" si="4"/>
        <v>1</v>
      </c>
      <c r="N25" s="88">
        <v>238.46999999999997</v>
      </c>
    </row>
    <row r="26" spans="1:15" ht="63" x14ac:dyDescent="0.25">
      <c r="A26" s="83" t="s">
        <v>76</v>
      </c>
      <c r="B26" s="84">
        <v>87273</v>
      </c>
      <c r="C26" s="84" t="s">
        <v>0</v>
      </c>
      <c r="D26" s="85" t="s">
        <v>77</v>
      </c>
      <c r="E26" s="86" t="s">
        <v>1</v>
      </c>
      <c r="F26" s="87">
        <v>4.2720000000000002</v>
      </c>
      <c r="G26" s="88">
        <v>4.2699999999999996</v>
      </c>
      <c r="H26" s="56">
        <f t="shared" si="5"/>
        <v>4.2699999999999996</v>
      </c>
      <c r="I26" s="33">
        <v>54.43</v>
      </c>
      <c r="J26" s="136">
        <f t="shared" si="6"/>
        <v>232.52496000000002</v>
      </c>
      <c r="K26" s="137">
        <f t="shared" si="7"/>
        <v>232.41609999999997</v>
      </c>
      <c r="L26" s="138">
        <f t="shared" si="8"/>
        <v>232.41609999999997</v>
      </c>
      <c r="M26" s="139">
        <f t="shared" si="4"/>
        <v>0.99953183520599231</v>
      </c>
    </row>
    <row r="27" spans="1:15" ht="47.25" x14ac:dyDescent="0.25">
      <c r="A27" s="83" t="s">
        <v>78</v>
      </c>
      <c r="B27" s="84">
        <v>87246</v>
      </c>
      <c r="C27" s="84" t="s">
        <v>0</v>
      </c>
      <c r="D27" s="85" t="s">
        <v>79</v>
      </c>
      <c r="E27" s="86" t="s">
        <v>80</v>
      </c>
      <c r="F27" s="87">
        <v>298.35000000000002</v>
      </c>
      <c r="G27" s="88"/>
      <c r="H27" s="56">
        <f t="shared" si="5"/>
        <v>298.35000000000002</v>
      </c>
      <c r="I27" s="33">
        <v>52.13</v>
      </c>
      <c r="J27" s="50">
        <f t="shared" si="6"/>
        <v>15552.985500000003</v>
      </c>
      <c r="K27" s="53">
        <f t="shared" si="7"/>
        <v>0</v>
      </c>
      <c r="L27" s="54">
        <f t="shared" si="8"/>
        <v>15552.985500000003</v>
      </c>
      <c r="M27" s="57">
        <f t="shared" si="4"/>
        <v>1</v>
      </c>
      <c r="N27" s="88">
        <v>298.35000000000002</v>
      </c>
    </row>
    <row r="28" spans="1:15" x14ac:dyDescent="0.25">
      <c r="A28" s="23" t="s">
        <v>37</v>
      </c>
      <c r="B28" s="24"/>
      <c r="C28" s="24"/>
      <c r="D28" s="45" t="s">
        <v>83</v>
      </c>
      <c r="E28" s="25"/>
      <c r="F28" s="46"/>
      <c r="G28" s="40"/>
      <c r="H28" s="47"/>
      <c r="I28" s="48"/>
      <c r="J28" s="140">
        <f>SUM(J29:J33)</f>
        <v>39341.897080000002</v>
      </c>
      <c r="K28" s="140">
        <f t="shared" ref="K28:L28" si="9">SUM(K29:K33)</f>
        <v>39342.057100000005</v>
      </c>
      <c r="L28" s="140">
        <f t="shared" si="9"/>
        <v>39342.057100000005</v>
      </c>
      <c r="M28" s="55">
        <f t="shared" si="4"/>
        <v>1.0000040674195165</v>
      </c>
      <c r="O28" s="96"/>
    </row>
    <row r="29" spans="1:15" ht="31.5" x14ac:dyDescent="0.25">
      <c r="A29" s="35" t="s">
        <v>41</v>
      </c>
      <c r="B29" s="41">
        <v>88496</v>
      </c>
      <c r="C29" s="35" t="s">
        <v>0</v>
      </c>
      <c r="D29" s="41" t="s">
        <v>84</v>
      </c>
      <c r="E29" s="35" t="s">
        <v>1</v>
      </c>
      <c r="F29" s="33">
        <v>293.10550000000001</v>
      </c>
      <c r="G29" s="79">
        <v>293.11</v>
      </c>
      <c r="H29" s="54">
        <f>G29+N29</f>
        <v>293.11</v>
      </c>
      <c r="I29" s="80">
        <v>20.92</v>
      </c>
      <c r="J29" s="136">
        <f>F29*$I29</f>
        <v>6131.767060000001</v>
      </c>
      <c r="K29" s="137">
        <f>G29*$I29</f>
        <v>6131.8612000000012</v>
      </c>
      <c r="L29" s="138">
        <f t="shared" si="8"/>
        <v>6131.8612000000012</v>
      </c>
      <c r="M29" s="93">
        <f t="shared" si="4"/>
        <v>1.0000153528337066</v>
      </c>
      <c r="O29" s="96"/>
    </row>
    <row r="30" spans="1:15" ht="31.5" x14ac:dyDescent="0.25">
      <c r="A30" s="35" t="s">
        <v>38</v>
      </c>
      <c r="B30" s="41">
        <v>88482</v>
      </c>
      <c r="C30" s="35" t="s">
        <v>0</v>
      </c>
      <c r="D30" s="41" t="s">
        <v>85</v>
      </c>
      <c r="E30" s="35" t="s">
        <v>1</v>
      </c>
      <c r="F30" s="33">
        <v>293.10550000000001</v>
      </c>
      <c r="G30" s="79">
        <v>293.11</v>
      </c>
      <c r="H30" s="54">
        <f t="shared" ref="H30:H32" si="10">G30+N30</f>
        <v>293.11</v>
      </c>
      <c r="I30" s="80">
        <v>2.86</v>
      </c>
      <c r="J30" s="136">
        <f t="shared" ref="J30:J32" si="11">F30*$I30</f>
        <v>838.28172999999992</v>
      </c>
      <c r="K30" s="137">
        <f t="shared" ref="K30:K32" si="12">G30*$I30</f>
        <v>838.29459999999995</v>
      </c>
      <c r="L30" s="138">
        <f t="shared" si="8"/>
        <v>838.29459999999995</v>
      </c>
      <c r="M30" s="93">
        <f t="shared" si="4"/>
        <v>1.0000153528337066</v>
      </c>
    </row>
    <row r="31" spans="1:15" ht="31.5" x14ac:dyDescent="0.25">
      <c r="A31" s="35" t="s">
        <v>86</v>
      </c>
      <c r="B31" s="41">
        <v>88486</v>
      </c>
      <c r="C31" s="35" t="s">
        <v>0</v>
      </c>
      <c r="D31" s="41" t="s">
        <v>87</v>
      </c>
      <c r="E31" s="35" t="s">
        <v>1</v>
      </c>
      <c r="F31" s="33">
        <v>293.10550000000001</v>
      </c>
      <c r="G31" s="79">
        <v>293.11</v>
      </c>
      <c r="H31" s="54">
        <f t="shared" si="10"/>
        <v>293.11</v>
      </c>
      <c r="I31" s="80">
        <v>11.78</v>
      </c>
      <c r="J31" s="136">
        <f t="shared" si="11"/>
        <v>3452.7827899999997</v>
      </c>
      <c r="K31" s="137">
        <f t="shared" si="12"/>
        <v>3452.8357999999998</v>
      </c>
      <c r="L31" s="138">
        <f t="shared" si="8"/>
        <v>3452.8357999999998</v>
      </c>
      <c r="M31" s="93">
        <f t="shared" si="4"/>
        <v>1.0000153528337066</v>
      </c>
    </row>
    <row r="32" spans="1:15" ht="63" x14ac:dyDescent="0.25">
      <c r="A32" s="35" t="s">
        <v>88</v>
      </c>
      <c r="B32" s="41">
        <v>92542</v>
      </c>
      <c r="C32" s="35" t="s">
        <v>0</v>
      </c>
      <c r="D32" s="41" t="s">
        <v>89</v>
      </c>
      <c r="E32" s="35" t="s">
        <v>1</v>
      </c>
      <c r="F32" s="33">
        <v>298.35000000000002</v>
      </c>
      <c r="G32" s="79">
        <v>298.35000000000002</v>
      </c>
      <c r="H32" s="54">
        <f t="shared" si="10"/>
        <v>298.35000000000002</v>
      </c>
      <c r="I32" s="80">
        <v>69.11</v>
      </c>
      <c r="J32" s="50">
        <f t="shared" si="11"/>
        <v>20618.968500000003</v>
      </c>
      <c r="K32" s="53">
        <f t="shared" si="12"/>
        <v>20618.968500000003</v>
      </c>
      <c r="L32" s="54">
        <f t="shared" si="8"/>
        <v>20618.968500000003</v>
      </c>
      <c r="M32" s="93">
        <f t="shared" si="4"/>
        <v>1</v>
      </c>
    </row>
    <row r="33" spans="1:14" ht="53.25" customHeight="1" x14ac:dyDescent="0.25">
      <c r="A33" s="35" t="s">
        <v>88</v>
      </c>
      <c r="B33" s="41">
        <v>94445</v>
      </c>
      <c r="C33" s="35" t="s">
        <v>0</v>
      </c>
      <c r="D33" s="41" t="s">
        <v>90</v>
      </c>
      <c r="E33" s="94" t="s">
        <v>1</v>
      </c>
      <c r="F33" s="42">
        <v>298.35000000000002</v>
      </c>
      <c r="G33" s="79">
        <v>298.35000000000002</v>
      </c>
      <c r="H33" s="54">
        <f>G33+N33</f>
        <v>298.35000000000002</v>
      </c>
      <c r="I33" s="95">
        <v>27.82</v>
      </c>
      <c r="J33" s="50">
        <f>F33*$I33</f>
        <v>8300.0970000000016</v>
      </c>
      <c r="K33" s="53">
        <f>G33*$I33</f>
        <v>8300.0970000000016</v>
      </c>
      <c r="L33" s="54">
        <f t="shared" si="8"/>
        <v>8300.0970000000016</v>
      </c>
      <c r="M33" s="93">
        <f t="shared" si="4"/>
        <v>1</v>
      </c>
    </row>
    <row r="34" spans="1:14" x14ac:dyDescent="0.25">
      <c r="A34" s="23" t="s">
        <v>91</v>
      </c>
      <c r="B34" s="24"/>
      <c r="C34" s="24"/>
      <c r="D34" s="45" t="s">
        <v>92</v>
      </c>
      <c r="E34" s="25"/>
      <c r="F34" s="46"/>
      <c r="G34" s="89"/>
      <c r="H34" s="90"/>
      <c r="I34" s="91"/>
      <c r="J34" s="92">
        <f>SUM(J35:J36)</f>
        <v>1089.5535</v>
      </c>
      <c r="K34" s="92">
        <f t="shared" ref="K34:L34" si="13">SUM(K35:K36)</f>
        <v>0</v>
      </c>
      <c r="L34" s="92">
        <f t="shared" si="13"/>
        <v>0</v>
      </c>
      <c r="M34" s="55">
        <f t="shared" ref="M34:M42" si="14">L34/J34</f>
        <v>0</v>
      </c>
    </row>
    <row r="35" spans="1:14" ht="16.5" thickBot="1" x14ac:dyDescent="0.3">
      <c r="A35" s="35" t="s">
        <v>93</v>
      </c>
      <c r="B35" s="41" t="s">
        <v>94</v>
      </c>
      <c r="C35" s="72" t="s">
        <v>0</v>
      </c>
      <c r="D35" s="41" t="s">
        <v>95</v>
      </c>
      <c r="E35" s="35" t="s">
        <v>1</v>
      </c>
      <c r="F35" s="33">
        <v>11.760000000000002</v>
      </c>
      <c r="G35" s="79"/>
      <c r="H35" s="56">
        <f>G35+N35</f>
        <v>0</v>
      </c>
      <c r="I35" s="80">
        <v>15.84</v>
      </c>
      <c r="J35" s="50">
        <f>F35*$I35</f>
        <v>186.27840000000003</v>
      </c>
      <c r="K35" s="53">
        <f>G35*$I35</f>
        <v>0</v>
      </c>
      <c r="L35" s="54">
        <f t="shared" ref="L35:L36" si="15">H35*$I35</f>
        <v>0</v>
      </c>
      <c r="M35" s="57">
        <f t="shared" si="14"/>
        <v>0</v>
      </c>
    </row>
    <row r="36" spans="1:14" ht="53.25" customHeight="1" thickBot="1" x14ac:dyDescent="0.3">
      <c r="A36" s="71" t="s">
        <v>96</v>
      </c>
      <c r="B36" s="82" t="s">
        <v>97</v>
      </c>
      <c r="C36" s="72" t="s">
        <v>0</v>
      </c>
      <c r="D36" s="73" t="s">
        <v>98</v>
      </c>
      <c r="E36" s="74" t="s">
        <v>1</v>
      </c>
      <c r="F36" s="75">
        <v>37.31</v>
      </c>
      <c r="G36" s="76"/>
      <c r="H36" s="67">
        <f>G36+N36</f>
        <v>0</v>
      </c>
      <c r="I36" s="81">
        <v>24.21</v>
      </c>
      <c r="J36" s="77">
        <f>F36*$I36</f>
        <v>903.27510000000007</v>
      </c>
      <c r="K36" s="78">
        <f>G36*$I36</f>
        <v>0</v>
      </c>
      <c r="L36" s="67">
        <f t="shared" si="15"/>
        <v>0</v>
      </c>
      <c r="M36" s="68">
        <f t="shared" si="14"/>
        <v>0</v>
      </c>
    </row>
    <row r="37" spans="1:14" x14ac:dyDescent="0.25">
      <c r="A37" s="23" t="s">
        <v>99</v>
      </c>
      <c r="B37" s="24"/>
      <c r="C37" s="24"/>
      <c r="D37" s="45" t="s">
        <v>100</v>
      </c>
      <c r="E37" s="25"/>
      <c r="F37" s="46"/>
      <c r="G37" s="40"/>
      <c r="H37" s="47"/>
      <c r="I37" s="48"/>
      <c r="J37" s="49">
        <f>SUM(J38:J42)</f>
        <v>2252.27</v>
      </c>
      <c r="K37" s="49">
        <f t="shared" ref="K37:L37" si="16">SUM(K38:K42)</f>
        <v>2252.27</v>
      </c>
      <c r="L37" s="49">
        <f t="shared" si="16"/>
        <v>2252.27</v>
      </c>
      <c r="M37" s="55">
        <f t="shared" si="14"/>
        <v>1</v>
      </c>
    </row>
    <row r="38" spans="1:14" ht="63" x14ac:dyDescent="0.25">
      <c r="A38" s="35" t="s">
        <v>101</v>
      </c>
      <c r="B38" s="41">
        <v>86931</v>
      </c>
      <c r="C38" s="35" t="s">
        <v>0</v>
      </c>
      <c r="D38" s="41" t="s">
        <v>102</v>
      </c>
      <c r="E38" s="35" t="s">
        <v>51</v>
      </c>
      <c r="F38" s="33">
        <v>4</v>
      </c>
      <c r="G38" s="79">
        <f>F38</f>
        <v>4</v>
      </c>
      <c r="H38" s="54">
        <f>G38+N38</f>
        <v>4</v>
      </c>
      <c r="I38" s="80">
        <v>421.28</v>
      </c>
      <c r="J38" s="50">
        <f>F38*$I38</f>
        <v>1685.12</v>
      </c>
      <c r="K38" s="53">
        <f>G38*$I38</f>
        <v>1685.12</v>
      </c>
      <c r="L38" s="54">
        <f t="shared" ref="L38:L42" si="17">H38*$I38</f>
        <v>1685.12</v>
      </c>
      <c r="M38" s="93">
        <f t="shared" si="14"/>
        <v>1</v>
      </c>
    </row>
    <row r="39" spans="1:14" ht="78.75" x14ac:dyDescent="0.25">
      <c r="A39" s="35" t="s">
        <v>103</v>
      </c>
      <c r="B39" s="41">
        <v>86943</v>
      </c>
      <c r="C39" s="35" t="s">
        <v>0</v>
      </c>
      <c r="D39" s="41" t="s">
        <v>104</v>
      </c>
      <c r="E39" s="35" t="s">
        <v>51</v>
      </c>
      <c r="F39" s="33">
        <v>2</v>
      </c>
      <c r="G39" s="79">
        <f t="shared" ref="G39:G42" si="18">F39</f>
        <v>2</v>
      </c>
      <c r="H39" s="54">
        <f t="shared" ref="H39:H41" si="19">G39+N39</f>
        <v>2</v>
      </c>
      <c r="I39" s="80">
        <v>191.45</v>
      </c>
      <c r="J39" s="50">
        <f t="shared" ref="J39:J41" si="20">F39*$I39</f>
        <v>382.9</v>
      </c>
      <c r="K39" s="53">
        <f t="shared" ref="K39:K41" si="21">G39*$I39</f>
        <v>382.9</v>
      </c>
      <c r="L39" s="54">
        <f t="shared" si="17"/>
        <v>382.9</v>
      </c>
      <c r="M39" s="93">
        <f t="shared" si="14"/>
        <v>1</v>
      </c>
    </row>
    <row r="40" spans="1:14" ht="31.5" x14ac:dyDescent="0.25">
      <c r="A40" s="35" t="s">
        <v>105</v>
      </c>
      <c r="B40" s="41" t="s">
        <v>106</v>
      </c>
      <c r="C40" s="35" t="s">
        <v>0</v>
      </c>
      <c r="D40" s="41" t="s">
        <v>107</v>
      </c>
      <c r="E40" s="35" t="s">
        <v>51</v>
      </c>
      <c r="F40" s="33">
        <v>1</v>
      </c>
      <c r="G40" s="79">
        <f t="shared" si="18"/>
        <v>1</v>
      </c>
      <c r="H40" s="54">
        <f t="shared" si="19"/>
        <v>1</v>
      </c>
      <c r="I40" s="80">
        <v>3.73</v>
      </c>
      <c r="J40" s="50">
        <f t="shared" si="20"/>
        <v>3.73</v>
      </c>
      <c r="K40" s="53">
        <f t="shared" si="21"/>
        <v>3.73</v>
      </c>
      <c r="L40" s="54">
        <f t="shared" si="17"/>
        <v>3.73</v>
      </c>
      <c r="M40" s="93">
        <f t="shared" si="14"/>
        <v>1</v>
      </c>
    </row>
    <row r="41" spans="1:14" ht="31.5" x14ac:dyDescent="0.25">
      <c r="A41" s="35" t="s">
        <v>108</v>
      </c>
      <c r="B41" s="41">
        <v>95544</v>
      </c>
      <c r="C41" s="35" t="s">
        <v>0</v>
      </c>
      <c r="D41" s="41" t="s">
        <v>109</v>
      </c>
      <c r="E41" s="35" t="s">
        <v>51</v>
      </c>
      <c r="F41" s="33">
        <v>4</v>
      </c>
      <c r="G41" s="79">
        <f t="shared" si="18"/>
        <v>4</v>
      </c>
      <c r="H41" s="54">
        <f t="shared" si="19"/>
        <v>4</v>
      </c>
      <c r="I41" s="80">
        <v>28.93</v>
      </c>
      <c r="J41" s="50">
        <f t="shared" si="20"/>
        <v>115.72</v>
      </c>
      <c r="K41" s="53">
        <f t="shared" si="21"/>
        <v>115.72</v>
      </c>
      <c r="L41" s="54">
        <f t="shared" si="17"/>
        <v>115.72</v>
      </c>
      <c r="M41" s="93">
        <f t="shared" si="14"/>
        <v>1</v>
      </c>
    </row>
    <row r="42" spans="1:14" ht="53.25" customHeight="1" x14ac:dyDescent="0.25">
      <c r="A42" s="35" t="s">
        <v>110</v>
      </c>
      <c r="B42" s="41">
        <v>95547</v>
      </c>
      <c r="C42" s="35" t="s">
        <v>0</v>
      </c>
      <c r="D42" s="41" t="s">
        <v>111</v>
      </c>
      <c r="E42" s="94" t="s">
        <v>51</v>
      </c>
      <c r="F42" s="42">
        <v>1</v>
      </c>
      <c r="G42" s="79">
        <f t="shared" si="18"/>
        <v>1</v>
      </c>
      <c r="H42" s="54">
        <f>G42+N42</f>
        <v>1</v>
      </c>
      <c r="I42" s="95">
        <v>64.8</v>
      </c>
      <c r="J42" s="50">
        <f>F42*$I42</f>
        <v>64.8</v>
      </c>
      <c r="K42" s="53">
        <f>G42*$I42</f>
        <v>64.8</v>
      </c>
      <c r="L42" s="54">
        <f t="shared" si="17"/>
        <v>64.8</v>
      </c>
      <c r="M42" s="93">
        <f t="shared" si="14"/>
        <v>1</v>
      </c>
    </row>
    <row r="43" spans="1:14" x14ac:dyDescent="0.25">
      <c r="A43" s="23" t="s">
        <v>112</v>
      </c>
      <c r="B43" s="24"/>
      <c r="C43" s="24"/>
      <c r="D43" s="45" t="s">
        <v>113</v>
      </c>
      <c r="E43" s="25"/>
      <c r="F43" s="46"/>
      <c r="G43" s="89"/>
      <c r="H43" s="90"/>
      <c r="I43" s="91"/>
      <c r="J43" s="92">
        <f>SUM(J44:J45)</f>
        <v>1933.3926000000001</v>
      </c>
      <c r="K43" s="92">
        <f>SUM(K44:K45)</f>
        <v>0</v>
      </c>
      <c r="L43" s="92">
        <f>SUM(L44:L45)</f>
        <v>0</v>
      </c>
      <c r="M43" s="55">
        <f t="shared" ref="M43:M45" si="22">L43/J43</f>
        <v>0</v>
      </c>
    </row>
    <row r="44" spans="1:14" x14ac:dyDescent="0.25">
      <c r="A44" s="35" t="s">
        <v>114</v>
      </c>
      <c r="B44" s="41" t="s">
        <v>115</v>
      </c>
      <c r="C44" s="35" t="s">
        <v>0</v>
      </c>
      <c r="D44" s="41" t="s">
        <v>116</v>
      </c>
      <c r="E44" s="35" t="s">
        <v>1</v>
      </c>
      <c r="F44" s="33">
        <v>241.5</v>
      </c>
      <c r="G44" s="79"/>
      <c r="H44" s="54">
        <f>G44+N44</f>
        <v>0</v>
      </c>
      <c r="I44" s="80">
        <v>5.16</v>
      </c>
      <c r="J44" s="50">
        <f>F44*$I44</f>
        <v>1246.1400000000001</v>
      </c>
      <c r="K44" s="53">
        <f>G44*$I44</f>
        <v>0</v>
      </c>
      <c r="L44" s="54">
        <f t="shared" ref="L44:L45" si="23">H44*$I44</f>
        <v>0</v>
      </c>
      <c r="M44" s="93">
        <f t="shared" si="22"/>
        <v>0</v>
      </c>
    </row>
    <row r="45" spans="1:14" ht="53.25" customHeight="1" x14ac:dyDescent="0.25">
      <c r="A45" s="35" t="s">
        <v>117</v>
      </c>
      <c r="B45" s="41"/>
      <c r="C45" s="35" t="s">
        <v>53</v>
      </c>
      <c r="D45" s="41" t="s">
        <v>118</v>
      </c>
      <c r="E45" s="94" t="s">
        <v>1</v>
      </c>
      <c r="F45" s="42">
        <v>282.82</v>
      </c>
      <c r="G45" s="79"/>
      <c r="H45" s="54">
        <f>G45+N45</f>
        <v>0</v>
      </c>
      <c r="I45" s="95">
        <v>2.4300000000000002</v>
      </c>
      <c r="J45" s="50">
        <f>F45*$I45</f>
        <v>687.25260000000003</v>
      </c>
      <c r="K45" s="53">
        <f>G45*$I45</f>
        <v>0</v>
      </c>
      <c r="L45" s="54">
        <f t="shared" si="23"/>
        <v>0</v>
      </c>
      <c r="M45" s="93">
        <f t="shared" si="22"/>
        <v>0</v>
      </c>
    </row>
    <row r="46" spans="1:14" x14ac:dyDescent="0.25">
      <c r="A46" s="23" t="s">
        <v>119</v>
      </c>
      <c r="B46" s="24"/>
      <c r="C46" s="24"/>
      <c r="D46" s="45" t="s">
        <v>39</v>
      </c>
      <c r="E46" s="25"/>
      <c r="F46" s="46"/>
      <c r="G46" s="89"/>
      <c r="H46" s="90"/>
      <c r="I46" s="91"/>
      <c r="J46" s="92">
        <f>SUM(J47:J50)</f>
        <v>5501.4053490000006</v>
      </c>
      <c r="K46" s="92">
        <f t="shared" ref="K46:L46" si="24">SUM(K47:K50)</f>
        <v>0</v>
      </c>
      <c r="L46" s="92">
        <f t="shared" si="24"/>
        <v>5501.4053490000006</v>
      </c>
      <c r="M46" s="55">
        <f t="shared" ref="M46:M50" si="25">L46/J46</f>
        <v>1</v>
      </c>
    </row>
    <row r="47" spans="1:14" x14ac:dyDescent="0.25">
      <c r="A47" s="35" t="s">
        <v>120</v>
      </c>
      <c r="B47" s="41" t="s">
        <v>121</v>
      </c>
      <c r="C47" s="35" t="s">
        <v>0</v>
      </c>
      <c r="D47" s="41" t="s">
        <v>122</v>
      </c>
      <c r="E47" s="35" t="s">
        <v>1</v>
      </c>
      <c r="F47" s="33">
        <v>282.93049999999999</v>
      </c>
      <c r="G47" s="79"/>
      <c r="H47" s="54">
        <f>G47+N47</f>
        <v>282.93049999999999</v>
      </c>
      <c r="I47" s="80">
        <v>1.23</v>
      </c>
      <c r="J47" s="50">
        <f>F47*$I47</f>
        <v>348.00451499999997</v>
      </c>
      <c r="K47" s="53">
        <f>G47*$I47</f>
        <v>0</v>
      </c>
      <c r="L47" s="54">
        <f t="shared" ref="L47:L50" si="26">H47*$I47</f>
        <v>348.00451499999997</v>
      </c>
      <c r="M47" s="93">
        <f t="shared" si="25"/>
        <v>1</v>
      </c>
      <c r="N47" s="79">
        <v>282.93049999999999</v>
      </c>
    </row>
    <row r="48" spans="1:14" x14ac:dyDescent="0.25">
      <c r="A48" s="35" t="s">
        <v>123</v>
      </c>
      <c r="B48" s="41">
        <v>79472</v>
      </c>
      <c r="C48" s="35" t="s">
        <v>0</v>
      </c>
      <c r="D48" s="41" t="s">
        <v>124</v>
      </c>
      <c r="E48" s="35" t="s">
        <v>125</v>
      </c>
      <c r="F48" s="33">
        <v>282.93049999999999</v>
      </c>
      <c r="G48" s="79"/>
      <c r="H48" s="54">
        <f t="shared" ref="H48:H49" si="27">G48+N48</f>
        <v>282.93049999999999</v>
      </c>
      <c r="I48" s="80">
        <v>0.45</v>
      </c>
      <c r="J48" s="50">
        <f t="shared" ref="J48:J49" si="28">F48*$I48</f>
        <v>127.318725</v>
      </c>
      <c r="K48" s="53">
        <f t="shared" ref="K48:K49" si="29">G48*$I48</f>
        <v>0</v>
      </c>
      <c r="L48" s="54">
        <f t="shared" si="26"/>
        <v>127.318725</v>
      </c>
      <c r="M48" s="93">
        <f t="shared" si="25"/>
        <v>1</v>
      </c>
      <c r="N48" s="79">
        <v>282.93049999999999</v>
      </c>
    </row>
    <row r="49" spans="1:14" ht="47.25" x14ac:dyDescent="0.25">
      <c r="A49" s="35" t="s">
        <v>126</v>
      </c>
      <c r="B49" s="41"/>
      <c r="C49" s="35" t="s">
        <v>53</v>
      </c>
      <c r="D49" s="41" t="s">
        <v>127</v>
      </c>
      <c r="E49" s="35" t="s">
        <v>1</v>
      </c>
      <c r="F49" s="33">
        <v>351.23689999999999</v>
      </c>
      <c r="G49" s="79"/>
      <c r="H49" s="54">
        <f t="shared" si="27"/>
        <v>351.23689999999999</v>
      </c>
      <c r="I49" s="80">
        <v>4.6100000000000003</v>
      </c>
      <c r="J49" s="50">
        <f t="shared" si="28"/>
        <v>1619.2021090000001</v>
      </c>
      <c r="K49" s="53">
        <f t="shared" si="29"/>
        <v>0</v>
      </c>
      <c r="L49" s="54">
        <f t="shared" si="26"/>
        <v>1619.2021090000001</v>
      </c>
      <c r="M49" s="93">
        <f t="shared" si="25"/>
        <v>1</v>
      </c>
      <c r="N49" s="79">
        <v>351.23689999999999</v>
      </c>
    </row>
    <row r="50" spans="1:14" ht="53.25" customHeight="1" x14ac:dyDescent="0.25">
      <c r="A50" s="35" t="s">
        <v>128</v>
      </c>
      <c r="B50" s="41" t="s">
        <v>43</v>
      </c>
      <c r="C50" s="35" t="s">
        <v>0</v>
      </c>
      <c r="D50" s="41" t="s">
        <v>129</v>
      </c>
      <c r="E50" s="94" t="s">
        <v>1</v>
      </c>
      <c r="F50" s="42">
        <v>8</v>
      </c>
      <c r="G50" s="79"/>
      <c r="H50" s="54">
        <f>G50+N50</f>
        <v>8</v>
      </c>
      <c r="I50" s="95">
        <v>425.86</v>
      </c>
      <c r="J50" s="50">
        <f>F50*$I50</f>
        <v>3406.88</v>
      </c>
      <c r="K50" s="53">
        <f>G50*$I50</f>
        <v>0</v>
      </c>
      <c r="L50" s="54">
        <f t="shared" si="26"/>
        <v>3406.88</v>
      </c>
      <c r="M50" s="93">
        <f t="shared" si="25"/>
        <v>1</v>
      </c>
      <c r="N50" s="79">
        <v>8</v>
      </c>
    </row>
    <row r="51" spans="1:14" x14ac:dyDescent="0.25">
      <c r="A51" s="23" t="s">
        <v>130</v>
      </c>
      <c r="B51" s="24"/>
      <c r="C51" s="24"/>
      <c r="D51" s="45" t="s">
        <v>131</v>
      </c>
      <c r="E51" s="25"/>
      <c r="F51" s="46"/>
      <c r="G51" s="89"/>
      <c r="H51" s="90"/>
      <c r="I51" s="91"/>
      <c r="J51" s="92">
        <f>SUM(J52:J53)</f>
        <v>3003.2732325000002</v>
      </c>
      <c r="K51" s="92">
        <f t="shared" ref="K51:L51" si="30">SUM(K52:K53)</f>
        <v>0</v>
      </c>
      <c r="L51" s="92">
        <f t="shared" si="30"/>
        <v>3003.2732325000002</v>
      </c>
      <c r="M51" s="55">
        <f t="shared" ref="M51:M59" si="31">L51/J51</f>
        <v>1</v>
      </c>
    </row>
    <row r="52" spans="1:14" ht="31.5" x14ac:dyDescent="0.25">
      <c r="A52" s="35" t="s">
        <v>132</v>
      </c>
      <c r="B52" s="41">
        <v>93358</v>
      </c>
      <c r="C52" s="35" t="s">
        <v>0</v>
      </c>
      <c r="D52" s="41" t="s">
        <v>133</v>
      </c>
      <c r="E52" s="35" t="s">
        <v>59</v>
      </c>
      <c r="F52" s="33">
        <v>10.71129</v>
      </c>
      <c r="G52" s="79"/>
      <c r="H52" s="54">
        <f>G52+N52</f>
        <v>10.71129</v>
      </c>
      <c r="I52" s="80">
        <v>61.25</v>
      </c>
      <c r="J52" s="50">
        <f>F52*$I52</f>
        <v>656.06651250000004</v>
      </c>
      <c r="K52" s="53">
        <f>G52*$I52</f>
        <v>0</v>
      </c>
      <c r="L52" s="54">
        <f t="shared" ref="L52:L53" si="32">H52*$I52</f>
        <v>656.06651250000004</v>
      </c>
      <c r="M52" s="93">
        <f t="shared" si="31"/>
        <v>1</v>
      </c>
      <c r="N52" s="79">
        <v>10.71129</v>
      </c>
    </row>
    <row r="53" spans="1:14" ht="53.25" customHeight="1" x14ac:dyDescent="0.25">
      <c r="A53" s="35" t="s">
        <v>134</v>
      </c>
      <c r="B53" s="41">
        <v>94342</v>
      </c>
      <c r="C53" s="35" t="s">
        <v>0</v>
      </c>
      <c r="D53" s="41" t="s">
        <v>135</v>
      </c>
      <c r="E53" s="94" t="s">
        <v>59</v>
      </c>
      <c r="F53" s="42">
        <v>24.496000000000002</v>
      </c>
      <c r="G53" s="79"/>
      <c r="H53" s="54">
        <f>G53+N53</f>
        <v>24.496000000000002</v>
      </c>
      <c r="I53" s="95">
        <v>95.82</v>
      </c>
      <c r="J53" s="50">
        <f>F53*$I53</f>
        <v>2347.2067200000001</v>
      </c>
      <c r="K53" s="53">
        <f>G53*$I53</f>
        <v>0</v>
      </c>
      <c r="L53" s="54">
        <f t="shared" si="32"/>
        <v>2347.2067200000001</v>
      </c>
      <c r="M53" s="93">
        <f t="shared" si="31"/>
        <v>1</v>
      </c>
      <c r="N53" s="79">
        <v>24.496000000000002</v>
      </c>
    </row>
    <row r="54" spans="1:14" x14ac:dyDescent="0.25">
      <c r="A54" s="23" t="s">
        <v>136</v>
      </c>
      <c r="B54" s="24"/>
      <c r="C54" s="24"/>
      <c r="D54" s="45" t="s">
        <v>137</v>
      </c>
      <c r="E54" s="25"/>
      <c r="F54" s="46"/>
      <c r="G54" s="89"/>
      <c r="H54" s="90"/>
      <c r="I54" s="91"/>
      <c r="J54" s="92">
        <f>SUM(J55:J59)</f>
        <v>13631.594493000004</v>
      </c>
      <c r="K54" s="92">
        <f t="shared" ref="K54:L54" si="33">SUM(K55:K59)</f>
        <v>0</v>
      </c>
      <c r="L54" s="92">
        <f t="shared" si="33"/>
        <v>13631.594493000004</v>
      </c>
      <c r="M54" s="55">
        <f t="shared" si="31"/>
        <v>1</v>
      </c>
      <c r="N54" s="89"/>
    </row>
    <row r="55" spans="1:14" ht="47.25" x14ac:dyDescent="0.25">
      <c r="A55" s="35" t="s">
        <v>138</v>
      </c>
      <c r="B55" s="41">
        <v>94962</v>
      </c>
      <c r="C55" s="35" t="s">
        <v>0</v>
      </c>
      <c r="D55" s="41" t="s">
        <v>139</v>
      </c>
      <c r="E55" s="35" t="s">
        <v>140</v>
      </c>
      <c r="F55" s="33">
        <v>0.44019000000000008</v>
      </c>
      <c r="G55" s="79"/>
      <c r="H55" s="54">
        <f>G55+N55</f>
        <v>0.44019000000000008</v>
      </c>
      <c r="I55" s="80">
        <v>273.17</v>
      </c>
      <c r="J55" s="50">
        <f>F55*$I55</f>
        <v>120.24670230000002</v>
      </c>
      <c r="K55" s="53">
        <f>G55*$I55</f>
        <v>0</v>
      </c>
      <c r="L55" s="54">
        <f t="shared" ref="L55:L59" si="34">H55*$I55</f>
        <v>120.24670230000002</v>
      </c>
      <c r="M55" s="93">
        <f t="shared" si="31"/>
        <v>1</v>
      </c>
      <c r="N55" s="79">
        <v>0.44019000000000008</v>
      </c>
    </row>
    <row r="56" spans="1:14" ht="31.5" x14ac:dyDescent="0.25">
      <c r="A56" s="35" t="s">
        <v>141</v>
      </c>
      <c r="B56" s="41">
        <v>92873</v>
      </c>
      <c r="C56" s="35" t="s">
        <v>0</v>
      </c>
      <c r="D56" s="41" t="s">
        <v>142</v>
      </c>
      <c r="E56" s="35" t="s">
        <v>140</v>
      </c>
      <c r="F56" s="33">
        <v>0.44019000000000008</v>
      </c>
      <c r="G56" s="79"/>
      <c r="H56" s="54">
        <f t="shared" ref="H56:H58" si="35">G56+N56</f>
        <v>0.44019000000000008</v>
      </c>
      <c r="I56" s="80">
        <v>158.53</v>
      </c>
      <c r="J56" s="50">
        <f t="shared" ref="J56:J58" si="36">F56*$I56</f>
        <v>69.783320700000019</v>
      </c>
      <c r="K56" s="53">
        <f t="shared" ref="K56:K58" si="37">G56*$I56</f>
        <v>0</v>
      </c>
      <c r="L56" s="54">
        <f t="shared" si="34"/>
        <v>69.783320700000019</v>
      </c>
      <c r="M56" s="93">
        <f t="shared" si="31"/>
        <v>1</v>
      </c>
      <c r="N56" s="79">
        <v>0.44019000000000008</v>
      </c>
    </row>
    <row r="57" spans="1:14" ht="31.5" x14ac:dyDescent="0.25">
      <c r="A57" s="35" t="s">
        <v>143</v>
      </c>
      <c r="B57" s="41">
        <v>95467</v>
      </c>
      <c r="C57" s="35" t="s">
        <v>0</v>
      </c>
      <c r="D57" s="41" t="s">
        <v>144</v>
      </c>
      <c r="E57" s="35" t="s">
        <v>140</v>
      </c>
      <c r="F57" s="33">
        <v>24.455000000000005</v>
      </c>
      <c r="G57" s="79"/>
      <c r="H57" s="54">
        <f t="shared" si="35"/>
        <v>24.455000000000005</v>
      </c>
      <c r="I57" s="80">
        <v>396.86</v>
      </c>
      <c r="J57" s="50">
        <f t="shared" si="36"/>
        <v>9705.2113000000027</v>
      </c>
      <c r="K57" s="53">
        <f t="shared" si="37"/>
        <v>0</v>
      </c>
      <c r="L57" s="54">
        <f t="shared" si="34"/>
        <v>9705.2113000000027</v>
      </c>
      <c r="M57" s="93">
        <f t="shared" si="31"/>
        <v>1</v>
      </c>
      <c r="N57" s="79">
        <v>24.455000000000005</v>
      </c>
    </row>
    <row r="58" spans="1:14" ht="47.25" x14ac:dyDescent="0.25">
      <c r="A58" s="35" t="s">
        <v>145</v>
      </c>
      <c r="B58" s="41">
        <v>95955</v>
      </c>
      <c r="C58" s="35" t="s">
        <v>0</v>
      </c>
      <c r="D58" s="41" t="s">
        <v>146</v>
      </c>
      <c r="E58" s="35" t="s">
        <v>59</v>
      </c>
      <c r="F58" s="33">
        <v>1.5782000000000003</v>
      </c>
      <c r="G58" s="79"/>
      <c r="H58" s="54">
        <f t="shared" si="35"/>
        <v>1.5782000000000003</v>
      </c>
      <c r="I58" s="80">
        <v>2242.15</v>
      </c>
      <c r="J58" s="50">
        <f t="shared" si="36"/>
        <v>3538.561130000001</v>
      </c>
      <c r="K58" s="53">
        <f t="shared" si="37"/>
        <v>0</v>
      </c>
      <c r="L58" s="54">
        <f t="shared" si="34"/>
        <v>3538.561130000001</v>
      </c>
      <c r="M58" s="93">
        <f t="shared" si="31"/>
        <v>1</v>
      </c>
      <c r="N58" s="79">
        <v>1.5782000000000003</v>
      </c>
    </row>
    <row r="59" spans="1:14" ht="53.25" customHeight="1" x14ac:dyDescent="0.25">
      <c r="A59" s="35" t="s">
        <v>147</v>
      </c>
      <c r="B59" s="41" t="s">
        <v>148</v>
      </c>
      <c r="C59" s="35" t="s">
        <v>0</v>
      </c>
      <c r="D59" s="41" t="s">
        <v>149</v>
      </c>
      <c r="E59" s="94" t="s">
        <v>1</v>
      </c>
      <c r="F59" s="42">
        <v>19.564000000000007</v>
      </c>
      <c r="G59" s="79"/>
      <c r="H59" s="54">
        <f>G59+N59</f>
        <v>19.564000000000007</v>
      </c>
      <c r="I59" s="95">
        <v>10.11</v>
      </c>
      <c r="J59" s="50">
        <f>F59*$I59</f>
        <v>197.79204000000007</v>
      </c>
      <c r="K59" s="53">
        <f>G59*$I59</f>
        <v>0</v>
      </c>
      <c r="L59" s="54">
        <f t="shared" si="34"/>
        <v>197.79204000000007</v>
      </c>
      <c r="M59" s="93">
        <f t="shared" si="31"/>
        <v>1</v>
      </c>
      <c r="N59" s="79">
        <v>19.564000000000007</v>
      </c>
    </row>
    <row r="60" spans="1:14" x14ac:dyDescent="0.25">
      <c r="A60" s="23" t="s">
        <v>150</v>
      </c>
      <c r="B60" s="24"/>
      <c r="C60" s="24"/>
      <c r="D60" s="45" t="s">
        <v>151</v>
      </c>
      <c r="E60" s="25"/>
      <c r="F60" s="46"/>
      <c r="G60" s="89"/>
      <c r="H60" s="90"/>
      <c r="I60" s="91"/>
      <c r="J60" s="92">
        <f>SUM(J61:J62)</f>
        <v>17399.3005725</v>
      </c>
      <c r="K60" s="92">
        <f t="shared" ref="K60:L60" si="38">SUM(K61:K62)</f>
        <v>0</v>
      </c>
      <c r="L60" s="92">
        <f t="shared" si="38"/>
        <v>17399.3005725</v>
      </c>
      <c r="M60" s="55">
        <f t="shared" ref="M60:M70" si="39">L60/J60</f>
        <v>1</v>
      </c>
      <c r="N60" s="89"/>
    </row>
    <row r="61" spans="1:14" ht="63" x14ac:dyDescent="0.25">
      <c r="A61" s="35" t="s">
        <v>152</v>
      </c>
      <c r="B61" s="41">
        <v>87495</v>
      </c>
      <c r="C61" s="35" t="s">
        <v>0</v>
      </c>
      <c r="D61" s="41" t="s">
        <v>153</v>
      </c>
      <c r="E61" s="35" t="s">
        <v>80</v>
      </c>
      <c r="F61" s="33">
        <v>149.12700000000001</v>
      </c>
      <c r="G61" s="79"/>
      <c r="H61" s="54">
        <f>G61+N61</f>
        <v>149.12700000000001</v>
      </c>
      <c r="I61" s="80">
        <v>63.61</v>
      </c>
      <c r="J61" s="50">
        <f>F61*$I61</f>
        <v>9485.9684699999998</v>
      </c>
      <c r="K61" s="53">
        <f>G61*$I61</f>
        <v>0</v>
      </c>
      <c r="L61" s="54">
        <f t="shared" ref="L61:L62" si="40">H61*$I61</f>
        <v>9485.9684699999998</v>
      </c>
      <c r="M61" s="93">
        <f t="shared" si="39"/>
        <v>1</v>
      </c>
      <c r="N61" s="79">
        <v>149.12700000000001</v>
      </c>
    </row>
    <row r="62" spans="1:14" ht="53.25" customHeight="1" x14ac:dyDescent="0.25">
      <c r="A62" s="35" t="s">
        <v>154</v>
      </c>
      <c r="B62" s="41">
        <v>95955</v>
      </c>
      <c r="C62" s="35" t="s">
        <v>0</v>
      </c>
      <c r="D62" s="41" t="s">
        <v>155</v>
      </c>
      <c r="E62" s="94" t="s">
        <v>140</v>
      </c>
      <c r="F62" s="42">
        <v>3.52935</v>
      </c>
      <c r="G62" s="79"/>
      <c r="H62" s="54">
        <f>G62+N62</f>
        <v>3.52935</v>
      </c>
      <c r="I62" s="95">
        <v>2242.15</v>
      </c>
      <c r="J62" s="50">
        <f>F62*$I62</f>
        <v>7913.3321025000005</v>
      </c>
      <c r="K62" s="53">
        <f>G62*$I62</f>
        <v>0</v>
      </c>
      <c r="L62" s="54">
        <f t="shared" si="40"/>
        <v>7913.3321025000005</v>
      </c>
      <c r="M62" s="93">
        <f t="shared" si="39"/>
        <v>1</v>
      </c>
      <c r="N62" s="79">
        <v>3.52935</v>
      </c>
    </row>
    <row r="63" spans="1:14" x14ac:dyDescent="0.25">
      <c r="A63" s="23" t="s">
        <v>156</v>
      </c>
      <c r="B63" s="24"/>
      <c r="C63" s="24"/>
      <c r="D63" s="45" t="s">
        <v>83</v>
      </c>
      <c r="E63" s="25"/>
      <c r="F63" s="46"/>
      <c r="G63" s="89"/>
      <c r="H63" s="90"/>
      <c r="I63" s="91"/>
      <c r="J63" s="92">
        <f>SUM(J64:J70)-0.01</f>
        <v>18684.600216000003</v>
      </c>
      <c r="K63" s="92">
        <f t="shared" ref="K63:L63" si="41">SUM(K64:K70)</f>
        <v>18684.610216000001</v>
      </c>
      <c r="L63" s="92">
        <f t="shared" si="41"/>
        <v>18684.610216000001</v>
      </c>
      <c r="M63" s="55">
        <f t="shared" si="39"/>
        <v>1.0000005352001051</v>
      </c>
    </row>
    <row r="64" spans="1:14" ht="63" x14ac:dyDescent="0.25">
      <c r="A64" s="35" t="s">
        <v>157</v>
      </c>
      <c r="B64" s="41"/>
      <c r="C64" s="35" t="s">
        <v>53</v>
      </c>
      <c r="D64" s="41" t="s">
        <v>158</v>
      </c>
      <c r="E64" s="35" t="s">
        <v>1</v>
      </c>
      <c r="F64" s="33">
        <v>61.24</v>
      </c>
      <c r="G64" s="79">
        <f>F64</f>
        <v>61.24</v>
      </c>
      <c r="H64" s="54">
        <f>G64+N64</f>
        <v>61.24</v>
      </c>
      <c r="I64" s="80">
        <v>94.75</v>
      </c>
      <c r="J64" s="50">
        <f>F64*$I64</f>
        <v>5802.49</v>
      </c>
      <c r="K64" s="53">
        <f>G64*$I64</f>
        <v>5802.49</v>
      </c>
      <c r="L64" s="54">
        <f t="shared" ref="L64:L70" si="42">H64*$I64</f>
        <v>5802.49</v>
      </c>
      <c r="M64" s="93">
        <f t="shared" si="39"/>
        <v>1</v>
      </c>
    </row>
    <row r="65" spans="1:13" ht="31.5" x14ac:dyDescent="0.25">
      <c r="A65" s="35" t="s">
        <v>159</v>
      </c>
      <c r="B65" s="41">
        <v>92542</v>
      </c>
      <c r="C65" s="35" t="s">
        <v>0</v>
      </c>
      <c r="D65" s="41" t="s">
        <v>160</v>
      </c>
      <c r="E65" s="35" t="s">
        <v>1</v>
      </c>
      <c r="F65" s="33">
        <v>44.821599999999997</v>
      </c>
      <c r="G65" s="79">
        <f t="shared" ref="G65:G70" si="43">F65</f>
        <v>44.821599999999997</v>
      </c>
      <c r="H65" s="54">
        <f t="shared" ref="H65:H69" si="44">G65+N65</f>
        <v>44.821599999999997</v>
      </c>
      <c r="I65" s="80">
        <v>69.11</v>
      </c>
      <c r="J65" s="50">
        <f t="shared" ref="J65:J69" si="45">F65*$I65</f>
        <v>3097.6207759999998</v>
      </c>
      <c r="K65" s="53">
        <f t="shared" ref="K65:K69" si="46">G65*$I65</f>
        <v>3097.6207759999998</v>
      </c>
      <c r="L65" s="54">
        <f t="shared" si="42"/>
        <v>3097.6207759999998</v>
      </c>
      <c r="M65" s="93">
        <f t="shared" si="39"/>
        <v>1</v>
      </c>
    </row>
    <row r="66" spans="1:13" ht="31.5" x14ac:dyDescent="0.25">
      <c r="A66" s="35" t="s">
        <v>161</v>
      </c>
      <c r="B66" s="41">
        <v>94204</v>
      </c>
      <c r="C66" s="35" t="s">
        <v>0</v>
      </c>
      <c r="D66" s="41" t="s">
        <v>162</v>
      </c>
      <c r="E66" s="35" t="s">
        <v>1</v>
      </c>
      <c r="F66" s="33">
        <v>44.821599999999997</v>
      </c>
      <c r="G66" s="79">
        <f t="shared" si="43"/>
        <v>44.821599999999997</v>
      </c>
      <c r="H66" s="54">
        <f t="shared" si="44"/>
        <v>44.821599999999997</v>
      </c>
      <c r="I66" s="80">
        <v>32.4</v>
      </c>
      <c r="J66" s="50">
        <f t="shared" si="45"/>
        <v>1452.2198399999997</v>
      </c>
      <c r="K66" s="53">
        <f t="shared" si="46"/>
        <v>1452.2198399999997</v>
      </c>
      <c r="L66" s="54">
        <f t="shared" si="42"/>
        <v>1452.2198399999997</v>
      </c>
      <c r="M66" s="93">
        <f t="shared" si="39"/>
        <v>1</v>
      </c>
    </row>
    <row r="67" spans="1:13" ht="31.5" x14ac:dyDescent="0.25">
      <c r="A67" s="35" t="s">
        <v>163</v>
      </c>
      <c r="B67" s="41" t="s">
        <v>164</v>
      </c>
      <c r="C67" s="35" t="s">
        <v>0</v>
      </c>
      <c r="D67" s="41" t="s">
        <v>165</v>
      </c>
      <c r="E67" s="35" t="s">
        <v>1</v>
      </c>
      <c r="F67" s="33">
        <v>61.24</v>
      </c>
      <c r="G67" s="79">
        <f t="shared" si="43"/>
        <v>61.24</v>
      </c>
      <c r="H67" s="54">
        <f t="shared" si="44"/>
        <v>61.24</v>
      </c>
      <c r="I67" s="80">
        <v>92.84</v>
      </c>
      <c r="J67" s="50">
        <f t="shared" si="45"/>
        <v>5685.5216</v>
      </c>
      <c r="K67" s="53">
        <f t="shared" si="46"/>
        <v>5685.5216</v>
      </c>
      <c r="L67" s="54">
        <f t="shared" si="42"/>
        <v>5685.5216</v>
      </c>
      <c r="M67" s="93">
        <f t="shared" si="39"/>
        <v>1</v>
      </c>
    </row>
    <row r="68" spans="1:13" ht="47.25" x14ac:dyDescent="0.25">
      <c r="A68" s="35" t="s">
        <v>166</v>
      </c>
      <c r="B68" s="41">
        <v>94229</v>
      </c>
      <c r="C68" s="35" t="s">
        <v>0</v>
      </c>
      <c r="D68" s="41" t="s">
        <v>167</v>
      </c>
      <c r="E68" s="35" t="s">
        <v>1</v>
      </c>
      <c r="F68" s="33">
        <v>1.26</v>
      </c>
      <c r="G68" s="79">
        <f t="shared" si="43"/>
        <v>1.26</v>
      </c>
      <c r="H68" s="54">
        <f t="shared" si="44"/>
        <v>1.26</v>
      </c>
      <c r="I68" s="80">
        <v>132.78</v>
      </c>
      <c r="J68" s="50">
        <f t="shared" si="45"/>
        <v>167.30279999999999</v>
      </c>
      <c r="K68" s="53">
        <f t="shared" si="46"/>
        <v>167.30279999999999</v>
      </c>
      <c r="L68" s="54">
        <f t="shared" si="42"/>
        <v>167.30279999999999</v>
      </c>
      <c r="M68" s="93">
        <f t="shared" si="39"/>
        <v>1</v>
      </c>
    </row>
    <row r="69" spans="1:13" ht="31.5" x14ac:dyDescent="0.25">
      <c r="A69" s="35" t="s">
        <v>168</v>
      </c>
      <c r="B69" s="41">
        <v>100435</v>
      </c>
      <c r="C69" s="35" t="s">
        <v>0</v>
      </c>
      <c r="D69" s="41" t="s">
        <v>169</v>
      </c>
      <c r="E69" s="35" t="s">
        <v>42</v>
      </c>
      <c r="F69" s="33">
        <v>20.58</v>
      </c>
      <c r="G69" s="79">
        <f t="shared" si="43"/>
        <v>20.58</v>
      </c>
      <c r="H69" s="54">
        <f t="shared" si="44"/>
        <v>20.58</v>
      </c>
      <c r="I69" s="80">
        <v>33.380000000000003</v>
      </c>
      <c r="J69" s="50">
        <f t="shared" si="45"/>
        <v>686.96040000000005</v>
      </c>
      <c r="K69" s="53">
        <f t="shared" si="46"/>
        <v>686.96040000000005</v>
      </c>
      <c r="L69" s="54">
        <f t="shared" si="42"/>
        <v>686.96040000000005</v>
      </c>
      <c r="M69" s="93">
        <f t="shared" si="39"/>
        <v>1</v>
      </c>
    </row>
    <row r="70" spans="1:13" ht="53.25" customHeight="1" x14ac:dyDescent="0.25">
      <c r="A70" s="35" t="s">
        <v>170</v>
      </c>
      <c r="B70" s="41">
        <v>96113</v>
      </c>
      <c r="C70" s="35" t="s">
        <v>0</v>
      </c>
      <c r="D70" s="41" t="s">
        <v>171</v>
      </c>
      <c r="E70" s="94" t="s">
        <v>1</v>
      </c>
      <c r="F70" s="42">
        <v>61.24</v>
      </c>
      <c r="G70" s="79">
        <f t="shared" si="43"/>
        <v>61.24</v>
      </c>
      <c r="H70" s="54">
        <f>G70+N70</f>
        <v>61.24</v>
      </c>
      <c r="I70" s="95">
        <v>29.27</v>
      </c>
      <c r="J70" s="50">
        <f>F70*$I70</f>
        <v>1792.4947999999999</v>
      </c>
      <c r="K70" s="53">
        <f>G70*$I70</f>
        <v>1792.4947999999999</v>
      </c>
      <c r="L70" s="54">
        <f t="shared" si="42"/>
        <v>1792.4947999999999</v>
      </c>
      <c r="M70" s="93">
        <f t="shared" si="39"/>
        <v>1</v>
      </c>
    </row>
    <row r="71" spans="1:13" x14ac:dyDescent="0.25">
      <c r="A71" s="23" t="s">
        <v>172</v>
      </c>
      <c r="B71" s="24"/>
      <c r="C71" s="24"/>
      <c r="D71" s="45" t="s">
        <v>92</v>
      </c>
      <c r="E71" s="25"/>
      <c r="F71" s="46"/>
      <c r="G71" s="89"/>
      <c r="H71" s="90"/>
      <c r="I71" s="91"/>
      <c r="J71" s="92">
        <f>SUM(J72:J78)</f>
        <v>2817.0378000000005</v>
      </c>
      <c r="K71" s="92">
        <f t="shared" ref="K71:L71" si="47">SUM(K72:K78)</f>
        <v>0</v>
      </c>
      <c r="L71" s="92">
        <f t="shared" si="47"/>
        <v>0</v>
      </c>
      <c r="M71" s="55">
        <f t="shared" ref="M71:M83" si="48">L71/J71</f>
        <v>0</v>
      </c>
    </row>
    <row r="72" spans="1:13" ht="78.75" x14ac:dyDescent="0.25">
      <c r="A72" s="35" t="s">
        <v>173</v>
      </c>
      <c r="B72" s="41">
        <v>90843</v>
      </c>
      <c r="C72" s="35" t="s">
        <v>0</v>
      </c>
      <c r="D72" s="41" t="s">
        <v>174</v>
      </c>
      <c r="E72" s="35" t="s">
        <v>51</v>
      </c>
      <c r="F72" s="33">
        <v>2</v>
      </c>
      <c r="G72" s="79"/>
      <c r="H72" s="54">
        <f>G72+N72</f>
        <v>0</v>
      </c>
      <c r="I72" s="80">
        <v>803.08</v>
      </c>
      <c r="J72" s="50">
        <f>F72*$I72</f>
        <v>1606.16</v>
      </c>
      <c r="K72" s="53">
        <f>G72*$I72</f>
        <v>0</v>
      </c>
      <c r="L72" s="54">
        <f t="shared" ref="L72:L78" si="49">H72*$I72</f>
        <v>0</v>
      </c>
      <c r="M72" s="93">
        <f t="shared" si="48"/>
        <v>0</v>
      </c>
    </row>
    <row r="73" spans="1:13" ht="78.75" x14ac:dyDescent="0.25">
      <c r="A73" s="35" t="s">
        <v>175</v>
      </c>
      <c r="B73" s="41">
        <v>90842</v>
      </c>
      <c r="C73" s="35" t="s">
        <v>0</v>
      </c>
      <c r="D73" s="41" t="s">
        <v>176</v>
      </c>
      <c r="E73" s="35"/>
      <c r="F73" s="33">
        <v>1</v>
      </c>
      <c r="G73" s="79"/>
      <c r="H73" s="54">
        <f t="shared" ref="H73:H77" si="50">G73+N73</f>
        <v>0</v>
      </c>
      <c r="I73" s="80">
        <v>779.48</v>
      </c>
      <c r="J73" s="50">
        <f t="shared" ref="J73:J77" si="51">F73*$I73</f>
        <v>779.48</v>
      </c>
      <c r="K73" s="53">
        <f t="shared" ref="K73:K77" si="52">G73*$I73</f>
        <v>0</v>
      </c>
      <c r="L73" s="54">
        <f t="shared" si="49"/>
        <v>0</v>
      </c>
      <c r="M73" s="93">
        <f t="shared" si="48"/>
        <v>0</v>
      </c>
    </row>
    <row r="74" spans="1:13" ht="31.5" x14ac:dyDescent="0.25">
      <c r="A74" s="35" t="s">
        <v>177</v>
      </c>
      <c r="B74" s="41">
        <v>93190</v>
      </c>
      <c r="C74" s="35" t="s">
        <v>0</v>
      </c>
      <c r="D74" s="41" t="s">
        <v>178</v>
      </c>
      <c r="E74" s="35" t="s">
        <v>42</v>
      </c>
      <c r="F74" s="33">
        <v>4.0999999999999996</v>
      </c>
      <c r="G74" s="79"/>
      <c r="H74" s="54">
        <f t="shared" si="50"/>
        <v>0</v>
      </c>
      <c r="I74" s="80">
        <v>29.31</v>
      </c>
      <c r="J74" s="50">
        <f t="shared" si="51"/>
        <v>120.17099999999998</v>
      </c>
      <c r="K74" s="53">
        <f t="shared" si="52"/>
        <v>0</v>
      </c>
      <c r="L74" s="54">
        <f t="shared" si="49"/>
        <v>0</v>
      </c>
      <c r="M74" s="93">
        <f t="shared" si="48"/>
        <v>0</v>
      </c>
    </row>
    <row r="75" spans="1:13" ht="47.25" x14ac:dyDescent="0.25">
      <c r="A75" s="35" t="s">
        <v>179</v>
      </c>
      <c r="B75" s="41">
        <v>93198</v>
      </c>
      <c r="C75" s="35" t="s">
        <v>0</v>
      </c>
      <c r="D75" s="41" t="s">
        <v>180</v>
      </c>
      <c r="E75" s="35" t="s">
        <v>42</v>
      </c>
      <c r="F75" s="33">
        <v>0.6</v>
      </c>
      <c r="G75" s="79"/>
      <c r="H75" s="54">
        <f t="shared" si="50"/>
        <v>0</v>
      </c>
      <c r="I75" s="80">
        <v>25.31</v>
      </c>
      <c r="J75" s="50">
        <f t="shared" si="51"/>
        <v>15.185999999999998</v>
      </c>
      <c r="K75" s="53">
        <f t="shared" si="52"/>
        <v>0</v>
      </c>
      <c r="L75" s="54">
        <f t="shared" si="49"/>
        <v>0</v>
      </c>
      <c r="M75" s="93">
        <f t="shared" si="48"/>
        <v>0</v>
      </c>
    </row>
    <row r="76" spans="1:13" ht="31.5" x14ac:dyDescent="0.25">
      <c r="A76" s="35" t="s">
        <v>181</v>
      </c>
      <c r="B76" s="41">
        <v>93191</v>
      </c>
      <c r="C76" s="35" t="s">
        <v>0</v>
      </c>
      <c r="D76" s="41" t="s">
        <v>182</v>
      </c>
      <c r="E76" s="35" t="s">
        <v>42</v>
      </c>
      <c r="F76" s="33">
        <v>3.6</v>
      </c>
      <c r="G76" s="79"/>
      <c r="H76" s="54">
        <f t="shared" si="50"/>
        <v>0</v>
      </c>
      <c r="I76" s="80">
        <v>30.46</v>
      </c>
      <c r="J76" s="50">
        <f t="shared" si="51"/>
        <v>109.65600000000001</v>
      </c>
      <c r="K76" s="53">
        <f t="shared" si="52"/>
        <v>0</v>
      </c>
      <c r="L76" s="54">
        <f t="shared" si="49"/>
        <v>0</v>
      </c>
      <c r="M76" s="93">
        <f t="shared" si="48"/>
        <v>0</v>
      </c>
    </row>
    <row r="77" spans="1:13" ht="47.25" x14ac:dyDescent="0.25">
      <c r="A77" s="35" t="s">
        <v>183</v>
      </c>
      <c r="B77" s="41">
        <v>93199</v>
      </c>
      <c r="C77" s="35" t="s">
        <v>0</v>
      </c>
      <c r="D77" s="41" t="s">
        <v>184</v>
      </c>
      <c r="E77" s="35" t="s">
        <v>42</v>
      </c>
      <c r="F77" s="33">
        <v>3.6</v>
      </c>
      <c r="G77" s="79"/>
      <c r="H77" s="54">
        <f t="shared" si="50"/>
        <v>0</v>
      </c>
      <c r="I77" s="80">
        <v>24.87</v>
      </c>
      <c r="J77" s="50">
        <f t="shared" si="51"/>
        <v>89.532000000000011</v>
      </c>
      <c r="K77" s="53">
        <f t="shared" si="52"/>
        <v>0</v>
      </c>
      <c r="L77" s="54">
        <f t="shared" si="49"/>
        <v>0</v>
      </c>
      <c r="M77" s="93">
        <f t="shared" si="48"/>
        <v>0</v>
      </c>
    </row>
    <row r="78" spans="1:13" ht="53.25" customHeight="1" x14ac:dyDescent="0.25">
      <c r="A78" s="35" t="s">
        <v>185</v>
      </c>
      <c r="B78" s="41">
        <v>94581</v>
      </c>
      <c r="C78" s="35" t="s">
        <v>0</v>
      </c>
      <c r="D78" s="41" t="s">
        <v>186</v>
      </c>
      <c r="E78" s="94" t="s">
        <v>1</v>
      </c>
      <c r="F78" s="42">
        <v>0.16000000000000003</v>
      </c>
      <c r="G78" s="79"/>
      <c r="H78" s="54">
        <f>G78+N78</f>
        <v>0</v>
      </c>
      <c r="I78" s="95">
        <v>605.33000000000004</v>
      </c>
      <c r="J78" s="50">
        <f>F78*$I78</f>
        <v>96.85280000000003</v>
      </c>
      <c r="K78" s="53">
        <f>G78*$I78</f>
        <v>0</v>
      </c>
      <c r="L78" s="54">
        <f t="shared" si="49"/>
        <v>0</v>
      </c>
      <c r="M78" s="93">
        <f t="shared" si="48"/>
        <v>0</v>
      </c>
    </row>
    <row r="79" spans="1:13" x14ac:dyDescent="0.25">
      <c r="A79" s="23" t="s">
        <v>187</v>
      </c>
      <c r="B79" s="24"/>
      <c r="C79" s="24"/>
      <c r="D79" s="45" t="s">
        <v>188</v>
      </c>
      <c r="E79" s="25"/>
      <c r="F79" s="46"/>
      <c r="G79" s="89"/>
      <c r="H79" s="90"/>
      <c r="I79" s="91"/>
      <c r="J79" s="92">
        <f>SUM(J80:J83)</f>
        <v>11258.42772</v>
      </c>
      <c r="K79" s="92">
        <f t="shared" ref="K79:L79" si="53">SUM(K80:K83)</f>
        <v>4406.417805</v>
      </c>
      <c r="L79" s="92">
        <f t="shared" si="53"/>
        <v>4406.417805</v>
      </c>
      <c r="M79" s="55">
        <f t="shared" si="48"/>
        <v>0.39138838162741257</v>
      </c>
    </row>
    <row r="80" spans="1:13" ht="47.25" x14ac:dyDescent="0.25">
      <c r="A80" s="35" t="s">
        <v>189</v>
      </c>
      <c r="B80" s="41">
        <v>87878</v>
      </c>
      <c r="C80" s="35" t="s">
        <v>0</v>
      </c>
      <c r="D80" s="41" t="s">
        <v>190</v>
      </c>
      <c r="E80" s="35" t="s">
        <v>1</v>
      </c>
      <c r="F80" s="33">
        <v>303.084</v>
      </c>
      <c r="G80" s="79">
        <f>F80</f>
        <v>303.084</v>
      </c>
      <c r="H80" s="54">
        <f>G80+N80</f>
        <v>303.084</v>
      </c>
      <c r="I80" s="80">
        <v>3.36</v>
      </c>
      <c r="J80" s="50">
        <f>F80*$I80</f>
        <v>1018.3622399999999</v>
      </c>
      <c r="K80" s="53">
        <f>G80*$I80</f>
        <v>1018.3622399999999</v>
      </c>
      <c r="L80" s="54">
        <f t="shared" ref="L80:L83" si="54">H80*$I80</f>
        <v>1018.3622399999999</v>
      </c>
      <c r="M80" s="93">
        <f t="shared" si="48"/>
        <v>1</v>
      </c>
    </row>
    <row r="81" spans="1:13" ht="63" x14ac:dyDescent="0.25">
      <c r="A81" s="35" t="s">
        <v>191</v>
      </c>
      <c r="B81" s="41">
        <v>87527</v>
      </c>
      <c r="C81" s="35" t="s">
        <v>0</v>
      </c>
      <c r="D81" s="41" t="s">
        <v>192</v>
      </c>
      <c r="E81" s="35" t="s">
        <v>80</v>
      </c>
      <c r="F81" s="33">
        <v>16.615500000000001</v>
      </c>
      <c r="G81" s="79">
        <f t="shared" ref="G81" si="55">F81</f>
        <v>16.615500000000001</v>
      </c>
      <c r="H81" s="54">
        <f t="shared" ref="H81:H82" si="56">G81+N81</f>
        <v>16.615500000000001</v>
      </c>
      <c r="I81" s="80">
        <v>28.23</v>
      </c>
      <c r="J81" s="50">
        <f t="shared" ref="J81:J82" si="57">F81*$I81</f>
        <v>469.05556500000006</v>
      </c>
      <c r="K81" s="53">
        <f t="shared" ref="K81:K82" si="58">G81*$I81</f>
        <v>469.05556500000006</v>
      </c>
      <c r="L81" s="54">
        <f t="shared" si="54"/>
        <v>469.05556500000006</v>
      </c>
      <c r="M81" s="93">
        <f t="shared" si="48"/>
        <v>1</v>
      </c>
    </row>
    <row r="82" spans="1:13" ht="63" x14ac:dyDescent="0.25">
      <c r="A82" s="35" t="s">
        <v>193</v>
      </c>
      <c r="B82" s="41">
        <v>87264</v>
      </c>
      <c r="C82" s="35" t="s">
        <v>0</v>
      </c>
      <c r="D82" s="41" t="s">
        <v>194</v>
      </c>
      <c r="E82" s="35" t="s">
        <v>80</v>
      </c>
      <c r="F82" s="33">
        <v>16.615500000000001</v>
      </c>
      <c r="G82" s="79"/>
      <c r="H82" s="54">
        <f t="shared" si="56"/>
        <v>0</v>
      </c>
      <c r="I82" s="80">
        <v>55.61</v>
      </c>
      <c r="J82" s="50">
        <f t="shared" si="57"/>
        <v>923.98795500000006</v>
      </c>
      <c r="K82" s="53">
        <f t="shared" si="58"/>
        <v>0</v>
      </c>
      <c r="L82" s="54">
        <f t="shared" si="54"/>
        <v>0</v>
      </c>
      <c r="M82" s="93">
        <f t="shared" si="48"/>
        <v>0</v>
      </c>
    </row>
    <row r="83" spans="1:13" ht="53.25" customHeight="1" x14ac:dyDescent="0.25">
      <c r="A83" s="35" t="s">
        <v>195</v>
      </c>
      <c r="B83" s="41">
        <v>87530</v>
      </c>
      <c r="C83" s="35" t="s">
        <v>0</v>
      </c>
      <c r="D83" s="41" t="s">
        <v>196</v>
      </c>
      <c r="E83" s="94" t="s">
        <v>80</v>
      </c>
      <c r="F83" s="42">
        <v>303.084</v>
      </c>
      <c r="G83" s="79">
        <v>100</v>
      </c>
      <c r="H83" s="54">
        <f>G83+N83</f>
        <v>100</v>
      </c>
      <c r="I83" s="95">
        <v>29.19</v>
      </c>
      <c r="J83" s="97">
        <f>F83*$I83</f>
        <v>8847.02196</v>
      </c>
      <c r="K83" s="53">
        <f>G83*$I83</f>
        <v>2919</v>
      </c>
      <c r="L83" s="54">
        <f t="shared" si="54"/>
        <v>2919</v>
      </c>
      <c r="M83" s="93">
        <f t="shared" si="48"/>
        <v>0.32994153436011137</v>
      </c>
    </row>
    <row r="84" spans="1:13" x14ac:dyDescent="0.25">
      <c r="A84" s="23" t="s">
        <v>197</v>
      </c>
      <c r="B84" s="24"/>
      <c r="C84" s="24"/>
      <c r="D84" s="45" t="s">
        <v>40</v>
      </c>
      <c r="E84" s="25"/>
      <c r="F84" s="46"/>
      <c r="G84" s="89"/>
      <c r="H84" s="90"/>
      <c r="I84" s="91"/>
      <c r="J84" s="92">
        <f>SUM(J85:J87)</f>
        <v>5310.8636000000006</v>
      </c>
      <c r="K84" s="92">
        <f t="shared" ref="K84:L84" si="59">SUM(K85:K87)</f>
        <v>0</v>
      </c>
      <c r="L84" s="92">
        <f t="shared" si="59"/>
        <v>0</v>
      </c>
      <c r="M84" s="55">
        <f t="shared" ref="M84:M87" si="60">L84/J84</f>
        <v>0</v>
      </c>
    </row>
    <row r="85" spans="1:13" ht="78.75" x14ac:dyDescent="0.25">
      <c r="A85" s="35" t="s">
        <v>198</v>
      </c>
      <c r="B85" s="41">
        <v>94439</v>
      </c>
      <c r="C85" s="35" t="s">
        <v>0</v>
      </c>
      <c r="D85" s="41" t="s">
        <v>199</v>
      </c>
      <c r="E85" s="35" t="s">
        <v>1</v>
      </c>
      <c r="F85" s="33">
        <v>55.68</v>
      </c>
      <c r="G85" s="79"/>
      <c r="H85" s="54">
        <f>G85+N85</f>
        <v>0</v>
      </c>
      <c r="I85" s="80">
        <v>38.31</v>
      </c>
      <c r="J85" s="50">
        <f t="shared" ref="J85:K87" si="61">F85*$I85</f>
        <v>2133.1008000000002</v>
      </c>
      <c r="K85" s="53">
        <f t="shared" si="61"/>
        <v>0</v>
      </c>
      <c r="L85" s="54">
        <f t="shared" ref="L85:L87" si="62">H85*$I85</f>
        <v>0</v>
      </c>
      <c r="M85" s="93">
        <f t="shared" si="60"/>
        <v>0</v>
      </c>
    </row>
    <row r="86" spans="1:13" ht="47.25" x14ac:dyDescent="0.25">
      <c r="A86" s="35" t="s">
        <v>200</v>
      </c>
      <c r="B86" s="41">
        <v>87246</v>
      </c>
      <c r="C86" s="35" t="s">
        <v>0</v>
      </c>
      <c r="D86" s="41" t="s">
        <v>79</v>
      </c>
      <c r="E86" s="35" t="s">
        <v>80</v>
      </c>
      <c r="F86" s="33">
        <v>55.68</v>
      </c>
      <c r="G86" s="79"/>
      <c r="H86" s="54">
        <f>G86+N86</f>
        <v>0</v>
      </c>
      <c r="I86" s="80">
        <v>52.13</v>
      </c>
      <c r="J86" s="50">
        <f t="shared" si="61"/>
        <v>2902.5984000000003</v>
      </c>
      <c r="K86" s="53">
        <f t="shared" si="61"/>
        <v>0</v>
      </c>
      <c r="L86" s="54">
        <f t="shared" si="62"/>
        <v>0</v>
      </c>
      <c r="M86" s="93">
        <f t="shared" si="60"/>
        <v>0</v>
      </c>
    </row>
    <row r="87" spans="1:13" ht="53.25" customHeight="1" x14ac:dyDescent="0.25">
      <c r="A87" s="35" t="s">
        <v>201</v>
      </c>
      <c r="B87" s="41">
        <v>96467</v>
      </c>
      <c r="C87" s="35" t="s">
        <v>0</v>
      </c>
      <c r="D87" s="41" t="s">
        <v>202</v>
      </c>
      <c r="E87" s="94" t="s">
        <v>42</v>
      </c>
      <c r="F87" s="42">
        <v>49.49</v>
      </c>
      <c r="G87" s="79"/>
      <c r="H87" s="54">
        <f>G87+N87</f>
        <v>0</v>
      </c>
      <c r="I87" s="95">
        <v>5.56</v>
      </c>
      <c r="J87" s="50">
        <f t="shared" si="61"/>
        <v>275.1644</v>
      </c>
      <c r="K87" s="53">
        <f t="shared" si="61"/>
        <v>0</v>
      </c>
      <c r="L87" s="54">
        <f t="shared" si="62"/>
        <v>0</v>
      </c>
      <c r="M87" s="93">
        <f t="shared" si="60"/>
        <v>0</v>
      </c>
    </row>
    <row r="88" spans="1:13" x14ac:dyDescent="0.25">
      <c r="A88" s="23" t="s">
        <v>203</v>
      </c>
      <c r="B88" s="24"/>
      <c r="C88" s="24"/>
      <c r="D88" s="45" t="s">
        <v>204</v>
      </c>
      <c r="E88" s="25"/>
      <c r="F88" s="46"/>
      <c r="G88" s="89"/>
      <c r="H88" s="90"/>
      <c r="I88" s="91"/>
      <c r="J88" s="92">
        <f>SUM(J89:J107)</f>
        <v>1348.5892999999999</v>
      </c>
      <c r="K88" s="92">
        <f t="shared" ref="K88:L88" si="63">SUM(K89:K107)</f>
        <v>1348.5892999999999</v>
      </c>
      <c r="L88" s="92">
        <f t="shared" si="63"/>
        <v>1348.5892999999999</v>
      </c>
      <c r="M88" s="55">
        <f t="shared" ref="M88:M106" si="64">L88/J88</f>
        <v>1</v>
      </c>
    </row>
    <row r="89" spans="1:13" ht="31.5" x14ac:dyDescent="0.25">
      <c r="A89" s="35" t="s">
        <v>205</v>
      </c>
      <c r="B89" s="41">
        <v>89401</v>
      </c>
      <c r="C89" s="35" t="s">
        <v>0</v>
      </c>
      <c r="D89" s="41" t="s">
        <v>206</v>
      </c>
      <c r="E89" s="35" t="s">
        <v>42</v>
      </c>
      <c r="F89" s="33">
        <v>3.45</v>
      </c>
      <c r="G89" s="79">
        <f>F89</f>
        <v>3.45</v>
      </c>
      <c r="H89" s="54">
        <f>G89+N89</f>
        <v>3.45</v>
      </c>
      <c r="I89" s="80">
        <v>5.66</v>
      </c>
      <c r="J89" s="50">
        <f>F89*$I89</f>
        <v>19.527000000000001</v>
      </c>
      <c r="K89" s="53">
        <f>G89*$I89</f>
        <v>19.527000000000001</v>
      </c>
      <c r="L89" s="54">
        <f t="shared" ref="L89:L106" si="65">H89*$I89</f>
        <v>19.527000000000001</v>
      </c>
      <c r="M89" s="93">
        <f t="shared" si="64"/>
        <v>1</v>
      </c>
    </row>
    <row r="90" spans="1:13" ht="47.25" x14ac:dyDescent="0.25">
      <c r="A90" s="35" t="s">
        <v>207</v>
      </c>
      <c r="B90" s="41">
        <v>96637</v>
      </c>
      <c r="C90" s="35" t="s">
        <v>0</v>
      </c>
      <c r="D90" s="41" t="s">
        <v>208</v>
      </c>
      <c r="E90" s="35" t="s">
        <v>209</v>
      </c>
      <c r="F90" s="33">
        <v>3</v>
      </c>
      <c r="G90" s="79">
        <f t="shared" ref="G90:G107" si="66">F90</f>
        <v>3</v>
      </c>
      <c r="H90" s="54">
        <f t="shared" ref="H90:H106" si="67">G90+N90</f>
        <v>3</v>
      </c>
      <c r="I90" s="80">
        <v>9.98</v>
      </c>
      <c r="J90" s="50">
        <f t="shared" ref="J90:J106" si="68">F90*$I90</f>
        <v>29.94</v>
      </c>
      <c r="K90" s="53">
        <f t="shared" ref="K90:K106" si="69">G90*$I90</f>
        <v>29.94</v>
      </c>
      <c r="L90" s="54">
        <f t="shared" si="65"/>
        <v>29.94</v>
      </c>
      <c r="M90" s="93">
        <f t="shared" si="64"/>
        <v>1</v>
      </c>
    </row>
    <row r="91" spans="1:13" ht="63" x14ac:dyDescent="0.25">
      <c r="A91" s="35" t="s">
        <v>210</v>
      </c>
      <c r="B91" s="41">
        <v>89394</v>
      </c>
      <c r="C91" s="35" t="s">
        <v>0</v>
      </c>
      <c r="D91" s="41" t="s">
        <v>211</v>
      </c>
      <c r="E91" s="35" t="s">
        <v>209</v>
      </c>
      <c r="F91" s="33">
        <v>1</v>
      </c>
      <c r="G91" s="79">
        <f t="shared" si="66"/>
        <v>1</v>
      </c>
      <c r="H91" s="54">
        <f t="shared" si="67"/>
        <v>1</v>
      </c>
      <c r="I91" s="80">
        <v>14.17</v>
      </c>
      <c r="J91" s="50">
        <f t="shared" si="68"/>
        <v>14.17</v>
      </c>
      <c r="K91" s="53">
        <f t="shared" si="69"/>
        <v>14.17</v>
      </c>
      <c r="L91" s="54">
        <f t="shared" si="65"/>
        <v>14.17</v>
      </c>
      <c r="M91" s="93">
        <f t="shared" si="64"/>
        <v>1</v>
      </c>
    </row>
    <row r="92" spans="1:13" ht="47.25" x14ac:dyDescent="0.25">
      <c r="A92" s="35" t="s">
        <v>212</v>
      </c>
      <c r="B92" s="41">
        <v>89404</v>
      </c>
      <c r="C92" s="35" t="s">
        <v>0</v>
      </c>
      <c r="D92" s="41" t="s">
        <v>213</v>
      </c>
      <c r="E92" s="35" t="s">
        <v>209</v>
      </c>
      <c r="F92" s="33">
        <v>1</v>
      </c>
      <c r="G92" s="79">
        <f t="shared" si="66"/>
        <v>1</v>
      </c>
      <c r="H92" s="54">
        <f t="shared" si="67"/>
        <v>1</v>
      </c>
      <c r="I92" s="80">
        <v>3.45</v>
      </c>
      <c r="J92" s="50">
        <f t="shared" si="68"/>
        <v>3.45</v>
      </c>
      <c r="K92" s="53">
        <f t="shared" si="69"/>
        <v>3.45</v>
      </c>
      <c r="L92" s="54">
        <f t="shared" si="65"/>
        <v>3.45</v>
      </c>
      <c r="M92" s="93">
        <f t="shared" si="64"/>
        <v>1</v>
      </c>
    </row>
    <row r="93" spans="1:13" ht="31.5" x14ac:dyDescent="0.25">
      <c r="A93" s="35" t="s">
        <v>214</v>
      </c>
      <c r="B93" s="41">
        <v>89714</v>
      </c>
      <c r="C93" s="35" t="s">
        <v>0</v>
      </c>
      <c r="D93" s="41" t="s">
        <v>215</v>
      </c>
      <c r="E93" s="35" t="s">
        <v>42</v>
      </c>
      <c r="F93" s="33">
        <v>6.93</v>
      </c>
      <c r="G93" s="79">
        <f t="shared" si="66"/>
        <v>6.93</v>
      </c>
      <c r="H93" s="54">
        <f t="shared" si="67"/>
        <v>6.93</v>
      </c>
      <c r="I93" s="80">
        <v>38.43</v>
      </c>
      <c r="J93" s="50">
        <f t="shared" si="68"/>
        <v>266.31989999999996</v>
      </c>
      <c r="K93" s="53">
        <f t="shared" si="69"/>
        <v>266.31989999999996</v>
      </c>
      <c r="L93" s="54">
        <f t="shared" si="65"/>
        <v>266.31989999999996</v>
      </c>
      <c r="M93" s="93">
        <f t="shared" si="64"/>
        <v>1</v>
      </c>
    </row>
    <row r="94" spans="1:13" ht="31.5" x14ac:dyDescent="0.25">
      <c r="A94" s="35" t="s">
        <v>216</v>
      </c>
      <c r="B94" s="41">
        <v>89712</v>
      </c>
      <c r="C94" s="35" t="s">
        <v>0</v>
      </c>
      <c r="D94" s="41" t="s">
        <v>217</v>
      </c>
      <c r="E94" s="35" t="s">
        <v>42</v>
      </c>
      <c r="F94" s="33">
        <v>2.1</v>
      </c>
      <c r="G94" s="79">
        <f t="shared" si="66"/>
        <v>2.1</v>
      </c>
      <c r="H94" s="54">
        <f t="shared" si="67"/>
        <v>2.1</v>
      </c>
      <c r="I94" s="80">
        <v>19.88</v>
      </c>
      <c r="J94" s="50">
        <f t="shared" si="68"/>
        <v>41.747999999999998</v>
      </c>
      <c r="K94" s="53">
        <f t="shared" si="69"/>
        <v>41.747999999999998</v>
      </c>
      <c r="L94" s="54">
        <f t="shared" si="65"/>
        <v>41.747999999999998</v>
      </c>
      <c r="M94" s="93">
        <f t="shared" si="64"/>
        <v>1</v>
      </c>
    </row>
    <row r="95" spans="1:13" ht="31.5" x14ac:dyDescent="0.25">
      <c r="A95" s="35" t="s">
        <v>218</v>
      </c>
      <c r="B95" s="41">
        <v>89711</v>
      </c>
      <c r="C95" s="35" t="s">
        <v>0</v>
      </c>
      <c r="D95" s="41" t="s">
        <v>219</v>
      </c>
      <c r="E95" s="35" t="s">
        <v>42</v>
      </c>
      <c r="F95" s="33">
        <v>3.84</v>
      </c>
      <c r="G95" s="79">
        <f t="shared" si="66"/>
        <v>3.84</v>
      </c>
      <c r="H95" s="54">
        <f t="shared" si="67"/>
        <v>3.84</v>
      </c>
      <c r="I95" s="80">
        <v>13.66</v>
      </c>
      <c r="J95" s="50">
        <f t="shared" si="68"/>
        <v>52.4544</v>
      </c>
      <c r="K95" s="53">
        <f t="shared" si="69"/>
        <v>52.4544</v>
      </c>
      <c r="L95" s="54">
        <f t="shared" si="65"/>
        <v>52.4544</v>
      </c>
      <c r="M95" s="93">
        <f t="shared" si="64"/>
        <v>1</v>
      </c>
    </row>
    <row r="96" spans="1:13" x14ac:dyDescent="0.25">
      <c r="A96" s="35" t="s">
        <v>220</v>
      </c>
      <c r="B96" s="41">
        <v>89495</v>
      </c>
      <c r="C96" s="35" t="s">
        <v>0</v>
      </c>
      <c r="D96" s="41" t="s">
        <v>221</v>
      </c>
      <c r="E96" s="35" t="s">
        <v>209</v>
      </c>
      <c r="F96" s="33">
        <v>2</v>
      </c>
      <c r="G96" s="79">
        <f t="shared" si="66"/>
        <v>2</v>
      </c>
      <c r="H96" s="54">
        <f t="shared" si="67"/>
        <v>2</v>
      </c>
      <c r="I96" s="80">
        <v>6.43</v>
      </c>
      <c r="J96" s="50">
        <f t="shared" si="68"/>
        <v>12.86</v>
      </c>
      <c r="K96" s="53">
        <f t="shared" si="69"/>
        <v>12.86</v>
      </c>
      <c r="L96" s="54">
        <f t="shared" si="65"/>
        <v>12.86</v>
      </c>
      <c r="M96" s="93">
        <f t="shared" si="64"/>
        <v>1</v>
      </c>
    </row>
    <row r="97" spans="1:13" ht="47.25" x14ac:dyDescent="0.25">
      <c r="A97" s="35" t="s">
        <v>222</v>
      </c>
      <c r="B97" s="41">
        <v>89778</v>
      </c>
      <c r="C97" s="35" t="s">
        <v>0</v>
      </c>
      <c r="D97" s="41" t="s">
        <v>223</v>
      </c>
      <c r="E97" s="35" t="s">
        <v>209</v>
      </c>
      <c r="F97" s="33">
        <v>8</v>
      </c>
      <c r="G97" s="79">
        <f t="shared" si="66"/>
        <v>8</v>
      </c>
      <c r="H97" s="54">
        <f t="shared" si="67"/>
        <v>8</v>
      </c>
      <c r="I97" s="80">
        <v>12.65</v>
      </c>
      <c r="J97" s="50">
        <f t="shared" si="68"/>
        <v>101.2</v>
      </c>
      <c r="K97" s="53">
        <f t="shared" si="69"/>
        <v>101.2</v>
      </c>
      <c r="L97" s="54">
        <f t="shared" si="65"/>
        <v>101.2</v>
      </c>
      <c r="M97" s="93">
        <f t="shared" si="64"/>
        <v>1</v>
      </c>
    </row>
    <row r="98" spans="1:13" ht="47.25" x14ac:dyDescent="0.25">
      <c r="A98" s="35" t="s">
        <v>224</v>
      </c>
      <c r="B98" s="41">
        <v>89813</v>
      </c>
      <c r="C98" s="35" t="s">
        <v>0</v>
      </c>
      <c r="D98" s="41" t="s">
        <v>225</v>
      </c>
      <c r="E98" s="35" t="s">
        <v>209</v>
      </c>
      <c r="F98" s="33">
        <v>2</v>
      </c>
      <c r="G98" s="79">
        <f t="shared" si="66"/>
        <v>2</v>
      </c>
      <c r="H98" s="54">
        <f t="shared" si="67"/>
        <v>2</v>
      </c>
      <c r="I98" s="80">
        <v>4.4000000000000004</v>
      </c>
      <c r="J98" s="50">
        <f t="shared" si="68"/>
        <v>8.8000000000000007</v>
      </c>
      <c r="K98" s="53">
        <f t="shared" si="69"/>
        <v>8.8000000000000007</v>
      </c>
      <c r="L98" s="54">
        <f t="shared" si="65"/>
        <v>8.8000000000000007</v>
      </c>
      <c r="M98" s="93">
        <f t="shared" si="64"/>
        <v>1</v>
      </c>
    </row>
    <row r="99" spans="1:13" ht="47.25" x14ac:dyDescent="0.25">
      <c r="A99" s="35" t="s">
        <v>226</v>
      </c>
      <c r="B99" s="41" t="s">
        <v>227</v>
      </c>
      <c r="C99" s="35" t="s">
        <v>0</v>
      </c>
      <c r="D99" s="41" t="s">
        <v>228</v>
      </c>
      <c r="E99" s="35" t="s">
        <v>209</v>
      </c>
      <c r="F99" s="33">
        <v>4</v>
      </c>
      <c r="G99" s="79">
        <f t="shared" si="66"/>
        <v>4</v>
      </c>
      <c r="H99" s="54">
        <f t="shared" si="67"/>
        <v>4</v>
      </c>
      <c r="I99" s="80">
        <v>4.09</v>
      </c>
      <c r="J99" s="50">
        <f t="shared" si="68"/>
        <v>16.36</v>
      </c>
      <c r="K99" s="53">
        <f t="shared" si="69"/>
        <v>16.36</v>
      </c>
      <c r="L99" s="54">
        <f t="shared" si="65"/>
        <v>16.36</v>
      </c>
      <c r="M99" s="93">
        <f t="shared" si="64"/>
        <v>1</v>
      </c>
    </row>
    <row r="100" spans="1:13" ht="47.25" x14ac:dyDescent="0.25">
      <c r="A100" s="35" t="s">
        <v>229</v>
      </c>
      <c r="B100" s="41">
        <v>89802</v>
      </c>
      <c r="C100" s="35" t="s">
        <v>0</v>
      </c>
      <c r="D100" s="41" t="s">
        <v>230</v>
      </c>
      <c r="E100" s="35" t="s">
        <v>209</v>
      </c>
      <c r="F100" s="33">
        <v>2</v>
      </c>
      <c r="G100" s="79">
        <f t="shared" si="66"/>
        <v>2</v>
      </c>
      <c r="H100" s="54">
        <f t="shared" si="67"/>
        <v>2</v>
      </c>
      <c r="I100" s="80">
        <v>4.9000000000000004</v>
      </c>
      <c r="J100" s="50">
        <f t="shared" si="68"/>
        <v>9.8000000000000007</v>
      </c>
      <c r="K100" s="53">
        <f t="shared" si="69"/>
        <v>9.8000000000000007</v>
      </c>
      <c r="L100" s="54">
        <f t="shared" si="65"/>
        <v>9.8000000000000007</v>
      </c>
      <c r="M100" s="93">
        <f t="shared" si="64"/>
        <v>1</v>
      </c>
    </row>
    <row r="101" spans="1:13" ht="47.25" x14ac:dyDescent="0.25">
      <c r="A101" s="35" t="s">
        <v>231</v>
      </c>
      <c r="B101" s="41" t="s">
        <v>227</v>
      </c>
      <c r="C101" s="35" t="s">
        <v>0</v>
      </c>
      <c r="D101" s="41" t="s">
        <v>232</v>
      </c>
      <c r="E101" s="35" t="s">
        <v>209</v>
      </c>
      <c r="F101" s="33">
        <v>4</v>
      </c>
      <c r="G101" s="79">
        <f t="shared" si="66"/>
        <v>4</v>
      </c>
      <c r="H101" s="54">
        <f t="shared" si="67"/>
        <v>4</v>
      </c>
      <c r="I101" s="80">
        <v>4.26</v>
      </c>
      <c r="J101" s="50">
        <f t="shared" si="68"/>
        <v>17.04</v>
      </c>
      <c r="K101" s="53">
        <f t="shared" si="69"/>
        <v>17.04</v>
      </c>
      <c r="L101" s="54">
        <f t="shared" si="65"/>
        <v>17.04</v>
      </c>
      <c r="M101" s="93">
        <f t="shared" si="64"/>
        <v>1</v>
      </c>
    </row>
    <row r="102" spans="1:13" ht="47.25" x14ac:dyDescent="0.25">
      <c r="A102" s="35" t="s">
        <v>233</v>
      </c>
      <c r="B102" s="41">
        <v>89834</v>
      </c>
      <c r="C102" s="35" t="s">
        <v>0</v>
      </c>
      <c r="D102" s="41" t="s">
        <v>234</v>
      </c>
      <c r="E102" s="35" t="s">
        <v>209</v>
      </c>
      <c r="F102" s="33">
        <v>2</v>
      </c>
      <c r="G102" s="79">
        <f t="shared" si="66"/>
        <v>2</v>
      </c>
      <c r="H102" s="54">
        <f t="shared" si="67"/>
        <v>2</v>
      </c>
      <c r="I102" s="80">
        <v>25.07</v>
      </c>
      <c r="J102" s="50">
        <f t="shared" si="68"/>
        <v>50.14</v>
      </c>
      <c r="K102" s="53">
        <f t="shared" si="69"/>
        <v>50.14</v>
      </c>
      <c r="L102" s="54">
        <f t="shared" si="65"/>
        <v>50.14</v>
      </c>
      <c r="M102" s="93">
        <f t="shared" si="64"/>
        <v>1</v>
      </c>
    </row>
    <row r="103" spans="1:13" ht="47.25" x14ac:dyDescent="0.25">
      <c r="A103" s="35" t="s">
        <v>235</v>
      </c>
      <c r="B103" s="41" t="s">
        <v>227</v>
      </c>
      <c r="C103" s="35" t="s">
        <v>0</v>
      </c>
      <c r="D103" s="41" t="s">
        <v>236</v>
      </c>
      <c r="E103" s="35" t="s">
        <v>209</v>
      </c>
      <c r="F103" s="33">
        <v>2</v>
      </c>
      <c r="G103" s="79">
        <f t="shared" si="66"/>
        <v>2</v>
      </c>
      <c r="H103" s="54">
        <f t="shared" si="67"/>
        <v>2</v>
      </c>
      <c r="I103" s="80">
        <v>30.72</v>
      </c>
      <c r="J103" s="50">
        <f t="shared" si="68"/>
        <v>61.44</v>
      </c>
      <c r="K103" s="53">
        <f t="shared" si="69"/>
        <v>61.44</v>
      </c>
      <c r="L103" s="54">
        <f t="shared" si="65"/>
        <v>61.44</v>
      </c>
      <c r="M103" s="93">
        <f t="shared" si="64"/>
        <v>1</v>
      </c>
    </row>
    <row r="104" spans="1:13" ht="47.25" x14ac:dyDescent="0.25">
      <c r="A104" s="35" t="s">
        <v>237</v>
      </c>
      <c r="B104" s="41" t="s">
        <v>227</v>
      </c>
      <c r="C104" s="35" t="s">
        <v>0</v>
      </c>
      <c r="D104" s="41" t="s">
        <v>238</v>
      </c>
      <c r="E104" s="35" t="s">
        <v>209</v>
      </c>
      <c r="F104" s="33">
        <v>2</v>
      </c>
      <c r="G104" s="79">
        <f t="shared" si="66"/>
        <v>2</v>
      </c>
      <c r="H104" s="54">
        <f t="shared" si="67"/>
        <v>2</v>
      </c>
      <c r="I104" s="80">
        <v>17.079999999999998</v>
      </c>
      <c r="J104" s="50">
        <f t="shared" si="68"/>
        <v>34.159999999999997</v>
      </c>
      <c r="K104" s="53">
        <f t="shared" si="69"/>
        <v>34.159999999999997</v>
      </c>
      <c r="L104" s="54">
        <f t="shared" si="65"/>
        <v>34.159999999999997</v>
      </c>
      <c r="M104" s="93">
        <f t="shared" si="64"/>
        <v>1</v>
      </c>
    </row>
    <row r="105" spans="1:13" x14ac:dyDescent="0.25">
      <c r="A105" s="35" t="s">
        <v>239</v>
      </c>
      <c r="B105" s="41" t="s">
        <v>240</v>
      </c>
      <c r="C105" s="35" t="s">
        <v>0</v>
      </c>
      <c r="D105" s="41" t="s">
        <v>241</v>
      </c>
      <c r="E105" s="35" t="s">
        <v>209</v>
      </c>
      <c r="F105" s="33">
        <v>1</v>
      </c>
      <c r="G105" s="79">
        <f t="shared" si="66"/>
        <v>1</v>
      </c>
      <c r="H105" s="54">
        <f t="shared" si="67"/>
        <v>1</v>
      </c>
      <c r="I105" s="80">
        <v>4.3899999999999997</v>
      </c>
      <c r="J105" s="50">
        <f t="shared" si="68"/>
        <v>4.3899999999999997</v>
      </c>
      <c r="K105" s="53">
        <f t="shared" si="69"/>
        <v>4.3899999999999997</v>
      </c>
      <c r="L105" s="54">
        <f t="shared" si="65"/>
        <v>4.3899999999999997</v>
      </c>
      <c r="M105" s="93">
        <f t="shared" si="64"/>
        <v>1</v>
      </c>
    </row>
    <row r="106" spans="1:13" ht="47.25" x14ac:dyDescent="0.25">
      <c r="A106" s="35" t="s">
        <v>242</v>
      </c>
      <c r="B106" s="41">
        <v>86888</v>
      </c>
      <c r="C106" s="35" t="s">
        <v>0</v>
      </c>
      <c r="D106" s="41" t="s">
        <v>243</v>
      </c>
      <c r="E106" s="35" t="s">
        <v>209</v>
      </c>
      <c r="F106" s="33">
        <v>1</v>
      </c>
      <c r="G106" s="79">
        <f t="shared" si="66"/>
        <v>1</v>
      </c>
      <c r="H106" s="54">
        <f t="shared" si="67"/>
        <v>1</v>
      </c>
      <c r="I106" s="80">
        <v>413.34</v>
      </c>
      <c r="J106" s="50">
        <f t="shared" si="68"/>
        <v>413.34</v>
      </c>
      <c r="K106" s="53">
        <f t="shared" si="69"/>
        <v>413.34</v>
      </c>
      <c r="L106" s="54">
        <f t="shared" si="65"/>
        <v>413.34</v>
      </c>
      <c r="M106" s="93">
        <f t="shared" si="64"/>
        <v>1</v>
      </c>
    </row>
    <row r="107" spans="1:13" ht="78.75" x14ac:dyDescent="0.25">
      <c r="A107" s="35" t="s">
        <v>244</v>
      </c>
      <c r="B107" s="41">
        <v>86943</v>
      </c>
      <c r="C107" s="35" t="s">
        <v>0</v>
      </c>
      <c r="D107" s="41" t="s">
        <v>104</v>
      </c>
      <c r="E107" s="94" t="s">
        <v>51</v>
      </c>
      <c r="F107" s="42">
        <v>1</v>
      </c>
      <c r="G107" s="79">
        <f t="shared" si="66"/>
        <v>1</v>
      </c>
      <c r="H107" s="54">
        <f>G107+N107</f>
        <v>1</v>
      </c>
      <c r="I107" s="95">
        <v>191.45</v>
      </c>
      <c r="J107" s="50">
        <f>F107*$I107</f>
        <v>191.45</v>
      </c>
      <c r="K107" s="53">
        <f>G107*$I107</f>
        <v>191.45</v>
      </c>
      <c r="L107" s="54">
        <f t="shared" ref="L107" si="70">H107*$I107</f>
        <v>191.45</v>
      </c>
      <c r="M107" s="93">
        <f t="shared" ref="M107:M111" si="71">L107/J107</f>
        <v>1</v>
      </c>
    </row>
    <row r="108" spans="1:13" x14ac:dyDescent="0.25">
      <c r="A108" s="23" t="s">
        <v>245</v>
      </c>
      <c r="B108" s="24"/>
      <c r="C108" s="24"/>
      <c r="D108" s="45" t="s">
        <v>246</v>
      </c>
      <c r="E108" s="25"/>
      <c r="F108" s="46"/>
      <c r="G108" s="89"/>
      <c r="H108" s="90"/>
      <c r="I108" s="91"/>
      <c r="J108" s="92">
        <f>SUM(J109:J112)</f>
        <v>3448.64</v>
      </c>
      <c r="K108" s="92">
        <f t="shared" ref="K108:L108" si="72">SUM(K109:K112)</f>
        <v>0</v>
      </c>
      <c r="L108" s="92">
        <f t="shared" si="72"/>
        <v>0</v>
      </c>
      <c r="M108" s="55">
        <f t="shared" si="71"/>
        <v>0</v>
      </c>
    </row>
    <row r="109" spans="1:13" ht="47.25" x14ac:dyDescent="0.25">
      <c r="A109" s="35" t="s">
        <v>247</v>
      </c>
      <c r="B109" s="41">
        <v>93128</v>
      </c>
      <c r="C109" s="35" t="s">
        <v>0</v>
      </c>
      <c r="D109" s="41" t="s">
        <v>248</v>
      </c>
      <c r="E109" s="35" t="s">
        <v>209</v>
      </c>
      <c r="F109" s="33">
        <v>9</v>
      </c>
      <c r="G109" s="79"/>
      <c r="H109" s="54">
        <f>G109+N109</f>
        <v>0</v>
      </c>
      <c r="I109" s="80">
        <v>103.17</v>
      </c>
      <c r="J109" s="50">
        <f>F109*$I109</f>
        <v>928.53</v>
      </c>
      <c r="K109" s="53">
        <f>G109*$I109</f>
        <v>0</v>
      </c>
      <c r="L109" s="54">
        <f t="shared" ref="L109:L111" si="73">H109*$I109</f>
        <v>0</v>
      </c>
      <c r="M109" s="93">
        <f t="shared" si="71"/>
        <v>0</v>
      </c>
    </row>
    <row r="110" spans="1:13" ht="47.25" x14ac:dyDescent="0.25">
      <c r="A110" s="35" t="s">
        <v>249</v>
      </c>
      <c r="B110" s="41">
        <v>93141</v>
      </c>
      <c r="C110" s="35" t="s">
        <v>0</v>
      </c>
      <c r="D110" s="41" t="s">
        <v>250</v>
      </c>
      <c r="E110" s="35" t="s">
        <v>209</v>
      </c>
      <c r="F110" s="33">
        <v>8</v>
      </c>
      <c r="G110" s="79"/>
      <c r="H110" s="54">
        <f t="shared" ref="H110:H111" si="74">G110+N110</f>
        <v>0</v>
      </c>
      <c r="I110" s="80">
        <v>125.57</v>
      </c>
      <c r="J110" s="50">
        <f t="shared" ref="J110:J111" si="75">F110*$I110</f>
        <v>1004.56</v>
      </c>
      <c r="K110" s="53">
        <f t="shared" ref="K110:K111" si="76">G110*$I110</f>
        <v>0</v>
      </c>
      <c r="L110" s="54">
        <f t="shared" si="73"/>
        <v>0</v>
      </c>
      <c r="M110" s="93">
        <f t="shared" si="71"/>
        <v>0</v>
      </c>
    </row>
    <row r="111" spans="1:13" ht="47.25" x14ac:dyDescent="0.25">
      <c r="A111" s="35" t="s">
        <v>251</v>
      </c>
      <c r="B111" s="41">
        <v>93142</v>
      </c>
      <c r="C111" s="35" t="s">
        <v>0</v>
      </c>
      <c r="D111" s="41" t="s">
        <v>252</v>
      </c>
      <c r="E111" s="35" t="s">
        <v>209</v>
      </c>
      <c r="F111" s="33">
        <v>4</v>
      </c>
      <c r="G111" s="79"/>
      <c r="H111" s="54">
        <f t="shared" si="74"/>
        <v>0</v>
      </c>
      <c r="I111" s="80">
        <v>139.78</v>
      </c>
      <c r="J111" s="50">
        <f t="shared" si="75"/>
        <v>559.12</v>
      </c>
      <c r="K111" s="53">
        <f t="shared" si="76"/>
        <v>0</v>
      </c>
      <c r="L111" s="54">
        <f t="shared" si="73"/>
        <v>0</v>
      </c>
      <c r="M111" s="93">
        <f t="shared" si="71"/>
        <v>0</v>
      </c>
    </row>
    <row r="112" spans="1:13" ht="53.25" customHeight="1" x14ac:dyDescent="0.25">
      <c r="A112" s="35" t="s">
        <v>253</v>
      </c>
      <c r="B112" s="41"/>
      <c r="C112" s="35" t="s">
        <v>53</v>
      </c>
      <c r="D112" s="41" t="s">
        <v>254</v>
      </c>
      <c r="E112" s="94" t="s">
        <v>209</v>
      </c>
      <c r="F112" s="42">
        <v>9</v>
      </c>
      <c r="G112" s="79"/>
      <c r="H112" s="54">
        <f>G112+N112</f>
        <v>0</v>
      </c>
      <c r="I112" s="95">
        <v>106.27</v>
      </c>
      <c r="J112" s="50">
        <f>F112*$I112</f>
        <v>956.43</v>
      </c>
      <c r="K112" s="53">
        <f>G112*$I112</f>
        <v>0</v>
      </c>
      <c r="L112" s="54">
        <f t="shared" ref="L112" si="77">H112*$I112</f>
        <v>0</v>
      </c>
      <c r="M112" s="93">
        <f t="shared" ref="M112:M117" si="78">L112/J112</f>
        <v>0</v>
      </c>
    </row>
    <row r="113" spans="1:13" x14ac:dyDescent="0.25">
      <c r="A113" s="23" t="s">
        <v>255</v>
      </c>
      <c r="B113" s="24"/>
      <c r="C113" s="24"/>
      <c r="D113" s="45" t="s">
        <v>256</v>
      </c>
      <c r="E113" s="25"/>
      <c r="F113" s="46"/>
      <c r="G113" s="89"/>
      <c r="H113" s="90"/>
      <c r="I113" s="91"/>
      <c r="J113" s="92">
        <f>SUM(J114:J118)-0.01</f>
        <v>8319.3109999999997</v>
      </c>
      <c r="K113" s="92">
        <f t="shared" ref="K113:L113" si="79">SUM(K114:K118)</f>
        <v>0</v>
      </c>
      <c r="L113" s="92">
        <f t="shared" si="79"/>
        <v>0</v>
      </c>
      <c r="M113" s="55">
        <f t="shared" si="78"/>
        <v>0</v>
      </c>
    </row>
    <row r="114" spans="1:13" ht="31.5" x14ac:dyDescent="0.25">
      <c r="A114" s="35" t="s">
        <v>257</v>
      </c>
      <c r="B114" s="41" t="s">
        <v>94</v>
      </c>
      <c r="C114" s="35" t="s">
        <v>0</v>
      </c>
      <c r="D114" s="41" t="s">
        <v>258</v>
      </c>
      <c r="E114" s="35" t="s">
        <v>1</v>
      </c>
      <c r="F114" s="33">
        <v>5.0400000000000009</v>
      </c>
      <c r="G114" s="79"/>
      <c r="H114" s="54">
        <f>G114+N114</f>
        <v>0</v>
      </c>
      <c r="I114" s="80">
        <v>15.84</v>
      </c>
      <c r="J114" s="50">
        <f>F114*$I114</f>
        <v>79.833600000000018</v>
      </c>
      <c r="K114" s="53">
        <f>G114*$I114</f>
        <v>0</v>
      </c>
      <c r="L114" s="54">
        <f t="shared" ref="L114:L117" si="80">H114*$I114</f>
        <v>0</v>
      </c>
      <c r="M114" s="93">
        <f t="shared" si="78"/>
        <v>0</v>
      </c>
    </row>
    <row r="115" spans="1:13" ht="31.5" x14ac:dyDescent="0.25">
      <c r="A115" s="35" t="s">
        <v>259</v>
      </c>
      <c r="B115" s="41" t="s">
        <v>97</v>
      </c>
      <c r="C115" s="35" t="s">
        <v>0</v>
      </c>
      <c r="D115" s="41" t="s">
        <v>98</v>
      </c>
      <c r="E115" s="35" t="s">
        <v>1</v>
      </c>
      <c r="F115" s="33">
        <v>4.1999999999999993</v>
      </c>
      <c r="G115" s="79"/>
      <c r="H115" s="54">
        <f t="shared" ref="H115:H117" si="81">G115+N115</f>
        <v>0</v>
      </c>
      <c r="I115" s="80">
        <v>24.21</v>
      </c>
      <c r="J115" s="50">
        <f t="shared" ref="J115:J117" si="82">F115*$I115</f>
        <v>101.68199999999999</v>
      </c>
      <c r="K115" s="53">
        <f t="shared" ref="K115:K117" si="83">G115*$I115</f>
        <v>0</v>
      </c>
      <c r="L115" s="54">
        <f t="shared" si="80"/>
        <v>0</v>
      </c>
      <c r="M115" s="93">
        <f t="shared" si="78"/>
        <v>0</v>
      </c>
    </row>
    <row r="116" spans="1:13" ht="31.5" x14ac:dyDescent="0.25">
      <c r="A116" s="35" t="s">
        <v>260</v>
      </c>
      <c r="B116" s="41">
        <v>88497</v>
      </c>
      <c r="C116" s="35" t="s">
        <v>0</v>
      </c>
      <c r="D116" s="41" t="s">
        <v>69</v>
      </c>
      <c r="E116" s="35" t="s">
        <v>1</v>
      </c>
      <c r="F116" s="33">
        <v>303.084</v>
      </c>
      <c r="G116" s="79"/>
      <c r="H116" s="54">
        <f t="shared" si="81"/>
        <v>0</v>
      </c>
      <c r="I116" s="80">
        <v>11.44</v>
      </c>
      <c r="J116" s="50">
        <f t="shared" si="82"/>
        <v>3467.2809600000001</v>
      </c>
      <c r="K116" s="53">
        <f t="shared" si="83"/>
        <v>0</v>
      </c>
      <c r="L116" s="54">
        <f t="shared" si="80"/>
        <v>0</v>
      </c>
      <c r="M116" s="93">
        <f t="shared" si="78"/>
        <v>0</v>
      </c>
    </row>
    <row r="117" spans="1:13" ht="31.5" x14ac:dyDescent="0.25">
      <c r="A117" s="35" t="s">
        <v>261</v>
      </c>
      <c r="B117" s="41">
        <v>88485</v>
      </c>
      <c r="C117" s="35" t="s">
        <v>0</v>
      </c>
      <c r="D117" s="41" t="s">
        <v>71</v>
      </c>
      <c r="E117" s="35" t="s">
        <v>1</v>
      </c>
      <c r="F117" s="33">
        <v>303.084</v>
      </c>
      <c r="G117" s="79"/>
      <c r="H117" s="54">
        <f t="shared" si="81"/>
        <v>0</v>
      </c>
      <c r="I117" s="80">
        <v>2.0299999999999998</v>
      </c>
      <c r="J117" s="50">
        <f t="shared" si="82"/>
        <v>615.26051999999993</v>
      </c>
      <c r="K117" s="53">
        <f t="shared" si="83"/>
        <v>0</v>
      </c>
      <c r="L117" s="54">
        <f t="shared" si="80"/>
        <v>0</v>
      </c>
      <c r="M117" s="93">
        <f t="shared" si="78"/>
        <v>0</v>
      </c>
    </row>
    <row r="118" spans="1:13" ht="53.25" customHeight="1" x14ac:dyDescent="0.25">
      <c r="A118" s="35" t="s">
        <v>262</v>
      </c>
      <c r="B118" s="41">
        <v>88489</v>
      </c>
      <c r="C118" s="35" t="s">
        <v>0</v>
      </c>
      <c r="D118" s="41" t="s">
        <v>73</v>
      </c>
      <c r="E118" s="94" t="s">
        <v>1</v>
      </c>
      <c r="F118" s="42">
        <v>303.084</v>
      </c>
      <c r="G118" s="79"/>
      <c r="H118" s="54">
        <f>G118+N118</f>
        <v>0</v>
      </c>
      <c r="I118" s="95">
        <v>13.38</v>
      </c>
      <c r="J118" s="50">
        <f>F118*$I118</f>
        <v>4055.2639200000003</v>
      </c>
      <c r="K118" s="53">
        <f>G118*$I118</f>
        <v>0</v>
      </c>
      <c r="L118" s="54">
        <f t="shared" ref="L118" si="84">H118*$I118</f>
        <v>0</v>
      </c>
      <c r="M118" s="93">
        <f t="shared" ref="M118:M128" si="85">L118/J118</f>
        <v>0</v>
      </c>
    </row>
    <row r="119" spans="1:13" x14ac:dyDescent="0.25">
      <c r="A119" s="23" t="s">
        <v>263</v>
      </c>
      <c r="B119" s="24"/>
      <c r="C119" s="24"/>
      <c r="D119" s="45" t="s">
        <v>264</v>
      </c>
      <c r="E119" s="25"/>
      <c r="F119" s="46"/>
      <c r="G119" s="89"/>
      <c r="H119" s="90"/>
      <c r="I119" s="91"/>
      <c r="J119" s="92">
        <f>SUM(J120:J129)-0.01</f>
        <v>79242.517410000015</v>
      </c>
      <c r="K119" s="92">
        <f>SUM(K120:K129)</f>
        <v>0</v>
      </c>
      <c r="L119" s="92">
        <f>SUM(L120:L129)</f>
        <v>0</v>
      </c>
      <c r="M119" s="55">
        <f t="shared" si="85"/>
        <v>0</v>
      </c>
    </row>
    <row r="120" spans="1:13" ht="31.5" x14ac:dyDescent="0.25">
      <c r="A120" s="35" t="s">
        <v>265</v>
      </c>
      <c r="B120" s="41">
        <v>94342</v>
      </c>
      <c r="C120" s="35" t="s">
        <v>0</v>
      </c>
      <c r="D120" s="41" t="s">
        <v>135</v>
      </c>
      <c r="E120" s="35" t="s">
        <v>59</v>
      </c>
      <c r="F120" s="33">
        <v>112.91999999999999</v>
      </c>
      <c r="G120" s="79"/>
      <c r="H120" s="54">
        <f>G120+N120</f>
        <v>0</v>
      </c>
      <c r="I120" s="80">
        <v>95.82</v>
      </c>
      <c r="J120" s="50">
        <f>F120*$I120</f>
        <v>10819.994399999998</v>
      </c>
      <c r="K120" s="53">
        <f>G120*$I120</f>
        <v>0</v>
      </c>
      <c r="L120" s="54">
        <f t="shared" ref="L120:L128" si="86">H120*$I120</f>
        <v>0</v>
      </c>
      <c r="M120" s="93">
        <f t="shared" si="85"/>
        <v>0</v>
      </c>
    </row>
    <row r="121" spans="1:13" ht="47.25" x14ac:dyDescent="0.25">
      <c r="A121" s="35" t="s">
        <v>266</v>
      </c>
      <c r="B121" s="41">
        <v>94990</v>
      </c>
      <c r="C121" s="35" t="s">
        <v>0</v>
      </c>
      <c r="D121" s="41" t="s">
        <v>63</v>
      </c>
      <c r="E121" s="35" t="s">
        <v>59</v>
      </c>
      <c r="F121" s="33">
        <v>9.41</v>
      </c>
      <c r="G121" s="79"/>
      <c r="H121" s="54">
        <f t="shared" ref="H121:H128" si="87">G121+N121</f>
        <v>0</v>
      </c>
      <c r="I121" s="80">
        <v>573.96</v>
      </c>
      <c r="J121" s="50">
        <f t="shared" ref="J121:J128" si="88">F121*$I121</f>
        <v>5400.9636</v>
      </c>
      <c r="K121" s="53">
        <f t="shared" ref="K121:K128" si="89">G121*$I121</f>
        <v>0</v>
      </c>
      <c r="L121" s="54">
        <f t="shared" si="86"/>
        <v>0</v>
      </c>
      <c r="M121" s="93">
        <f t="shared" si="85"/>
        <v>0</v>
      </c>
    </row>
    <row r="122" spans="1:13" ht="47.25" x14ac:dyDescent="0.25">
      <c r="A122" s="35" t="s">
        <v>267</v>
      </c>
      <c r="B122" s="41">
        <v>92402</v>
      </c>
      <c r="C122" s="35" t="s">
        <v>0</v>
      </c>
      <c r="D122" s="41" t="s">
        <v>268</v>
      </c>
      <c r="E122" s="35" t="s">
        <v>1</v>
      </c>
      <c r="F122" s="33">
        <v>84.73</v>
      </c>
      <c r="G122" s="79"/>
      <c r="H122" s="54">
        <f t="shared" si="87"/>
        <v>0</v>
      </c>
      <c r="I122" s="80">
        <v>53.47</v>
      </c>
      <c r="J122" s="50">
        <f t="shared" si="88"/>
        <v>4530.5131000000001</v>
      </c>
      <c r="K122" s="53">
        <f t="shared" si="89"/>
        <v>0</v>
      </c>
      <c r="L122" s="54">
        <f t="shared" si="86"/>
        <v>0</v>
      </c>
      <c r="M122" s="93">
        <f t="shared" si="85"/>
        <v>0</v>
      </c>
    </row>
    <row r="123" spans="1:13" ht="63" x14ac:dyDescent="0.25">
      <c r="A123" s="35" t="s">
        <v>269</v>
      </c>
      <c r="B123" s="41">
        <v>92542</v>
      </c>
      <c r="C123" s="35" t="s">
        <v>0</v>
      </c>
      <c r="D123" s="41" t="s">
        <v>89</v>
      </c>
      <c r="E123" s="35" t="s">
        <v>1</v>
      </c>
      <c r="F123" s="33">
        <v>188.2</v>
      </c>
      <c r="G123" s="79"/>
      <c r="H123" s="54">
        <f t="shared" si="87"/>
        <v>0</v>
      </c>
      <c r="I123" s="80">
        <v>69.11</v>
      </c>
      <c r="J123" s="50">
        <f t="shared" si="88"/>
        <v>13006.501999999999</v>
      </c>
      <c r="K123" s="53">
        <f t="shared" si="89"/>
        <v>0</v>
      </c>
      <c r="L123" s="54">
        <f t="shared" si="86"/>
        <v>0</v>
      </c>
      <c r="M123" s="93">
        <f t="shared" si="85"/>
        <v>0</v>
      </c>
    </row>
    <row r="124" spans="1:13" ht="31.5" x14ac:dyDescent="0.25">
      <c r="A124" s="35" t="s">
        <v>270</v>
      </c>
      <c r="B124" s="41">
        <v>94204</v>
      </c>
      <c r="C124" s="35" t="s">
        <v>0</v>
      </c>
      <c r="D124" s="41" t="s">
        <v>162</v>
      </c>
      <c r="E124" s="35" t="s">
        <v>1</v>
      </c>
      <c r="F124" s="33">
        <v>188.2</v>
      </c>
      <c r="G124" s="79"/>
      <c r="H124" s="54">
        <f t="shared" si="87"/>
        <v>0</v>
      </c>
      <c r="I124" s="80">
        <v>32.4</v>
      </c>
      <c r="J124" s="50">
        <f t="shared" si="88"/>
        <v>6097.6799999999994</v>
      </c>
      <c r="K124" s="53">
        <f t="shared" si="89"/>
        <v>0</v>
      </c>
      <c r="L124" s="54">
        <f t="shared" si="86"/>
        <v>0</v>
      </c>
      <c r="M124" s="93">
        <f t="shared" si="85"/>
        <v>0</v>
      </c>
    </row>
    <row r="125" spans="1:13" ht="63" x14ac:dyDescent="0.25">
      <c r="A125" s="35" t="s">
        <v>271</v>
      </c>
      <c r="B125" s="41">
        <v>92552</v>
      </c>
      <c r="C125" s="35" t="s">
        <v>0</v>
      </c>
      <c r="D125" s="41" t="s">
        <v>272</v>
      </c>
      <c r="E125" s="35" t="s">
        <v>51</v>
      </c>
      <c r="F125" s="33">
        <v>4</v>
      </c>
      <c r="G125" s="79"/>
      <c r="H125" s="54">
        <f t="shared" si="87"/>
        <v>0</v>
      </c>
      <c r="I125" s="80">
        <v>1679.44</v>
      </c>
      <c r="J125" s="50">
        <f t="shared" si="88"/>
        <v>6717.76</v>
      </c>
      <c r="K125" s="53">
        <f t="shared" si="89"/>
        <v>0</v>
      </c>
      <c r="L125" s="54">
        <f t="shared" si="86"/>
        <v>0</v>
      </c>
      <c r="M125" s="93">
        <f t="shared" si="85"/>
        <v>0</v>
      </c>
    </row>
    <row r="126" spans="1:13" ht="31.5" x14ac:dyDescent="0.25">
      <c r="A126" s="35" t="s">
        <v>273</v>
      </c>
      <c r="B126" s="41">
        <v>93358</v>
      </c>
      <c r="C126" s="35" t="s">
        <v>0</v>
      </c>
      <c r="D126" s="41" t="s">
        <v>133</v>
      </c>
      <c r="E126" s="35" t="s">
        <v>59</v>
      </c>
      <c r="F126" s="33">
        <v>12.3345</v>
      </c>
      <c r="G126" s="79"/>
      <c r="H126" s="54">
        <f t="shared" si="87"/>
        <v>0</v>
      </c>
      <c r="I126" s="80">
        <v>61.25</v>
      </c>
      <c r="J126" s="50">
        <f t="shared" si="88"/>
        <v>755.48812499999997</v>
      </c>
      <c r="K126" s="53">
        <f t="shared" si="89"/>
        <v>0</v>
      </c>
      <c r="L126" s="54">
        <f t="shared" si="86"/>
        <v>0</v>
      </c>
      <c r="M126" s="93">
        <f t="shared" si="85"/>
        <v>0</v>
      </c>
    </row>
    <row r="127" spans="1:13" ht="47.25" x14ac:dyDescent="0.25">
      <c r="A127" s="35" t="s">
        <v>274</v>
      </c>
      <c r="B127" s="41">
        <v>94962</v>
      </c>
      <c r="C127" s="35" t="s">
        <v>0</v>
      </c>
      <c r="D127" s="41" t="s">
        <v>139</v>
      </c>
      <c r="E127" s="35" t="s">
        <v>140</v>
      </c>
      <c r="F127" s="33">
        <v>1.8819000000000001</v>
      </c>
      <c r="G127" s="79"/>
      <c r="H127" s="54">
        <f t="shared" si="87"/>
        <v>0</v>
      </c>
      <c r="I127" s="80">
        <v>273.17</v>
      </c>
      <c r="J127" s="50">
        <f t="shared" si="88"/>
        <v>514.07862300000011</v>
      </c>
      <c r="K127" s="53">
        <f t="shared" si="89"/>
        <v>0</v>
      </c>
      <c r="L127" s="54">
        <f t="shared" si="86"/>
        <v>0</v>
      </c>
      <c r="M127" s="93">
        <f t="shared" si="85"/>
        <v>0</v>
      </c>
    </row>
    <row r="128" spans="1:13" ht="31.5" x14ac:dyDescent="0.25">
      <c r="A128" s="35" t="s">
        <v>275</v>
      </c>
      <c r="B128" s="41">
        <v>92873</v>
      </c>
      <c r="C128" s="35" t="s">
        <v>0</v>
      </c>
      <c r="D128" s="41" t="s">
        <v>142</v>
      </c>
      <c r="E128" s="35" t="s">
        <v>140</v>
      </c>
      <c r="F128" s="33">
        <v>1.7469000000000001</v>
      </c>
      <c r="G128" s="79"/>
      <c r="H128" s="54">
        <f t="shared" si="87"/>
        <v>0</v>
      </c>
      <c r="I128" s="80">
        <v>158.53</v>
      </c>
      <c r="J128" s="50">
        <f t="shared" si="88"/>
        <v>276.93605700000001</v>
      </c>
      <c r="K128" s="53">
        <f t="shared" si="89"/>
        <v>0</v>
      </c>
      <c r="L128" s="54">
        <f t="shared" si="86"/>
        <v>0</v>
      </c>
      <c r="M128" s="93">
        <f t="shared" si="85"/>
        <v>0</v>
      </c>
    </row>
    <row r="129" spans="1:13" ht="53.25" customHeight="1" x14ac:dyDescent="0.25">
      <c r="A129" s="35" t="s">
        <v>276</v>
      </c>
      <c r="B129" s="41">
        <v>95955</v>
      </c>
      <c r="C129" s="35" t="s">
        <v>0</v>
      </c>
      <c r="D129" s="41" t="s">
        <v>146</v>
      </c>
      <c r="E129" s="94" t="s">
        <v>59</v>
      </c>
      <c r="F129" s="42">
        <v>13.880700000000001</v>
      </c>
      <c r="G129" s="79"/>
      <c r="H129" s="54">
        <f>G129+N129</f>
        <v>0</v>
      </c>
      <c r="I129" s="95">
        <v>2242.15</v>
      </c>
      <c r="J129" s="50">
        <f>F129*$I129</f>
        <v>31122.611505000004</v>
      </c>
      <c r="K129" s="53">
        <f>G129*$I129</f>
        <v>0</v>
      </c>
      <c r="L129" s="54">
        <f t="shared" ref="L129" si="90">H129*$I129</f>
        <v>0</v>
      </c>
      <c r="M129" s="93">
        <f t="shared" ref="M129:M131" si="91">L129/J129</f>
        <v>0</v>
      </c>
    </row>
    <row r="130" spans="1:13" x14ac:dyDescent="0.25">
      <c r="A130" s="23" t="s">
        <v>277</v>
      </c>
      <c r="B130" s="24"/>
      <c r="C130" s="24"/>
      <c r="D130" s="45" t="s">
        <v>278</v>
      </c>
      <c r="E130" s="25"/>
      <c r="F130" s="46"/>
      <c r="G130" s="89"/>
      <c r="H130" s="90"/>
      <c r="I130" s="91"/>
      <c r="J130" s="92">
        <f>SUM(J131:J131)</f>
        <v>314.52</v>
      </c>
      <c r="K130" s="92">
        <f>SUM(K131:K131)</f>
        <v>0</v>
      </c>
      <c r="L130" s="92">
        <f>SUM(L131:L131)</f>
        <v>0</v>
      </c>
      <c r="M130" s="55">
        <f t="shared" si="91"/>
        <v>0</v>
      </c>
    </row>
    <row r="131" spans="1:13" ht="31.5" x14ac:dyDescent="0.25">
      <c r="A131" s="35" t="s">
        <v>279</v>
      </c>
      <c r="B131" s="41"/>
      <c r="C131" s="35" t="s">
        <v>53</v>
      </c>
      <c r="D131" s="41" t="s">
        <v>280</v>
      </c>
      <c r="E131" s="35" t="s">
        <v>51</v>
      </c>
      <c r="F131" s="33">
        <v>2</v>
      </c>
      <c r="G131" s="79"/>
      <c r="H131" s="54">
        <f>G131+N131</f>
        <v>0</v>
      </c>
      <c r="I131" s="80">
        <v>157.26</v>
      </c>
      <c r="J131" s="50">
        <f>F131*$I131</f>
        <v>314.52</v>
      </c>
      <c r="K131" s="53">
        <f>G131*$I131</f>
        <v>0</v>
      </c>
      <c r="L131" s="54">
        <f t="shared" ref="L131" si="92">H131*$I131</f>
        <v>0</v>
      </c>
      <c r="M131" s="93">
        <f t="shared" si="91"/>
        <v>0</v>
      </c>
    </row>
    <row r="132" spans="1:13" x14ac:dyDescent="0.25">
      <c r="A132" s="23" t="s">
        <v>281</v>
      </c>
      <c r="B132" s="24"/>
      <c r="C132" s="24"/>
      <c r="D132" s="45" t="s">
        <v>113</v>
      </c>
      <c r="E132" s="25"/>
      <c r="F132" s="46"/>
      <c r="G132" s="89"/>
      <c r="H132" s="90"/>
      <c r="I132" s="91"/>
      <c r="J132" s="92">
        <f>SUM(J133:J133)</f>
        <v>812.0331000000001</v>
      </c>
      <c r="K132" s="92">
        <f>SUM(K133:K133)</f>
        <v>0</v>
      </c>
      <c r="L132" s="92">
        <f>SUM(L133:L133)</f>
        <v>0</v>
      </c>
      <c r="M132" s="55">
        <f t="shared" ref="M132:M133" si="93">L132/J132</f>
        <v>0</v>
      </c>
    </row>
    <row r="133" spans="1:13" x14ac:dyDescent="0.25">
      <c r="A133" s="35" t="s">
        <v>282</v>
      </c>
      <c r="B133" s="41"/>
      <c r="C133" s="35" t="s">
        <v>53</v>
      </c>
      <c r="D133" s="41" t="s">
        <v>118</v>
      </c>
      <c r="E133" s="35" t="s">
        <v>1</v>
      </c>
      <c r="F133" s="33">
        <v>334.17</v>
      </c>
      <c r="G133" s="79"/>
      <c r="H133" s="54">
        <f>G133+N133</f>
        <v>0</v>
      </c>
      <c r="I133" s="80">
        <v>2.4300000000000002</v>
      </c>
      <c r="J133" s="50">
        <f>F133*$I133</f>
        <v>812.0331000000001</v>
      </c>
      <c r="K133" s="53">
        <f>G133*$I133</f>
        <v>0</v>
      </c>
      <c r="L133" s="54">
        <f t="shared" ref="L133" si="94">H133*$I133</f>
        <v>0</v>
      </c>
      <c r="M133" s="93">
        <f t="shared" si="93"/>
        <v>0</v>
      </c>
    </row>
    <row r="134" spans="1:13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6" spans="1:13" ht="16.5" thickBot="1" x14ac:dyDescent="0.3"/>
    <row r="137" spans="1:13" ht="21.75" thickBot="1" x14ac:dyDescent="0.4">
      <c r="A137" s="107" t="s">
        <v>23</v>
      </c>
      <c r="B137" s="107"/>
      <c r="C137" s="107"/>
      <c r="D137" s="107"/>
      <c r="E137" s="107"/>
      <c r="F137" s="107"/>
      <c r="G137" s="107"/>
      <c r="H137" s="107"/>
      <c r="I137" s="107"/>
    </row>
    <row r="138" spans="1:13" ht="16.5" thickBot="1" x14ac:dyDescent="0.3">
      <c r="A138" s="116" t="s">
        <v>8</v>
      </c>
      <c r="B138" s="116"/>
      <c r="C138" s="116"/>
      <c r="D138" s="116"/>
      <c r="E138" s="116"/>
      <c r="F138" s="117" t="s">
        <v>11</v>
      </c>
      <c r="G138" s="117"/>
      <c r="H138" s="117"/>
      <c r="I138" s="118" t="s">
        <v>19</v>
      </c>
    </row>
    <row r="139" spans="1:13" ht="63.75" thickBot="1" x14ac:dyDescent="0.3">
      <c r="A139" s="116"/>
      <c r="B139" s="116"/>
      <c r="C139" s="116"/>
      <c r="D139" s="116"/>
      <c r="E139" s="116"/>
      <c r="F139" s="21" t="s">
        <v>12</v>
      </c>
      <c r="G139" s="21" t="s">
        <v>13</v>
      </c>
      <c r="H139" s="21" t="s">
        <v>14</v>
      </c>
      <c r="I139" s="118"/>
    </row>
    <row r="140" spans="1:13" x14ac:dyDescent="0.25">
      <c r="A140" s="16"/>
      <c r="B140" s="103" t="s">
        <v>44</v>
      </c>
      <c r="C140" s="104"/>
      <c r="D140" s="104"/>
      <c r="E140" s="104"/>
      <c r="F140" s="5">
        <f>J10+J18+J28+J34+J37+J43+J46+J51+J54+J60+J63+J71+J79+J84+J88+J108+J113+J119+J130+J132</f>
        <v>272728.79051100003</v>
      </c>
      <c r="G140" s="5">
        <f>K10+K18+K28+K34+K37+K43+K46+K51+K54+K60+K63+K71+K79+K84+K88+K108+K113+K119+K130+K132</f>
        <v>80226.575621000011</v>
      </c>
      <c r="H140" s="5">
        <f>L10+L18+L28+L34+L37+L43+L46+L51+L54+L60+L63+L71+L79+L84+L88+L108+L113+L119+L130+L132</f>
        <v>162588.25529600002</v>
      </c>
      <c r="I140" s="17">
        <f>H140/F140</f>
        <v>0.59615361836704328</v>
      </c>
    </row>
    <row r="141" spans="1:13" x14ac:dyDescent="0.25">
      <c r="A141" s="105" t="s">
        <v>24</v>
      </c>
      <c r="B141" s="106"/>
      <c r="C141" s="106"/>
      <c r="D141" s="106"/>
      <c r="E141" s="106"/>
      <c r="F141" s="6">
        <f>SUM(F140:F140)</f>
        <v>272728.79051100003</v>
      </c>
      <c r="G141" s="6">
        <f>SUM(G140:G140)</f>
        <v>80226.575621000011</v>
      </c>
      <c r="H141" s="6">
        <f>SUM(H140:H140)</f>
        <v>162588.25529600002</v>
      </c>
      <c r="I141" s="18">
        <f>H141/F141</f>
        <v>0.59615361836704328</v>
      </c>
    </row>
    <row r="142" spans="1:13" x14ac:dyDescent="0.25">
      <c r="A142" s="105" t="s">
        <v>25</v>
      </c>
      <c r="B142" s="106"/>
      <c r="C142" s="106"/>
      <c r="D142" s="106"/>
      <c r="E142" s="106"/>
      <c r="F142" s="108">
        <v>82361.679999999993</v>
      </c>
      <c r="G142" s="109"/>
      <c r="H142" s="110"/>
      <c r="I142" s="18">
        <f>F142/F141</f>
        <v>0.3019911460234268</v>
      </c>
      <c r="J142" s="4"/>
    </row>
    <row r="143" spans="1:13" ht="16.5" thickBot="1" x14ac:dyDescent="0.3">
      <c r="A143" s="111" t="s">
        <v>26</v>
      </c>
      <c r="B143" s="112"/>
      <c r="C143" s="112"/>
      <c r="D143" s="112"/>
      <c r="E143" s="112"/>
      <c r="F143" s="113">
        <f>H141-F142</f>
        <v>80226.575296000025</v>
      </c>
      <c r="G143" s="114"/>
      <c r="H143" s="115"/>
      <c r="I143" s="19">
        <f>F143/F141</f>
        <v>0.29416247234361648</v>
      </c>
      <c r="J143" s="14"/>
      <c r="K143" s="7"/>
      <c r="L143" s="8"/>
      <c r="M143" s="9"/>
    </row>
    <row r="144" spans="1:13" ht="16.5" thickBot="1" x14ac:dyDescent="0.3">
      <c r="J144" s="14"/>
      <c r="K144" s="10"/>
      <c r="L144" s="8"/>
      <c r="M144" s="9"/>
    </row>
    <row r="145" spans="1:13" ht="16.5" thickBot="1" x14ac:dyDescent="0.3">
      <c r="A145" s="20" t="s">
        <v>27</v>
      </c>
      <c r="B145" s="100" t="s">
        <v>284</v>
      </c>
      <c r="C145" s="101"/>
      <c r="D145" s="101"/>
      <c r="E145" s="101"/>
      <c r="F145" s="101"/>
      <c r="G145" s="101"/>
      <c r="H145" s="101"/>
      <c r="I145" s="102"/>
      <c r="J145" s="14"/>
      <c r="K145" s="7"/>
      <c r="L145" s="8"/>
      <c r="M145" s="9"/>
    </row>
    <row r="146" spans="1:13" x14ac:dyDescent="0.25">
      <c r="J146" s="14"/>
      <c r="K146" s="10"/>
      <c r="L146" s="8"/>
      <c r="M146" s="9"/>
    </row>
    <row r="147" spans="1:13" x14ac:dyDescent="0.25">
      <c r="J147" s="14"/>
      <c r="K147" s="7"/>
      <c r="L147" s="8"/>
      <c r="M147" s="9"/>
    </row>
    <row r="148" spans="1:13" x14ac:dyDescent="0.25">
      <c r="H148" s="4"/>
      <c r="K148" s="13"/>
      <c r="L148" s="11"/>
      <c r="M148"/>
    </row>
    <row r="149" spans="1:13" x14ac:dyDescent="0.25">
      <c r="K149" s="12"/>
      <c r="L149" s="11"/>
      <c r="M149"/>
    </row>
    <row r="150" spans="1:13" x14ac:dyDescent="0.25">
      <c r="F150" s="4"/>
    </row>
  </sheetData>
  <protectedRanges>
    <protectedRange password="CC29" sqref="G33 G36 G45 G50 G53 G59 G62 G78 G83 G87 G112 G118 G129 G18:L18 N50 N53 N59 N62" name="Intervalo1_1"/>
    <protectedRange password="CC29" sqref="H11:H17 H19:H27 G34:G35 H35:H36 H44:H45 G46:G49 G51:G52 H52:H53 G54:G58 G60:G61 H61:H62 G84:G86 G113:G117 H131 G119:G128 H133 G130:G133 H29:H33 H38:H42 H47:H50 H55:H59 H64:H70 H72:H78 H80:H83 H85:H87 H89:H107 H109:H112 H114:H118 H120:H129 N47:N49 N52 N54:N58 N60:N61 G28:G32 G37:G44 G63:G77 G88:G111 G79:G82" name="Intervalo1_1_1_3_1"/>
    <protectedRange password="CC29" sqref="I11:I17" name="Intervalo1_1_1_3_1_2"/>
    <protectedRange password="CC29" sqref="I19:I27" name="Intervalo1_1_1_3_1_3"/>
    <protectedRange password="CC29" sqref="I33 I36 I42 I45 I50 I53 I59 I62 I70 I78 I83 I87 I107 I112 I118 I129" name="Intervalo1_1_1_3_1_4"/>
  </protectedRanges>
  <mergeCells count="34">
    <mergeCell ref="A1:M1"/>
    <mergeCell ref="A3:K4"/>
    <mergeCell ref="L2:M2"/>
    <mergeCell ref="L5:M5"/>
    <mergeCell ref="L6:M6"/>
    <mergeCell ref="J5:K5"/>
    <mergeCell ref="J6:K6"/>
    <mergeCell ref="A5:B5"/>
    <mergeCell ref="A6:B6"/>
    <mergeCell ref="A2:K2"/>
    <mergeCell ref="L3:M4"/>
    <mergeCell ref="G5:I5"/>
    <mergeCell ref="G6:I6"/>
    <mergeCell ref="C5:F5"/>
    <mergeCell ref="C6:F6"/>
    <mergeCell ref="B145:I145"/>
    <mergeCell ref="B140:E140"/>
    <mergeCell ref="A141:E141"/>
    <mergeCell ref="A142:E142"/>
    <mergeCell ref="D8:D9"/>
    <mergeCell ref="F8:H8"/>
    <mergeCell ref="A137:I137"/>
    <mergeCell ref="F142:H142"/>
    <mergeCell ref="A143:E143"/>
    <mergeCell ref="F143:H143"/>
    <mergeCell ref="A138:E139"/>
    <mergeCell ref="F138:H138"/>
    <mergeCell ref="I138:I139"/>
    <mergeCell ref="M8:M9"/>
    <mergeCell ref="A8:A9"/>
    <mergeCell ref="B8:B9"/>
    <mergeCell ref="C8:C9"/>
    <mergeCell ref="J8:L8"/>
    <mergeCell ref="I8:I9"/>
  </mergeCells>
  <phoneticPr fontId="12" type="noConversion"/>
  <pageMargins left="0.51181102362204722" right="0.51181102362204722" top="0.78740157480314965" bottom="0.78740157480314965" header="0.31496062992125984" footer="0.31496062992125984"/>
  <pageSetup paperSize="9" scale="64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BOLETIM DE MEDIÇÃO_001</vt:lpstr>
      <vt:lpstr>'BOLETIM DE MEDIÇÃO_001'!Area_de_impressao</vt:lpstr>
      <vt:lpstr>'BOLETIM DE MEDIÇÃO_001'!Titulos_de_impressao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Maria Aline</cp:lastModifiedBy>
  <cp:lastPrinted>2019-07-04T18:05:29Z</cp:lastPrinted>
  <dcterms:created xsi:type="dcterms:W3CDTF">2019-06-26T11:25:28Z</dcterms:created>
  <dcterms:modified xsi:type="dcterms:W3CDTF">2021-05-27T15:45:29Z</dcterms:modified>
</cp:coreProperties>
</file>