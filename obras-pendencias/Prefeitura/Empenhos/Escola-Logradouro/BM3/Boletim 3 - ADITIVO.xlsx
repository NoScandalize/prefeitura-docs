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20" yWindow="-120" windowWidth="20730" windowHeight="11160"/>
  </bookViews>
  <sheets>
    <sheet name="BOLETIM DE MEDIÇÃO_003" sheetId="2" r:id="rId1"/>
  </sheets>
  <definedNames>
    <definedName name="_xlnm.Print_Area" localSheetId="0">'BOLETIM DE MEDIÇÃO_003'!$A$1:$M$225</definedName>
    <definedName name="_xlnm.Print_Titles" localSheetId="0">'BOLETIM DE MEDIÇÃO_003'!$1:$9</definedName>
  </definedNames>
  <calcPr calcId="144525"/>
</workbook>
</file>

<file path=xl/calcChain.xml><?xml version="1.0" encoding="utf-8"?>
<calcChain xmlns="http://schemas.openxmlformats.org/spreadsheetml/2006/main">
  <c r="H219" i="2" l="1"/>
  <c r="L209" i="2"/>
  <c r="L210" i="2"/>
  <c r="L211" i="2"/>
  <c r="L212" i="2"/>
  <c r="L213" i="2"/>
  <c r="K209" i="2"/>
  <c r="K210" i="2"/>
  <c r="K211" i="2"/>
  <c r="K212" i="2"/>
  <c r="K213" i="2"/>
  <c r="J209" i="2"/>
  <c r="J210" i="2"/>
  <c r="J211" i="2"/>
  <c r="J212" i="2"/>
  <c r="J213" i="2"/>
  <c r="L208" i="2"/>
  <c r="K208" i="2"/>
  <c r="J208" i="2"/>
  <c r="L195" i="2"/>
  <c r="L196" i="2"/>
  <c r="L197" i="2"/>
  <c r="L198" i="2"/>
  <c r="L194" i="2"/>
  <c r="K195" i="2"/>
  <c r="K196" i="2"/>
  <c r="K197" i="2"/>
  <c r="K198" i="2"/>
  <c r="K194" i="2"/>
  <c r="J195" i="2"/>
  <c r="J196" i="2"/>
  <c r="J197" i="2"/>
  <c r="J198" i="2"/>
  <c r="J194" i="2"/>
  <c r="L187" i="2"/>
  <c r="L188" i="2"/>
  <c r="L189" i="2"/>
  <c r="L190" i="2"/>
  <c r="L191" i="2"/>
  <c r="L192" i="2"/>
  <c r="L186" i="2"/>
  <c r="K187" i="2"/>
  <c r="K188" i="2"/>
  <c r="K189" i="2"/>
  <c r="K190" i="2"/>
  <c r="K191" i="2"/>
  <c r="K192" i="2"/>
  <c r="K186" i="2"/>
  <c r="J187" i="2"/>
  <c r="J188" i="2"/>
  <c r="J189" i="2"/>
  <c r="J190" i="2"/>
  <c r="J191" i="2"/>
  <c r="J192" i="2"/>
  <c r="J186" i="2"/>
  <c r="L181" i="2"/>
  <c r="K181" i="2"/>
  <c r="J181" i="2"/>
  <c r="K174" i="2"/>
  <c r="K175" i="2"/>
  <c r="K176" i="2"/>
  <c r="K177" i="2"/>
  <c r="K178" i="2"/>
  <c r="L174" i="2"/>
  <c r="L175" i="2"/>
  <c r="L176" i="2"/>
  <c r="L177" i="2"/>
  <c r="L178" i="2"/>
  <c r="J174" i="2"/>
  <c r="J175" i="2"/>
  <c r="J176" i="2"/>
  <c r="J177" i="2"/>
  <c r="J178" i="2"/>
  <c r="L173" i="2"/>
  <c r="K173" i="2"/>
  <c r="J173" i="2"/>
  <c r="L171" i="2"/>
  <c r="L170" i="2"/>
  <c r="L169" i="2"/>
  <c r="L168" i="2"/>
  <c r="L167" i="2"/>
  <c r="L166" i="2"/>
  <c r="L165" i="2"/>
  <c r="K171" i="2"/>
  <c r="K170" i="2"/>
  <c r="K169" i="2"/>
  <c r="K168" i="2"/>
  <c r="K167" i="2"/>
  <c r="K166" i="2"/>
  <c r="K165" i="2"/>
  <c r="J171" i="2"/>
  <c r="J170" i="2"/>
  <c r="J169" i="2"/>
  <c r="J168" i="2"/>
  <c r="J167" i="2"/>
  <c r="J166" i="2"/>
  <c r="J165" i="2"/>
  <c r="J150" i="2"/>
  <c r="L150" i="2"/>
  <c r="K150" i="2"/>
  <c r="L151" i="2"/>
  <c r="K151" i="2"/>
  <c r="J151" i="2"/>
  <c r="L147" i="2"/>
  <c r="K147" i="2"/>
  <c r="J147" i="2"/>
  <c r="L149" i="2"/>
  <c r="L148" i="2"/>
  <c r="K149" i="2"/>
  <c r="K148" i="2"/>
  <c r="J149" i="2"/>
  <c r="J148" i="2"/>
  <c r="L146" i="2"/>
  <c r="K146" i="2"/>
  <c r="J146" i="2"/>
  <c r="L143" i="2"/>
  <c r="K143" i="2"/>
  <c r="J143" i="2"/>
  <c r="L138" i="2"/>
  <c r="K138" i="2"/>
  <c r="J138" i="2"/>
  <c r="L141" i="2"/>
  <c r="L140" i="2"/>
  <c r="L139" i="2"/>
  <c r="K141" i="2"/>
  <c r="K140" i="2"/>
  <c r="K139" i="2"/>
  <c r="J141" i="2"/>
  <c r="J140" i="2"/>
  <c r="J139" i="2"/>
  <c r="J125" i="2"/>
  <c r="J126" i="2"/>
  <c r="J134" i="2"/>
  <c r="J135" i="2"/>
  <c r="J123" i="2" s="1"/>
  <c r="J136" i="2"/>
  <c r="J137" i="2"/>
  <c r="L124" i="2"/>
  <c r="K124" i="2"/>
  <c r="J124" i="2"/>
  <c r="L119" i="2"/>
  <c r="L120" i="2"/>
  <c r="L121" i="2"/>
  <c r="L122" i="2"/>
  <c r="K119" i="2"/>
  <c r="K120" i="2"/>
  <c r="K121" i="2"/>
  <c r="K122" i="2"/>
  <c r="J119" i="2"/>
  <c r="J120" i="2"/>
  <c r="J121" i="2"/>
  <c r="J122" i="2"/>
  <c r="L118" i="2"/>
  <c r="K118" i="2"/>
  <c r="J118" i="2"/>
  <c r="J112" i="2"/>
  <c r="L114" i="2"/>
  <c r="L115" i="2"/>
  <c r="L116" i="2"/>
  <c r="K114" i="2"/>
  <c r="K115" i="2"/>
  <c r="K116" i="2"/>
  <c r="J114" i="2"/>
  <c r="J115" i="2"/>
  <c r="J116" i="2"/>
  <c r="L113" i="2"/>
  <c r="K113" i="2"/>
  <c r="J11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L93" i="2"/>
  <c r="K93" i="2"/>
  <c r="K112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93" i="2"/>
  <c r="J88" i="2"/>
  <c r="L90" i="2"/>
  <c r="L91" i="2"/>
  <c r="K90" i="2"/>
  <c r="K91" i="2"/>
  <c r="J90" i="2"/>
  <c r="J91" i="2"/>
  <c r="L89" i="2"/>
  <c r="K89" i="2"/>
  <c r="J89" i="2"/>
  <c r="L83" i="2"/>
  <c r="J83" i="2"/>
  <c r="L85" i="2"/>
  <c r="L86" i="2"/>
  <c r="L87" i="2"/>
  <c r="K85" i="2"/>
  <c r="K86" i="2"/>
  <c r="K87" i="2"/>
  <c r="L84" i="2"/>
  <c r="K84" i="2"/>
  <c r="J85" i="2"/>
  <c r="J86" i="2"/>
  <c r="J87" i="2"/>
  <c r="J84" i="2"/>
  <c r="L75" i="2"/>
  <c r="L76" i="2"/>
  <c r="L77" i="2"/>
  <c r="L78" i="2"/>
  <c r="L73" i="2" s="1"/>
  <c r="L79" i="2"/>
  <c r="L80" i="2"/>
  <c r="L81" i="2"/>
  <c r="L82" i="2"/>
  <c r="K75" i="2"/>
  <c r="K76" i="2"/>
  <c r="K77" i="2"/>
  <c r="K78" i="2"/>
  <c r="K73" i="2" s="1"/>
  <c r="K79" i="2"/>
  <c r="K80" i="2"/>
  <c r="K81" i="2"/>
  <c r="K82" i="2"/>
  <c r="J75" i="2"/>
  <c r="J76" i="2"/>
  <c r="J77" i="2"/>
  <c r="J78" i="2"/>
  <c r="J79" i="2"/>
  <c r="J80" i="2"/>
  <c r="J81" i="2"/>
  <c r="J82" i="2"/>
  <c r="L74" i="2"/>
  <c r="K74" i="2"/>
  <c r="J74" i="2"/>
  <c r="J66" i="2"/>
  <c r="L62" i="2"/>
  <c r="K62" i="2"/>
  <c r="J62" i="2"/>
  <c r="L64" i="2"/>
  <c r="L63" i="2"/>
  <c r="K64" i="2"/>
  <c r="K63" i="2"/>
  <c r="J64" i="2"/>
  <c r="J63" i="2"/>
  <c r="L61" i="2"/>
  <c r="L60" i="2"/>
  <c r="L59" i="2"/>
  <c r="L58" i="2"/>
  <c r="L57" i="2"/>
  <c r="K61" i="2"/>
  <c r="K60" i="2"/>
  <c r="K59" i="2"/>
  <c r="K58" i="2"/>
  <c r="K57" i="2"/>
  <c r="J61" i="2"/>
  <c r="J60" i="2"/>
  <c r="J59" i="2"/>
  <c r="J58" i="2"/>
  <c r="J57" i="2"/>
  <c r="L53" i="2"/>
  <c r="K53" i="2"/>
  <c r="J53" i="2"/>
  <c r="L55" i="2"/>
  <c r="L54" i="2"/>
  <c r="K55" i="2"/>
  <c r="K54" i="2"/>
  <c r="J55" i="2"/>
  <c r="J54" i="2"/>
  <c r="L48" i="2"/>
  <c r="K48" i="2"/>
  <c r="J48" i="2"/>
  <c r="L50" i="2"/>
  <c r="L51" i="2"/>
  <c r="L52" i="2"/>
  <c r="K50" i="2"/>
  <c r="K51" i="2"/>
  <c r="K52" i="2"/>
  <c r="J50" i="2"/>
  <c r="J51" i="2"/>
  <c r="J52" i="2"/>
  <c r="L49" i="2"/>
  <c r="K49" i="2"/>
  <c r="J49" i="2"/>
  <c r="L45" i="2"/>
  <c r="K45" i="2"/>
  <c r="J45" i="2"/>
  <c r="L47" i="2"/>
  <c r="L46" i="2"/>
  <c r="K47" i="2"/>
  <c r="K46" i="2"/>
  <c r="J47" i="2"/>
  <c r="J46" i="2"/>
  <c r="J39" i="2"/>
  <c r="L41" i="2"/>
  <c r="L42" i="2"/>
  <c r="L43" i="2"/>
  <c r="L44" i="2"/>
  <c r="K41" i="2"/>
  <c r="K42" i="2"/>
  <c r="K43" i="2"/>
  <c r="K44" i="2"/>
  <c r="L40" i="2"/>
  <c r="K40" i="2"/>
  <c r="J41" i="2"/>
  <c r="J42" i="2"/>
  <c r="J43" i="2"/>
  <c r="J44" i="2"/>
  <c r="J40" i="2"/>
  <c r="L36" i="2"/>
  <c r="K36" i="2"/>
  <c r="J36" i="2"/>
  <c r="L38" i="2"/>
  <c r="L37" i="2"/>
  <c r="K38" i="2"/>
  <c r="K37" i="2"/>
  <c r="J38" i="2"/>
  <c r="J37" i="2"/>
  <c r="L30" i="2"/>
  <c r="K30" i="2"/>
  <c r="J30" i="2"/>
  <c r="L31" i="2"/>
  <c r="K32" i="2"/>
  <c r="K33" i="2"/>
  <c r="K34" i="2"/>
  <c r="K35" i="2"/>
  <c r="K31" i="2"/>
  <c r="K20" i="2"/>
  <c r="K21" i="2"/>
  <c r="K22" i="2"/>
  <c r="K18" i="2" s="1"/>
  <c r="K23" i="2"/>
  <c r="K24" i="2"/>
  <c r="K25" i="2"/>
  <c r="K26" i="2"/>
  <c r="K27" i="2"/>
  <c r="K28" i="2"/>
  <c r="K29" i="2"/>
  <c r="L35" i="2"/>
  <c r="L34" i="2"/>
  <c r="L33" i="2"/>
  <c r="L32" i="2"/>
  <c r="J32" i="2"/>
  <c r="J33" i="2"/>
  <c r="J34" i="2"/>
  <c r="J35" i="2"/>
  <c r="J31" i="2"/>
  <c r="L18" i="2"/>
  <c r="J18" i="2"/>
  <c r="L28" i="2"/>
  <c r="L29" i="2"/>
  <c r="L27" i="2"/>
  <c r="L26" i="2"/>
  <c r="L21" i="2"/>
  <c r="L22" i="2"/>
  <c r="L23" i="2"/>
  <c r="L24" i="2"/>
  <c r="L25" i="2"/>
  <c r="L20" i="2"/>
  <c r="L19" i="2"/>
  <c r="K19" i="2"/>
  <c r="J20" i="2"/>
  <c r="J21" i="2"/>
  <c r="J22" i="2"/>
  <c r="J23" i="2"/>
  <c r="J24" i="2"/>
  <c r="J25" i="2"/>
  <c r="J26" i="2"/>
  <c r="J27" i="2"/>
  <c r="J28" i="2"/>
  <c r="J29" i="2"/>
  <c r="J19" i="2"/>
  <c r="L12" i="2"/>
  <c r="L13" i="2"/>
  <c r="L14" i="2"/>
  <c r="L15" i="2"/>
  <c r="L16" i="2"/>
  <c r="L17" i="2"/>
  <c r="L11" i="2"/>
  <c r="K12" i="2"/>
  <c r="K13" i="2"/>
  <c r="K14" i="2"/>
  <c r="K15" i="2"/>
  <c r="K16" i="2"/>
  <c r="K17" i="2"/>
  <c r="K11" i="2"/>
  <c r="J12" i="2"/>
  <c r="J13" i="2"/>
  <c r="J14" i="2"/>
  <c r="J15" i="2"/>
  <c r="J16" i="2"/>
  <c r="J17" i="2"/>
  <c r="J11" i="2"/>
  <c r="L182" i="2"/>
  <c r="K182" i="2"/>
  <c r="J182" i="2"/>
  <c r="L184" i="2"/>
  <c r="L183" i="2"/>
  <c r="K184" i="2"/>
  <c r="K183" i="2"/>
  <c r="J184" i="2"/>
  <c r="J183" i="2"/>
  <c r="L160" i="2"/>
  <c r="L161" i="2"/>
  <c r="L162" i="2"/>
  <c r="L163" i="2"/>
  <c r="L159" i="2"/>
  <c r="K160" i="2"/>
  <c r="K161" i="2"/>
  <c r="K162" i="2"/>
  <c r="K163" i="2"/>
  <c r="K159" i="2"/>
  <c r="J160" i="2"/>
  <c r="J161" i="2"/>
  <c r="J162" i="2"/>
  <c r="J163" i="2"/>
  <c r="J159" i="2"/>
  <c r="J117" i="2"/>
  <c r="K125" i="2"/>
  <c r="K126" i="2"/>
  <c r="K134" i="2"/>
  <c r="K135" i="2"/>
  <c r="K136" i="2"/>
  <c r="K137" i="2"/>
  <c r="L125" i="2"/>
  <c r="L126" i="2"/>
  <c r="L134" i="2"/>
  <c r="L135" i="2"/>
  <c r="L136" i="2"/>
  <c r="L137" i="2"/>
  <c r="K67" i="2"/>
  <c r="K68" i="2"/>
  <c r="K69" i="2"/>
  <c r="K70" i="2"/>
  <c r="K71" i="2"/>
  <c r="K72" i="2"/>
  <c r="K66" i="2"/>
  <c r="J65" i="2"/>
  <c r="L65" i="2"/>
  <c r="L67" i="2"/>
  <c r="L68" i="2"/>
  <c r="L69" i="2"/>
  <c r="L70" i="2"/>
  <c r="L71" i="2"/>
  <c r="L72" i="2"/>
  <c r="L66" i="2"/>
  <c r="J67" i="2"/>
  <c r="J68" i="2"/>
  <c r="J69" i="2"/>
  <c r="J70" i="2"/>
  <c r="J71" i="2"/>
  <c r="J72" i="2"/>
  <c r="J73" i="2"/>
  <c r="J158" i="2" l="1"/>
  <c r="K65" i="2"/>
  <c r="H29" i="2" l="1"/>
  <c r="H28" i="2"/>
  <c r="H19" i="2" l="1"/>
  <c r="F221" i="2"/>
  <c r="H134" i="2" l="1"/>
  <c r="M134" i="2" s="1"/>
  <c r="H135" i="2"/>
  <c r="M135" i="2" s="1"/>
  <c r="H136" i="2"/>
  <c r="H137" i="2"/>
  <c r="M137" i="2" s="1"/>
  <c r="M136" i="2" l="1"/>
  <c r="K201" i="2"/>
  <c r="K202" i="2"/>
  <c r="K203" i="2"/>
  <c r="K204" i="2"/>
  <c r="K205" i="2"/>
  <c r="K206" i="2"/>
  <c r="K200" i="2"/>
  <c r="J205" i="2"/>
  <c r="J206" i="2"/>
  <c r="J204" i="2"/>
  <c r="J203" i="2"/>
  <c r="J202" i="2"/>
  <c r="J201" i="2"/>
  <c r="J200" i="2"/>
  <c r="H209" i="2"/>
  <c r="M209" i="2" s="1"/>
  <c r="H210" i="2"/>
  <c r="H211" i="2"/>
  <c r="H212" i="2"/>
  <c r="M212" i="2" s="1"/>
  <c r="H213" i="2"/>
  <c r="M213" i="2" s="1"/>
  <c r="H208" i="2"/>
  <c r="H201" i="2"/>
  <c r="L201" i="2" s="1"/>
  <c r="H202" i="2"/>
  <c r="L202" i="2" s="1"/>
  <c r="H203" i="2"/>
  <c r="L203" i="2" s="1"/>
  <c r="H204" i="2"/>
  <c r="L204" i="2" s="1"/>
  <c r="H205" i="2"/>
  <c r="L205" i="2" s="1"/>
  <c r="H206" i="2"/>
  <c r="L206" i="2" s="1"/>
  <c r="M206" i="2" s="1"/>
  <c r="H200" i="2"/>
  <c r="L200" i="2" s="1"/>
  <c r="M200" i="2" s="1"/>
  <c r="H195" i="2"/>
  <c r="H196" i="2"/>
  <c r="H197" i="2"/>
  <c r="M197" i="2" s="1"/>
  <c r="H198" i="2"/>
  <c r="M198" i="2" s="1"/>
  <c r="H194" i="2"/>
  <c r="H187" i="2"/>
  <c r="H188" i="2"/>
  <c r="H189" i="2"/>
  <c r="M189" i="2" s="1"/>
  <c r="H190" i="2"/>
  <c r="H191" i="2"/>
  <c r="H192" i="2"/>
  <c r="H186" i="2"/>
  <c r="H184" i="2"/>
  <c r="H183" i="2"/>
  <c r="H181" i="2"/>
  <c r="K180" i="2"/>
  <c r="J180" i="2"/>
  <c r="H174" i="2"/>
  <c r="H175" i="2"/>
  <c r="H176" i="2"/>
  <c r="H177" i="2"/>
  <c r="H178" i="2"/>
  <c r="H173" i="2"/>
  <c r="H166" i="2"/>
  <c r="H167" i="2"/>
  <c r="H168" i="2"/>
  <c r="H169" i="2"/>
  <c r="H170" i="2"/>
  <c r="H171" i="2"/>
  <c r="H165" i="2"/>
  <c r="H160" i="2"/>
  <c r="H161" i="2"/>
  <c r="H162" i="2"/>
  <c r="H163" i="2"/>
  <c r="H159" i="2"/>
  <c r="K152" i="2"/>
  <c r="K153" i="2"/>
  <c r="K154" i="2"/>
  <c r="K155" i="2"/>
  <c r="K156" i="2"/>
  <c r="J156" i="2"/>
  <c r="J155" i="2"/>
  <c r="J154" i="2"/>
  <c r="J153" i="2"/>
  <c r="J152" i="2"/>
  <c r="H156" i="2"/>
  <c r="L156" i="2" s="1"/>
  <c r="H155" i="2"/>
  <c r="L155" i="2" s="1"/>
  <c r="H154" i="2"/>
  <c r="L154" i="2" s="1"/>
  <c r="H153" i="2"/>
  <c r="L153" i="2" s="1"/>
  <c r="H152" i="2"/>
  <c r="L152" i="2" s="1"/>
  <c r="H151" i="2"/>
  <c r="H149" i="2"/>
  <c r="H140" i="2"/>
  <c r="H141" i="2"/>
  <c r="H81" i="2"/>
  <c r="H82" i="2"/>
  <c r="H27" i="2"/>
  <c r="H148" i="2"/>
  <c r="K145" i="2"/>
  <c r="J145" i="2"/>
  <c r="H146" i="2"/>
  <c r="L145" i="2" s="1"/>
  <c r="L158" i="2" l="1"/>
  <c r="M158" i="2" s="1"/>
  <c r="K158" i="2"/>
  <c r="M192" i="2"/>
  <c r="M188" i="2"/>
  <c r="M201" i="2"/>
  <c r="M203" i="2"/>
  <c r="K185" i="2"/>
  <c r="M178" i="2"/>
  <c r="M174" i="2"/>
  <c r="M154" i="2"/>
  <c r="M170" i="2"/>
  <c r="M166" i="2"/>
  <c r="J172" i="2"/>
  <c r="M162" i="2"/>
  <c r="M204" i="2"/>
  <c r="M27" i="2"/>
  <c r="J207" i="2"/>
  <c r="M155" i="2"/>
  <c r="M149" i="2"/>
  <c r="M152" i="2"/>
  <c r="M156" i="2"/>
  <c r="M165" i="2"/>
  <c r="M168" i="2"/>
  <c r="M175" i="2"/>
  <c r="K172" i="2"/>
  <c r="M191" i="2"/>
  <c r="M211" i="2"/>
  <c r="M160" i="2"/>
  <c r="M194" i="2"/>
  <c r="M195" i="2"/>
  <c r="M187" i="2"/>
  <c r="M82" i="2"/>
  <c r="M163" i="2"/>
  <c r="M171" i="2"/>
  <c r="M167" i="2"/>
  <c r="M202" i="2"/>
  <c r="J185" i="2"/>
  <c r="J193" i="2"/>
  <c r="K193" i="2"/>
  <c r="M153" i="2"/>
  <c r="M177" i="2"/>
  <c r="M184" i="2"/>
  <c r="M196" i="2"/>
  <c r="M205" i="2"/>
  <c r="K207" i="2"/>
  <c r="M161" i="2"/>
  <c r="M169" i="2"/>
  <c r="M176" i="2"/>
  <c r="M190" i="2"/>
  <c r="M210" i="2"/>
  <c r="L172" i="2"/>
  <c r="M172" i="2" s="1"/>
  <c r="M173" i="2"/>
  <c r="L185" i="2"/>
  <c r="M185" i="2" s="1"/>
  <c r="M186" i="2"/>
  <c r="M159" i="2"/>
  <c r="M140" i="2"/>
  <c r="M147" i="2"/>
  <c r="M181" i="2"/>
  <c r="L180" i="2"/>
  <c r="M180" i="2" s="1"/>
  <c r="L207" i="2"/>
  <c r="M207" i="2" s="1"/>
  <c r="M208" i="2"/>
  <c r="M141" i="2"/>
  <c r="L193" i="2"/>
  <c r="M151" i="2"/>
  <c r="M183" i="2"/>
  <c r="M81" i="2"/>
  <c r="M29" i="2"/>
  <c r="M148" i="2"/>
  <c r="M145" i="2"/>
  <c r="M146" i="2"/>
  <c r="H125" i="2"/>
  <c r="H126" i="2"/>
  <c r="H128" i="2"/>
  <c r="H129" i="2"/>
  <c r="H130" i="2"/>
  <c r="H131" i="2"/>
  <c r="H132" i="2"/>
  <c r="H119" i="2"/>
  <c r="H120" i="2"/>
  <c r="H121" i="2"/>
  <c r="H114" i="2"/>
  <c r="H115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90" i="2"/>
  <c r="H85" i="2"/>
  <c r="H86" i="2"/>
  <c r="H79" i="2"/>
  <c r="H78" i="2"/>
  <c r="H77" i="2"/>
  <c r="H76" i="2"/>
  <c r="H75" i="2"/>
  <c r="H67" i="2"/>
  <c r="H68" i="2"/>
  <c r="H69" i="2"/>
  <c r="H70" i="2"/>
  <c r="H71" i="2"/>
  <c r="H58" i="2"/>
  <c r="H59" i="2"/>
  <c r="H60" i="2"/>
  <c r="H50" i="2"/>
  <c r="H51" i="2"/>
  <c r="H41" i="2"/>
  <c r="H42" i="2"/>
  <c r="H43" i="2"/>
  <c r="H32" i="2"/>
  <c r="H33" i="2"/>
  <c r="H34" i="2"/>
  <c r="K142" i="2"/>
  <c r="J142" i="2"/>
  <c r="H143" i="2"/>
  <c r="H139" i="2"/>
  <c r="H133" i="2"/>
  <c r="H124" i="2"/>
  <c r="H122" i="2"/>
  <c r="H118" i="2"/>
  <c r="H116" i="2"/>
  <c r="H113" i="2"/>
  <c r="H111" i="2"/>
  <c r="H93" i="2"/>
  <c r="H91" i="2"/>
  <c r="H89" i="2"/>
  <c r="H87" i="2"/>
  <c r="H84" i="2"/>
  <c r="H80" i="2"/>
  <c r="H74" i="2"/>
  <c r="H72" i="2"/>
  <c r="H66" i="2"/>
  <c r="H64" i="2"/>
  <c r="H63" i="2"/>
  <c r="H61" i="2"/>
  <c r="H57" i="2"/>
  <c r="H55" i="2"/>
  <c r="H54" i="2"/>
  <c r="H52" i="2"/>
  <c r="H49" i="2"/>
  <c r="H47" i="2"/>
  <c r="H46" i="2"/>
  <c r="H44" i="2"/>
  <c r="H40" i="2"/>
  <c r="H38" i="2"/>
  <c r="H37" i="2"/>
  <c r="H20" i="2"/>
  <c r="H21" i="2"/>
  <c r="H22" i="2"/>
  <c r="H23" i="2"/>
  <c r="H24" i="2"/>
  <c r="H25" i="2"/>
  <c r="H26" i="2"/>
  <c r="H12" i="2"/>
  <c r="H13" i="2"/>
  <c r="H14" i="2"/>
  <c r="H15" i="2"/>
  <c r="H16" i="2"/>
  <c r="K117" i="2" l="1"/>
  <c r="L123" i="2"/>
  <c r="L117" i="2"/>
  <c r="K123" i="2"/>
  <c r="M150" i="2"/>
  <c r="M107" i="2"/>
  <c r="M103" i="2"/>
  <c r="M99" i="2"/>
  <c r="M95" i="2"/>
  <c r="M25" i="2"/>
  <c r="M126" i="2"/>
  <c r="M21" i="2"/>
  <c r="M125" i="2"/>
  <c r="M193" i="2"/>
  <c r="M182" i="2"/>
  <c r="M120" i="2"/>
  <c r="M69" i="2"/>
  <c r="M13" i="2"/>
  <c r="M118" i="2"/>
  <c r="M26" i="2"/>
  <c r="M22" i="2"/>
  <c r="M51" i="2"/>
  <c r="M110" i="2"/>
  <c r="M24" i="2"/>
  <c r="M20" i="2"/>
  <c r="M15" i="2"/>
  <c r="M109" i="2"/>
  <c r="M101" i="2"/>
  <c r="M97" i="2"/>
  <c r="M16" i="2"/>
  <c r="M12" i="2"/>
  <c r="M75" i="2"/>
  <c r="M79" i="2"/>
  <c r="M106" i="2"/>
  <c r="M102" i="2"/>
  <c r="M98" i="2"/>
  <c r="M94" i="2"/>
  <c r="M42" i="2"/>
  <c r="M58" i="2"/>
  <c r="M121" i="2"/>
  <c r="M115" i="2"/>
  <c r="M90" i="2"/>
  <c r="M105" i="2"/>
  <c r="M60" i="2"/>
  <c r="M119" i="2"/>
  <c r="M89" i="2"/>
  <c r="M32" i="2"/>
  <c r="M71" i="2"/>
  <c r="M67" i="2"/>
  <c r="M114" i="2"/>
  <c r="M77" i="2"/>
  <c r="M85" i="2"/>
  <c r="M33" i="2"/>
  <c r="M41" i="2"/>
  <c r="M50" i="2"/>
  <c r="M78" i="2"/>
  <c r="M28" i="2"/>
  <c r="M68" i="2"/>
  <c r="M86" i="2"/>
  <c r="M34" i="2"/>
  <c r="M23" i="2"/>
  <c r="M14" i="2"/>
  <c r="M143" i="2"/>
  <c r="M43" i="2"/>
  <c r="M59" i="2"/>
  <c r="M76" i="2"/>
  <c r="M108" i="2"/>
  <c r="M104" i="2"/>
  <c r="M100" i="2"/>
  <c r="M96" i="2"/>
  <c r="M70" i="2"/>
  <c r="L92" i="2"/>
  <c r="K92" i="2"/>
  <c r="M139" i="2"/>
  <c r="K88" i="2"/>
  <c r="M113" i="2"/>
  <c r="M111" i="2"/>
  <c r="M93" i="2"/>
  <c r="L142" i="2"/>
  <c r="M142" i="2" s="1"/>
  <c r="M124" i="2"/>
  <c r="K83" i="2"/>
  <c r="J92" i="2"/>
  <c r="M122" i="2"/>
  <c r="M116" i="2"/>
  <c r="L112" i="2"/>
  <c r="M55" i="2"/>
  <c r="J56" i="2"/>
  <c r="M74" i="2"/>
  <c r="M87" i="2"/>
  <c r="K39" i="2"/>
  <c r="M72" i="2"/>
  <c r="K56" i="2"/>
  <c r="M61" i="2"/>
  <c r="M63" i="2"/>
  <c r="M38" i="2"/>
  <c r="M49" i="2"/>
  <c r="M54" i="2"/>
  <c r="M91" i="2"/>
  <c r="L88" i="2"/>
  <c r="M84" i="2"/>
  <c r="M80" i="2"/>
  <c r="M66" i="2"/>
  <c r="L56" i="2"/>
  <c r="M57" i="2"/>
  <c r="M64" i="2"/>
  <c r="M52" i="2"/>
  <c r="M46" i="2"/>
  <c r="M47" i="2"/>
  <c r="M40" i="2"/>
  <c r="M44" i="2"/>
  <c r="L39" i="2"/>
  <c r="M37" i="2"/>
  <c r="H31" i="2"/>
  <c r="H17" i="2"/>
  <c r="F219" i="2" l="1"/>
  <c r="H220" i="2"/>
  <c r="M138" i="2"/>
  <c r="M92" i="2"/>
  <c r="M88" i="2"/>
  <c r="M123" i="2"/>
  <c r="M73" i="2"/>
  <c r="M56" i="2"/>
  <c r="M117" i="2"/>
  <c r="M112" i="2"/>
  <c r="M83" i="2"/>
  <c r="M65" i="2"/>
  <c r="M53" i="2"/>
  <c r="M45" i="2"/>
  <c r="M39" i="2"/>
  <c r="M48" i="2"/>
  <c r="M36" i="2"/>
  <c r="M62" i="2"/>
  <c r="M31" i="2"/>
  <c r="M17" i="2"/>
  <c r="H35" i="2" l="1"/>
  <c r="H11" i="2" l="1"/>
  <c r="L10" i="2" s="1"/>
  <c r="K10" i="2"/>
  <c r="G219" i="2" l="1"/>
  <c r="M18" i="2"/>
  <c r="M35" i="2"/>
  <c r="J10" i="2" l="1"/>
  <c r="M11" i="2" l="1"/>
  <c r="M30" i="2"/>
  <c r="M10" i="2" l="1"/>
  <c r="M19" i="2"/>
  <c r="G220" i="2" l="1"/>
  <c r="J6" i="2" l="1"/>
  <c r="F220" i="2"/>
  <c r="I221" i="2" s="1"/>
  <c r="I219" i="2"/>
  <c r="F222" i="2" l="1"/>
  <c r="I222" i="2" s="1"/>
  <c r="I220" i="2"/>
</calcChain>
</file>

<file path=xl/sharedStrings.xml><?xml version="1.0" encoding="utf-8"?>
<sst xmlns="http://schemas.openxmlformats.org/spreadsheetml/2006/main" count="804" uniqueCount="406">
  <si>
    <t>SINAPI</t>
  </si>
  <si>
    <t>m²</t>
  </si>
  <si>
    <t>1.1</t>
  </si>
  <si>
    <t>1.2</t>
  </si>
  <si>
    <t>2.1</t>
  </si>
  <si>
    <t>ITEM</t>
  </si>
  <si>
    <t>CÓDIGO</t>
  </si>
  <si>
    <t>BANCO</t>
  </si>
  <si>
    <t>DESCRIÇÃO</t>
  </si>
  <si>
    <t>UND</t>
  </si>
  <si>
    <t>PREÇO UNIT C/ BDI</t>
  </si>
  <si>
    <t>VALORES (R$)</t>
  </si>
  <si>
    <t>LICITADO</t>
  </si>
  <si>
    <t>MEDIDO NO PERÍODO</t>
  </si>
  <si>
    <t>ACUMULADO INCLUINDO O PERÍODO</t>
  </si>
  <si>
    <t>QUANTIDADES</t>
  </si>
  <si>
    <t>LICITADA</t>
  </si>
  <si>
    <t>MEDIDA NO PERÍODO</t>
  </si>
  <si>
    <t>ACUMULADA INCLUINDO O PERÍODO</t>
  </si>
  <si>
    <t>%</t>
  </si>
  <si>
    <t>OBRA:</t>
  </si>
  <si>
    <t>1.0</t>
  </si>
  <si>
    <t>2.0</t>
  </si>
  <si>
    <t>RESUMO</t>
  </si>
  <si>
    <t>TOTAL GERAL(R$)</t>
  </si>
  <si>
    <t>DEDUÇÃO DAS MEDIÇÕES ANTERIORES(R$)</t>
  </si>
  <si>
    <t>TOTAL DESTA MEDIÇÃO(R$)</t>
  </si>
  <si>
    <t xml:space="preserve">VALOR: </t>
  </si>
  <si>
    <t>BOLETIM DE MEDIÇÃO</t>
  </si>
  <si>
    <t>CONSTRUTORA:</t>
  </si>
  <si>
    <t>VALOR DO BM</t>
  </si>
  <si>
    <t>DATA DE EMISSÃO</t>
  </si>
  <si>
    <t>MUN. COREMAS-PB</t>
  </si>
  <si>
    <t>MUTUÁRIO:</t>
  </si>
  <si>
    <t>LOCALIZAÇÃO:</t>
  </si>
  <si>
    <t>COREMAS - PB</t>
  </si>
  <si>
    <t>ACUMULADO</t>
  </si>
  <si>
    <t>3.0</t>
  </si>
  <si>
    <t>3.2</t>
  </si>
  <si>
    <t>SERVIÇOS PRELIMINARES</t>
  </si>
  <si>
    <t>PAVIMENTAÇÃO</t>
  </si>
  <si>
    <t>3.1</t>
  </si>
  <si>
    <t>m</t>
  </si>
  <si>
    <t>74209/001</t>
  </si>
  <si>
    <t>OBRAPLAN EMPRESA DE LIMPEZA E CONSERVAÇÃO URBANA LTDA</t>
  </si>
  <si>
    <t>REFORMA DA ESCOLA DO LOGRADOURO</t>
  </si>
  <si>
    <t>Demolição de alvenaria de bloco furado, de forma manual, sem reaproveitamento. af_12/2017</t>
  </si>
  <si>
    <t>Remoção de portas, de forma manual, sem reaproveitamento. af_12/2017</t>
  </si>
  <si>
    <t>1.3</t>
  </si>
  <si>
    <t>Remoção de louças, de forma manual, sem reaproveitamento.</t>
  </si>
  <si>
    <t>un</t>
  </si>
  <si>
    <t>1.4</t>
  </si>
  <si>
    <t>CPU</t>
  </si>
  <si>
    <t>Demolição de piso cimentado</t>
  </si>
  <si>
    <t>1.5</t>
  </si>
  <si>
    <t>Demolição de revestimento cerâmico, de forma manual, sem reaproveitamento. af_12/2017 - Cozinha e WC</t>
  </si>
  <si>
    <t>1.6</t>
  </si>
  <si>
    <t>Carga manual de entulho em caminhão basculante 6 m³.</t>
  </si>
  <si>
    <t>m³</t>
  </si>
  <si>
    <t>1.7</t>
  </si>
  <si>
    <t>Transporte com caminhão basculante de 6 m3, em via urbana pavimentada dmt até 30 km (unidade: m3xkm). af_01/2018 - material excedente(bota-fora)</t>
  </si>
  <si>
    <t>m3 x km</t>
  </si>
  <si>
    <t>Execução de passeio (calçada) ou piso de concreto com concreto, espessura de 5 cm moldado in loco, feito em obra, acabamento convencional, não armado. af_07/2016</t>
  </si>
  <si>
    <t>2.2</t>
  </si>
  <si>
    <t>Chapisco aplicado em alvenaria (sem presença de vãos) e estruturas de concreto de fachada, com colher de pedreiro.  argamassa traço 1:3 com preparo em betoneira 400l. af_06/2014</t>
  </si>
  <si>
    <t>2.3</t>
  </si>
  <si>
    <t>Emboço ou massa única em argamassa traço 1:2:8, preparo manual, aplicada manualmente em panos de fachada com presença de vãos, espessura de 25 mm. af_06/2014</t>
  </si>
  <si>
    <t>2.4</t>
  </si>
  <si>
    <t>Aplicação e lixamento de massa látex em paredes, duas demãos</t>
  </si>
  <si>
    <t>2.5</t>
  </si>
  <si>
    <t>Aplicação de fundo selador acrílico em paredes, uma demão. af_06/2014</t>
  </si>
  <si>
    <t>2.6</t>
  </si>
  <si>
    <t>Aplicação manual de pintura com tinta látex acrílica em paredes, duas demãos. af_06/2014</t>
  </si>
  <si>
    <t>2.7</t>
  </si>
  <si>
    <t>Revestimento cerâmico para paredes internas com placas tipo esmaltadaextra de dimensões 33x45 cm aplicadas em ambientes de área menor que 5 m² na altura inteira das paredes. af_06/2014 - WCs</t>
  </si>
  <si>
    <t>2.8</t>
  </si>
  <si>
    <t>Revestimento cerâmico para paredes internas com placas tipo esmaltadaextra de dimensões 33x45 cm aplicadas em ambientes de área maior que 5 m² na altura inteira das paredes. af_06/2014 - Cozinha/Serviço</t>
  </si>
  <si>
    <t>2.9</t>
  </si>
  <si>
    <t>Revestimento cerâmico para piso com placas tipo grês de dimensões 35x35 cm aplicada em ambientes de área maior que 10 m²</t>
  </si>
  <si>
    <t>m2</t>
  </si>
  <si>
    <t>REVESTIMENTOS - PISOS E PAREDES</t>
  </si>
  <si>
    <t>DEMOLIÇÕES E RETIRADAS</t>
  </si>
  <si>
    <t>COBERTA</t>
  </si>
  <si>
    <t>Aplicação e lixamento de massa látex em teto, duas demãos.</t>
  </si>
  <si>
    <t xml:space="preserve">Aplicação de fundo selador látex pva em teto, uma demão. af_06/2014 </t>
  </si>
  <si>
    <t>3.3</t>
  </si>
  <si>
    <t>Aplicação manual de pintura com tinta látex pva em teto, duas demãos.af_06/2014</t>
  </si>
  <si>
    <t>3.4</t>
  </si>
  <si>
    <t>Trama de madeira composta por ripas, caibros e terças para telhados demais que 2 águas para telha cerâmica capa-canal, incluso transporte v
ertical. af_07/2019</t>
  </si>
  <si>
    <t>Telhamento com telha cerâmica capa-canal, tipo plan, com até 2 águas,incluso transporte vertical. af_07/2019</t>
  </si>
  <si>
    <t>4.0</t>
  </si>
  <si>
    <t>ESQUADRIAS</t>
  </si>
  <si>
    <t>4.1</t>
  </si>
  <si>
    <t>73739/001</t>
  </si>
  <si>
    <t>Pintura esmalte acetinado em madeira, duas demaos</t>
  </si>
  <si>
    <t>4.2</t>
  </si>
  <si>
    <t>73924/002</t>
  </si>
  <si>
    <t>Pintura esmalte acetinado, duas demaos, sobre superficie metalica</t>
  </si>
  <si>
    <t>5.0</t>
  </si>
  <si>
    <t>INSTALAÇÕES HIDROSANITÁRIAS</t>
  </si>
  <si>
    <t>5.1</t>
  </si>
  <si>
    <t>Vaso sanitário sifonado com caixa acoplada louça branca, incluso engate flexível em plástico branco, 1/2  x 40cm - fornecimento e instalação
. af_12/2013</t>
  </si>
  <si>
    <t>5.2</t>
  </si>
  <si>
    <t>Lavatório louça branca suspenso, 29,5 x 39cm ou equivalente, padrão popular, incluso sifão flexível em pvc, válvula e engate flexível 30cm em plástico e torneira cromada de mesa, padrão popular - fornecimento e instalação. af_12/2013</t>
  </si>
  <si>
    <t>5.3</t>
  </si>
  <si>
    <t>I 007608</t>
  </si>
  <si>
    <t>Chuveiro plastico branco simples 5 '' para acoplar em haste 1/2 ", agua fria</t>
  </si>
  <si>
    <t>5.4</t>
  </si>
  <si>
    <t>Papeleira de parede em metal cromado sem tampa, incluso fixação</t>
  </si>
  <si>
    <t>5.5</t>
  </si>
  <si>
    <t>Saboneteira plastica tipo dispenser para sabonete liquido</t>
  </si>
  <si>
    <t>6.0</t>
  </si>
  <si>
    <t>SERVIÇOS FINAIS</t>
  </si>
  <si>
    <t>6.1</t>
  </si>
  <si>
    <t>83696/001</t>
  </si>
  <si>
    <t>Pintura de alvenaria com cal.</t>
  </si>
  <si>
    <t>6.2</t>
  </si>
  <si>
    <t>Limpeza final da obra</t>
  </si>
  <si>
    <t>7.0</t>
  </si>
  <si>
    <t>7.1</t>
  </si>
  <si>
    <t>73859/002</t>
  </si>
  <si>
    <t>Capina e limpeza manual de terreno.</t>
  </si>
  <si>
    <t>7.2</t>
  </si>
  <si>
    <t>Regularizacao de superficies em terra com motoniveladora</t>
  </si>
  <si>
    <t xml:space="preserve"> m²</t>
  </si>
  <si>
    <t>7.3</t>
  </si>
  <si>
    <t>Locação convencional de obra, através de gabarito de tábuas corridas pontaletadas a cada 1,50m, sem reaproveitamento</t>
  </si>
  <si>
    <t>7.4</t>
  </si>
  <si>
    <t>Placa indicativa de obra em chapa de aço galvanizado</t>
  </si>
  <si>
    <t>8.0</t>
  </si>
  <si>
    <t>MOVIMENTO DE TERRA</t>
  </si>
  <si>
    <t>8.1</t>
  </si>
  <si>
    <t>Escavação manual em campo aberto, em solo exceto rocha, até 2,00m de profunididade</t>
  </si>
  <si>
    <t>8.2</t>
  </si>
  <si>
    <t>Aterro apiloado (manual) em camadas de 20cm, com material de empréstimo</t>
  </si>
  <si>
    <t>9.0</t>
  </si>
  <si>
    <t>INFRAESTRUTURA</t>
  </si>
  <si>
    <t>9.1</t>
  </si>
  <si>
    <t>Concreto magro para lastro, traço 1:4,5:4,5 (cimento/ areia média/ brita 1)  - preparo mecânico com betoneira 400 l. af_07/2016</t>
  </si>
  <si>
    <t>m3</t>
  </si>
  <si>
    <t>9.2</t>
  </si>
  <si>
    <t>Lançamento com uso de baldes, adensamento e acabamento de concreto em estruturas. af_12/2015</t>
  </si>
  <si>
    <t>9.3</t>
  </si>
  <si>
    <t>Embasamento com pedra argamassada utilizando argamassa de cimento e areia no traço 1:4</t>
  </si>
  <si>
    <t>9.4</t>
  </si>
  <si>
    <t>Execução de estruturas de concreto armado, para edificação habitacional unifamiliar térrea (casa isolada), fck = 25 mpa. af_01/2017 - vigas baldrames e blocos</t>
  </si>
  <si>
    <t>9.5</t>
  </si>
  <si>
    <t>74106/001</t>
  </si>
  <si>
    <t>Impermeabilização de superfície com argamassa de cimento e areia média no traço 1:3, com aditivo impermeabilizante, e = 2cm, para funidação corrida</t>
  </si>
  <si>
    <t>10.0</t>
  </si>
  <si>
    <t>PAREDES E PAINÉIS</t>
  </si>
  <si>
    <t>10.1</t>
  </si>
  <si>
    <t>Alvenaria de vedação de blocos cerâmicos furados na horizontal de 9x19x19cm (espessura 9cm) de paredes com área líquida maior ou igual a 6m² sem vãos e argamassa de assentamento com preparo em betoneira</t>
  </si>
  <si>
    <t>10.2</t>
  </si>
  <si>
    <t>Execução de estruturas de concreto armado, para edificação habitacional unifamiliar térrea (casa isolada), fck = 25 mpa. af_01/2017 - Pilares e Vigas</t>
  </si>
  <si>
    <t>11.0</t>
  </si>
  <si>
    <t>11.1</t>
  </si>
  <si>
    <t>Laje pre-moldada trelicada (lajotas + vigotas) para até 100 kg/m² vaos até 6,00m/incl vigotas tijolos armadura negativa capeamento 3cm concreto 20mpa escoramento material e mao  de obra.</t>
  </si>
  <si>
    <t>11.2</t>
  </si>
  <si>
    <t>Estrutura de madeira de lei primeira qualidade, serrada, nao aparelhada, para telhas cerâmicas</t>
  </si>
  <si>
    <t>11.3</t>
  </si>
  <si>
    <t>Cobertura com telha cerâmica, com argamassa traço 1:3 de cimento e areia e arame recozido</t>
  </si>
  <si>
    <t>11.4</t>
  </si>
  <si>
    <t>74066/002</t>
  </si>
  <si>
    <t>Impermeabilizacao de superficie, com impermeabilizante flexivel a base acrilica.</t>
  </si>
  <si>
    <t>11.5</t>
  </si>
  <si>
    <t>Calha em chapa de aço galvanizado número 24, desenvolvimento de 100 cm, incluso transporte vertical. af_06/2016</t>
  </si>
  <si>
    <t>11.6</t>
  </si>
  <si>
    <t>Rufo em fibrocimento para telha ondulada e = 6 mm, aba de 26 cm, incluso transporte vertical. af_06/2016</t>
  </si>
  <si>
    <t>11.7</t>
  </si>
  <si>
    <t>Forro em placas de gesso, para ambientes comerciais. af_05/2017_p</t>
  </si>
  <si>
    <t>12.0</t>
  </si>
  <si>
    <t>12.1</t>
  </si>
  <si>
    <t>Kit de porta de madeira para pintura, semi-oca (leve ou média), padrão médio, 80x210cm, espessura de 3,5cm, itens inclusos: dobradiças, montagem e instalação do batente, fechadura com execução do furo - fornecimento e instalação. af_08/2015</t>
  </si>
  <si>
    <t>12.2</t>
  </si>
  <si>
    <t>Kit de porta de madeira para pintura, semi-oca (leve ou média), padrão médio, 70x210cm, espessura de 3,5cm, itens inclusos: dobradiças, montagem e instalação do batente, fechadura com execução do furo - fornecimento e instalação. af_08/2015</t>
  </si>
  <si>
    <t>12.3</t>
  </si>
  <si>
    <t>Verga moldada in loco com utilização de blocos canaleta para janelas com até 1,5 m de vão. af_03/2016</t>
  </si>
  <si>
    <t>12.4</t>
  </si>
  <si>
    <t>Contraverga moldada in loco com utilização de blocos canaleta para vãos de até 1,5 m de comprimento. af_03/2016</t>
  </si>
  <si>
    <t>12.5</t>
  </si>
  <si>
    <t>Verga moldada in loco com utilização de blocos canaleta para janelas com mais de 1,5 m de vão. af_03/2016</t>
  </si>
  <si>
    <t>12.6</t>
  </si>
  <si>
    <t>Contraverga moldada in loco com utilização de blocos canaleta para vãos de mais de 1,5 m de comprimento. af_03/2016</t>
  </si>
  <si>
    <t>12.7</t>
  </si>
  <si>
    <t>Janela de alumínio maxim-ar, fixação com argamassa, com vidros, padronizada. af_07/2016 - WC</t>
  </si>
  <si>
    <t>13.0</t>
  </si>
  <si>
    <t>REVESTIMENTO</t>
  </si>
  <si>
    <t>13.1</t>
  </si>
  <si>
    <t>Chapisco aplicado tanto em pilares e vigas de concreto como em alvenarias de paredes internas, com colher de pedreiro, argamassa traço 1:3 com preparo manual</t>
  </si>
  <si>
    <t>13.2</t>
  </si>
  <si>
    <t>Emboço, para recebimento de cerâmica, em argamassa traço 1:2:8, preparo manual com betoneira 400L, aplicado manualmente em faces internas de paredes de ambientes, espessura de 20mm, com execução de taliscas</t>
  </si>
  <si>
    <t>13.3</t>
  </si>
  <si>
    <t>Revestimento cerâmico para paredes internas com placas tipo grês ou semi-grês de dimensões 25x35 cm aplicadas em ambientes de área maior que 5m² na altura inteira das paredes</t>
  </si>
  <si>
    <t>13.4</t>
  </si>
  <si>
    <t>Massa única, para recebimento de pintura ou cerâmica, preparo manual em argamassa no traço 1:2:8, aplicado manualmente, em faces internas de paredes de ambientes com área maior que 10m2, espessura 10mm, sem taliscas</t>
  </si>
  <si>
    <t>14.0</t>
  </si>
  <si>
    <t>14.1</t>
  </si>
  <si>
    <t>Contrapiso em argamassa traço 1:4 (cim e areia), em betoneira 400 l, espessura 4 cm áreas secas e areas molhadas sobre laje e 3 cm áreas molhadas sobre impermeabilização, para edificação habitacional unifamiliar(casa) e edificação pública padrão. af_11/2014</t>
  </si>
  <si>
    <t>14.2</t>
  </si>
  <si>
    <t>14.3</t>
  </si>
  <si>
    <t>Rodapé cerâmico de 7cm de altura com placas tipo esmaltada comercial de dimensões 35x35cm (padrao popular). af_06/2017</t>
  </si>
  <si>
    <t>15.0</t>
  </si>
  <si>
    <t>INSTALAÇÃO HIDROSSANITÁRIA</t>
  </si>
  <si>
    <t>15.1.1</t>
  </si>
  <si>
    <t>Tubo em PVC soldável água fria Ø 20mm, fornecimento e instalações</t>
  </si>
  <si>
    <t>15.1.2</t>
  </si>
  <si>
    <t>Joelho 90 graus, ppr, dn 20 mm, classe pn 20, instalado em ramal ou sub-ramal de água fornecimento e instalação . af_06/2015</t>
  </si>
  <si>
    <t>unid</t>
  </si>
  <si>
    <t>15.1.3</t>
  </si>
  <si>
    <t>Tê com bucha de latão na bolsa central, pvc, soldável, dn 20mm x 1/2,instalado em ramal ou sub-ramal de água - fornecimento e instalação.
af_12/2014</t>
  </si>
  <si>
    <t>15.1.4</t>
  </si>
  <si>
    <t>Joelho 90 graus, pvc, soldável, dn 20mm, instalado em ramal de distribuição de água - fornecimento e instalação. af_12/2014</t>
  </si>
  <si>
    <t>15.2.1</t>
  </si>
  <si>
    <t>Tubo PVC esgoto Ø 100mm, inclusive conexões (rede externa)</t>
  </si>
  <si>
    <t>15.2.2</t>
  </si>
  <si>
    <t>Tubo PVC esgoto Ø 50mm, inclusive conexões (rede interna)</t>
  </si>
  <si>
    <t>15.2.3</t>
  </si>
  <si>
    <t>Tubo PVC esgoto Ø 40mm, inclusive conexões (rede interna)</t>
  </si>
  <si>
    <t>15.2.4</t>
  </si>
  <si>
    <t>Ralo sifonado PVC dn 100x40mm, junta soldável</t>
  </si>
  <si>
    <t>15.2.5</t>
  </si>
  <si>
    <t>Luva simples, pvc, serie normal, esgoto predial, dn 100 mm, junta elástica, fornecido e instalado em ramal de descarga ou ramal de esgoto sanitário. af_12/2014</t>
  </si>
  <si>
    <t>15.2.6</t>
  </si>
  <si>
    <t>Luva simples, pvc, serie normal, esgoto predial, dn 50 mm, junta elástica, fornecido e instalado em prumada de esgoto sanitário ou ventilação. af_12/2014</t>
  </si>
  <si>
    <t>15.2.7</t>
  </si>
  <si>
    <t>Composição</t>
  </si>
  <si>
    <t xml:space="preserve">Joelho 90 graus, pvc, serie normal, esgoto predial, dn 40 mm, junta elástica, fornecido e instalado em prumada de esgoto sanitário ou ventilação. </t>
  </si>
  <si>
    <t>15.2.8</t>
  </si>
  <si>
    <t>Joelho 45 graus, pvc, serie normal, esgoto predial, dn 50 mm, junta elástica, fornecido e instalado em prumada de esgoto sanitário ou ventilação. af_12/2014</t>
  </si>
  <si>
    <t>15.2.9</t>
  </si>
  <si>
    <t>Joelho 45 graus, pvc, serie normal, esgoto predial, dn 40 mm, junta elástica, fornecido e instalado em prumada de esgoto sanitário ou ventilação. af_12/2014</t>
  </si>
  <si>
    <t>15.2.10</t>
  </si>
  <si>
    <t>Junção simples, pvc, serie normal, esgoto predial, dn 100 x 100 mm, junta elástica, fornecido e instalado em prumada de esgoto sanitário ou ventilação. af_12/2014</t>
  </si>
  <si>
    <t>15.2.11</t>
  </si>
  <si>
    <t>Junção simples, pvc, serie normal, esgoto predial, dn 100 x 50 mm, junta elástica, fornecido e instalado em ramal de descarga ou ramal de esgoto sanitário. af_12/2014</t>
  </si>
  <si>
    <t>15.2.12</t>
  </si>
  <si>
    <t xml:space="preserve">Tê de redução, pvc, serie normal, esgoto predial, dn 100 x 50 mm, junta elástica, fornecido e instalado em ramal de descarga ou ramal de esgoto sanitário. </t>
  </si>
  <si>
    <t>15.2.13</t>
  </si>
  <si>
    <t>Insumo 39319</t>
  </si>
  <si>
    <t>Terminal de ventilacao, 50 mm, serie normal, esgoto predial</t>
  </si>
  <si>
    <t>15.3.1</t>
  </si>
  <si>
    <t>Vaso sanitário sifonado com caixa acoplada, louça branca, padrão médio, incluso engate flexível em metal cromado, 1/2" x 40cm</t>
  </si>
  <si>
    <t>15.3.2</t>
  </si>
  <si>
    <t>16.0</t>
  </si>
  <si>
    <t>INSTALAÇÃO ELÉTRICA</t>
  </si>
  <si>
    <t>16.1</t>
  </si>
  <si>
    <t>Ponto de iluminação residencial incluindo interruptor simples, caixa elétrica, eletroduto, cabo, rasgo, quebra e chumbamento (excluindo luminária e lâmpada). af_01/2016</t>
  </si>
  <si>
    <t>16.2</t>
  </si>
  <si>
    <t>Ponto de tomada residencial incluindo tomada 10a/250v, caixa elétrica, eletroduto, cabo, rasgo, quebra e chumbamento. af_01/2016</t>
  </si>
  <si>
    <t>16.3</t>
  </si>
  <si>
    <t>Ponto de tomada residencial incluindo tomada (2 módulos) 10a/250v, caixa elétrica, eletroduto, cabo, rasgo, quebra e chumbamento. af_01/2016</t>
  </si>
  <si>
    <t>16.4</t>
  </si>
  <si>
    <t>Luminária completa de embutir tipo calha 2x 40w c/ reator/lamp. fluoresc.</t>
  </si>
  <si>
    <t>17.0</t>
  </si>
  <si>
    <t>PINTURA</t>
  </si>
  <si>
    <t>17.1</t>
  </si>
  <si>
    <t>Pintura esmalte acetinado em esquadria de madeira, 2 demãos</t>
  </si>
  <si>
    <t>17.2</t>
  </si>
  <si>
    <t>17.3</t>
  </si>
  <si>
    <t>17.4</t>
  </si>
  <si>
    <t>17.5</t>
  </si>
  <si>
    <t>18.0</t>
  </si>
  <si>
    <t>ÁREA DE RECREAÇÃO</t>
  </si>
  <si>
    <t>18.1</t>
  </si>
  <si>
    <t>18.2</t>
  </si>
  <si>
    <t>18.3</t>
  </si>
  <si>
    <t>Execução de passeio em piso intertravado, com bloco 16 faces (na coloração natural) de (22 x 11) cm, espessura de 6cm. AF_12/2015.</t>
  </si>
  <si>
    <t>Fabricação e instalação de tesoura inteira em madeira não aparelhada,vão de 10 m, para telha cerâmica ou de concreto, incluso içamento. af_
07/2019</t>
  </si>
  <si>
    <t>19.0</t>
  </si>
  <si>
    <t>JARDINAGEM</t>
  </si>
  <si>
    <t>19.1</t>
  </si>
  <si>
    <t>Plantio de árvores ornamentais com porte de 100 a 200 cm em covas de 50 x 50 x 60</t>
  </si>
  <si>
    <t>20.0</t>
  </si>
  <si>
    <t>20.1</t>
  </si>
  <si>
    <t>2.8 - ADITIVO</t>
  </si>
  <si>
    <t>2.10- ADITIVO</t>
  </si>
  <si>
    <t>Execução de passeio em piso intertravado, com bloco 16 faces (na coloração natural) de (22 x 11)
cm, espessura de 6cm. AF_12/2015.- PASSEIO EXTERNO</t>
  </si>
  <si>
    <t>12.8 - ADITIVO</t>
  </si>
  <si>
    <t>12.9 - ADITIVO</t>
  </si>
  <si>
    <t>C1518</t>
  </si>
  <si>
    <t>C3659</t>
  </si>
  <si>
    <t>SEINFRA</t>
  </si>
  <si>
    <t>Janela de ferro</t>
  </si>
  <si>
    <t>Portão de metalon e barra chata de ferro c/fechadura e dobradiça, inclus. pintura esmalte sintético</t>
  </si>
  <si>
    <t>19.2 - ADITIVO</t>
  </si>
  <si>
    <t>19.3 -ADITIVO</t>
  </si>
  <si>
    <t>Espalhameto manual de terra vegetal para plantio de grama tipo esmeralda.</t>
  </si>
  <si>
    <t>Plantio de grama tipo esmeralda, inclusive preparo do solo.</t>
  </si>
  <si>
    <t>21.0</t>
  </si>
  <si>
    <t>MURO DE ARRIMO</t>
  </si>
  <si>
    <t>74077/002</t>
  </si>
  <si>
    <t>LICITAÇÃO</t>
  </si>
  <si>
    <t>Lcacao convencional de obra, através de gabarito de tabuas corridas pontaletadas, com
reaproveitamento de 10 vezes.</t>
  </si>
  <si>
    <t>21.1 - ADITIVO</t>
  </si>
  <si>
    <t>22.0</t>
  </si>
  <si>
    <t>Reaterro manual de valas com compactação mecanizada. af_04/2016</t>
  </si>
  <si>
    <t>22.1 - ADITIVO</t>
  </si>
  <si>
    <t>22.2 - ADITIVO</t>
  </si>
  <si>
    <t>23.0</t>
  </si>
  <si>
    <t>INFRAESTRUTURA - MURO DE ARRIMO</t>
  </si>
  <si>
    <t>Concreto magro para lastro, traço 1:4,5:4,5 (cimento/ areia média/ brita 1) - preparo mecânico com
betoneira 400 l. af_07/2016</t>
  </si>
  <si>
    <t>Lançamento com uso de baldes, adensamento e acabamento de concreto em estruturas.
af_12/2015</t>
  </si>
  <si>
    <t>Embasamento c/pedra argamassada utilizando arg.cim/areia 1:4</t>
  </si>
  <si>
    <t>Fabricação, montagem e desmontagem, em madeira serrada, e=25 mm, 4 utilizações. af_06/2017</t>
  </si>
  <si>
    <t>Impermeabilizacao de estruturas enterradas, com tinta asfaltica, duas demaos.</t>
  </si>
  <si>
    <t>Execucao de dreno com tubos de pvc corrugado flexivel perfurado - dn 50</t>
  </si>
  <si>
    <t>24.0</t>
  </si>
  <si>
    <t>SUPERESTRUTURA - PILARES E VIGAS</t>
  </si>
  <si>
    <t>PILARES</t>
  </si>
  <si>
    <t>23.1 - ADITIVO</t>
  </si>
  <si>
    <t>23.2 - ADITIVO</t>
  </si>
  <si>
    <t>23.3 - ADITIVO</t>
  </si>
  <si>
    <t>23.4 - ADITIVO</t>
  </si>
  <si>
    <t>23.5 - ADITIVO</t>
  </si>
  <si>
    <t>23.6 - ADITIVO</t>
  </si>
  <si>
    <t>Armação de bloco, viga utilizando aço ca-60 de 5 mm - montagem. af_06/2017</t>
  </si>
  <si>
    <t>Armação de bloco, viga utilizando aço ca-50 de 6,3 mm - montagem. af_06/2017</t>
  </si>
  <si>
    <t>KG</t>
  </si>
  <si>
    <t>Armação de bloco, viga utilizando aço ca-50 de 8 mm - montagem. af_06/2017</t>
  </si>
  <si>
    <t>Armação de bloco, viga utilizando aço ca-50 de 10 mm - montagem. af_06/2017</t>
  </si>
  <si>
    <t>Concreto fck = 25mpa, traço 1:2,3:2,7 (cimento/ areia média/ brita 1) - preparo mecânico com
betoneira 400 l. af_07/2016</t>
  </si>
  <si>
    <t>Armação de pilar utilizando aço ca-60 de 5 mm - montagem. af_06/2017</t>
  </si>
  <si>
    <t>Armação de pilar utilizando aço ca-50 de 10 mm - montagem. af_06/2017</t>
  </si>
  <si>
    <t>VIGAS BALDRAME E DE TOPO</t>
  </si>
  <si>
    <t>24.1 - ADITIVO</t>
  </si>
  <si>
    <t>24.2 - ADITIVO</t>
  </si>
  <si>
    <t>24.3 - ADITIVO</t>
  </si>
  <si>
    <t>24.4 - ADITIVO</t>
  </si>
  <si>
    <t>24.5 - ADITIVO</t>
  </si>
  <si>
    <t>24.6 - ADITIVO</t>
  </si>
  <si>
    <t>24.7 - ADITIVO</t>
  </si>
  <si>
    <t>24.8 - ADITIVO</t>
  </si>
  <si>
    <t>24.9 - ADITIVO</t>
  </si>
  <si>
    <t>24.10 - ADITIVO</t>
  </si>
  <si>
    <t>24.11 - ADITIVO</t>
  </si>
  <si>
    <t>24.12 - ADITIVO</t>
  </si>
  <si>
    <t>Alvenaria de vedação de blocos cerâmicos furados na horizontal de 9x19x19cm (espessura 9cm)
de paredes com área líquida menor que 6m² sem vãos e argamassa de assentamento com preparo
em betoneira. af_06/2014</t>
  </si>
  <si>
    <t>Chapisco aplicado em alvenaria (sem presença de vãos) e estruturas de concreto de fachada, com
colher de pedreiro. argamassa traço 1:3 com preparo em betoneira 400l. af_06/2014</t>
  </si>
  <si>
    <t>Massa única, para recebimento de pintura, em argamassa traço 1:2:8, preparo manual, aplicada
manualmente em faces internas de paredes, espessura de 20mm, com execução de taliscas.
af_06/2014</t>
  </si>
  <si>
    <t>Aplicação de fundo selador acrílico em paredes, uma demão. af_06/2014</t>
  </si>
  <si>
    <t>Aplicação e lixamento de massa látex em paredes, duas demãos. af_06/2014</t>
  </si>
  <si>
    <t>Aplicação manual de pintura com tinta látex acrílica em paredes, duas demãos. af_06/2014</t>
  </si>
  <si>
    <t>26.0</t>
  </si>
  <si>
    <t>MURO LATERAL DIREITO</t>
  </si>
  <si>
    <t>27.0</t>
  </si>
  <si>
    <t>Escavação manual de vala com profundidade menor ou igual a 1,30 m. af_03/2016</t>
  </si>
  <si>
    <t>28.0</t>
  </si>
  <si>
    <t>Armação de pilar utilizando aço ca-50 de 10 mm - montagem. af_06/2017 - BLOCOS</t>
  </si>
  <si>
    <t>Impermeabilizacao de estruturas enterradas, com tinta asfaltica, duas demaos</t>
  </si>
  <si>
    <t>29.0</t>
  </si>
  <si>
    <t>30.0</t>
  </si>
  <si>
    <t>03</t>
  </si>
  <si>
    <t>25.1 - ADITIVO</t>
  </si>
  <si>
    <t>25.2 - ADITIVO</t>
  </si>
  <si>
    <t>25.3 - ADITIVO</t>
  </si>
  <si>
    <t>25.4 - ADITIVO</t>
  </si>
  <si>
    <t>25.5 - ADITIVO</t>
  </si>
  <si>
    <t>25.6 - ADITIVO</t>
  </si>
  <si>
    <t>26.1 - ADITIVO</t>
  </si>
  <si>
    <t>27.1 - ADITIVO</t>
  </si>
  <si>
    <t>27.2 - ADITIVO</t>
  </si>
  <si>
    <t>28.1 - ADITIVO</t>
  </si>
  <si>
    <t>28.2 - ADITIVO</t>
  </si>
  <si>
    <t>28.3 - ADITIVO</t>
  </si>
  <si>
    <t>28.4 - ADITIVO</t>
  </si>
  <si>
    <t>28.5 - ADITIVO</t>
  </si>
  <si>
    <t>28.6 - ADITIVO</t>
  </si>
  <si>
    <t>28.7 - ADITIVO</t>
  </si>
  <si>
    <t>29.1 - ADITIVO</t>
  </si>
  <si>
    <t>29.2 - ADITIVO</t>
  </si>
  <si>
    <t>29.3 - ADITIVO</t>
  </si>
  <si>
    <t>29.4 - ADITIVO</t>
  </si>
  <si>
    <t>29.5 - ADITIVO</t>
  </si>
  <si>
    <t>29.6 - ADITIVO</t>
  </si>
  <si>
    <t>29.7 - ADITIVO</t>
  </si>
  <si>
    <t>29.8 - ADITIVO</t>
  </si>
  <si>
    <t>29.9 - ADITIVO</t>
  </si>
  <si>
    <t>29.10 - ADITIVO</t>
  </si>
  <si>
    <t>29.11 - ADITIVO</t>
  </si>
  <si>
    <t>29.12 - ADITIVO</t>
  </si>
  <si>
    <t>30.1 - ADITIVO</t>
  </si>
  <si>
    <t>30.2 -ADITIVO</t>
  </si>
  <si>
    <t>30.3 - ADITIVO</t>
  </si>
  <si>
    <t>30.4 - ADITIVO</t>
  </si>
  <si>
    <t>30.5 - ADITIVO</t>
  </si>
  <si>
    <t>30.6 - ADITIVO</t>
  </si>
  <si>
    <t>18.4 -SUPRIMIDO</t>
  </si>
  <si>
    <t>18.5 -SUPRIMIDO</t>
  </si>
  <si>
    <t>18.6-SUPRIMIDO</t>
  </si>
  <si>
    <t>18.7-SUPRIMIDO</t>
  </si>
  <si>
    <t>18.8-SUPRIMIDO</t>
  </si>
  <si>
    <t>18.9-SUPRIMIDO</t>
  </si>
  <si>
    <t>18.10-SUPRIMIDO</t>
  </si>
  <si>
    <t>18.11 - ADITIVO</t>
  </si>
  <si>
    <t>74244/001</t>
  </si>
  <si>
    <t>I 25398</t>
  </si>
  <si>
    <t>Alambrado para quadra poliesportiva, estruturado por tubos de aco galvanizado, com costura, din
2440, diametro 2", com tela de arame galvanizado, fio 14 bwg e malha quadrada 5x5cm</t>
  </si>
  <si>
    <t>Fornecimento/instalacao lona plastica preta, para impermeabilizacao, espessura 150 micras.</t>
  </si>
  <si>
    <t>Pintura acrilica de faixas de demarcacao em quadra , 5 cm de largura</t>
  </si>
  <si>
    <t>conjunto para futsal com traves oficiais de 3,00 x 2,00 m em tubo de aco galvanizado 3" com
requadro em tubo de 1", pintura em primer com tinta esmalte sintetico e redes de polietileno fio 4
mm</t>
  </si>
  <si>
    <t>UN</t>
  </si>
  <si>
    <t>TRINTA MIL, QUATROCENTOS E SETENTA E TRÊS REAIS E VINTE E CINCO CENTAVOS</t>
  </si>
  <si>
    <t>18.12 -ADITIVO</t>
  </si>
  <si>
    <t>18.13 - ADITIVO</t>
  </si>
  <si>
    <t>18.14 - ADITIVO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</si>
</sst>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&quot;R$&quot;\ #,##0.00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_(&quot;R$ &quot;* #,##0.00_);_(&quot;R$ &quot;* \(#,##0.00\);_(&quot;R$ &quot;* &quot;-&quot;??_);_(@_)"/>
    <numFmt numFmtId="168" formatCode="_(* #,##0.00_);_(* \(#,##0.00\);_(* \-??_);_(@_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3" fillId="0" borderId="0"/>
    <xf numFmtId="0" fontId="13" fillId="0" borderId="0"/>
    <xf numFmtId="43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7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1" fillId="0" borderId="0"/>
    <xf numFmtId="0" fontId="11" fillId="0" borderId="0"/>
    <xf numFmtId="0" fontId="16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6" fillId="0" borderId="0"/>
    <xf numFmtId="0" fontId="11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6" fillId="0" borderId="0"/>
    <xf numFmtId="43" fontId="11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8" fontId="16" fillId="0" borderId="0" applyFill="0" applyBorder="0" applyAlignment="0" applyProtection="0"/>
    <xf numFmtId="9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</cellStyleXfs>
  <cellXfs count="179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0" xfId="0" applyFont="1" applyBorder="1" applyAlignment="1">
      <alignment horizontal="left" wrapText="1"/>
    </xf>
    <xf numFmtId="4" fontId="3" fillId="0" borderId="0" xfId="0" applyNumberFormat="1" applyFont="1"/>
    <xf numFmtId="4" fontId="5" fillId="0" borderId="1" xfId="0" applyNumberFormat="1" applyFont="1" applyBorder="1"/>
    <xf numFmtId="0" fontId="0" fillId="0" borderId="0" xfId="0" applyAlignment="1">
      <alignment horizontal="right"/>
    </xf>
    <xf numFmtId="4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horizontal="right" vertical="top" wrapText="1"/>
    </xf>
    <xf numFmtId="4" fontId="7" fillId="0" borderId="0" xfId="0" applyNumberFormat="1" applyFont="1"/>
    <xf numFmtId="0" fontId="7" fillId="0" borderId="0" xfId="0" applyFont="1" applyAlignment="1">
      <alignment horizontal="right"/>
    </xf>
    <xf numFmtId="0" fontId="5" fillId="2" borderId="0" xfId="0" applyFont="1" applyFill="1" applyAlignment="1">
      <alignment horizontal="right" vertical="top" wrapText="1"/>
    </xf>
    <xf numFmtId="0" fontId="1" fillId="0" borderId="0" xfId="0" applyFont="1" applyAlignment="1">
      <alignment horizontal="right"/>
    </xf>
    <xf numFmtId="0" fontId="2" fillId="0" borderId="15" xfId="0" applyFont="1" applyBorder="1" applyAlignment="1">
      <alignment vertical="center"/>
    </xf>
    <xf numFmtId="10" fontId="3" fillId="0" borderId="16" xfId="2" applyNumberFormat="1" applyFont="1" applyBorder="1"/>
    <xf numFmtId="10" fontId="5" fillId="0" borderId="11" xfId="2" applyNumberFormat="1" applyFont="1" applyBorder="1"/>
    <xf numFmtId="10" fontId="5" fillId="0" borderId="14" xfId="2" applyNumberFormat="1" applyFont="1" applyBorder="1"/>
    <xf numFmtId="0" fontId="5" fillId="0" borderId="4" xfId="0" applyFont="1" applyBorder="1" applyAlignment="1"/>
    <xf numFmtId="0" fontId="1" fillId="0" borderId="0" xfId="0" applyFont="1"/>
    <xf numFmtId="0" fontId="6" fillId="6" borderId="9" xfId="3" applyFont="1" applyFill="1" applyBorder="1" applyAlignment="1">
      <alignment horizontal="center" vertical="center"/>
    </xf>
    <xf numFmtId="0" fontId="6" fillId="6" borderId="32" xfId="3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/>
    </xf>
    <xf numFmtId="0" fontId="6" fillId="3" borderId="9" xfId="3" applyFont="1" applyFill="1" applyBorder="1" applyAlignment="1">
      <alignment horizontal="center" vertical="center"/>
    </xf>
    <xf numFmtId="0" fontId="6" fillId="3" borderId="32" xfId="3" applyFont="1" applyFill="1" applyBorder="1" applyAlignment="1">
      <alignment horizontal="center" vertical="center"/>
    </xf>
    <xf numFmtId="0" fontId="14" fillId="3" borderId="2" xfId="3" applyFont="1" applyFill="1" applyBorder="1" applyAlignment="1">
      <alignment horizontal="center" vertical="center"/>
    </xf>
    <xf numFmtId="43" fontId="14" fillId="3" borderId="38" xfId="1" applyFont="1" applyFill="1" applyBorder="1" applyAlignment="1">
      <alignment horizontal="center" vertical="center" wrapText="1"/>
    </xf>
    <xf numFmtId="43" fontId="6" fillId="3" borderId="38" xfId="1" applyFont="1" applyFill="1" applyBorder="1" applyAlignment="1">
      <alignment horizontal="center" vertical="center" wrapText="1"/>
    </xf>
    <xf numFmtId="0" fontId="14" fillId="5" borderId="36" xfId="4" applyFont="1" applyFill="1" applyBorder="1" applyAlignment="1">
      <alignment horizontal="center" vertical="center"/>
    </xf>
    <xf numFmtId="43" fontId="14" fillId="5" borderId="35" xfId="5" applyFont="1" applyFill="1" applyBorder="1" applyAlignment="1">
      <alignment horizontal="center" vertical="center" wrapText="1"/>
    </xf>
    <xf numFmtId="0" fontId="6" fillId="3" borderId="37" xfId="3" applyFont="1" applyFill="1" applyBorder="1" applyAlignment="1">
      <alignment horizontal="center" vertical="center"/>
    </xf>
    <xf numFmtId="0" fontId="14" fillId="5" borderId="35" xfId="3" applyFont="1" applyFill="1" applyBorder="1" applyAlignment="1">
      <alignment horizontal="center" vertical="center"/>
    </xf>
    <xf numFmtId="0" fontId="14" fillId="5" borderId="37" xfId="4" applyFont="1" applyFill="1" applyBorder="1" applyAlignment="1">
      <alignment horizontal="center" vertical="center"/>
    </xf>
    <xf numFmtId="0" fontId="6" fillId="3" borderId="36" xfId="3" applyFont="1" applyFill="1" applyBorder="1" applyAlignment="1">
      <alignment horizontal="center" vertical="center"/>
    </xf>
    <xf numFmtId="0" fontId="14" fillId="5" borderId="36" xfId="3" applyFont="1" applyFill="1" applyBorder="1" applyAlignment="1">
      <alignment horizontal="center" vertical="center"/>
    </xf>
    <xf numFmtId="0" fontId="14" fillId="5" borderId="37" xfId="3" applyFont="1" applyFill="1" applyBorder="1" applyAlignment="1">
      <alignment horizontal="center" vertical="center"/>
    </xf>
    <xf numFmtId="43" fontId="14" fillId="6" borderId="38" xfId="1" applyFont="1" applyFill="1" applyBorder="1" applyAlignment="1">
      <alignment horizontal="center" vertical="center" wrapText="1"/>
    </xf>
    <xf numFmtId="0" fontId="14" fillId="5" borderId="35" xfId="3" applyFont="1" applyFill="1" applyBorder="1" applyAlignment="1">
      <alignment horizontal="center" vertical="center" wrapText="1"/>
    </xf>
    <xf numFmtId="43" fontId="14" fillId="5" borderId="35" xfId="5" applyFont="1" applyFill="1" applyBorder="1" applyAlignment="1">
      <alignment horizontal="center" vertical="center"/>
    </xf>
    <xf numFmtId="0" fontId="6" fillId="3" borderId="35" xfId="3" applyFont="1" applyFill="1" applyBorder="1" applyAlignment="1">
      <alignment horizontal="center" vertical="center" wrapText="1"/>
    </xf>
    <xf numFmtId="43" fontId="6" fillId="3" borderId="35" xfId="5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 wrapText="1"/>
    </xf>
    <xf numFmtId="43" fontId="6" fillId="6" borderId="2" xfId="5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43" fontId="5" fillId="6" borderId="35" xfId="0" applyNumberFormat="1" applyFont="1" applyFill="1" applyBorder="1" applyAlignment="1">
      <alignment horizontal="center" vertical="center"/>
    </xf>
    <xf numFmtId="43" fontId="1" fillId="0" borderId="35" xfId="0" applyNumberFormat="1" applyFont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 wrapText="1"/>
    </xf>
    <xf numFmtId="43" fontId="14" fillId="3" borderId="2" xfId="5" applyFont="1" applyFill="1" applyBorder="1" applyAlignment="1">
      <alignment horizontal="center" vertical="center"/>
    </xf>
    <xf numFmtId="43" fontId="14" fillId="0" borderId="35" xfId="1" applyFont="1" applyBorder="1" applyAlignment="1">
      <alignment horizontal="center" vertical="center" wrapText="1"/>
    </xf>
    <xf numFmtId="43" fontId="14" fillId="0" borderId="35" xfId="1" applyFont="1" applyBorder="1" applyAlignment="1">
      <alignment horizontal="center" vertical="center"/>
    </xf>
    <xf numFmtId="10" fontId="6" fillId="3" borderId="33" xfId="88" applyNumberFormat="1" applyFont="1" applyFill="1" applyBorder="1" applyAlignment="1">
      <alignment horizontal="center" vertical="center"/>
    </xf>
    <xf numFmtId="43" fontId="14" fillId="0" borderId="2" xfId="1" applyFont="1" applyBorder="1" applyAlignment="1">
      <alignment horizontal="center" vertical="center"/>
    </xf>
    <xf numFmtId="10" fontId="14" fillId="0" borderId="33" xfId="88" applyNumberFormat="1" applyFont="1" applyBorder="1" applyAlignment="1">
      <alignment horizontal="center" vertical="center"/>
    </xf>
    <xf numFmtId="43" fontId="6" fillId="3" borderId="39" xfId="1" applyFont="1" applyFill="1" applyBorder="1" applyAlignment="1">
      <alignment horizontal="center" vertical="center" wrapText="1"/>
    </xf>
    <xf numFmtId="43" fontId="6" fillId="3" borderId="2" xfId="1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43" fontId="6" fillId="3" borderId="34" xfId="1" applyFont="1" applyFill="1" applyBorder="1" applyAlignment="1">
      <alignment horizontal="center" vertical="center" wrapText="1"/>
    </xf>
    <xf numFmtId="0" fontId="6" fillId="3" borderId="35" xfId="3" applyFont="1" applyFill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10" fontId="3" fillId="0" borderId="41" xfId="2" applyNumberFormat="1" applyFont="1" applyBorder="1" applyAlignment="1">
      <alignment vertical="center"/>
    </xf>
    <xf numFmtId="43" fontId="14" fillId="0" borderId="42" xfId="1" applyFont="1" applyBorder="1" applyAlignment="1">
      <alignment horizontal="center" vertical="center"/>
    </xf>
    <xf numFmtId="10" fontId="14" fillId="0" borderId="43" xfId="88" applyNumberFormat="1" applyFont="1" applyBorder="1" applyAlignment="1">
      <alignment horizontal="center" vertical="center"/>
    </xf>
    <xf numFmtId="43" fontId="14" fillId="0" borderId="38" xfId="1" applyFont="1" applyFill="1" applyBorder="1" applyAlignment="1">
      <alignment horizontal="center" vertical="center"/>
    </xf>
    <xf numFmtId="43" fontId="14" fillId="5" borderId="38" xfId="5" applyFont="1" applyFill="1" applyBorder="1" applyAlignment="1">
      <alignment horizontal="center" vertical="center" wrapText="1"/>
    </xf>
    <xf numFmtId="0" fontId="14" fillId="5" borderId="44" xfId="3" applyFont="1" applyFill="1" applyBorder="1" applyAlignment="1">
      <alignment horizontal="center" vertical="center"/>
    </xf>
    <xf numFmtId="0" fontId="14" fillId="5" borderId="45" xfId="3" applyFont="1" applyFill="1" applyBorder="1" applyAlignment="1">
      <alignment horizontal="center" vertical="center"/>
    </xf>
    <xf numFmtId="0" fontId="14" fillId="5" borderId="42" xfId="3" applyFont="1" applyFill="1" applyBorder="1" applyAlignment="1">
      <alignment horizontal="center" vertical="center" wrapText="1"/>
    </xf>
    <xf numFmtId="0" fontId="1" fillId="5" borderId="42" xfId="4" applyFont="1" applyFill="1" applyBorder="1" applyAlignment="1">
      <alignment horizontal="center" vertical="center"/>
    </xf>
    <xf numFmtId="43" fontId="14" fillId="5" borderId="42" xfId="5" applyFont="1" applyFill="1" applyBorder="1" applyAlignment="1">
      <alignment horizontal="center" vertical="center"/>
    </xf>
    <xf numFmtId="43" fontId="14" fillId="5" borderId="35" xfId="1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right" vertical="center"/>
    </xf>
    <xf numFmtId="43" fontId="14" fillId="5" borderId="42" xfId="5" applyFont="1" applyFill="1" applyBorder="1" applyAlignment="1">
      <alignment horizontal="right" vertical="center" wrapText="1"/>
    </xf>
    <xf numFmtId="0" fontId="14" fillId="5" borderId="45" xfId="3" applyFont="1" applyFill="1" applyBorder="1" applyAlignment="1">
      <alignment horizontal="center" vertical="center" wrapText="1"/>
    </xf>
    <xf numFmtId="0" fontId="14" fillId="5" borderId="9" xfId="3" applyFont="1" applyFill="1" applyBorder="1" applyAlignment="1">
      <alignment horizontal="center" vertical="center"/>
    </xf>
    <xf numFmtId="0" fontId="14" fillId="5" borderId="32" xfId="3" applyFont="1" applyFill="1" applyBorder="1" applyAlignment="1">
      <alignment horizontal="center" vertical="center"/>
    </xf>
    <xf numFmtId="0" fontId="14" fillId="5" borderId="2" xfId="3" applyFont="1" applyFill="1" applyBorder="1" applyAlignment="1">
      <alignment horizontal="center" vertical="center" wrapText="1"/>
    </xf>
    <xf numFmtId="0" fontId="14" fillId="5" borderId="2" xfId="3" applyFont="1" applyFill="1" applyBorder="1" applyAlignment="1">
      <alignment horizontal="center" vertical="center"/>
    </xf>
    <xf numFmtId="43" fontId="14" fillId="5" borderId="2" xfId="5" applyFont="1" applyFill="1" applyBorder="1" applyAlignment="1">
      <alignment horizontal="center" vertical="center"/>
    </xf>
    <xf numFmtId="43" fontId="14" fillId="5" borderId="38" xfId="5" applyFont="1" applyFill="1" applyBorder="1" applyAlignment="1">
      <alignment horizontal="center" vertical="center"/>
    </xf>
    <xf numFmtId="43" fontId="14" fillId="6" borderId="46" xfId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43" fontId="5" fillId="6" borderId="2" xfId="0" applyNumberFormat="1" applyFont="1" applyFill="1" applyBorder="1" applyAlignment="1">
      <alignment horizontal="center" vertical="center"/>
    </xf>
    <xf numFmtId="10" fontId="14" fillId="0" borderId="35" xfId="88" applyNumberFormat="1" applyFont="1" applyBorder="1" applyAlignment="1">
      <alignment horizontal="center" vertical="center"/>
    </xf>
    <xf numFmtId="0" fontId="1" fillId="5" borderId="35" xfId="4" applyFont="1" applyFill="1" applyBorder="1" applyAlignment="1">
      <alignment horizontal="center" vertical="center"/>
    </xf>
    <xf numFmtId="43" fontId="14" fillId="5" borderId="35" xfId="5" applyFont="1" applyFill="1" applyBorder="1" applyAlignment="1">
      <alignment horizontal="right" vertical="center" wrapText="1"/>
    </xf>
    <xf numFmtId="0" fontId="14" fillId="5" borderId="9" xfId="3" applyFont="1" applyFill="1" applyBorder="1" applyAlignment="1">
      <alignment horizontal="center" vertical="center" wrapText="1"/>
    </xf>
    <xf numFmtId="0" fontId="14" fillId="5" borderId="32" xfId="3" applyFont="1" applyFill="1" applyBorder="1" applyAlignment="1">
      <alignment horizontal="center" vertical="center" wrapText="1"/>
    </xf>
    <xf numFmtId="0" fontId="1" fillId="5" borderId="2" xfId="4" applyFont="1" applyFill="1" applyBorder="1" applyAlignment="1">
      <alignment horizontal="center" vertical="center"/>
    </xf>
    <xf numFmtId="43" fontId="14" fillId="5" borderId="2" xfId="5" applyFont="1" applyFill="1" applyBorder="1" applyAlignment="1">
      <alignment horizontal="right" vertical="center" wrapText="1"/>
    </xf>
    <xf numFmtId="10" fontId="14" fillId="0" borderId="46" xfId="88" applyNumberFormat="1" applyFont="1" applyBorder="1" applyAlignment="1">
      <alignment horizontal="center" vertical="center"/>
    </xf>
    <xf numFmtId="43" fontId="14" fillId="5" borderId="2" xfId="5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right" vertical="center"/>
    </xf>
    <xf numFmtId="0" fontId="6" fillId="6" borderId="35" xfId="3" applyFont="1" applyFill="1" applyBorder="1" applyAlignment="1">
      <alignment horizontal="center" vertical="center"/>
    </xf>
    <xf numFmtId="0" fontId="6" fillId="6" borderId="35" xfId="3" applyFont="1" applyFill="1" applyBorder="1" applyAlignment="1">
      <alignment horizontal="center" vertical="center" wrapText="1"/>
    </xf>
    <xf numFmtId="43" fontId="6" fillId="6" borderId="35" xfId="5" applyFont="1" applyFill="1" applyBorder="1" applyAlignment="1">
      <alignment horizontal="center" vertical="center" wrapText="1"/>
    </xf>
    <xf numFmtId="43" fontId="14" fillId="6" borderId="35" xfId="1" applyFont="1" applyFill="1" applyBorder="1" applyAlignment="1">
      <alignment horizontal="center" vertical="center" wrapText="1"/>
    </xf>
    <xf numFmtId="10" fontId="6" fillId="3" borderId="35" xfId="88" applyNumberFormat="1" applyFont="1" applyFill="1" applyBorder="1" applyAlignment="1">
      <alignment horizontal="center" vertical="center"/>
    </xf>
    <xf numFmtId="0" fontId="14" fillId="6" borderId="35" xfId="3" applyFont="1" applyFill="1" applyBorder="1" applyAlignment="1">
      <alignment horizontal="center" vertical="center"/>
    </xf>
    <xf numFmtId="0" fontId="14" fillId="6" borderId="35" xfId="3" applyFont="1" applyFill="1" applyBorder="1" applyAlignment="1">
      <alignment horizontal="center" vertical="center" wrapText="1"/>
    </xf>
    <xf numFmtId="43" fontId="14" fillId="6" borderId="35" xfId="5" applyFont="1" applyFill="1" applyBorder="1" applyAlignment="1">
      <alignment horizontal="center" vertical="center" wrapText="1"/>
    </xf>
    <xf numFmtId="43" fontId="14" fillId="6" borderId="35" xfId="1" applyFont="1" applyFill="1" applyBorder="1" applyAlignment="1">
      <alignment horizontal="center" vertical="center"/>
    </xf>
    <xf numFmtId="43" fontId="1" fillId="6" borderId="35" xfId="0" applyNumberFormat="1" applyFont="1" applyFill="1" applyBorder="1" applyAlignment="1">
      <alignment horizontal="center" vertical="center"/>
    </xf>
    <xf numFmtId="10" fontId="14" fillId="6" borderId="35" xfId="88" applyNumberFormat="1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2" fontId="3" fillId="0" borderId="35" xfId="0" applyNumberFormat="1" applyFont="1" applyBorder="1" applyAlignment="1">
      <alignment horizontal="right" vertical="center"/>
    </xf>
    <xf numFmtId="0" fontId="3" fillId="0" borderId="35" xfId="0" applyFont="1" applyBorder="1" applyAlignment="1">
      <alignment horizontal="right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2" fontId="3" fillId="0" borderId="35" xfId="0" applyNumberFormat="1" applyFont="1" applyBorder="1" applyAlignment="1">
      <alignment horizontal="center" vertical="center"/>
    </xf>
    <xf numFmtId="43" fontId="18" fillId="0" borderId="35" xfId="1" applyFont="1" applyBorder="1" applyAlignment="1">
      <alignment horizontal="center" vertical="center" wrapText="1"/>
    </xf>
    <xf numFmtId="43" fontId="18" fillId="0" borderId="35" xfId="1" applyFont="1" applyBorder="1" applyAlignment="1">
      <alignment horizontal="center" vertical="center"/>
    </xf>
    <xf numFmtId="43" fontId="14" fillId="5" borderId="35" xfId="1" applyNumberFormat="1" applyFont="1" applyFill="1" applyBorder="1" applyAlignment="1">
      <alignment horizontal="center" vertical="center" wrapText="1"/>
    </xf>
    <xf numFmtId="43" fontId="3" fillId="0" borderId="35" xfId="0" applyNumberFormat="1" applyFont="1" applyBorder="1" applyAlignment="1">
      <alignment horizontal="center" vertical="center"/>
    </xf>
    <xf numFmtId="43" fontId="14" fillId="0" borderId="0" xfId="1" applyFont="1" applyBorder="1" applyAlignment="1">
      <alignment horizontal="center" vertical="center"/>
    </xf>
    <xf numFmtId="43" fontId="1" fillId="0" borderId="0" xfId="0" applyNumberFormat="1" applyFont="1" applyBorder="1" applyAlignment="1">
      <alignment horizontal="center" vertical="center"/>
    </xf>
    <xf numFmtId="43" fontId="14" fillId="0" borderId="0" xfId="1" applyFont="1" applyBorder="1" applyAlignment="1">
      <alignment horizontal="center" vertical="center" wrapText="1"/>
    </xf>
    <xf numFmtId="10" fontId="14" fillId="0" borderId="0" xfId="88" applyNumberFormat="1" applyFont="1" applyBorder="1" applyAlignment="1">
      <alignment horizontal="center" vertical="center"/>
    </xf>
    <xf numFmtId="43" fontId="14" fillId="0" borderId="35" xfId="0" applyNumberFormat="1" applyFont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 wrapText="1"/>
    </xf>
    <xf numFmtId="4" fontId="18" fillId="0" borderId="5" xfId="0" applyNumberFormat="1" applyFont="1" applyBorder="1"/>
    <xf numFmtId="43" fontId="14" fillId="5" borderId="38" xfId="1" applyFont="1" applyFill="1" applyBorder="1" applyAlignment="1">
      <alignment horizontal="center" vertical="center" wrapText="1"/>
    </xf>
    <xf numFmtId="0" fontId="5" fillId="0" borderId="0" xfId="0" applyFont="1" applyBorder="1"/>
    <xf numFmtId="0" fontId="3" fillId="0" borderId="0" xfId="0" applyFont="1" applyBorder="1"/>
    <xf numFmtId="0" fontId="5" fillId="0" borderId="48" xfId="0" applyFont="1" applyBorder="1"/>
    <xf numFmtId="43" fontId="18" fillId="5" borderId="2" xfId="5" applyFont="1" applyFill="1" applyBorder="1" applyAlignment="1">
      <alignment horizontal="center" vertical="center"/>
    </xf>
    <xf numFmtId="43" fontId="3" fillId="0" borderId="0" xfId="0" applyNumberFormat="1" applyFont="1" applyBorder="1"/>
    <xf numFmtId="4" fontId="1" fillId="0" borderId="0" xfId="0" applyNumberFormat="1" applyFont="1" applyAlignment="1">
      <alignment horizontal="right"/>
    </xf>
    <xf numFmtId="43" fontId="6" fillId="6" borderId="2" xfId="0" applyNumberFormat="1" applyFont="1" applyFill="1" applyBorder="1" applyAlignment="1">
      <alignment horizontal="center" vertical="center"/>
    </xf>
    <xf numFmtId="43" fontId="6" fillId="6" borderId="35" xfId="0" applyNumberFormat="1" applyFont="1" applyFill="1" applyBorder="1" applyAlignment="1">
      <alignment horizontal="center" vertical="center"/>
    </xf>
    <xf numFmtId="4" fontId="14" fillId="0" borderId="5" xfId="0" applyNumberFormat="1" applyFont="1" applyBorder="1"/>
    <xf numFmtId="0" fontId="5" fillId="4" borderId="34" xfId="0" applyFont="1" applyFill="1" applyBorder="1" applyAlignment="1">
      <alignment horizontal="center" vertical="center" wrapText="1"/>
    </xf>
    <xf numFmtId="0" fontId="5" fillId="4" borderId="47" xfId="0" applyFont="1" applyFill="1" applyBorder="1" applyAlignment="1">
      <alignment horizontal="center" vertical="center" wrapText="1"/>
    </xf>
    <xf numFmtId="43" fontId="6" fillId="3" borderId="34" xfId="1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14" fillId="0" borderId="5" xfId="0" applyFont="1" applyBorder="1" applyAlignment="1">
      <alignment horizontal="left" wrapText="1"/>
    </xf>
    <xf numFmtId="0" fontId="5" fillId="0" borderId="10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8" fillId="0" borderId="3" xfId="0" applyFont="1" applyFill="1" applyBorder="1" applyAlignment="1">
      <alignment horizontal="center"/>
    </xf>
    <xf numFmtId="4" fontId="5" fillId="0" borderId="6" xfId="0" applyNumberFormat="1" applyFont="1" applyBorder="1" applyAlignment="1">
      <alignment horizontal="right"/>
    </xf>
    <xf numFmtId="4" fontId="5" fillId="0" borderId="7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4" fontId="5" fillId="0" borderId="17" xfId="0" applyNumberFormat="1" applyFont="1" applyBorder="1" applyAlignment="1">
      <alignment horizontal="right"/>
    </xf>
    <xf numFmtId="4" fontId="5" fillId="0" borderId="18" xfId="0" applyNumberFormat="1" applyFont="1" applyBorder="1" applyAlignment="1">
      <alignment horizontal="right"/>
    </xf>
    <xf numFmtId="4" fontId="5" fillId="0" borderId="19" xfId="0" applyNumberFormat="1" applyFont="1" applyBorder="1" applyAlignment="1">
      <alignment horizontal="right"/>
    </xf>
    <xf numFmtId="0" fontId="5" fillId="0" borderId="3" xfId="0" applyFont="1" applyFill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left" wrapText="1"/>
    </xf>
    <xf numFmtId="0" fontId="5" fillId="3" borderId="34" xfId="0" applyFont="1" applyFill="1" applyBorder="1" applyAlignment="1">
      <alignment horizontal="left" wrapText="1"/>
    </xf>
    <xf numFmtId="0" fontId="5" fillId="3" borderId="23" xfId="0" applyFont="1" applyFill="1" applyBorder="1" applyAlignment="1">
      <alignment horizontal="center"/>
    </xf>
    <xf numFmtId="14" fontId="5" fillId="3" borderId="24" xfId="0" applyNumberFormat="1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164" fontId="10" fillId="3" borderId="24" xfId="0" applyNumberFormat="1" applyFont="1" applyFill="1" applyBorder="1" applyAlignment="1">
      <alignment horizontal="center"/>
    </xf>
    <xf numFmtId="0" fontId="5" fillId="3" borderId="23" xfId="0" applyFont="1" applyFill="1" applyBorder="1" applyAlignment="1">
      <alignment horizontal="left"/>
    </xf>
    <xf numFmtId="0" fontId="5" fillId="3" borderId="24" xfId="0" applyFont="1" applyFill="1" applyBorder="1" applyAlignment="1">
      <alignment horizontal="left"/>
    </xf>
    <xf numFmtId="49" fontId="5" fillId="3" borderId="25" xfId="0" applyNumberFormat="1" applyFont="1" applyFill="1" applyBorder="1" applyAlignment="1">
      <alignment horizontal="center" vertical="center"/>
    </xf>
    <xf numFmtId="49" fontId="5" fillId="3" borderId="24" xfId="0" applyNumberFormat="1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left"/>
    </xf>
    <xf numFmtId="0" fontId="5" fillId="3" borderId="27" xfId="0" applyFont="1" applyFill="1" applyBorder="1" applyAlignment="1">
      <alignment horizontal="left"/>
    </xf>
    <xf numFmtId="0" fontId="5" fillId="3" borderId="28" xfId="0" applyFont="1" applyFill="1" applyBorder="1" applyAlignment="1">
      <alignment horizontal="left"/>
    </xf>
    <xf numFmtId="0" fontId="5" fillId="3" borderId="29" xfId="0" applyFont="1" applyFill="1" applyBorder="1" applyAlignment="1">
      <alignment horizontal="left"/>
    </xf>
    <xf numFmtId="0" fontId="5" fillId="3" borderId="30" xfId="0" applyFont="1" applyFill="1" applyBorder="1" applyAlignment="1">
      <alignment horizontal="left"/>
    </xf>
    <xf numFmtId="0" fontId="5" fillId="3" borderId="31" xfId="0" applyFont="1" applyFill="1" applyBorder="1" applyAlignment="1">
      <alignment horizontal="left"/>
    </xf>
  </cellXfs>
  <cellStyles count="104">
    <cellStyle name="Moeda 2" xfId="6"/>
    <cellStyle name="Moeda 2 2" xfId="7"/>
    <cellStyle name="Moeda 3" xfId="8"/>
    <cellStyle name="Normal" xfId="0" builtinId="0"/>
    <cellStyle name="Normal 11" xfId="9"/>
    <cellStyle name="Normal 2" xfId="10"/>
    <cellStyle name="Normal 2 10" xfId="42"/>
    <cellStyle name="Normal 2 2" xfId="3"/>
    <cellStyle name="Normal 2 2 2" xfId="11"/>
    <cellStyle name="Normal 2 2 2 2" xfId="12"/>
    <cellStyle name="Normal 2 2 3" xfId="4"/>
    <cellStyle name="Normal 2 3" xfId="13"/>
    <cellStyle name="Normal 3" xfId="14"/>
    <cellStyle name="Normal 3 2" xfId="15"/>
    <cellStyle name="Normal 3 2 2" xfId="16"/>
    <cellStyle name="Normal 4" xfId="17"/>
    <cellStyle name="Normal 4 2" xfId="18"/>
    <cellStyle name="Normal 4 2 2" xfId="19"/>
    <cellStyle name="Normal 5" xfId="20"/>
    <cellStyle name="Normal 5 2" xfId="21"/>
    <cellStyle name="Normal 6" xfId="22"/>
    <cellStyle name="Normal 7" xfId="23"/>
    <cellStyle name="Normal 9" xfId="39"/>
    <cellStyle name="Normal 9 2" xfId="43"/>
    <cellStyle name="Percent 2" xfId="24"/>
    <cellStyle name="Porcentagem" xfId="2" builtinId="5"/>
    <cellStyle name="Porcentagem 2 10" xfId="87"/>
    <cellStyle name="Porcentagem 2 11" xfId="83"/>
    <cellStyle name="Porcentagem 2 12" xfId="89"/>
    <cellStyle name="Porcentagem 2 13" xfId="86"/>
    <cellStyle name="Porcentagem 2 14" xfId="94"/>
    <cellStyle name="Porcentagem 2 15" xfId="85"/>
    <cellStyle name="Porcentagem 2 2" xfId="25"/>
    <cellStyle name="Porcentagem 2 2 10" xfId="88"/>
    <cellStyle name="Porcentagem 2 2 11" xfId="82"/>
    <cellStyle name="Porcentagem 2 2 12" xfId="92"/>
    <cellStyle name="Porcentagem 2 2 13" xfId="78"/>
    <cellStyle name="Porcentagem 2 2 14" xfId="100"/>
    <cellStyle name="Porcentagem 2 2 15" xfId="80"/>
    <cellStyle name="Porcentagem 2 2 2" xfId="26"/>
    <cellStyle name="Porcentagem 2 2 3" xfId="45"/>
    <cellStyle name="Porcentagem 2 2 4" xfId="50"/>
    <cellStyle name="Porcentagem 2 2 5" xfId="59"/>
    <cellStyle name="Porcentagem 2 2 6" xfId="56"/>
    <cellStyle name="Porcentagem 2 2 7" xfId="69"/>
    <cellStyle name="Porcentagem 2 2 8" xfId="65"/>
    <cellStyle name="Porcentagem 2 2 9" xfId="67"/>
    <cellStyle name="Porcentagem 2 3" xfId="44"/>
    <cellStyle name="Porcentagem 2 4" xfId="49"/>
    <cellStyle name="Porcentagem 2 5" xfId="58"/>
    <cellStyle name="Porcentagem 2 6" xfId="57"/>
    <cellStyle name="Porcentagem 2 7" xfId="68"/>
    <cellStyle name="Porcentagem 2 8" xfId="66"/>
    <cellStyle name="Porcentagem 2 9" xfId="75"/>
    <cellStyle name="Porcentagem 3" xfId="27"/>
    <cellStyle name="Porcentagem 4" xfId="28"/>
    <cellStyle name="Porcentagem 6" xfId="29"/>
    <cellStyle name="Separador de milhares 10" xfId="55"/>
    <cellStyle name="Separador de milhares 11" xfId="64"/>
    <cellStyle name="Separador de milhares 13" xfId="90"/>
    <cellStyle name="Separador de milhares 16" xfId="84"/>
    <cellStyle name="Separador de milhares 18" xfId="79"/>
    <cellStyle name="Separador de milhares 2" xfId="30"/>
    <cellStyle name="Separador de milhares 2 10" xfId="71"/>
    <cellStyle name="Separador de milhares 2 11" xfId="91"/>
    <cellStyle name="Separador de milhares 2 12" xfId="63"/>
    <cellStyle name="Separador de milhares 2 13" xfId="93"/>
    <cellStyle name="Separador de milhares 2 14" xfId="81"/>
    <cellStyle name="Separador de milhares 2 15" xfId="95"/>
    <cellStyle name="Separador de milhares 2 16" xfId="99"/>
    <cellStyle name="Separador de milhares 2 2" xfId="31"/>
    <cellStyle name="Separador de milhares 2 2 10" xfId="96"/>
    <cellStyle name="Separador de milhares 2 2 11" xfId="97"/>
    <cellStyle name="Separador de milhares 2 2 12" xfId="98"/>
    <cellStyle name="Separador de milhares 2 2 13" xfId="101"/>
    <cellStyle name="Separador de milhares 2 2 14" xfId="102"/>
    <cellStyle name="Separador de milhares 2 2 15" xfId="103"/>
    <cellStyle name="Separador de milhares 2 2 2" xfId="41"/>
    <cellStyle name="Separador de milhares 2 2 3" xfId="48"/>
    <cellStyle name="Separador de milhares 2 2 4" xfId="53"/>
    <cellStyle name="Separador de milhares 2 2 5" xfId="61"/>
    <cellStyle name="Separador de milhares 2 2 6" xfId="62"/>
    <cellStyle name="Separador de milhares 2 2 7" xfId="72"/>
    <cellStyle name="Separador de milhares 2 2 8" xfId="76"/>
    <cellStyle name="Separador de milhares 2 2 9" xfId="77"/>
    <cellStyle name="Separador de milhares 2 3" xfId="32"/>
    <cellStyle name="Separador de milhares 2 4" xfId="47"/>
    <cellStyle name="Separador de milhares 2 5" xfId="52"/>
    <cellStyle name="Separador de milhares 2 6" xfId="60"/>
    <cellStyle name="Separador de milhares 2 7" xfId="54"/>
    <cellStyle name="Separador de milhares 2 8" xfId="70"/>
    <cellStyle name="Separador de milhares 2 9" xfId="73"/>
    <cellStyle name="Separador de milhares 2_ORÇAMENTO matureia corrigido (DEZ 2009)" xfId="74"/>
    <cellStyle name="Separador de milhares 3" xfId="33"/>
    <cellStyle name="Separador de milhares 3 2" xfId="34"/>
    <cellStyle name="Separador de milhares 4" xfId="35"/>
    <cellStyle name="Separador de milhares 5" xfId="36"/>
    <cellStyle name="Separador de milhares 6" xfId="37"/>
    <cellStyle name="Separador de milhares 7" xfId="46"/>
    <cellStyle name="Separador de milhares 8" xfId="51"/>
    <cellStyle name="Vírgula" xfId="1" builtinId="3"/>
    <cellStyle name="Vírgula 2" xfId="38"/>
    <cellStyle name="Vírgula 2 2" xfId="40"/>
    <cellStyle name="Vírgula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9"/>
  <sheetViews>
    <sheetView tabSelected="1" view="pageBreakPreview" zoomScale="70" zoomScaleNormal="69" zoomScaleSheetLayoutView="70" workbookViewId="0">
      <pane ySplit="9" topLeftCell="A143" activePane="bottomLeft" state="frozen"/>
      <selection pane="bottomLeft" activeCell="L7" sqref="L7"/>
    </sheetView>
  </sheetViews>
  <sheetFormatPr defaultRowHeight="15.75" x14ac:dyDescent="0.25"/>
  <cols>
    <col min="1" max="1" width="12.42578125" style="1" customWidth="1"/>
    <col min="2" max="2" width="14.85546875" style="1" customWidth="1"/>
    <col min="3" max="3" width="10.5703125" style="1" customWidth="1"/>
    <col min="4" max="4" width="58.42578125" style="1" customWidth="1"/>
    <col min="5" max="5" width="5.85546875" style="1" customWidth="1"/>
    <col min="6" max="7" width="13.7109375" style="1" customWidth="1"/>
    <col min="8" max="8" width="14.7109375" style="1" customWidth="1"/>
    <col min="9" max="9" width="13.7109375" style="1" customWidth="1"/>
    <col min="10" max="10" width="17.7109375" style="1" customWidth="1"/>
    <col min="11" max="11" width="15.42578125" style="1" customWidth="1"/>
    <col min="12" max="12" width="20.7109375" style="1" bestFit="1" customWidth="1"/>
    <col min="13" max="13" width="12.28515625" style="1" customWidth="1"/>
    <col min="14" max="14" width="20.28515625" style="1" bestFit="1" customWidth="1"/>
    <col min="15" max="15" width="11.28515625" style="1" bestFit="1" customWidth="1"/>
    <col min="16" max="16384" width="9.140625" style="1"/>
  </cols>
  <sheetData>
    <row r="1" spans="1:16" ht="24" customHeight="1" thickBot="1" x14ac:dyDescent="0.45">
      <c r="A1" s="162" t="s">
        <v>28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</row>
    <row r="2" spans="1:16" ht="20.100000000000001" customHeight="1" x14ac:dyDescent="0.25">
      <c r="A2" s="169" t="s">
        <v>20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5" t="s">
        <v>28</v>
      </c>
      <c r="M2" s="165"/>
    </row>
    <row r="3" spans="1:16" ht="16.5" thickBot="1" x14ac:dyDescent="0.3">
      <c r="A3" s="163" t="s">
        <v>45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71" t="s">
        <v>352</v>
      </c>
      <c r="M3" s="171"/>
    </row>
    <row r="4" spans="1:16" ht="16.5" thickBot="1" x14ac:dyDescent="0.3">
      <c r="A4" s="164"/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72"/>
      <c r="M4" s="172"/>
    </row>
    <row r="5" spans="1:16" x14ac:dyDescent="0.25">
      <c r="A5" s="169" t="s">
        <v>33</v>
      </c>
      <c r="B5" s="169"/>
      <c r="C5" s="173" t="s">
        <v>29</v>
      </c>
      <c r="D5" s="174"/>
      <c r="E5" s="174"/>
      <c r="F5" s="175"/>
      <c r="G5" s="173" t="s">
        <v>34</v>
      </c>
      <c r="H5" s="174"/>
      <c r="I5" s="175"/>
      <c r="J5" s="165" t="s">
        <v>30</v>
      </c>
      <c r="K5" s="165"/>
      <c r="L5" s="165" t="s">
        <v>31</v>
      </c>
      <c r="M5" s="165"/>
    </row>
    <row r="6" spans="1:16" ht="16.5" thickBot="1" x14ac:dyDescent="0.3">
      <c r="A6" s="170" t="s">
        <v>32</v>
      </c>
      <c r="B6" s="170"/>
      <c r="C6" s="176" t="s">
        <v>44</v>
      </c>
      <c r="D6" s="177"/>
      <c r="E6" s="177"/>
      <c r="F6" s="178"/>
      <c r="G6" s="176" t="s">
        <v>35</v>
      </c>
      <c r="H6" s="177"/>
      <c r="I6" s="178"/>
      <c r="J6" s="168">
        <f>G220</f>
        <v>30473.41604</v>
      </c>
      <c r="K6" s="168"/>
      <c r="L6" s="166">
        <v>44295</v>
      </c>
      <c r="M6" s="167"/>
      <c r="O6" s="19"/>
    </row>
    <row r="7" spans="1:16" ht="12.95" customHeight="1" thickBot="1" x14ac:dyDescent="0.3">
      <c r="A7" s="60"/>
      <c r="B7" s="3"/>
      <c r="C7" s="3"/>
      <c r="D7" s="3"/>
      <c r="E7" s="3"/>
      <c r="F7" s="3"/>
      <c r="G7" s="3"/>
      <c r="H7" s="3"/>
      <c r="I7" s="3"/>
      <c r="J7" s="3"/>
      <c r="K7" s="3"/>
      <c r="L7" s="61"/>
      <c r="M7" s="62"/>
    </row>
    <row r="8" spans="1:16" s="2" customFormat="1" ht="17.100000000000001" customHeight="1" thickBot="1" x14ac:dyDescent="0.3">
      <c r="A8" s="141" t="s">
        <v>5</v>
      </c>
      <c r="B8" s="141" t="s">
        <v>6</v>
      </c>
      <c r="C8" s="141" t="s">
        <v>7</v>
      </c>
      <c r="D8" s="141" t="s">
        <v>8</v>
      </c>
      <c r="E8" s="57"/>
      <c r="F8" s="143" t="s">
        <v>15</v>
      </c>
      <c r="G8" s="143"/>
      <c r="H8" s="143"/>
      <c r="I8" s="141" t="s">
        <v>10</v>
      </c>
      <c r="J8" s="143" t="s">
        <v>11</v>
      </c>
      <c r="K8" s="143"/>
      <c r="L8" s="143"/>
      <c r="M8" s="141" t="s">
        <v>19</v>
      </c>
    </row>
    <row r="9" spans="1:16" s="2" customFormat="1" ht="68.25" customHeight="1" thickBot="1" x14ac:dyDescent="0.3">
      <c r="A9" s="141"/>
      <c r="B9" s="141"/>
      <c r="C9" s="141"/>
      <c r="D9" s="141"/>
      <c r="E9" s="57" t="s">
        <v>9</v>
      </c>
      <c r="F9" s="58" t="s">
        <v>16</v>
      </c>
      <c r="G9" s="58" t="s">
        <v>17</v>
      </c>
      <c r="H9" s="58" t="s">
        <v>18</v>
      </c>
      <c r="I9" s="141"/>
      <c r="J9" s="58" t="s">
        <v>12</v>
      </c>
      <c r="K9" s="58" t="s">
        <v>13</v>
      </c>
      <c r="L9" s="58" t="s">
        <v>14</v>
      </c>
      <c r="M9" s="142"/>
      <c r="N9" s="134"/>
      <c r="O9" s="132"/>
      <c r="P9" s="132"/>
    </row>
    <row r="10" spans="1:16" s="2" customFormat="1" ht="33.75" customHeight="1" x14ac:dyDescent="0.25">
      <c r="A10" s="23" t="s">
        <v>21</v>
      </c>
      <c r="B10" s="24"/>
      <c r="C10" s="24"/>
      <c r="D10" s="47" t="s">
        <v>81</v>
      </c>
      <c r="E10" s="25"/>
      <c r="F10" s="48"/>
      <c r="G10" s="54"/>
      <c r="H10" s="55"/>
      <c r="I10" s="56"/>
      <c r="J10" s="54">
        <f>SUM(J11:J17)</f>
        <v>2786.3799999999997</v>
      </c>
      <c r="K10" s="54">
        <f>SUM(K11:K17)</f>
        <v>0</v>
      </c>
      <c r="L10" s="54">
        <f>SUM(L11:L17)</f>
        <v>2786.3799999999997</v>
      </c>
      <c r="M10" s="51">
        <f t="shared" ref="M10:M17" si="0">L10/J10</f>
        <v>1</v>
      </c>
      <c r="N10" s="2" t="s">
        <v>36</v>
      </c>
      <c r="O10" s="54"/>
      <c r="P10" s="132"/>
    </row>
    <row r="11" spans="1:16" ht="31.5" x14ac:dyDescent="0.25">
      <c r="A11" s="28" t="s">
        <v>2</v>
      </c>
      <c r="B11" s="35">
        <v>97622</v>
      </c>
      <c r="C11" s="32" t="s">
        <v>0</v>
      </c>
      <c r="D11" s="37" t="s">
        <v>46</v>
      </c>
      <c r="E11" s="31" t="s">
        <v>1</v>
      </c>
      <c r="F11" s="38">
        <v>39.72</v>
      </c>
      <c r="G11" s="38"/>
      <c r="H11" s="52">
        <f t="shared" ref="H11:H17" si="1">G11+N11</f>
        <v>39.72</v>
      </c>
      <c r="I11" s="29">
        <v>1.23</v>
      </c>
      <c r="J11" s="46">
        <f>ROUND(F11*$I11,2)</f>
        <v>48.86</v>
      </c>
      <c r="K11" s="49">
        <f>ROUND(G11*$I11,2)</f>
        <v>0</v>
      </c>
      <c r="L11" s="50">
        <f>ROUND(H11*$I11,2)</f>
        <v>48.86</v>
      </c>
      <c r="M11" s="53">
        <f t="shared" si="0"/>
        <v>1</v>
      </c>
      <c r="N11" s="65">
        <v>39.72</v>
      </c>
      <c r="O11" s="38"/>
      <c r="P11" s="133"/>
    </row>
    <row r="12" spans="1:16" ht="31.5" x14ac:dyDescent="0.25">
      <c r="A12" s="28" t="s">
        <v>3</v>
      </c>
      <c r="B12" s="35">
        <v>97644</v>
      </c>
      <c r="C12" s="32" t="s">
        <v>0</v>
      </c>
      <c r="D12" s="37" t="s">
        <v>47</v>
      </c>
      <c r="E12" s="31" t="s">
        <v>1</v>
      </c>
      <c r="F12" s="38">
        <v>4.83</v>
      </c>
      <c r="G12" s="38"/>
      <c r="H12" s="52">
        <f t="shared" si="1"/>
        <v>4.83</v>
      </c>
      <c r="I12" s="66">
        <v>6.54</v>
      </c>
      <c r="J12" s="46">
        <f t="shared" ref="J12:J17" si="2">ROUND(F12*$I12,2)</f>
        <v>31.59</v>
      </c>
      <c r="K12" s="49">
        <f t="shared" ref="K12:K17" si="3">ROUND(G12*$I12,2)</f>
        <v>0</v>
      </c>
      <c r="L12" s="50">
        <f t="shared" ref="L12:L17" si="4">ROUND(H12*$I12,2)</f>
        <v>31.59</v>
      </c>
      <c r="M12" s="53">
        <f t="shared" si="0"/>
        <v>1</v>
      </c>
      <c r="N12" s="65">
        <v>4.83</v>
      </c>
      <c r="O12" s="38"/>
      <c r="P12" s="133"/>
    </row>
    <row r="13" spans="1:16" ht="31.5" x14ac:dyDescent="0.25">
      <c r="A13" s="28" t="s">
        <v>48</v>
      </c>
      <c r="B13" s="35">
        <v>97663</v>
      </c>
      <c r="C13" s="32" t="s">
        <v>0</v>
      </c>
      <c r="D13" s="37" t="s">
        <v>49</v>
      </c>
      <c r="E13" s="31" t="s">
        <v>50</v>
      </c>
      <c r="F13" s="38">
        <v>7</v>
      </c>
      <c r="G13" s="38"/>
      <c r="H13" s="52">
        <f t="shared" si="1"/>
        <v>7</v>
      </c>
      <c r="I13" s="66">
        <v>8.64</v>
      </c>
      <c r="J13" s="46">
        <f t="shared" si="2"/>
        <v>60.48</v>
      </c>
      <c r="K13" s="49">
        <f t="shared" si="3"/>
        <v>0</v>
      </c>
      <c r="L13" s="50">
        <f t="shared" si="4"/>
        <v>60.48</v>
      </c>
      <c r="M13" s="53">
        <f t="shared" si="0"/>
        <v>1</v>
      </c>
      <c r="N13" s="65">
        <v>7</v>
      </c>
      <c r="O13" s="38"/>
      <c r="P13" s="133"/>
    </row>
    <row r="14" spans="1:16" x14ac:dyDescent="0.25">
      <c r="A14" s="28" t="s">
        <v>51</v>
      </c>
      <c r="B14" s="35"/>
      <c r="C14" s="32" t="s">
        <v>52</v>
      </c>
      <c r="D14" s="37" t="s">
        <v>53</v>
      </c>
      <c r="E14" s="31" t="s">
        <v>1</v>
      </c>
      <c r="F14" s="38">
        <v>42.825000000000003</v>
      </c>
      <c r="G14" s="38"/>
      <c r="H14" s="52">
        <f t="shared" si="1"/>
        <v>42.825000000000003</v>
      </c>
      <c r="I14" s="66">
        <v>22.64</v>
      </c>
      <c r="J14" s="46">
        <f t="shared" si="2"/>
        <v>969.56</v>
      </c>
      <c r="K14" s="49">
        <f t="shared" si="3"/>
        <v>0</v>
      </c>
      <c r="L14" s="50">
        <f t="shared" si="4"/>
        <v>969.56</v>
      </c>
      <c r="M14" s="53">
        <f t="shared" si="0"/>
        <v>1</v>
      </c>
      <c r="N14" s="65">
        <v>42.825000000000003</v>
      </c>
      <c r="O14" s="38"/>
      <c r="P14" s="133"/>
    </row>
    <row r="15" spans="1:16" ht="31.5" x14ac:dyDescent="0.25">
      <c r="A15" s="28" t="s">
        <v>54</v>
      </c>
      <c r="B15" s="35">
        <v>97636</v>
      </c>
      <c r="C15" s="32" t="s">
        <v>0</v>
      </c>
      <c r="D15" s="37" t="s">
        <v>55</v>
      </c>
      <c r="E15" s="31" t="s">
        <v>1</v>
      </c>
      <c r="F15" s="38">
        <v>143.58500000000001</v>
      </c>
      <c r="G15" s="38"/>
      <c r="H15" s="52">
        <f t="shared" si="1"/>
        <v>143.58500000000001</v>
      </c>
      <c r="I15" s="66">
        <v>9.82</v>
      </c>
      <c r="J15" s="46">
        <f t="shared" si="2"/>
        <v>1410</v>
      </c>
      <c r="K15" s="49">
        <f t="shared" si="3"/>
        <v>0</v>
      </c>
      <c r="L15" s="50">
        <f t="shared" si="4"/>
        <v>1410</v>
      </c>
      <c r="M15" s="53">
        <f t="shared" si="0"/>
        <v>1</v>
      </c>
      <c r="N15" s="65">
        <v>143.58500000000001</v>
      </c>
      <c r="O15" s="38"/>
      <c r="P15" s="133"/>
    </row>
    <row r="16" spans="1:16" x14ac:dyDescent="0.25">
      <c r="A16" s="28" t="s">
        <v>56</v>
      </c>
      <c r="B16" s="35">
        <v>72897</v>
      </c>
      <c r="C16" s="32" t="s">
        <v>0</v>
      </c>
      <c r="D16" s="37" t="s">
        <v>57</v>
      </c>
      <c r="E16" s="31" t="s">
        <v>58</v>
      </c>
      <c r="F16" s="38">
        <v>12.4072</v>
      </c>
      <c r="G16" s="38"/>
      <c r="H16" s="52">
        <f t="shared" si="1"/>
        <v>12.4072</v>
      </c>
      <c r="I16" s="66">
        <v>19.739999999999998</v>
      </c>
      <c r="J16" s="46">
        <f t="shared" si="2"/>
        <v>244.92</v>
      </c>
      <c r="K16" s="49">
        <f t="shared" si="3"/>
        <v>0</v>
      </c>
      <c r="L16" s="50">
        <f t="shared" si="4"/>
        <v>244.92</v>
      </c>
      <c r="M16" s="53">
        <f t="shared" si="0"/>
        <v>1</v>
      </c>
      <c r="N16" s="65">
        <v>12.4072</v>
      </c>
      <c r="O16" s="38"/>
      <c r="P16" s="133"/>
    </row>
    <row r="17" spans="1:16" ht="47.25" x14ac:dyDescent="0.25">
      <c r="A17" s="28" t="s">
        <v>59</v>
      </c>
      <c r="B17" s="35">
        <v>97914</v>
      </c>
      <c r="C17" s="32" t="s">
        <v>0</v>
      </c>
      <c r="D17" s="37" t="s">
        <v>60</v>
      </c>
      <c r="E17" s="31" t="s">
        <v>61</v>
      </c>
      <c r="F17" s="38">
        <v>16.132999999999999</v>
      </c>
      <c r="G17" s="38"/>
      <c r="H17" s="52">
        <f t="shared" si="1"/>
        <v>16.132999999999999</v>
      </c>
      <c r="I17" s="66">
        <v>1.3</v>
      </c>
      <c r="J17" s="46">
        <f t="shared" si="2"/>
        <v>20.97</v>
      </c>
      <c r="K17" s="49">
        <f t="shared" si="3"/>
        <v>0</v>
      </c>
      <c r="L17" s="50">
        <f t="shared" si="4"/>
        <v>20.97</v>
      </c>
      <c r="M17" s="53">
        <f t="shared" si="0"/>
        <v>1</v>
      </c>
      <c r="N17" s="65">
        <v>16.132999999999999</v>
      </c>
      <c r="O17" s="38"/>
      <c r="P17" s="133"/>
    </row>
    <row r="18" spans="1:16" x14ac:dyDescent="0.25">
      <c r="A18" s="33" t="s">
        <v>22</v>
      </c>
      <c r="B18" s="30"/>
      <c r="C18" s="30"/>
      <c r="D18" s="39" t="s">
        <v>80</v>
      </c>
      <c r="E18" s="59"/>
      <c r="F18" s="40"/>
      <c r="G18" s="26"/>
      <c r="H18" s="26"/>
      <c r="I18" s="26"/>
      <c r="J18" s="27">
        <f>SUM(J19:J29)</f>
        <v>61788.289999999994</v>
      </c>
      <c r="K18" s="27">
        <f>SUM(K19:K29)</f>
        <v>3831.3199999999997</v>
      </c>
      <c r="L18" s="27">
        <f>SUM(L19:L29)</f>
        <v>58063.68</v>
      </c>
      <c r="M18" s="51">
        <f>L18/J18</f>
        <v>0.93971980774997987</v>
      </c>
      <c r="O18" s="26"/>
      <c r="P18" s="133"/>
    </row>
    <row r="19" spans="1:16" ht="47.25" x14ac:dyDescent="0.25">
      <c r="A19" s="34" t="s">
        <v>4</v>
      </c>
      <c r="B19" s="35">
        <v>94990</v>
      </c>
      <c r="C19" s="35" t="s">
        <v>0</v>
      </c>
      <c r="D19" s="37" t="s">
        <v>62</v>
      </c>
      <c r="E19" s="31" t="s">
        <v>58</v>
      </c>
      <c r="F19" s="38">
        <v>2.1412500000000003</v>
      </c>
      <c r="G19" s="38"/>
      <c r="H19" s="52">
        <f>G19+N19</f>
        <v>2.14</v>
      </c>
      <c r="I19" s="29">
        <v>573.96</v>
      </c>
      <c r="J19" s="46">
        <f>ROUND(F19*$I19,2)</f>
        <v>1228.99</v>
      </c>
      <c r="K19" s="49">
        <f>ROUND(G19*$I19,2)</f>
        <v>0</v>
      </c>
      <c r="L19" s="121">
        <f>ROUND(H19*$I19,2)</f>
        <v>1228.27</v>
      </c>
      <c r="M19" s="53">
        <f t="shared" ref="M19:M35" si="5">L19/J19</f>
        <v>0.99941415308505355</v>
      </c>
      <c r="N19" s="38">
        <v>2.14</v>
      </c>
      <c r="O19" s="38"/>
      <c r="P19" s="136"/>
    </row>
    <row r="20" spans="1:16" ht="63" x14ac:dyDescent="0.25">
      <c r="A20" s="76" t="s">
        <v>63</v>
      </c>
      <c r="B20" s="77">
        <v>87894</v>
      </c>
      <c r="C20" s="77" t="s">
        <v>0</v>
      </c>
      <c r="D20" s="78" t="s">
        <v>64</v>
      </c>
      <c r="E20" s="79" t="s">
        <v>1</v>
      </c>
      <c r="F20" s="80">
        <v>5.3999999999999995</v>
      </c>
      <c r="G20" s="80"/>
      <c r="H20" s="52">
        <f t="shared" ref="H20:H27" si="6">G20+N20</f>
        <v>5.3999999999999995</v>
      </c>
      <c r="I20" s="29">
        <v>4.83</v>
      </c>
      <c r="J20" s="46">
        <f t="shared" ref="J20:J29" si="7">ROUND(F20*$I20,2)</f>
        <v>26.08</v>
      </c>
      <c r="K20" s="49">
        <f t="shared" ref="K20:K29" si="8">ROUND(G20*$I20,2)</f>
        <v>0</v>
      </c>
      <c r="L20" s="50">
        <f>ROUND(H20*$I20,2)</f>
        <v>26.08</v>
      </c>
      <c r="M20" s="53">
        <f t="shared" si="5"/>
        <v>1</v>
      </c>
      <c r="N20" s="80">
        <v>5.3999999999999995</v>
      </c>
      <c r="O20" s="80"/>
      <c r="P20" s="133"/>
    </row>
    <row r="21" spans="1:16" ht="54.75" customHeight="1" x14ac:dyDescent="0.25">
      <c r="A21" s="76" t="s">
        <v>65</v>
      </c>
      <c r="B21" s="77">
        <v>87777</v>
      </c>
      <c r="C21" s="77" t="s">
        <v>0</v>
      </c>
      <c r="D21" s="78" t="s">
        <v>66</v>
      </c>
      <c r="E21" s="79" t="s">
        <v>1</v>
      </c>
      <c r="F21" s="80">
        <v>5.3999999999999995</v>
      </c>
      <c r="G21" s="80"/>
      <c r="H21" s="52">
        <f t="shared" si="6"/>
        <v>5.3999999999999995</v>
      </c>
      <c r="I21" s="29">
        <v>43.52</v>
      </c>
      <c r="J21" s="46">
        <f t="shared" si="7"/>
        <v>235.01</v>
      </c>
      <c r="K21" s="49">
        <f t="shared" si="8"/>
        <v>0</v>
      </c>
      <c r="L21" s="50">
        <f t="shared" ref="L21:L29" si="9">ROUND(H21*$I21,2)</f>
        <v>235.01</v>
      </c>
      <c r="M21" s="53">
        <f t="shared" si="5"/>
        <v>1</v>
      </c>
      <c r="N21" s="80">
        <v>5.3999999999999995</v>
      </c>
      <c r="O21" s="80"/>
      <c r="P21" s="133"/>
    </row>
    <row r="22" spans="1:16" ht="31.5" x14ac:dyDescent="0.25">
      <c r="A22" s="76" t="s">
        <v>67</v>
      </c>
      <c r="B22" s="77">
        <v>88497</v>
      </c>
      <c r="C22" s="77" t="s">
        <v>0</v>
      </c>
      <c r="D22" s="78" t="s">
        <v>68</v>
      </c>
      <c r="E22" s="79" t="s">
        <v>1</v>
      </c>
      <c r="F22" s="80">
        <v>809.26999999999987</v>
      </c>
      <c r="G22" s="80"/>
      <c r="H22" s="52">
        <f t="shared" si="6"/>
        <v>809.26999999999987</v>
      </c>
      <c r="I22" s="29">
        <v>11.44</v>
      </c>
      <c r="J22" s="46">
        <f t="shared" si="7"/>
        <v>9258.0499999999993</v>
      </c>
      <c r="K22" s="49">
        <f t="shared" si="8"/>
        <v>0</v>
      </c>
      <c r="L22" s="50">
        <f t="shared" si="9"/>
        <v>9258.0499999999993</v>
      </c>
      <c r="M22" s="53">
        <f t="shared" si="5"/>
        <v>1</v>
      </c>
      <c r="N22" s="81">
        <v>809.26999999999987</v>
      </c>
      <c r="O22" s="80"/>
      <c r="P22" s="133"/>
    </row>
    <row r="23" spans="1:16" ht="31.5" x14ac:dyDescent="0.25">
      <c r="A23" s="76" t="s">
        <v>69</v>
      </c>
      <c r="B23" s="77">
        <v>88485</v>
      </c>
      <c r="C23" s="77" t="s">
        <v>0</v>
      </c>
      <c r="D23" s="78" t="s">
        <v>70</v>
      </c>
      <c r="E23" s="79" t="s">
        <v>1</v>
      </c>
      <c r="F23" s="80">
        <v>809.26999999999987</v>
      </c>
      <c r="G23" s="80"/>
      <c r="H23" s="52">
        <f t="shared" si="6"/>
        <v>809.26999999999987</v>
      </c>
      <c r="I23" s="29">
        <v>2.0299999999999998</v>
      </c>
      <c r="J23" s="46">
        <f t="shared" si="7"/>
        <v>1642.82</v>
      </c>
      <c r="K23" s="49">
        <f t="shared" si="8"/>
        <v>0</v>
      </c>
      <c r="L23" s="50">
        <f t="shared" si="9"/>
        <v>1642.82</v>
      </c>
      <c r="M23" s="53">
        <f t="shared" si="5"/>
        <v>1</v>
      </c>
      <c r="N23" s="80">
        <v>809.26999999999987</v>
      </c>
      <c r="O23" s="80"/>
      <c r="P23" s="133"/>
    </row>
    <row r="24" spans="1:16" ht="31.5" x14ac:dyDescent="0.25">
      <c r="A24" s="76" t="s">
        <v>71</v>
      </c>
      <c r="B24" s="77">
        <v>88489</v>
      </c>
      <c r="C24" s="77" t="s">
        <v>0</v>
      </c>
      <c r="D24" s="78" t="s">
        <v>72</v>
      </c>
      <c r="E24" s="79" t="s">
        <v>1</v>
      </c>
      <c r="F24" s="80">
        <v>809.26999999999987</v>
      </c>
      <c r="G24" s="80"/>
      <c r="H24" s="52">
        <f t="shared" si="6"/>
        <v>809.26999999999987</v>
      </c>
      <c r="I24" s="29">
        <v>13.38</v>
      </c>
      <c r="J24" s="46">
        <f t="shared" si="7"/>
        <v>10828.03</v>
      </c>
      <c r="K24" s="49">
        <f t="shared" si="8"/>
        <v>0</v>
      </c>
      <c r="L24" s="50">
        <f t="shared" si="9"/>
        <v>10828.03</v>
      </c>
      <c r="M24" s="53">
        <f t="shared" si="5"/>
        <v>1</v>
      </c>
      <c r="N24" s="80">
        <v>809.26999999999987</v>
      </c>
      <c r="O24" s="80"/>
      <c r="P24" s="133"/>
    </row>
    <row r="25" spans="1:16" ht="63" x14ac:dyDescent="0.25">
      <c r="A25" s="76" t="s">
        <v>73</v>
      </c>
      <c r="B25" s="77">
        <v>87272</v>
      </c>
      <c r="C25" s="77" t="s">
        <v>0</v>
      </c>
      <c r="D25" s="78" t="s">
        <v>74</v>
      </c>
      <c r="E25" s="79" t="s">
        <v>1</v>
      </c>
      <c r="F25" s="80">
        <v>238.46999999999997</v>
      </c>
      <c r="G25" s="80"/>
      <c r="H25" s="52">
        <f t="shared" si="6"/>
        <v>238.46999999999997</v>
      </c>
      <c r="I25" s="29">
        <v>63.86</v>
      </c>
      <c r="J25" s="46">
        <f t="shared" si="7"/>
        <v>15228.69</v>
      </c>
      <c r="K25" s="49">
        <f t="shared" si="8"/>
        <v>0</v>
      </c>
      <c r="L25" s="50">
        <f t="shared" si="9"/>
        <v>15228.69</v>
      </c>
      <c r="M25" s="53">
        <f t="shared" si="5"/>
        <v>1</v>
      </c>
      <c r="N25" s="81">
        <v>238.46999999999997</v>
      </c>
      <c r="O25" s="80"/>
      <c r="P25" s="133"/>
    </row>
    <row r="26" spans="1:16" ht="63" x14ac:dyDescent="0.25">
      <c r="A26" s="76" t="s">
        <v>75</v>
      </c>
      <c r="B26" s="77">
        <v>87273</v>
      </c>
      <c r="C26" s="77" t="s">
        <v>0</v>
      </c>
      <c r="D26" s="78" t="s">
        <v>76</v>
      </c>
      <c r="E26" s="79" t="s">
        <v>1</v>
      </c>
      <c r="F26" s="80">
        <v>4.2720000000000002</v>
      </c>
      <c r="G26" s="80"/>
      <c r="H26" s="52">
        <f t="shared" si="6"/>
        <v>4.2699999999999996</v>
      </c>
      <c r="I26" s="29">
        <v>54.43</v>
      </c>
      <c r="J26" s="46">
        <f t="shared" si="7"/>
        <v>232.52</v>
      </c>
      <c r="K26" s="49">
        <f t="shared" si="8"/>
        <v>0</v>
      </c>
      <c r="L26" s="121">
        <f t="shared" si="9"/>
        <v>232.42</v>
      </c>
      <c r="M26" s="53">
        <f t="shared" si="5"/>
        <v>0.99956992946843271</v>
      </c>
      <c r="N26" s="80">
        <v>4.2699999999999996</v>
      </c>
      <c r="O26" s="80"/>
      <c r="P26" s="133"/>
    </row>
    <row r="27" spans="1:16" ht="63" x14ac:dyDescent="0.25">
      <c r="A27" s="89" t="s">
        <v>275</v>
      </c>
      <c r="B27" s="77">
        <v>87273</v>
      </c>
      <c r="C27" s="77" t="s">
        <v>0</v>
      </c>
      <c r="D27" s="78" t="s">
        <v>76</v>
      </c>
      <c r="E27" s="79" t="s">
        <v>1</v>
      </c>
      <c r="F27" s="80">
        <v>35.469410251699401</v>
      </c>
      <c r="G27" s="80">
        <v>35.469410251699401</v>
      </c>
      <c r="H27" s="52">
        <f t="shared" si="6"/>
        <v>35.469410251699401</v>
      </c>
      <c r="I27" s="29">
        <v>54.43</v>
      </c>
      <c r="J27" s="46">
        <f t="shared" si="7"/>
        <v>1930.6</v>
      </c>
      <c r="K27" s="49">
        <f t="shared" si="8"/>
        <v>1930.6</v>
      </c>
      <c r="L27" s="50">
        <f t="shared" si="9"/>
        <v>1930.6</v>
      </c>
      <c r="M27" s="53">
        <f t="shared" si="5"/>
        <v>1</v>
      </c>
      <c r="O27" s="80"/>
      <c r="P27" s="133"/>
    </row>
    <row r="28" spans="1:16" ht="47.25" x14ac:dyDescent="0.25">
      <c r="A28" s="76" t="s">
        <v>77</v>
      </c>
      <c r="B28" s="77">
        <v>87246</v>
      </c>
      <c r="C28" s="77" t="s">
        <v>0</v>
      </c>
      <c r="D28" s="78" t="s">
        <v>78</v>
      </c>
      <c r="E28" s="79" t="s">
        <v>1</v>
      </c>
      <c r="F28" s="80">
        <v>298.35000000000002</v>
      </c>
      <c r="G28" s="80"/>
      <c r="H28" s="52">
        <f>G28+N28</f>
        <v>298.35000000000002</v>
      </c>
      <c r="I28" s="29">
        <v>52.13</v>
      </c>
      <c r="J28" s="46">
        <f t="shared" si="7"/>
        <v>15552.99</v>
      </c>
      <c r="K28" s="49">
        <f t="shared" si="8"/>
        <v>0</v>
      </c>
      <c r="L28" s="50">
        <f t="shared" si="9"/>
        <v>15552.99</v>
      </c>
      <c r="M28" s="53">
        <f t="shared" si="5"/>
        <v>1</v>
      </c>
      <c r="N28" s="81">
        <v>298.35000000000002</v>
      </c>
      <c r="O28" s="80"/>
      <c r="P28" s="133"/>
    </row>
    <row r="29" spans="1:16" ht="47.25" x14ac:dyDescent="0.25">
      <c r="A29" s="89" t="s">
        <v>276</v>
      </c>
      <c r="B29" s="77">
        <v>92402</v>
      </c>
      <c r="C29" s="77" t="s">
        <v>0</v>
      </c>
      <c r="D29" s="78" t="s">
        <v>277</v>
      </c>
      <c r="E29" s="79" t="s">
        <v>1</v>
      </c>
      <c r="F29" s="80">
        <v>105.19</v>
      </c>
      <c r="G29" s="135">
        <v>35.547499999999999</v>
      </c>
      <c r="H29" s="52">
        <f>G29+N29</f>
        <v>35.547499999999999</v>
      </c>
      <c r="I29" s="29">
        <v>53.47</v>
      </c>
      <c r="J29" s="46">
        <f t="shared" si="7"/>
        <v>5624.51</v>
      </c>
      <c r="K29" s="49">
        <f t="shared" si="8"/>
        <v>1900.72</v>
      </c>
      <c r="L29" s="50">
        <f t="shared" si="9"/>
        <v>1900.72</v>
      </c>
      <c r="M29" s="93">
        <f t="shared" si="5"/>
        <v>0.33793521568990009</v>
      </c>
      <c r="N29" s="38"/>
      <c r="O29" s="80"/>
      <c r="P29" s="133"/>
    </row>
    <row r="30" spans="1:16" x14ac:dyDescent="0.25">
      <c r="A30" s="20" t="s">
        <v>37</v>
      </c>
      <c r="B30" s="21"/>
      <c r="C30" s="21"/>
      <c r="D30" s="41" t="s">
        <v>82</v>
      </c>
      <c r="E30" s="22"/>
      <c r="F30" s="42"/>
      <c r="G30" s="36"/>
      <c r="H30" s="43"/>
      <c r="I30" s="44"/>
      <c r="J30" s="45">
        <f>SUM(J31:J35)</f>
        <v>39341.9</v>
      </c>
      <c r="K30" s="45">
        <f>SUM(K31:K35)</f>
        <v>0</v>
      </c>
      <c r="L30" s="45">
        <f>SUM(L31:L35)</f>
        <v>39342.06</v>
      </c>
      <c r="M30" s="51">
        <f t="shared" si="5"/>
        <v>1.0000040669108508</v>
      </c>
      <c r="O30" s="36"/>
      <c r="P30" s="133"/>
    </row>
    <row r="31" spans="1:16" ht="31.5" x14ac:dyDescent="0.25">
      <c r="A31" s="31" t="s">
        <v>41</v>
      </c>
      <c r="B31" s="37">
        <v>88496</v>
      </c>
      <c r="C31" s="31" t="s">
        <v>0</v>
      </c>
      <c r="D31" s="37" t="s">
        <v>83</v>
      </c>
      <c r="E31" s="31" t="s">
        <v>1</v>
      </c>
      <c r="F31" s="29">
        <v>293.10550000000001</v>
      </c>
      <c r="G31" s="29"/>
      <c r="H31" s="50">
        <f>G31+N31</f>
        <v>293.11</v>
      </c>
      <c r="I31" s="73">
        <v>20.92</v>
      </c>
      <c r="J31" s="46">
        <f>ROUND(F31*$I31,2)</f>
        <v>6131.77</v>
      </c>
      <c r="K31" s="49">
        <f>ROUND(G31*$I31,2)</f>
        <v>0</v>
      </c>
      <c r="L31" s="121">
        <f>ROUND(H31*$I31,2)</f>
        <v>6131.86</v>
      </c>
      <c r="M31" s="86">
        <f t="shared" si="5"/>
        <v>1.0000146776542498</v>
      </c>
      <c r="N31" s="29">
        <v>293.11</v>
      </c>
      <c r="O31" s="29"/>
      <c r="P31" s="133"/>
    </row>
    <row r="32" spans="1:16" ht="31.5" x14ac:dyDescent="0.25">
      <c r="A32" s="31" t="s">
        <v>38</v>
      </c>
      <c r="B32" s="37">
        <v>88482</v>
      </c>
      <c r="C32" s="31" t="s">
        <v>0</v>
      </c>
      <c r="D32" s="37" t="s">
        <v>84</v>
      </c>
      <c r="E32" s="31" t="s">
        <v>1</v>
      </c>
      <c r="F32" s="29">
        <v>293.10550000000001</v>
      </c>
      <c r="G32" s="29"/>
      <c r="H32" s="50">
        <f>G32+N32</f>
        <v>293.11</v>
      </c>
      <c r="I32" s="73">
        <v>2.86</v>
      </c>
      <c r="J32" s="46">
        <f t="shared" ref="J32:J66" si="10">ROUND(F32*$I32,2)</f>
        <v>838.28</v>
      </c>
      <c r="K32" s="49">
        <f t="shared" ref="K32:K64" si="11">ROUND(G32*$I32,2)</f>
        <v>0</v>
      </c>
      <c r="L32" s="121">
        <f>ROUND(H32*$I32,2)</f>
        <v>838.29</v>
      </c>
      <c r="M32" s="86">
        <f t="shared" si="5"/>
        <v>1.000011929188338</v>
      </c>
      <c r="N32" s="29">
        <v>293.11</v>
      </c>
      <c r="O32" s="29"/>
      <c r="P32" s="133"/>
    </row>
    <row r="33" spans="1:16" ht="31.5" x14ac:dyDescent="0.25">
      <c r="A33" s="31" t="s">
        <v>85</v>
      </c>
      <c r="B33" s="37">
        <v>88486</v>
      </c>
      <c r="C33" s="31" t="s">
        <v>0</v>
      </c>
      <c r="D33" s="37" t="s">
        <v>86</v>
      </c>
      <c r="E33" s="31" t="s">
        <v>1</v>
      </c>
      <c r="F33" s="29">
        <v>293.10550000000001</v>
      </c>
      <c r="G33" s="29"/>
      <c r="H33" s="50">
        <f>G33+N33</f>
        <v>293.11</v>
      </c>
      <c r="I33" s="73">
        <v>11.78</v>
      </c>
      <c r="J33" s="46">
        <f t="shared" si="10"/>
        <v>3452.78</v>
      </c>
      <c r="K33" s="49">
        <f t="shared" si="11"/>
        <v>0</v>
      </c>
      <c r="L33" s="121">
        <f>ROUND(H33*$I33,2)</f>
        <v>3452.84</v>
      </c>
      <c r="M33" s="86">
        <f t="shared" si="5"/>
        <v>1.0000173773017684</v>
      </c>
      <c r="N33" s="29">
        <v>293.11</v>
      </c>
      <c r="O33" s="29"/>
      <c r="P33" s="133"/>
    </row>
    <row r="34" spans="1:16" ht="63" x14ac:dyDescent="0.25">
      <c r="A34" s="31" t="s">
        <v>87</v>
      </c>
      <c r="B34" s="37">
        <v>92542</v>
      </c>
      <c r="C34" s="31" t="s">
        <v>0</v>
      </c>
      <c r="D34" s="37" t="s">
        <v>88</v>
      </c>
      <c r="E34" s="31" t="s">
        <v>1</v>
      </c>
      <c r="F34" s="29">
        <v>298.35000000000002</v>
      </c>
      <c r="G34" s="29"/>
      <c r="H34" s="50">
        <f>G34+N34</f>
        <v>298.35000000000002</v>
      </c>
      <c r="I34" s="73">
        <v>69.11</v>
      </c>
      <c r="J34" s="46">
        <f t="shared" si="10"/>
        <v>20618.97</v>
      </c>
      <c r="K34" s="49">
        <f t="shared" si="11"/>
        <v>0</v>
      </c>
      <c r="L34" s="50">
        <f>ROUND(H34*$I34,2)</f>
        <v>20618.97</v>
      </c>
      <c r="M34" s="86">
        <f t="shared" si="5"/>
        <v>1</v>
      </c>
      <c r="N34" s="29">
        <v>298.35000000000002</v>
      </c>
      <c r="O34" s="29"/>
      <c r="P34" s="133"/>
    </row>
    <row r="35" spans="1:16" ht="53.25" customHeight="1" x14ac:dyDescent="0.25">
      <c r="A35" s="31" t="s">
        <v>87</v>
      </c>
      <c r="B35" s="37">
        <v>94445</v>
      </c>
      <c r="C35" s="31" t="s">
        <v>0</v>
      </c>
      <c r="D35" s="37" t="s">
        <v>89</v>
      </c>
      <c r="E35" s="87" t="s">
        <v>1</v>
      </c>
      <c r="F35" s="38">
        <v>298.35000000000002</v>
      </c>
      <c r="G35" s="38"/>
      <c r="H35" s="50">
        <f>G35+N35</f>
        <v>298.35000000000002</v>
      </c>
      <c r="I35" s="88">
        <v>27.82</v>
      </c>
      <c r="J35" s="46">
        <f t="shared" si="10"/>
        <v>8300.1</v>
      </c>
      <c r="K35" s="49">
        <f t="shared" si="11"/>
        <v>0</v>
      </c>
      <c r="L35" s="50">
        <f>ROUND(H35*$I35,2)</f>
        <v>8300.1</v>
      </c>
      <c r="M35" s="86">
        <f t="shared" si="5"/>
        <v>1</v>
      </c>
      <c r="N35" s="38">
        <v>298.35000000000002</v>
      </c>
      <c r="O35" s="38"/>
      <c r="P35" s="133"/>
    </row>
    <row r="36" spans="1:16" x14ac:dyDescent="0.25">
      <c r="A36" s="20" t="s">
        <v>90</v>
      </c>
      <c r="B36" s="21"/>
      <c r="C36" s="21"/>
      <c r="D36" s="41" t="s">
        <v>91</v>
      </c>
      <c r="E36" s="22"/>
      <c r="F36" s="42"/>
      <c r="G36" s="82"/>
      <c r="H36" s="83"/>
      <c r="I36" s="84"/>
      <c r="J36" s="85">
        <f>SUM(J37:J38)</f>
        <v>1089.56</v>
      </c>
      <c r="K36" s="85">
        <f>SUM(K37:K38)</f>
        <v>0</v>
      </c>
      <c r="L36" s="85">
        <f>SUM(L37:L38)</f>
        <v>0</v>
      </c>
      <c r="M36" s="51">
        <f t="shared" ref="M36:M44" si="12">L36/J36</f>
        <v>0</v>
      </c>
      <c r="O36" s="82"/>
      <c r="P36" s="133"/>
    </row>
    <row r="37" spans="1:16" ht="16.5" thickBot="1" x14ac:dyDescent="0.3">
      <c r="A37" s="31" t="s">
        <v>92</v>
      </c>
      <c r="B37" s="37" t="s">
        <v>93</v>
      </c>
      <c r="C37" s="68" t="s">
        <v>0</v>
      </c>
      <c r="D37" s="37" t="s">
        <v>94</v>
      </c>
      <c r="E37" s="31" t="s">
        <v>1</v>
      </c>
      <c r="F37" s="29">
        <v>11.760000000000002</v>
      </c>
      <c r="G37" s="29"/>
      <c r="H37" s="52">
        <f>G37+N37</f>
        <v>0</v>
      </c>
      <c r="I37" s="73">
        <v>15.84</v>
      </c>
      <c r="J37" s="46">
        <f t="shared" si="10"/>
        <v>186.28</v>
      </c>
      <c r="K37" s="49">
        <f t="shared" si="11"/>
        <v>0</v>
      </c>
      <c r="L37" s="50">
        <f>ROUND(H37*$I37,2)</f>
        <v>0</v>
      </c>
      <c r="M37" s="53">
        <f t="shared" si="12"/>
        <v>0</v>
      </c>
      <c r="O37" s="29"/>
      <c r="P37" s="133"/>
    </row>
    <row r="38" spans="1:16" ht="53.25" customHeight="1" thickBot="1" x14ac:dyDescent="0.3">
      <c r="A38" s="67" t="s">
        <v>95</v>
      </c>
      <c r="B38" s="75" t="s">
        <v>96</v>
      </c>
      <c r="C38" s="68" t="s">
        <v>0</v>
      </c>
      <c r="D38" s="69" t="s">
        <v>97</v>
      </c>
      <c r="E38" s="70" t="s">
        <v>1</v>
      </c>
      <c r="F38" s="71">
        <v>37.31</v>
      </c>
      <c r="G38" s="71"/>
      <c r="H38" s="63">
        <f>G38+N38</f>
        <v>0</v>
      </c>
      <c r="I38" s="74">
        <v>24.21</v>
      </c>
      <c r="J38" s="46">
        <f t="shared" si="10"/>
        <v>903.28</v>
      </c>
      <c r="K38" s="49">
        <f t="shared" si="11"/>
        <v>0</v>
      </c>
      <c r="L38" s="50">
        <f>ROUND(H38*$I38,2)</f>
        <v>0</v>
      </c>
      <c r="M38" s="64">
        <f t="shared" si="12"/>
        <v>0</v>
      </c>
      <c r="O38" s="71"/>
      <c r="P38" s="133"/>
    </row>
    <row r="39" spans="1:16" x14ac:dyDescent="0.25">
      <c r="A39" s="20" t="s">
        <v>98</v>
      </c>
      <c r="B39" s="21"/>
      <c r="C39" s="21"/>
      <c r="D39" s="41" t="s">
        <v>99</v>
      </c>
      <c r="E39" s="22"/>
      <c r="F39" s="42"/>
      <c r="G39" s="36"/>
      <c r="H39" s="43"/>
      <c r="I39" s="44"/>
      <c r="J39" s="45">
        <f>SUM(J40:J44)</f>
        <v>2252.27</v>
      </c>
      <c r="K39" s="45">
        <f>SUM(K40:K44)</f>
        <v>0</v>
      </c>
      <c r="L39" s="45">
        <f>SUM(L40:L44)</f>
        <v>2252.27</v>
      </c>
      <c r="M39" s="51">
        <f t="shared" si="12"/>
        <v>1</v>
      </c>
      <c r="O39" s="36"/>
      <c r="P39" s="133"/>
    </row>
    <row r="40" spans="1:16" ht="63" x14ac:dyDescent="0.25">
      <c r="A40" s="31" t="s">
        <v>100</v>
      </c>
      <c r="B40" s="37">
        <v>86931</v>
      </c>
      <c r="C40" s="31" t="s">
        <v>0</v>
      </c>
      <c r="D40" s="37" t="s">
        <v>101</v>
      </c>
      <c r="E40" s="31" t="s">
        <v>50</v>
      </c>
      <c r="F40" s="29">
        <v>4</v>
      </c>
      <c r="G40" s="29"/>
      <c r="H40" s="50">
        <f>G40+N40</f>
        <v>4</v>
      </c>
      <c r="I40" s="73">
        <v>421.28</v>
      </c>
      <c r="J40" s="46">
        <f t="shared" si="10"/>
        <v>1685.12</v>
      </c>
      <c r="K40" s="49">
        <f t="shared" si="11"/>
        <v>0</v>
      </c>
      <c r="L40" s="50">
        <f>ROUND(H40*$I40,2)</f>
        <v>1685.12</v>
      </c>
      <c r="M40" s="86">
        <f t="shared" si="12"/>
        <v>1</v>
      </c>
      <c r="N40" s="29">
        <v>4</v>
      </c>
      <c r="O40" s="29"/>
      <c r="P40" s="133"/>
    </row>
    <row r="41" spans="1:16" ht="78.75" x14ac:dyDescent="0.25">
      <c r="A41" s="31" t="s">
        <v>102</v>
      </c>
      <c r="B41" s="37">
        <v>86943</v>
      </c>
      <c r="C41" s="31" t="s">
        <v>0</v>
      </c>
      <c r="D41" s="37" t="s">
        <v>103</v>
      </c>
      <c r="E41" s="31" t="s">
        <v>50</v>
      </c>
      <c r="F41" s="29">
        <v>2</v>
      </c>
      <c r="G41" s="29"/>
      <c r="H41" s="50">
        <f>G41+N41</f>
        <v>2</v>
      </c>
      <c r="I41" s="73">
        <v>191.45</v>
      </c>
      <c r="J41" s="46">
        <f t="shared" si="10"/>
        <v>382.9</v>
      </c>
      <c r="K41" s="49">
        <f t="shared" si="11"/>
        <v>0</v>
      </c>
      <c r="L41" s="50">
        <f t="shared" ref="L41:L64" si="13">ROUND(H41*$I41,2)</f>
        <v>382.9</v>
      </c>
      <c r="M41" s="86">
        <f t="shared" si="12"/>
        <v>1</v>
      </c>
      <c r="N41" s="29">
        <v>2</v>
      </c>
      <c r="O41" s="29"/>
      <c r="P41" s="133"/>
    </row>
    <row r="42" spans="1:16" ht="31.5" x14ac:dyDescent="0.25">
      <c r="A42" s="31" t="s">
        <v>104</v>
      </c>
      <c r="B42" s="37" t="s">
        <v>105</v>
      </c>
      <c r="C42" s="31" t="s">
        <v>0</v>
      </c>
      <c r="D42" s="37" t="s">
        <v>106</v>
      </c>
      <c r="E42" s="31" t="s">
        <v>50</v>
      </c>
      <c r="F42" s="29">
        <v>1</v>
      </c>
      <c r="G42" s="29"/>
      <c r="H42" s="50">
        <f>G42+N42</f>
        <v>1</v>
      </c>
      <c r="I42" s="73">
        <v>3.73</v>
      </c>
      <c r="J42" s="46">
        <f t="shared" si="10"/>
        <v>3.73</v>
      </c>
      <c r="K42" s="49">
        <f t="shared" si="11"/>
        <v>0</v>
      </c>
      <c r="L42" s="50">
        <f t="shared" si="13"/>
        <v>3.73</v>
      </c>
      <c r="M42" s="86">
        <f t="shared" si="12"/>
        <v>1</v>
      </c>
      <c r="N42" s="29">
        <v>1</v>
      </c>
      <c r="O42" s="29"/>
      <c r="P42" s="133"/>
    </row>
    <row r="43" spans="1:16" ht="31.5" x14ac:dyDescent="0.25">
      <c r="A43" s="31" t="s">
        <v>107</v>
      </c>
      <c r="B43" s="37">
        <v>95544</v>
      </c>
      <c r="C43" s="31" t="s">
        <v>0</v>
      </c>
      <c r="D43" s="37" t="s">
        <v>108</v>
      </c>
      <c r="E43" s="31" t="s">
        <v>50</v>
      </c>
      <c r="F43" s="29">
        <v>4</v>
      </c>
      <c r="G43" s="29"/>
      <c r="H43" s="50">
        <f>G43+N43</f>
        <v>4</v>
      </c>
      <c r="I43" s="73">
        <v>28.93</v>
      </c>
      <c r="J43" s="46">
        <f t="shared" si="10"/>
        <v>115.72</v>
      </c>
      <c r="K43" s="49">
        <f t="shared" si="11"/>
        <v>0</v>
      </c>
      <c r="L43" s="50">
        <f t="shared" si="13"/>
        <v>115.72</v>
      </c>
      <c r="M43" s="86">
        <f t="shared" si="12"/>
        <v>1</v>
      </c>
      <c r="N43" s="29">
        <v>4</v>
      </c>
      <c r="O43" s="29"/>
      <c r="P43" s="133"/>
    </row>
    <row r="44" spans="1:16" ht="53.25" customHeight="1" x14ac:dyDescent="0.25">
      <c r="A44" s="31" t="s">
        <v>109</v>
      </c>
      <c r="B44" s="37">
        <v>95547</v>
      </c>
      <c r="C44" s="31" t="s">
        <v>0</v>
      </c>
      <c r="D44" s="37" t="s">
        <v>110</v>
      </c>
      <c r="E44" s="87" t="s">
        <v>50</v>
      </c>
      <c r="F44" s="38">
        <v>1</v>
      </c>
      <c r="G44" s="38"/>
      <c r="H44" s="50">
        <f>G44+N44</f>
        <v>1</v>
      </c>
      <c r="I44" s="88">
        <v>64.8</v>
      </c>
      <c r="J44" s="46">
        <f t="shared" si="10"/>
        <v>64.8</v>
      </c>
      <c r="K44" s="49">
        <f t="shared" si="11"/>
        <v>0</v>
      </c>
      <c r="L44" s="50">
        <f t="shared" si="13"/>
        <v>64.8</v>
      </c>
      <c r="M44" s="86">
        <f t="shared" si="12"/>
        <v>1</v>
      </c>
      <c r="N44" s="38">
        <v>1</v>
      </c>
      <c r="O44" s="38"/>
      <c r="P44" s="133"/>
    </row>
    <row r="45" spans="1:16" x14ac:dyDescent="0.25">
      <c r="A45" s="20" t="s">
        <v>111</v>
      </c>
      <c r="B45" s="21"/>
      <c r="C45" s="21"/>
      <c r="D45" s="41" t="s">
        <v>112</v>
      </c>
      <c r="E45" s="22"/>
      <c r="F45" s="42"/>
      <c r="G45" s="82"/>
      <c r="H45" s="83"/>
      <c r="I45" s="84"/>
      <c r="J45" s="85">
        <f>SUM(J46:J47)</f>
        <v>1933.39</v>
      </c>
      <c r="K45" s="85">
        <f>SUM(K46:K47)</f>
        <v>0</v>
      </c>
      <c r="L45" s="85">
        <f>SUM(L46:L47)</f>
        <v>0</v>
      </c>
      <c r="M45" s="51">
        <f t="shared" ref="M45:M52" si="14">L45/J45</f>
        <v>0</v>
      </c>
      <c r="O45" s="82"/>
      <c r="P45" s="133"/>
    </row>
    <row r="46" spans="1:16" x14ac:dyDescent="0.25">
      <c r="A46" s="31" t="s">
        <v>113</v>
      </c>
      <c r="B46" s="37" t="s">
        <v>114</v>
      </c>
      <c r="C46" s="31" t="s">
        <v>0</v>
      </c>
      <c r="D46" s="37" t="s">
        <v>115</v>
      </c>
      <c r="E46" s="31" t="s">
        <v>1</v>
      </c>
      <c r="F46" s="29">
        <v>241.5</v>
      </c>
      <c r="G46" s="29"/>
      <c r="H46" s="50">
        <f>G46+N46</f>
        <v>0</v>
      </c>
      <c r="I46" s="73">
        <v>5.16</v>
      </c>
      <c r="J46" s="46">
        <f t="shared" si="10"/>
        <v>1246.1400000000001</v>
      </c>
      <c r="K46" s="49">
        <f t="shared" si="11"/>
        <v>0</v>
      </c>
      <c r="L46" s="50">
        <f t="shared" si="13"/>
        <v>0</v>
      </c>
      <c r="M46" s="86">
        <f t="shared" si="14"/>
        <v>0</v>
      </c>
      <c r="O46" s="29"/>
      <c r="P46" s="133"/>
    </row>
    <row r="47" spans="1:16" ht="53.25" customHeight="1" x14ac:dyDescent="0.25">
      <c r="A47" s="31" t="s">
        <v>116</v>
      </c>
      <c r="B47" s="37"/>
      <c r="C47" s="31" t="s">
        <v>52</v>
      </c>
      <c r="D47" s="37" t="s">
        <v>117</v>
      </c>
      <c r="E47" s="87" t="s">
        <v>1</v>
      </c>
      <c r="F47" s="38">
        <v>282.82</v>
      </c>
      <c r="G47" s="38"/>
      <c r="H47" s="50">
        <f>G47+N47</f>
        <v>0</v>
      </c>
      <c r="I47" s="88">
        <v>2.4300000000000002</v>
      </c>
      <c r="J47" s="46">
        <f t="shared" si="10"/>
        <v>687.25</v>
      </c>
      <c r="K47" s="49">
        <f t="shared" si="11"/>
        <v>0</v>
      </c>
      <c r="L47" s="50">
        <f t="shared" si="13"/>
        <v>0</v>
      </c>
      <c r="M47" s="86">
        <f t="shared" si="14"/>
        <v>0</v>
      </c>
      <c r="O47" s="38"/>
      <c r="P47" s="133"/>
    </row>
    <row r="48" spans="1:16" x14ac:dyDescent="0.25">
      <c r="A48" s="20" t="s">
        <v>118</v>
      </c>
      <c r="B48" s="21"/>
      <c r="C48" s="21"/>
      <c r="D48" s="41" t="s">
        <v>39</v>
      </c>
      <c r="E48" s="22"/>
      <c r="F48" s="42"/>
      <c r="G48" s="82"/>
      <c r="H48" s="83"/>
      <c r="I48" s="84"/>
      <c r="J48" s="85">
        <f>SUM(J49:J52)</f>
        <v>5501.4</v>
      </c>
      <c r="K48" s="85">
        <f>SUM(K49:K52)</f>
        <v>0</v>
      </c>
      <c r="L48" s="85">
        <f>SUM(L49:L52)</f>
        <v>5501.4</v>
      </c>
      <c r="M48" s="51">
        <f t="shared" si="14"/>
        <v>1</v>
      </c>
      <c r="O48" s="82"/>
      <c r="P48" s="133"/>
    </row>
    <row r="49" spans="1:16" x14ac:dyDescent="0.25">
      <c r="A49" s="31" t="s">
        <v>119</v>
      </c>
      <c r="B49" s="37" t="s">
        <v>120</v>
      </c>
      <c r="C49" s="31" t="s">
        <v>0</v>
      </c>
      <c r="D49" s="37" t="s">
        <v>121</v>
      </c>
      <c r="E49" s="31" t="s">
        <v>1</v>
      </c>
      <c r="F49" s="29">
        <v>282.93049999999999</v>
      </c>
      <c r="G49" s="29"/>
      <c r="H49" s="50">
        <f>G49+N49</f>
        <v>282.93049999999999</v>
      </c>
      <c r="I49" s="73">
        <v>1.23</v>
      </c>
      <c r="J49" s="46">
        <f t="shared" si="10"/>
        <v>348</v>
      </c>
      <c r="K49" s="49">
        <f t="shared" si="11"/>
        <v>0</v>
      </c>
      <c r="L49" s="50">
        <f t="shared" si="13"/>
        <v>348</v>
      </c>
      <c r="M49" s="86">
        <f t="shared" si="14"/>
        <v>1</v>
      </c>
      <c r="N49" s="131">
        <v>282.93049999999999</v>
      </c>
      <c r="O49" s="29"/>
      <c r="P49" s="133"/>
    </row>
    <row r="50" spans="1:16" x14ac:dyDescent="0.25">
      <c r="A50" s="31" t="s">
        <v>122</v>
      </c>
      <c r="B50" s="37">
        <v>79472</v>
      </c>
      <c r="C50" s="31" t="s">
        <v>0</v>
      </c>
      <c r="D50" s="37" t="s">
        <v>123</v>
      </c>
      <c r="E50" s="31" t="s">
        <v>124</v>
      </c>
      <c r="F50" s="29">
        <v>282.93049999999999</v>
      </c>
      <c r="G50" s="29"/>
      <c r="H50" s="50">
        <f>G50+N50</f>
        <v>282.93049999999999</v>
      </c>
      <c r="I50" s="73">
        <v>0.45</v>
      </c>
      <c r="J50" s="46">
        <f t="shared" si="10"/>
        <v>127.32</v>
      </c>
      <c r="K50" s="49">
        <f t="shared" si="11"/>
        <v>0</v>
      </c>
      <c r="L50" s="50">
        <f t="shared" si="13"/>
        <v>127.32</v>
      </c>
      <c r="M50" s="86">
        <f t="shared" si="14"/>
        <v>1</v>
      </c>
      <c r="N50" s="131">
        <v>282.93049999999999</v>
      </c>
      <c r="O50" s="29"/>
      <c r="P50" s="133"/>
    </row>
    <row r="51" spans="1:16" ht="47.25" x14ac:dyDescent="0.25">
      <c r="A51" s="31" t="s">
        <v>125</v>
      </c>
      <c r="B51" s="37"/>
      <c r="C51" s="31" t="s">
        <v>52</v>
      </c>
      <c r="D51" s="37" t="s">
        <v>126</v>
      </c>
      <c r="E51" s="31" t="s">
        <v>1</v>
      </c>
      <c r="F51" s="29">
        <v>351.23689999999999</v>
      </c>
      <c r="G51" s="29"/>
      <c r="H51" s="50">
        <f>G51+N51</f>
        <v>351.23689999999999</v>
      </c>
      <c r="I51" s="73">
        <v>4.6100000000000003</v>
      </c>
      <c r="J51" s="46">
        <f t="shared" si="10"/>
        <v>1619.2</v>
      </c>
      <c r="K51" s="49">
        <f t="shared" si="11"/>
        <v>0</v>
      </c>
      <c r="L51" s="50">
        <f t="shared" si="13"/>
        <v>1619.2</v>
      </c>
      <c r="M51" s="86">
        <f t="shared" si="14"/>
        <v>1</v>
      </c>
      <c r="N51" s="131">
        <v>351.23689999999999</v>
      </c>
      <c r="O51" s="29"/>
      <c r="P51" s="133"/>
    </row>
    <row r="52" spans="1:16" ht="53.25" customHeight="1" x14ac:dyDescent="0.25">
      <c r="A52" s="31" t="s">
        <v>127</v>
      </c>
      <c r="B52" s="37" t="s">
        <v>43</v>
      </c>
      <c r="C52" s="31" t="s">
        <v>0</v>
      </c>
      <c r="D52" s="37" t="s">
        <v>128</v>
      </c>
      <c r="E52" s="87" t="s">
        <v>1</v>
      </c>
      <c r="F52" s="38">
        <v>8</v>
      </c>
      <c r="G52" s="38"/>
      <c r="H52" s="50">
        <f>G52+N52</f>
        <v>8</v>
      </c>
      <c r="I52" s="88">
        <v>425.86</v>
      </c>
      <c r="J52" s="46">
        <f t="shared" si="10"/>
        <v>3406.88</v>
      </c>
      <c r="K52" s="49">
        <f t="shared" si="11"/>
        <v>0</v>
      </c>
      <c r="L52" s="50">
        <f t="shared" si="13"/>
        <v>3406.88</v>
      </c>
      <c r="M52" s="86">
        <f t="shared" si="14"/>
        <v>1</v>
      </c>
      <c r="N52" s="131">
        <v>8</v>
      </c>
      <c r="O52" s="38"/>
      <c r="P52" s="133"/>
    </row>
    <row r="53" spans="1:16" x14ac:dyDescent="0.25">
      <c r="A53" s="20" t="s">
        <v>129</v>
      </c>
      <c r="B53" s="21"/>
      <c r="C53" s="21"/>
      <c r="D53" s="41" t="s">
        <v>130</v>
      </c>
      <c r="E53" s="22"/>
      <c r="F53" s="42"/>
      <c r="G53" s="82"/>
      <c r="H53" s="83"/>
      <c r="I53" s="84"/>
      <c r="J53" s="85">
        <f>SUM(J54:J55)</f>
        <v>3003.28</v>
      </c>
      <c r="K53" s="85">
        <f>SUM(K54:K55)</f>
        <v>0</v>
      </c>
      <c r="L53" s="85">
        <f>SUM(L54:L55)</f>
        <v>3003.28</v>
      </c>
      <c r="M53" s="51">
        <f t="shared" ref="M53:M61" si="15">L53/J53</f>
        <v>1</v>
      </c>
      <c r="O53" s="82"/>
      <c r="P53" s="133"/>
    </row>
    <row r="54" spans="1:16" ht="31.5" x14ac:dyDescent="0.25">
      <c r="A54" s="31" t="s">
        <v>131</v>
      </c>
      <c r="B54" s="37">
        <v>93358</v>
      </c>
      <c r="C54" s="31" t="s">
        <v>0</v>
      </c>
      <c r="D54" s="37" t="s">
        <v>132</v>
      </c>
      <c r="E54" s="31" t="s">
        <v>58</v>
      </c>
      <c r="F54" s="29">
        <v>10.71129</v>
      </c>
      <c r="G54" s="29"/>
      <c r="H54" s="50">
        <f>G54+N54</f>
        <v>10.71129</v>
      </c>
      <c r="I54" s="73">
        <v>61.25</v>
      </c>
      <c r="J54" s="46">
        <f t="shared" si="10"/>
        <v>656.07</v>
      </c>
      <c r="K54" s="49">
        <f t="shared" si="11"/>
        <v>0</v>
      </c>
      <c r="L54" s="50">
        <f t="shared" si="13"/>
        <v>656.07</v>
      </c>
      <c r="M54" s="86">
        <f t="shared" si="15"/>
        <v>1</v>
      </c>
      <c r="N54" s="131">
        <v>10.71129</v>
      </c>
      <c r="O54" s="29"/>
      <c r="P54" s="133"/>
    </row>
    <row r="55" spans="1:16" ht="53.25" customHeight="1" x14ac:dyDescent="0.25">
      <c r="A55" s="31" t="s">
        <v>133</v>
      </c>
      <c r="B55" s="37">
        <v>94342</v>
      </c>
      <c r="C55" s="31" t="s">
        <v>0</v>
      </c>
      <c r="D55" s="37" t="s">
        <v>134</v>
      </c>
      <c r="E55" s="87" t="s">
        <v>58</v>
      </c>
      <c r="F55" s="38">
        <v>24.496000000000002</v>
      </c>
      <c r="G55" s="38"/>
      <c r="H55" s="50">
        <f>G55+N55</f>
        <v>24.496000000000002</v>
      </c>
      <c r="I55" s="88">
        <v>95.82</v>
      </c>
      <c r="J55" s="46">
        <f t="shared" si="10"/>
        <v>2347.21</v>
      </c>
      <c r="K55" s="49">
        <f t="shared" si="11"/>
        <v>0</v>
      </c>
      <c r="L55" s="50">
        <f t="shared" si="13"/>
        <v>2347.21</v>
      </c>
      <c r="M55" s="86">
        <f t="shared" si="15"/>
        <v>1</v>
      </c>
      <c r="N55" s="131">
        <v>24.496000000000002</v>
      </c>
      <c r="O55" s="38"/>
      <c r="P55" s="133"/>
    </row>
    <row r="56" spans="1:16" x14ac:dyDescent="0.25">
      <c r="A56" s="20" t="s">
        <v>135</v>
      </c>
      <c r="B56" s="21"/>
      <c r="C56" s="21"/>
      <c r="D56" s="41" t="s">
        <v>136</v>
      </c>
      <c r="E56" s="22"/>
      <c r="F56" s="42"/>
      <c r="G56" s="82"/>
      <c r="H56" s="83"/>
      <c r="I56" s="84"/>
      <c r="J56" s="85">
        <f>SUM(J57:J61)</f>
        <v>13631.59</v>
      </c>
      <c r="K56" s="85">
        <f>SUM(K57:K61)</f>
        <v>0</v>
      </c>
      <c r="L56" s="85">
        <f>SUM(L57:L61)</f>
        <v>13631.59</v>
      </c>
      <c r="M56" s="51">
        <f t="shared" si="15"/>
        <v>1</v>
      </c>
      <c r="O56" s="82"/>
      <c r="P56" s="133"/>
    </row>
    <row r="57" spans="1:16" ht="47.25" x14ac:dyDescent="0.25">
      <c r="A57" s="31" t="s">
        <v>137</v>
      </c>
      <c r="B57" s="37">
        <v>94962</v>
      </c>
      <c r="C57" s="31" t="s">
        <v>0</v>
      </c>
      <c r="D57" s="37" t="s">
        <v>138</v>
      </c>
      <c r="E57" s="31" t="s">
        <v>139</v>
      </c>
      <c r="F57" s="29">
        <v>0.44019000000000008</v>
      </c>
      <c r="G57" s="29"/>
      <c r="H57" s="50">
        <f>G57+N57</f>
        <v>0.44019000000000008</v>
      </c>
      <c r="I57" s="73">
        <v>273.17</v>
      </c>
      <c r="J57" s="46">
        <f t="shared" si="10"/>
        <v>120.25</v>
      </c>
      <c r="K57" s="49">
        <f t="shared" si="11"/>
        <v>0</v>
      </c>
      <c r="L57" s="50">
        <f t="shared" si="13"/>
        <v>120.25</v>
      </c>
      <c r="M57" s="86">
        <f t="shared" si="15"/>
        <v>1</v>
      </c>
      <c r="N57" s="131">
        <v>0.44019000000000008</v>
      </c>
      <c r="O57" s="29"/>
      <c r="P57" s="133"/>
    </row>
    <row r="58" spans="1:16" ht="31.5" x14ac:dyDescent="0.25">
      <c r="A58" s="31" t="s">
        <v>140</v>
      </c>
      <c r="B58" s="37">
        <v>92873</v>
      </c>
      <c r="C58" s="31" t="s">
        <v>0</v>
      </c>
      <c r="D58" s="37" t="s">
        <v>141</v>
      </c>
      <c r="E58" s="31" t="s">
        <v>139</v>
      </c>
      <c r="F58" s="29">
        <v>0.44019000000000008</v>
      </c>
      <c r="G58" s="29"/>
      <c r="H58" s="50">
        <f>G58+N58</f>
        <v>0.44019000000000008</v>
      </c>
      <c r="I58" s="73">
        <v>158.53</v>
      </c>
      <c r="J58" s="46">
        <f t="shared" si="10"/>
        <v>69.78</v>
      </c>
      <c r="K58" s="49">
        <f t="shared" si="11"/>
        <v>0</v>
      </c>
      <c r="L58" s="50">
        <f t="shared" si="13"/>
        <v>69.78</v>
      </c>
      <c r="M58" s="86">
        <f t="shared" si="15"/>
        <v>1</v>
      </c>
      <c r="N58" s="131">
        <v>0.44019000000000008</v>
      </c>
      <c r="O58" s="29"/>
      <c r="P58" s="133"/>
    </row>
    <row r="59" spans="1:16" ht="31.5" x14ac:dyDescent="0.25">
      <c r="A59" s="31" t="s">
        <v>142</v>
      </c>
      <c r="B59" s="37">
        <v>95467</v>
      </c>
      <c r="C59" s="31" t="s">
        <v>0</v>
      </c>
      <c r="D59" s="37" t="s">
        <v>143</v>
      </c>
      <c r="E59" s="31" t="s">
        <v>139</v>
      </c>
      <c r="F59" s="29">
        <v>24.455000000000005</v>
      </c>
      <c r="G59" s="29"/>
      <c r="H59" s="50">
        <f>G59+N59</f>
        <v>24.455000000000005</v>
      </c>
      <c r="I59" s="73">
        <v>396.86</v>
      </c>
      <c r="J59" s="46">
        <f t="shared" si="10"/>
        <v>9705.2099999999991</v>
      </c>
      <c r="K59" s="49">
        <f t="shared" si="11"/>
        <v>0</v>
      </c>
      <c r="L59" s="50">
        <f t="shared" si="13"/>
        <v>9705.2099999999991</v>
      </c>
      <c r="M59" s="86">
        <f t="shared" si="15"/>
        <v>1</v>
      </c>
      <c r="N59" s="131">
        <v>24.455000000000005</v>
      </c>
      <c r="O59" s="29"/>
      <c r="P59" s="133"/>
    </row>
    <row r="60" spans="1:16" ht="47.25" x14ac:dyDescent="0.25">
      <c r="A60" s="31" t="s">
        <v>144</v>
      </c>
      <c r="B60" s="37">
        <v>95955</v>
      </c>
      <c r="C60" s="31" t="s">
        <v>0</v>
      </c>
      <c r="D60" s="37" t="s">
        <v>145</v>
      </c>
      <c r="E60" s="31" t="s">
        <v>58</v>
      </c>
      <c r="F60" s="29">
        <v>1.5782000000000003</v>
      </c>
      <c r="G60" s="29"/>
      <c r="H60" s="50">
        <f>G60+N60</f>
        <v>1.5782000000000003</v>
      </c>
      <c r="I60" s="73">
        <v>2242.15</v>
      </c>
      <c r="J60" s="46">
        <f t="shared" si="10"/>
        <v>3538.56</v>
      </c>
      <c r="K60" s="49">
        <f t="shared" si="11"/>
        <v>0</v>
      </c>
      <c r="L60" s="50">
        <f t="shared" si="13"/>
        <v>3538.56</v>
      </c>
      <c r="M60" s="86">
        <f t="shared" si="15"/>
        <v>1</v>
      </c>
      <c r="N60" s="131">
        <v>1.5782000000000003</v>
      </c>
      <c r="O60" s="29"/>
      <c r="P60" s="133"/>
    </row>
    <row r="61" spans="1:16" ht="53.25" customHeight="1" x14ac:dyDescent="0.25">
      <c r="A61" s="31" t="s">
        <v>146</v>
      </c>
      <c r="B61" s="37" t="s">
        <v>147</v>
      </c>
      <c r="C61" s="31" t="s">
        <v>0</v>
      </c>
      <c r="D61" s="37" t="s">
        <v>148</v>
      </c>
      <c r="E61" s="87" t="s">
        <v>1</v>
      </c>
      <c r="F61" s="38">
        <v>19.564000000000007</v>
      </c>
      <c r="G61" s="38"/>
      <c r="H61" s="50">
        <f>G61+N61</f>
        <v>19.564000000000007</v>
      </c>
      <c r="I61" s="88">
        <v>10.11</v>
      </c>
      <c r="J61" s="46">
        <f t="shared" si="10"/>
        <v>197.79</v>
      </c>
      <c r="K61" s="49">
        <f t="shared" si="11"/>
        <v>0</v>
      </c>
      <c r="L61" s="50">
        <f t="shared" si="13"/>
        <v>197.79</v>
      </c>
      <c r="M61" s="86">
        <f t="shared" si="15"/>
        <v>1</v>
      </c>
      <c r="N61" s="131">
        <v>19.564000000000007</v>
      </c>
      <c r="O61" s="38"/>
      <c r="P61" s="133"/>
    </row>
    <row r="62" spans="1:16" x14ac:dyDescent="0.25">
      <c r="A62" s="20" t="s">
        <v>149</v>
      </c>
      <c r="B62" s="21"/>
      <c r="C62" s="21"/>
      <c r="D62" s="41" t="s">
        <v>150</v>
      </c>
      <c r="E62" s="22"/>
      <c r="F62" s="42"/>
      <c r="G62" s="82"/>
      <c r="H62" s="83"/>
      <c r="I62" s="84"/>
      <c r="J62" s="85">
        <f>SUM(J63:J64)</f>
        <v>17399.3</v>
      </c>
      <c r="K62" s="85">
        <f>SUM(K63:K64)</f>
        <v>0</v>
      </c>
      <c r="L62" s="85">
        <f>SUM(L63:L64)</f>
        <v>17399.3</v>
      </c>
      <c r="M62" s="51">
        <f t="shared" ref="M62:M72" si="16">L62/J62</f>
        <v>1</v>
      </c>
      <c r="O62" s="82"/>
      <c r="P62" s="133"/>
    </row>
    <row r="63" spans="1:16" ht="63" x14ac:dyDescent="0.25">
      <c r="A63" s="31" t="s">
        <v>151</v>
      </c>
      <c r="B63" s="37">
        <v>87495</v>
      </c>
      <c r="C63" s="31" t="s">
        <v>0</v>
      </c>
      <c r="D63" s="37" t="s">
        <v>152</v>
      </c>
      <c r="E63" s="31" t="s">
        <v>79</v>
      </c>
      <c r="F63" s="29">
        <v>149.12700000000001</v>
      </c>
      <c r="G63" s="29"/>
      <c r="H63" s="50">
        <f>G63+N63</f>
        <v>149.12700000000001</v>
      </c>
      <c r="I63" s="73">
        <v>63.61</v>
      </c>
      <c r="J63" s="46">
        <f t="shared" si="10"/>
        <v>9485.9699999999993</v>
      </c>
      <c r="K63" s="49">
        <f t="shared" si="11"/>
        <v>0</v>
      </c>
      <c r="L63" s="50">
        <f t="shared" si="13"/>
        <v>9485.9699999999993</v>
      </c>
      <c r="M63" s="86">
        <f t="shared" si="16"/>
        <v>1</v>
      </c>
      <c r="N63" s="131">
        <v>149.12700000000001</v>
      </c>
      <c r="O63" s="29"/>
      <c r="P63" s="133"/>
    </row>
    <row r="64" spans="1:16" ht="53.25" customHeight="1" x14ac:dyDescent="0.25">
      <c r="A64" s="31" t="s">
        <v>153</v>
      </c>
      <c r="B64" s="37">
        <v>95955</v>
      </c>
      <c r="C64" s="31" t="s">
        <v>0</v>
      </c>
      <c r="D64" s="37" t="s">
        <v>154</v>
      </c>
      <c r="E64" s="87" t="s">
        <v>139</v>
      </c>
      <c r="F64" s="38">
        <v>3.52935</v>
      </c>
      <c r="G64" s="38"/>
      <c r="H64" s="50">
        <f>G64+N64</f>
        <v>3.52935</v>
      </c>
      <c r="I64" s="88">
        <v>2242.15</v>
      </c>
      <c r="J64" s="46">
        <f t="shared" si="10"/>
        <v>7913.33</v>
      </c>
      <c r="K64" s="49">
        <f t="shared" si="11"/>
        <v>0</v>
      </c>
      <c r="L64" s="50">
        <f t="shared" si="13"/>
        <v>7913.33</v>
      </c>
      <c r="M64" s="86">
        <f t="shared" si="16"/>
        <v>1</v>
      </c>
      <c r="N64" s="131">
        <v>3.52935</v>
      </c>
      <c r="O64" s="38"/>
      <c r="P64" s="133"/>
    </row>
    <row r="65" spans="1:16" x14ac:dyDescent="0.25">
      <c r="A65" s="20" t="s">
        <v>155</v>
      </c>
      <c r="B65" s="21"/>
      <c r="C65" s="21"/>
      <c r="D65" s="41" t="s">
        <v>82</v>
      </c>
      <c r="E65" s="22"/>
      <c r="F65" s="42"/>
      <c r="G65" s="82"/>
      <c r="H65" s="83"/>
      <c r="I65" s="84"/>
      <c r="J65" s="138">
        <f>SUM(J66:J72)</f>
        <v>18684.600000000002</v>
      </c>
      <c r="K65" s="138">
        <f>SUM(K66:K72)</f>
        <v>0</v>
      </c>
      <c r="L65" s="138">
        <f>SUM(L66:L72)</f>
        <v>18684.600000000002</v>
      </c>
      <c r="M65" s="51">
        <f t="shared" si="16"/>
        <v>1</v>
      </c>
      <c r="O65" s="82"/>
      <c r="P65" s="133"/>
    </row>
    <row r="66" spans="1:16" ht="63" x14ac:dyDescent="0.25">
      <c r="A66" s="31" t="s">
        <v>156</v>
      </c>
      <c r="B66" s="37"/>
      <c r="C66" s="31" t="s">
        <v>52</v>
      </c>
      <c r="D66" s="37" t="s">
        <v>157</v>
      </c>
      <c r="E66" s="31" t="s">
        <v>1</v>
      </c>
      <c r="F66" s="29">
        <v>61.24</v>
      </c>
      <c r="G66" s="29"/>
      <c r="H66" s="50">
        <f t="shared" ref="H66:H72" si="17">G66+N66</f>
        <v>61.24</v>
      </c>
      <c r="I66" s="73">
        <v>94.75</v>
      </c>
      <c r="J66" s="46">
        <f t="shared" si="10"/>
        <v>5802.49</v>
      </c>
      <c r="K66" s="49">
        <f>ROUND(G66*$I66,2)</f>
        <v>0</v>
      </c>
      <c r="L66" s="50">
        <f>ROUND(H66*$I66,2)</f>
        <v>5802.49</v>
      </c>
      <c r="M66" s="86">
        <f t="shared" si="16"/>
        <v>1</v>
      </c>
      <c r="N66" s="29">
        <v>61.24</v>
      </c>
      <c r="O66" s="29"/>
      <c r="P66" s="133"/>
    </row>
    <row r="67" spans="1:16" ht="31.5" x14ac:dyDescent="0.25">
      <c r="A67" s="31" t="s">
        <v>158</v>
      </c>
      <c r="B67" s="37">
        <v>92542</v>
      </c>
      <c r="C67" s="31" t="s">
        <v>0</v>
      </c>
      <c r="D67" s="37" t="s">
        <v>159</v>
      </c>
      <c r="E67" s="31" t="s">
        <v>1</v>
      </c>
      <c r="F67" s="29">
        <v>44.821599999999997</v>
      </c>
      <c r="G67" s="29"/>
      <c r="H67" s="50">
        <f t="shared" si="17"/>
        <v>44.821599999999997</v>
      </c>
      <c r="I67" s="73">
        <v>69.11</v>
      </c>
      <c r="J67" s="46">
        <f t="shared" ref="J67:J82" si="18">ROUND(F67*$I67,2)</f>
        <v>3097.62</v>
      </c>
      <c r="K67" s="49">
        <f t="shared" ref="K67:K124" si="19">ROUND(G67*$I67,2)</f>
        <v>0</v>
      </c>
      <c r="L67" s="50">
        <f t="shared" ref="L67:L124" si="20">ROUND(H67*$I67,2)</f>
        <v>3097.62</v>
      </c>
      <c r="M67" s="86">
        <f t="shared" si="16"/>
        <v>1</v>
      </c>
      <c r="N67" s="29">
        <v>44.821599999999997</v>
      </c>
      <c r="O67" s="29"/>
      <c r="P67" s="133"/>
    </row>
    <row r="68" spans="1:16" ht="31.5" x14ac:dyDescent="0.25">
      <c r="A68" s="31" t="s">
        <v>160</v>
      </c>
      <c r="B68" s="37">
        <v>94204</v>
      </c>
      <c r="C68" s="31" t="s">
        <v>0</v>
      </c>
      <c r="D68" s="37" t="s">
        <v>161</v>
      </c>
      <c r="E68" s="31" t="s">
        <v>1</v>
      </c>
      <c r="F68" s="29">
        <v>44.821599999999997</v>
      </c>
      <c r="G68" s="29"/>
      <c r="H68" s="50">
        <f t="shared" si="17"/>
        <v>44.821599999999997</v>
      </c>
      <c r="I68" s="73">
        <v>32.4</v>
      </c>
      <c r="J68" s="46">
        <f t="shared" si="18"/>
        <v>1452.22</v>
      </c>
      <c r="K68" s="49">
        <f t="shared" si="19"/>
        <v>0</v>
      </c>
      <c r="L68" s="50">
        <f t="shared" si="20"/>
        <v>1452.22</v>
      </c>
      <c r="M68" s="86">
        <f t="shared" si="16"/>
        <v>1</v>
      </c>
      <c r="N68" s="29">
        <v>44.821599999999997</v>
      </c>
      <c r="O68" s="29"/>
      <c r="P68" s="133"/>
    </row>
    <row r="69" spans="1:16" ht="31.5" x14ac:dyDescent="0.25">
      <c r="A69" s="31" t="s">
        <v>162</v>
      </c>
      <c r="B69" s="37" t="s">
        <v>163</v>
      </c>
      <c r="C69" s="31" t="s">
        <v>0</v>
      </c>
      <c r="D69" s="37" t="s">
        <v>164</v>
      </c>
      <c r="E69" s="31" t="s">
        <v>1</v>
      </c>
      <c r="F69" s="29">
        <v>61.24</v>
      </c>
      <c r="G69" s="29"/>
      <c r="H69" s="50">
        <f t="shared" si="17"/>
        <v>61.24</v>
      </c>
      <c r="I69" s="73">
        <v>92.84</v>
      </c>
      <c r="J69" s="46">
        <f t="shared" si="18"/>
        <v>5685.52</v>
      </c>
      <c r="K69" s="49">
        <f t="shared" si="19"/>
        <v>0</v>
      </c>
      <c r="L69" s="50">
        <f t="shared" si="20"/>
        <v>5685.52</v>
      </c>
      <c r="M69" s="86">
        <f t="shared" si="16"/>
        <v>1</v>
      </c>
      <c r="N69" s="29">
        <v>61.24</v>
      </c>
      <c r="O69" s="29"/>
      <c r="P69" s="133"/>
    </row>
    <row r="70" spans="1:16" ht="47.25" x14ac:dyDescent="0.25">
      <c r="A70" s="31" t="s">
        <v>165</v>
      </c>
      <c r="B70" s="37">
        <v>94229</v>
      </c>
      <c r="C70" s="31" t="s">
        <v>0</v>
      </c>
      <c r="D70" s="37" t="s">
        <v>166</v>
      </c>
      <c r="E70" s="31" t="s">
        <v>1</v>
      </c>
      <c r="F70" s="29">
        <v>1.26</v>
      </c>
      <c r="G70" s="29"/>
      <c r="H70" s="50">
        <f t="shared" si="17"/>
        <v>1.26</v>
      </c>
      <c r="I70" s="73">
        <v>132.78</v>
      </c>
      <c r="J70" s="46">
        <f t="shared" si="18"/>
        <v>167.3</v>
      </c>
      <c r="K70" s="49">
        <f t="shared" si="19"/>
        <v>0</v>
      </c>
      <c r="L70" s="50">
        <f t="shared" si="20"/>
        <v>167.3</v>
      </c>
      <c r="M70" s="86">
        <f t="shared" si="16"/>
        <v>1</v>
      </c>
      <c r="N70" s="29">
        <v>1.26</v>
      </c>
      <c r="O70" s="29"/>
      <c r="P70" s="133"/>
    </row>
    <row r="71" spans="1:16" ht="31.5" x14ac:dyDescent="0.25">
      <c r="A71" s="31" t="s">
        <v>167</v>
      </c>
      <c r="B71" s="37">
        <v>100435</v>
      </c>
      <c r="C71" s="31" t="s">
        <v>0</v>
      </c>
      <c r="D71" s="37" t="s">
        <v>168</v>
      </c>
      <c r="E71" s="31" t="s">
        <v>42</v>
      </c>
      <c r="F71" s="29">
        <v>20.58</v>
      </c>
      <c r="G71" s="29"/>
      <c r="H71" s="50">
        <f t="shared" si="17"/>
        <v>20.58</v>
      </c>
      <c r="I71" s="73">
        <v>33.380000000000003</v>
      </c>
      <c r="J71" s="46">
        <f t="shared" si="18"/>
        <v>686.96</v>
      </c>
      <c r="K71" s="49">
        <f t="shared" si="19"/>
        <v>0</v>
      </c>
      <c r="L71" s="50">
        <f t="shared" si="20"/>
        <v>686.96</v>
      </c>
      <c r="M71" s="86">
        <f t="shared" si="16"/>
        <v>1</v>
      </c>
      <c r="N71" s="29">
        <v>20.58</v>
      </c>
      <c r="O71" s="29"/>
      <c r="P71" s="133"/>
    </row>
    <row r="72" spans="1:16" ht="53.25" customHeight="1" x14ac:dyDescent="0.25">
      <c r="A72" s="31" t="s">
        <v>169</v>
      </c>
      <c r="B72" s="37">
        <v>96113</v>
      </c>
      <c r="C72" s="31" t="s">
        <v>0</v>
      </c>
      <c r="D72" s="37" t="s">
        <v>170</v>
      </c>
      <c r="E72" s="87" t="s">
        <v>1</v>
      </c>
      <c r="F72" s="38">
        <v>61.24</v>
      </c>
      <c r="G72" s="38"/>
      <c r="H72" s="50">
        <f t="shared" si="17"/>
        <v>61.24</v>
      </c>
      <c r="I72" s="88">
        <v>29.27</v>
      </c>
      <c r="J72" s="46">
        <f t="shared" si="18"/>
        <v>1792.49</v>
      </c>
      <c r="K72" s="49">
        <f t="shared" si="19"/>
        <v>0</v>
      </c>
      <c r="L72" s="50">
        <f t="shared" si="20"/>
        <v>1792.49</v>
      </c>
      <c r="M72" s="86">
        <f t="shared" si="16"/>
        <v>1</v>
      </c>
      <c r="N72" s="38">
        <v>61.24</v>
      </c>
      <c r="O72" s="38"/>
      <c r="P72" s="133"/>
    </row>
    <row r="73" spans="1:16" x14ac:dyDescent="0.25">
      <c r="A73" s="20" t="s">
        <v>171</v>
      </c>
      <c r="B73" s="21"/>
      <c r="C73" s="21"/>
      <c r="D73" s="41" t="s">
        <v>91</v>
      </c>
      <c r="E73" s="22"/>
      <c r="F73" s="42"/>
      <c r="G73" s="82"/>
      <c r="H73" s="83"/>
      <c r="I73" s="84"/>
      <c r="J73" s="85">
        <f>SUM(J74:J82)</f>
        <v>9699.7099999999991</v>
      </c>
      <c r="K73" s="85">
        <f>SUM(K74:K82)</f>
        <v>6882.67</v>
      </c>
      <c r="L73" s="85">
        <f>SUM(L74:L82)</f>
        <v>6882.67</v>
      </c>
      <c r="M73" s="51">
        <f t="shared" ref="M73:M87" si="21">L73/J73</f>
        <v>0.70957482234004943</v>
      </c>
      <c r="O73" s="82"/>
      <c r="P73" s="133"/>
    </row>
    <row r="74" spans="1:16" ht="78.75" x14ac:dyDescent="0.25">
      <c r="A74" s="31" t="s">
        <v>172</v>
      </c>
      <c r="B74" s="37">
        <v>90843</v>
      </c>
      <c r="C74" s="31" t="s">
        <v>0</v>
      </c>
      <c r="D74" s="37" t="s">
        <v>173</v>
      </c>
      <c r="E74" s="31" t="s">
        <v>50</v>
      </c>
      <c r="F74" s="29">
        <v>2</v>
      </c>
      <c r="G74" s="29"/>
      <c r="H74" s="50">
        <f t="shared" ref="H74:H82" si="22">G74+N74</f>
        <v>0</v>
      </c>
      <c r="I74" s="73">
        <v>803.08</v>
      </c>
      <c r="J74" s="46">
        <f t="shared" si="18"/>
        <v>1606.16</v>
      </c>
      <c r="K74" s="49">
        <f t="shared" si="19"/>
        <v>0</v>
      </c>
      <c r="L74" s="50">
        <f t="shared" si="20"/>
        <v>0</v>
      </c>
      <c r="M74" s="86">
        <f t="shared" si="21"/>
        <v>0</v>
      </c>
      <c r="O74" s="29"/>
      <c r="P74" s="133"/>
    </row>
    <row r="75" spans="1:16" ht="78.75" x14ac:dyDescent="0.25">
      <c r="A75" s="31" t="s">
        <v>174</v>
      </c>
      <c r="B75" s="37">
        <v>90842</v>
      </c>
      <c r="C75" s="31" t="s">
        <v>0</v>
      </c>
      <c r="D75" s="37" t="s">
        <v>175</v>
      </c>
      <c r="E75" s="31"/>
      <c r="F75" s="29">
        <v>1</v>
      </c>
      <c r="G75" s="29"/>
      <c r="H75" s="50">
        <f t="shared" si="22"/>
        <v>0</v>
      </c>
      <c r="I75" s="73">
        <v>779.48</v>
      </c>
      <c r="J75" s="46">
        <f t="shared" si="18"/>
        <v>779.48</v>
      </c>
      <c r="K75" s="49">
        <f t="shared" si="19"/>
        <v>0</v>
      </c>
      <c r="L75" s="50">
        <f t="shared" si="20"/>
        <v>0</v>
      </c>
      <c r="M75" s="86">
        <f t="shared" si="21"/>
        <v>0</v>
      </c>
      <c r="O75" s="29"/>
      <c r="P75" s="133"/>
    </row>
    <row r="76" spans="1:16" ht="31.5" x14ac:dyDescent="0.25">
      <c r="A76" s="31" t="s">
        <v>176</v>
      </c>
      <c r="B76" s="37">
        <v>93190</v>
      </c>
      <c r="C76" s="31" t="s">
        <v>0</v>
      </c>
      <c r="D76" s="37" t="s">
        <v>177</v>
      </c>
      <c r="E76" s="31" t="s">
        <v>42</v>
      </c>
      <c r="F76" s="29">
        <v>4.0999999999999996</v>
      </c>
      <c r="G76" s="29"/>
      <c r="H76" s="50">
        <f t="shared" si="22"/>
        <v>0</v>
      </c>
      <c r="I76" s="73">
        <v>29.31</v>
      </c>
      <c r="J76" s="46">
        <f t="shared" si="18"/>
        <v>120.17</v>
      </c>
      <c r="K76" s="49">
        <f t="shared" si="19"/>
        <v>0</v>
      </c>
      <c r="L76" s="50">
        <f t="shared" si="20"/>
        <v>0</v>
      </c>
      <c r="M76" s="86">
        <f t="shared" si="21"/>
        <v>0</v>
      </c>
      <c r="O76" s="29"/>
      <c r="P76" s="133"/>
    </row>
    <row r="77" spans="1:16" ht="47.25" x14ac:dyDescent="0.25">
      <c r="A77" s="31" t="s">
        <v>178</v>
      </c>
      <c r="B77" s="37">
        <v>93198</v>
      </c>
      <c r="C77" s="31" t="s">
        <v>0</v>
      </c>
      <c r="D77" s="37" t="s">
        <v>179</v>
      </c>
      <c r="E77" s="31" t="s">
        <v>42</v>
      </c>
      <c r="F77" s="29">
        <v>0.6</v>
      </c>
      <c r="G77" s="29"/>
      <c r="H77" s="50">
        <f t="shared" si="22"/>
        <v>0</v>
      </c>
      <c r="I77" s="73">
        <v>25.31</v>
      </c>
      <c r="J77" s="46">
        <f t="shared" si="18"/>
        <v>15.19</v>
      </c>
      <c r="K77" s="49">
        <f t="shared" si="19"/>
        <v>0</v>
      </c>
      <c r="L77" s="50">
        <f t="shared" si="20"/>
        <v>0</v>
      </c>
      <c r="M77" s="86">
        <f t="shared" si="21"/>
        <v>0</v>
      </c>
      <c r="O77" s="29"/>
      <c r="P77" s="133"/>
    </row>
    <row r="78" spans="1:16" ht="31.5" x14ac:dyDescent="0.25">
      <c r="A78" s="31" t="s">
        <v>180</v>
      </c>
      <c r="B78" s="37">
        <v>93191</v>
      </c>
      <c r="C78" s="31" t="s">
        <v>0</v>
      </c>
      <c r="D78" s="37" t="s">
        <v>181</v>
      </c>
      <c r="E78" s="31" t="s">
        <v>42</v>
      </c>
      <c r="F78" s="29">
        <v>3.6</v>
      </c>
      <c r="G78" s="29"/>
      <c r="H78" s="50">
        <f t="shared" si="22"/>
        <v>0</v>
      </c>
      <c r="I78" s="73">
        <v>30.46</v>
      </c>
      <c r="J78" s="46">
        <f t="shared" si="18"/>
        <v>109.66</v>
      </c>
      <c r="K78" s="49">
        <f t="shared" si="19"/>
        <v>0</v>
      </c>
      <c r="L78" s="50">
        <f t="shared" si="20"/>
        <v>0</v>
      </c>
      <c r="M78" s="86">
        <f t="shared" si="21"/>
        <v>0</v>
      </c>
      <c r="O78" s="29"/>
      <c r="P78" s="133"/>
    </row>
    <row r="79" spans="1:16" ht="47.25" x14ac:dyDescent="0.25">
      <c r="A79" s="31" t="s">
        <v>182</v>
      </c>
      <c r="B79" s="37">
        <v>93199</v>
      </c>
      <c r="C79" s="31" t="s">
        <v>0</v>
      </c>
      <c r="D79" s="37" t="s">
        <v>183</v>
      </c>
      <c r="E79" s="31" t="s">
        <v>42</v>
      </c>
      <c r="F79" s="29">
        <v>3.6</v>
      </c>
      <c r="G79" s="29"/>
      <c r="H79" s="50">
        <f t="shared" si="22"/>
        <v>0</v>
      </c>
      <c r="I79" s="73">
        <v>24.87</v>
      </c>
      <c r="J79" s="46">
        <f t="shared" si="18"/>
        <v>89.53</v>
      </c>
      <c r="K79" s="49">
        <f t="shared" si="19"/>
        <v>0</v>
      </c>
      <c r="L79" s="50">
        <f t="shared" si="20"/>
        <v>0</v>
      </c>
      <c r="M79" s="86">
        <f t="shared" si="21"/>
        <v>0</v>
      </c>
      <c r="O79" s="29"/>
      <c r="P79" s="133"/>
    </row>
    <row r="80" spans="1:16" ht="53.25" customHeight="1" x14ac:dyDescent="0.25">
      <c r="A80" s="31" t="s">
        <v>184</v>
      </c>
      <c r="B80" s="37">
        <v>94581</v>
      </c>
      <c r="C80" s="31" t="s">
        <v>0</v>
      </c>
      <c r="D80" s="37" t="s">
        <v>185</v>
      </c>
      <c r="E80" s="87" t="s">
        <v>1</v>
      </c>
      <c r="F80" s="38">
        <v>0.16000000000000003</v>
      </c>
      <c r="G80" s="38"/>
      <c r="H80" s="50">
        <f t="shared" si="22"/>
        <v>0</v>
      </c>
      <c r="I80" s="88">
        <v>605.33000000000004</v>
      </c>
      <c r="J80" s="46">
        <f t="shared" si="18"/>
        <v>96.85</v>
      </c>
      <c r="K80" s="49">
        <f t="shared" si="19"/>
        <v>0</v>
      </c>
      <c r="L80" s="50">
        <f t="shared" si="20"/>
        <v>0</v>
      </c>
      <c r="M80" s="86">
        <f t="shared" si="21"/>
        <v>0</v>
      </c>
      <c r="O80" s="38"/>
      <c r="P80" s="133"/>
    </row>
    <row r="81" spans="1:16" ht="53.25" customHeight="1" x14ac:dyDescent="0.25">
      <c r="A81" s="90" t="s">
        <v>278</v>
      </c>
      <c r="B81" s="90" t="s">
        <v>280</v>
      </c>
      <c r="C81" s="77" t="s">
        <v>282</v>
      </c>
      <c r="D81" s="78" t="s">
        <v>283</v>
      </c>
      <c r="E81" s="91" t="s">
        <v>1</v>
      </c>
      <c r="F81" s="80">
        <v>4.2</v>
      </c>
      <c r="G81" s="80">
        <v>4.2</v>
      </c>
      <c r="H81" s="50">
        <f t="shared" si="22"/>
        <v>4.2</v>
      </c>
      <c r="I81" s="92">
        <v>299.13</v>
      </c>
      <c r="J81" s="46">
        <f t="shared" si="18"/>
        <v>1256.3499999999999</v>
      </c>
      <c r="K81" s="49">
        <f t="shared" si="19"/>
        <v>1256.3499999999999</v>
      </c>
      <c r="L81" s="50">
        <f t="shared" si="20"/>
        <v>1256.3499999999999</v>
      </c>
      <c r="M81" s="86">
        <f t="shared" si="21"/>
        <v>1</v>
      </c>
      <c r="O81" s="80"/>
      <c r="P81" s="133"/>
    </row>
    <row r="82" spans="1:16" ht="53.25" customHeight="1" x14ac:dyDescent="0.25">
      <c r="A82" s="90" t="s">
        <v>279</v>
      </c>
      <c r="B82" s="90" t="s">
        <v>281</v>
      </c>
      <c r="C82" s="77" t="s">
        <v>282</v>
      </c>
      <c r="D82" s="78" t="s">
        <v>284</v>
      </c>
      <c r="E82" s="91" t="s">
        <v>1</v>
      </c>
      <c r="F82" s="80">
        <v>12.96</v>
      </c>
      <c r="G82" s="80">
        <v>12.96</v>
      </c>
      <c r="H82" s="50">
        <f t="shared" si="22"/>
        <v>12.96</v>
      </c>
      <c r="I82" s="92">
        <v>434.13</v>
      </c>
      <c r="J82" s="46">
        <f t="shared" si="18"/>
        <v>5626.32</v>
      </c>
      <c r="K82" s="49">
        <f t="shared" si="19"/>
        <v>5626.32</v>
      </c>
      <c r="L82" s="50">
        <f t="shared" si="20"/>
        <v>5626.32</v>
      </c>
      <c r="M82" s="86">
        <f t="shared" si="21"/>
        <v>1</v>
      </c>
      <c r="O82" s="80"/>
      <c r="P82" s="133"/>
    </row>
    <row r="83" spans="1:16" x14ac:dyDescent="0.25">
      <c r="A83" s="20" t="s">
        <v>186</v>
      </c>
      <c r="B83" s="21"/>
      <c r="C83" s="21"/>
      <c r="D83" s="41" t="s">
        <v>187</v>
      </c>
      <c r="E83" s="22"/>
      <c r="F83" s="42"/>
      <c r="G83" s="82"/>
      <c r="H83" s="83"/>
      <c r="I83" s="84"/>
      <c r="J83" s="85">
        <f>SUM(J84:J87)</f>
        <v>11258.43</v>
      </c>
      <c r="K83" s="85">
        <f>SUM(K84:K87)</f>
        <v>0</v>
      </c>
      <c r="L83" s="85">
        <f>SUM(L84:L87)</f>
        <v>4406.42</v>
      </c>
      <c r="M83" s="51">
        <f t="shared" si="21"/>
        <v>0.39138849733044484</v>
      </c>
      <c r="O83" s="82"/>
      <c r="P83" s="133"/>
    </row>
    <row r="84" spans="1:16" ht="47.25" x14ac:dyDescent="0.25">
      <c r="A84" s="31" t="s">
        <v>188</v>
      </c>
      <c r="B84" s="37">
        <v>87878</v>
      </c>
      <c r="C84" s="31" t="s">
        <v>0</v>
      </c>
      <c r="D84" s="37" t="s">
        <v>189</v>
      </c>
      <c r="E84" s="31" t="s">
        <v>1</v>
      </c>
      <c r="F84" s="29">
        <v>303.084</v>
      </c>
      <c r="G84" s="29"/>
      <c r="H84" s="50">
        <f>G84+N84</f>
        <v>303.084</v>
      </c>
      <c r="I84" s="73">
        <v>3.36</v>
      </c>
      <c r="J84" s="46">
        <f>ROUND(F84*$I84,2)</f>
        <v>1018.36</v>
      </c>
      <c r="K84" s="49">
        <f t="shared" si="19"/>
        <v>0</v>
      </c>
      <c r="L84" s="50">
        <f t="shared" si="20"/>
        <v>1018.36</v>
      </c>
      <c r="M84" s="86">
        <f t="shared" si="21"/>
        <v>1</v>
      </c>
      <c r="N84" s="29">
        <v>303.084</v>
      </c>
      <c r="O84" s="29"/>
      <c r="P84" s="133"/>
    </row>
    <row r="85" spans="1:16" ht="63" x14ac:dyDescent="0.25">
      <c r="A85" s="31" t="s">
        <v>190</v>
      </c>
      <c r="B85" s="37">
        <v>87527</v>
      </c>
      <c r="C85" s="31" t="s">
        <v>0</v>
      </c>
      <c r="D85" s="37" t="s">
        <v>191</v>
      </c>
      <c r="E85" s="31" t="s">
        <v>79</v>
      </c>
      <c r="F85" s="29">
        <v>16.615500000000001</v>
      </c>
      <c r="G85" s="29"/>
      <c r="H85" s="50">
        <f>G85+N85</f>
        <v>16.615500000000001</v>
      </c>
      <c r="I85" s="73">
        <v>28.23</v>
      </c>
      <c r="J85" s="46">
        <f t="shared" ref="J85:J124" si="23">ROUND(F85*$I85,2)</f>
        <v>469.06</v>
      </c>
      <c r="K85" s="49">
        <f t="shared" si="19"/>
        <v>0</v>
      </c>
      <c r="L85" s="50">
        <f t="shared" si="20"/>
        <v>469.06</v>
      </c>
      <c r="M85" s="86">
        <f t="shared" si="21"/>
        <v>1</v>
      </c>
      <c r="N85" s="29">
        <v>16.615500000000001</v>
      </c>
      <c r="O85" s="29"/>
      <c r="P85" s="133"/>
    </row>
    <row r="86" spans="1:16" ht="63" x14ac:dyDescent="0.25">
      <c r="A86" s="31" t="s">
        <v>192</v>
      </c>
      <c r="B86" s="37">
        <v>87264</v>
      </c>
      <c r="C86" s="31" t="s">
        <v>0</v>
      </c>
      <c r="D86" s="37" t="s">
        <v>193</v>
      </c>
      <c r="E86" s="31" t="s">
        <v>79</v>
      </c>
      <c r="F86" s="29">
        <v>16.615500000000001</v>
      </c>
      <c r="G86" s="29"/>
      <c r="H86" s="50">
        <f>G86+N86</f>
        <v>0</v>
      </c>
      <c r="I86" s="73">
        <v>55.61</v>
      </c>
      <c r="J86" s="46">
        <f t="shared" si="23"/>
        <v>923.99</v>
      </c>
      <c r="K86" s="49">
        <f t="shared" si="19"/>
        <v>0</v>
      </c>
      <c r="L86" s="50">
        <f t="shared" si="20"/>
        <v>0</v>
      </c>
      <c r="M86" s="86">
        <f t="shared" si="21"/>
        <v>0</v>
      </c>
      <c r="O86" s="29"/>
      <c r="P86" s="133"/>
    </row>
    <row r="87" spans="1:16" ht="53.25" customHeight="1" x14ac:dyDescent="0.25">
      <c r="A87" s="31" t="s">
        <v>194</v>
      </c>
      <c r="B87" s="37">
        <v>87530</v>
      </c>
      <c r="C87" s="31" t="s">
        <v>0</v>
      </c>
      <c r="D87" s="37" t="s">
        <v>195</v>
      </c>
      <c r="E87" s="87" t="s">
        <v>79</v>
      </c>
      <c r="F87" s="38">
        <v>303.084</v>
      </c>
      <c r="G87" s="38"/>
      <c r="H87" s="50">
        <f>G87+N87</f>
        <v>100</v>
      </c>
      <c r="I87" s="88">
        <v>29.19</v>
      </c>
      <c r="J87" s="46">
        <f t="shared" si="23"/>
        <v>8847.02</v>
      </c>
      <c r="K87" s="49">
        <f t="shared" si="19"/>
        <v>0</v>
      </c>
      <c r="L87" s="50">
        <f t="shared" si="20"/>
        <v>2919</v>
      </c>
      <c r="M87" s="86">
        <f t="shared" si="21"/>
        <v>0.32994160745652207</v>
      </c>
      <c r="N87" s="1">
        <v>100</v>
      </c>
      <c r="O87" s="38"/>
      <c r="P87" s="133"/>
    </row>
    <row r="88" spans="1:16" x14ac:dyDescent="0.25">
      <c r="A88" s="20" t="s">
        <v>196</v>
      </c>
      <c r="B88" s="21"/>
      <c r="C88" s="21"/>
      <c r="D88" s="41" t="s">
        <v>40</v>
      </c>
      <c r="E88" s="22"/>
      <c r="F88" s="42"/>
      <c r="G88" s="82"/>
      <c r="H88" s="83"/>
      <c r="I88" s="84"/>
      <c r="J88" s="85">
        <f>SUM(J89:J91)</f>
        <v>5310.86</v>
      </c>
      <c r="K88" s="85">
        <f>SUM(K89:K91)</f>
        <v>0</v>
      </c>
      <c r="L88" s="85">
        <f>SUM(L89:L91)</f>
        <v>0</v>
      </c>
      <c r="M88" s="51">
        <f>L88/J88</f>
        <v>0</v>
      </c>
      <c r="O88" s="82"/>
      <c r="P88" s="133"/>
    </row>
    <row r="89" spans="1:16" ht="78.75" x14ac:dyDescent="0.25">
      <c r="A89" s="31" t="s">
        <v>197</v>
      </c>
      <c r="B89" s="37">
        <v>94439</v>
      </c>
      <c r="C89" s="31" t="s">
        <v>0</v>
      </c>
      <c r="D89" s="37" t="s">
        <v>198</v>
      </c>
      <c r="E89" s="31" t="s">
        <v>1</v>
      </c>
      <c r="F89" s="29">
        <v>55.68</v>
      </c>
      <c r="G89" s="29"/>
      <c r="H89" s="50">
        <f>G89+N89</f>
        <v>0</v>
      </c>
      <c r="I89" s="73">
        <v>38.31</v>
      </c>
      <c r="J89" s="46">
        <f t="shared" si="23"/>
        <v>2133.1</v>
      </c>
      <c r="K89" s="49">
        <f t="shared" si="19"/>
        <v>0</v>
      </c>
      <c r="L89" s="50">
        <f t="shared" si="20"/>
        <v>0</v>
      </c>
      <c r="M89" s="86">
        <f>L89/J89</f>
        <v>0</v>
      </c>
      <c r="O89" s="29"/>
      <c r="P89" s="133"/>
    </row>
    <row r="90" spans="1:16" ht="47.25" x14ac:dyDescent="0.25">
      <c r="A90" s="31" t="s">
        <v>199</v>
      </c>
      <c r="B90" s="37">
        <v>87246</v>
      </c>
      <c r="C90" s="31" t="s">
        <v>0</v>
      </c>
      <c r="D90" s="37" t="s">
        <v>78</v>
      </c>
      <c r="E90" s="31" t="s">
        <v>79</v>
      </c>
      <c r="F90" s="29">
        <v>55.68</v>
      </c>
      <c r="G90" s="29"/>
      <c r="H90" s="50">
        <f>G90+N90</f>
        <v>0</v>
      </c>
      <c r="I90" s="73">
        <v>52.13</v>
      </c>
      <c r="J90" s="46">
        <f t="shared" si="23"/>
        <v>2902.6</v>
      </c>
      <c r="K90" s="49">
        <f t="shared" si="19"/>
        <v>0</v>
      </c>
      <c r="L90" s="50">
        <f t="shared" si="20"/>
        <v>0</v>
      </c>
      <c r="M90" s="86">
        <f>L90/J90</f>
        <v>0</v>
      </c>
      <c r="O90" s="29"/>
      <c r="P90" s="133"/>
    </row>
    <row r="91" spans="1:16" ht="53.25" customHeight="1" x14ac:dyDescent="0.25">
      <c r="A91" s="31" t="s">
        <v>200</v>
      </c>
      <c r="B91" s="37">
        <v>96467</v>
      </c>
      <c r="C91" s="31" t="s">
        <v>0</v>
      </c>
      <c r="D91" s="37" t="s">
        <v>201</v>
      </c>
      <c r="E91" s="87" t="s">
        <v>42</v>
      </c>
      <c r="F91" s="38">
        <v>49.49</v>
      </c>
      <c r="G91" s="38"/>
      <c r="H91" s="50">
        <f>G91+N91</f>
        <v>0</v>
      </c>
      <c r="I91" s="88">
        <v>5.56</v>
      </c>
      <c r="J91" s="46">
        <f t="shared" si="23"/>
        <v>275.16000000000003</v>
      </c>
      <c r="K91" s="49">
        <f t="shared" si="19"/>
        <v>0</v>
      </c>
      <c r="L91" s="50">
        <f t="shared" si="20"/>
        <v>0</v>
      </c>
      <c r="M91" s="86">
        <f>L91/J91</f>
        <v>0</v>
      </c>
      <c r="O91" s="38"/>
      <c r="P91" s="133"/>
    </row>
    <row r="92" spans="1:16" x14ac:dyDescent="0.25">
      <c r="A92" s="20" t="s">
        <v>202</v>
      </c>
      <c r="B92" s="21"/>
      <c r="C92" s="21"/>
      <c r="D92" s="41" t="s">
        <v>203</v>
      </c>
      <c r="E92" s="22"/>
      <c r="F92" s="42"/>
      <c r="G92" s="82"/>
      <c r="H92" s="83"/>
      <c r="I92" s="84"/>
      <c r="J92" s="85">
        <f>SUM(J93:J111)</f>
        <v>1348.5899999999997</v>
      </c>
      <c r="K92" s="85">
        <f>SUM(K93:K111)</f>
        <v>0</v>
      </c>
      <c r="L92" s="85">
        <f>SUM(L93:L111)</f>
        <v>1348.5899999999997</v>
      </c>
      <c r="M92" s="51">
        <f t="shared" ref="M92:M110" si="24">L92/J92</f>
        <v>1</v>
      </c>
      <c r="O92" s="82"/>
      <c r="P92" s="133"/>
    </row>
    <row r="93" spans="1:16" ht="31.5" x14ac:dyDescent="0.25">
      <c r="A93" s="31" t="s">
        <v>204</v>
      </c>
      <c r="B93" s="37">
        <v>89401</v>
      </c>
      <c r="C93" s="31" t="s">
        <v>0</v>
      </c>
      <c r="D93" s="37" t="s">
        <v>205</v>
      </c>
      <c r="E93" s="31" t="s">
        <v>42</v>
      </c>
      <c r="F93" s="29">
        <v>3.45</v>
      </c>
      <c r="G93" s="29"/>
      <c r="H93" s="50">
        <f>G93+N93</f>
        <v>3.45</v>
      </c>
      <c r="I93" s="73">
        <v>5.66</v>
      </c>
      <c r="J93" s="46">
        <f t="shared" si="23"/>
        <v>19.53</v>
      </c>
      <c r="K93" s="49">
        <f t="shared" si="19"/>
        <v>0</v>
      </c>
      <c r="L93" s="50">
        <f t="shared" si="20"/>
        <v>19.53</v>
      </c>
      <c r="M93" s="86">
        <f t="shared" si="24"/>
        <v>1</v>
      </c>
      <c r="N93" s="29">
        <v>3.45</v>
      </c>
      <c r="O93" s="29"/>
      <c r="P93" s="133"/>
    </row>
    <row r="94" spans="1:16" ht="47.25" x14ac:dyDescent="0.25">
      <c r="A94" s="31" t="s">
        <v>206</v>
      </c>
      <c r="B94" s="37">
        <v>96637</v>
      </c>
      <c r="C94" s="31" t="s">
        <v>0</v>
      </c>
      <c r="D94" s="37" t="s">
        <v>207</v>
      </c>
      <c r="E94" s="31" t="s">
        <v>208</v>
      </c>
      <c r="F94" s="29">
        <v>3</v>
      </c>
      <c r="G94" s="29"/>
      <c r="H94" s="50">
        <f t="shared" ref="H94:H110" si="25">G94+N94</f>
        <v>3</v>
      </c>
      <c r="I94" s="73">
        <v>9.98</v>
      </c>
      <c r="J94" s="46">
        <f t="shared" si="23"/>
        <v>29.94</v>
      </c>
      <c r="K94" s="49">
        <f t="shared" si="19"/>
        <v>0</v>
      </c>
      <c r="L94" s="50">
        <f t="shared" si="20"/>
        <v>29.94</v>
      </c>
      <c r="M94" s="86">
        <f t="shared" si="24"/>
        <v>1</v>
      </c>
      <c r="N94" s="29">
        <v>3</v>
      </c>
      <c r="O94" s="29"/>
      <c r="P94" s="133"/>
    </row>
    <row r="95" spans="1:16" ht="63" x14ac:dyDescent="0.25">
      <c r="A95" s="31" t="s">
        <v>209</v>
      </c>
      <c r="B95" s="37">
        <v>89394</v>
      </c>
      <c r="C95" s="31" t="s">
        <v>0</v>
      </c>
      <c r="D95" s="37" t="s">
        <v>210</v>
      </c>
      <c r="E95" s="31" t="s">
        <v>208</v>
      </c>
      <c r="F95" s="29">
        <v>1</v>
      </c>
      <c r="G95" s="29"/>
      <c r="H95" s="50">
        <f t="shared" si="25"/>
        <v>1</v>
      </c>
      <c r="I95" s="73">
        <v>14.17</v>
      </c>
      <c r="J95" s="46">
        <f t="shared" si="23"/>
        <v>14.17</v>
      </c>
      <c r="K95" s="49">
        <f t="shared" si="19"/>
        <v>0</v>
      </c>
      <c r="L95" s="50">
        <f t="shared" si="20"/>
        <v>14.17</v>
      </c>
      <c r="M95" s="86">
        <f t="shared" si="24"/>
        <v>1</v>
      </c>
      <c r="N95" s="29">
        <v>1</v>
      </c>
      <c r="O95" s="29"/>
      <c r="P95" s="133"/>
    </row>
    <row r="96" spans="1:16" ht="47.25" x14ac:dyDescent="0.25">
      <c r="A96" s="31" t="s">
        <v>211</v>
      </c>
      <c r="B96" s="37">
        <v>89404</v>
      </c>
      <c r="C96" s="31" t="s">
        <v>0</v>
      </c>
      <c r="D96" s="37" t="s">
        <v>212</v>
      </c>
      <c r="E96" s="31" t="s">
        <v>208</v>
      </c>
      <c r="F96" s="29">
        <v>1</v>
      </c>
      <c r="G96" s="29"/>
      <c r="H96" s="50">
        <f t="shared" si="25"/>
        <v>1</v>
      </c>
      <c r="I96" s="73">
        <v>3.45</v>
      </c>
      <c r="J96" s="46">
        <f t="shared" si="23"/>
        <v>3.45</v>
      </c>
      <c r="K96" s="49">
        <f t="shared" si="19"/>
        <v>0</v>
      </c>
      <c r="L96" s="50">
        <f t="shared" si="20"/>
        <v>3.45</v>
      </c>
      <c r="M96" s="86">
        <f t="shared" si="24"/>
        <v>1</v>
      </c>
      <c r="N96" s="29">
        <v>1</v>
      </c>
      <c r="O96" s="29"/>
      <c r="P96" s="133"/>
    </row>
    <row r="97" spans="1:16" ht="31.5" x14ac:dyDescent="0.25">
      <c r="A97" s="31" t="s">
        <v>213</v>
      </c>
      <c r="B97" s="37">
        <v>89714</v>
      </c>
      <c r="C97" s="31" t="s">
        <v>0</v>
      </c>
      <c r="D97" s="37" t="s">
        <v>214</v>
      </c>
      <c r="E97" s="31" t="s">
        <v>42</v>
      </c>
      <c r="F97" s="29">
        <v>6.93</v>
      </c>
      <c r="G97" s="29"/>
      <c r="H97" s="50">
        <f t="shared" si="25"/>
        <v>6.93</v>
      </c>
      <c r="I97" s="73">
        <v>38.43</v>
      </c>
      <c r="J97" s="46">
        <f t="shared" si="23"/>
        <v>266.32</v>
      </c>
      <c r="K97" s="49">
        <f t="shared" si="19"/>
        <v>0</v>
      </c>
      <c r="L97" s="50">
        <f t="shared" si="20"/>
        <v>266.32</v>
      </c>
      <c r="M97" s="86">
        <f t="shared" si="24"/>
        <v>1</v>
      </c>
      <c r="N97" s="29">
        <v>6.93</v>
      </c>
      <c r="O97" s="29"/>
      <c r="P97" s="133"/>
    </row>
    <row r="98" spans="1:16" ht="31.5" x14ac:dyDescent="0.25">
      <c r="A98" s="31" t="s">
        <v>215</v>
      </c>
      <c r="B98" s="37">
        <v>89712</v>
      </c>
      <c r="C98" s="31" t="s">
        <v>0</v>
      </c>
      <c r="D98" s="37" t="s">
        <v>216</v>
      </c>
      <c r="E98" s="31" t="s">
        <v>42</v>
      </c>
      <c r="F98" s="29">
        <v>2.1</v>
      </c>
      <c r="G98" s="29"/>
      <c r="H98" s="50">
        <f t="shared" si="25"/>
        <v>2.1</v>
      </c>
      <c r="I98" s="73">
        <v>19.88</v>
      </c>
      <c r="J98" s="46">
        <f t="shared" si="23"/>
        <v>41.75</v>
      </c>
      <c r="K98" s="49">
        <f t="shared" si="19"/>
        <v>0</v>
      </c>
      <c r="L98" s="50">
        <f t="shared" si="20"/>
        <v>41.75</v>
      </c>
      <c r="M98" s="86">
        <f t="shared" si="24"/>
        <v>1</v>
      </c>
      <c r="N98" s="29">
        <v>2.1</v>
      </c>
      <c r="O98" s="29"/>
      <c r="P98" s="133"/>
    </row>
    <row r="99" spans="1:16" ht="31.5" x14ac:dyDescent="0.25">
      <c r="A99" s="31" t="s">
        <v>217</v>
      </c>
      <c r="B99" s="37">
        <v>89711</v>
      </c>
      <c r="C99" s="31" t="s">
        <v>0</v>
      </c>
      <c r="D99" s="37" t="s">
        <v>218</v>
      </c>
      <c r="E99" s="31" t="s">
        <v>42</v>
      </c>
      <c r="F99" s="29">
        <v>3.84</v>
      </c>
      <c r="G99" s="29"/>
      <c r="H99" s="50">
        <f t="shared" si="25"/>
        <v>3.84</v>
      </c>
      <c r="I99" s="73">
        <v>13.66</v>
      </c>
      <c r="J99" s="46">
        <f t="shared" si="23"/>
        <v>52.45</v>
      </c>
      <c r="K99" s="49">
        <f t="shared" si="19"/>
        <v>0</v>
      </c>
      <c r="L99" s="50">
        <f t="shared" si="20"/>
        <v>52.45</v>
      </c>
      <c r="M99" s="86">
        <f t="shared" si="24"/>
        <v>1</v>
      </c>
      <c r="N99" s="29">
        <v>3.84</v>
      </c>
      <c r="O99" s="29"/>
      <c r="P99" s="133"/>
    </row>
    <row r="100" spans="1:16" x14ac:dyDescent="0.25">
      <c r="A100" s="31" t="s">
        <v>219</v>
      </c>
      <c r="B100" s="37">
        <v>89495</v>
      </c>
      <c r="C100" s="31" t="s">
        <v>0</v>
      </c>
      <c r="D100" s="37" t="s">
        <v>220</v>
      </c>
      <c r="E100" s="31" t="s">
        <v>208</v>
      </c>
      <c r="F100" s="29">
        <v>2</v>
      </c>
      <c r="G100" s="29"/>
      <c r="H100" s="50">
        <f t="shared" si="25"/>
        <v>2</v>
      </c>
      <c r="I100" s="73">
        <v>6.43</v>
      </c>
      <c r="J100" s="46">
        <f t="shared" si="23"/>
        <v>12.86</v>
      </c>
      <c r="K100" s="49">
        <f t="shared" si="19"/>
        <v>0</v>
      </c>
      <c r="L100" s="50">
        <f t="shared" si="20"/>
        <v>12.86</v>
      </c>
      <c r="M100" s="86">
        <f t="shared" si="24"/>
        <v>1</v>
      </c>
      <c r="N100" s="29">
        <v>2</v>
      </c>
      <c r="O100" s="29"/>
      <c r="P100" s="133"/>
    </row>
    <row r="101" spans="1:16" ht="47.25" x14ac:dyDescent="0.25">
      <c r="A101" s="31" t="s">
        <v>221</v>
      </c>
      <c r="B101" s="37">
        <v>89778</v>
      </c>
      <c r="C101" s="31" t="s">
        <v>0</v>
      </c>
      <c r="D101" s="37" t="s">
        <v>222</v>
      </c>
      <c r="E101" s="31" t="s">
        <v>208</v>
      </c>
      <c r="F101" s="29">
        <v>8</v>
      </c>
      <c r="G101" s="29"/>
      <c r="H101" s="50">
        <f t="shared" si="25"/>
        <v>8</v>
      </c>
      <c r="I101" s="73">
        <v>12.65</v>
      </c>
      <c r="J101" s="46">
        <f t="shared" si="23"/>
        <v>101.2</v>
      </c>
      <c r="K101" s="49">
        <f t="shared" si="19"/>
        <v>0</v>
      </c>
      <c r="L101" s="50">
        <f t="shared" si="20"/>
        <v>101.2</v>
      </c>
      <c r="M101" s="86">
        <f t="shared" si="24"/>
        <v>1</v>
      </c>
      <c r="N101" s="29">
        <v>8</v>
      </c>
      <c r="O101" s="29"/>
      <c r="P101" s="133"/>
    </row>
    <row r="102" spans="1:16" ht="47.25" x14ac:dyDescent="0.25">
      <c r="A102" s="31" t="s">
        <v>223</v>
      </c>
      <c r="B102" s="37">
        <v>89813</v>
      </c>
      <c r="C102" s="31" t="s">
        <v>0</v>
      </c>
      <c r="D102" s="37" t="s">
        <v>224</v>
      </c>
      <c r="E102" s="31" t="s">
        <v>208</v>
      </c>
      <c r="F102" s="29">
        <v>2</v>
      </c>
      <c r="G102" s="29"/>
      <c r="H102" s="50">
        <f t="shared" si="25"/>
        <v>2</v>
      </c>
      <c r="I102" s="73">
        <v>4.4000000000000004</v>
      </c>
      <c r="J102" s="46">
        <f t="shared" si="23"/>
        <v>8.8000000000000007</v>
      </c>
      <c r="K102" s="49">
        <f t="shared" si="19"/>
        <v>0</v>
      </c>
      <c r="L102" s="50">
        <f t="shared" si="20"/>
        <v>8.8000000000000007</v>
      </c>
      <c r="M102" s="86">
        <f t="shared" si="24"/>
        <v>1</v>
      </c>
      <c r="N102" s="29">
        <v>2</v>
      </c>
      <c r="O102" s="29"/>
      <c r="P102" s="133"/>
    </row>
    <row r="103" spans="1:16" ht="47.25" x14ac:dyDescent="0.25">
      <c r="A103" s="31" t="s">
        <v>225</v>
      </c>
      <c r="B103" s="37" t="s">
        <v>226</v>
      </c>
      <c r="C103" s="31" t="s">
        <v>0</v>
      </c>
      <c r="D103" s="37" t="s">
        <v>227</v>
      </c>
      <c r="E103" s="31" t="s">
        <v>208</v>
      </c>
      <c r="F103" s="29">
        <v>4</v>
      </c>
      <c r="G103" s="29"/>
      <c r="H103" s="50">
        <f t="shared" si="25"/>
        <v>4</v>
      </c>
      <c r="I103" s="73">
        <v>4.09</v>
      </c>
      <c r="J103" s="46">
        <f t="shared" si="23"/>
        <v>16.36</v>
      </c>
      <c r="K103" s="49">
        <f t="shared" si="19"/>
        <v>0</v>
      </c>
      <c r="L103" s="50">
        <f t="shared" si="20"/>
        <v>16.36</v>
      </c>
      <c r="M103" s="86">
        <f t="shared" si="24"/>
        <v>1</v>
      </c>
      <c r="N103" s="29">
        <v>4</v>
      </c>
      <c r="O103" s="29"/>
      <c r="P103" s="133"/>
    </row>
    <row r="104" spans="1:16" ht="47.25" x14ac:dyDescent="0.25">
      <c r="A104" s="31" t="s">
        <v>228</v>
      </c>
      <c r="B104" s="37">
        <v>89802</v>
      </c>
      <c r="C104" s="31" t="s">
        <v>0</v>
      </c>
      <c r="D104" s="37" t="s">
        <v>229</v>
      </c>
      <c r="E104" s="31" t="s">
        <v>208</v>
      </c>
      <c r="F104" s="29">
        <v>2</v>
      </c>
      <c r="G104" s="29"/>
      <c r="H104" s="50">
        <f t="shared" si="25"/>
        <v>2</v>
      </c>
      <c r="I104" s="73">
        <v>4.9000000000000004</v>
      </c>
      <c r="J104" s="46">
        <f t="shared" si="23"/>
        <v>9.8000000000000007</v>
      </c>
      <c r="K104" s="49">
        <f t="shared" si="19"/>
        <v>0</v>
      </c>
      <c r="L104" s="50">
        <f t="shared" si="20"/>
        <v>9.8000000000000007</v>
      </c>
      <c r="M104" s="86">
        <f t="shared" si="24"/>
        <v>1</v>
      </c>
      <c r="N104" s="29">
        <v>2</v>
      </c>
      <c r="O104" s="29"/>
      <c r="P104" s="133"/>
    </row>
    <row r="105" spans="1:16" ht="47.25" x14ac:dyDescent="0.25">
      <c r="A105" s="31" t="s">
        <v>230</v>
      </c>
      <c r="B105" s="37" t="s">
        <v>226</v>
      </c>
      <c r="C105" s="31" t="s">
        <v>0</v>
      </c>
      <c r="D105" s="37" t="s">
        <v>231</v>
      </c>
      <c r="E105" s="31" t="s">
        <v>208</v>
      </c>
      <c r="F105" s="29">
        <v>4</v>
      </c>
      <c r="G105" s="29"/>
      <c r="H105" s="50">
        <f t="shared" si="25"/>
        <v>4</v>
      </c>
      <c r="I105" s="73">
        <v>4.26</v>
      </c>
      <c r="J105" s="46">
        <f t="shared" si="23"/>
        <v>17.04</v>
      </c>
      <c r="K105" s="49">
        <f t="shared" si="19"/>
        <v>0</v>
      </c>
      <c r="L105" s="50">
        <f t="shared" si="20"/>
        <v>17.04</v>
      </c>
      <c r="M105" s="86">
        <f t="shared" si="24"/>
        <v>1</v>
      </c>
      <c r="N105" s="29">
        <v>4</v>
      </c>
      <c r="O105" s="29"/>
      <c r="P105" s="133"/>
    </row>
    <row r="106" spans="1:16" ht="47.25" x14ac:dyDescent="0.25">
      <c r="A106" s="31" t="s">
        <v>232</v>
      </c>
      <c r="B106" s="37">
        <v>89834</v>
      </c>
      <c r="C106" s="31" t="s">
        <v>0</v>
      </c>
      <c r="D106" s="37" t="s">
        <v>233</v>
      </c>
      <c r="E106" s="31" t="s">
        <v>208</v>
      </c>
      <c r="F106" s="29">
        <v>2</v>
      </c>
      <c r="G106" s="29"/>
      <c r="H106" s="50">
        <f t="shared" si="25"/>
        <v>2</v>
      </c>
      <c r="I106" s="73">
        <v>25.07</v>
      </c>
      <c r="J106" s="46">
        <f t="shared" si="23"/>
        <v>50.14</v>
      </c>
      <c r="K106" s="49">
        <f t="shared" si="19"/>
        <v>0</v>
      </c>
      <c r="L106" s="50">
        <f t="shared" si="20"/>
        <v>50.14</v>
      </c>
      <c r="M106" s="86">
        <f t="shared" si="24"/>
        <v>1</v>
      </c>
      <c r="N106" s="29">
        <v>2</v>
      </c>
      <c r="O106" s="29"/>
      <c r="P106" s="133"/>
    </row>
    <row r="107" spans="1:16" ht="47.25" x14ac:dyDescent="0.25">
      <c r="A107" s="31" t="s">
        <v>234</v>
      </c>
      <c r="B107" s="37" t="s">
        <v>226</v>
      </c>
      <c r="C107" s="31" t="s">
        <v>0</v>
      </c>
      <c r="D107" s="37" t="s">
        <v>235</v>
      </c>
      <c r="E107" s="31" t="s">
        <v>208</v>
      </c>
      <c r="F107" s="29">
        <v>2</v>
      </c>
      <c r="G107" s="29"/>
      <c r="H107" s="50">
        <f t="shared" si="25"/>
        <v>2</v>
      </c>
      <c r="I107" s="73">
        <v>30.72</v>
      </c>
      <c r="J107" s="46">
        <f t="shared" si="23"/>
        <v>61.44</v>
      </c>
      <c r="K107" s="49">
        <f t="shared" si="19"/>
        <v>0</v>
      </c>
      <c r="L107" s="50">
        <f t="shared" si="20"/>
        <v>61.44</v>
      </c>
      <c r="M107" s="86">
        <f t="shared" si="24"/>
        <v>1</v>
      </c>
      <c r="N107" s="29">
        <v>2</v>
      </c>
      <c r="O107" s="29"/>
      <c r="P107" s="133"/>
    </row>
    <row r="108" spans="1:16" ht="47.25" x14ac:dyDescent="0.25">
      <c r="A108" s="31" t="s">
        <v>236</v>
      </c>
      <c r="B108" s="37" t="s">
        <v>226</v>
      </c>
      <c r="C108" s="31" t="s">
        <v>0</v>
      </c>
      <c r="D108" s="37" t="s">
        <v>237</v>
      </c>
      <c r="E108" s="31" t="s">
        <v>208</v>
      </c>
      <c r="F108" s="29">
        <v>2</v>
      </c>
      <c r="G108" s="29"/>
      <c r="H108" s="50">
        <f t="shared" si="25"/>
        <v>2</v>
      </c>
      <c r="I108" s="73">
        <v>17.079999999999998</v>
      </c>
      <c r="J108" s="46">
        <f t="shared" si="23"/>
        <v>34.159999999999997</v>
      </c>
      <c r="K108" s="49">
        <f t="shared" si="19"/>
        <v>0</v>
      </c>
      <c r="L108" s="50">
        <f t="shared" si="20"/>
        <v>34.159999999999997</v>
      </c>
      <c r="M108" s="86">
        <f t="shared" si="24"/>
        <v>1</v>
      </c>
      <c r="N108" s="29">
        <v>2</v>
      </c>
      <c r="O108" s="29"/>
      <c r="P108" s="133"/>
    </row>
    <row r="109" spans="1:16" x14ac:dyDescent="0.25">
      <c r="A109" s="31" t="s">
        <v>238</v>
      </c>
      <c r="B109" s="37" t="s">
        <v>239</v>
      </c>
      <c r="C109" s="31" t="s">
        <v>0</v>
      </c>
      <c r="D109" s="37" t="s">
        <v>240</v>
      </c>
      <c r="E109" s="31" t="s">
        <v>208</v>
      </c>
      <c r="F109" s="29">
        <v>1</v>
      </c>
      <c r="G109" s="29"/>
      <c r="H109" s="50">
        <f t="shared" si="25"/>
        <v>1</v>
      </c>
      <c r="I109" s="73">
        <v>4.3899999999999997</v>
      </c>
      <c r="J109" s="46">
        <f t="shared" si="23"/>
        <v>4.3899999999999997</v>
      </c>
      <c r="K109" s="49">
        <f t="shared" si="19"/>
        <v>0</v>
      </c>
      <c r="L109" s="50">
        <f t="shared" si="20"/>
        <v>4.3899999999999997</v>
      </c>
      <c r="M109" s="86">
        <f t="shared" si="24"/>
        <v>1</v>
      </c>
      <c r="N109" s="29">
        <v>1</v>
      </c>
      <c r="O109" s="29"/>
      <c r="P109" s="133"/>
    </row>
    <row r="110" spans="1:16" ht="47.25" x14ac:dyDescent="0.25">
      <c r="A110" s="31" t="s">
        <v>241</v>
      </c>
      <c r="B110" s="37">
        <v>86888</v>
      </c>
      <c r="C110" s="31" t="s">
        <v>0</v>
      </c>
      <c r="D110" s="37" t="s">
        <v>242</v>
      </c>
      <c r="E110" s="31" t="s">
        <v>208</v>
      </c>
      <c r="F110" s="29">
        <v>1</v>
      </c>
      <c r="G110" s="29"/>
      <c r="H110" s="50">
        <f t="shared" si="25"/>
        <v>1</v>
      </c>
      <c r="I110" s="73">
        <v>413.34</v>
      </c>
      <c r="J110" s="46">
        <f t="shared" si="23"/>
        <v>413.34</v>
      </c>
      <c r="K110" s="49">
        <f t="shared" si="19"/>
        <v>0</v>
      </c>
      <c r="L110" s="50">
        <f t="shared" si="20"/>
        <v>413.34</v>
      </c>
      <c r="M110" s="86">
        <f t="shared" si="24"/>
        <v>1</v>
      </c>
      <c r="N110" s="29">
        <v>1</v>
      </c>
      <c r="O110" s="29"/>
      <c r="P110" s="133"/>
    </row>
    <row r="111" spans="1:16" ht="78.75" x14ac:dyDescent="0.25">
      <c r="A111" s="31" t="s">
        <v>243</v>
      </c>
      <c r="B111" s="37">
        <v>86943</v>
      </c>
      <c r="C111" s="31" t="s">
        <v>0</v>
      </c>
      <c r="D111" s="37" t="s">
        <v>103</v>
      </c>
      <c r="E111" s="87" t="s">
        <v>50</v>
      </c>
      <c r="F111" s="38">
        <v>1</v>
      </c>
      <c r="G111" s="38"/>
      <c r="H111" s="50">
        <f>G111+N111</f>
        <v>1</v>
      </c>
      <c r="I111" s="88">
        <v>191.45</v>
      </c>
      <c r="J111" s="46">
        <f t="shared" si="23"/>
        <v>191.45</v>
      </c>
      <c r="K111" s="49">
        <f t="shared" si="19"/>
        <v>0</v>
      </c>
      <c r="L111" s="50">
        <f t="shared" si="20"/>
        <v>191.45</v>
      </c>
      <c r="M111" s="86">
        <f>L111/J111</f>
        <v>1</v>
      </c>
      <c r="N111" s="38">
        <v>1</v>
      </c>
      <c r="O111" s="38"/>
      <c r="P111" s="133"/>
    </row>
    <row r="112" spans="1:16" x14ac:dyDescent="0.25">
      <c r="A112" s="20" t="s">
        <v>244</v>
      </c>
      <c r="B112" s="21"/>
      <c r="C112" s="21"/>
      <c r="D112" s="41" t="s">
        <v>245</v>
      </c>
      <c r="E112" s="22"/>
      <c r="F112" s="42"/>
      <c r="G112" s="82"/>
      <c r="H112" s="83"/>
      <c r="I112" s="84"/>
      <c r="J112" s="85">
        <f>SUM(J113:J116)</f>
        <v>3448.64</v>
      </c>
      <c r="K112" s="85">
        <f>SUM(K113:K116)</f>
        <v>0</v>
      </c>
      <c r="L112" s="85">
        <f>SUM(L113:L116)</f>
        <v>0</v>
      </c>
      <c r="M112" s="51">
        <f>L112/J112</f>
        <v>0</v>
      </c>
      <c r="O112" s="82"/>
      <c r="P112" s="133"/>
    </row>
    <row r="113" spans="1:16" ht="47.25" x14ac:dyDescent="0.25">
      <c r="A113" s="31" t="s">
        <v>246</v>
      </c>
      <c r="B113" s="37">
        <v>93128</v>
      </c>
      <c r="C113" s="31" t="s">
        <v>0</v>
      </c>
      <c r="D113" s="37" t="s">
        <v>247</v>
      </c>
      <c r="E113" s="31" t="s">
        <v>208</v>
      </c>
      <c r="F113" s="29">
        <v>9</v>
      </c>
      <c r="G113" s="29"/>
      <c r="H113" s="50">
        <f>G113+N113</f>
        <v>0</v>
      </c>
      <c r="I113" s="73">
        <v>103.17</v>
      </c>
      <c r="J113" s="46">
        <f t="shared" si="23"/>
        <v>928.53</v>
      </c>
      <c r="K113" s="49">
        <f t="shared" si="19"/>
        <v>0</v>
      </c>
      <c r="L113" s="50">
        <f t="shared" si="20"/>
        <v>0</v>
      </c>
      <c r="M113" s="86">
        <f>L113/J113</f>
        <v>0</v>
      </c>
      <c r="O113" s="29"/>
      <c r="P113" s="133"/>
    </row>
    <row r="114" spans="1:16" ht="47.25" x14ac:dyDescent="0.25">
      <c r="A114" s="31" t="s">
        <v>248</v>
      </c>
      <c r="B114" s="37">
        <v>93141</v>
      </c>
      <c r="C114" s="31" t="s">
        <v>0</v>
      </c>
      <c r="D114" s="37" t="s">
        <v>249</v>
      </c>
      <c r="E114" s="31" t="s">
        <v>208</v>
      </c>
      <c r="F114" s="29">
        <v>8</v>
      </c>
      <c r="G114" s="29"/>
      <c r="H114" s="50">
        <f>G114+N114</f>
        <v>0</v>
      </c>
      <c r="I114" s="73">
        <v>125.57</v>
      </c>
      <c r="J114" s="46">
        <f t="shared" si="23"/>
        <v>1004.56</v>
      </c>
      <c r="K114" s="49">
        <f t="shared" si="19"/>
        <v>0</v>
      </c>
      <c r="L114" s="50">
        <f t="shared" si="20"/>
        <v>0</v>
      </c>
      <c r="M114" s="86">
        <f>L114/J114</f>
        <v>0</v>
      </c>
      <c r="O114" s="29"/>
      <c r="P114" s="133"/>
    </row>
    <row r="115" spans="1:16" ht="47.25" x14ac:dyDescent="0.25">
      <c r="A115" s="31" t="s">
        <v>250</v>
      </c>
      <c r="B115" s="37">
        <v>93142</v>
      </c>
      <c r="C115" s="31" t="s">
        <v>0</v>
      </c>
      <c r="D115" s="37" t="s">
        <v>251</v>
      </c>
      <c r="E115" s="31" t="s">
        <v>208</v>
      </c>
      <c r="F115" s="29">
        <v>4</v>
      </c>
      <c r="G115" s="29"/>
      <c r="H115" s="50">
        <f>G115+N115</f>
        <v>0</v>
      </c>
      <c r="I115" s="73">
        <v>139.78</v>
      </c>
      <c r="J115" s="46">
        <f t="shared" si="23"/>
        <v>559.12</v>
      </c>
      <c r="K115" s="49">
        <f t="shared" si="19"/>
        <v>0</v>
      </c>
      <c r="L115" s="50">
        <f t="shared" si="20"/>
        <v>0</v>
      </c>
      <c r="M115" s="86">
        <f>L115/J115</f>
        <v>0</v>
      </c>
      <c r="O115" s="29"/>
      <c r="P115" s="133"/>
    </row>
    <row r="116" spans="1:16" ht="53.25" customHeight="1" x14ac:dyDescent="0.25">
      <c r="A116" s="31" t="s">
        <v>252</v>
      </c>
      <c r="B116" s="37"/>
      <c r="C116" s="31" t="s">
        <v>52</v>
      </c>
      <c r="D116" s="37" t="s">
        <v>253</v>
      </c>
      <c r="E116" s="87" t="s">
        <v>208</v>
      </c>
      <c r="F116" s="38">
        <v>9</v>
      </c>
      <c r="G116" s="38"/>
      <c r="H116" s="50">
        <f>G116+N116</f>
        <v>0</v>
      </c>
      <c r="I116" s="88">
        <v>106.27</v>
      </c>
      <c r="J116" s="46">
        <f t="shared" si="23"/>
        <v>956.43</v>
      </c>
      <c r="K116" s="49">
        <f t="shared" si="19"/>
        <v>0</v>
      </c>
      <c r="L116" s="50">
        <f t="shared" si="20"/>
        <v>0</v>
      </c>
      <c r="M116" s="86">
        <f t="shared" ref="M116:M121" si="26">L116/J116</f>
        <v>0</v>
      </c>
      <c r="O116" s="38"/>
      <c r="P116" s="133"/>
    </row>
    <row r="117" spans="1:16" x14ac:dyDescent="0.25">
      <c r="A117" s="20" t="s">
        <v>254</v>
      </c>
      <c r="B117" s="21"/>
      <c r="C117" s="21"/>
      <c r="D117" s="41" t="s">
        <v>255</v>
      </c>
      <c r="E117" s="22"/>
      <c r="F117" s="42"/>
      <c r="G117" s="82"/>
      <c r="H117" s="83"/>
      <c r="I117" s="84"/>
      <c r="J117" s="138">
        <f>SUM(J118:J122)</f>
        <v>8319.3100000000013</v>
      </c>
      <c r="K117" s="138">
        <f>SUM(K118:K122)</f>
        <v>0</v>
      </c>
      <c r="L117" s="138">
        <f>SUM(L118:L122)</f>
        <v>0</v>
      </c>
      <c r="M117" s="51">
        <f t="shared" si="26"/>
        <v>0</v>
      </c>
      <c r="O117" s="82"/>
      <c r="P117" s="133"/>
    </row>
    <row r="118" spans="1:16" ht="31.5" x14ac:dyDescent="0.25">
      <c r="A118" s="31" t="s">
        <v>256</v>
      </c>
      <c r="B118" s="37" t="s">
        <v>93</v>
      </c>
      <c r="C118" s="31" t="s">
        <v>0</v>
      </c>
      <c r="D118" s="37" t="s">
        <v>257</v>
      </c>
      <c r="E118" s="31" t="s">
        <v>1</v>
      </c>
      <c r="F118" s="29">
        <v>5.0400000000000009</v>
      </c>
      <c r="G118" s="29"/>
      <c r="H118" s="50">
        <f>G118+N118</f>
        <v>0</v>
      </c>
      <c r="I118" s="73">
        <v>15.84</v>
      </c>
      <c r="J118" s="46">
        <f t="shared" si="23"/>
        <v>79.83</v>
      </c>
      <c r="K118" s="49">
        <f t="shared" si="19"/>
        <v>0</v>
      </c>
      <c r="L118" s="50">
        <f t="shared" si="20"/>
        <v>0</v>
      </c>
      <c r="M118" s="86">
        <f t="shared" si="26"/>
        <v>0</v>
      </c>
      <c r="O118" s="29"/>
      <c r="P118" s="133"/>
    </row>
    <row r="119" spans="1:16" ht="31.5" x14ac:dyDescent="0.25">
      <c r="A119" s="31" t="s">
        <v>258</v>
      </c>
      <c r="B119" s="37" t="s">
        <v>96</v>
      </c>
      <c r="C119" s="31" t="s">
        <v>0</v>
      </c>
      <c r="D119" s="37" t="s">
        <v>97</v>
      </c>
      <c r="E119" s="31" t="s">
        <v>1</v>
      </c>
      <c r="F119" s="29">
        <v>4.1999999999999993</v>
      </c>
      <c r="G119" s="29"/>
      <c r="H119" s="50">
        <f>G119+N119</f>
        <v>0</v>
      </c>
      <c r="I119" s="73">
        <v>24.21</v>
      </c>
      <c r="J119" s="46">
        <f t="shared" si="23"/>
        <v>101.68</v>
      </c>
      <c r="K119" s="49">
        <f t="shared" si="19"/>
        <v>0</v>
      </c>
      <c r="L119" s="50">
        <f t="shared" si="20"/>
        <v>0</v>
      </c>
      <c r="M119" s="86">
        <f t="shared" si="26"/>
        <v>0</v>
      </c>
      <c r="O119" s="29"/>
      <c r="P119" s="133"/>
    </row>
    <row r="120" spans="1:16" ht="31.5" x14ac:dyDescent="0.25">
      <c r="A120" s="31" t="s">
        <v>259</v>
      </c>
      <c r="B120" s="37">
        <v>88497</v>
      </c>
      <c r="C120" s="31" t="s">
        <v>0</v>
      </c>
      <c r="D120" s="37" t="s">
        <v>68</v>
      </c>
      <c r="E120" s="31" t="s">
        <v>1</v>
      </c>
      <c r="F120" s="29">
        <v>303.084</v>
      </c>
      <c r="G120" s="29"/>
      <c r="H120" s="50">
        <f>G120+N120</f>
        <v>0</v>
      </c>
      <c r="I120" s="73">
        <v>11.44</v>
      </c>
      <c r="J120" s="46">
        <f t="shared" si="23"/>
        <v>3467.28</v>
      </c>
      <c r="K120" s="49">
        <f t="shared" si="19"/>
        <v>0</v>
      </c>
      <c r="L120" s="50">
        <f t="shared" si="20"/>
        <v>0</v>
      </c>
      <c r="M120" s="86">
        <f t="shared" si="26"/>
        <v>0</v>
      </c>
      <c r="O120" s="29"/>
      <c r="P120" s="133"/>
    </row>
    <row r="121" spans="1:16" ht="31.5" x14ac:dyDescent="0.25">
      <c r="A121" s="31" t="s">
        <v>260</v>
      </c>
      <c r="B121" s="37">
        <v>88485</v>
      </c>
      <c r="C121" s="31" t="s">
        <v>0</v>
      </c>
      <c r="D121" s="37" t="s">
        <v>70</v>
      </c>
      <c r="E121" s="31" t="s">
        <v>1</v>
      </c>
      <c r="F121" s="29">
        <v>303.084</v>
      </c>
      <c r="G121" s="29"/>
      <c r="H121" s="50">
        <f>G121+N121</f>
        <v>0</v>
      </c>
      <c r="I121" s="73">
        <v>2.0299999999999998</v>
      </c>
      <c r="J121" s="46">
        <f t="shared" si="23"/>
        <v>615.26</v>
      </c>
      <c r="K121" s="49">
        <f t="shared" si="19"/>
        <v>0</v>
      </c>
      <c r="L121" s="50">
        <f t="shared" si="20"/>
        <v>0</v>
      </c>
      <c r="M121" s="86">
        <f t="shared" si="26"/>
        <v>0</v>
      </c>
      <c r="O121" s="29"/>
      <c r="P121" s="133"/>
    </row>
    <row r="122" spans="1:16" ht="53.25" customHeight="1" x14ac:dyDescent="0.25">
      <c r="A122" s="31" t="s">
        <v>261</v>
      </c>
      <c r="B122" s="37">
        <v>88489</v>
      </c>
      <c r="C122" s="31" t="s">
        <v>0</v>
      </c>
      <c r="D122" s="37" t="s">
        <v>72</v>
      </c>
      <c r="E122" s="87" t="s">
        <v>1</v>
      </c>
      <c r="F122" s="38">
        <v>303.084</v>
      </c>
      <c r="G122" s="38"/>
      <c r="H122" s="50">
        <f>G122+N122</f>
        <v>0</v>
      </c>
      <c r="I122" s="88">
        <v>13.38</v>
      </c>
      <c r="J122" s="46">
        <f t="shared" si="23"/>
        <v>4055.26</v>
      </c>
      <c r="K122" s="49">
        <f t="shared" si="19"/>
        <v>0</v>
      </c>
      <c r="L122" s="50">
        <f t="shared" si="20"/>
        <v>0</v>
      </c>
      <c r="M122" s="86">
        <f t="shared" ref="M122:M126" si="27">L122/J122</f>
        <v>0</v>
      </c>
      <c r="O122" s="38"/>
      <c r="P122" s="133"/>
    </row>
    <row r="123" spans="1:16" x14ac:dyDescent="0.25">
      <c r="A123" s="20" t="s">
        <v>262</v>
      </c>
      <c r="B123" s="21"/>
      <c r="C123" s="21"/>
      <c r="D123" s="41" t="s">
        <v>263</v>
      </c>
      <c r="E123" s="22"/>
      <c r="F123" s="42"/>
      <c r="G123" s="82"/>
      <c r="H123" s="83"/>
      <c r="I123" s="84"/>
      <c r="J123" s="138">
        <f>SUM(J124:J137)</f>
        <v>75518.717024999991</v>
      </c>
      <c r="K123" s="138">
        <f>SUM(K124:K137)</f>
        <v>0</v>
      </c>
      <c r="L123" s="138">
        <f>SUM(L124:L137)</f>
        <v>0</v>
      </c>
      <c r="M123" s="51">
        <f t="shared" si="27"/>
        <v>0</v>
      </c>
      <c r="O123" s="82"/>
      <c r="P123" s="133"/>
    </row>
    <row r="124" spans="1:16" ht="31.5" x14ac:dyDescent="0.25">
      <c r="A124" s="31" t="s">
        <v>264</v>
      </c>
      <c r="B124" s="37">
        <v>94342</v>
      </c>
      <c r="C124" s="31" t="s">
        <v>0</v>
      </c>
      <c r="D124" s="37" t="s">
        <v>134</v>
      </c>
      <c r="E124" s="31" t="s">
        <v>58</v>
      </c>
      <c r="F124" s="29">
        <v>112.91999999999999</v>
      </c>
      <c r="G124" s="29"/>
      <c r="H124" s="50">
        <f>G124+N124</f>
        <v>0</v>
      </c>
      <c r="I124" s="73">
        <v>95.82</v>
      </c>
      <c r="J124" s="46">
        <f t="shared" si="23"/>
        <v>10819.99</v>
      </c>
      <c r="K124" s="49">
        <f t="shared" si="19"/>
        <v>0</v>
      </c>
      <c r="L124" s="50">
        <f t="shared" si="20"/>
        <v>0</v>
      </c>
      <c r="M124" s="86">
        <f t="shared" si="27"/>
        <v>0</v>
      </c>
      <c r="O124" s="29"/>
      <c r="P124" s="133"/>
    </row>
    <row r="125" spans="1:16" ht="47.25" x14ac:dyDescent="0.25">
      <c r="A125" s="31" t="s">
        <v>265</v>
      </c>
      <c r="B125" s="37">
        <v>94990</v>
      </c>
      <c r="C125" s="31" t="s">
        <v>0</v>
      </c>
      <c r="D125" s="37" t="s">
        <v>62</v>
      </c>
      <c r="E125" s="31" t="s">
        <v>58</v>
      </c>
      <c r="F125" s="29">
        <v>9.41</v>
      </c>
      <c r="G125" s="29"/>
      <c r="H125" s="50">
        <f t="shared" ref="H125:H132" si="28">G125+N125</f>
        <v>0</v>
      </c>
      <c r="I125" s="73">
        <v>573.96</v>
      </c>
      <c r="J125" s="46">
        <f t="shared" ref="J125:J126" si="29">ROUND(F125*$I125,2)</f>
        <v>5400.96</v>
      </c>
      <c r="K125" s="49">
        <f t="shared" ref="K125:K126" si="30">G125*$I125</f>
        <v>0</v>
      </c>
      <c r="L125" s="50">
        <f t="shared" ref="L125:L126" si="31">H125*$I125</f>
        <v>0</v>
      </c>
      <c r="M125" s="86">
        <f t="shared" si="27"/>
        <v>0</v>
      </c>
      <c r="O125" s="29"/>
      <c r="P125" s="133"/>
    </row>
    <row r="126" spans="1:16" ht="47.25" x14ac:dyDescent="0.25">
      <c r="A126" s="31" t="s">
        <v>266</v>
      </c>
      <c r="B126" s="37">
        <v>92402</v>
      </c>
      <c r="C126" s="31" t="s">
        <v>0</v>
      </c>
      <c r="D126" s="37" t="s">
        <v>267</v>
      </c>
      <c r="E126" s="31" t="s">
        <v>1</v>
      </c>
      <c r="F126" s="29">
        <v>84.73</v>
      </c>
      <c r="G126" s="29"/>
      <c r="H126" s="50">
        <f t="shared" si="28"/>
        <v>0</v>
      </c>
      <c r="I126" s="73">
        <v>53.47</v>
      </c>
      <c r="J126" s="46">
        <f t="shared" si="29"/>
        <v>4530.51</v>
      </c>
      <c r="K126" s="49">
        <f t="shared" si="30"/>
        <v>0</v>
      </c>
      <c r="L126" s="50">
        <f t="shared" si="31"/>
        <v>0</v>
      </c>
      <c r="M126" s="86">
        <f t="shared" si="27"/>
        <v>0</v>
      </c>
      <c r="O126" s="29"/>
      <c r="P126" s="133"/>
    </row>
    <row r="127" spans="1:16" ht="63" x14ac:dyDescent="0.25">
      <c r="A127" s="37" t="s">
        <v>387</v>
      </c>
      <c r="B127" s="37">
        <v>92542</v>
      </c>
      <c r="C127" s="31" t="s">
        <v>0</v>
      </c>
      <c r="D127" s="37" t="s">
        <v>88</v>
      </c>
      <c r="E127" s="31" t="s">
        <v>1</v>
      </c>
      <c r="F127" s="29">
        <v>188.2</v>
      </c>
      <c r="G127" s="29"/>
      <c r="H127" s="50">
        <v>0</v>
      </c>
      <c r="I127" s="73">
        <v>69.11</v>
      </c>
      <c r="J127" s="46">
        <v>0</v>
      </c>
      <c r="K127" s="49">
        <v>0</v>
      </c>
      <c r="L127" s="50">
        <v>0</v>
      </c>
      <c r="M127" s="86">
        <v>0</v>
      </c>
      <c r="O127" s="29"/>
      <c r="P127" s="133"/>
    </row>
    <row r="128" spans="1:16" ht="31.5" x14ac:dyDescent="0.25">
      <c r="A128" s="37" t="s">
        <v>388</v>
      </c>
      <c r="B128" s="37">
        <v>94204</v>
      </c>
      <c r="C128" s="31" t="s">
        <v>0</v>
      </c>
      <c r="D128" s="37" t="s">
        <v>161</v>
      </c>
      <c r="E128" s="31" t="s">
        <v>1</v>
      </c>
      <c r="F128" s="29">
        <v>188.2</v>
      </c>
      <c r="G128" s="29"/>
      <c r="H128" s="50">
        <f t="shared" si="28"/>
        <v>0</v>
      </c>
      <c r="I128" s="73">
        <v>32.4</v>
      </c>
      <c r="J128" s="46">
        <v>0</v>
      </c>
      <c r="K128" s="49">
        <v>0</v>
      </c>
      <c r="L128" s="50">
        <v>0</v>
      </c>
      <c r="M128" s="86">
        <v>0</v>
      </c>
      <c r="O128" s="29"/>
      <c r="P128" s="133"/>
    </row>
    <row r="129" spans="1:16" ht="63" x14ac:dyDescent="0.25">
      <c r="A129" s="37" t="s">
        <v>389</v>
      </c>
      <c r="B129" s="37">
        <v>92552</v>
      </c>
      <c r="C129" s="31" t="s">
        <v>0</v>
      </c>
      <c r="D129" s="37" t="s">
        <v>268</v>
      </c>
      <c r="E129" s="31" t="s">
        <v>50</v>
      </c>
      <c r="F129" s="29">
        <v>4</v>
      </c>
      <c r="G129" s="29"/>
      <c r="H129" s="50">
        <f t="shared" si="28"/>
        <v>0</v>
      </c>
      <c r="I129" s="73">
        <v>1679.44</v>
      </c>
      <c r="J129" s="46">
        <v>0</v>
      </c>
      <c r="K129" s="49">
        <v>0</v>
      </c>
      <c r="L129" s="50">
        <v>0</v>
      </c>
      <c r="M129" s="86">
        <v>0</v>
      </c>
      <c r="O129" s="29"/>
      <c r="P129" s="133"/>
    </row>
    <row r="130" spans="1:16" ht="31.5" x14ac:dyDescent="0.25">
      <c r="A130" s="37" t="s">
        <v>390</v>
      </c>
      <c r="B130" s="37">
        <v>93358</v>
      </c>
      <c r="C130" s="31" t="s">
        <v>0</v>
      </c>
      <c r="D130" s="37" t="s">
        <v>132</v>
      </c>
      <c r="E130" s="31" t="s">
        <v>58</v>
      </c>
      <c r="F130" s="29">
        <v>12.3345</v>
      </c>
      <c r="G130" s="29"/>
      <c r="H130" s="50">
        <f t="shared" si="28"/>
        <v>0</v>
      </c>
      <c r="I130" s="73">
        <v>61.25</v>
      </c>
      <c r="J130" s="46">
        <v>0</v>
      </c>
      <c r="K130" s="49">
        <v>0</v>
      </c>
      <c r="L130" s="50">
        <v>0</v>
      </c>
      <c r="M130" s="86">
        <v>0</v>
      </c>
      <c r="O130" s="29"/>
      <c r="P130" s="133"/>
    </row>
    <row r="131" spans="1:16" ht="47.25" x14ac:dyDescent="0.25">
      <c r="A131" s="37" t="s">
        <v>391</v>
      </c>
      <c r="B131" s="37">
        <v>94962</v>
      </c>
      <c r="C131" s="31" t="s">
        <v>0</v>
      </c>
      <c r="D131" s="37" t="s">
        <v>138</v>
      </c>
      <c r="E131" s="31" t="s">
        <v>139</v>
      </c>
      <c r="F131" s="29">
        <v>1.8819000000000001</v>
      </c>
      <c r="G131" s="29"/>
      <c r="H131" s="50">
        <f t="shared" si="28"/>
        <v>0</v>
      </c>
      <c r="I131" s="73">
        <v>273.17</v>
      </c>
      <c r="J131" s="46">
        <v>0</v>
      </c>
      <c r="K131" s="49">
        <v>0</v>
      </c>
      <c r="L131" s="50">
        <v>0</v>
      </c>
      <c r="M131" s="86">
        <v>0</v>
      </c>
      <c r="O131" s="29"/>
      <c r="P131" s="133"/>
    </row>
    <row r="132" spans="1:16" ht="31.5" x14ac:dyDescent="0.25">
      <c r="A132" s="37" t="s">
        <v>392</v>
      </c>
      <c r="B132" s="37">
        <v>92873</v>
      </c>
      <c r="C132" s="31" t="s">
        <v>0</v>
      </c>
      <c r="D132" s="37" t="s">
        <v>141</v>
      </c>
      <c r="E132" s="31" t="s">
        <v>139</v>
      </c>
      <c r="F132" s="29">
        <v>1.7469000000000001</v>
      </c>
      <c r="G132" s="29"/>
      <c r="H132" s="50">
        <f t="shared" si="28"/>
        <v>0</v>
      </c>
      <c r="I132" s="73">
        <v>158.53</v>
      </c>
      <c r="J132" s="46">
        <v>0</v>
      </c>
      <c r="K132" s="49">
        <v>0</v>
      </c>
      <c r="L132" s="50">
        <v>0</v>
      </c>
      <c r="M132" s="86">
        <v>0</v>
      </c>
      <c r="O132" s="29"/>
      <c r="P132" s="133"/>
    </row>
    <row r="133" spans="1:16" ht="53.25" customHeight="1" x14ac:dyDescent="0.25">
      <c r="A133" s="37" t="s">
        <v>393</v>
      </c>
      <c r="B133" s="37">
        <v>95955</v>
      </c>
      <c r="C133" s="31" t="s">
        <v>0</v>
      </c>
      <c r="D133" s="37" t="s">
        <v>145</v>
      </c>
      <c r="E133" s="87" t="s">
        <v>58</v>
      </c>
      <c r="F133" s="38">
        <v>13.880700000000001</v>
      </c>
      <c r="G133" s="38"/>
      <c r="H133" s="50">
        <f>G133+N133</f>
        <v>0</v>
      </c>
      <c r="I133" s="88">
        <v>2242.15</v>
      </c>
      <c r="J133" s="46">
        <v>0</v>
      </c>
      <c r="K133" s="49">
        <v>0</v>
      </c>
      <c r="L133" s="50">
        <v>0</v>
      </c>
      <c r="M133" s="86">
        <v>0</v>
      </c>
      <c r="O133" s="38"/>
      <c r="P133" s="133"/>
    </row>
    <row r="134" spans="1:16" ht="66" customHeight="1" x14ac:dyDescent="0.25">
      <c r="A134" s="90" t="s">
        <v>394</v>
      </c>
      <c r="B134" s="90" t="s">
        <v>395</v>
      </c>
      <c r="C134" s="31" t="s">
        <v>0</v>
      </c>
      <c r="D134" s="78" t="s">
        <v>397</v>
      </c>
      <c r="E134" s="91" t="s">
        <v>1</v>
      </c>
      <c r="F134" s="80">
        <v>388.61</v>
      </c>
      <c r="G134" s="80"/>
      <c r="H134" s="50">
        <f t="shared" ref="H134:H137" si="32">G134+N134</f>
        <v>0</v>
      </c>
      <c r="I134" s="92">
        <v>129.96</v>
      </c>
      <c r="J134" s="46">
        <f t="shared" ref="J134:J143" si="33">ROUND(F134*$I134,2)</f>
        <v>50503.76</v>
      </c>
      <c r="K134" s="49">
        <f t="shared" ref="K134:K143" si="34">G134*$I134</f>
        <v>0</v>
      </c>
      <c r="L134" s="50">
        <f t="shared" ref="L134:L143" si="35">H134*$I134</f>
        <v>0</v>
      </c>
      <c r="M134" s="86">
        <f t="shared" ref="M134:M143" si="36">L134/J134</f>
        <v>0</v>
      </c>
      <c r="O134" s="80"/>
      <c r="P134" s="133"/>
    </row>
    <row r="135" spans="1:16" ht="53.25" customHeight="1" x14ac:dyDescent="0.25">
      <c r="A135" s="90" t="s">
        <v>403</v>
      </c>
      <c r="B135" s="90">
        <v>68053</v>
      </c>
      <c r="C135" s="31" t="s">
        <v>0</v>
      </c>
      <c r="D135" s="78" t="s">
        <v>398</v>
      </c>
      <c r="E135" s="91" t="s">
        <v>1</v>
      </c>
      <c r="F135" s="80">
        <v>188.2</v>
      </c>
      <c r="G135" s="80"/>
      <c r="H135" s="50">
        <f t="shared" si="32"/>
        <v>0</v>
      </c>
      <c r="I135" s="92">
        <v>5.42</v>
      </c>
      <c r="J135" s="46">
        <f t="shared" si="33"/>
        <v>1020.04</v>
      </c>
      <c r="K135" s="49">
        <f t="shared" si="34"/>
        <v>0</v>
      </c>
      <c r="L135" s="50">
        <f t="shared" si="35"/>
        <v>0</v>
      </c>
      <c r="M135" s="86">
        <f t="shared" si="36"/>
        <v>0</v>
      </c>
      <c r="O135" s="80"/>
      <c r="P135" s="133"/>
    </row>
    <row r="136" spans="1:16" ht="53.25" customHeight="1" x14ac:dyDescent="0.25">
      <c r="A136" s="90" t="s">
        <v>404</v>
      </c>
      <c r="B136" s="90">
        <v>41595</v>
      </c>
      <c r="C136" s="31" t="s">
        <v>0</v>
      </c>
      <c r="D136" s="78" t="s">
        <v>399</v>
      </c>
      <c r="E136" s="91" t="s">
        <v>1</v>
      </c>
      <c r="F136" s="80">
        <v>39.804499999999997</v>
      </c>
      <c r="G136" s="80"/>
      <c r="H136" s="50">
        <f t="shared" si="32"/>
        <v>0</v>
      </c>
      <c r="I136" s="92">
        <v>10.45</v>
      </c>
      <c r="J136" s="128">
        <f>F136*$I136</f>
        <v>415.95702499999993</v>
      </c>
      <c r="K136" s="120">
        <f>G136*$I136</f>
        <v>0</v>
      </c>
      <c r="L136" s="121">
        <f>H136*$I136</f>
        <v>0</v>
      </c>
      <c r="M136" s="86">
        <f t="shared" si="36"/>
        <v>0</v>
      </c>
      <c r="O136" s="80"/>
      <c r="P136" s="133"/>
    </row>
    <row r="137" spans="1:16" ht="84" customHeight="1" x14ac:dyDescent="0.25">
      <c r="A137" s="90" t="s">
        <v>405</v>
      </c>
      <c r="B137" s="90" t="s">
        <v>396</v>
      </c>
      <c r="C137" s="31" t="s">
        <v>0</v>
      </c>
      <c r="D137" s="78" t="s">
        <v>400</v>
      </c>
      <c r="E137" s="91" t="s">
        <v>401</v>
      </c>
      <c r="F137" s="80">
        <v>1</v>
      </c>
      <c r="G137" s="80"/>
      <c r="H137" s="50">
        <f t="shared" si="32"/>
        <v>0</v>
      </c>
      <c r="I137" s="92">
        <v>2827.5</v>
      </c>
      <c r="J137" s="46">
        <f t="shared" si="33"/>
        <v>2827.5</v>
      </c>
      <c r="K137" s="49">
        <f t="shared" si="34"/>
        <v>0</v>
      </c>
      <c r="L137" s="50">
        <f t="shared" si="35"/>
        <v>0</v>
      </c>
      <c r="M137" s="86">
        <f t="shared" si="36"/>
        <v>0</v>
      </c>
      <c r="O137" s="80"/>
      <c r="P137" s="133"/>
    </row>
    <row r="138" spans="1:16" x14ac:dyDescent="0.25">
      <c r="A138" s="20" t="s">
        <v>269</v>
      </c>
      <c r="B138" s="21"/>
      <c r="C138" s="21"/>
      <c r="D138" s="41" t="s">
        <v>270</v>
      </c>
      <c r="E138" s="22"/>
      <c r="F138" s="42"/>
      <c r="G138" s="82"/>
      <c r="H138" s="83"/>
      <c r="I138" s="84"/>
      <c r="J138" s="85">
        <f>SUM(J139:J141)</f>
        <v>4310.7700000000004</v>
      </c>
      <c r="K138" s="85">
        <f>SUM(K139:K141)</f>
        <v>3996.24694</v>
      </c>
      <c r="L138" s="85">
        <f>SUM(L139:L141)</f>
        <v>3996.24694</v>
      </c>
      <c r="M138" s="51">
        <f t="shared" si="36"/>
        <v>0.92703784706676529</v>
      </c>
      <c r="O138" s="82"/>
      <c r="P138" s="133"/>
    </row>
    <row r="139" spans="1:16" ht="31.5" x14ac:dyDescent="0.25">
      <c r="A139" s="31" t="s">
        <v>271</v>
      </c>
      <c r="B139" s="37"/>
      <c r="C139" s="31" t="s">
        <v>52</v>
      </c>
      <c r="D139" s="37" t="s">
        <v>272</v>
      </c>
      <c r="E139" s="31" t="s">
        <v>50</v>
      </c>
      <c r="F139" s="29">
        <v>2</v>
      </c>
      <c r="G139" s="29"/>
      <c r="H139" s="50">
        <f>G139+N139</f>
        <v>0</v>
      </c>
      <c r="I139" s="73">
        <v>157.26</v>
      </c>
      <c r="J139" s="46">
        <f t="shared" si="33"/>
        <v>314.52</v>
      </c>
      <c r="K139" s="49">
        <f t="shared" si="34"/>
        <v>0</v>
      </c>
      <c r="L139" s="50">
        <f t="shared" si="35"/>
        <v>0</v>
      </c>
      <c r="M139" s="86">
        <f t="shared" si="36"/>
        <v>0</v>
      </c>
      <c r="O139" s="29"/>
      <c r="P139" s="133"/>
    </row>
    <row r="140" spans="1:16" ht="31.5" x14ac:dyDescent="0.25">
      <c r="A140" s="90" t="s">
        <v>285</v>
      </c>
      <c r="B140" s="90"/>
      <c r="C140" s="31" t="s">
        <v>52</v>
      </c>
      <c r="D140" s="78" t="s">
        <v>287</v>
      </c>
      <c r="E140" s="79" t="s">
        <v>58</v>
      </c>
      <c r="F140" s="94">
        <v>11.221</v>
      </c>
      <c r="G140" s="94">
        <v>11.221</v>
      </c>
      <c r="H140" s="50">
        <f t="shared" ref="H140:H141" si="37">G140+N140</f>
        <v>11.221</v>
      </c>
      <c r="I140" s="95">
        <v>180.64</v>
      </c>
      <c r="J140" s="46">
        <f t="shared" si="33"/>
        <v>2026.96</v>
      </c>
      <c r="K140" s="49">
        <f t="shared" si="34"/>
        <v>2026.9614399999998</v>
      </c>
      <c r="L140" s="50">
        <f t="shared" si="35"/>
        <v>2026.9614399999998</v>
      </c>
      <c r="M140" s="93">
        <f t="shared" si="36"/>
        <v>1.0000007104234911</v>
      </c>
      <c r="O140" s="94"/>
      <c r="P140" s="133"/>
    </row>
    <row r="141" spans="1:16" ht="31.5" x14ac:dyDescent="0.25">
      <c r="A141" s="90" t="s">
        <v>286</v>
      </c>
      <c r="B141" s="90">
        <v>85180</v>
      </c>
      <c r="C141" s="77" t="s">
        <v>0</v>
      </c>
      <c r="D141" s="78" t="s">
        <v>288</v>
      </c>
      <c r="E141" s="31" t="s">
        <v>1</v>
      </c>
      <c r="F141" s="94">
        <v>112.21</v>
      </c>
      <c r="G141" s="94">
        <v>112.21</v>
      </c>
      <c r="H141" s="50">
        <f t="shared" si="37"/>
        <v>112.21</v>
      </c>
      <c r="I141" s="95">
        <v>17.55</v>
      </c>
      <c r="J141" s="46">
        <f t="shared" si="33"/>
        <v>1969.29</v>
      </c>
      <c r="K141" s="49">
        <f t="shared" si="34"/>
        <v>1969.2855</v>
      </c>
      <c r="L141" s="50">
        <f t="shared" si="35"/>
        <v>1969.2855</v>
      </c>
      <c r="M141" s="93">
        <f t="shared" si="36"/>
        <v>0.99999771491248113</v>
      </c>
      <c r="O141" s="94"/>
      <c r="P141" s="133"/>
    </row>
    <row r="142" spans="1:16" x14ac:dyDescent="0.25">
      <c r="A142" s="20" t="s">
        <v>273</v>
      </c>
      <c r="B142" s="21"/>
      <c r="C142" s="21"/>
      <c r="D142" s="41" t="s">
        <v>112</v>
      </c>
      <c r="E142" s="22"/>
      <c r="F142" s="42"/>
      <c r="G142" s="82"/>
      <c r="H142" s="83"/>
      <c r="I142" s="84"/>
      <c r="J142" s="85">
        <f>SUM(J143:J143)</f>
        <v>812.03</v>
      </c>
      <c r="K142" s="85">
        <f>SUM(K143:K143)</f>
        <v>0</v>
      </c>
      <c r="L142" s="85">
        <f>SUM(L143:L143)</f>
        <v>0</v>
      </c>
      <c r="M142" s="51">
        <f t="shared" si="36"/>
        <v>0</v>
      </c>
      <c r="O142" s="82"/>
      <c r="P142" s="133"/>
    </row>
    <row r="143" spans="1:16" x14ac:dyDescent="0.25">
      <c r="A143" s="31" t="s">
        <v>274</v>
      </c>
      <c r="B143" s="37"/>
      <c r="C143" s="31" t="s">
        <v>52</v>
      </c>
      <c r="D143" s="37" t="s">
        <v>117</v>
      </c>
      <c r="E143" s="31" t="s">
        <v>1</v>
      </c>
      <c r="F143" s="29">
        <v>334.17</v>
      </c>
      <c r="G143" s="29"/>
      <c r="H143" s="50">
        <f>G143+N143</f>
        <v>0</v>
      </c>
      <c r="I143" s="73">
        <v>2.4300000000000002</v>
      </c>
      <c r="J143" s="46">
        <f t="shared" si="33"/>
        <v>812.03</v>
      </c>
      <c r="K143" s="49">
        <f t="shared" si="34"/>
        <v>0</v>
      </c>
      <c r="L143" s="50">
        <f t="shared" si="35"/>
        <v>0</v>
      </c>
      <c r="M143" s="86">
        <f t="shared" si="36"/>
        <v>0</v>
      </c>
      <c r="O143" s="29"/>
      <c r="P143" s="133"/>
    </row>
    <row r="144" spans="1:16" x14ac:dyDescent="0.25">
      <c r="A144" s="20"/>
      <c r="B144" s="21"/>
      <c r="C144" s="21"/>
      <c r="D144" s="41" t="s">
        <v>290</v>
      </c>
      <c r="E144" s="22"/>
      <c r="F144" s="42"/>
      <c r="G144" s="82"/>
      <c r="H144" s="83"/>
      <c r="I144" s="84"/>
      <c r="J144" s="85"/>
      <c r="K144" s="85"/>
      <c r="L144" s="85"/>
      <c r="M144" s="51"/>
      <c r="O144" s="82"/>
      <c r="P144" s="133"/>
    </row>
    <row r="145" spans="1:16" x14ac:dyDescent="0.25">
      <c r="A145" s="20" t="s">
        <v>289</v>
      </c>
      <c r="B145" s="21"/>
      <c r="C145" s="21"/>
      <c r="D145" s="41" t="s">
        <v>39</v>
      </c>
      <c r="E145" s="22"/>
      <c r="F145" s="42"/>
      <c r="G145" s="82"/>
      <c r="H145" s="83"/>
      <c r="I145" s="84"/>
      <c r="J145" s="85">
        <f>SUM(J146:J146)</f>
        <v>220.13</v>
      </c>
      <c r="K145" s="85">
        <f>SUM(K146:K146)</f>
        <v>0</v>
      </c>
      <c r="L145" s="85">
        <f>SUM(L146:L146)</f>
        <v>0</v>
      </c>
      <c r="M145" s="51">
        <f t="shared" ref="M145:M151" si="38">L145/J145</f>
        <v>0</v>
      </c>
      <c r="O145" s="82"/>
      <c r="P145" s="133"/>
    </row>
    <row r="146" spans="1:16" ht="47.25" x14ac:dyDescent="0.25">
      <c r="A146" s="37" t="s">
        <v>294</v>
      </c>
      <c r="B146" s="37" t="s">
        <v>291</v>
      </c>
      <c r="C146" s="31" t="s">
        <v>292</v>
      </c>
      <c r="D146" s="37" t="s">
        <v>293</v>
      </c>
      <c r="E146" s="31" t="s">
        <v>1</v>
      </c>
      <c r="F146" s="29">
        <v>47.75</v>
      </c>
      <c r="G146" s="72"/>
      <c r="H146" s="50">
        <f>G146+N146</f>
        <v>0</v>
      </c>
      <c r="I146" s="73">
        <v>4.6100000000000003</v>
      </c>
      <c r="J146" s="46">
        <f t="shared" ref="J146:J151" si="39">ROUND(F146*$I146,2)</f>
        <v>220.13</v>
      </c>
      <c r="K146" s="49">
        <f t="shared" ref="K146:L151" si="40">G146*$I146</f>
        <v>0</v>
      </c>
      <c r="L146" s="50">
        <f t="shared" si="40"/>
        <v>0</v>
      </c>
      <c r="M146" s="86">
        <f t="shared" si="38"/>
        <v>0</v>
      </c>
      <c r="O146" s="72"/>
      <c r="P146" s="133"/>
    </row>
    <row r="147" spans="1:16" x14ac:dyDescent="0.25">
      <c r="A147" s="96" t="s">
        <v>295</v>
      </c>
      <c r="B147" s="96"/>
      <c r="C147" s="96"/>
      <c r="D147" s="97" t="s">
        <v>130</v>
      </c>
      <c r="E147" s="96"/>
      <c r="F147" s="98"/>
      <c r="G147" s="99"/>
      <c r="H147" s="43"/>
      <c r="I147" s="44"/>
      <c r="J147" s="139">
        <f>SUM(J148:J149)</f>
        <v>2694.36</v>
      </c>
      <c r="K147" s="139">
        <f>SUM(K148:K149)</f>
        <v>0</v>
      </c>
      <c r="L147" s="139">
        <f>SUM(L148:L149)</f>
        <v>0</v>
      </c>
      <c r="M147" s="100">
        <f t="shared" si="38"/>
        <v>0</v>
      </c>
      <c r="O147" s="99"/>
      <c r="P147" s="133"/>
    </row>
    <row r="148" spans="1:16" ht="31.5" x14ac:dyDescent="0.25">
      <c r="A148" s="37" t="s">
        <v>297</v>
      </c>
      <c r="B148" s="37">
        <v>93358</v>
      </c>
      <c r="C148" s="31" t="s">
        <v>292</v>
      </c>
      <c r="D148" s="37" t="s">
        <v>346</v>
      </c>
      <c r="E148" s="31" t="s">
        <v>58</v>
      </c>
      <c r="F148" s="29">
        <v>36.42</v>
      </c>
      <c r="G148" s="72"/>
      <c r="H148" s="50">
        <f>G148+N148</f>
        <v>0</v>
      </c>
      <c r="I148" s="73">
        <v>61.25</v>
      </c>
      <c r="J148" s="46">
        <f t="shared" si="39"/>
        <v>2230.73</v>
      </c>
      <c r="K148" s="49">
        <f t="shared" si="40"/>
        <v>0</v>
      </c>
      <c r="L148" s="50">
        <f t="shared" si="40"/>
        <v>0</v>
      </c>
      <c r="M148" s="86">
        <f t="shared" si="38"/>
        <v>0</v>
      </c>
      <c r="O148" s="72"/>
      <c r="P148" s="133"/>
    </row>
    <row r="149" spans="1:16" ht="31.5" x14ac:dyDescent="0.25">
      <c r="A149" s="37" t="s">
        <v>298</v>
      </c>
      <c r="B149" s="37">
        <v>93382</v>
      </c>
      <c r="C149" s="31" t="s">
        <v>0</v>
      </c>
      <c r="D149" s="37" t="s">
        <v>296</v>
      </c>
      <c r="E149" s="31" t="s">
        <v>58</v>
      </c>
      <c r="F149" s="29">
        <v>20.56</v>
      </c>
      <c r="G149" s="72"/>
      <c r="H149" s="50">
        <f>G149+N149</f>
        <v>0</v>
      </c>
      <c r="I149" s="73">
        <v>22.55</v>
      </c>
      <c r="J149" s="46">
        <f t="shared" si="39"/>
        <v>463.63</v>
      </c>
      <c r="K149" s="49">
        <f t="shared" si="40"/>
        <v>0</v>
      </c>
      <c r="L149" s="50">
        <f t="shared" si="40"/>
        <v>0</v>
      </c>
      <c r="M149" s="86">
        <f t="shared" si="38"/>
        <v>0</v>
      </c>
      <c r="O149" s="72"/>
      <c r="P149" s="133"/>
    </row>
    <row r="150" spans="1:16" x14ac:dyDescent="0.25">
      <c r="A150" s="96" t="s">
        <v>299</v>
      </c>
      <c r="B150" s="96"/>
      <c r="C150" s="96"/>
      <c r="D150" s="97" t="s">
        <v>300</v>
      </c>
      <c r="E150" s="96"/>
      <c r="F150" s="98"/>
      <c r="G150" s="99"/>
      <c r="H150" s="43"/>
      <c r="I150" s="44"/>
      <c r="J150" s="45">
        <f>SUM(J151:J156)</f>
        <v>33913.073399999994</v>
      </c>
      <c r="K150" s="45">
        <f>SUM(K151:K156)</f>
        <v>0</v>
      </c>
      <c r="L150" s="45">
        <f>SUM(L151:L156)</f>
        <v>0</v>
      </c>
      <c r="M150" s="100">
        <f t="shared" si="38"/>
        <v>0</v>
      </c>
      <c r="O150" s="99"/>
      <c r="P150" s="133"/>
    </row>
    <row r="151" spans="1:16" ht="47.25" x14ac:dyDescent="0.25">
      <c r="A151" s="37" t="s">
        <v>310</v>
      </c>
      <c r="B151" s="37">
        <v>94962</v>
      </c>
      <c r="C151" s="31" t="s">
        <v>292</v>
      </c>
      <c r="D151" s="37" t="s">
        <v>301</v>
      </c>
      <c r="E151" s="31" t="s">
        <v>58</v>
      </c>
      <c r="F151" s="29">
        <v>2.65</v>
      </c>
      <c r="G151" s="29"/>
      <c r="H151" s="50">
        <f t="shared" ref="H151:H156" si="41">G151+N151</f>
        <v>0</v>
      </c>
      <c r="I151" s="73">
        <v>273.17</v>
      </c>
      <c r="J151" s="46">
        <f t="shared" si="39"/>
        <v>723.9</v>
      </c>
      <c r="K151" s="49">
        <f t="shared" si="40"/>
        <v>0</v>
      </c>
      <c r="L151" s="50">
        <f t="shared" si="40"/>
        <v>0</v>
      </c>
      <c r="M151" s="86">
        <f t="shared" si="38"/>
        <v>0</v>
      </c>
      <c r="O151" s="29"/>
      <c r="P151" s="133"/>
    </row>
    <row r="152" spans="1:16" ht="47.25" x14ac:dyDescent="0.25">
      <c r="A152" s="37" t="s">
        <v>311</v>
      </c>
      <c r="B152" s="37">
        <v>92873</v>
      </c>
      <c r="C152" s="31" t="s">
        <v>292</v>
      </c>
      <c r="D152" s="37" t="s">
        <v>302</v>
      </c>
      <c r="E152" s="31" t="s">
        <v>58</v>
      </c>
      <c r="F152" s="29">
        <v>2.65</v>
      </c>
      <c r="G152" s="29"/>
      <c r="H152" s="50">
        <f t="shared" si="41"/>
        <v>0</v>
      </c>
      <c r="I152" s="73">
        <v>158.53</v>
      </c>
      <c r="J152" s="46">
        <f>F152*$I152</f>
        <v>420.10449999999997</v>
      </c>
      <c r="K152" s="49">
        <f t="shared" ref="K152:K156" si="42">G152*$I152</f>
        <v>0</v>
      </c>
      <c r="L152" s="50">
        <f t="shared" ref="L152:L156" si="43">H152*$I152</f>
        <v>0</v>
      </c>
      <c r="M152" s="86">
        <f t="shared" ref="M152:M156" si="44">L152/J152</f>
        <v>0</v>
      </c>
      <c r="O152" s="29"/>
      <c r="P152" s="133"/>
    </row>
    <row r="153" spans="1:16" ht="31.5" x14ac:dyDescent="0.25">
      <c r="A153" s="37" t="s">
        <v>312</v>
      </c>
      <c r="B153" s="37">
        <v>95467</v>
      </c>
      <c r="C153" s="31" t="s">
        <v>292</v>
      </c>
      <c r="D153" s="37" t="s">
        <v>303</v>
      </c>
      <c r="E153" s="31" t="s">
        <v>58</v>
      </c>
      <c r="F153" s="29">
        <v>53.35</v>
      </c>
      <c r="G153" s="29"/>
      <c r="H153" s="50">
        <f t="shared" si="41"/>
        <v>0</v>
      </c>
      <c r="I153" s="73">
        <v>396.86</v>
      </c>
      <c r="J153" s="46">
        <f>F153*$I153</f>
        <v>21172.481</v>
      </c>
      <c r="K153" s="49">
        <f t="shared" si="42"/>
        <v>0</v>
      </c>
      <c r="L153" s="50">
        <f t="shared" si="43"/>
        <v>0</v>
      </c>
      <c r="M153" s="86">
        <f t="shared" si="44"/>
        <v>0</v>
      </c>
      <c r="O153" s="29"/>
      <c r="P153" s="133"/>
    </row>
    <row r="154" spans="1:16" ht="31.5" x14ac:dyDescent="0.25">
      <c r="A154" s="37" t="s">
        <v>313</v>
      </c>
      <c r="B154" s="37">
        <v>96534</v>
      </c>
      <c r="C154" s="31" t="s">
        <v>0</v>
      </c>
      <c r="D154" s="37" t="s">
        <v>304</v>
      </c>
      <c r="E154" s="31" t="s">
        <v>1</v>
      </c>
      <c r="F154" s="29">
        <v>160.36000000000001</v>
      </c>
      <c r="G154" s="29"/>
      <c r="H154" s="50">
        <f t="shared" si="41"/>
        <v>0</v>
      </c>
      <c r="I154" s="73">
        <v>59.28</v>
      </c>
      <c r="J154" s="46">
        <f>F154*$I154</f>
        <v>9506.140800000001</v>
      </c>
      <c r="K154" s="49">
        <f t="shared" si="42"/>
        <v>0</v>
      </c>
      <c r="L154" s="50">
        <f t="shared" si="43"/>
        <v>0</v>
      </c>
      <c r="M154" s="86">
        <f t="shared" si="44"/>
        <v>0</v>
      </c>
      <c r="O154" s="29"/>
      <c r="P154" s="133"/>
    </row>
    <row r="155" spans="1:16" ht="31.5" x14ac:dyDescent="0.25">
      <c r="A155" s="37" t="s">
        <v>314</v>
      </c>
      <c r="B155" s="37" t="s">
        <v>147</v>
      </c>
      <c r="C155" s="31" t="s">
        <v>292</v>
      </c>
      <c r="D155" s="37" t="s">
        <v>305</v>
      </c>
      <c r="E155" s="31" t="s">
        <v>1</v>
      </c>
      <c r="F155" s="29">
        <v>160.36000000000001</v>
      </c>
      <c r="G155" s="29"/>
      <c r="H155" s="50">
        <f t="shared" si="41"/>
        <v>0</v>
      </c>
      <c r="I155" s="73">
        <v>10.11</v>
      </c>
      <c r="J155" s="46">
        <f>F155*$I155</f>
        <v>1621.2396000000001</v>
      </c>
      <c r="K155" s="49">
        <f t="shared" si="42"/>
        <v>0</v>
      </c>
      <c r="L155" s="50">
        <f t="shared" si="43"/>
        <v>0</v>
      </c>
      <c r="M155" s="86">
        <f t="shared" si="44"/>
        <v>0</v>
      </c>
      <c r="O155" s="29"/>
      <c r="P155" s="133"/>
    </row>
    <row r="156" spans="1:16" ht="31.5" x14ac:dyDescent="0.25">
      <c r="A156" s="37" t="s">
        <v>315</v>
      </c>
      <c r="B156" s="37"/>
      <c r="C156" s="31" t="s">
        <v>52</v>
      </c>
      <c r="D156" s="37" t="s">
        <v>306</v>
      </c>
      <c r="E156" s="31" t="s">
        <v>42</v>
      </c>
      <c r="F156" s="29">
        <v>18.25</v>
      </c>
      <c r="G156" s="29"/>
      <c r="H156" s="50">
        <f t="shared" si="41"/>
        <v>0</v>
      </c>
      <c r="I156" s="73">
        <v>25.71</v>
      </c>
      <c r="J156" s="46">
        <f>F156*$I156</f>
        <v>469.20750000000004</v>
      </c>
      <c r="K156" s="49">
        <f t="shared" si="42"/>
        <v>0</v>
      </c>
      <c r="L156" s="50">
        <f t="shared" si="43"/>
        <v>0</v>
      </c>
      <c r="M156" s="86">
        <f t="shared" si="44"/>
        <v>0</v>
      </c>
      <c r="O156" s="29"/>
      <c r="P156" s="133"/>
    </row>
    <row r="157" spans="1:16" x14ac:dyDescent="0.25">
      <c r="A157" s="96" t="s">
        <v>307</v>
      </c>
      <c r="B157" s="96"/>
      <c r="C157" s="96"/>
      <c r="D157" s="97" t="s">
        <v>308</v>
      </c>
      <c r="E157" s="96"/>
      <c r="F157" s="98"/>
      <c r="G157" s="99"/>
      <c r="H157" s="43"/>
      <c r="I157" s="44"/>
      <c r="J157" s="45"/>
      <c r="K157" s="45"/>
      <c r="L157" s="45"/>
      <c r="M157" s="100"/>
      <c r="O157" s="99"/>
      <c r="P157" s="133"/>
    </row>
    <row r="158" spans="1:16" x14ac:dyDescent="0.25">
      <c r="A158" s="101"/>
      <c r="B158" s="102"/>
      <c r="C158" s="101"/>
      <c r="D158" s="97" t="s">
        <v>309</v>
      </c>
      <c r="E158" s="101"/>
      <c r="F158" s="103"/>
      <c r="G158" s="99"/>
      <c r="H158" s="104"/>
      <c r="I158" s="44"/>
      <c r="J158" s="139">
        <f>SUM(J159:J171)</f>
        <v>10328.58</v>
      </c>
      <c r="K158" s="139">
        <f>SUM(K159:K171)</f>
        <v>0</v>
      </c>
      <c r="L158" s="139">
        <f>SUM(L159:L171)</f>
        <v>0</v>
      </c>
      <c r="M158" s="100">
        <f>L158/J158</f>
        <v>0</v>
      </c>
      <c r="O158" s="99"/>
      <c r="P158" s="133"/>
    </row>
    <row r="159" spans="1:16" ht="31.5" x14ac:dyDescent="0.25">
      <c r="A159" s="37" t="s">
        <v>325</v>
      </c>
      <c r="B159" s="37">
        <v>96534</v>
      </c>
      <c r="C159" s="31" t="s">
        <v>0</v>
      </c>
      <c r="D159" s="110" t="s">
        <v>304</v>
      </c>
      <c r="E159" s="108" t="s">
        <v>1</v>
      </c>
      <c r="F159" s="113">
        <v>25.03</v>
      </c>
      <c r="G159" s="72"/>
      <c r="H159" s="50">
        <f>G159+N159</f>
        <v>0</v>
      </c>
      <c r="I159" s="73">
        <v>59.28</v>
      </c>
      <c r="J159" s="46">
        <f>ROUND(F159*$I159,2)</f>
        <v>1483.78</v>
      </c>
      <c r="K159" s="49">
        <f>ROUND(G159*$I159,2)</f>
        <v>0</v>
      </c>
      <c r="L159" s="50">
        <f>ROUND(H159*$I159,2)</f>
        <v>0</v>
      </c>
      <c r="M159" s="86">
        <f t="shared" ref="M159:M213" si="45">L159/J159</f>
        <v>0</v>
      </c>
      <c r="O159" s="72"/>
      <c r="P159" s="133"/>
    </row>
    <row r="160" spans="1:16" ht="31.5" x14ac:dyDescent="0.25">
      <c r="A160" s="37" t="s">
        <v>326</v>
      </c>
      <c r="B160" s="37">
        <v>96543</v>
      </c>
      <c r="C160" s="31" t="s">
        <v>0</v>
      </c>
      <c r="D160" s="110" t="s">
        <v>322</v>
      </c>
      <c r="E160" s="109" t="s">
        <v>318</v>
      </c>
      <c r="F160" s="112">
        <v>44</v>
      </c>
      <c r="G160" s="72"/>
      <c r="H160" s="50">
        <f t="shared" ref="H160:H178" si="46">G160+N160</f>
        <v>0</v>
      </c>
      <c r="I160" s="73">
        <v>12.36</v>
      </c>
      <c r="J160" s="46">
        <f t="shared" ref="J160:L175" si="47">ROUND(F160*$I160,2)</f>
        <v>543.84</v>
      </c>
      <c r="K160" s="49">
        <f t="shared" ref="K160:K171" si="48">ROUND(G160*$I160,2)</f>
        <v>0</v>
      </c>
      <c r="L160" s="50">
        <f t="shared" ref="L160:L171" si="49">ROUND(H160*$I160,2)</f>
        <v>0</v>
      </c>
      <c r="M160" s="86">
        <f t="shared" si="45"/>
        <v>0</v>
      </c>
      <c r="O160" s="72"/>
      <c r="P160" s="133"/>
    </row>
    <row r="161" spans="1:16" ht="31.5" x14ac:dyDescent="0.25">
      <c r="A161" s="37" t="s">
        <v>327</v>
      </c>
      <c r="B161" s="37">
        <v>96546</v>
      </c>
      <c r="C161" s="31" t="s">
        <v>0</v>
      </c>
      <c r="D161" s="111" t="s">
        <v>323</v>
      </c>
      <c r="E161" s="109" t="s">
        <v>318</v>
      </c>
      <c r="F161" s="112">
        <v>130</v>
      </c>
      <c r="G161" s="72"/>
      <c r="H161" s="50">
        <f t="shared" si="46"/>
        <v>0</v>
      </c>
      <c r="I161" s="73">
        <v>8.4600000000000009</v>
      </c>
      <c r="J161" s="46">
        <f t="shared" si="47"/>
        <v>1099.8</v>
      </c>
      <c r="K161" s="49">
        <f t="shared" si="48"/>
        <v>0</v>
      </c>
      <c r="L161" s="50">
        <f t="shared" si="49"/>
        <v>0</v>
      </c>
      <c r="M161" s="86">
        <f t="shared" si="45"/>
        <v>0</v>
      </c>
      <c r="O161" s="72"/>
      <c r="P161" s="133"/>
    </row>
    <row r="162" spans="1:16" ht="47.25" x14ac:dyDescent="0.25">
      <c r="A162" s="37" t="s">
        <v>328</v>
      </c>
      <c r="B162" s="37">
        <v>94965</v>
      </c>
      <c r="C162" s="31" t="s">
        <v>0</v>
      </c>
      <c r="D162" s="110" t="s">
        <v>321</v>
      </c>
      <c r="E162" s="108" t="s">
        <v>58</v>
      </c>
      <c r="F162" s="113">
        <v>1.18</v>
      </c>
      <c r="G162" s="72"/>
      <c r="H162" s="50">
        <f t="shared" si="46"/>
        <v>0</v>
      </c>
      <c r="I162" s="73">
        <v>342.54</v>
      </c>
      <c r="J162" s="46">
        <f t="shared" si="47"/>
        <v>404.2</v>
      </c>
      <c r="K162" s="49">
        <f t="shared" si="48"/>
        <v>0</v>
      </c>
      <c r="L162" s="50">
        <f t="shared" si="49"/>
        <v>0</v>
      </c>
      <c r="M162" s="86">
        <f t="shared" si="45"/>
        <v>0</v>
      </c>
      <c r="O162" s="72"/>
      <c r="P162" s="133"/>
    </row>
    <row r="163" spans="1:16" ht="47.25" x14ac:dyDescent="0.25">
      <c r="A163" s="37" t="s">
        <v>329</v>
      </c>
      <c r="B163" s="37">
        <v>92873</v>
      </c>
      <c r="C163" s="31" t="s">
        <v>292</v>
      </c>
      <c r="D163" s="110" t="s">
        <v>302</v>
      </c>
      <c r="E163" s="108" t="s">
        <v>58</v>
      </c>
      <c r="F163" s="113">
        <v>1.18</v>
      </c>
      <c r="G163" s="72"/>
      <c r="H163" s="50">
        <f t="shared" si="46"/>
        <v>0</v>
      </c>
      <c r="I163" s="73">
        <v>158.53</v>
      </c>
      <c r="J163" s="46">
        <f t="shared" si="47"/>
        <v>187.07</v>
      </c>
      <c r="K163" s="49">
        <f t="shared" si="48"/>
        <v>0</v>
      </c>
      <c r="L163" s="50">
        <f t="shared" si="49"/>
        <v>0</v>
      </c>
      <c r="M163" s="86">
        <f t="shared" si="45"/>
        <v>0</v>
      </c>
      <c r="O163" s="72"/>
      <c r="P163" s="133"/>
    </row>
    <row r="164" spans="1:16" x14ac:dyDescent="0.25">
      <c r="A164" s="101"/>
      <c r="B164" s="102"/>
      <c r="C164" s="101"/>
      <c r="D164" s="97" t="s">
        <v>324</v>
      </c>
      <c r="E164" s="101"/>
      <c r="F164" s="103"/>
      <c r="G164" s="99"/>
      <c r="H164" s="104"/>
      <c r="I164" s="44"/>
      <c r="J164" s="105"/>
      <c r="K164" s="99"/>
      <c r="L164" s="104"/>
      <c r="M164" s="106"/>
      <c r="O164" s="99"/>
      <c r="P164" s="133"/>
    </row>
    <row r="165" spans="1:16" ht="31.5" x14ac:dyDescent="0.25">
      <c r="A165" s="37" t="s">
        <v>330</v>
      </c>
      <c r="B165" s="37">
        <v>96534</v>
      </c>
      <c r="C165" s="31" t="s">
        <v>0</v>
      </c>
      <c r="D165" s="37" t="s">
        <v>304</v>
      </c>
      <c r="E165" s="31" t="s">
        <v>1</v>
      </c>
      <c r="F165" s="29">
        <v>38.64</v>
      </c>
      <c r="G165" s="122"/>
      <c r="H165" s="50">
        <f t="shared" si="46"/>
        <v>0</v>
      </c>
      <c r="I165" s="107">
        <v>59.28</v>
      </c>
      <c r="J165" s="46">
        <f t="shared" si="47"/>
        <v>2290.58</v>
      </c>
      <c r="K165" s="49">
        <f t="shared" si="48"/>
        <v>0</v>
      </c>
      <c r="L165" s="50">
        <f t="shared" si="49"/>
        <v>0</v>
      </c>
      <c r="M165" s="86">
        <f t="shared" si="45"/>
        <v>0</v>
      </c>
      <c r="O165" s="122"/>
      <c r="P165" s="133"/>
    </row>
    <row r="166" spans="1:16" ht="31.5" x14ac:dyDescent="0.25">
      <c r="A166" s="37" t="s">
        <v>331</v>
      </c>
      <c r="B166" s="37">
        <v>96543</v>
      </c>
      <c r="C166" s="31" t="s">
        <v>0</v>
      </c>
      <c r="D166" s="37" t="s">
        <v>316</v>
      </c>
      <c r="E166" s="31" t="s">
        <v>318</v>
      </c>
      <c r="F166" s="29">
        <v>85</v>
      </c>
      <c r="G166" s="122"/>
      <c r="H166" s="50">
        <f t="shared" si="46"/>
        <v>0</v>
      </c>
      <c r="I166" s="107">
        <v>12.36</v>
      </c>
      <c r="J166" s="46">
        <f t="shared" si="47"/>
        <v>1050.5999999999999</v>
      </c>
      <c r="K166" s="49">
        <f t="shared" si="48"/>
        <v>0</v>
      </c>
      <c r="L166" s="50">
        <f t="shared" si="49"/>
        <v>0</v>
      </c>
      <c r="M166" s="86">
        <f t="shared" si="45"/>
        <v>0</v>
      </c>
      <c r="O166" s="122"/>
      <c r="P166" s="133"/>
    </row>
    <row r="167" spans="1:16" ht="31.5" x14ac:dyDescent="0.25">
      <c r="A167" s="110" t="s">
        <v>332</v>
      </c>
      <c r="B167" s="109">
        <v>96544</v>
      </c>
      <c r="C167" s="108" t="s">
        <v>0</v>
      </c>
      <c r="D167" s="37" t="s">
        <v>317</v>
      </c>
      <c r="E167" s="31" t="s">
        <v>318</v>
      </c>
      <c r="F167" s="29">
        <v>31</v>
      </c>
      <c r="G167" s="123"/>
      <c r="H167" s="50">
        <f t="shared" si="46"/>
        <v>0</v>
      </c>
      <c r="I167" s="109">
        <v>10.75</v>
      </c>
      <c r="J167" s="46">
        <f t="shared" si="47"/>
        <v>333.25</v>
      </c>
      <c r="K167" s="49">
        <f t="shared" si="48"/>
        <v>0</v>
      </c>
      <c r="L167" s="50">
        <f t="shared" si="49"/>
        <v>0</v>
      </c>
      <c r="M167" s="86">
        <f t="shared" si="45"/>
        <v>0</v>
      </c>
      <c r="O167" s="123"/>
      <c r="P167" s="133"/>
    </row>
    <row r="168" spans="1:16" ht="31.5" x14ac:dyDescent="0.25">
      <c r="A168" s="110" t="s">
        <v>333</v>
      </c>
      <c r="B168" s="109">
        <v>96545</v>
      </c>
      <c r="C168" s="108" t="s">
        <v>0</v>
      </c>
      <c r="D168" s="37" t="s">
        <v>319</v>
      </c>
      <c r="E168" s="31" t="s">
        <v>318</v>
      </c>
      <c r="F168" s="29">
        <v>89</v>
      </c>
      <c r="G168" s="123"/>
      <c r="H168" s="50">
        <f t="shared" si="46"/>
        <v>0</v>
      </c>
      <c r="I168" s="109">
        <v>10.36</v>
      </c>
      <c r="J168" s="46">
        <f t="shared" si="47"/>
        <v>922.04</v>
      </c>
      <c r="K168" s="49">
        <f t="shared" si="48"/>
        <v>0</v>
      </c>
      <c r="L168" s="50">
        <f t="shared" si="49"/>
        <v>0</v>
      </c>
      <c r="M168" s="86">
        <f t="shared" si="45"/>
        <v>0</v>
      </c>
      <c r="O168" s="123"/>
      <c r="P168" s="133"/>
    </row>
    <row r="169" spans="1:16" ht="31.5" x14ac:dyDescent="0.25">
      <c r="A169" s="110" t="s">
        <v>334</v>
      </c>
      <c r="B169" s="109">
        <v>96546</v>
      </c>
      <c r="C169" s="108" t="s">
        <v>0</v>
      </c>
      <c r="D169" s="37" t="s">
        <v>320</v>
      </c>
      <c r="E169" s="31" t="s">
        <v>318</v>
      </c>
      <c r="F169" s="29">
        <v>84</v>
      </c>
      <c r="G169" s="123"/>
      <c r="H169" s="50">
        <f t="shared" si="46"/>
        <v>0</v>
      </c>
      <c r="I169" s="109">
        <v>8.4600000000000009</v>
      </c>
      <c r="J169" s="46">
        <f t="shared" si="47"/>
        <v>710.64</v>
      </c>
      <c r="K169" s="49">
        <f t="shared" si="48"/>
        <v>0</v>
      </c>
      <c r="L169" s="50">
        <f t="shared" si="49"/>
        <v>0</v>
      </c>
      <c r="M169" s="86">
        <f t="shared" si="45"/>
        <v>0</v>
      </c>
      <c r="O169" s="123"/>
      <c r="P169" s="133"/>
    </row>
    <row r="170" spans="1:16" ht="47.25" x14ac:dyDescent="0.25">
      <c r="A170" s="110" t="s">
        <v>335</v>
      </c>
      <c r="B170" s="109">
        <v>94965</v>
      </c>
      <c r="C170" s="108" t="s">
        <v>0</v>
      </c>
      <c r="D170" s="110" t="s">
        <v>321</v>
      </c>
      <c r="E170" s="108" t="s">
        <v>58</v>
      </c>
      <c r="F170" s="112">
        <v>2.6</v>
      </c>
      <c r="G170" s="123"/>
      <c r="H170" s="50">
        <f t="shared" si="46"/>
        <v>0</v>
      </c>
      <c r="I170" s="109">
        <v>342.54</v>
      </c>
      <c r="J170" s="46">
        <f t="shared" si="47"/>
        <v>890.6</v>
      </c>
      <c r="K170" s="49">
        <f t="shared" si="48"/>
        <v>0</v>
      </c>
      <c r="L170" s="50">
        <f t="shared" si="49"/>
        <v>0</v>
      </c>
      <c r="M170" s="86">
        <f t="shared" si="45"/>
        <v>0</v>
      </c>
      <c r="O170" s="123"/>
      <c r="P170" s="133"/>
    </row>
    <row r="171" spans="1:16" ht="47.25" x14ac:dyDescent="0.25">
      <c r="A171" s="110" t="s">
        <v>336</v>
      </c>
      <c r="B171" s="109">
        <v>92873</v>
      </c>
      <c r="C171" s="108" t="s">
        <v>292</v>
      </c>
      <c r="D171" s="110" t="s">
        <v>302</v>
      </c>
      <c r="E171" s="108" t="s">
        <v>58</v>
      </c>
      <c r="F171" s="112">
        <v>2.6</v>
      </c>
      <c r="G171" s="123"/>
      <c r="H171" s="50">
        <f t="shared" si="46"/>
        <v>0</v>
      </c>
      <c r="I171" s="109">
        <v>158.53</v>
      </c>
      <c r="J171" s="46">
        <f t="shared" si="47"/>
        <v>412.18</v>
      </c>
      <c r="K171" s="49">
        <f t="shared" si="48"/>
        <v>0</v>
      </c>
      <c r="L171" s="50">
        <f t="shared" si="49"/>
        <v>0</v>
      </c>
      <c r="M171" s="86">
        <f t="shared" si="45"/>
        <v>0</v>
      </c>
      <c r="O171" s="123"/>
      <c r="P171" s="133"/>
    </row>
    <row r="172" spans="1:16" x14ac:dyDescent="0.25">
      <c r="A172" s="114">
        <v>25</v>
      </c>
      <c r="B172" s="114"/>
      <c r="C172" s="114"/>
      <c r="D172" s="115" t="s">
        <v>150</v>
      </c>
      <c r="E172" s="114"/>
      <c r="F172" s="114"/>
      <c r="G172" s="114"/>
      <c r="H172" s="114"/>
      <c r="I172" s="114"/>
      <c r="J172" s="45">
        <f>SUM(J173:J178)</f>
        <v>18745.34</v>
      </c>
      <c r="K172" s="45">
        <f>SUM(K173:K178)</f>
        <v>0</v>
      </c>
      <c r="L172" s="45">
        <f>SUM(L173:L178)</f>
        <v>0</v>
      </c>
      <c r="M172" s="100">
        <f>L172/J172</f>
        <v>0</v>
      </c>
      <c r="O172" s="114"/>
      <c r="P172" s="133"/>
    </row>
    <row r="173" spans="1:16" ht="78.75" x14ac:dyDescent="0.25">
      <c r="A173" s="110" t="s">
        <v>353</v>
      </c>
      <c r="B173" s="109">
        <v>87495</v>
      </c>
      <c r="C173" s="108" t="s">
        <v>292</v>
      </c>
      <c r="D173" s="110" t="s">
        <v>337</v>
      </c>
      <c r="E173" s="108" t="s">
        <v>1</v>
      </c>
      <c r="F173" s="109">
        <v>96.23</v>
      </c>
      <c r="G173" s="109"/>
      <c r="H173" s="50">
        <f t="shared" si="46"/>
        <v>0</v>
      </c>
      <c r="I173" s="109">
        <v>63.61</v>
      </c>
      <c r="J173" s="46">
        <f t="shared" si="47"/>
        <v>6121.19</v>
      </c>
      <c r="K173" s="46">
        <f t="shared" si="47"/>
        <v>0</v>
      </c>
      <c r="L173" s="46">
        <f t="shared" si="47"/>
        <v>0</v>
      </c>
      <c r="M173" s="86">
        <f t="shared" si="45"/>
        <v>0</v>
      </c>
      <c r="O173" s="109"/>
      <c r="P173" s="133"/>
    </row>
    <row r="174" spans="1:16" ht="63" x14ac:dyDescent="0.25">
      <c r="A174" s="110" t="s">
        <v>354</v>
      </c>
      <c r="B174" s="109">
        <v>87894</v>
      </c>
      <c r="C174" s="108" t="s">
        <v>0</v>
      </c>
      <c r="D174" s="110" t="s">
        <v>338</v>
      </c>
      <c r="E174" s="108" t="s">
        <v>1</v>
      </c>
      <c r="F174" s="109">
        <v>213.39</v>
      </c>
      <c r="G174" s="109"/>
      <c r="H174" s="50">
        <f t="shared" si="46"/>
        <v>0</v>
      </c>
      <c r="I174" s="109">
        <v>4.58</v>
      </c>
      <c r="J174" s="46">
        <f t="shared" si="47"/>
        <v>977.33</v>
      </c>
      <c r="K174" s="46">
        <f t="shared" si="47"/>
        <v>0</v>
      </c>
      <c r="L174" s="46">
        <f t="shared" si="47"/>
        <v>0</v>
      </c>
      <c r="M174" s="86">
        <f t="shared" si="45"/>
        <v>0</v>
      </c>
      <c r="O174" s="109"/>
      <c r="P174" s="133"/>
    </row>
    <row r="175" spans="1:16" ht="78.75" x14ac:dyDescent="0.25">
      <c r="A175" s="110" t="s">
        <v>355</v>
      </c>
      <c r="B175" s="109">
        <v>87530</v>
      </c>
      <c r="C175" s="108" t="s">
        <v>0</v>
      </c>
      <c r="D175" s="110" t="s">
        <v>339</v>
      </c>
      <c r="E175" s="108" t="s">
        <v>1</v>
      </c>
      <c r="F175" s="109">
        <v>213.39</v>
      </c>
      <c r="G175" s="109"/>
      <c r="H175" s="50">
        <f t="shared" si="46"/>
        <v>0</v>
      </c>
      <c r="I175" s="109">
        <v>27.73</v>
      </c>
      <c r="J175" s="46">
        <f t="shared" si="47"/>
        <v>5917.3</v>
      </c>
      <c r="K175" s="46">
        <f t="shared" si="47"/>
        <v>0</v>
      </c>
      <c r="L175" s="46">
        <f t="shared" si="47"/>
        <v>0</v>
      </c>
      <c r="M175" s="86">
        <f t="shared" si="45"/>
        <v>0</v>
      </c>
      <c r="O175" s="109"/>
      <c r="P175" s="133"/>
    </row>
    <row r="176" spans="1:16" ht="31.5" x14ac:dyDescent="0.25">
      <c r="A176" s="110" t="s">
        <v>356</v>
      </c>
      <c r="B176" s="109">
        <v>88485</v>
      </c>
      <c r="C176" s="108" t="s">
        <v>292</v>
      </c>
      <c r="D176" s="110" t="s">
        <v>340</v>
      </c>
      <c r="E176" s="108" t="s">
        <v>1</v>
      </c>
      <c r="F176" s="109">
        <v>213.39</v>
      </c>
      <c r="G176" s="109"/>
      <c r="H176" s="50">
        <f t="shared" si="46"/>
        <v>0</v>
      </c>
      <c r="I176" s="109">
        <v>11.44</v>
      </c>
      <c r="J176" s="46">
        <f t="shared" ref="J176:K178" si="50">ROUND(F176*$I176,2)</f>
        <v>2441.1799999999998</v>
      </c>
      <c r="K176" s="46">
        <f t="shared" si="50"/>
        <v>0</v>
      </c>
      <c r="L176" s="46">
        <f t="shared" ref="L176:L178" si="51">ROUND(H176*$I176,2)</f>
        <v>0</v>
      </c>
      <c r="M176" s="86">
        <f t="shared" si="45"/>
        <v>0</v>
      </c>
      <c r="O176" s="109"/>
      <c r="P176" s="133"/>
    </row>
    <row r="177" spans="1:16" ht="31.5" x14ac:dyDescent="0.25">
      <c r="A177" s="110" t="s">
        <v>357</v>
      </c>
      <c r="B177" s="109">
        <v>88497</v>
      </c>
      <c r="C177" s="108" t="s">
        <v>292</v>
      </c>
      <c r="D177" s="110" t="s">
        <v>341</v>
      </c>
      <c r="E177" s="108" t="s">
        <v>1</v>
      </c>
      <c r="F177" s="109">
        <v>213.39</v>
      </c>
      <c r="G177" s="109"/>
      <c r="H177" s="50">
        <f t="shared" si="46"/>
        <v>0</v>
      </c>
      <c r="I177" s="109">
        <v>2.0299999999999998</v>
      </c>
      <c r="J177" s="46">
        <f t="shared" si="50"/>
        <v>433.18</v>
      </c>
      <c r="K177" s="46">
        <f t="shared" si="50"/>
        <v>0</v>
      </c>
      <c r="L177" s="46">
        <f t="shared" si="51"/>
        <v>0</v>
      </c>
      <c r="M177" s="86">
        <f t="shared" si="45"/>
        <v>0</v>
      </c>
      <c r="O177" s="109"/>
      <c r="P177" s="133"/>
    </row>
    <row r="178" spans="1:16" ht="31.5" x14ac:dyDescent="0.25">
      <c r="A178" s="110" t="s">
        <v>358</v>
      </c>
      <c r="B178" s="109">
        <v>88489</v>
      </c>
      <c r="C178" s="108" t="s">
        <v>292</v>
      </c>
      <c r="D178" s="110" t="s">
        <v>342</v>
      </c>
      <c r="E178" s="108" t="s">
        <v>1</v>
      </c>
      <c r="F178" s="109">
        <v>213.39</v>
      </c>
      <c r="G178" s="109"/>
      <c r="H178" s="50">
        <f t="shared" si="46"/>
        <v>0</v>
      </c>
      <c r="I178" s="109">
        <v>13.38</v>
      </c>
      <c r="J178" s="46">
        <f t="shared" si="50"/>
        <v>2855.16</v>
      </c>
      <c r="K178" s="46">
        <f t="shared" si="50"/>
        <v>0</v>
      </c>
      <c r="L178" s="46">
        <f t="shared" si="51"/>
        <v>0</v>
      </c>
      <c r="M178" s="86">
        <f t="shared" si="45"/>
        <v>0</v>
      </c>
      <c r="O178" s="109"/>
      <c r="P178" s="133"/>
    </row>
    <row r="179" spans="1:16" x14ac:dyDescent="0.25">
      <c r="A179" s="96"/>
      <c r="B179" s="96"/>
      <c r="C179" s="96"/>
      <c r="D179" s="97" t="s">
        <v>344</v>
      </c>
      <c r="E179" s="96"/>
      <c r="F179" s="98"/>
      <c r="G179" s="99"/>
      <c r="H179" s="43"/>
      <c r="I179" s="44"/>
      <c r="J179" s="45"/>
      <c r="K179" s="45"/>
      <c r="L179" s="45"/>
      <c r="M179" s="100"/>
      <c r="O179" s="99"/>
      <c r="P179" s="133"/>
    </row>
    <row r="180" spans="1:16" x14ac:dyDescent="0.25">
      <c r="A180" s="96" t="s">
        <v>343</v>
      </c>
      <c r="B180" s="102"/>
      <c r="C180" s="101"/>
      <c r="D180" s="97" t="s">
        <v>39</v>
      </c>
      <c r="E180" s="101"/>
      <c r="F180" s="103"/>
      <c r="G180" s="99"/>
      <c r="H180" s="104"/>
      <c r="I180" s="44"/>
      <c r="J180" s="45">
        <f>SUM(J181)</f>
        <v>53.52</v>
      </c>
      <c r="K180" s="45">
        <f>SUM(K181)</f>
        <v>53.52</v>
      </c>
      <c r="L180" s="45">
        <f>SUM(L181)</f>
        <v>53.52</v>
      </c>
      <c r="M180" s="100">
        <f>L180/J180</f>
        <v>1</v>
      </c>
      <c r="O180" s="99"/>
      <c r="P180" s="133"/>
    </row>
    <row r="181" spans="1:16" ht="47.25" x14ac:dyDescent="0.25">
      <c r="A181" s="110" t="s">
        <v>359</v>
      </c>
      <c r="B181" s="109" t="s">
        <v>291</v>
      </c>
      <c r="C181" s="109" t="s">
        <v>292</v>
      </c>
      <c r="D181" s="110" t="s">
        <v>293</v>
      </c>
      <c r="E181" s="109" t="s">
        <v>1</v>
      </c>
      <c r="F181" s="109">
        <v>11.61</v>
      </c>
      <c r="G181" s="109">
        <v>11.61</v>
      </c>
      <c r="H181" s="50">
        <f t="shared" ref="H181:H213" si="52">G181+N181</f>
        <v>11.61</v>
      </c>
      <c r="I181" s="109">
        <v>4.6100000000000003</v>
      </c>
      <c r="J181" s="46">
        <f t="shared" ref="J181:L181" si="53">ROUND(F181*$I181,2)</f>
        <v>53.52</v>
      </c>
      <c r="K181" s="46">
        <f t="shared" si="53"/>
        <v>53.52</v>
      </c>
      <c r="L181" s="46">
        <f t="shared" si="53"/>
        <v>53.52</v>
      </c>
      <c r="M181" s="86">
        <f t="shared" si="45"/>
        <v>1</v>
      </c>
      <c r="O181" s="109"/>
      <c r="P181" s="133"/>
    </row>
    <row r="182" spans="1:16" x14ac:dyDescent="0.25">
      <c r="A182" s="96" t="s">
        <v>345</v>
      </c>
      <c r="B182" s="102"/>
      <c r="C182" s="101"/>
      <c r="D182" s="97" t="s">
        <v>130</v>
      </c>
      <c r="E182" s="101"/>
      <c r="F182" s="103"/>
      <c r="G182" s="99"/>
      <c r="H182" s="104"/>
      <c r="I182" s="44"/>
      <c r="J182" s="139">
        <f>SUM(J183:J184)</f>
        <v>355.36</v>
      </c>
      <c r="K182" s="139">
        <f>SUM(K183:K184)</f>
        <v>355.36</v>
      </c>
      <c r="L182" s="139">
        <f>SUM(L183:L184)</f>
        <v>355.36</v>
      </c>
      <c r="M182" s="100">
        <f>L182/J182</f>
        <v>1</v>
      </c>
      <c r="O182" s="99"/>
      <c r="P182" s="133"/>
    </row>
    <row r="183" spans="1:16" ht="31.5" x14ac:dyDescent="0.25">
      <c r="A183" s="110" t="s">
        <v>360</v>
      </c>
      <c r="B183" s="109">
        <v>93358</v>
      </c>
      <c r="C183" s="109" t="s">
        <v>292</v>
      </c>
      <c r="D183" s="111" t="s">
        <v>346</v>
      </c>
      <c r="E183" s="109" t="s">
        <v>58</v>
      </c>
      <c r="F183" s="109">
        <v>5.22</v>
      </c>
      <c r="G183" s="109">
        <v>5.22</v>
      </c>
      <c r="H183" s="50">
        <f t="shared" si="52"/>
        <v>5.22</v>
      </c>
      <c r="I183" s="109">
        <v>61.25</v>
      </c>
      <c r="J183" s="46">
        <f t="shared" ref="J183:L184" si="54">ROUND(F183*$I183,2)</f>
        <v>319.73</v>
      </c>
      <c r="K183" s="49">
        <f t="shared" si="54"/>
        <v>319.73</v>
      </c>
      <c r="L183" s="50">
        <f t="shared" si="54"/>
        <v>319.73</v>
      </c>
      <c r="M183" s="86">
        <f t="shared" si="45"/>
        <v>1</v>
      </c>
      <c r="O183" s="109"/>
      <c r="P183" s="133"/>
    </row>
    <row r="184" spans="1:16" ht="31.5" x14ac:dyDescent="0.25">
      <c r="A184" s="110" t="s">
        <v>361</v>
      </c>
      <c r="B184" s="109">
        <v>93382</v>
      </c>
      <c r="C184" s="108" t="s">
        <v>0</v>
      </c>
      <c r="D184" s="111" t="s">
        <v>296</v>
      </c>
      <c r="E184" s="109" t="s">
        <v>58</v>
      </c>
      <c r="F184" s="109">
        <v>1.58</v>
      </c>
      <c r="G184" s="109">
        <v>1.58</v>
      </c>
      <c r="H184" s="50">
        <f t="shared" si="52"/>
        <v>1.58</v>
      </c>
      <c r="I184" s="109">
        <v>22.55</v>
      </c>
      <c r="J184" s="46">
        <f t="shared" si="54"/>
        <v>35.630000000000003</v>
      </c>
      <c r="K184" s="49">
        <f t="shared" si="54"/>
        <v>35.630000000000003</v>
      </c>
      <c r="L184" s="50">
        <f t="shared" si="54"/>
        <v>35.630000000000003</v>
      </c>
      <c r="M184" s="86">
        <f t="shared" si="45"/>
        <v>1</v>
      </c>
      <c r="O184" s="109"/>
      <c r="P184" s="133"/>
    </row>
    <row r="185" spans="1:16" x14ac:dyDescent="0.25">
      <c r="A185" s="96" t="s">
        <v>347</v>
      </c>
      <c r="B185" s="102"/>
      <c r="C185" s="101"/>
      <c r="D185" s="97" t="s">
        <v>136</v>
      </c>
      <c r="E185" s="101"/>
      <c r="F185" s="103"/>
      <c r="G185" s="99"/>
      <c r="H185" s="104"/>
      <c r="I185" s="44"/>
      <c r="J185" s="45">
        <f>SUM(J186:J192)</f>
        <v>3341.62</v>
      </c>
      <c r="K185" s="45">
        <f>SUM(K186:K192)</f>
        <v>3341.62</v>
      </c>
      <c r="L185" s="45">
        <f>SUM(L186:L192)</f>
        <v>3341.62</v>
      </c>
      <c r="M185" s="100">
        <f>L185/J185</f>
        <v>1</v>
      </c>
      <c r="O185" s="99"/>
      <c r="P185" s="133"/>
    </row>
    <row r="186" spans="1:16" ht="47.25" x14ac:dyDescent="0.25">
      <c r="A186" s="110" t="s">
        <v>362</v>
      </c>
      <c r="B186" s="109">
        <v>94962</v>
      </c>
      <c r="C186" s="109" t="s">
        <v>292</v>
      </c>
      <c r="D186" s="110" t="s">
        <v>301</v>
      </c>
      <c r="E186" s="109" t="s">
        <v>58</v>
      </c>
      <c r="F186" s="109">
        <v>0.56000000000000005</v>
      </c>
      <c r="G186" s="109">
        <v>0.56000000000000005</v>
      </c>
      <c r="H186" s="50">
        <f t="shared" si="52"/>
        <v>0.56000000000000005</v>
      </c>
      <c r="I186" s="109">
        <v>273.17</v>
      </c>
      <c r="J186" s="46">
        <f>ROUND(F186*$I186,2)</f>
        <v>152.97999999999999</v>
      </c>
      <c r="K186" s="49">
        <f>ROUND(G186*$I186,2)</f>
        <v>152.97999999999999</v>
      </c>
      <c r="L186" s="50">
        <f>ROUND(H186*$I186,2)</f>
        <v>152.97999999999999</v>
      </c>
      <c r="M186" s="86">
        <f t="shared" si="45"/>
        <v>1</v>
      </c>
      <c r="O186" s="109"/>
      <c r="P186" s="133"/>
    </row>
    <row r="187" spans="1:16" ht="31.5" x14ac:dyDescent="0.25">
      <c r="A187" s="110" t="s">
        <v>363</v>
      </c>
      <c r="B187" s="109">
        <v>96546</v>
      </c>
      <c r="C187" s="108" t="s">
        <v>0</v>
      </c>
      <c r="D187" s="111" t="s">
        <v>348</v>
      </c>
      <c r="E187" s="109" t="s">
        <v>318</v>
      </c>
      <c r="F187" s="109">
        <v>15.55</v>
      </c>
      <c r="G187" s="109">
        <v>15.55</v>
      </c>
      <c r="H187" s="50">
        <f t="shared" si="52"/>
        <v>15.55</v>
      </c>
      <c r="I187" s="109">
        <v>8.4600000000000009</v>
      </c>
      <c r="J187" s="46">
        <f t="shared" ref="J187:J192" si="55">ROUND(F187*$I187,2)</f>
        <v>131.55000000000001</v>
      </c>
      <c r="K187" s="49">
        <f t="shared" ref="K187:K192" si="56">ROUND(G187*$I187,2)</f>
        <v>131.55000000000001</v>
      </c>
      <c r="L187" s="50">
        <f t="shared" ref="L187:L192" si="57">ROUND(H187*$I187,2)</f>
        <v>131.55000000000001</v>
      </c>
      <c r="M187" s="86">
        <f t="shared" si="45"/>
        <v>1</v>
      </c>
      <c r="O187" s="109"/>
      <c r="P187" s="133"/>
    </row>
    <row r="188" spans="1:16" ht="47.25" x14ac:dyDescent="0.25">
      <c r="A188" s="110" t="s">
        <v>364</v>
      </c>
      <c r="B188" s="109">
        <v>94965</v>
      </c>
      <c r="C188" s="108" t="s">
        <v>0</v>
      </c>
      <c r="D188" s="110" t="s">
        <v>321</v>
      </c>
      <c r="E188" s="109" t="s">
        <v>58</v>
      </c>
      <c r="F188" s="109">
        <v>0.44</v>
      </c>
      <c r="G188" s="109">
        <v>0.44</v>
      </c>
      <c r="H188" s="50">
        <f t="shared" si="52"/>
        <v>0.44</v>
      </c>
      <c r="I188" s="109">
        <v>342.55</v>
      </c>
      <c r="J188" s="46">
        <f t="shared" si="55"/>
        <v>150.72</v>
      </c>
      <c r="K188" s="49">
        <f t="shared" si="56"/>
        <v>150.72</v>
      </c>
      <c r="L188" s="50">
        <f t="shared" si="57"/>
        <v>150.72</v>
      </c>
      <c r="M188" s="86">
        <f t="shared" si="45"/>
        <v>1</v>
      </c>
      <c r="O188" s="109"/>
      <c r="P188" s="133"/>
    </row>
    <row r="189" spans="1:16" ht="47.25" x14ac:dyDescent="0.25">
      <c r="A189" s="110" t="s">
        <v>365</v>
      </c>
      <c r="B189" s="109">
        <v>92873</v>
      </c>
      <c r="C189" s="109" t="s">
        <v>292</v>
      </c>
      <c r="D189" s="110" t="s">
        <v>302</v>
      </c>
      <c r="E189" s="109" t="s">
        <v>58</v>
      </c>
      <c r="F189" s="119">
        <v>1</v>
      </c>
      <c r="G189" s="119">
        <v>1</v>
      </c>
      <c r="H189" s="50">
        <f t="shared" si="52"/>
        <v>1</v>
      </c>
      <c r="I189" s="109">
        <v>158.53</v>
      </c>
      <c r="J189" s="46">
        <f t="shared" si="55"/>
        <v>158.53</v>
      </c>
      <c r="K189" s="49">
        <f t="shared" si="56"/>
        <v>158.53</v>
      </c>
      <c r="L189" s="50">
        <f t="shared" si="57"/>
        <v>158.53</v>
      </c>
      <c r="M189" s="86">
        <f t="shared" si="45"/>
        <v>1</v>
      </c>
      <c r="O189" s="119"/>
      <c r="P189" s="133"/>
    </row>
    <row r="190" spans="1:16" ht="31.5" x14ac:dyDescent="0.25">
      <c r="A190" s="110" t="s">
        <v>366</v>
      </c>
      <c r="B190" s="109">
        <v>95467</v>
      </c>
      <c r="C190" s="109" t="s">
        <v>292</v>
      </c>
      <c r="D190" s="110" t="s">
        <v>303</v>
      </c>
      <c r="E190" s="108" t="s">
        <v>58</v>
      </c>
      <c r="F190" s="109">
        <v>3.18</v>
      </c>
      <c r="G190" s="109">
        <v>3.18</v>
      </c>
      <c r="H190" s="50">
        <f t="shared" si="52"/>
        <v>3.18</v>
      </c>
      <c r="I190" s="109">
        <v>396.86</v>
      </c>
      <c r="J190" s="46">
        <f t="shared" si="55"/>
        <v>1262.01</v>
      </c>
      <c r="K190" s="49">
        <f t="shared" si="56"/>
        <v>1262.01</v>
      </c>
      <c r="L190" s="50">
        <f t="shared" si="57"/>
        <v>1262.01</v>
      </c>
      <c r="M190" s="86">
        <f t="shared" si="45"/>
        <v>1</v>
      </c>
      <c r="O190" s="109"/>
      <c r="P190" s="133"/>
    </row>
    <row r="191" spans="1:16" ht="31.5" x14ac:dyDescent="0.25">
      <c r="A191" s="110" t="s">
        <v>367</v>
      </c>
      <c r="B191" s="109">
        <v>96534</v>
      </c>
      <c r="C191" s="108" t="s">
        <v>0</v>
      </c>
      <c r="D191" s="110" t="s">
        <v>304</v>
      </c>
      <c r="E191" s="108" t="s">
        <v>1</v>
      </c>
      <c r="F191" s="109">
        <v>18.489999999999998</v>
      </c>
      <c r="G191" s="109">
        <v>18.489999999999998</v>
      </c>
      <c r="H191" s="50">
        <f t="shared" si="52"/>
        <v>18.489999999999998</v>
      </c>
      <c r="I191" s="109">
        <v>59.28</v>
      </c>
      <c r="J191" s="46">
        <f t="shared" si="55"/>
        <v>1096.0899999999999</v>
      </c>
      <c r="K191" s="49">
        <f t="shared" si="56"/>
        <v>1096.0899999999999</v>
      </c>
      <c r="L191" s="50">
        <f t="shared" si="57"/>
        <v>1096.0899999999999</v>
      </c>
      <c r="M191" s="86">
        <f t="shared" si="45"/>
        <v>1</v>
      </c>
      <c r="O191" s="109"/>
      <c r="P191" s="133"/>
    </row>
    <row r="192" spans="1:16" ht="31.5" x14ac:dyDescent="0.25">
      <c r="A192" s="110" t="s">
        <v>368</v>
      </c>
      <c r="B192" s="109" t="s">
        <v>147</v>
      </c>
      <c r="C192" s="109" t="s">
        <v>292</v>
      </c>
      <c r="D192" s="110" t="s">
        <v>349</v>
      </c>
      <c r="E192" s="109" t="s">
        <v>1</v>
      </c>
      <c r="F192" s="109">
        <v>38.549999999999997</v>
      </c>
      <c r="G192" s="109">
        <v>38.549999999999997</v>
      </c>
      <c r="H192" s="50">
        <f t="shared" si="52"/>
        <v>38.549999999999997</v>
      </c>
      <c r="I192" s="109">
        <v>10.11</v>
      </c>
      <c r="J192" s="46">
        <f t="shared" si="55"/>
        <v>389.74</v>
      </c>
      <c r="K192" s="49">
        <f t="shared" si="56"/>
        <v>389.74</v>
      </c>
      <c r="L192" s="50">
        <f t="shared" si="57"/>
        <v>389.74</v>
      </c>
      <c r="M192" s="86">
        <f t="shared" si="45"/>
        <v>1</v>
      </c>
      <c r="O192" s="109"/>
      <c r="P192" s="133"/>
    </row>
    <row r="193" spans="1:16" x14ac:dyDescent="0.25">
      <c r="A193" s="96" t="s">
        <v>350</v>
      </c>
      <c r="B193" s="102"/>
      <c r="C193" s="101"/>
      <c r="D193" s="97" t="s">
        <v>308</v>
      </c>
      <c r="E193" s="101"/>
      <c r="F193" s="103"/>
      <c r="G193" s="103"/>
      <c r="H193" s="104"/>
      <c r="I193" s="44"/>
      <c r="J193" s="45">
        <f>SUM(J194:J206)</f>
        <v>4402.0891000000001</v>
      </c>
      <c r="K193" s="45">
        <f>SUM(K194:K206)</f>
        <v>4402.0891000000001</v>
      </c>
      <c r="L193" s="45">
        <f>SUM(L194:L206)</f>
        <v>4402.0891000000001</v>
      </c>
      <c r="M193" s="100">
        <f>L193/J193</f>
        <v>1</v>
      </c>
      <c r="O193" s="103"/>
      <c r="P193" s="133"/>
    </row>
    <row r="194" spans="1:16" ht="31.5" x14ac:dyDescent="0.25">
      <c r="A194" s="110" t="s">
        <v>369</v>
      </c>
      <c r="B194" s="109">
        <v>96534</v>
      </c>
      <c r="C194" s="108" t="s">
        <v>0</v>
      </c>
      <c r="D194" s="111" t="s">
        <v>304</v>
      </c>
      <c r="E194" s="108" t="s">
        <v>1</v>
      </c>
      <c r="F194" s="109">
        <v>9.73</v>
      </c>
      <c r="G194" s="109">
        <v>9.73</v>
      </c>
      <c r="H194" s="50">
        <f t="shared" si="52"/>
        <v>9.73</v>
      </c>
      <c r="I194" s="109">
        <v>59.28</v>
      </c>
      <c r="J194" s="46">
        <f>F194*$I194</f>
        <v>576.7944</v>
      </c>
      <c r="K194" s="49">
        <f>G194*$I194</f>
        <v>576.7944</v>
      </c>
      <c r="L194" s="50">
        <f>H194*$I194</f>
        <v>576.7944</v>
      </c>
      <c r="M194" s="86">
        <f t="shared" si="45"/>
        <v>1</v>
      </c>
      <c r="O194" s="109"/>
      <c r="P194" s="133"/>
    </row>
    <row r="195" spans="1:16" ht="31.5" x14ac:dyDescent="0.25">
      <c r="A195" s="110" t="s">
        <v>370</v>
      </c>
      <c r="B195" s="109">
        <v>96543</v>
      </c>
      <c r="C195" s="108" t="s">
        <v>0</v>
      </c>
      <c r="D195" s="110" t="s">
        <v>322</v>
      </c>
      <c r="E195" s="108" t="s">
        <v>318</v>
      </c>
      <c r="F195" s="109">
        <v>17.28</v>
      </c>
      <c r="G195" s="109">
        <v>17.28</v>
      </c>
      <c r="H195" s="50">
        <f t="shared" si="52"/>
        <v>17.28</v>
      </c>
      <c r="I195" s="109">
        <v>12.36</v>
      </c>
      <c r="J195" s="46">
        <f t="shared" ref="J195:J198" si="58">F195*$I195</f>
        <v>213.58080000000001</v>
      </c>
      <c r="K195" s="49">
        <f t="shared" ref="K195:K198" si="59">G195*$I195</f>
        <v>213.58080000000001</v>
      </c>
      <c r="L195" s="50">
        <f t="shared" ref="L195:L198" si="60">H195*$I195</f>
        <v>213.58080000000001</v>
      </c>
      <c r="M195" s="86">
        <f t="shared" si="45"/>
        <v>1</v>
      </c>
      <c r="O195" s="109"/>
      <c r="P195" s="133"/>
    </row>
    <row r="196" spans="1:16" ht="31.5" x14ac:dyDescent="0.25">
      <c r="A196" s="110" t="s">
        <v>371</v>
      </c>
      <c r="B196" s="109">
        <v>96546</v>
      </c>
      <c r="C196" s="108" t="s">
        <v>0</v>
      </c>
      <c r="D196" s="110" t="s">
        <v>323</v>
      </c>
      <c r="E196" s="108" t="s">
        <v>318</v>
      </c>
      <c r="F196" s="109">
        <v>50.61</v>
      </c>
      <c r="G196" s="109">
        <v>50.61</v>
      </c>
      <c r="H196" s="50">
        <f t="shared" si="52"/>
        <v>50.61</v>
      </c>
      <c r="I196" s="109">
        <v>8.4600000000000009</v>
      </c>
      <c r="J196" s="46">
        <f t="shared" si="58"/>
        <v>428.16060000000004</v>
      </c>
      <c r="K196" s="49">
        <f t="shared" si="59"/>
        <v>428.16060000000004</v>
      </c>
      <c r="L196" s="50">
        <f t="shared" si="60"/>
        <v>428.16060000000004</v>
      </c>
      <c r="M196" s="86">
        <f t="shared" si="45"/>
        <v>1</v>
      </c>
      <c r="O196" s="109"/>
      <c r="P196" s="133"/>
    </row>
    <row r="197" spans="1:16" ht="47.25" x14ac:dyDescent="0.25">
      <c r="A197" s="110" t="s">
        <v>372</v>
      </c>
      <c r="B197" s="109">
        <v>94965</v>
      </c>
      <c r="C197" s="108" t="s">
        <v>0</v>
      </c>
      <c r="D197" s="110" t="s">
        <v>321</v>
      </c>
      <c r="E197" s="108" t="s">
        <v>58</v>
      </c>
      <c r="F197" s="109">
        <v>0.46</v>
      </c>
      <c r="G197" s="109">
        <v>0.46</v>
      </c>
      <c r="H197" s="50">
        <f t="shared" si="52"/>
        <v>0.46</v>
      </c>
      <c r="I197" s="109">
        <v>342.54</v>
      </c>
      <c r="J197" s="46">
        <f t="shared" si="58"/>
        <v>157.56840000000003</v>
      </c>
      <c r="K197" s="49">
        <f t="shared" si="59"/>
        <v>157.56840000000003</v>
      </c>
      <c r="L197" s="50">
        <f t="shared" si="60"/>
        <v>157.56840000000003</v>
      </c>
      <c r="M197" s="86">
        <f t="shared" si="45"/>
        <v>1</v>
      </c>
      <c r="O197" s="109"/>
      <c r="P197" s="133"/>
    </row>
    <row r="198" spans="1:16" ht="47.25" x14ac:dyDescent="0.25">
      <c r="A198" s="110" t="s">
        <v>373</v>
      </c>
      <c r="B198" s="109">
        <v>92873</v>
      </c>
      <c r="C198" s="108" t="s">
        <v>292</v>
      </c>
      <c r="D198" s="110" t="s">
        <v>302</v>
      </c>
      <c r="E198" s="108" t="s">
        <v>58</v>
      </c>
      <c r="F198" s="109">
        <v>0.46</v>
      </c>
      <c r="G198" s="109">
        <v>0.46</v>
      </c>
      <c r="H198" s="50">
        <f t="shared" si="52"/>
        <v>0.46</v>
      </c>
      <c r="I198" s="109">
        <v>158.53</v>
      </c>
      <c r="J198" s="46">
        <f t="shared" si="58"/>
        <v>72.9238</v>
      </c>
      <c r="K198" s="49">
        <f t="shared" si="59"/>
        <v>72.9238</v>
      </c>
      <c r="L198" s="50">
        <f t="shared" si="60"/>
        <v>72.9238</v>
      </c>
      <c r="M198" s="86">
        <f t="shared" si="45"/>
        <v>1</v>
      </c>
      <c r="O198" s="109"/>
      <c r="P198" s="133"/>
    </row>
    <row r="199" spans="1:16" x14ac:dyDescent="0.25">
      <c r="A199" s="96"/>
      <c r="B199" s="102"/>
      <c r="C199" s="101"/>
      <c r="D199" s="97" t="s">
        <v>324</v>
      </c>
      <c r="E199" s="101"/>
      <c r="F199" s="103"/>
      <c r="G199" s="103"/>
      <c r="H199" s="104"/>
      <c r="I199" s="44"/>
      <c r="J199" s="105"/>
      <c r="K199" s="99"/>
      <c r="L199" s="104"/>
      <c r="M199" s="106"/>
      <c r="O199" s="103"/>
      <c r="P199" s="133"/>
    </row>
    <row r="200" spans="1:16" ht="31.5" x14ac:dyDescent="0.25">
      <c r="A200" s="110" t="s">
        <v>374</v>
      </c>
      <c r="B200" s="109">
        <v>96534</v>
      </c>
      <c r="C200" s="108" t="s">
        <v>0</v>
      </c>
      <c r="D200" s="111" t="s">
        <v>304</v>
      </c>
      <c r="E200" s="108" t="s">
        <v>1</v>
      </c>
      <c r="F200" s="109">
        <v>15.67</v>
      </c>
      <c r="G200" s="109">
        <v>15.67</v>
      </c>
      <c r="H200" s="50">
        <f t="shared" si="52"/>
        <v>15.67</v>
      </c>
      <c r="I200" s="109">
        <v>59.28</v>
      </c>
      <c r="J200" s="46">
        <f t="shared" ref="J200:J206" si="61">F200*$I200</f>
        <v>928.91759999999999</v>
      </c>
      <c r="K200" s="49">
        <f t="shared" ref="K200:L206" si="62">G200*$I200</f>
        <v>928.91759999999999</v>
      </c>
      <c r="L200" s="50">
        <f t="shared" si="62"/>
        <v>928.91759999999999</v>
      </c>
      <c r="M200" s="86">
        <f t="shared" si="45"/>
        <v>1</v>
      </c>
      <c r="O200" s="109"/>
      <c r="P200" s="133"/>
    </row>
    <row r="201" spans="1:16" ht="31.5" x14ac:dyDescent="0.25">
      <c r="A201" s="110" t="s">
        <v>375</v>
      </c>
      <c r="B201" s="109">
        <v>96543</v>
      </c>
      <c r="C201" s="108" t="s">
        <v>0</v>
      </c>
      <c r="D201" s="111" t="s">
        <v>316</v>
      </c>
      <c r="E201" s="108" t="s">
        <v>318</v>
      </c>
      <c r="F201" s="109">
        <v>58</v>
      </c>
      <c r="G201" s="109">
        <v>58</v>
      </c>
      <c r="H201" s="50">
        <f t="shared" si="52"/>
        <v>58</v>
      </c>
      <c r="I201" s="109">
        <v>12.36</v>
      </c>
      <c r="J201" s="46">
        <f t="shared" si="61"/>
        <v>716.88</v>
      </c>
      <c r="K201" s="49">
        <f t="shared" si="62"/>
        <v>716.88</v>
      </c>
      <c r="L201" s="50">
        <f t="shared" si="62"/>
        <v>716.88</v>
      </c>
      <c r="M201" s="86">
        <f t="shared" si="45"/>
        <v>1</v>
      </c>
      <c r="O201" s="109"/>
      <c r="P201" s="133"/>
    </row>
    <row r="202" spans="1:16" ht="31.5" x14ac:dyDescent="0.25">
      <c r="A202" s="110" t="s">
        <v>376</v>
      </c>
      <c r="B202" s="109">
        <v>96544</v>
      </c>
      <c r="C202" s="108" t="s">
        <v>0</v>
      </c>
      <c r="D202" s="111" t="s">
        <v>317</v>
      </c>
      <c r="E202" s="108" t="s">
        <v>318</v>
      </c>
      <c r="F202" s="109">
        <v>12</v>
      </c>
      <c r="G202" s="109">
        <v>12</v>
      </c>
      <c r="H202" s="50">
        <f t="shared" si="52"/>
        <v>12</v>
      </c>
      <c r="I202" s="109">
        <v>10.75</v>
      </c>
      <c r="J202" s="46">
        <f t="shared" si="61"/>
        <v>129</v>
      </c>
      <c r="K202" s="49">
        <f t="shared" si="62"/>
        <v>129</v>
      </c>
      <c r="L202" s="50">
        <f t="shared" si="62"/>
        <v>129</v>
      </c>
      <c r="M202" s="86">
        <f t="shared" si="45"/>
        <v>1</v>
      </c>
      <c r="O202" s="109"/>
      <c r="P202" s="133"/>
    </row>
    <row r="203" spans="1:16" ht="31.5" x14ac:dyDescent="0.25">
      <c r="A203" s="110" t="s">
        <v>377</v>
      </c>
      <c r="B203" s="109">
        <v>96545</v>
      </c>
      <c r="C203" s="108" t="s">
        <v>0</v>
      </c>
      <c r="D203" s="111" t="s">
        <v>319</v>
      </c>
      <c r="E203" s="108" t="s">
        <v>318</v>
      </c>
      <c r="F203" s="109">
        <v>36</v>
      </c>
      <c r="G203" s="109">
        <v>36</v>
      </c>
      <c r="H203" s="50">
        <f t="shared" si="52"/>
        <v>36</v>
      </c>
      <c r="I203" s="109">
        <v>10.36</v>
      </c>
      <c r="J203" s="46">
        <f t="shared" si="61"/>
        <v>372.96</v>
      </c>
      <c r="K203" s="49">
        <f t="shared" si="62"/>
        <v>372.96</v>
      </c>
      <c r="L203" s="50">
        <f t="shared" si="62"/>
        <v>372.96</v>
      </c>
      <c r="M203" s="86">
        <f t="shared" si="45"/>
        <v>1</v>
      </c>
      <c r="O203" s="109"/>
      <c r="P203" s="133"/>
    </row>
    <row r="204" spans="1:16" ht="31.5" x14ac:dyDescent="0.25">
      <c r="A204" s="110" t="s">
        <v>378</v>
      </c>
      <c r="B204" s="109">
        <v>96546</v>
      </c>
      <c r="C204" s="108" t="s">
        <v>0</v>
      </c>
      <c r="D204" s="111" t="s">
        <v>320</v>
      </c>
      <c r="E204" s="108" t="s">
        <v>318</v>
      </c>
      <c r="F204" s="109">
        <v>33</v>
      </c>
      <c r="G204" s="109">
        <v>33</v>
      </c>
      <c r="H204" s="50">
        <f t="shared" si="52"/>
        <v>33</v>
      </c>
      <c r="I204" s="109">
        <v>8.4600000000000009</v>
      </c>
      <c r="J204" s="46">
        <f t="shared" si="61"/>
        <v>279.18</v>
      </c>
      <c r="K204" s="49">
        <f t="shared" si="62"/>
        <v>279.18</v>
      </c>
      <c r="L204" s="50">
        <f t="shared" si="62"/>
        <v>279.18</v>
      </c>
      <c r="M204" s="86">
        <f t="shared" si="45"/>
        <v>1</v>
      </c>
      <c r="O204" s="109"/>
      <c r="P204" s="133"/>
    </row>
    <row r="205" spans="1:16" ht="47.25" x14ac:dyDescent="0.25">
      <c r="A205" s="110" t="s">
        <v>379</v>
      </c>
      <c r="B205" s="109">
        <v>94965</v>
      </c>
      <c r="C205" s="108" t="s">
        <v>0</v>
      </c>
      <c r="D205" s="110" t="s">
        <v>321</v>
      </c>
      <c r="E205" s="108" t="s">
        <v>58</v>
      </c>
      <c r="F205" s="109">
        <v>1.05</v>
      </c>
      <c r="G205" s="109">
        <v>1.05</v>
      </c>
      <c r="H205" s="50">
        <f t="shared" si="52"/>
        <v>1.05</v>
      </c>
      <c r="I205" s="109">
        <v>342.54</v>
      </c>
      <c r="J205" s="46">
        <f t="shared" si="61"/>
        <v>359.66700000000003</v>
      </c>
      <c r="K205" s="49">
        <f t="shared" si="62"/>
        <v>359.66700000000003</v>
      </c>
      <c r="L205" s="50">
        <f t="shared" si="62"/>
        <v>359.66700000000003</v>
      </c>
      <c r="M205" s="86">
        <f t="shared" si="45"/>
        <v>1</v>
      </c>
      <c r="O205" s="109"/>
      <c r="P205" s="133"/>
    </row>
    <row r="206" spans="1:16" ht="47.25" x14ac:dyDescent="0.25">
      <c r="A206" s="110" t="s">
        <v>380</v>
      </c>
      <c r="B206" s="109">
        <v>92873</v>
      </c>
      <c r="C206" s="109" t="s">
        <v>292</v>
      </c>
      <c r="D206" s="110" t="s">
        <v>302</v>
      </c>
      <c r="E206" s="108" t="s">
        <v>58</v>
      </c>
      <c r="F206" s="109">
        <v>1.05</v>
      </c>
      <c r="G206" s="109">
        <v>1.05</v>
      </c>
      <c r="H206" s="50">
        <f t="shared" si="52"/>
        <v>1.05</v>
      </c>
      <c r="I206" s="109">
        <v>158.53</v>
      </c>
      <c r="J206" s="46">
        <f t="shared" si="61"/>
        <v>166.45650000000001</v>
      </c>
      <c r="K206" s="49">
        <f t="shared" si="62"/>
        <v>166.45650000000001</v>
      </c>
      <c r="L206" s="50">
        <f t="shared" si="62"/>
        <v>166.45650000000001</v>
      </c>
      <c r="M206" s="86">
        <f t="shared" si="45"/>
        <v>1</v>
      </c>
      <c r="O206" s="109"/>
      <c r="P206" s="133"/>
    </row>
    <row r="207" spans="1:16" x14ac:dyDescent="0.25">
      <c r="A207" s="96" t="s">
        <v>351</v>
      </c>
      <c r="B207" s="102"/>
      <c r="C207" s="101"/>
      <c r="D207" s="97" t="s">
        <v>150</v>
      </c>
      <c r="E207" s="101"/>
      <c r="F207" s="103"/>
      <c r="G207" s="103"/>
      <c r="H207" s="104"/>
      <c r="I207" s="44"/>
      <c r="J207" s="45">
        <f>SUM(J208:J213)</f>
        <v>7610.59</v>
      </c>
      <c r="K207" s="45">
        <f>SUM(K208:K213)</f>
        <v>7610.59</v>
      </c>
      <c r="L207" s="45">
        <f>SUM(L208:L213)</f>
        <v>7610.59</v>
      </c>
      <c r="M207" s="100">
        <f>L207/J207</f>
        <v>1</v>
      </c>
      <c r="O207" s="103"/>
      <c r="P207" s="133"/>
    </row>
    <row r="208" spans="1:16" ht="78.75" x14ac:dyDescent="0.25">
      <c r="A208" s="110" t="s">
        <v>381</v>
      </c>
      <c r="B208" s="109">
        <v>87495</v>
      </c>
      <c r="C208" s="108" t="s">
        <v>292</v>
      </c>
      <c r="D208" s="110" t="s">
        <v>337</v>
      </c>
      <c r="E208" s="108" t="s">
        <v>1</v>
      </c>
      <c r="F208" s="109">
        <v>39.14</v>
      </c>
      <c r="G208" s="109">
        <v>39.14</v>
      </c>
      <c r="H208" s="50">
        <f t="shared" si="52"/>
        <v>39.14</v>
      </c>
      <c r="I208" s="109">
        <v>63.61</v>
      </c>
      <c r="J208" s="46">
        <f t="shared" ref="J208:L213" si="63">ROUND(F208*$I208,2)</f>
        <v>2489.6999999999998</v>
      </c>
      <c r="K208" s="49">
        <f t="shared" si="63"/>
        <v>2489.6999999999998</v>
      </c>
      <c r="L208" s="50">
        <f t="shared" si="63"/>
        <v>2489.6999999999998</v>
      </c>
      <c r="M208" s="86">
        <f t="shared" si="45"/>
        <v>1</v>
      </c>
      <c r="O208" s="109"/>
      <c r="P208" s="133"/>
    </row>
    <row r="209" spans="1:16" ht="63" x14ac:dyDescent="0.25">
      <c r="A209" s="110" t="s">
        <v>382</v>
      </c>
      <c r="B209" s="109">
        <v>87894</v>
      </c>
      <c r="C209" s="108" t="s">
        <v>0</v>
      </c>
      <c r="D209" s="110" t="s">
        <v>338</v>
      </c>
      <c r="E209" s="108" t="s">
        <v>1</v>
      </c>
      <c r="F209" s="109">
        <v>86.56</v>
      </c>
      <c r="G209" s="109">
        <v>86.56</v>
      </c>
      <c r="H209" s="50">
        <f t="shared" si="52"/>
        <v>86.56</v>
      </c>
      <c r="I209" s="109">
        <v>4.58</v>
      </c>
      <c r="J209" s="46">
        <f t="shared" si="63"/>
        <v>396.44</v>
      </c>
      <c r="K209" s="49">
        <f t="shared" si="63"/>
        <v>396.44</v>
      </c>
      <c r="L209" s="50">
        <f t="shared" si="63"/>
        <v>396.44</v>
      </c>
      <c r="M209" s="86">
        <f t="shared" si="45"/>
        <v>1</v>
      </c>
      <c r="O209" s="109"/>
      <c r="P209" s="133"/>
    </row>
    <row r="210" spans="1:16" ht="78.75" x14ac:dyDescent="0.25">
      <c r="A210" s="110" t="s">
        <v>383</v>
      </c>
      <c r="B210" s="109">
        <v>87530</v>
      </c>
      <c r="C210" s="108" t="s">
        <v>0</v>
      </c>
      <c r="D210" s="110" t="s">
        <v>339</v>
      </c>
      <c r="E210" s="109" t="s">
        <v>1</v>
      </c>
      <c r="F210" s="109">
        <v>86.56</v>
      </c>
      <c r="G210" s="109">
        <v>86.56</v>
      </c>
      <c r="H210" s="50">
        <f t="shared" si="52"/>
        <v>86.56</v>
      </c>
      <c r="I210" s="109">
        <v>27.73</v>
      </c>
      <c r="J210" s="46">
        <f t="shared" si="63"/>
        <v>2400.31</v>
      </c>
      <c r="K210" s="49">
        <f t="shared" si="63"/>
        <v>2400.31</v>
      </c>
      <c r="L210" s="50">
        <f t="shared" si="63"/>
        <v>2400.31</v>
      </c>
      <c r="M210" s="86">
        <f t="shared" si="45"/>
        <v>1</v>
      </c>
      <c r="O210" s="109"/>
      <c r="P210" s="133"/>
    </row>
    <row r="211" spans="1:16" ht="31.5" x14ac:dyDescent="0.25">
      <c r="A211" s="110" t="s">
        <v>384</v>
      </c>
      <c r="B211" s="109">
        <v>88485</v>
      </c>
      <c r="C211" s="108" t="s">
        <v>292</v>
      </c>
      <c r="D211" s="110" t="s">
        <v>340</v>
      </c>
      <c r="E211" s="109" t="s">
        <v>1</v>
      </c>
      <c r="F211" s="109">
        <v>86.56</v>
      </c>
      <c r="G211" s="109">
        <v>86.56</v>
      </c>
      <c r="H211" s="50">
        <f t="shared" si="52"/>
        <v>86.56</v>
      </c>
      <c r="I211" s="109">
        <v>11.44</v>
      </c>
      <c r="J211" s="46">
        <f t="shared" si="63"/>
        <v>990.25</v>
      </c>
      <c r="K211" s="49">
        <f t="shared" si="63"/>
        <v>990.25</v>
      </c>
      <c r="L211" s="50">
        <f t="shared" si="63"/>
        <v>990.25</v>
      </c>
      <c r="M211" s="86">
        <f t="shared" si="45"/>
        <v>1</v>
      </c>
      <c r="O211" s="109"/>
      <c r="P211" s="133"/>
    </row>
    <row r="212" spans="1:16" ht="31.5" x14ac:dyDescent="0.25">
      <c r="A212" s="110" t="s">
        <v>385</v>
      </c>
      <c r="B212" s="109">
        <v>88497</v>
      </c>
      <c r="C212" s="108" t="s">
        <v>292</v>
      </c>
      <c r="D212" s="110" t="s">
        <v>341</v>
      </c>
      <c r="E212" s="109" t="s">
        <v>1</v>
      </c>
      <c r="F212" s="109">
        <v>86.56</v>
      </c>
      <c r="G212" s="109">
        <v>86.56</v>
      </c>
      <c r="H212" s="50">
        <f t="shared" si="52"/>
        <v>86.56</v>
      </c>
      <c r="I212" s="109">
        <v>2.0299999999999998</v>
      </c>
      <c r="J212" s="46">
        <f t="shared" si="63"/>
        <v>175.72</v>
      </c>
      <c r="K212" s="49">
        <f t="shared" si="63"/>
        <v>175.72</v>
      </c>
      <c r="L212" s="50">
        <f t="shared" si="63"/>
        <v>175.72</v>
      </c>
      <c r="M212" s="86">
        <f t="shared" si="45"/>
        <v>1</v>
      </c>
      <c r="O212" s="109"/>
      <c r="P212" s="133"/>
    </row>
    <row r="213" spans="1:16" ht="31.5" x14ac:dyDescent="0.25">
      <c r="A213" s="110" t="s">
        <v>386</v>
      </c>
      <c r="B213" s="109">
        <v>88489</v>
      </c>
      <c r="C213" s="108" t="s">
        <v>292</v>
      </c>
      <c r="D213" s="110" t="s">
        <v>342</v>
      </c>
      <c r="E213" s="109" t="s">
        <v>1</v>
      </c>
      <c r="F213" s="109">
        <v>86.56</v>
      </c>
      <c r="G213" s="109">
        <v>86.56</v>
      </c>
      <c r="H213" s="50">
        <f t="shared" si="52"/>
        <v>86.56</v>
      </c>
      <c r="I213" s="109">
        <v>13.38</v>
      </c>
      <c r="J213" s="46">
        <f t="shared" si="63"/>
        <v>1158.17</v>
      </c>
      <c r="K213" s="49">
        <f t="shared" si="63"/>
        <v>1158.17</v>
      </c>
      <c r="L213" s="50">
        <f t="shared" si="63"/>
        <v>1158.17</v>
      </c>
      <c r="M213" s="86">
        <f t="shared" si="45"/>
        <v>1</v>
      </c>
      <c r="O213" s="109"/>
      <c r="P213" s="133"/>
    </row>
    <row r="214" spans="1:16" x14ac:dyDescent="0.25">
      <c r="A214" s="118"/>
      <c r="B214" s="117"/>
      <c r="C214" s="116"/>
      <c r="D214" s="118"/>
      <c r="E214" s="117"/>
      <c r="F214" s="117"/>
      <c r="G214" s="117"/>
      <c r="H214" s="124"/>
      <c r="I214" s="117"/>
      <c r="J214" s="125"/>
      <c r="K214" s="126"/>
      <c r="L214" s="124"/>
      <c r="M214" s="127"/>
    </row>
    <row r="215" spans="1:16" ht="16.5" thickBot="1" x14ac:dyDescent="0.3">
      <c r="A215" s="19"/>
    </row>
    <row r="216" spans="1:16" ht="21.75" thickBot="1" x14ac:dyDescent="0.4">
      <c r="A216" s="150" t="s">
        <v>23</v>
      </c>
      <c r="B216" s="150"/>
      <c r="C216" s="150"/>
      <c r="D216" s="150"/>
      <c r="E216" s="150"/>
      <c r="F216" s="150"/>
      <c r="G216" s="150"/>
      <c r="H216" s="150"/>
      <c r="I216" s="150"/>
    </row>
    <row r="217" spans="1:16" ht="16.5" thickBot="1" x14ac:dyDescent="0.3">
      <c r="A217" s="159" t="s">
        <v>8</v>
      </c>
      <c r="B217" s="159"/>
      <c r="C217" s="159"/>
      <c r="D217" s="159"/>
      <c r="E217" s="159"/>
      <c r="F217" s="160" t="s">
        <v>11</v>
      </c>
      <c r="G217" s="160"/>
      <c r="H217" s="160"/>
      <c r="I217" s="161" t="s">
        <v>19</v>
      </c>
    </row>
    <row r="218" spans="1:16" ht="63.75" thickBot="1" x14ac:dyDescent="0.3">
      <c r="A218" s="159"/>
      <c r="B218" s="159"/>
      <c r="C218" s="159"/>
      <c r="D218" s="159"/>
      <c r="E218" s="159"/>
      <c r="F218" s="129" t="s">
        <v>12</v>
      </c>
      <c r="G218" s="129" t="s">
        <v>13</v>
      </c>
      <c r="H218" s="129" t="s">
        <v>14</v>
      </c>
      <c r="I218" s="161"/>
    </row>
    <row r="219" spans="1:16" x14ac:dyDescent="0.25">
      <c r="A219" s="14"/>
      <c r="B219" s="147" t="s">
        <v>45</v>
      </c>
      <c r="C219" s="147"/>
      <c r="D219" s="147"/>
      <c r="E219" s="147"/>
      <c r="F219" s="140">
        <f>J10+J18+J30+J36+J39+J45+J48+J53+J56+J62+J65+J73+J83+J88+J92+J112+J117+J123+J138+J142+J145+J147+J150+J158+J172+J180+J182+J185+J193+J207</f>
        <v>369103.67952500004</v>
      </c>
      <c r="G219" s="140">
        <f>K10+K18+K30+K36+K39+K45+K48+K53+K56+K62+K65+K73+K83+K88+K92+K112+K117+K123+K138+K142+K145+K147+K150+K158+K172+K180+K182+K185+K193+K207</f>
        <v>30473.41604</v>
      </c>
      <c r="H219" s="130">
        <f>L10+L18+L30+L36+L39+L45+L48+L53+L56+L62+L65+L73+L83+L88+L92+L112+L117+L123+L138+L142+L145+L147+L150+L158+L172+L180+L182+L185+L193+L207+0.01</f>
        <v>193061.67604000002</v>
      </c>
      <c r="I219" s="15">
        <f>H219/F219</f>
        <v>0.52305540895298397</v>
      </c>
    </row>
    <row r="220" spans="1:16" x14ac:dyDescent="0.25">
      <c r="A220" s="148" t="s">
        <v>24</v>
      </c>
      <c r="B220" s="149"/>
      <c r="C220" s="149"/>
      <c r="D220" s="149"/>
      <c r="E220" s="149"/>
      <c r="F220" s="5">
        <f>SUM(F219:F219)</f>
        <v>369103.67952500004</v>
      </c>
      <c r="G220" s="5">
        <f>SUM(G219:G219)</f>
        <v>30473.41604</v>
      </c>
      <c r="H220" s="5">
        <f>SUM(H219:H219)</f>
        <v>193061.67604000002</v>
      </c>
      <c r="I220" s="16">
        <f>H220/F220</f>
        <v>0.52305540895298397</v>
      </c>
      <c r="J220" s="4"/>
    </row>
    <row r="221" spans="1:16" x14ac:dyDescent="0.25">
      <c r="A221" s="148" t="s">
        <v>25</v>
      </c>
      <c r="B221" s="149"/>
      <c r="C221" s="149"/>
      <c r="D221" s="149"/>
      <c r="E221" s="149"/>
      <c r="F221" s="151">
        <f>82361.68+80226.58</f>
        <v>162588.26</v>
      </c>
      <c r="G221" s="152"/>
      <c r="H221" s="153"/>
      <c r="I221" s="16">
        <f>F221/F220</f>
        <v>0.44049482305143917</v>
      </c>
      <c r="J221" s="4"/>
    </row>
    <row r="222" spans="1:16" ht="16.5" thickBot="1" x14ac:dyDescent="0.3">
      <c r="A222" s="154" t="s">
        <v>26</v>
      </c>
      <c r="B222" s="155"/>
      <c r="C222" s="155"/>
      <c r="D222" s="155"/>
      <c r="E222" s="155"/>
      <c r="F222" s="156">
        <f>H220-F221</f>
        <v>30473.416040000011</v>
      </c>
      <c r="G222" s="157"/>
      <c r="H222" s="158"/>
      <c r="I222" s="17">
        <f>F222/F220</f>
        <v>8.2560585901544747E-2</v>
      </c>
      <c r="J222" s="137"/>
      <c r="K222" s="6"/>
      <c r="L222" s="7"/>
      <c r="M222" s="8"/>
    </row>
    <row r="223" spans="1:16" ht="16.5" thickBot="1" x14ac:dyDescent="0.3">
      <c r="J223" s="13"/>
      <c r="K223" s="9"/>
      <c r="L223" s="7"/>
      <c r="M223" s="8"/>
    </row>
    <row r="224" spans="1:16" ht="16.5" thickBot="1" x14ac:dyDescent="0.3">
      <c r="A224" s="18" t="s">
        <v>27</v>
      </c>
      <c r="B224" s="144" t="s">
        <v>402</v>
      </c>
      <c r="C224" s="145"/>
      <c r="D224" s="145"/>
      <c r="E224" s="145"/>
      <c r="F224" s="145"/>
      <c r="G224" s="145"/>
      <c r="H224" s="145"/>
      <c r="I224" s="146"/>
      <c r="J224" s="13"/>
      <c r="K224" s="6"/>
      <c r="L224" s="7"/>
      <c r="M224" s="8"/>
    </row>
    <row r="225" spans="6:13" x14ac:dyDescent="0.25">
      <c r="J225" s="13"/>
      <c r="K225" s="9"/>
      <c r="L225" s="7"/>
      <c r="M225" s="8"/>
    </row>
    <row r="226" spans="6:13" x14ac:dyDescent="0.25">
      <c r="J226" s="13"/>
      <c r="K226" s="6"/>
      <c r="L226" s="7"/>
      <c r="M226" s="8"/>
    </row>
    <row r="227" spans="6:13" x14ac:dyDescent="0.25">
      <c r="H227" s="4"/>
      <c r="K227" s="12"/>
      <c r="L227" s="10"/>
      <c r="M227"/>
    </row>
    <row r="228" spans="6:13" x14ac:dyDescent="0.25">
      <c r="K228" s="11"/>
      <c r="L228" s="10"/>
      <c r="M228"/>
    </row>
    <row r="229" spans="6:13" x14ac:dyDescent="0.25">
      <c r="F229" s="4"/>
    </row>
  </sheetData>
  <protectedRanges>
    <protectedRange password="CC29" sqref="N52 N55 N61 N64 O18 G18:L18" name="Intervalo1_1"/>
    <protectedRange password="CC29" sqref="H11:H17 H37:H38 H46:H47 H54:H55 H63:H64 H143 H31:H35 H40:H44 H49:H52 H57:H61 H66:H72 H84:H87 H89:H91 H93:H111 H113:H116 H118:H122 H146 H74:H82 H139:H141 H148:H149 H151:H156 H158:H171 H173:H178 H180:H181 H183:H184 H186:H214 H124:H137 N49:N51 N54 N57:N60 N63 O36 O48 O53 O56 O62 O88 O117 O123 O30 O39 O65 O92 O83 O138 O179:O180 O182 O185 O157:O166 O45 O73 O112 O142 O144:O150 H19:H29 G36 G48 G53 G56 G62 G88 G117 G123 G30 G39 G65 G92 G83 G138 G179:G180 G182:H182 G185:H185 G157:G166 G45 G73 G112 G142 G144:G150" name="Intervalo1_1_1_3_1"/>
    <protectedRange password="CC29" sqref="I11:I17" name="Intervalo1_1_1_3_1_2"/>
    <protectedRange password="CC29" sqref="I19:I29" name="Intervalo1_1_1_3_1_3"/>
    <protectedRange password="CC29" sqref="I35 I38 I44 I47 I52 I55 I61 I64 I72 I80:I82 I87 I91 I111 I116 I122 I133:I137" name="Intervalo1_1_1_3_1_4"/>
  </protectedRanges>
  <mergeCells count="34">
    <mergeCell ref="A1:M1"/>
    <mergeCell ref="A3:K4"/>
    <mergeCell ref="L2:M2"/>
    <mergeCell ref="L5:M5"/>
    <mergeCell ref="L6:M6"/>
    <mergeCell ref="J5:K5"/>
    <mergeCell ref="J6:K6"/>
    <mergeCell ref="A5:B5"/>
    <mergeCell ref="A6:B6"/>
    <mergeCell ref="A2:K2"/>
    <mergeCell ref="L3:M4"/>
    <mergeCell ref="G5:I5"/>
    <mergeCell ref="G6:I6"/>
    <mergeCell ref="C5:F5"/>
    <mergeCell ref="C6:F6"/>
    <mergeCell ref="B224:I224"/>
    <mergeCell ref="B219:E219"/>
    <mergeCell ref="A220:E220"/>
    <mergeCell ref="A221:E221"/>
    <mergeCell ref="D8:D9"/>
    <mergeCell ref="F8:H8"/>
    <mergeCell ref="A216:I216"/>
    <mergeCell ref="F221:H221"/>
    <mergeCell ref="A222:E222"/>
    <mergeCell ref="F222:H222"/>
    <mergeCell ref="A217:E218"/>
    <mergeCell ref="F217:H217"/>
    <mergeCell ref="I217:I218"/>
    <mergeCell ref="M8:M9"/>
    <mergeCell ref="A8:A9"/>
    <mergeCell ref="B8:B9"/>
    <mergeCell ref="C8:C9"/>
    <mergeCell ref="J8:L8"/>
    <mergeCell ref="I8:I9"/>
  </mergeCells>
  <phoneticPr fontId="12" type="noConversion"/>
  <pageMargins left="0.51181102362204722" right="0.51181102362204722" top="0.78740157480314965" bottom="0.78740157480314965" header="0.31496062992125984" footer="0.31496062992125984"/>
  <pageSetup paperSize="9" scale="64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BOLETIM DE MEDIÇÃO_003</vt:lpstr>
      <vt:lpstr>'BOLETIM DE MEDIÇÃO_003'!Area_de_impressao</vt:lpstr>
      <vt:lpstr>'BOLETIM DE MEDIÇÃO_003'!Titulos_de_impressao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User</cp:lastModifiedBy>
  <cp:lastPrinted>2019-07-04T18:05:29Z</cp:lastPrinted>
  <dcterms:created xsi:type="dcterms:W3CDTF">2019-06-26T11:25:28Z</dcterms:created>
  <dcterms:modified xsi:type="dcterms:W3CDTF">2021-09-22T13:20:03Z</dcterms:modified>
</cp:coreProperties>
</file>