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66925"/>
  <xr:revisionPtr revIDLastSave="0" documentId="13_ncr:1_{E4757701-C4DA-41FE-B219-78FCAC2C27B8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RESUMO" sheetId="2" r:id="rId1"/>
    <sheet name="PLANILHA ORCAMENTARIA" sheetId="1" r:id="rId2"/>
    <sheet name="COMPOSICOES" sheetId="3" r:id="rId3"/>
    <sheet name="CRONOGRAMA" sheetId="4" r:id="rId4"/>
    <sheet name="BDI" sheetId="5" r:id="rId5"/>
    <sheet name="ENCARGOS SOCIAIS" sheetId="6" r:id="rId6"/>
  </sheets>
  <definedNames>
    <definedName name="_xlnm.Print_Area" localSheetId="3">CRONOGRAMA!$A$1:$P$60</definedName>
    <definedName name="JR_PAGE_ANCHOR_0_1">'PLANILHA ORCAMENTARIA'!$A$1</definedName>
    <definedName name="JR_PAGE_ANCHOR_1_1">RESUMO!$A$1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  <definedName name="_xlnm.Print_Titles" localSheetId="3">CRONOGRAMA!$1:$1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6" i="4" l="1"/>
  <c r="O54" i="4"/>
  <c r="O52" i="4"/>
  <c r="O50" i="4"/>
  <c r="O48" i="4"/>
  <c r="N46" i="4"/>
  <c r="J44" i="4"/>
  <c r="P44" i="4" s="1"/>
  <c r="K44" i="4"/>
  <c r="I44" i="4"/>
  <c r="J42" i="4"/>
  <c r="K42" i="4"/>
  <c r="I42" i="4"/>
  <c r="M40" i="4"/>
  <c r="N40" i="4"/>
  <c r="L40" i="4"/>
  <c r="J38" i="4"/>
  <c r="I36" i="4"/>
  <c r="J36" i="4"/>
  <c r="K36" i="4"/>
  <c r="K59" i="4" s="1"/>
  <c r="H36" i="4"/>
  <c r="P36" i="4" s="1"/>
  <c r="H34" i="4"/>
  <c r="P34" i="4" s="1"/>
  <c r="I34" i="4"/>
  <c r="J34" i="4"/>
  <c r="G34" i="4"/>
  <c r="L32" i="4"/>
  <c r="K32" i="4"/>
  <c r="M30" i="4"/>
  <c r="N30" i="4"/>
  <c r="N59" i="4" s="1"/>
  <c r="O30" i="4"/>
  <c r="L30" i="4"/>
  <c r="M28" i="4"/>
  <c r="L28" i="4"/>
  <c r="L26" i="4"/>
  <c r="L24" i="4"/>
  <c r="P24" i="4" s="1"/>
  <c r="G22" i="4"/>
  <c r="P22" i="4" s="1"/>
  <c r="H22" i="4"/>
  <c r="I22" i="4"/>
  <c r="F22" i="4"/>
  <c r="G20" i="4"/>
  <c r="K18" i="4"/>
  <c r="L18" i="4"/>
  <c r="M18" i="4"/>
  <c r="J18" i="4"/>
  <c r="H16" i="4"/>
  <c r="G16" i="4"/>
  <c r="H14" i="4"/>
  <c r="I14" i="4"/>
  <c r="G14" i="4"/>
  <c r="G12" i="4"/>
  <c r="P12" i="4" s="1"/>
  <c r="F12" i="4"/>
  <c r="E59" i="4"/>
  <c r="F59" i="4"/>
  <c r="I59" i="4"/>
  <c r="J59" i="4"/>
  <c r="O59" i="4"/>
  <c r="P58" i="4"/>
  <c r="P56" i="4"/>
  <c r="P54" i="4"/>
  <c r="P52" i="4"/>
  <c r="P50" i="4"/>
  <c r="P48" i="4"/>
  <c r="P46" i="4"/>
  <c r="P40" i="4"/>
  <c r="P38" i="4"/>
  <c r="P32" i="4"/>
  <c r="P26" i="4"/>
  <c r="P20" i="4"/>
  <c r="P18" i="4"/>
  <c r="P16" i="4"/>
  <c r="P10" i="4"/>
  <c r="E10" i="4"/>
  <c r="F10" i="4"/>
  <c r="D10" i="4"/>
  <c r="E8" i="4"/>
  <c r="F8" i="4"/>
  <c r="D8" i="4"/>
  <c r="P8" i="4" s="1"/>
  <c r="P6" i="4"/>
  <c r="D6" i="4"/>
  <c r="D4" i="4"/>
  <c r="P4" i="4" s="1"/>
  <c r="D59" i="4" l="1"/>
  <c r="D60" i="4" s="1"/>
  <c r="E60" i="4" s="1"/>
  <c r="F60" i="4" s="1"/>
  <c r="P42" i="4"/>
  <c r="H59" i="4"/>
  <c r="M59" i="4"/>
  <c r="P30" i="4"/>
  <c r="L59" i="4"/>
  <c r="P28" i="4"/>
  <c r="G59" i="4"/>
  <c r="P14" i="4"/>
  <c r="P59" i="4"/>
  <c r="G60" i="4" l="1"/>
  <c r="H60" i="4" s="1"/>
  <c r="I60" i="4" s="1"/>
  <c r="J60" i="4" s="1"/>
  <c r="K60" i="4" s="1"/>
  <c r="L60" i="4" s="1"/>
  <c r="M60" i="4" s="1"/>
  <c r="N60" i="4" s="1"/>
  <c r="O60" i="4" s="1"/>
</calcChain>
</file>

<file path=xl/sharedStrings.xml><?xml version="1.0" encoding="utf-8"?>
<sst xmlns="http://schemas.openxmlformats.org/spreadsheetml/2006/main" count="8638" uniqueCount="1698">
  <si>
    <t>ITEM</t>
  </si>
  <si>
    <t>CÓDIGO</t>
  </si>
  <si>
    <t>DESCRIÇÃO</t>
  </si>
  <si>
    <t>FONTE</t>
  </si>
  <si>
    <t>UNID</t>
  </si>
  <si>
    <t>QUANTIDADE</t>
  </si>
  <si>
    <t>PREÇO UNITÁRIO R$</t>
  </si>
  <si>
    <t>PREÇO TOTAL R$</t>
  </si>
  <si>
    <t>SEM BDI</t>
  </si>
  <si>
    <t>COM BDI</t>
  </si>
  <si>
    <t>1</t>
  </si>
  <si>
    <t>SERVIÇOS PRELIMINARES</t>
  </si>
  <si>
    <t>1.1</t>
  </si>
  <si>
    <t>PRO-46870444</t>
  </si>
  <si>
    <t>PLACA INDICATIVA DA OBRA EM CHAPA DE AÇO GALVANIZADO (4,0M X 2,0M)</t>
  </si>
  <si>
    <t>Composições Próprias</t>
  </si>
  <si>
    <t>M²</t>
  </si>
  <si>
    <t>1.2</t>
  </si>
  <si>
    <t>93584</t>
  </si>
  <si>
    <t>EXECUÇÃO DE DEPÓSITO EM CANTEIRO DE OBRA EM CHAPA DE MADEIRA COMPENSADA, NÃO INCLUSO MOBILIÁRIO. AF_04/2016</t>
  </si>
  <si>
    <t>SINAPI</t>
  </si>
  <si>
    <t>M2</t>
  </si>
  <si>
    <t>1.3</t>
  </si>
  <si>
    <t>99059</t>
  </si>
  <si>
    <t>LOCACAO CONVENCIONAL DE OBRA, UTILIZANDO GABARITO DE TÁBUAS CORRIDAS PONTALETADAS A CADA 2,00M - 2 UTILIZAÇÕES. AF_10/2018</t>
  </si>
  <si>
    <t>M</t>
  </si>
  <si>
    <t>2</t>
  </si>
  <si>
    <t>MOVIMENTO DE TERRA</t>
  </si>
  <si>
    <t>2.1</t>
  </si>
  <si>
    <t>93382</t>
  </si>
  <si>
    <t>REATERRO MANUAL DE VALAS COM COMPACTAÇÃO MECANIZADA. AF_04/2016</t>
  </si>
  <si>
    <t>M3</t>
  </si>
  <si>
    <t>2.2</t>
  </si>
  <si>
    <t>93358</t>
  </si>
  <si>
    <t>ESCAVAÇÃO MANUAL DE VALA COM PROFUNDIDADE MENOR OU IGUAL A 1,30 M. AF_02/2021</t>
  </si>
  <si>
    <t>2.3</t>
  </si>
  <si>
    <t>2.4</t>
  </si>
  <si>
    <t>96995</t>
  </si>
  <si>
    <t>REATERRO MANUAL APILOADO COM SOQUETE. AF_10/2017</t>
  </si>
  <si>
    <t>3</t>
  </si>
  <si>
    <t>SAPATAS</t>
  </si>
  <si>
    <t>3.1</t>
  </si>
  <si>
    <t>96616</t>
  </si>
  <si>
    <t>LASTRO DE CONCRETO MAGRO, APLICADO EM BLOCOS DE COROAMENTO OU SAPATAS. AF_08/2017</t>
  </si>
  <si>
    <t>3.2</t>
  </si>
  <si>
    <t>96541</t>
  </si>
  <si>
    <t>FABRICAÇÃO, MONTAGEM E DESMONTAGEM DE FÔRMA PARA SAPATA, EM CHAPA DE MADEIRA COMPENSADA RESINADA, E=17 MM, 4 UTILIZAÇÕES. AF_06/2017</t>
  </si>
  <si>
    <t>3.3</t>
  </si>
  <si>
    <t>94971</t>
  </si>
  <si>
    <t>CONCRETO FCK = 25MPA, TRAÇO 1:2,3:2,7 (EM MASSA SECA DE CIMENTO/ AREIA MÉDIA/ BRITA 1) - PREPARO MECÂNICO COM BETONEIRA 600 L. AF_05/2021</t>
  </si>
  <si>
    <t>3.4</t>
  </si>
  <si>
    <t>103670</t>
  </si>
  <si>
    <t>LANÇAMENTO COM USO DE BALDES, ADENSAMENTO E ACABAMENTO DE CONCRETO EM ESTRUTURAS. AF_02/2022</t>
  </si>
  <si>
    <t>3.5</t>
  </si>
  <si>
    <t>96544</t>
  </si>
  <si>
    <t>ARMAÇÃO DE BLOCO, VIGA BALDRAME OU SAPATA UTILIZANDO AÇO CA-50 DE 6,3 MM - MONTAGEM. AF_06/2017</t>
  </si>
  <si>
    <t>KG</t>
  </si>
  <si>
    <t>3.6</t>
  </si>
  <si>
    <t>96546</t>
  </si>
  <si>
    <t>ARMAÇÃO DE BLOCO, VIGA BALDRAME OU SAPATA UTILIZANDO AÇO CA-50 DE 10 MM - MONTAGEM. AF_06/2017</t>
  </si>
  <si>
    <t>3.7</t>
  </si>
  <si>
    <t>96547</t>
  </si>
  <si>
    <t>ARMAÇÃO DE BLOCO, VIGA BALDRAME OU SAPATA UTILIZANDO AÇO CA-50 DE 12,5 MM - MONTAGEM. AF_06/2017</t>
  </si>
  <si>
    <t>3.8</t>
  </si>
  <si>
    <t>96548</t>
  </si>
  <si>
    <t>ARMAÇÃO DE BLOCO, VIGA BALDRAME OU SAPATA UTILIZANDO AÇO CA-50 DE 16 MM - MONTAGEM. AF_06/2017</t>
  </si>
  <si>
    <t>3.9</t>
  </si>
  <si>
    <t>96543</t>
  </si>
  <si>
    <t>ARMAÇÃO DE BLOCO, VIGA BALDRAME E SAPATA UTILIZANDO AÇO CA-60 DE 5 MM - MONTAGEM. AF_06/2017</t>
  </si>
  <si>
    <t>4</t>
  </si>
  <si>
    <t>VIGA BALDRAME</t>
  </si>
  <si>
    <t>4.1</t>
  </si>
  <si>
    <t>95240</t>
  </si>
  <si>
    <t>LASTRO DE CONCRETO MAGRO, APLICADO EM PISOS, LAJES SOBRE SOLO OU RADIERS, ESPESSURA DE 3 CM. AF_07/2016</t>
  </si>
  <si>
    <t>4.2</t>
  </si>
  <si>
    <t>96542</t>
  </si>
  <si>
    <t>FABRICAÇÃO, MONTAGEM E DESMONTAGEM DE FÔRMA PARA VIGA BALDRAME, EM CHAPA DE MADEIRA COMPENSADA RESINADA, E=17 MM, 4 UTILIZAÇÕES. AF_06/2017</t>
  </si>
  <si>
    <t>4.3</t>
  </si>
  <si>
    <t>4.4</t>
  </si>
  <si>
    <t>4.5</t>
  </si>
  <si>
    <t>4.6</t>
  </si>
  <si>
    <t>5</t>
  </si>
  <si>
    <t>PILARES</t>
  </si>
  <si>
    <t>5.1</t>
  </si>
  <si>
    <t>92445</t>
  </si>
  <si>
    <t>MONTAGEM E DESMONTAGEM DE FÔRMA DE PILARES RETANGULARES E ESTRUTURAS SIMILARES, PÉ-DIREITO DUPLO, EM CHAPA DE MADEIRA COMPENSADA PLASTIFICADA, 18 UTILIZAÇÕES. AF_09/2020</t>
  </si>
  <si>
    <t>5.2</t>
  </si>
  <si>
    <t>5.3</t>
  </si>
  <si>
    <t>5.4</t>
  </si>
  <si>
    <t>92762</t>
  </si>
  <si>
    <t>ARMAÇÃO DE PILAR OU VIGA DE ESTRUTURA CONVENCIONAL DE CONCRETO ARMADO UTILIZANDO AÇO CA-50 DE 10,0 MM - MONTAGEM. AF_06/2022</t>
  </si>
  <si>
    <t>5.5</t>
  </si>
  <si>
    <t>92763</t>
  </si>
  <si>
    <t>ARMAÇÃO DE PILAR OU VIGA DE ESTRUTURA CONVENCIONAL DE CONCRETO ARMADO UTILIZANDO AÇO CA-50 DE 12,5 MM - MONTAGEM. AF_06/2022</t>
  </si>
  <si>
    <t>5.6</t>
  </si>
  <si>
    <t>92764</t>
  </si>
  <si>
    <t>ARMAÇÃO DE PILAR OU VIGA DE ESTRUTURA CONVENCIONAL DE CONCRETO ARMADO UTILIZANDO AÇO CA-50 DE 16,0 MM - MONTAGEM. AF_06/2022</t>
  </si>
  <si>
    <t>5.7</t>
  </si>
  <si>
    <t>92759</t>
  </si>
  <si>
    <t>ARMAÇÃO DE PILAR OU VIGA DE ESTRUTURA CONVENCIONAL DE CONCRETO ARMADO UTILIZANDO AÇO CA-60 DE 5,0 MM - MONTAGEM. AF_06/2022</t>
  </si>
  <si>
    <t>6</t>
  </si>
  <si>
    <t>VIGAS</t>
  </si>
  <si>
    <t>6.1</t>
  </si>
  <si>
    <t>92265</t>
  </si>
  <si>
    <t>FABRICAÇÃO DE FÔRMA PARA VIGAS, EM CHAPA DE MADEIRA COMPENSADA RESINADA, E = 17 MM. AF_09/2020</t>
  </si>
  <si>
    <t>6.2</t>
  </si>
  <si>
    <t>6.3</t>
  </si>
  <si>
    <t>6.4</t>
  </si>
  <si>
    <t>92760</t>
  </si>
  <si>
    <t>ARMAÇÃO DE PILAR OU VIGA DE ESTRUTURA CONVENCIONAL DE CONCRETO ARMADO UTILIZANDO AÇO CA-50 DE 6,3 MM - MONTAGEM. AF_06/2022</t>
  </si>
  <si>
    <t>6.5</t>
  </si>
  <si>
    <t>92761</t>
  </si>
  <si>
    <t>ARMAÇÃO DE PILAR OU VIGA DE ESTRUTURA CONVENCIONAL DE CONCRETO ARMADO UTILIZANDO AÇO CA-50 DE 8,0 MM - MONTAGEM. AF_06/2022</t>
  </si>
  <si>
    <t>6.6</t>
  </si>
  <si>
    <t>6.7</t>
  </si>
  <si>
    <t>6.8</t>
  </si>
  <si>
    <t>6.9</t>
  </si>
  <si>
    <t>7</t>
  </si>
  <si>
    <t>VERGAS</t>
  </si>
  <si>
    <t>7.1</t>
  </si>
  <si>
    <t>93182</t>
  </si>
  <si>
    <t>VERGA PRÉ-MOLDADA PARA JANELAS COM ATÉ 1,5 M DE VÃO. AF_03/2016</t>
  </si>
  <si>
    <t>7.2</t>
  </si>
  <si>
    <t>93184</t>
  </si>
  <si>
    <t>VERGA PRÉ-MOLDADA PARA PORTAS COM ATÉ 1,5 M DE VÃO. AF_03/2016</t>
  </si>
  <si>
    <t>7.3</t>
  </si>
  <si>
    <t>93194</t>
  </si>
  <si>
    <t>CONTRAVERGA PRÉ-MOLDADA PARA VÃOS DE ATÉ 1,5 M DE COMPRIMENTO. AF_03/2016</t>
  </si>
  <si>
    <t>8</t>
  </si>
  <si>
    <t>LAJE PRÉ-MOLDADA</t>
  </si>
  <si>
    <t>8.1</t>
  </si>
  <si>
    <t>101964</t>
  </si>
  <si>
    <t>LAJE PRÉ-MOLDADA UNIDIRECIONAL, BIAPOIADA, PARA FORRO, ENCHIMENTO EM CERÂMICA, VIGOTA CONVENCIONAL, ALTURA TOTAL DA LAJE (ENCHIMENTO+CAPA) = (8+3). AF_11/2020</t>
  </si>
  <si>
    <t>8.2</t>
  </si>
  <si>
    <t>8.3</t>
  </si>
  <si>
    <t>8.4</t>
  </si>
  <si>
    <t>8.5</t>
  </si>
  <si>
    <t>8.6</t>
  </si>
  <si>
    <t>8.7</t>
  </si>
  <si>
    <t>9</t>
  </si>
  <si>
    <t>ELEMENTOS VAZADOS</t>
  </si>
  <si>
    <t>9.1</t>
  </si>
  <si>
    <t>101161</t>
  </si>
  <si>
    <t>ALVENARIA DE VEDAÇÃO COM ELEMENTO VAZADO DE CONCRETO (COBOGÓ) DE 7X50X50CM E ARGAMASSA DE ASSENTAMENTO COM PREPARO EM BETONEIRA. AF_05/2020</t>
  </si>
  <si>
    <t>10</t>
  </si>
  <si>
    <t>ALVENARIA DE VEDAÇÃO</t>
  </si>
  <si>
    <t>10.1</t>
  </si>
  <si>
    <t>103329</t>
  </si>
  <si>
    <t>ALVENARIA DE VEDAÇÃO DE BLOCOS CERÂMICOS FURADOS NA HORIZONTAL DE 9X19X19 CM (ESPESSURA 9 CM) E ARGAMASSA DE ASSENTAMENTO COM PREPARO MANUAL. AF_12/2021</t>
  </si>
  <si>
    <t>10.2</t>
  </si>
  <si>
    <t>102253</t>
  </si>
  <si>
    <t>DIVISORIA SANITÁRIA, TIPO CABINE, EM GRANITO CINZA POLIDO, ESP = 3CM, ASSENTADO COM ARGAMASSA COLANTE AC III-E, EXCLUSIVE FERRAGENS. AF_01/2021</t>
  </si>
  <si>
    <t>10.3</t>
  </si>
  <si>
    <t>sico</t>
  </si>
  <si>
    <t>MURO DE CONTORNO COM PILAR EM CONCRETO ARMADO A CADA 2,50M, CONTENDO: ESCAVAÇÃO, ALV. PEDRA, EMBASAMENTO, RADIER, CINTA, CHAPISCADO, REBOCADO H=2,50M</t>
  </si>
  <si>
    <t>11</t>
  </si>
  <si>
    <t>PORTAS DE MADEIRAS</t>
  </si>
  <si>
    <t>11.1</t>
  </si>
  <si>
    <t>90790</t>
  </si>
  <si>
    <t>KIT DE PORTA-PRONTA DE MADEIRA EM ACABAMENTO MELAMÍNICO BRANCO, FOLHA LEVE OU MÉDIA, 80X210CM, EXCLUSIVE FECHADURA, FIXAÇÃO COM PREENCHIMENTO PARCIAL DE ESPUMA EXPANSIVA - FORNECIMENTO E INSTALAÇÃO. AF_12/2019</t>
  </si>
  <si>
    <t>UN</t>
  </si>
  <si>
    <t>11.2</t>
  </si>
  <si>
    <t>90788</t>
  </si>
  <si>
    <t>KIT DE PORTA-PRONTA DE MADEIRA EM ACABAMENTO MELAMÍNICO BRANCO, FOLHA LEVE OU MÉDIA, 60X210CM, EXCLUSIVE FECHADURA, FIXAÇÃO COM PREENCHIMENTO PARCIAL DE ESPUMA EXPANSIVA - FORNECIMENTO E INSTALAÇÃO. AF_12/2019</t>
  </si>
  <si>
    <t>11.3</t>
  </si>
  <si>
    <t>12</t>
  </si>
  <si>
    <t>PORTOES DE FERRO</t>
  </si>
  <si>
    <t>12.1</t>
  </si>
  <si>
    <t>94805</t>
  </si>
  <si>
    <t>PORTA DE ALUMÍNIO DE ABRIR PARA VIDRO SEM GUARNIÇÃO, 87X210CM, FIXAÇÃO COM PARAFUSOS, INCLUSIVE VIDROS - FORNECIMENTO E INSTALAÇÃO. AF_12/2019</t>
  </si>
  <si>
    <t>13</t>
  </si>
  <si>
    <t>JANELAS DE FERRO</t>
  </si>
  <si>
    <t>13.1</t>
  </si>
  <si>
    <t>94559</t>
  </si>
  <si>
    <t>JANELA DE AÇO TIPO BASCULANTE PARA VIDROS, COM BATENTE, FERRAGENS E PINTURA ANTICORROSIVA. EXCLUSIVE VIDROS, ACABAMENTO, ALIZAR E CONTRAMARCO. FORNECIMENTO E INSTALAÇÃO. AF_12/2019</t>
  </si>
  <si>
    <t>13.2</t>
  </si>
  <si>
    <t>13.3</t>
  </si>
  <si>
    <t>13.4</t>
  </si>
  <si>
    <t>94562</t>
  </si>
  <si>
    <t>JANELA DE AÇO DE CORRER COM 4 FOLHAS PARA VIDRO, COM BATENTE, FERRAGENS E PINTURA ANTICORROSIVA. EXCLUSIVE VIDROS, ALIZAR E CONTRAMARCO. FORNECIMENTO E INSTALAÇÃO. AF_12/2019</t>
  </si>
  <si>
    <t>13.5</t>
  </si>
  <si>
    <t>13.6</t>
  </si>
  <si>
    <t>94570</t>
  </si>
  <si>
    <t>JANELA DE ALUMÍNIO DE CORRER COM 2 FOLHAS PARA VIDROS, COM VIDROS, BATENTE, ACABAMENTO COM ACETATO OU BRILHANTE E FERRAGENS. EXCLUSIVE ALIZAR E CONTRAMARCO. FORNECIMENTO E INSTALAÇÃO. AF_12/2019</t>
  </si>
  <si>
    <t>14</t>
  </si>
  <si>
    <t>COBERTURA</t>
  </si>
  <si>
    <t>14.1</t>
  </si>
  <si>
    <t>94446</t>
  </si>
  <si>
    <t>TELHAMENTO COM TELHA CERÂMICA CAPA-CANAL, TIPO PLAN, COM MAIS DE 2 ÁGUAS, INCLUSO TRANSPORTE VERTICAL. AF_07/2019</t>
  </si>
  <si>
    <t>14.2</t>
  </si>
  <si>
    <t>94219</t>
  </si>
  <si>
    <t>CUMEEIRA E ESPIGÃO PARA TELHA CERÂMICA EMBOÇADA COM ARGAMASSA TRAÇO 1:2:9 (CIMENTO, CAL E AREIA), PARA TELHADOS COM MAIS DE 2 ÁGUAS, INCLUSO TRANSPORTE VERTICAL. AF_07/2019</t>
  </si>
  <si>
    <t>14.3</t>
  </si>
  <si>
    <t>94227</t>
  </si>
  <si>
    <t>CALHA EM CHAPA DE AÇO GALVANIZADO NÚMERO 24, DESENVOLVIMENTO DE 33 CM, INCLUSO TRANSPORTE VERTICAL. AF_07/2019</t>
  </si>
  <si>
    <t>15</t>
  </si>
  <si>
    <t>IMPERMEABILIZAÇÃO</t>
  </si>
  <si>
    <t>15.1</t>
  </si>
  <si>
    <t>98546</t>
  </si>
  <si>
    <t>IMPERMEABILIZAÇÃO DE SUPERFÍCIE COM MANTA ASFÁLTICA, UMA CAMADA, INCLUSIVE APLICAÇÃO DE PRIMER ASFÁLTICO, E=3MM. AF_06/2018</t>
  </si>
  <si>
    <t>15.2</t>
  </si>
  <si>
    <t>98557</t>
  </si>
  <si>
    <t>IMPERMEABILIZAÇÃO DE SUPERFÍCIE COM EMULSÃO ASFÁLTICA, 2 DEMÃOS AF_06/2018</t>
  </si>
  <si>
    <t>16</t>
  </si>
  <si>
    <t>REVESTIMENTOS DE PAREDES</t>
  </si>
  <si>
    <t>16.1</t>
  </si>
  <si>
    <t>87879</t>
  </si>
  <si>
    <t>CHAPISCO APLICADO EM ALVENARIAS E ESTRUTURAS DE CONCRETO INTERNAS, COM COLHER DE PEDREIRO. ARGAMASSA TRAÇO 1:3 COM PREPARO EM BETONEIRA 400L. AF_06/2014</t>
  </si>
  <si>
    <t>16.2</t>
  </si>
  <si>
    <t>87894</t>
  </si>
  <si>
    <t>CHAPISCO APLICADO EM ALVENARIA (SEM PRESENÇA DE VÃOS) E ESTRUTURAS DE CONCRETO DE FACHADA, COM COLHER DE PEDREIRO. ARGAMASSA TRAÇO 1:3 COM PREPARO EM BETONEIRA 400L. AF_06/2014</t>
  </si>
  <si>
    <t>16.3</t>
  </si>
  <si>
    <t>87878</t>
  </si>
  <si>
    <t>CHAPISCO APLICADO EM ALVENARIAS E ESTRUTURAS DE CONCRETO INTERNAS, COM COLHER DE PEDREIRO. ARGAMASSA TRAÇO 1:3 COM PREPARO MANUAL. AF_06/2014</t>
  </si>
  <si>
    <t>16.4</t>
  </si>
  <si>
    <t>87535</t>
  </si>
  <si>
    <t>EMBOÇO, PARA RECEBIMENTO DE CERÂMICA, EM ARGAMASSA TRAÇO 1:2:8, PREPARO MECÂNICO COM BETONEIRA 400L, APLICADO MANUALMENTE EM FACES INTERNAS DE PAREDES, PARA AMBIENTE COM ÁREA MAIOR QUE 10M2, ESPESSURA DE 20MM, COM EXECUÇÃO DE TALISCAS. AF_06/2014</t>
  </si>
  <si>
    <t>16.5</t>
  </si>
  <si>
    <t>87529</t>
  </si>
  <si>
    <t>MASSA ÚNICA, PARA RECEBIMENTO DE PINTURA, EM ARGAMASSA TRAÇO 1:2:8, PREPARO MECÂNICO COM BETONEIRA 400L, APLICADA MANUALMENTE EM FACES INTERNAS DE PAREDES, ESPESSURA DE 20MM, COM EXECUÇÃO DE TALISCAS. AF_06/2014</t>
  </si>
  <si>
    <t>16.6</t>
  </si>
  <si>
    <t>90406</t>
  </si>
  <si>
    <t>MASSA ÚNICA, PARA RECEBIMENTO DE PINTURA, EM ARGAMASSA TRAÇO 1:2:8, PREPARO MECÂNICO COM BETONEIRA 400L, APLICADA MANUALMENTE EM TETO, ESPESSURA DE 20MM, COM EXECUÇÃO DE TALISCAS. AF_03/2015</t>
  </si>
  <si>
    <t>16.7</t>
  </si>
  <si>
    <t>S11175</t>
  </si>
  <si>
    <t>Revestimento cerâmico para parede, 10 x 10 cm, Elizabeth, linha cristal piscina, aplicado com argamassa industrializada ac-ii, rejunte epoxi, exclusive regularização de base ou emboço - Rev 02</t>
  </si>
  <si>
    <t>ORSE</t>
  </si>
  <si>
    <t>m2</t>
  </si>
  <si>
    <t>16.8</t>
  </si>
  <si>
    <t>87275</t>
  </si>
  <si>
    <t>REVESTIMENTO CERÂMICO PARA PAREDES INTERNAS COM PLACAS TIPO ESMALTADA EXTRA DE DIMENSÕES 33X45 CM APLICADAS EM AMBIENTES DE ÁREA MAIOR QUE 5 M² A MEIA ALTURA DAS PAREDES. AF_06/2014</t>
  </si>
  <si>
    <t>17</t>
  </si>
  <si>
    <t>PAVIMENTAÇÃO</t>
  </si>
  <si>
    <t>17.1</t>
  </si>
  <si>
    <t>98560</t>
  </si>
  <si>
    <t>IMPERMEABILIZAÇÃO DE PISO COM ARGAMASSA DE CIMENTO E AREIA, COM ADITIVO IMPERMEABILIZANTE, E = 2CM. AF_06/2018</t>
  </si>
  <si>
    <t>17.2</t>
  </si>
  <si>
    <t>101750</t>
  </si>
  <si>
    <t>PISO CIMENTADO, TRAÇO 1:3 (CIMENTO E AREIA), ACABAMENTO RÚSTICO, ESPESSURA 4,0 CM, PREPARO MECÂNICO DA ARGAMASSA. AF_09/2020</t>
  </si>
  <si>
    <t>17.3</t>
  </si>
  <si>
    <t>S02187</t>
  </si>
  <si>
    <t>Polimento de piso de alta resistência (existente)</t>
  </si>
  <si>
    <t>17.4</t>
  </si>
  <si>
    <t>98685</t>
  </si>
  <si>
    <t>RODAPÉ EM GRANITO, ALTURA 10 CM. AF_09/2020</t>
  </si>
  <si>
    <t>17.5</t>
  </si>
  <si>
    <t>95241</t>
  </si>
  <si>
    <t>LASTRO DE CONCRETO MAGRO, APLICADO EM PISOS, LAJES SOBRE SOLO OU RADIERS, ESPESSURA DE 5 CM. AF_07/2016</t>
  </si>
  <si>
    <t>17.6</t>
  </si>
  <si>
    <t>100323</t>
  </si>
  <si>
    <t>LASTRO COM MATERIAL GRANULAR (AREIA MÉDIA), APLICADO EM PISOS OU LAJES SOBRE SOLO, ESPESSURA DE *10 CM*. AF_07/2019</t>
  </si>
  <si>
    <t>17.7</t>
  </si>
  <si>
    <t>92396</t>
  </si>
  <si>
    <t>EXECUÇÃO DE PASSEIO EM PISO INTERTRAVADO, COM BLOCO RETANGULAR COR NATURAL DE 20 X 10 CM, ESPESSURA 6 CM. AF_12/2015</t>
  </si>
  <si>
    <t>17.8</t>
  </si>
  <si>
    <t>CERAMICA 43X43CM, PEI-4, ARIELLE, REF. 42145 LINHA RIVIERA, COR BRANCA OU SIMILAR</t>
  </si>
  <si>
    <t>17.9</t>
  </si>
  <si>
    <t>101094</t>
  </si>
  <si>
    <t>PISO PODOTÁTIL DE ALERTA OU DIRECIONAL, DE BORRACHA, ASSENTADO SOBRE ARGAMASSA. AF_05/2020</t>
  </si>
  <si>
    <t>17.10</t>
  </si>
  <si>
    <t>98504</t>
  </si>
  <si>
    <t>PLANTIO DE GRAMA BATATAIS EM PLACAS. AF_05/2018</t>
  </si>
  <si>
    <t>18</t>
  </si>
  <si>
    <t>RODAPÉ E PEITORIL</t>
  </si>
  <si>
    <t>18.1</t>
  </si>
  <si>
    <t>88649</t>
  </si>
  <si>
    <t>RODAPÉ CERÂMICO DE 7CM DE ALTURA COM PLACAS TIPO ESMALTADA EXTRA DE DIMENSÕES 45X45CM. AF_06/2014</t>
  </si>
  <si>
    <t>18.2</t>
  </si>
  <si>
    <t>98689</t>
  </si>
  <si>
    <t>SOLEIRA EM GRANITO, LARGURA 15 CM, ESPESSURA 2,0 CM. AF_09/2020</t>
  </si>
  <si>
    <t>18.3</t>
  </si>
  <si>
    <t>101965</t>
  </si>
  <si>
    <t>PEITORIL LINEAR EM GRANITO OU MÁRMORE, L = 15CM, COMPRIMENTO DE ATÉ 2M, ASSENTADO COM ARGAMASSA 1:6 COM ADITIVO. AF_11/2020</t>
  </si>
  <si>
    <t>19</t>
  </si>
  <si>
    <t>PINTURA</t>
  </si>
  <si>
    <t>19.1</t>
  </si>
  <si>
    <t>96135</t>
  </si>
  <si>
    <t>APLICAÇÃO MANUAL DE MASSA ACRÍLICA EM PAREDES EXTERNAS DE CASAS, DUAS DEMÃOS. AF_05/2017</t>
  </si>
  <si>
    <t>19.2</t>
  </si>
  <si>
    <t>95306</t>
  </si>
  <si>
    <t>TEXTURA ACRÍLICA, APLICAÇÃO MANUAL EM TETO, UMA DEMÃO. AF_09/2016</t>
  </si>
  <si>
    <t>19.3</t>
  </si>
  <si>
    <t>88489</t>
  </si>
  <si>
    <t>APLICAÇÃO MANUAL DE PINTURA COM TINTA LÁTEX ACRÍLICA EM PAREDES, DUAS DEMÃOS. AF_06/2014</t>
  </si>
  <si>
    <t>19.4</t>
  </si>
  <si>
    <t>88488</t>
  </si>
  <si>
    <t>APLICAÇÃO MANUAL DE PINTURA COM TINTA LÁTEX ACRÍLICA EM TETO, DUAS DEMÃOS. AF_06/2014</t>
  </si>
  <si>
    <t>19.5</t>
  </si>
  <si>
    <t>102489</t>
  </si>
  <si>
    <t>PINTURA HIDROFUGANTE COM SILICONE, APLICAÇÃO MANUAL, 2 DEMÃOS. AF_05/2021</t>
  </si>
  <si>
    <t>19.6</t>
  </si>
  <si>
    <t>100744</t>
  </si>
  <si>
    <t>PINTURA COM TINTA ALQUÍDICA DE ACABAMENTO (ESMALTE SINTÉTICO BRILHANTE) APLICADA A ROLO OU PINCEL SOBRE PERFIL METÁLICO EXECUTADO EM FÁBRICA (POR DEMÃO). AF_01/2020</t>
  </si>
  <si>
    <t>20</t>
  </si>
  <si>
    <t>ELETRICA</t>
  </si>
  <si>
    <t>20.1</t>
  </si>
  <si>
    <t>93009</t>
  </si>
  <si>
    <t>ELETRODUTO RÍGIDO ROSCÁVEL, PVC, DN 60 MM (2"), PARA REDE ENTERRADA DE DISTRIBUIÇÃO DE ENERGIA ELÉTRICA - FORNECIMENTO E INSTALAÇÃO. AF_12/2021</t>
  </si>
  <si>
    <t>20.2</t>
  </si>
  <si>
    <t>93008</t>
  </si>
  <si>
    <t>ELETRODUTO RÍGIDO ROSCÁVEL, PVC, DN 50 MM (1 1/2"), PARA REDE ENTERRADA DE DISTRIBUIÇÃO DE ENERGIA ELÉTRICA - FORNECIMENTO E INSTALAÇÃO. AF_12/2021</t>
  </si>
  <si>
    <t>20.3</t>
  </si>
  <si>
    <t>91873</t>
  </si>
  <si>
    <t>ELETRODUTO RÍGIDO ROSCÁVEL, PVC, DN 40 MM (1 1/4"), PARA CIRCUITOS TERMINAIS, INSTALADO EM PAREDE - FORNECIMENTO E INSTALAÇÃO. AF_12/2015</t>
  </si>
  <si>
    <t>20.4</t>
  </si>
  <si>
    <t>91872</t>
  </si>
  <si>
    <t>ELETRODUTO RÍGIDO ROSCÁVEL, PVC, DN 32 MM (1"), PARA CIRCUITOS TERMINAIS, INSTALADO EM PAREDE - FORNECIMENTO E INSTALAÇÃO. AF_12/2015</t>
  </si>
  <si>
    <t>20.5</t>
  </si>
  <si>
    <t>91871</t>
  </si>
  <si>
    <t>ELETRODUTO RÍGIDO ROSCÁVEL, PVC, DN 25 MM (3/4"), PARA CIRCUITOS TERMINAIS, INSTALADO EM PAREDE - FORNECIMENTO E INSTALAÇÃO. AF_12/2015</t>
  </si>
  <si>
    <t>20.6</t>
  </si>
  <si>
    <t>91870</t>
  </si>
  <si>
    <t>ELETRODUTO RÍGIDO ROSCÁVEL, PVC, DN 20 MM (1/2"), PARA CIRCUITOS TERMINAIS, INSTALADO EM PAREDE - FORNECIMENTO E INSTALAÇÃO. AF_12/2015</t>
  </si>
  <si>
    <t>20.7</t>
  </si>
  <si>
    <t>101663</t>
  </si>
  <si>
    <t>ABRAÇADEIRA EM AÇO PARA AMARRAÇÃO DE ELETRODUTOSS, TIPO D, COM 1" E CUNHA DE FIXAÇÃO</t>
  </si>
  <si>
    <t>20.8</t>
  </si>
  <si>
    <t>ABRAÇADEIRA EM AÇO PARA AMARRAÇÃO DE ELETRODUTOSS, TIPO D, COM 3/4" E CUNHA DE FIXAÇÃO</t>
  </si>
  <si>
    <t>20.9</t>
  </si>
  <si>
    <t>ABRAÇADEIRA EM AÇO PARA AMARRAÇÃO DE ELETRODUTOSS, TIPO U SIMPLES, COM 1 1/4"</t>
  </si>
  <si>
    <t>20.10</t>
  </si>
  <si>
    <t>ABRAÇADEIRA EM AÇO PARA AMARRAÇÃO DE ELETRODUTOSS, TIPO U SIMPLES, COM 2"</t>
  </si>
  <si>
    <t>20.11</t>
  </si>
  <si>
    <t>00039212</t>
  </si>
  <si>
    <t>ARRUELA EM ALUMINIO, COM ROSCA, DE 1 1/2", PARA ELETRODUTO</t>
  </si>
  <si>
    <t>20.12</t>
  </si>
  <si>
    <t>00039208</t>
  </si>
  <si>
    <t>ARRUELA EM ALUMINIO, COM ROSCA, DE 1/2", PARA ELETRODUTO</t>
  </si>
  <si>
    <t>20.13</t>
  </si>
  <si>
    <t>00039178</t>
  </si>
  <si>
    <t>BUCHA EM ALUMINIO, COM ROSCA, DE 1 1/2", PARA ELETRODUTO</t>
  </si>
  <si>
    <t>20.14</t>
  </si>
  <si>
    <t>00039174</t>
  </si>
  <si>
    <t>BUCHA EM ALUMINIO, COM ROSCA, DE 1/2", PARA ELETRODUTO</t>
  </si>
  <si>
    <t>20.15</t>
  </si>
  <si>
    <t>00011945</t>
  </si>
  <si>
    <t>BUCHA DE NYLON SEM ABA S4</t>
  </si>
  <si>
    <t>20.16</t>
  </si>
  <si>
    <t>00004375</t>
  </si>
  <si>
    <t>BUCHA DE NYLON SEM ABA S6</t>
  </si>
  <si>
    <t>20.17</t>
  </si>
  <si>
    <t>97564</t>
  </si>
  <si>
    <t>CURVA 135 GRAUS PARA ELETRODUTO, PVC, ROSCÁVEL, DN 25 MM (3/4?), PARA CIRCUITOS TERMINAIS, INSTALADA EM PAREDE - FORNECIMENTO E INSTALAÇÃO. AF_12/2015</t>
  </si>
  <si>
    <t>20.18</t>
  </si>
  <si>
    <t>91911</t>
  </si>
  <si>
    <t>CURVA 90 GRAUS PARA ELETRODUTO, PVC, ROSCÁVEL, DN 20 MM (1/2"), PARA CIRCUITOS TERMINAIS, INSTALADA EM PAREDE - FORNECIMENTO E INSTALAÇÃO. AF_12/2015</t>
  </si>
  <si>
    <t>20.19</t>
  </si>
  <si>
    <t>91875</t>
  </si>
  <si>
    <t>LUVA PARA ELETRODUTO, PVC, ROSCÁVEL, DN 25 MM (3/4"), PARA CIRCUITOS TERMINAIS, INSTALADA EM FORRO - FORNECIMENTO E INSTALAÇÃO. AF_12/2015</t>
  </si>
  <si>
    <t>20.20</t>
  </si>
  <si>
    <t>91876</t>
  </si>
  <si>
    <t>LUVA PARA ELETRODUTO, PVC, ROSCÁVEL, DN 32 MM (1"), PARA CIRCUITOS TERMINAIS, INSTALADA EM FORRO - FORNECIMENTO E INSTALAÇÃO. AF_12/2015</t>
  </si>
  <si>
    <t>20.21</t>
  </si>
  <si>
    <t>20.22</t>
  </si>
  <si>
    <t>COM-57989361</t>
  </si>
  <si>
    <t>LUMINARIA LED DOWNLIGHT 14W DE EMBUTIR</t>
  </si>
  <si>
    <t>20.23</t>
  </si>
  <si>
    <t>S12971</t>
  </si>
  <si>
    <t>Luminária Painel Led embutir 18w quadrada, 6000k da G-light ou similar - Rev 01_11/2021</t>
  </si>
  <si>
    <t>un</t>
  </si>
  <si>
    <t>20.24</t>
  </si>
  <si>
    <t>COM-16451001</t>
  </si>
  <si>
    <t>LUMINARIA LED SPOTLIGHT 10W DE EMBUTIR</t>
  </si>
  <si>
    <t>20.25</t>
  </si>
  <si>
    <t>97609</t>
  </si>
  <si>
    <t>LÂMPADA COMPACTA DE LED 6 W, BASE E27 - FORNECIMENTO E INSTALAÇÃO. AF_02/2020</t>
  </si>
  <si>
    <t>20.26</t>
  </si>
  <si>
    <t>COM-20124905</t>
  </si>
  <si>
    <t>LUMINARIA LED REFLETOR RETANGULAR BIVOLT, LUZ BRANCA, 50 W</t>
  </si>
  <si>
    <t>UND</t>
  </si>
  <si>
    <t>20.27</t>
  </si>
  <si>
    <t>91996</t>
  </si>
  <si>
    <t>TOMADA MÉDIA DE EMBUTIR (1 MÓDULO), 2P+T 10 A, INCLUINDO SUPORTE E PLACA - FORNECIMENTO E INSTALAÇÃO. AF_12/2015</t>
  </si>
  <si>
    <t>20.28</t>
  </si>
  <si>
    <t>92005</t>
  </si>
  <si>
    <t>TOMADA MÉDIA DE EMBUTIR (2 MÓDULOS), 2P+T 20 A, INCLUINDO SUPORTE E PLACA - FORNECIMENTO E INSTALAÇÃO. AF_12/2015</t>
  </si>
  <si>
    <t>20.29</t>
  </si>
  <si>
    <t>91935</t>
  </si>
  <si>
    <t>CABO DE COBRE FLEXÍVEL ISOLADO, 16 MM², ANTI-CHAMA 0,6/1,0 KV, PARA CIRCUITOS TERMINAIS - FORNECIMENTO E INSTALAÇÃO. AF_12/2015</t>
  </si>
  <si>
    <t>20.30</t>
  </si>
  <si>
    <t>91958</t>
  </si>
  <si>
    <t>INTERRUPTOR SIMPLES (2 MÓDULOS), 10A/250V, SEM SUPORTE E SEM PLACA - FORNECIMENTO E INSTALAÇÃO. AF_12/2015</t>
  </si>
  <si>
    <t>20.31</t>
  </si>
  <si>
    <t>91969</t>
  </si>
  <si>
    <t>INTERRUPTOR PARALELO (3 MÓDULOS), 10A/250V, INCLUINDO SUPORTE E PLACA - FORNECIMENTO E INSTALAÇÃO. AF_12/2015</t>
  </si>
  <si>
    <t>20.32</t>
  </si>
  <si>
    <t>101879</t>
  </si>
  <si>
    <t>QUADRO DE DISTRIBUIÇÃO DE ENERGIA EM CHAPA DE AÇO GALVANIZADO, DE EMBUTIR, COM BARRAMENTO TRIFÁSICO, PARA 24 DISJUNTORES DIN 100A - FORNECIMENTO E INSTALAÇÃO. AF_10/2020</t>
  </si>
  <si>
    <t>20.33</t>
  </si>
  <si>
    <t>101512</t>
  </si>
  <si>
    <t>ENTRADA DE ENERGIA ELÉTRICA, AÉREA, TRIFÁSICA, COM CAIXA DE EMBUTIR, CABO DE 35 MM2 E DISJUNTOR DIN 50A (NÃO INCLUSO O POSTE DE CONCRETO). AF_07/2020</t>
  </si>
  <si>
    <t>20.34</t>
  </si>
  <si>
    <t>92984</t>
  </si>
  <si>
    <t>CABO DE COBRE FLEXÍVEL ISOLADO, 25 MM², ANTI-CHAMA 0,6/1,0 KV, PARA REDE ENTERRADA DE DISTRIBUIÇÃO DE ENERGIA ELÉTRICA - FORNECIMENTO E INSTALAÇÃO. AF_12/2021</t>
  </si>
  <si>
    <t>20.35</t>
  </si>
  <si>
    <t>20.36</t>
  </si>
  <si>
    <t>91932</t>
  </si>
  <si>
    <t>CABO DE COBRE FLEXÍVEL ISOLADO, 10 MM², ANTI-CHAMA 450/750 V, PARA CIRCUITOS TERMINAIS - FORNECIMENTO E INSTALAÇÃO. AF_12/2015</t>
  </si>
  <si>
    <t>20.37</t>
  </si>
  <si>
    <t>91930</t>
  </si>
  <si>
    <t>CABO DE COBRE FLEXÍVEL ISOLADO, 6 MM², ANTI-CHAMA 450/750 V, PARA CIRCUITOS TERMINAIS - FORNECIMENTO E INSTALAÇÃO. AF_12/2015</t>
  </si>
  <si>
    <t>20.38</t>
  </si>
  <si>
    <t>91928</t>
  </si>
  <si>
    <t>CABO DE COBRE FLEXÍVEL ISOLADO, 4 MM², ANTI-CHAMA 450/750 V, PARA CIRCUITOS TERMINAIS - FORNECIMENTO E INSTALAÇÃO. AF_12/2015</t>
  </si>
  <si>
    <t>20.39</t>
  </si>
  <si>
    <t>91926</t>
  </si>
  <si>
    <t>CABO DE COBRE FLEXÍVEL ISOLADO, 2,5 MM², ANTI-CHAMA 450/750 V, PARA CIRCUITOS TERMINAIS - FORNECIMENTO E INSTALAÇÃO. AF_12/2015</t>
  </si>
  <si>
    <t>20.40</t>
  </si>
  <si>
    <t>91924</t>
  </si>
  <si>
    <t>CABO DE COBRE FLEXÍVEL ISOLADO, 1,5 MM², ANTI-CHAMA 450/750 V, PARA CIRCUITOS TERMINAIS - FORNECIMENTO E INSTALAÇÃO. AF_12/2015</t>
  </si>
  <si>
    <t>20.41</t>
  </si>
  <si>
    <t>97886</t>
  </si>
  <si>
    <t>CAIXA ENTERRADA ELÉTRICA RETANGULAR, EM ALVENARIA COM TIJOLOS CERÂMICOS MACIÇOS, FUNDO COM BRITA, DIMENSÕES INTERNAS: 0,3X0,3X0,3 M. AF_12/2020</t>
  </si>
  <si>
    <t>20.42</t>
  </si>
  <si>
    <t>91940</t>
  </si>
  <si>
    <t>CAIXA RETANGULAR 4" X 2" MÉDIA (1,30 M DO PISO), PVC, INSTALADA EM PAREDE - FORNECIMENTO E INSTALAÇÃO. AF_12/2015</t>
  </si>
  <si>
    <t>20.43</t>
  </si>
  <si>
    <t>93670</t>
  </si>
  <si>
    <t>DISJUNTOR TRIPOLAR TIPO DIN, CORRENTE NOMINAL DE 25A - FORNECIMENTO E INSTALAÇÃO. AF_10/2020</t>
  </si>
  <si>
    <t>20.44</t>
  </si>
  <si>
    <t>93671</t>
  </si>
  <si>
    <t>DISJUNTOR TRIPOLAR TIPO DIN, CORRENTE NOMINAL DE 32A - FORNECIMENTO E INSTALAÇÃO. AF_10/2020</t>
  </si>
  <si>
    <t>20.45</t>
  </si>
  <si>
    <t>S09216</t>
  </si>
  <si>
    <t>Disjuntor termomagnetico bipolar 80 A, 30MA</t>
  </si>
  <si>
    <t>20.46</t>
  </si>
  <si>
    <t>93653</t>
  </si>
  <si>
    <t>DISJUNTOR MONOPOLAR TIPO DIN, CORRENTE NOMINAL DE 10A - FORNECIMENTO E INSTALAÇÃO. AF_10/2020</t>
  </si>
  <si>
    <t>20.47</t>
  </si>
  <si>
    <t>93654</t>
  </si>
  <si>
    <t>DISJUNTOR MONOPOLAR TIPO DIN, CORRENTE NOMINAL DE 16A - FORNECIMENTO E INSTALAÇÃO. AF_10/2020</t>
  </si>
  <si>
    <t>20.48</t>
  </si>
  <si>
    <t>93655</t>
  </si>
  <si>
    <t>DISJUNTOR MONOPOLAR TIPO DIN, CORRENTE NOMINAL DE 20A - FORNECIMENTO E INSTALAÇÃO. AF_10/2020</t>
  </si>
  <si>
    <t>21</t>
  </si>
  <si>
    <t>HIDRAULICAS</t>
  </si>
  <si>
    <t>21.1</t>
  </si>
  <si>
    <t>89355</t>
  </si>
  <si>
    <t>TUBO, PVC, SOLDÁVEL, DN 20MM, INSTALADO EM RAMAL OU SUB-RAMAL DE ÁGUA - FORNECIMENTO E INSTALAÇÃO. AF_06/2022</t>
  </si>
  <si>
    <t>21.2</t>
  </si>
  <si>
    <t>89402</t>
  </si>
  <si>
    <t>TUBO, PVC, SOLDÁVEL, DN 25MM, INSTALADO EM RAMAL DE DISTRIBUIÇÃO DE ÁGUA - FORNECIMENTO E INSTALAÇÃO. AF_06/2022</t>
  </si>
  <si>
    <t>21.3</t>
  </si>
  <si>
    <t>89403</t>
  </si>
  <si>
    <t>TUBO, PVC, SOLDÁVEL, DN 32MM, INSTALADO EM RAMAL DE DISTRIBUIÇÃO DE ÁGUA - FORNECIMENTO E INSTALAÇÃO. AF_06/2022</t>
  </si>
  <si>
    <t>21.4</t>
  </si>
  <si>
    <t>89448</t>
  </si>
  <si>
    <t>TUBO, PVC, SOLDÁVEL, DN 40MM, INSTALADO EM PRUMADA DE ÁGUA - FORNECIMENTO E INSTALAÇÃO. AF_06/2022</t>
  </si>
  <si>
    <t>21.5</t>
  </si>
  <si>
    <t>89449</t>
  </si>
  <si>
    <t>TUBO, PVC, SOLDÁVEL, DN 50MM, INSTALADO EM PRUMADA DE ÁGUA - FORNECIMENTO E INSTALAÇÃO. AF_06/2022</t>
  </si>
  <si>
    <t>21.6</t>
  </si>
  <si>
    <t>104032</t>
  </si>
  <si>
    <t>COLAR DE TOMADA, PVC, COM TRAVAS, DE 75 MM X 1/2" OU 75 MM X 3/4", PARA LIGAÇÃO PREDIAL DE ÁGUA. AF_06/2022</t>
  </si>
  <si>
    <t>21.7</t>
  </si>
  <si>
    <t>89362</t>
  </si>
  <si>
    <t>JOELHO 90 GRAUS, PVC, SOLDÁVEL, DN 25MM, INSTALADO EM RAMAL OU SUB-RAMAL DE ÁGUA - FORNECIMENTO E INSTALAÇÃO. AF_06/2022</t>
  </si>
  <si>
    <t>21.8</t>
  </si>
  <si>
    <t>89366</t>
  </si>
  <si>
    <t>JOELHO 90 GRAUS COM BUCHA DE LATÃO, PVC, SOLDÁVEL, DN 25MM, X 3/4 INSTALADO EM RAMAL OU SUB-RAMAL DE ÁGUA - FORNECIMENTO E INSTALAÇÃO. AF_06/2022</t>
  </si>
  <si>
    <t>21.9</t>
  </si>
  <si>
    <t>90373</t>
  </si>
  <si>
    <t>JOELHO 90 GRAUS COM BUCHA DE LATÃO, PVC, SOLDÁVEL, DN 25MM, X 1/2 INSTALADO EM RAMAL OU SUB-RAMAL DE ÁGUA - FORNECIMENTO E INSTALAÇÃO. AF_06/2022</t>
  </si>
  <si>
    <t>21.10</t>
  </si>
  <si>
    <t>89408</t>
  </si>
  <si>
    <t>JOELHO 90 GRAUS, PVC, SOLDÁVEL, DN 25MM, INSTALADO EM RAMAL DE DISTRIBUIÇÃO DE ÁGUA - FORNECIMENTO E INSTALAÇÃO. AF_06/2022</t>
  </si>
  <si>
    <t>21.11</t>
  </si>
  <si>
    <t>89501</t>
  </si>
  <si>
    <t>JOELHO 90 GRAUS, PVC, SOLDÁVEL, DN 50MM, INSTALADO EM PRUMADA DE ÁGUA - FORNECIMENTO E INSTALAÇÃO. AF_06/2022</t>
  </si>
  <si>
    <t>21.12</t>
  </si>
  <si>
    <t>89410</t>
  </si>
  <si>
    <t>CURVA 90 GRAUS, PVC, SOLDÁVEL, DN 25MM, INSTALADO EM RAMAL DE DISTRIBUIÇÃO DE ÁGUA - FORNECIMENTO E INSTALAÇÃO. AF_06/2022</t>
  </si>
  <si>
    <t>21.13</t>
  </si>
  <si>
    <t>89432</t>
  </si>
  <si>
    <t>LUVA DE CORRER, PVC, SOLDÁVEL, DN 32MM, INSTALADO EM RAMAL DE DISTRIBUIÇÃO DE ÁGUA FORNECIMENTO E INSTALAÇÃO. AF_06/2022</t>
  </si>
  <si>
    <t>21.14</t>
  </si>
  <si>
    <t>89379</t>
  </si>
  <si>
    <t>LUVA DE CORRER, PVC, SOLDÁVEL, DN 25MM, INSTALADO EM RAMAL OU SUB-RAMAL DE ÁGUA - FORNECIMENTO E INSTALAÇÃO. AF_12/2014</t>
  </si>
  <si>
    <t>21.15</t>
  </si>
  <si>
    <t>89764</t>
  </si>
  <si>
    <t>BUCHA DE REDUÇÃO, CPVC, SOLDÁVEL, DN35MM X 28MM, INSTALADO EM RAMAL DE DISTRIBUIÇÃO DE ÁGUA - FORNECIMENTO E INSTALAÇÃO. AF_06/2022</t>
  </si>
  <si>
    <t>21.16</t>
  </si>
  <si>
    <t>93065</t>
  </si>
  <si>
    <t>BUCHA DE REDUÇÃO EM COBRE, DN 42 MM X 35 MM, SEM ANEL DE SOLDA, PONTA X BOLSA, INSTALADO EM PRUMADA DE HIDRÁULICA PREDIAL - FORNECIMENTO E INSTALAÇÃO. AF_04/2022</t>
  </si>
  <si>
    <t>21.17</t>
  </si>
  <si>
    <t>93068</t>
  </si>
  <si>
    <t>BUCHA DE REDUÇÃO EM COBRE, DN 54 MM X 42 MM, SEM ANEL DE SOLDA, PONTA X BOLSA, INSTALADO EM PRUMADA DE HIDRÁULICA PREDIAL - FORNECIMENTO E INSTALAÇÃO. AF_04/2022</t>
  </si>
  <si>
    <t>21.18</t>
  </si>
  <si>
    <t>93071</t>
  </si>
  <si>
    <t>BUCHA DE REDUÇÃO EM COBRE, DN 66 MM X 54 MM, SEM ANEL DE SOLDA, PONTA X BOLSA, INSTALADO EM PRUMADA DE HIDRÁULICA PREDIAL - FORNECIMENTO E INSTALAÇÃO. AF_04/2022</t>
  </si>
  <si>
    <t>21.19</t>
  </si>
  <si>
    <t>89440</t>
  </si>
  <si>
    <t>TE, PVC, SOLDÁVEL, DN 25MM, INSTALADO EM RAMAL DE DISTRIBUIÇÃO DE ÁGUA - FORNECIMENTO E INSTALAÇÃO. AF_06/2022</t>
  </si>
  <si>
    <t>21.20</t>
  </si>
  <si>
    <t>89625</t>
  </si>
  <si>
    <t>TE, PVC, SOLDÁVEL, DN 50MM, INSTALADO EM PRUMADA DE ÁGUA - FORNECIMENTO E INSTALAÇÃO. AF_06/2022</t>
  </si>
  <si>
    <t>21.21</t>
  </si>
  <si>
    <t>89628</t>
  </si>
  <si>
    <t>TE, PVC, SOLDÁVEL, DN 60MM, INSTALADO EM PRUMADA DE ÁGUA - FORNECIMENTO E INSTALAÇÃO. AF_06/2022</t>
  </si>
  <si>
    <t>21.22</t>
  </si>
  <si>
    <t>89395</t>
  </si>
  <si>
    <t>TE, PVC, SOLDÁVEL, DN 25MM, INSTALADO EM RAMAL OU SUB-RAMAL DE ÁGUA - FORNECIMENTO E INSTALAÇÃO. AF_06/2022</t>
  </si>
  <si>
    <t>21.23</t>
  </si>
  <si>
    <t>89398</t>
  </si>
  <si>
    <t>TE, PVC, SOLDÁVEL, DN 32MM, INSTALADO EM RAMAL OU SUB-RAMAL DE ÁGUA - FORNECIMENTO E INSTALAÇÃO. AF_06/2022</t>
  </si>
  <si>
    <t>21.24</t>
  </si>
  <si>
    <t>89442</t>
  </si>
  <si>
    <t>TÊ DE REDUÇÃO, PVC, SOLDÁVEL, DN 25MM X 20MM, INSTALADO EM RAMAL DE DISTRIBUIÇÃO DE ÁGUA - FORNECIMENTO E INSTALAÇÃO. AF_06/2022</t>
  </si>
  <si>
    <t>21.25</t>
  </si>
  <si>
    <t>89627</t>
  </si>
  <si>
    <t>TÊ DE REDUÇÃO, PVC, SOLDÁVEL, DN 50MM X 25MM, INSTALADO EM PRUMADA DE ÁGUA - FORNECIMENTO E INSTALAÇÃO. AF_06/2022</t>
  </si>
  <si>
    <t>21.26</t>
  </si>
  <si>
    <t>86884</t>
  </si>
  <si>
    <t>ENGATE FLEXÍVEL EM PLÁSTICO BRANCO, 1/2? X 30CM - FORNECIMENTO E INSTALAÇÃO. AF_01/2020</t>
  </si>
  <si>
    <t>21.27</t>
  </si>
  <si>
    <t>89429</t>
  </si>
  <si>
    <t>ADAPTADOR CURTO COM BOLSA E ROSCA PARA REGISTRO, PVC, SOLDÁVEL, DN 25MM X 3/4 , INSTALADO EM RAMAL DE DISTRIBUIÇÃO DE ÁGUA - FORNECIMENTO E INSTALAÇÃO. AF_06/2022</t>
  </si>
  <si>
    <t>21.28</t>
  </si>
  <si>
    <t>89436</t>
  </si>
  <si>
    <t>ADAPTADOR CURTO COM BOLSA E ROSCA PARA REGISTRO, PVC, SOLDÁVEL, DN 32MM X 1 , INSTALADO EM RAMAL DE DISTRIBUIÇÃO DE ÁGUA - FORNECIMENTO E INSTALAÇÃO. AF_06/2022</t>
  </si>
  <si>
    <t>21.29</t>
  </si>
  <si>
    <t>89610</t>
  </si>
  <si>
    <t>ADAPTADOR CURTO COM BOLSA E ROSCA PARA REGISTRO, PVC, SOLDÁVEL, DN 60MM X 2 , INSTALADO EM PRUMADA DE ÁGUA - FORNECIMENTO E INSTALAÇÃO. AF_06/2022</t>
  </si>
  <si>
    <t>21.30</t>
  </si>
  <si>
    <t>94703</t>
  </si>
  <si>
    <t>ADAPTADOR COM FLANGE E ANEL DE VEDAÇÃO, PVC, SOLDÁVEL, DN 25 MM X 3/4 , INSTALADO EM RESERVAÇÃO DE ÁGUA DE EDIFICAÇÃO QUE POSSUA RESERVATÓRIO DE FIBRA/FIBROCIMENTO FORNECIMENTO E INSTALAÇÃO. AF_06/2016</t>
  </si>
  <si>
    <t>21.31</t>
  </si>
  <si>
    <t>94707</t>
  </si>
  <si>
    <t>ADAPTADOR COM FLANGE E ANEL DE VEDAÇÃO, PVC, SOLDÁVEL, DN 60 MM X 2 , INSTALADO EM RESERVAÇÃO DE ÁGUA DE EDIFICAÇÃO QUE POSSUA RESERVATÓRIO DE FIBRA/FIBROCIMENTO FORNECIMENTO E INSTALAÇÃO. AF_06/2016</t>
  </si>
  <si>
    <t>21.32</t>
  </si>
  <si>
    <t>103042</t>
  </si>
  <si>
    <t>REGISTRO DE ESFERA, PVC, ROSCÁVEL, COM BORBOLETA, 3/4" - FORNECIMENTO E INSTALAÇÃO. AF_08/2021</t>
  </si>
  <si>
    <t>21.33</t>
  </si>
  <si>
    <t>94495</t>
  </si>
  <si>
    <t>REGISTRO DE GAVETA BRUTO, LATÃO, ROSCÁVEL, 1" - FORNECIMENTO E INSTALAÇÃO. AF_08/2021</t>
  </si>
  <si>
    <t>21.34</t>
  </si>
  <si>
    <t>94498</t>
  </si>
  <si>
    <t>REGISTRO DE GAVETA BRUTO, LATÃO, ROSCÁVEL, 2" - FORNECIMENTO E INSTALAÇÃO. AF_08/2021</t>
  </si>
  <si>
    <t>21.35</t>
  </si>
  <si>
    <t>94792</t>
  </si>
  <si>
    <t>REGISTRO DE GAVETA BRUTO, LATÃO, ROSCÁVEL, 1", COM ACABAMENTO E CANOPLA CROMADOS - FORNECIMENTO E INSTALAÇÃO. AF_08/2021</t>
  </si>
  <si>
    <t>21.36</t>
  </si>
  <si>
    <t>21.37</t>
  </si>
  <si>
    <t>89985</t>
  </si>
  <si>
    <t>REGISTRO DE PRESSÃO BRUTO, LATÃO, ROSCÁVEL, 3/4", COM ACABAMENTO E CANOPLA CROMADOS - FORNECIMENTO E INSTALAÇÃO. AF_08/2021</t>
  </si>
  <si>
    <t>21.38</t>
  </si>
  <si>
    <t>102617</t>
  </si>
  <si>
    <t>CAIXA D´ÁGUA EM POLIÉSTER REFORÇADO COM FIBRA DE VIDRO, 5000 LITROS - FORNECIMENTO E INSTALAÇÃO. AF_06/2021</t>
  </si>
  <si>
    <t>21.39</t>
  </si>
  <si>
    <t>102619</t>
  </si>
  <si>
    <t>CAIXA D´ÁGUA EM POLIÉSTER REFORÇADO COM FIBRA DE VIDRO, 10000 LITROS - FORNECIMENTO E INSTALAÇÃO. AF_06/2021</t>
  </si>
  <si>
    <t>22</t>
  </si>
  <si>
    <t>INSTALAÇÕES SANITÁRIAS</t>
  </si>
  <si>
    <t>22.1</t>
  </si>
  <si>
    <t>89711</t>
  </si>
  <si>
    <t>TUBO PVC, SERIE NORMAL, ESGOTO PREDIAL, DN 40 MM, FORNECIDO E INSTALADO EM RAMAL DE DESCARGA OU RAMAL DE ESGOTO SANITÁRIO. AF_08/2022</t>
  </si>
  <si>
    <t>22.2</t>
  </si>
  <si>
    <t>89712</t>
  </si>
  <si>
    <t>TUBO PVC, SERIE NORMAL, ESGOTO PREDIAL, DN 50 MM, FORNECIDO E INSTALADO EM RAMAL DE DESCARGA OU RAMAL DE ESGOTO SANITÁRIO. AF_08/2022</t>
  </si>
  <si>
    <t>22.3</t>
  </si>
  <si>
    <t>89713</t>
  </si>
  <si>
    <t>TUBO PVC, SERIE NORMAL, ESGOTO PREDIAL, DN 75 MM, FORNECIDO E INSTALADO EM RAMAL DE DESCARGA OU RAMAL DE ESGOTO SANITÁRIO. AF_08/2022</t>
  </si>
  <si>
    <t>22.4</t>
  </si>
  <si>
    <t>102264</t>
  </si>
  <si>
    <t>TUBO DE PVC BRANCO PARA REDE COLETORA DE ESGOTO CONDOMINIAL DE PAREDE MACIÇA, DN 100 MM, JUNTA ELÁSTICA - FORNECIMENTO E ASSENTAMENTO. AF_01/2021</t>
  </si>
  <si>
    <t>22.5</t>
  </si>
  <si>
    <t>94687</t>
  </si>
  <si>
    <t>CURVA 90 GRAUS, PVC, SOLDÁVEL, DN 110 MM, INSTALADO EM RESERVAÇÃO DE ÁGUA DE EDIFICAÇÃO QUE POSSUA RESERVATÓRIO DE FIBRA/FIBROCIMENTO FORNECIMENTO E INSTALAÇÃO. AF_06/2016</t>
  </si>
  <si>
    <t>22.6</t>
  </si>
  <si>
    <t>94679</t>
  </si>
  <si>
    <t>CURVA 90 GRAUS, PVC, SOLDÁVEL, DN 50 MM, INSTALADO EM RESERVAÇÃO DE ÁGUA DE EDIFICAÇÃO QUE POSSUA RESERVATÓRIO DE FIBRA/FIBROCIMENTO FORNECIMENTO E INSTALAÇÃO. AF_06/2016</t>
  </si>
  <si>
    <t>22.7</t>
  </si>
  <si>
    <t>00001967</t>
  </si>
  <si>
    <t>CURVA PVC LONGA 90 GRAUS, 40 MM, PARA ESGOTO PREDIAL</t>
  </si>
  <si>
    <t>22.8</t>
  </si>
  <si>
    <t>89728</t>
  </si>
  <si>
    <t>CURVA CURTA 90 GRAUS, PVC, SERIE NORMAL, ESGOTO PREDIAL, DN 40 MM, JUNTA SOLDÁVEL, FORNECIDO E INSTALADO EM RAMAL DE DESCARGA OU RAMAL DE ESGOTO SANITÁRIO. AF_08/2022</t>
  </si>
  <si>
    <t>22.9</t>
  </si>
  <si>
    <t>89726</t>
  </si>
  <si>
    <t>JOELHO 45 GRAUS, PVC, SERIE NORMAL, ESGOTO PREDIAL, DN 40 MM, JUNTA SOLDÁVEL, FORNECIDO E INSTALADO EM RAMAL DE DESCARGA OU RAMAL DE ESGOTO SANITÁRIO. AF_08/2022</t>
  </si>
  <si>
    <t>22.10</t>
  </si>
  <si>
    <t>89744</t>
  </si>
  <si>
    <t>JOELHO 90 GRAUS, PVC, SERIE NORMAL, ESGOTO PREDIAL, DN 100 MM, JUNTA ELÁSTICA, FORNECIDO E INSTALADO EM RAMAL DE DESCARGA OU RAMAL DE ESGOTO SANITÁRIO. AF_08/2022</t>
  </si>
  <si>
    <t>22.11</t>
  </si>
  <si>
    <t>89801</t>
  </si>
  <si>
    <t>JOELHO 90 GRAUS, PVC, SERIE NORMAL, ESGOTO PREDIAL, DN 50 MM, JUNTA ELÁSTICA, FORNECIDO E INSTALADO EM PRUMADA DE ESGOTO SANITÁRIO OU VENTILAÇÃO. AF_08/2022</t>
  </si>
  <si>
    <t>22.12</t>
  </si>
  <si>
    <t>89514</t>
  </si>
  <si>
    <t>JOELHO 90 GRAUS, PVC, SERIE R, ÁGUA PLUVIAL, DN 40 MM, JUNTA SOLDÁVEL, FORNECIDO E INSTALADO EM RAMAL DE ENCAMINHAMENTO. AF_06/2022</t>
  </si>
  <si>
    <t>22.13</t>
  </si>
  <si>
    <t>89797</t>
  </si>
  <si>
    <t>JUNÇÃO SIMPLES, PVC, SERIE NORMAL, ESGOTO PREDIAL, DN 100 X 100 MM, JUNTA ELÁSTICA, FORNECIDO E INSTALADO EM RAMAL DE DESCARGA OU RAMAL DE ESGOTO SANITÁRIO. AF_08/2022</t>
  </si>
  <si>
    <t>22.14</t>
  </si>
  <si>
    <t>89827</t>
  </si>
  <si>
    <t>JUNÇÃO SIMPLES, PVC, SERIE NORMAL, ESGOTO PREDIAL, DN 50 X 50 MM, JUNTA ELÁSTICA, FORNECIDO E INSTALADO EM PRUMADA DE ESGOTO SANITÁRIO OU VENTILAÇÃO. AF_08/2022</t>
  </si>
  <si>
    <t>22.15</t>
  </si>
  <si>
    <t>89784</t>
  </si>
  <si>
    <t>TE, PVC, SERIE NORMAL, ESGOTO PREDIAL, DN 50 X 50 MM, JUNTA ELÁSTICA, FORNECIDO E INSTALADO EM RAMAL DE DESCARGA OU RAMAL DE ESGOTO SANITÁRIO. AF_08/2022</t>
  </si>
  <si>
    <t>22.16</t>
  </si>
  <si>
    <t>89707</t>
  </si>
  <si>
    <t>CAIXA SIFONADA, PVC, DN 100 X 100 X 50 MM, JUNTA ELÁSTICA, FORNECIDA E INSTALADA EM RAMAL DE DESCARGA OU EM RAMAL DE ESGOTO SANITÁRIO. AF_08/2022</t>
  </si>
  <si>
    <t>22.17</t>
  </si>
  <si>
    <t>86882</t>
  </si>
  <si>
    <t>SIFÃO DO TIPO GARRAFA/COPO EM PVC 1.1/4 X 1.1/2? - FORNECIMENTO E INSTALAÇÃO. AF_01/2020</t>
  </si>
  <si>
    <t>22.18</t>
  </si>
  <si>
    <t>S86882S</t>
  </si>
  <si>
    <t>Sifão do tipo garrafa/copo em pvc 1.1/4 x 1.1/2? - fornecimento e instalação. af_01/2020</t>
  </si>
  <si>
    <t>22.19</t>
  </si>
  <si>
    <t>86883</t>
  </si>
  <si>
    <t>SIFÃO DO TIPO FLEXÍVEL EM PVC 1 X 1.1/2 - FORNECIMENTO E INSTALAÇÃO. AF_01/2020</t>
  </si>
  <si>
    <t>22.20</t>
  </si>
  <si>
    <t>86879</t>
  </si>
  <si>
    <t>VÁLVULA EM PLÁSTICO 1? PARA PIA, TANQUE OU LAVATÓRIO, COM OU SEM LADRÃO - FORNECIMENTO E INSTALAÇÃO. AF_01/2020</t>
  </si>
  <si>
    <t>22.21</t>
  </si>
  <si>
    <t>86877</t>
  </si>
  <si>
    <t>VÁLVULA EM METAL CROMADO 1.1/2? X 1.1/2? PARA TANQUE OU LAVATÓRIO, COM OU SEM LADRÃO - FORNECIMENTO E INSTALAÇÃO. AF_01/2020</t>
  </si>
  <si>
    <t>22.22</t>
  </si>
  <si>
    <t>98111</t>
  </si>
  <si>
    <t>CAIXA DE INSPEÇÃO PARA ATERRAMENTO, CIRCULAR, EM POLIETILENO, DIÂMETRO INTERNO = 0,3 M. AF_12/2020</t>
  </si>
  <si>
    <t>22.23</t>
  </si>
  <si>
    <t>98107</t>
  </si>
  <si>
    <t>CAIXA DE GORDURA SIMPLES (CAPACIDADE: 36 L), RETANGULAR, EM ALVENARIA COM BLOCOS DE CONCRETO, DIMENSÕES INTERNAS = 0,2X0,4 M, ALTURA INTERNA = 0,8 M. AF_12/2020</t>
  </si>
  <si>
    <t>23</t>
  </si>
  <si>
    <t>LOUÇAS E METAIS</t>
  </si>
  <si>
    <t>23.1</t>
  </si>
  <si>
    <t>95471</t>
  </si>
  <si>
    <t>VASO SANITARIO SIFONADO CONVENCIONAL PARA PCD SEM FURO FRONTAL COM LOUÇA BRANCA SEM ASSENTO - FORNECIMENTO E INSTALAÇÃO. AF_01/2020</t>
  </si>
  <si>
    <t>23.2</t>
  </si>
  <si>
    <t>103018</t>
  </si>
  <si>
    <t>VÁLVULA DE DESCARGA METÁLICA, BASE 1 1/4", ACABAMENTO METALICO CROMADO - FORNECIMENTO E INSTALAÇÃO. AF_08/2021</t>
  </si>
  <si>
    <t>23.3</t>
  </si>
  <si>
    <t>86941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</si>
  <si>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</si>
  <si>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>23.4</t>
  </si>
  <si>
    <t>86906</t>
  </si>
  <si>
    <t>TORNEIRA CROMADA DE MESA, 1/2? OU 3/4?, PARA LAVATÓRIO, PADRÃO POPULAR - FORNECIMENTO E INSTALAÇÃO. AF_01/2020</t>
  </si>
  <si>
    <t>23.5</t>
  </si>
  <si>
    <t>95544</t>
  </si>
  <si>
    <t>PAPELEIRA DE PAREDE EM METAL CROMADO SEM TAMPA, INCLUSO FIXAÇÃO. AF_01/2020</t>
  </si>
  <si>
    <t>23.6</t>
  </si>
  <si>
    <t>100873</t>
  </si>
  <si>
    <t>BARRA DE APOIO RETA, EM ALUMINIO, COMPRIMENTO 90 CM, FIXADA NA PAREDE - FORNECIMENTO E INSTALAÇÃO. AF_01/2020</t>
  </si>
  <si>
    <t>24</t>
  </si>
  <si>
    <t>BWC - INFANTIL (CRECHE 1 E II)</t>
  </si>
  <si>
    <t>24.1</t>
  </si>
  <si>
    <t>100848</t>
  </si>
  <si>
    <t>VASO SANITÁRIO INFANTIL LOUÇA BRANCA - FORNECIMENTO E INSTALACAO. AF_01/2020</t>
  </si>
  <si>
    <t>24.2</t>
  </si>
  <si>
    <t>24.3</t>
  </si>
  <si>
    <t>86938</t>
  </si>
  <si>
    <t>CUBA DE EMBUTIR OVAL EM LOUÇA BRANCA, 35 X 50CM OU EQUIVALENTE, INCLUSO VÁLVULA E SIFÃO TIPO GARRAFA EM METAL CROMADO - FORNECIMENTO E INSTALAÇÃO. AF_01/2020</t>
  </si>
  <si>
    <t>24.4</t>
  </si>
  <si>
    <t>24.5</t>
  </si>
  <si>
    <t>24.6</t>
  </si>
  <si>
    <t>100860</t>
  </si>
  <si>
    <t>CHUVEIRO ELÉTRICO COMUM CORPO PLÁSTICO, TIPO DUCHA ? FORNECIMENTO E INSTALAÇÃO. AF_01/2020</t>
  </si>
  <si>
    <t>24.7</t>
  </si>
  <si>
    <t>COMP-09439188</t>
  </si>
  <si>
    <t>BANCADA EM GRANITO CINZA, E=2,5CM - ORSE (10759)</t>
  </si>
  <si>
    <t>24.8</t>
  </si>
  <si>
    <t>25</t>
  </si>
  <si>
    <t>BWC - (ADMINISTRATIVO, CRECHE III, PRÉ-ESCOLA)</t>
  </si>
  <si>
    <t>25.1</t>
  </si>
  <si>
    <t>95470</t>
  </si>
  <si>
    <t>VASO SANITARIO SIFONADO CONVENCIONAL COM LOUÇA BRANCA, INCLUSO CONJUNTO DE LIGAÇÃO PARA BACIA SANITÁRIA AJUSTÁVEL - FORNECIMENTO E INSTALAÇÃO. AF_10/2016</t>
  </si>
  <si>
    <t>25.2</t>
  </si>
  <si>
    <t>25.3</t>
  </si>
  <si>
    <t>25.4</t>
  </si>
  <si>
    <t>25.5</t>
  </si>
  <si>
    <t>25.6</t>
  </si>
  <si>
    <t>25.7</t>
  </si>
  <si>
    <t>25.8</t>
  </si>
  <si>
    <t>26</t>
  </si>
  <si>
    <t>COZINHA - CIRCULAÇÃO - LACTARIO - DML - LAVANDERIA</t>
  </si>
  <si>
    <t>26.1</t>
  </si>
  <si>
    <t>26.2</t>
  </si>
  <si>
    <t>86922</t>
  </si>
  <si>
    <t>TANQUE DE LOUÇA BRANCA SUSPENSO, 18L OU EQUIVALENTE, INCLUSO SIFÃO TIPO GARRAFA EM METAL CROMADO, VÁLVULA METÁLICA E TORNEIRA DE METAL CROMADO PADRÃO MÉDIO - FORNECIMENTO E INSTALAÇÃO. AF_01/2020</t>
  </si>
  <si>
    <t>26.3</t>
  </si>
  <si>
    <t>26.4</t>
  </si>
  <si>
    <t>86913</t>
  </si>
  <si>
    <t>TORNEIRA CROMADA 1/2? OU 3/4? PARA TANQUE, PADRÃO POPULAR - FORNECIMENTO E INSTALAÇÃO. AF_01/2020</t>
  </si>
  <si>
    <t>26.5</t>
  </si>
  <si>
    <t>27</t>
  </si>
  <si>
    <t>DIVERSOS</t>
  </si>
  <si>
    <t>27.1</t>
  </si>
  <si>
    <t>101909</t>
  </si>
  <si>
    <t>EXTINTOR DE INCÊNDIO PORTÁTIL COM CARGA DE PQS DE 6 KG, CLASSE BC - FORNECIMENTO E INSTALAÇÃO. AF_10/2020_P</t>
  </si>
  <si>
    <t>27.2</t>
  </si>
  <si>
    <t>101905</t>
  </si>
  <si>
    <t>EXTINTOR DE INCÊNDIO PORTÁTIL COM CARGA DE ÁGUA PRESSURIZADA DE 10 L, CLASSE A - FORNECIMENTO E INSTALAÇÃO. AF_10/2020_P</t>
  </si>
  <si>
    <t>27.3</t>
  </si>
  <si>
    <t>102494</t>
  </si>
  <si>
    <t>PINTURA DE PISO COM TINTA EPÓXI, APLICAÇÃO MANUAL, 2 DEMÃOS, INCLUSO PRIMER EPÓXI. AF_05/2021</t>
  </si>
  <si>
    <t>27.4</t>
  </si>
  <si>
    <t>99811</t>
  </si>
  <si>
    <t>LIMPEZA DE CONTRAPISO COM VASSOURA A SECO. AF_04/2019</t>
  </si>
  <si>
    <t>VALOR BDI TOTAL:</t>
  </si>
  <si>
    <t>VALOR ORÇAMENTO:</t>
  </si>
  <si>
    <t>VALOR TOTAL:</t>
  </si>
  <si>
    <t>PRO-46870444 - PLACA INDICATIVA DA OBRA EM CHAPA DE AÇO GALVANIZADO (4,0M X 2,0M) (M²)</t>
  </si>
  <si>
    <t>Material</t>
  </si>
  <si>
    <t>COEFICIENTE</t>
  </si>
  <si>
    <t>PREÇO UNITÁRIO</t>
  </si>
  <si>
    <t>TOTAL</t>
  </si>
  <si>
    <t>INS-88700317</t>
  </si>
  <si>
    <t>PLACA DE OBRA (PARA CONSTRUCAO CIVIL) EM CHAPA GALVANIZADA *N. 22*, ADESIVADA, DE *2,4 X 1,2* M (SEM POSTES PARA FIXACAO)</t>
  </si>
  <si>
    <t xml:space="preserve">Composições </t>
  </si>
  <si>
    <t>00004491</t>
  </si>
  <si>
    <t>PONTALETE *7,5 X 7,5* CM EM PINUS, MISTA OU EQUIVALENTE DA REGIAO - BRUTA</t>
  </si>
  <si>
    <t>00005075</t>
  </si>
  <si>
    <t>PREGO DE ACO POLIDO COM CABECA 18 X 30 (2 3/4 X 10)</t>
  </si>
  <si>
    <t>00004417</t>
  </si>
  <si>
    <t>SARRAFO NAO APARELHADO *2,5 X 7* CM, EM MACARANDUBA, ANGELIM OU EQUIVALENTE DA REGIAO - 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</si>
  <si>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</si>
  <si>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</si>
  <si>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</si>
  <si>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</si>
  <si>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</si>
  <si>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</si>
  <si>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</si>
  <si>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</si>
  <si>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</si>
  <si>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94962</t>
  </si>
  <si>
    <t>CONCRETO MAGRO PARA LASTRO, TRAÇO 1:4,5:4,5 (EM MASSA SECA DE CIMENTO/ AREIA MÉDIA/ BRITA 1) - PREPARO MECÂNICO COM BETONEIRA 400 L. AF_05/2021</t>
  </si>
  <si>
    <t>TOTAL Serviço:</t>
  </si>
  <si>
    <t>VALOR:</t>
  </si>
  <si>
    <t>93584 - EXECUÇÃO DE DEPÓSITO EM CANTEIRO DE OBRA EM CHAPA DE MADEIRA COMPENSADA, NÃO INCLUSO MOBILIÁRIO. AF_04/2016 (M2)</t>
  </si>
  <si>
    <t>00011455</t>
  </si>
  <si>
    <t>FERROLHO COM FECHO / TRINCO REDONDO, EM ACO GALVANIZADO / ZINCADO, DE SOBREPOR, COM COMPRIMENTO DE 8" E ESPESSURA MINIMA DA CHAPA DE 1,50 MM</t>
  </si>
  <si>
    <t>101165</t>
  </si>
  <si>
    <t>ALVENARIA DE EMBASAMENTO COM BLOCO ESTRUTURAL DE CONCRETO, DE 14X19X29CM E ARGAMASSA DE ASSENTAMENTO COM PREPARO EM BETONEIRA. AF_05/2020</t>
  </si>
  <si>
    <t>95805</t>
  </si>
  <si>
    <t>CONDULETE DE PVC, TIPO B, PARA ELETRODUTO DE PVC SOLDÁVEL DN 25 MM (3/4''), APARENTE - FORNECIMENTO E INSTALAÇÃO. AF_11/2016</t>
  </si>
  <si>
    <t>91852</t>
  </si>
  <si>
    <t>ELETRODUTO FLEXÍVEL CORRUGADO, PVC, DN 20 MM (1/2"), PARA CIRCUITOS TERMINAIS, INSTALADO EM PAREDE - FORNECIMENTO E INSTALAÇÃO. AF_12/2015</t>
  </si>
  <si>
    <t>91862</t>
  </si>
  <si>
    <t>ELETRODUTO RÍGIDO ROSCÁVEL, PVC, DN 20 MM (1/2"), PARA CIRCUITOS TERMINAIS, INSTALADO EM FORRO - FORNECIMENTO E INSTALAÇÃO. AF_12/2015</t>
  </si>
  <si>
    <t>91170</t>
  </si>
  <si>
    <t>FIXAÇÃO DE TUBOS HORIZONTAIS DE PVC, CPVC OU COBRE DIÂMETROS MENORES OU IGUAIS A 40 MM OU ELETROCALHAS ATÉ 150MM DE LARGURA, COM ABRAÇADEIRA METÁLICA RÍGIDA TIPO D 1/2?, FIXADA EM PERFILADO EM LAJE. AF_05/2015</t>
  </si>
  <si>
    <t>91173</t>
  </si>
  <si>
    <t>FIXAÇÃO DE TUBOS VERTICAIS DE PPR DIÂMETROS MENORES OU IGUAIS A 40 MM COM ABRAÇADEIRA METÁLICA RÍGIDA TIPO D 1/2", FIXADA EM PERFILADO EM ALVENARIA. AF_05/2015</t>
  </si>
  <si>
    <t>92023</t>
  </si>
  <si>
    <t>INTERRUPTOR SIMPLES (1 MÓDULO) COM 1 TOMADA DE EMBUTIR 2P+T 10 A,  INCLUINDO SUPORTE E PLACA - FORNECIMENTO E INSTALAÇÃO. AF_12/2015</t>
  </si>
  <si>
    <t>97586</t>
  </si>
  <si>
    <t>LUMINÁRIA TIPO CALHA, DE SOBREPOR, COM 2 LÂMPADAS TUBULARES FLUORESCENTES DE 36 W, COM REATOR DE PARTIDA RÁPIDA - FORNECIMENTO E INSTALAÇÃO. AF_02/2020</t>
  </si>
  <si>
    <t>98445</t>
  </si>
  <si>
    <t>PAREDE DE MADEIRA COMPENSADA PARA CONSTRUÇÃO TEMPORÁRIA EM CHAPA SIMPLES, EXTERNA, COM ÁREA LÍQUIDA MAIOR OU IGUAL A 6 M², COM VÃO. AF_05/2018</t>
  </si>
  <si>
    <t>98441</t>
  </si>
  <si>
    <t>PAREDE DE MADEIRA COMPENSADA PARA CONSTRUÇÃO TEMPORÁRIA EM CHAPA SIMPLES, EXTERNA, COM ÁREA LÍQUIDA MAIOR OU IGUAL A 6 M², SEM VÃO. AF_05/2018</t>
  </si>
  <si>
    <t>98446</t>
  </si>
  <si>
    <t>PAREDE DE MADEIRA COMPENSADA PARA CONSTRUÇÃO TEMPORÁRIA EM CHAPA SIMPLES, EXTERNA, COM ÁREA LÍQUIDA MENOR QUE 6 M², COM VÃO. AF_05/2018</t>
  </si>
  <si>
    <t>98442</t>
  </si>
  <si>
    <t>PAREDE DE MADEIRA COMPENSADA PARA CONSTRUÇÃO TEMPORÁRIA EM CHAPA SIMPLES, EXTERNA, COM ÁREA LÍQUIDA MENOR QUE 6 M², SEM VÃO. AF_05/2018</t>
  </si>
  <si>
    <t>91341</t>
  </si>
  <si>
    <t>PORTA EM ALUMÍNIO DE ABRIR TIPO VENEZIANA COM GUARNIÇÃO, FIXAÇÃO COM PARAFUSOS - FORNECIMENTO E INSTALAÇÃO. AF_12/2019</t>
  </si>
  <si>
    <t>94210</t>
  </si>
  <si>
    <t>TELHAMENTO COM TELHA ONDULADA DE FIBROCIMENTO E = 6 MM, COM RECOBRIMENTO LATERAL DE 1 1/4 DE ONDA PARA TELHADO COM INCLINAÇÃO MÁXIMA DE 10°, COM ATÉ 2 ÁGUAS, INCLUSO IÇAMENTO. AF_07/2019</t>
  </si>
  <si>
    <t>92543</t>
  </si>
  <si>
    <t>TRAMA DE MADEIRA COMPOSTA POR TERÇAS PARA TELHADOS DE ATÉ 2 ÁGUAS PARA TELHA ONDULADA DE FIBROCIMENTO, METÁLICA, PLÁSTICA OU TERMOACÚSTICA, INCLUSO TRANSPORTE VERTICAL. AF_07/2019</t>
  </si>
  <si>
    <t>99059 - LOCACAO CONVENCIONAL DE OBRA, UTILIZANDO GABARITO DE TÁBUAS CORRIDAS PONTALETADAS A CADA 2,00M - 2 UTILIZAÇÕES. AF_10/2018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</si>
  <si>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</si>
  <si>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</si>
  <si>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</si>
  <si>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</si>
  <si>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</si>
  <si>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</si>
  <si>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</si>
  <si>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</si>
  <si>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</si>
  <si>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 *7,5 X 7,5* CM, EM MACARANDUBA, ANGELIM OU EQUIVALENTE DA REGIAO -  BRUTA</t>
  </si>
  <si>
    <t>00005068</t>
  </si>
  <si>
    <t>PREGO DE ACO POLIDO COM CABECA 17 X 21 (2 X 11)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</si>
  <si>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</si>
  <si>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</si>
  <si>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</si>
  <si>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</si>
  <si>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</si>
  <si>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</si>
  <si>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</si>
  <si>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</si>
  <si>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</si>
  <si>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99062</t>
  </si>
  <si>
    <t>MARCAÇÃO DE PONTOS EM GABARITO OU CAVALETE. AF_10/2018</t>
  </si>
  <si>
    <t>93382 - REATERRO MANUAL DE VALAS COM COMPACTAÇÃO MECANIZADA. AF_04/2016 (M3)</t>
  </si>
  <si>
    <t>91534</t>
  </si>
  <si>
    <t>COMPACTADOR DE SOLOS DE PERCUSSÃO (SOQUETE) COM MOTOR A GASOLINA 4 TEMPOS, POTÊNCIA 4 CV - CHI DIURNO. AF_08/2015</t>
  </si>
  <si>
    <t>91533</t>
  </si>
  <si>
    <t>COMPACTADOR DE SOLOS DE PERCUSSÃO (SOQUETE) COM MOTOR A GASOLINA 4 TEMPOS, POTÊNCIA 4 CV - CHP DIURNO. AF_08/2015</t>
  </si>
  <si>
    <t>95606</t>
  </si>
  <si>
    <t>UMIDIFICAÇÃO DE MATERIAL PARA VALAS COM CAMINHÃO PIPA 10000L. AF_11/2016</t>
  </si>
  <si>
    <t>93358 - ESCAVAÇÃO MANUAL DE VALA COM PROFUNDIDADE MENOR OU IGUAL A 1,30 M. AF_02/2021 (M3)</t>
  </si>
  <si>
    <t>96995 - REATERRO MANUAL APILOADO COM SOQUETE. AF_10/2017 (M3)</t>
  </si>
  <si>
    <t>96616 - LASTRO DE CONCRETO MAGRO, APLICADO EM BLOCOS DE COROAMENTO OU SAPATAS. AF_08/2017 (M3)</t>
  </si>
  <si>
    <t>88309</t>
  </si>
  <si>
    <t>PEDREIRO COM ENCARGOS COMPLEMENTARES</t>
  </si>
  <si>
    <t>94968</t>
  </si>
  <si>
    <t>CONCRETO MAGRO PARA LASTRO, TRAÇO 1:4,5:4,5 (EM MASSA SECA DE CIMENTO/ AREIA MÉDIA/ BRITA 1) - PREPARO MECÂNICO COM BETONEIRA 600 L. AF_05/2021</t>
  </si>
  <si>
    <t>96541 - FABRICAÇÃO, MONTAGEM E DESMONTAGEM DE FÔRMA PARA SAPATA, EM CHAPA DE MADEIRA COMPENSADA RESINADA, E=17 MM, 4 UTILIZAÇÕES. AF_06/2017 (M2)</t>
  </si>
  <si>
    <t>00001358</t>
  </si>
  <si>
    <t>CHAPA/PAINEL DE MADEIRA COMPENSADA RESINADA (MADEIRITE RESINADO ROSA) PARA FORMA DE CONCRETO, DE 2200 x 1100 MM, E = 17 MM</t>
  </si>
  <si>
    <t>00002692</t>
  </si>
  <si>
    <t>DESMOLDANTE PROTETOR PARA FORMAS DE MADEIRA, DE BASE OLEOSA EMULSIONADA EM AGUA</t>
  </si>
  <si>
    <t>00020247</t>
  </si>
  <si>
    <t>PREGO DE ACO POLIDO COM CABECA 15 X 15 (1 1/4 X 13)</t>
  </si>
  <si>
    <t>00005074</t>
  </si>
  <si>
    <t>PREGO DE ACO POLIDO COM CABECA 15 X 18 (1 1/2 X 13)</t>
  </si>
  <si>
    <t>00005073</t>
  </si>
  <si>
    <t>PREGO DE ACO POLIDO COM CABECA 17 X 24 (2 1/4 X 11)</t>
  </si>
  <si>
    <t>00040304</t>
  </si>
  <si>
    <t>PREGO DE ACO POLIDO COM CABECA DUPLA 17 X 27 (2 1/2 X 11)</t>
  </si>
  <si>
    <t>00004517</t>
  </si>
  <si>
    <t>SARRAFO *2,5 X 7,5* CM EM PINUS, MISTA OU EQUIVALENTE DA REGIAO - BRUTA</t>
  </si>
  <si>
    <t>94971 - CONCRETO FCK = 25MPA, TRAÇO 1:2,3:2,7 (EM MASSA SECA DE CIMENTO/ AREIA MÉDIA/ BRITA 1) - PREPARO MECÂNICO COM BETONEIRA 600 L. AF_05/2021 (M3)</t>
  </si>
  <si>
    <t>89226</t>
  </si>
  <si>
    <t>BETONEIRA CAPACIDADE NOMINAL DE 600 L, CAPACIDADE DE MISTURA 360 L, MOTOR ELÉTRICO TRIFÁSICO POTÊNCIA DE 4 CV, SEM CARREGADOR - CHI DIURNO. AF_11/2014</t>
  </si>
  <si>
    <t>89225</t>
  </si>
  <si>
    <t>BETONEIRA CAPACIDADE NOMINAL DE 600 L, CAPACIDADE DE MISTURA 360 L, MOTOR ELÉTRICO TRIFÁSICO POTÊNCIA DE 4 CV, SEM CARREGADOR - CHP DIURNO. AF_11/2014</t>
  </si>
  <si>
    <t>00000370</t>
  </si>
  <si>
    <t>AREIA MEDIA - POSTO JAZIDA/FORNECEDOR (RETIRADO NA JAZIDA, SEM TRANSPORTE)</t>
  </si>
  <si>
    <t>00001379</t>
  </si>
  <si>
    <t>CIMENTO PORTLAND COMPOSTO CP II-32</t>
  </si>
  <si>
    <t>00004721</t>
  </si>
  <si>
    <t>PEDRA BRITADA N. 1 (9,5 a 19 MM) POSTO PEDREIRA/FORNECEDOR, SEM FRETE</t>
  </si>
  <si>
    <t>88377</t>
  </si>
  <si>
    <t>OPERADOR DE BETONEIRA ESTACIONÁRIA/MISTURADOR COM ENCARGOS COMPLEMENTARES</t>
  </si>
  <si>
    <t>103670 - LANÇAMENTO COM USO DE BALDES, ADENSAMENTO E ACABAMENTO DE CONCRETO EM ESTRUTURAS. AF_02/2022 (M3)</t>
  </si>
  <si>
    <t>90587</t>
  </si>
  <si>
    <t>VIBRADOR DE IMERSÃO, DIÂMETRO DE PONTEIRA 45MM, MOTOR ELÉTRICO TRIFÁSICO POTÊNCIA DE 2 CV - CHI DIURNO. AF_06/2015</t>
  </si>
  <si>
    <t>90586</t>
  </si>
  <si>
    <t>VIBRADOR DE IMERSÃO, DIÂMETRO DE PONTEIRA 45MM, MOTOR ELÉTRICO TRIFÁSICO POTÊNCIA DE 2 CV - CHP DIURNO. AF_06/2015</t>
  </si>
  <si>
    <t>96544 - ARMAÇÃO DE BLOCO, VIGA BALDRAME OU SAPATA UTILIZANDO AÇO CA-50 DE 6,3 MM - MONTAGEM. AF_06/2017 (KG)</t>
  </si>
  <si>
    <t>00043132</t>
  </si>
  <si>
    <t>ARAME RECOZIDO 16 BWG, D = 1,65 MM (0,016 KG/M) OU 18 BWG, D = 1,25 MM (0,01 KG/M)</t>
  </si>
  <si>
    <t>00039017</t>
  </si>
  <si>
    <t>ESPACADOR / DISTANCIADOR CIRCULAR COM ENTRADA LATERAL, EM PLASTICO, PARA VERGALHAO *4,2 A 12,5* MM, COBRIMENTO 20 MM</t>
  </si>
  <si>
    <t>88238</t>
  </si>
  <si>
    <t>AJUDANTE DE ARMADOR COM ENCARGOS COMPLEMENTARES</t>
  </si>
  <si>
    <t>88245</t>
  </si>
  <si>
    <t>ARMADOR COM ENCARGOS COMPLEMENTARES</t>
  </si>
  <si>
    <t>92801</t>
  </si>
  <si>
    <t>CORTE E DOBRA DE AÇO CA-50, DIÂMETRO DE 6,3 MM. AF_06/2022</t>
  </si>
  <si>
    <t>96546 - ARMAÇÃO DE BLOCO, VIGA BALDRAME OU SAPATA UTILIZANDO AÇO CA-50 DE 10 MM - MONTAGEM. AF_06/2017 (KG)</t>
  </si>
  <si>
    <t>92803</t>
  </si>
  <si>
    <t>CORTE E DOBRA DE AÇO CA-50, DIÂMETRO DE 10,0 MM. AF_06/2022</t>
  </si>
  <si>
    <t>96547 - ARMAÇÃO DE BLOCO, VIGA BALDRAME OU SAPATA UTILIZANDO AÇO CA-50 DE 12,5 MM - MONTAGEM. AF_06/2017 (KG)</t>
  </si>
  <si>
    <t>92804</t>
  </si>
  <si>
    <t>CORTE E DOBRA DE AÇO CA-50, DIÂMETRO DE 12,5 MM. AF_06/2022</t>
  </si>
  <si>
    <t>96548 - ARMAÇÃO DE BLOCO, VIGA BALDRAME OU SAPATA UTILIZANDO AÇO CA-50 DE 16 MM - MONTAGEM. AF_06/2017 (KG)</t>
  </si>
  <si>
    <t>92805</t>
  </si>
  <si>
    <t>CORTE E DOBRA DE AÇO CA-50, DIÂMETRO DE 16,0 MM. AF_06/2022</t>
  </si>
  <si>
    <t>96543 - ARMAÇÃO DE BLOCO, VIGA BALDRAME E SAPATA UTILIZANDO AÇO CA-60 DE 5 MM - MONTAGEM. AF_06/2017 (KG)</t>
  </si>
  <si>
    <t>92800</t>
  </si>
  <si>
    <t>CORTE E DOBRA DE AÇO CA-60, DIÂMETRO DE 5,0 MM. AF_06/2022</t>
  </si>
  <si>
    <t>95240 - LASTRO DE CONCRETO MAGRO, APLICADO EM PISOS, LAJES SOBRE SOLO OU RADIERS, ESPESSURA DE 3 CM. AF_07/2016 (M2)</t>
  </si>
  <si>
    <t>96542 - FABRICAÇÃO, MONTAGEM E DESMONTAGEM DE FÔRMA PARA VIGA BALDRAME, EM CHAPA DE MADEIRA COMPENSADA RESINADA, E=17 MM, 4 UTILIZAÇÕES. AF_06/2017 (M2)</t>
  </si>
  <si>
    <t>92445 - MONTAGEM E DESMONTAGEM DE FÔRMA DE PILARES RETANGULARES E ESTRUTURAS SIMILARES, PÉ-DIREITO DUPLO, EM CHAPA DE MADEIRA COMPENSADA PLASTIFICADA, 18 UTILIZAÇÕES. AF_09/2020 (M2)</t>
  </si>
  <si>
    <t>Equipamento</t>
  </si>
  <si>
    <t>00040271</t>
  </si>
  <si>
    <t>LOCACAO DE APRUMADOR METALICO DE PILAR, COM ALTURA E ANGULO REGULAVEIS, EXTENSAO DE *1,50* A *2,80* M</t>
  </si>
  <si>
    <t>MES</t>
  </si>
  <si>
    <t>00040287</t>
  </si>
  <si>
    <t>LOCACAO DE BARRA DE ANCORAGEM DE 0,80 A 1,20 M DE EXTENSAO, COM ROSCA DE 5/8", INCLUINDO PORCA E FLANGE</t>
  </si>
  <si>
    <t>00040275</t>
  </si>
  <si>
    <t>LOCACAO DE VIGA SANDUICHE METALICA VAZADA PARA TRAVAMENTO DE PILARES, ALTURA DE *8* CM, LARGURA DE *6* CM E EXTENSAO DE 2 M</t>
  </si>
  <si>
    <t>TOTAL Equipamento:</t>
  </si>
  <si>
    <t>92264</t>
  </si>
  <si>
    <t>FABRICAÇÃO DE FÔRMA PARA PILARES E ESTRUTURAS SIMILARES, EM CHAPA DE MADEIRA COMPENSADA PLASTIFICADA, E = 18 MM. AF_09/2020</t>
  </si>
  <si>
    <t>92762 - ARMAÇÃO DE PILAR OU VIGA DE ESTRUTURA CONVENCIONAL DE CONCRETO ARMADO UTILIZANDO AÇO CA-50 DE 10,0 MM - MONTAGEM. AF_06/2022 (KG)</t>
  </si>
  <si>
    <t>92763 - ARMAÇÃO DE PILAR OU VIGA DE ESTRUTURA CONVENCIONAL DE CONCRETO ARMADO UTILIZANDO AÇO CA-50 DE 12,5 MM - MONTAGEM. AF_06/2022 (KG)</t>
  </si>
  <si>
    <t>92764 - ARMAÇÃO DE PILAR OU VIGA DE ESTRUTURA CONVENCIONAL DE CONCRETO ARMADO UTILIZANDO AÇO CA-50 DE 16,0 MM - MONTAGEM. AF_06/2022 (KG)</t>
  </si>
  <si>
    <t>92759 - ARMAÇÃO DE PILAR OU VIGA DE ESTRUTURA CONVENCIONAL DE CONCRETO ARMADO UTILIZANDO AÇO CA-60 DE 5,0 MM - MONTAGEM. AF_06/2022 (KG)</t>
  </si>
  <si>
    <t>92265 - FABRICAÇÃO DE FÔRMA PARA VIGAS, EM CHAPA DE MADEIRA COMPENSADA RESINADA, E = 17 MM. AF_09/2020 (M2)</t>
  </si>
  <si>
    <t>92760 - ARMAÇÃO DE PILAR OU VIGA DE ESTRUTURA CONVENCIONAL DE CONCRETO ARMADO UTILIZANDO AÇO CA-50 DE 6,3 MM - MONTAGEM. AF_06/2022 (KG)</t>
  </si>
  <si>
    <t>92761 - ARMAÇÃO DE PILAR OU VIGA DE ESTRUTURA CONVENCIONAL DE CONCRETO ARMADO UTILIZANDO AÇO CA-50 DE 8,0 MM - MONTAGEM. AF_06/2022 (KG)</t>
  </si>
  <si>
    <t>92802</t>
  </si>
  <si>
    <t>CORTE E DOBRA DE AÇO CA-50, DIÂMETRO DE 8,0 MM. AF_06/2022</t>
  </si>
  <si>
    <t>93182 - VERGA PRÉ-MOLDADA PARA JANELAS COM ATÉ 1,5 M DE VÃO. AF_03/2016 (M)</t>
  </si>
  <si>
    <t>87294</t>
  </si>
  <si>
    <t>ARGAMASSA TRAÇO 1:2:9 (EM VOLUME DE CIMENTO, CAL E AREIA MÉDIA ÚMIDA) PARA EMBOÇO/MASSA ÚNICA/ASSENTAMENTO DE ALVENARIA DE VEDAÇÃO, PREPARO MECÂNICO COM BETONEIRA 600 L. AF_08/2019</t>
  </si>
  <si>
    <t>94970</t>
  </si>
  <si>
    <t>CONCRETO FCK = 20MPA, TRAÇO 1:2,7:3 (EM MASSA SECA DE CIMENTO/ AREIA MÉDIA/ BRITA 1) - PREPARO MECÂNICO COM BETONEIRA 600 L. AF_05/2021</t>
  </si>
  <si>
    <t>92270</t>
  </si>
  <si>
    <t>FABRICAÇÃO DE FÔRMA PARA VIGAS, COM MADEIRA SERRADA, E = 25 MM. AF_09/2020</t>
  </si>
  <si>
    <t>93184 - VERGA PRÉ-MOLDADA PARA PORTAS COM ATÉ 1,5 M DE VÃO. AF_03/2016 (M)</t>
  </si>
  <si>
    <t>93194 - CONTRAVERGA PRÉ-MOLDADA PARA VÃOS DE ATÉ 1,5 M DE COMPRIMENTO. AF_03/2016 (M)</t>
  </si>
  <si>
    <t>101964 - LAJE PRÉ-MOLDADA UNIDIRECIONAL, BIAPOIADA, PARA FORRO, ENCHIMENTO EM CERÂMICA, VIGOTA CONVENCIONAL, ALTURA TOTAL DA LAJE (ENCHIMENTO+CAPA) = (8+3). AF_11/2020 (M2)</t>
  </si>
  <si>
    <t>00003736</t>
  </si>
  <si>
    <t>LAJE PRE-MOLDADA CONVENCIONAL (LAJOTAS + VIGOTAS) PARA FORRO, UNIDIRECIONAL, SOBRECARGA DE 100 KG/M2, VAO ATE 4,00 M (SEM COLOCACAO)</t>
  </si>
  <si>
    <t>00006193</t>
  </si>
  <si>
    <t>TABUA  NAO  APARELHADA  *2,5 X 20* CM, EM MACARANDUBA, ANGELIM OU EQUIVALENTE DA REGIAO - BRUTA</t>
  </si>
  <si>
    <t>92767</t>
  </si>
  <si>
    <t>ARMAÇÃO DE LAJE DE ESTRUTURA CONVENCIONAL DE CONCRETO ARMADO UTILIZANDO AÇO CA-60 DE 4,2 MM - MONTAGEM. AF_06/2022</t>
  </si>
  <si>
    <t>103674</t>
  </si>
  <si>
    <t>CONCRETAGEM DE VIGAS E LAJES, FCK=25 MPA, PARA LAJES PREMOLDADAS COM USO DE BOMBA - LANÇAMENTO, ADENSAMENTO E ACABAMENTO. AF_02/2022</t>
  </si>
  <si>
    <t>92273</t>
  </si>
  <si>
    <t>FABRICAÇÃO DE ESCORAS DO TIPO PONTALETE, EM MADEIRA, PARA PÉ-DIREITO SIMPLES. AF_09/2020</t>
  </si>
  <si>
    <t>101161 - ALVENARIA DE VEDAÇÃO COM ELEMENTO VAZADO DE CONCRETO (COBOGÓ) DE 7X50X50CM E ARGAMASSA DE ASSENTAMENTO COM PREPARO EM BETONEIRA. AF_05/2020 (M2)</t>
  </si>
  <si>
    <t>00000665</t>
  </si>
  <si>
    <t>ELEMENTO VAZADO DE CONCRETO, QUADRICULADO, 16 FUROS *50 X 50 X 7* CM</t>
  </si>
  <si>
    <t>100489</t>
  </si>
  <si>
    <t>ARGAMASSA TRAÇO 1:3 (EM VOLUME DE CIMENTO E AREIA MÉDIA ÚMIDA), PREPARO MECÂNICO COM BETONEIRA 600 L. AF_08/2019</t>
  </si>
  <si>
    <t>103329 - ALVENARIA DE VEDAÇÃO DE BLOCOS CERÂMICOS FURADOS NA HORIZONTAL DE 9X19X19 CM (ESPESSURA 9 CM) E ARGAMASSA DE ASSENTAMENTO COM PREPARO MANUAL. AF_12/2021 (M2)</t>
  </si>
  <si>
    <t>00007271</t>
  </si>
  <si>
    <t>BLOCO CERAMICO / TIJOLO VAZADO PARA ALVENARIA DE VEDACAO, 8 FUROS NA HORIZONTAL, DE 9 X 19 X 19 CM (L XA X C)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</si>
  <si>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</si>
  <si>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</si>
  <si>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</si>
  <si>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</si>
  <si>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</si>
  <si>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</si>
  <si>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</si>
  <si>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102253 - DIVISORIA SANITÁRIA, TIPO CABINE, EM GRANITO CINZA POLIDO, ESP = 3CM, ASSENTADO COM ARGAMASSA COLANTE AC III-E, EXCLUSIVE FERRAGENS. AF_01/2021 (M2)</t>
  </si>
  <si>
    <t>00000131</t>
  </si>
  <si>
    <t>ADESIVO ESTRUTURAL A BASE DE RESINA EPOXI, BICOMPONENTE, PASTOSO (TIXOTROPICO)</t>
  </si>
  <si>
    <t>00037596</t>
  </si>
  <si>
    <t>ARGAMASSA COLANTE TIPO AC III E</t>
  </si>
  <si>
    <t>00044476</t>
  </si>
  <si>
    <t>DIVISORIA EM GRANITO, COM DUAS FACES POLIDAS, TIPO ANDORINHA/ QUARTZ/ CASTELO/ CORUMBA OU OUTROS EQUIVALENTES DA REGIAO, E=  *3,0*  CM</t>
  </si>
  <si>
    <t>88274</t>
  </si>
  <si>
    <t>MARMORISTA/GRANITEIRO COM ENCARGOS COMPLEMENTARES</t>
  </si>
  <si>
    <t>sico - MURO DE CONTORNO COM PILAR EM CONCRETO ARMADO A CADA 2,50M, CONTENDO: ESCAVAÇÃO, ALV. PEDRA, EMBASAMENTO, RADIER, CINTA, CHAPISCADO, REBOCADO H=2,50M (M)</t>
  </si>
  <si>
    <t>Não Oficial</t>
  </si>
  <si>
    <t>TOTAL Não Oficial:</t>
  </si>
  <si>
    <t>90790 - KIT DE PORTA-PRONTA DE MADEIRA EM ACABAMENTO MELAMÍNICO BRANCO, FOLHA LEVE OU MÉDIA, 80X210CM, EXCLUSIVE FECHADURA, FIXAÇÃO COM PREENCHIMENTO PARCIAL DE ESPUMA EXPANSIVA - FORNECIMENTO E INSTALAÇÃO. AF_12/2019 (UN)</t>
  </si>
  <si>
    <t>00038124</t>
  </si>
  <si>
    <t>ESPUMA EXPANSIVA DE POLIURETANO, APLICACAO MANUAL - 500 ML</t>
  </si>
  <si>
    <t>00039492</t>
  </si>
  <si>
    <t>KIT PORTA PRONTA DE MADEIRA, FOLHA MEDIA (NBR 15930) DE 800 X 2100 MM, DE 35 MM A 40 MM DE ESPESSURA, NUCLEO SEMI-SOLIDO (SARRAFEADO), ESTRUTURA USINADA PARA FECHADURA, CAPA LISA EM HDF, ACABAMENTO MELAMINICO BRANCO (INCLUI MARCO, ALIZARES E DOBRADICAS)</t>
  </si>
  <si>
    <t>88261</t>
  </si>
  <si>
    <t>CARPINTEIRO DE ESQUADRIA COM ENCARGOS COMPLEMENTARES</t>
  </si>
  <si>
    <t>90788 - KIT DE PORTA-PRONTA DE MADEIRA EM ACABAMENTO MELAMÍNICO BRANCO, FOLHA LEVE OU MÉDIA, 60X210CM, EXCLUSIVE FECHADURA, FIXAÇÃO COM PREENCHIMENTO PARCIAL DE ESPUMA EXPANSIVA - FORNECIMENTO E INSTALAÇÃO. AF_12/2019 (UN)</t>
  </si>
  <si>
    <t>00039490</t>
  </si>
  <si>
    <t>KIT PORTA PRONTA DE MADEIRA, FOLHA MEDIA (NBR 15930) DE 600 X 2100 MM OU 700 X 2100 MM, DE 35 MM A 40 MM DE ESPESSURA, NUCLEO SEMI-SOLIDO (SARRAFEADO), ESTRUTURA USINADA PARA FECHADURA, CAPA LISA EM HDF, ACABAMENTO MELAMINICO BRANCO (INCLUI MARCO, ALIZARES E DOBRADICAS)</t>
  </si>
  <si>
    <t>94805 - PORTA DE ALUMÍNIO DE ABRIR PARA VIDRO SEM GUARNIÇÃO, 87X210CM, FIXAÇÃO COM PARAFUSOS, INCLUSIVE VIDROS - FORNECIMENTO E INSTALAÇÃO. AF_12/2019 (UN)</t>
  </si>
  <si>
    <t>00007568</t>
  </si>
  <si>
    <t>BUCHA DE NYLON SEM ABA S10, COM PARAFUSO DE 6,10 X 65 MM EM ACO ZINCADO COM ROSCA SOBERBA, CABECA CHATA E FENDA PHILLIPS</t>
  </si>
  <si>
    <t>00039024</t>
  </si>
  <si>
    <t>PORTA DE ABRIR EM ALUMINIO COM DIVISAO HORIZONTAL  PARA VIDROS,  ACABAMENTO ANODIZADO NATURAL, VIDROS INCLUSOS, SEM GUARNICAO/ALIZAR/VISTA , 87 X 210 CM</t>
  </si>
  <si>
    <t>00000142</t>
  </si>
  <si>
    <t>SELANTE ELASTICO MONOCOMPONENTE A BASE DE POLIURETANO (PU) PARA JUNTAS DIVERSAS</t>
  </si>
  <si>
    <t>310ML</t>
  </si>
  <si>
    <t>94559 - JANELA DE AÇO TIPO BASCULANTE PARA VIDROS, COM BATENTE, FERRAGENS E PINTURA ANTICORROSIVA. EXCLUSIVE VIDROS, ACABAMENTO, ALIZAR E CONTRAMARCO. FORNECIMENTO E INSTALAÇÃO. AF_12/2019 (M2)</t>
  </si>
  <si>
    <t>00011190</t>
  </si>
  <si>
    <t>JANELA BASCULANTE, ACO, COM BATENTE/REQUADRO, 60 X 60 CM (SEM VIDROS)</t>
  </si>
  <si>
    <t>88629</t>
  </si>
  <si>
    <t>ARGAMASSA TRAÇO 1:3 (EM VOLUME DE CIMENTO E AREIA MÉDIA ÚMIDA), PREPARO MANUAL. AF_08/2019</t>
  </si>
  <si>
    <t>94562 - JANELA DE AÇO DE CORRER COM 4 FOLHAS PARA VIDRO, COM BATENTE, FERRAGENS E PINTURA ANTICORROSIVA. EXCLUSIVE VIDROS, ALIZAR E CONTRAMARCO. FORNECIMENTO E INSTALAÇÃO. AF_12/2019 (M2)</t>
  </si>
  <si>
    <t>00011199</t>
  </si>
  <si>
    <t>JANELA DE CORRER, ACO, BATENTE/REQUADRO DE 6 A 14 CM, COM DIVISAO HORIZ , PINT ANTICORROSIVA, SEM VIDRO, BANDEIRA COM BASCULA, 4 FLS, 120 X 150 CM (A X L)</t>
  </si>
  <si>
    <t>94570 - JANELA DE ALUMÍNIO DE CORRER COM 2 FOLHAS PARA VIDROS, COM VIDROS, BATENTE, ACABAMENTO COM ACETATO OU BRILHANTE E FERRAGENS. EXCLUSIVE ALIZAR E CONTRAMARCO. FORNECIMENTO E INSTALAÇÃO. AF_12/2019 (M2)</t>
  </si>
  <si>
    <t>00036896</t>
  </si>
  <si>
    <t>JANELA DE CORRER, EM ALUMINIO PERFIL 25, 100 X 120 CM (A X L), 2 FLS MOVEIS,  SEM BANDEIRA, ACABAMENTO BRANCO OU BRILHANTE, BATENTE DE 6 A 7 CM, COM VIDRO, SEM GUARNICAO</t>
  </si>
  <si>
    <t>00004377</t>
  </si>
  <si>
    <t>PARAFUSO DE ACO ZINCADO COM ROSCA SOBERBA, CABECA CHATA E FENDA SIMPLES, DIAMETRO 4,2 MM, COMPRIMENTO * 32 * MM</t>
  </si>
  <si>
    <t>00039961</t>
  </si>
  <si>
    <t>SILICONE ACETICO USO GERAL INCOLOR 280 G</t>
  </si>
  <si>
    <t>94446 - TELHAMENTO COM TELHA CERÂMICA CAPA-CANAL, TIPO PLAN, COM MAIS DE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</si>
  <si>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</si>
  <si>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</si>
  <si>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</si>
  <si>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</si>
  <si>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</si>
  <si>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</si>
  <si>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</si>
  <si>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88323</t>
  </si>
  <si>
    <t>TELHADISTA COM ENCARGOS COMPLEMENTARES</t>
  </si>
  <si>
    <t>94219 - CUMEEIRA E ESPIGÃO PARA TELHA CERÂMICA EMBOÇADA COM ARGAMASSA TRAÇO 1:2:9 (CIMENTO, CAL E AREIA), PARA TELHADOS COM MAIS DE 2 ÁGUAS, INCLUSO TRANSPORTE VERTICAL. AF_07/2019 (M)</t>
  </si>
  <si>
    <t>00007181</t>
  </si>
  <si>
    <t>CUMEEIRA PARA TELHA CERAMICA, COMPRIMENTO DE *41* CM, RENDIMENTO DE *3* TELHAS/M</t>
  </si>
  <si>
    <t>87337</t>
  </si>
  <si>
    <t>ARGAMASSA TRAÇO 1:2:9 (EM VOLUME DE CIMENTO, CAL E AREIA MÉDIA ÚMIDA) PARA EMBOÇO/MASSA ÚNICA/ASSENTAMENTO DE ALVENARIA DE VEDAÇÃO, PREPARO MECÂNICO COM MISTURADOR DE EIXO HORIZONTAL DE 300 KG. AF_08/2019</t>
  </si>
  <si>
    <t>94227 - CALHA EM CHAPA DE AÇO GALVANIZADO NÚMERO 24, DESENVOLVIMENTO DE 33 CM, INCLUSO TRANSPORTE VERTICAL. AF_07/2019 (M)</t>
  </si>
  <si>
    <t>00040782</t>
  </si>
  <si>
    <t>CALHA QUADRADA DE CHAPA DE ACO GALVANIZADA NUM 24, CORTE 33 CM</t>
  </si>
  <si>
    <t>00005061</t>
  </si>
  <si>
    <t>PREGO DE ACO POLIDO COM CABECA 18 X 27 (2 1/2 X 10)</t>
  </si>
  <si>
    <t>00005104</t>
  </si>
  <si>
    <t>REBITE DE ALUMINIO VAZADO DE REPUXO, 3,2 X 8 MM (1KG = 1025 UNIDADES)</t>
  </si>
  <si>
    <t>00013388</t>
  </si>
  <si>
    <t>SOLDA EM BARRA DE ESTANHO-CHUMBO 50/50</t>
  </si>
  <si>
    <t>98546 - IMPERMEABILIZAÇÃO DE SUPERFÍCIE COM MANTA ASFÁLTICA, UMA CAMADA, INCLUSIVE APLICAÇÃO DE PRIMER ASFÁLTICO, E=3MM. AF_06/2018 (M2)</t>
  </si>
  <si>
    <t>00004226</t>
  </si>
  <si>
    <t>GAS DE COZINHA - GLP</t>
  </si>
  <si>
    <t>00004014</t>
  </si>
  <si>
    <t>MANTA ASFALTICA ELASTOMERICA EM POLIESTER 3 MM, TIPO III, CLASSE B, ACABAMENTO PP (NBR 9952)</t>
  </si>
  <si>
    <t>00000511</t>
  </si>
  <si>
    <t>PRIMER PARA MANTA ASFALTICA A BASE DE ASFALTO MODIFICADO DILUIDO EM SOLVENTE, APLICACAO A FRIO</t>
  </si>
  <si>
    <t>88243</t>
  </si>
  <si>
    <t>AJUDANTE ESPECIALIZADO COM ENCARGOS COMPLEMENTARES</t>
  </si>
  <si>
    <t>88270</t>
  </si>
  <si>
    <t>IMPERMEABILIZADOR COM ENCARGOS COMPLEMENTARES</t>
  </si>
  <si>
    <t>98557 - IMPERMEABILIZAÇÃO DE SUPERFÍCIE COM EMULSÃO ASFÁLTICA, 2 DEMÃOS AF_06/2018 (M2)</t>
  </si>
  <si>
    <t>00000626</t>
  </si>
  <si>
    <t>MANTA LIQUIDA DE BASE ASFALTICA MODIFICADA COM A ADICAO DE ELASTOMEROS DILUIDOS EM SOLVENTE ORGANICO, APLICACAO A FRIO (MEMBRANA IMPERMEABILIZANTE ASFASTICA)</t>
  </si>
  <si>
    <t>87879 - CHAPISCO APLICADO EM ALVENARIAS E ESTRUTURAS DE CONCRETO INTERNAS, COM COLHER DE PEDREIRO. ARGAMASSA TRAÇO 1:3 COM PREPARO EM BETONEIRA 400L. AF_06/2014 (M2)</t>
  </si>
  <si>
    <t>87313</t>
  </si>
  <si>
    <t>ARGAMASSA TRAÇO 1:3 (EM VOLUME DE CIMENTO E AREIA GROSSA ÚMIDA) PARA CHAPISCO CONVENCIONAL, PREPARO MECÂNICO COM BETONEIRA 400 L. AF_08/2019</t>
  </si>
  <si>
    <t>87894 - CHAPISCO APLICADO EM ALVENARIA (SEM PRESENÇA DE VÃOS) E ESTRUTURAS DE CONCRETO DE FACHADA, COM COLHER DE PEDREIRO. ARGAMASSA TRAÇO 1:3 COM PREPARO EM BETONEIRA 400L. AF_06/2014 (M2)</t>
  </si>
  <si>
    <t>87878 - CHAPISCO APLICADO EM ALVENARIAS E ESTRUTURAS DE CONCRETO INTERNAS, COM COLHER DE PEDREIRO. ARGAMASSA TRAÇO 1:3 COM PREPARO MANUAL. AF_06/2014 (M2)</t>
  </si>
  <si>
    <t>87377</t>
  </si>
  <si>
    <t>ARGAMASSA TRAÇO 1:3 (EM VOLUME DE CIMENTO E AREIA GROSSA ÚMIDA) PARA CHAPISCO CONVENCIONAL, PREPARO MANUAL. AF_08/2019</t>
  </si>
  <si>
    <t>87535 - EMBOÇO, PARA RECEBIMENTO DE CERÂMICA, EM ARGAMASSA TRAÇO 1:2:8, PREPARO MECÂNICO COM BETONEIRA 400L, APLICADO MANUALMENTE EM FACES INTERNAS DE PAREDES, PARA AMBIENTE COM ÁREA MAIOR QUE 10M2, ESPESSURA DE 20MM, COM EXECUÇÃO DE TALISCAS. AF_06/2014 (M2)</t>
  </si>
  <si>
    <t>87292</t>
  </si>
  <si>
    <t>ARGAMASSA TRAÇO 1:2:8 (EM VOLUME DE CIMENTO, CAL E AREIA MÉDIA ÚMIDA) PARA EMBOÇO/MASSA ÚNICA/ASSENTAMENTO DE ALVENARIA DE VEDAÇÃO, PREPARO MECÂNICO COM BETONEIRA 400 L. AF_08/2019</t>
  </si>
  <si>
    <t>87529 - MASSA ÚNICA, PARA RECEBIMENTO DE PINTURA, EM ARGAMASSA TRAÇO 1:2:8, PREPARO MECÂNICO COM BETONEIRA 400L, APLICADA MANUALMENTE EM FACES INTERNAS DE PAREDES, ESPESSURA DE 20MM, COM EXECUÇÃO DE TALISCAS. AF_06/2014 (M2)</t>
  </si>
  <si>
    <t>90406 - MASSA ÚNICA, PARA RECEBIMENTO DE PINTURA, EM ARGAMASSA TRAÇO 1:2:8, PREPARO MECÂNICO COM BETONEIRA 400L, APLICADA MANUALMENTE EM TETO, ESPESSURA DE 20MM, COM EXECUÇÃO DE TALISCAS. AF_03/2015 (M2)</t>
  </si>
  <si>
    <t>S11175 - Revestimento cerâmico para parede, 10 x 10 cm, Elizabeth, linha cristal piscina, aplicado com argamassa industrializada ac-ii, rejunte epoxi, exclusive regularização de base ou emboço - Rev 02 (m2)</t>
  </si>
  <si>
    <t>Encargos Complementares</t>
  </si>
  <si>
    <t>S10550</t>
  </si>
  <si>
    <t>Encargos Complementares - Pedreiro</t>
  </si>
  <si>
    <t>h</t>
  </si>
  <si>
    <t>S10549</t>
  </si>
  <si>
    <t>Encargos Complementares - Servente</t>
  </si>
  <si>
    <t>TOTAL Encargos Complementares:</t>
  </si>
  <si>
    <t>I12019</t>
  </si>
  <si>
    <t>Cerâmica 10 x 10 cm, Elizabeth, linha cristal piscina ou similar</t>
  </si>
  <si>
    <t>I37329S</t>
  </si>
  <si>
    <t>Rejunte epoxi, qualquer cor</t>
  </si>
  <si>
    <t>kg</t>
  </si>
  <si>
    <t>Mão de Obra</t>
  </si>
  <si>
    <t>I04750S</t>
  </si>
  <si>
    <t>Pedreiro (horista)</t>
  </si>
  <si>
    <t>I06111S</t>
  </si>
  <si>
    <t>Servente de obras</t>
  </si>
  <si>
    <t>TOTAL Mão de Obra:</t>
  </si>
  <si>
    <t>S03407</t>
  </si>
  <si>
    <t>Argamassa industrializada AC-II, Votomassa ou similar</t>
  </si>
  <si>
    <t>87275 - REVESTIMENTO CERÂMICO PARA PAREDES INTERNAS COM PLACAS TIPO ESMALTADA EXTRA DE DIMENSÕES 33X45 CM APLICADAS EM AMBIENTES DE ÁREA MAIOR QUE 5 M² A MEIA ALTURA DAS PAREDES. AF_06/2014 (M2)</t>
  </si>
  <si>
    <t>00001381</t>
  </si>
  <si>
    <t>ARGAMASSA COLANTE AC I PARA CERAMICAS</t>
  </si>
  <si>
    <t>00034357</t>
  </si>
  <si>
    <t>REJUNTE CIMENTICIO, QUALQUER COR</t>
  </si>
  <si>
    <t>00000536</t>
  </si>
  <si>
    <t>REVESTIMENTO EM CERAMICA ESMALTADA EXTRA, PEI MENOR OU IGUAL A 3, FORMATO MENOR OU IGUAL A 2025 CM2</t>
  </si>
  <si>
    <t>88256</t>
  </si>
  <si>
    <t>AZULEJISTA OU LADRILHISTA COM ENCARGOS COMPLEMENTARES</t>
  </si>
  <si>
    <t>98560 - IMPERMEABILIZAÇÃO DE PISO COM ARGAMASSA DE CIMENTO E AREIA, COM ADITIVO IMPERMEABILIZANTE, E = 2CM. AF_06/2018 (M2)</t>
  </si>
  <si>
    <t>00000123</t>
  </si>
  <si>
    <t>ADITIVO IMPERMEABILIZANTE DE PEGA NORMAL PARA ARGAMASSAS E CONCRETOS SEM ARMACAO, LIQUIDO E ISENTO DE CLORETOS</t>
  </si>
  <si>
    <t>87298</t>
  </si>
  <si>
    <t>ARGAMASSA TRAÇO 1:3 (EM VOLUME DE CIMENTO E AREIA MÉDIA ÚMIDA) PARA CONTRAPISO, PREPARO MECÂNICO COM BETONEIRA 400 L. AF_08/2019</t>
  </si>
  <si>
    <t>101750 - PISO CIMENTADO, TRAÇO 1:3 (CIMENTO E AREIA), ACABAMENTO RÚSTICO, ESPESSURA 4,0 CM, PREPARO MECÂNICO DA ARGAMASSA. AF_09/2020 (M2)</t>
  </si>
  <si>
    <t>00003671</t>
  </si>
  <si>
    <t>JUNTA PLASTICA DE DILATACAO PARA PISOS, COR CINZA, 17 X 3 MM (ALTURA X ESPESSURA)</t>
  </si>
  <si>
    <t>S02187 - Polimento de piso de alta resistência (existente) (m2)</t>
  </si>
  <si>
    <t>I01379S</t>
  </si>
  <si>
    <t>Cimento portland composto cp ii-32</t>
  </si>
  <si>
    <t>I00014</t>
  </si>
  <si>
    <t>Polimento de piso de alta resitência - existente</t>
  </si>
  <si>
    <t>98685 - RODAPÉ EM GRANITO, ALTURA 10 CM. AF_09/2020 (M)</t>
  </si>
  <si>
    <t>00037595</t>
  </si>
  <si>
    <t>ARGAMASSA COLANTE TIPO AC III</t>
  </si>
  <si>
    <t>00020231</t>
  </si>
  <si>
    <t>RODAPE OU RODABANCADA EM GRANITO, POLIDO, TIPO ANDORINHA/ QUARTZ/ CASTELO/ CORUMBA OU OUTROS EQUIVALENTES DA REGIAO, H= 10 CM, E=  *2,0* CM</t>
  </si>
  <si>
    <t>95241 - LASTRO DE CONCRETO MAGRO, APLICADO EM PISOS, LAJES SOBRE SOLO OU RADIERS, ESPESSURA DE 5 CM. AF_07/2016 (M2)</t>
  </si>
  <si>
    <t>100323 - LASTRO COM MATERIAL GRANULAR (AREIA MÉDIA), APLICADO EM PISOS OU LAJES SOBRE SOLO, ESPESSURA DE *10 CM*. AF_07/2019 (M3)</t>
  </si>
  <si>
    <t>91278</t>
  </si>
  <si>
    <t>PLACA VIBRATÓRIA REVERSÍVEL COM MOTOR 4 TEMPOS A GASOLINA, FORÇA CENTRÍFUGA DE 25 KN (2500 KGF), POTÊNCIA 5,5 CV - CHI DIURNO. AF_08/2015</t>
  </si>
  <si>
    <t>91277</t>
  </si>
  <si>
    <t>PLACA VIBRATÓRIA REVERSÍVEL COM MOTOR 4 TEMPOS A GASOLINA, FORÇA CENTRÍFUGA DE 25 KN (2500 KGF), POTÊNCIA 5,5 CV - CHP DIURNO. AF_08/2015</t>
  </si>
  <si>
    <t>92396 - EXECUÇÃO DE PASSEIO EM PISO INTERTRAVADO, COM BLOCO RETANGULAR COR NATURAL DE 20 X 10 CM, ESPESSURA 6 CM. AF_12/2015 (M2)</t>
  </si>
  <si>
    <t>91285</t>
  </si>
  <si>
    <t>CORTADORA DE PISO COM MOTOR 4 TEMPOS A GASOLINA, POTÊNCIA DE 13 HP, COM DISCO DE CORTE DIAMANTADO SEGMENTADO PARA CONCRETO, DIÂMETRO DE 350 MM, FURO DE 1" (14 X 1") - CHI DIURNO. AF_08/2015</t>
  </si>
  <si>
    <t>91283</t>
  </si>
  <si>
    <t>CORTADORA DE PISO COM MOTOR 4 TEMPOS A GASOLINA, POTÊNCIA DE 13 HP, COM DISCO DE CORTE DIAMANTADO SEGMENTADO PARA CONCRETO, DIÂMETRO DE 350 MM, FURO DE 1" (14 X 1") - CHP DIURNO. AF_08/2015</t>
  </si>
  <si>
    <t>00036155</t>
  </si>
  <si>
    <t>BLOQUETE/PISO INTERTRAVADO DE CONCRETO - MODELO ONDA/16 FACES/RETANGULAR/TIJOLINHO/PAVER/HOLANDES/PARALELEPIPEDO, 20 CM X 10 CM, E = 6 CM, RESISTENCIA DE 35 MPA (NBR 9781), COR NATURAL</t>
  </si>
  <si>
    <t>00004741</t>
  </si>
  <si>
    <t>PO DE PEDRA (POSTO PEDREIRA/FORNECEDOR, SEM FRETE)</t>
  </si>
  <si>
    <t>88260</t>
  </si>
  <si>
    <t>CALCETEIRO COM ENCARGOS COMPLEMENTARES</t>
  </si>
  <si>
    <t>101094 - PISO PODOTÁTIL DE ALERTA OU DIRECIONAL, DE BORRACHA, ASSENTADO SOBRE ARGAMASSA. AF_05/2020 (M)</t>
  </si>
  <si>
    <t>00038186</t>
  </si>
  <si>
    <t>PISO TATIL DE ALERTA OU DIRECIONAL, DE BORRACHA, COLORIDO, 25 X 25 CM, E = 12 MM, PARA ARGAMASSA</t>
  </si>
  <si>
    <t>98504 - PLANTIO DE GRAMA BATATAIS EM PLACAS. AF_05/2018 (M2)</t>
  </si>
  <si>
    <t>00003324</t>
  </si>
  <si>
    <t>GRAMA BATATAIS EM PLACAS, SEM PLANTIO</t>
  </si>
  <si>
    <t>88441</t>
  </si>
  <si>
    <t>JARDINEIRO COM ENCARGOS COMPLEMENTARES</t>
  </si>
  <si>
    <t>88649 - RODAPÉ CERÂMICO DE 7CM DE ALTURA COM PLACAS TIPO ESMALTADA EXTRA DE DIMENSÕES 45X45CM. AF_06/2014 (M)</t>
  </si>
  <si>
    <t>00001287</t>
  </si>
  <si>
    <t>PISO EM CERAMICA ESMALTADA EXTRA, PEI MAIOR OU IGUAL A 4, FORMATO MENOR OU IGUAL A 2025 CM2</t>
  </si>
  <si>
    <t>98689 - SOLEIRA EM GRANITO, LARGURA 15 CM, ESPESSURA 2,0 CM. AF_09/2020 (M)</t>
  </si>
  <si>
    <t>00020232</t>
  </si>
  <si>
    <t>SOLEIRA EM GRANITO, POLIDO, TIPO ANDORINHA/ QUARTZ/ CASTELO/ CORUMBA OU OUTROS EQUIVALENTES DA REGIAO, L= *15* CM, E=  *2,0* CM</t>
  </si>
  <si>
    <t>101965 - PEITORIL LINEAR EM GRANITO OU MÁRMORE, L = 15CM, COMPRIMENTO DE ATÉ 2M, ASSENTADO COM ARGAMASSA 1:6 COM ADITIVO. AF_11/2020 (M)</t>
  </si>
  <si>
    <t>00034747</t>
  </si>
  <si>
    <t>PEITORIL EM MARMORE, POLIDO, BRANCO COMUM, L= *15* CM, E=  *2,0* CM, COM PINGADEIRA</t>
  </si>
  <si>
    <t>87283</t>
  </si>
  <si>
    <t>ARGAMASSA TRAÇO 1:6 (EM VOLUME DE CIMENTO E AREIA MÉDIA ÚMIDA) COM ADIÇÃO DE PLASTIFICANTE PARA EMBOÇO/MASSA ÚNICA/ASSENTAMENTO DE ALVENARIA DE VEDAÇÃO, PREPARO MECÂNICO COM BETONEIRA 400 L. AF_08/2019</t>
  </si>
  <si>
    <t>96135 - APLICAÇÃO MANUAL DE MASSA ACRÍLICA EM PAREDES EXTERNAS DE CASAS, DUAS DEMÃOS. AF_05/2017 (M2)</t>
  </si>
  <si>
    <t>00003767</t>
  </si>
  <si>
    <t>LIXA EM FOLHA PARA PAREDE OU MADEIRA, NUMERO 120, COR VERMELHA</t>
  </si>
  <si>
    <t>00043651</t>
  </si>
  <si>
    <t>MASSA ACRILICA PARA SUPERFICIES INTERNAS E EXTERNAS</t>
  </si>
  <si>
    <t>88310</t>
  </si>
  <si>
    <t>PINTOR COM ENCARGOS COMPLEMENTARES</t>
  </si>
  <si>
    <t>95306 - TEXTURA ACRÍLICA, APLICAÇÃO MANUAL EM TETO, UMA DEMÃO. AF_09/2016 (M2)</t>
  </si>
  <si>
    <t>00038877</t>
  </si>
  <si>
    <t>MASSA PREMIUM PARA TEXTURA LISA DE BASE ACRILICA, USO INTERNO E EXTERNO</t>
  </si>
  <si>
    <t>88489 - APLICAÇÃO MANUAL DE PINTURA COM TINTA LÁTEX ACRÍLICA EM PAREDES, DUAS DEMÃOS. AF_06/2014 (M2)</t>
  </si>
  <si>
    <t>88488 - APLICAÇÃO MANUAL DE PINTURA COM TINTA LÁTEX ACRÍLICA EM TETO, DUAS DEMÃOS. AF_06/2014 (M2)</t>
  </si>
  <si>
    <t>102489 - PINTURA HIDROFUGANTE COM SILICONE, APLICAÇÃO MANUAL, 2 DEMÃOS. AF_05/2021 (M2)</t>
  </si>
  <si>
    <t>00012815</t>
  </si>
  <si>
    <t>FITA CREPE ROLO DE 25 MM X 50 M</t>
  </si>
  <si>
    <t>00000151</t>
  </si>
  <si>
    <t>IMPERMEABILIZANTE INCOLOR,  BASE SILICONE, PARA TRATAMENTO DE FACHADAS, TELHAS, PEDRAS E OUTRAS SUPERFICIES</t>
  </si>
  <si>
    <t>100744 - PINTURA COM TINTA ALQUÍDICA DE ACABAMENTO (ESMALTE SINTÉTICO BRILHANTE) APLICADA A ROLO OU PINCEL SOBRE PERFIL METÁLICO EXECUTADO EM FÁBRICA (POR DEMÃO). AF_01/2020 (M2)</t>
  </si>
  <si>
    <t>00005318</t>
  </si>
  <si>
    <t>DILUENTE AGUARRAS</t>
  </si>
  <si>
    <t>00007292</t>
  </si>
  <si>
    <t>TINTA ESMALTE SINTETICO PREMIUM BRILHANTE</t>
  </si>
  <si>
    <t>93009 - ELETRODUTO RÍGIDO ROSCÁVEL, PVC, DN 60 MM (2"), PARA REDE ENTERRADA DE DISTRIBUIÇÃO DE ENERGIA ELÉTRICA - FORNECIMENTO E INSTALAÇÃO. AF_12/2021 (M)</t>
  </si>
  <si>
    <t>00002681</t>
  </si>
  <si>
    <t>ELETRODUTO DE PVC RIGIDO ROSCAVEL DE 2 ", SEM LUVA</t>
  </si>
  <si>
    <t>88247</t>
  </si>
  <si>
    <t>AUXILIAR DE ELETRICISTA COM ENCARGOS COMPLEMENTARES</t>
  </si>
  <si>
    <t>88264</t>
  </si>
  <si>
    <t>ELETRICISTA COM ENCARGOS COMPLEMENTARES</t>
  </si>
  <si>
    <t>93008 - ELETRODUTO RÍGIDO ROSCÁVEL, PVC, DN 50 MM (1 1/2"), PARA REDE ENTERRADA DE DISTRIBUIÇÃO DE ENERGIA ELÉTRICA - FORNECIMENTO E INSTALAÇÃO. AF_12/2021 (M)</t>
  </si>
  <si>
    <t>00002680</t>
  </si>
  <si>
    <t>ELETRODUTO DE PVC RIGIDO ROSCAVEL DE 1 1/2 ", SEM LUVA</t>
  </si>
  <si>
    <t>91873 - ELETRODUTO RÍGIDO ROSCÁVEL, PVC, DN 40 MM (1 1/4"), PARA CIRCUITOS TERMINAIS, INSTALADO EM PAREDE - FORNECIMENTO E INSTALAÇÃO. AF_12/2015 (M)</t>
  </si>
  <si>
    <t>00002684</t>
  </si>
  <si>
    <t>ELETRODUTO DE PVC RIGIDO ROSCAVEL DE 1 1/4 ", SEM LUVA</t>
  </si>
  <si>
    <t>91872 - ELETRODUTO RÍGIDO ROSCÁVEL, PVC, DN 32 MM (1"), PARA CIRCUITOS TERMINAIS, INSTALADO EM PAREDE - FORNECIMENTO E INSTALAÇÃO. AF_12/2015 (M)</t>
  </si>
  <si>
    <t>00002685</t>
  </si>
  <si>
    <t>ELETRODUTO DE PVC RIGIDO ROSCAVEL DE 1 ", SEM LUVA</t>
  </si>
  <si>
    <t>91871 - ELETRODUTO RÍGIDO ROSCÁVEL, PVC, DN 25 MM (3/4"), PARA CIRCUITOS TERMINAIS, INSTALADO EM PAREDE - FORNECIMENTO E INSTALAÇÃO. AF_12/2015 (M)</t>
  </si>
  <si>
    <t>00002674</t>
  </si>
  <si>
    <t>ELETRODUTO DE PVC RIGIDO ROSCAVEL DE 3/4 ", SEM LUVA</t>
  </si>
  <si>
    <t>91870 - ELETRODUTO RÍGIDO ROSCÁVEL, PVC, DN 20 MM (1/2"), PARA CIRCUITOS TERMINAIS, INSTALADO EM PAREDE - FORNECIMENTO E INSTALAÇÃO. AF_12/2015 (M)</t>
  </si>
  <si>
    <t>00002673</t>
  </si>
  <si>
    <t>ELETRODUTO DE PVC RIGIDO ROSCAVEL DE 1/2 ", SEM LUVA</t>
  </si>
  <si>
    <t>101663 - ABRAÇADEIRA EM AÇO PARA AMARRAÇÃO DE ELETRODUTOSS, TIPO D, COM 1" E CUNHA DE FIXAÇÃO (UN)</t>
  </si>
  <si>
    <t>00011927</t>
  </si>
  <si>
    <t>ABRACADEIRA, GALVANIZADA/ZINCADA, ROSCA SEM FIM, PARAFUSO INOX, LARGURA  FITA *12,6 A *14 MM, D = 2" A 2 1/2"</t>
  </si>
  <si>
    <t>00039212 - ARRUELA EM ALUMINIO, COM ROSCA, DE 1 1/2", PARA ELETRODUTO (UN)</t>
  </si>
  <si>
    <t>00039208 - ARRUELA EM ALUMINIO, COM ROSCA, DE 1/2", PARA ELETRODUTO (UN)</t>
  </si>
  <si>
    <t>00039178 - BUCHA EM ALUMINIO, COM ROSCA, DE 1 1/2", PARA ELETRODUTO (UN)</t>
  </si>
  <si>
    <t>BUCHA EM ALUMINIO, COM ROSCA, DE  1 1/2", PARA ELETRODUTO</t>
  </si>
  <si>
    <t>00039174 - BUCHA EM ALUMINIO, COM ROSCA, DE 1/2", PARA ELETRODUTO (UN)</t>
  </si>
  <si>
    <t>00011945 - BUCHA DE NYLON SEM ABA S4 (UN)</t>
  </si>
  <si>
    <t>00004375 - BUCHA DE NYLON SEM ABA S6 (UN)</t>
  </si>
  <si>
    <t>97564 - CURVA 135 GRAUS PARA ELETRODUTO, PVC, ROSCÁVEL, DN 25 MM (3/4?), PARA CIRCUITOS TERMINAIS, INSTALADA EM PAREDE - FORNECIMENTO E INSTALAÇÃO. AF_12/2015 (UN)</t>
  </si>
  <si>
    <t>00039274</t>
  </si>
  <si>
    <t>CURVA 135 GRAUS, DE PVC RIGIDO ROSCAVEL, DE 3/4", PARA ELETRODUTO</t>
  </si>
  <si>
    <t>91911 - CURVA 90 GRAUS PARA ELETRODUTO, PVC, ROSCÁVEL, DN 20 MM (1/2"), PARA CIRCUITOS TERMINAIS, INSTALADA EM PAREDE - FORNECIMENTO E INSTALAÇÃO. AF_12/2015 (UN)</t>
  </si>
  <si>
    <t>00001870</t>
  </si>
  <si>
    <t>CURVA 90 GRAUS, LONGA, DE PVC RIGIDO ROSCAVEL, DE 1/2", PARA ELETRODUTO</t>
  </si>
  <si>
    <t>91875 - LUVA PARA ELETRODUTO, PVC, ROSCÁVEL, DN 25 MM (3/4"), PARA CIRCUITOS TERMINAIS, INSTALADA EM FORRO - FORNECIMENTO E INSTALAÇÃO. AF_12/2015 (UN)</t>
  </si>
  <si>
    <t>00001891</t>
  </si>
  <si>
    <t>LUVA EM PVC RIGIDO ROSCAVEL, DE 3/4", PARA ELETRODUTO</t>
  </si>
  <si>
    <t>91876 - LUVA PARA ELETRODUTO, PVC, ROSCÁVEL, DN 32 MM (1"), PARA CIRCUITOS TERMINAIS, INSTALADA EM FORRO - FORNECIMENTO E INSTALAÇÃO. AF_12/2015 (UN)</t>
  </si>
  <si>
    <t>00001892</t>
  </si>
  <si>
    <t>LUVA EM PVC RIGIDO ROSCAVEL, DE 1", PARA ELETRODUTO</t>
  </si>
  <si>
    <t>COM-57989361 - LUMINARIA LED DOWNLIGHT 14W DE EMBUTIR (UNID)</t>
  </si>
  <si>
    <t>S10552</t>
  </si>
  <si>
    <t>Encargos Complementares - Eletricista</t>
  </si>
  <si>
    <t>INS-06520038</t>
  </si>
  <si>
    <t>LAMPADA LED TUBULAR BIVOLT 9/10 W, BASE G13</t>
  </si>
  <si>
    <t>I01363</t>
  </si>
  <si>
    <t>Luminária fluorescente embutir aberta  2 x 20 w (tecnolux - ref.fle 8157/216 ou similar)</t>
  </si>
  <si>
    <t>00002436</t>
  </si>
  <si>
    <t>ELETRICISTA (HORISTA)</t>
  </si>
  <si>
    <t>00006111</t>
  </si>
  <si>
    <t>SERVENTE DE OBRAS</t>
  </si>
  <si>
    <t>S12971 - Luminária Painel Led embutir 18w quadrada, 6000k da G-light ou similar - Rev 01_11/2021 (un)</t>
  </si>
  <si>
    <t>I13685</t>
  </si>
  <si>
    <t>Luminária Painel Led embutir 18w quadrada, 6000k  da G-light ou similar</t>
  </si>
  <si>
    <t>I02436S</t>
  </si>
  <si>
    <t>Eletricista (horista)</t>
  </si>
  <si>
    <t>COM-16451001 - LUMINARIA LED SPOTLIGHT 10W DE EMBUTIR (UNID)</t>
  </si>
  <si>
    <t>INS-92291513</t>
  </si>
  <si>
    <t>LAMPADA FLUORESCENTE COMPACTA 2U/3U BRANCA 9/10 W,, BASE E 27(127/220 V)</t>
  </si>
  <si>
    <t>I13647</t>
  </si>
  <si>
    <t>Luminária de embutir redonda para lâmpada flourescente ou LED compacta sistema draw back, modelo ref: 1140 da marca BONIN ou similar.</t>
  </si>
  <si>
    <t>97609 - LÂMPADA COMPACTA DE LED 6 W, BASE E27 - FORNECIMENTO E INSTALAÇÃO. AF_02/2020 (UN)</t>
  </si>
  <si>
    <t>00038193</t>
  </si>
  <si>
    <t>LAMPADA LED 6 W BIVOLT BRANCA, FORMATO TRADICIONAL (BASE E27)</t>
  </si>
  <si>
    <t>00012295</t>
  </si>
  <si>
    <t>SOQUETE DE BAQUELITE BASE E27, PARA LAMPADAS</t>
  </si>
  <si>
    <t>COM-20124905 - LUMINARIA LED REFLETOR RETANGULAR BIVOLT, LUZ BRANCA, 50 W (UND)</t>
  </si>
  <si>
    <t>91996 - TOMADA MÉDIA DE EMBUTIR (1 MÓDULO), 2P+T 10 A, INCLUINDO SUPORTE E PLACA - FORNECIMENTO E INSTALAÇÃO. AF_12/2015 (UN)</t>
  </si>
  <si>
    <t>91946</t>
  </si>
  <si>
    <t>SUPORTE PARAFUSADO COM PLACA DE ENCAIXE 4" X 2" MÉDIO (1,30 M DO PISO) PARA PONTO ELÉTRICO - FORNECIMENTO E INSTALAÇÃO. AF_12/2015</t>
  </si>
  <si>
    <t>91994</t>
  </si>
  <si>
    <t>TOMADA MÉDIA DE EMBUTIR (1 MÓDULO), 2P+T 10 A, SEM SUPORTE E SEM PLACA - FORNECIMENTO E INSTALAÇÃO. AF_12/2015</t>
  </si>
  <si>
    <t>92005 - TOMADA MÉDIA DE EMBUTIR (2 MÓDULOS), 2P+T 20 A, INCLUINDO SUPORTE E PLACA - FORNECIMENTO E INSTALAÇÃO. AF_12/2015 (UN)</t>
  </si>
  <si>
    <t>92003</t>
  </si>
  <si>
    <t>TOMADA MÉDIA DE EMBUTIR (2 MÓDULOS), 2P+T 20 A, SEM SUPORTE E SEM PLACA - FORNECIMENTO E INSTALAÇÃO. AF_12/2015</t>
  </si>
  <si>
    <t>91935 - CABO DE COBRE FLEXÍVEL ISOLADO, 16 MM², ANTI-CHAMA 0,6/1,0 KV, PARA CIRCUITOS TERMINAIS - FORNECIMENTO E INSTALAÇÃO. AF_12/2015 (M)</t>
  </si>
  <si>
    <t>00000995</t>
  </si>
  <si>
    <t>CABO DE COBRE, FLEXIVEL, CLASSE 4 OU 5, ISOLACAO EM PVC/A, ANTICHAMA BWF-B, COBERTURA PVC-ST1, ANTICHAMA BWF-B, 1 CONDUTOR, 0,6/1 KV, SECAO NOMINAL 16 MM2</t>
  </si>
  <si>
    <t>00021127</t>
  </si>
  <si>
    <t>FITA ISOLANTE ADESIVA ANTICHAMA, USO ATE 750 V, EM ROLO DE 19 MM X 5 M</t>
  </si>
  <si>
    <t>91958 - INTERRUPTOR SIMPLES (2 MÓDULOS), 10A/250V, SEM SUPORTE E SEM PLACA - FORNECIMENTO E INSTALAÇÃO. AF_12/2015 (UN)</t>
  </si>
  <si>
    <t>00038112</t>
  </si>
  <si>
    <t>INTERRUPTOR SIMPLES 10A, 250V (APENAS MODULO)</t>
  </si>
  <si>
    <t>91969 - INTERRUPTOR PARALELO (3 MÓDULOS), 10A/250V, INCLUINDO SUPORTE E PLACA - FORNECIMENTO E INSTALAÇÃO. AF_12/2015 (UN)</t>
  </si>
  <si>
    <t>91968</t>
  </si>
  <si>
    <t>INTERRUPTOR PARALELO (3 MÓDULOS), 10A/250V, SEM SUPORTE E SEM PLACA - FORNECIMENTO E INSTALAÇÃO. AF_12/2015</t>
  </si>
  <si>
    <t>101879 - QUADRO DE DISTRIBUIÇÃO DE ENERGIA EM CHAPA DE AÇO GALVANIZADO, DE EMBUTIR, COM BARRAMENTO TRIFÁSICO, PARA 24 DISJUNTORES DIN 100A - FORNECIMENTO E INSTALAÇÃO. AF_10/2020 (UN)</t>
  </si>
  <si>
    <t>00012039</t>
  </si>
  <si>
    <t>QUADRO DE DISTRIBUICAO COM BARRAMENTO TRIFASICO, DE EMBUTIR, EM CHAPA DE ACO GALVANIZADO, PARA 24 DISJUNTORES DIN, 100 A</t>
  </si>
  <si>
    <t>87367</t>
  </si>
  <si>
    <t>ARGAMASSA TRAÇO 1:1:6 (EM VOLUME DE CIMENTO, CAL E AREIA MÉDIA ÚMIDA) PARA EMBOÇO/MASSA ÚNICA/ASSENTAMENTO DE ALVENARIA DE VEDAÇÃO, PREPARO MANUAL. AF_08/2019</t>
  </si>
  <si>
    <t>101512 - ENTRADA DE ENERGIA ELÉTRICA, AÉREA, TRIFÁSICA, COM CAIXA DE EMBUTIR, CABO DE 35 MM2 E DISJUNTOR DIN 50A (NÃO INCLUSO O POSTE DE CONCRETO). AF_07/2020 (UN)</t>
  </si>
  <si>
    <t>00001094</t>
  </si>
  <si>
    <t>ARMACAO VERTICAL COM HASTE E CONTRA-PINO, EM CHAPA DE ACO GALVANIZADO 3/16", COM 1 ESTRIBO, SEM ISOLADOR</t>
  </si>
  <si>
    <t>00011267</t>
  </si>
  <si>
    <t>ARRUELA LISA, REDONDA, DE LATAO POLIDO, DIAMETRO NOMINAL 5/8", DIAMETRO EXTERNO = 34 MM, DIAMETRO DO FURO = 17 MM, ESPESSURA = *2,5* MM</t>
  </si>
  <si>
    <t>00034643</t>
  </si>
  <si>
    <t>CAIXA DE INSPECAO PARA ATERRAMENTO E PARA RAIOS, EM POLIPROPILENO,  DIAMETRO = 300 MM X ALTURA = 400 MM</t>
  </si>
  <si>
    <t>00001062</t>
  </si>
  <si>
    <t>CAIXA INTERNA/EXTERNA DE MEDICAO PARA 1 MEDIDOR TRIFASICO, COM VISOR, EM CHAPA DE ACO 18 USG (PADRAO DA CONCESSIONARIA LOCAL)</t>
  </si>
  <si>
    <t>00011864</t>
  </si>
  <si>
    <t>CONECTOR METALICO TIPO PARAFUSO FENDIDO (SPLIT BOLT), PARA CABOS ATE 95 MM2</t>
  </si>
  <si>
    <t>00014153</t>
  </si>
  <si>
    <t>FITA METALICA PERFURADA, L = *18* MM, ROLO DE 30 M, CARGA RECOMENDADA = *30* KGF</t>
  </si>
  <si>
    <t>00003398</t>
  </si>
  <si>
    <t>ISOLADOR DE PORCELANA, TIPO ROLDANA, DIMENSOES DE *72* X *72* MM, PARA USO EM BAIXA TENSAO</t>
  </si>
  <si>
    <t>00004346</t>
  </si>
  <si>
    <t>PARAFUSO DE FERRO POLIDO, SEXTAVADO, COM ROSCA PARCIAL, DIAMETRO 5/8", COMPRIMENTO 6", COM PORCA E ARRUELA DE PRESSAO MEDIA</t>
  </si>
  <si>
    <t>00039997</t>
  </si>
  <si>
    <t>PORCA ZINCADA, SEXTAVADA, DIAMETRO 1/4"</t>
  </si>
  <si>
    <t>00039996</t>
  </si>
  <si>
    <t>VERGALHAO ZINCADO ROSCA TOTAL, 1/4 " (6,3 MM)</t>
  </si>
  <si>
    <t>100578</t>
  </si>
  <si>
    <t>ASSENTAMENTO DE POSTE DE CONCRETO COM COMPRIMENTO NOMINAL DE 9 M, CARGA NOMINAL MENOR OU IGUAL A 1000 DAN, ENGASTAMENTO SIMPLES COM 1,5 M DE SOLO (NÃO INCLUI FORNECIMENTO). AF_11/2019</t>
  </si>
  <si>
    <t>92986</t>
  </si>
  <si>
    <t>CABO DE COBRE FLEXÍVEL ISOLADO, 35 MM², ANTI-CHAMA 0,6/1,0 KV, PARA REDE ENTERRADA DE DISTRIBUIÇÃO DE ENERGIA ELÉTRICA - FORNECIMENTO E INSTALAÇÃO. AF_12/2021</t>
  </si>
  <si>
    <t>96977</t>
  </si>
  <si>
    <t>CORDOALHA DE COBRE NU 50 MM², ENTERRADA, SEM ISOLADOR - FORNECIMENTO E INSTALAÇÃO. AF_12/2017</t>
  </si>
  <si>
    <t>91922</t>
  </si>
  <si>
    <t>CURVA 180 GRAUS PARA ELETRODUTO, PVC, ROSCÁVEL, DN 40 MM (1 1/4"), PARA CIRCUITOS TERMINAIS, INSTALADA EM PAREDE - FORNECIMENTO E INSTALAÇÃO. AF_12/2015</t>
  </si>
  <si>
    <t>91920</t>
  </si>
  <si>
    <t>CURVA 90 GRAUS PARA ELETRODUTO, PVC, ROSCÁVEL, DN 40 MM (1 1/4"), PARA CIRCUITOS TERMINAIS, INSTALADA EM PAREDE - FORNECIMENTO E INSTALAÇÃO. AF_12/2015</t>
  </si>
  <si>
    <t>93673</t>
  </si>
  <si>
    <t>DISJUNTOR TRIPOLAR TIPO DIN, CORRENTE NOMINAL DE 50A - FORNECIMENTO E INSTALAÇÃO. AF_10/2020</t>
  </si>
  <si>
    <t>96986</t>
  </si>
  <si>
    <t>HASTE DE ATERRAMENTO 3/4  PARA SPDA - FORNECIMENTO E INSTALAÇÃO. AF_12/2017</t>
  </si>
  <si>
    <t>91886</t>
  </si>
  <si>
    <t>LUVA PARA ELETRODUTO, PVC, ROSCÁVEL, DN 40 MM (1 1/4"), PARA CIRCUITOS TERMINAIS, INSTALADA EM PAREDE - FORNECIMENTO E INSTALAÇÃO. AF_12/2015</t>
  </si>
  <si>
    <t>92984 - CABO DE COBRE FLEXÍVEL ISOLADO, 25 MM², ANTI-CHAMA 0,6/1,0 KV, PARA REDE ENTERRADA DE DISTRIBUIÇÃO DE ENERGIA ELÉTRICA - FORNECIMENTO E INSTALAÇÃO. AF_12/2021 (M)</t>
  </si>
  <si>
    <t>00000996</t>
  </si>
  <si>
    <t>CABO DE COBRE, FLEXIVEL, CLASSE 4 OU 5, ISOLACAO EM PVC/A, ANTICHAMA BWF-B, COBERTURA PVC-ST1, ANTICHAMA BWF-B, 1 CONDUTOR, 0,6/1 KV, SECAO NOMINAL 25 MM2</t>
  </si>
  <si>
    <t>91932 - CABO DE COBRE FLEXÍVEL ISOLADO, 10 MM², ANTI-CHAMA 450/750 V, PARA CIRCUITOS TERMINAIS - FORNECIMENTO E INSTALAÇÃO. AF_12/2015 (M)</t>
  </si>
  <si>
    <t>00000980</t>
  </si>
  <si>
    <t>CABO DE COBRE, FLEXIVEL, CLASSE 4 OU 5, ISOLACAO EM PVC/A, ANTICHAMA BWF-B, 1 CONDUTOR, 450/750 V, SECAO NOMINAL 10 MM2</t>
  </si>
  <si>
    <t>91930 - CABO DE COBRE FLEXÍVEL ISOLADO, 6 MM², ANTI-CHAMA 450/750 V, PARA CIRCUITOS TERMINAIS - FORNECIMENTO E INSTALAÇÃO. AF_12/2015 (M)</t>
  </si>
  <si>
    <t>00000982</t>
  </si>
  <si>
    <t>CABO DE COBRE, FLEXIVEL, CLASSE 4 OU 5, ISOLACAO EM PVC/A, ANTICHAMA BWF-B, 1 CONDUTOR, 450/750 V, SECAO NOMINAL 6 MM2</t>
  </si>
  <si>
    <t>91928 - CABO DE COBRE FLEXÍVEL ISOLADO, 4 MM², ANTI-CHAMA 450/750 V, PARA CIRCUITOS TERMINAIS - FORNECIMENTO E INSTALAÇÃO. AF_12/2015 (M)</t>
  </si>
  <si>
    <t>00000981</t>
  </si>
  <si>
    <t>CABO DE COBRE, FLEXIVEL, CLASSE 4 OU 5, ISOLACAO EM PVC/A, ANTICHAMA BWF-B, 1 CONDUTOR, 450/750 V, SECAO NOMINAL 4 MM2</t>
  </si>
  <si>
    <t>91926 - CABO DE COBRE FLEXÍVEL ISOLADO, 2,5 MM², ANTI-CHAMA 450/750 V, PARA CIRCUITOS TERMINAIS - FORNECIMENTO E INSTALAÇÃO. AF_12/2015 (M)</t>
  </si>
  <si>
    <t>00001014</t>
  </si>
  <si>
    <t>CABO DE COBRE, FLEXIVEL, CLASSE 4 OU 5, ISOLACAO EM PVC/A, ANTICHAMA BWF-B, 1 CONDUTOR, 450/750 V, SECAO NOMINAL 2,5 MM2</t>
  </si>
  <si>
    <t>91924 - CABO DE COBRE FLEXÍVEL ISOLADO, 1,5 MM², ANTI-CHAMA 450/750 V, PARA CIRCUITOS TERMINAIS - FORNECIMENTO E INSTALAÇÃO. AF_12/2015 (M)</t>
  </si>
  <si>
    <t>00001013</t>
  </si>
  <si>
    <t>CABO DE COBRE, FLEXIVEL, CLASSE 4 OU 5, ISOLACAO EM PVC/A, ANTICHAMA BWF-B, 1 CONDUTOR, 450/750 V, SECAO NOMINAL 1,5 MM2</t>
  </si>
  <si>
    <t>97886 - CAIXA ENTERRADA ELÉTRICA RETANGULAR, EM ALVENARIA COM TIJOLOS CERÂMICOS MACIÇOS, FUNDO COM BRITA, DIMENSÕES INTERNAS: 0,3X0,3X0,3 M. AF_12/2020 (UN)</t>
  </si>
  <si>
    <t>00007258</t>
  </si>
  <si>
    <t>TIJOLO CERAMICO MACICO COMUM *5 X 10 X 20* CM (L X A X C)</t>
  </si>
  <si>
    <t>100475</t>
  </si>
  <si>
    <t>ARGAMASSA TRAÇO 1:3 (EM VOLUME DE CIMENTO E AREIA MÉDIA ÚMIDA) COM ADIÇÃO DE IMPERMEABILIZANTE, PREPARO MECÂNICO COM BETONEIRA 400 L. AF_08/2019</t>
  </si>
  <si>
    <t>87316</t>
  </si>
  <si>
    <t>ARGAMASSA TRAÇO 1:4 (EM VOLUME DE CIMENTO E AREIA GROSSA ÚMIDA) PARA CHAPISCO CONVENCIONAL, PREPARO MECÂNICO COM BETONEIRA 400 L. AF_08/2019</t>
  </si>
  <si>
    <t>97734</t>
  </si>
  <si>
    <t>PEÇA RETANGULAR PRÉ-MOLDADA, VOLUME DE CONCRETO DE 10 A 30 LITROS, TAXA DE AÇO APROXIMADA DE 30KG/M³. AF_01/2018</t>
  </si>
  <si>
    <t>101619</t>
  </si>
  <si>
    <t>PREPARO DE FUNDO DE VALA COM LARGURA MENOR QUE 1,5 M, COM CAMADA DE BRITA, LANÇAMENTO MANUAL. AF_08/2020</t>
  </si>
  <si>
    <t>91940 - CAIXA RETANGULAR 4" X 2" MÉDIA (1,30 M DO PISO), PVC, INSTALADA EM PAREDE - FORNECIMENTO E INSTALAÇÃO. AF_12/2015 (UN)</t>
  </si>
  <si>
    <t>00001872</t>
  </si>
  <si>
    <t>CAIXA DE PASSAGEM, EM PVC, DE 4" X 2", PARA ELETRODUTO FLEXIVEL CORRUGADO</t>
  </si>
  <si>
    <t>93670 - DISJUNTOR TRIPOLAR TIPO DIN, CORRENTE NOMINAL DE 25A - FORNECIMENTO E INSTALAÇÃO. AF_10/2020 (UN)</t>
  </si>
  <si>
    <t>00034709</t>
  </si>
  <si>
    <t>DISJUNTOR TIPO DIN/IEC, TRIPOLAR DE 10 ATE 50A</t>
  </si>
  <si>
    <t>00001571</t>
  </si>
  <si>
    <t>TERMINAL A COMPRESSAO EM COBRE ESTANHADO PARA CABO 4 MM2, 1 FURO E 1 COMPRESSAO, PARA PARAFUSO DE FIXACAO M5</t>
  </si>
  <si>
    <t>93671 - DISJUNTOR TRIPOLAR TIPO DIN, CORRENTE NOMINAL DE 32A - FORNECIMENTO E INSTALAÇÃO. AF_10/2020 (UN)</t>
  </si>
  <si>
    <t>00001573</t>
  </si>
  <si>
    <t>TERMINAL A COMPRESSAO EM COBRE ESTANHADO PARA CABO 6 MM2, 1 FURO E 1 COMPRESSAO, PARA PARAFUSO DE FIXACAO M6</t>
  </si>
  <si>
    <t>S09216 - Disjuntor termomagnetico bipolar 80 A, 30MA (un)</t>
  </si>
  <si>
    <t>I03693</t>
  </si>
  <si>
    <t>Disjuntor bipolar 80 A, padrão DIN (linha branca), curva de disparo C, corrente de interrupção 5KA, ref.: Siemens 5SX1 ou similar.</t>
  </si>
  <si>
    <t>93653 - DISJUNTOR MONOPOLAR TIPO DIN, CORRENTE NOMINAL DE 10A - FORNECIMENTO E INSTALAÇÃO. AF_10/2020 (UN)</t>
  </si>
  <si>
    <t>00034653</t>
  </si>
  <si>
    <t>DISJUNTOR TIPO DIN/IEC, MONOPOLAR DE 6  ATE  32A</t>
  </si>
  <si>
    <t>00001570</t>
  </si>
  <si>
    <t>TERMINAL A COMPRESSAO EM COBRE ESTANHADO PARA CABO 2,5 MM2, 1 FURO E 1 COMPRESSAO, PARA PARAFUSO DE FIXACAO M5</t>
  </si>
  <si>
    <t>93654 - DISJUNTOR MONOPOLAR TIPO DIN, CORRENTE NOMINAL DE 16A - FORNECIMENTO E INSTALAÇÃO. AF_10/2020 (UN)</t>
  </si>
  <si>
    <t>93655 - DISJUNTOR MONOPOLAR TIPO DIN, CORRENTE NOMINAL DE 20A - FORNECIMENTO E INSTALAÇÃO. AF_10/2020 (UN)</t>
  </si>
  <si>
    <t>89355 - TUBO, PVC, SOLDÁVEL, DN 20MM, INSTALADO EM RAMAL OU SUB-RAMAL DE ÁGUA - FORNECIMENTO E INSTALAÇÃO. AF_06/2022 (M)</t>
  </si>
  <si>
    <t>00038383</t>
  </si>
  <si>
    <t>LIXA D'AGUA EM FOLHA, GRAO 100</t>
  </si>
  <si>
    <t>00009867</t>
  </si>
  <si>
    <t>TUBO PVC, SOLDAVEL, DN 20 MM, AGUA FRIA (NBR-5648)</t>
  </si>
  <si>
    <t>88248</t>
  </si>
  <si>
    <t>AUXILIAR DE ENCANADOR OU BOMBEIRO HIDRÁULICO COM ENCARGOS COMPLEMENTARES</t>
  </si>
  <si>
    <t>88267</t>
  </si>
  <si>
    <t>ENCANADOR OU BOMBEIRO HIDRÁULICO COM ENCARGOS COMPLEMENTARES</t>
  </si>
  <si>
    <t>89402 - TUBO, PVC, SOLDÁVEL, DN 25MM, INSTALADO EM RAMAL DE DISTRIBUIÇÃO DE ÁGUA - FORNECIMENTO E INSTALAÇÃO. AF_06/2022 (M)</t>
  </si>
  <si>
    <t>00009868</t>
  </si>
  <si>
    <t>TUBO PVC, SOLDAVEL, DN 25 MM, AGUA FRIA (NBR-5648)</t>
  </si>
  <si>
    <t>89403 - TUBO, PVC, SOLDÁVEL, DN 32MM, INSTALADO EM RAMAL DE DISTRIBUIÇÃO DE ÁGUA - FORNECIMENTO E INSTALAÇÃO. AF_06/2022 (M)</t>
  </si>
  <si>
    <t>00009869</t>
  </si>
  <si>
    <t>TUBO PVC, SOLDAVEL, DN 32 MM, AGUA FRIA (NBR-5648)</t>
  </si>
  <si>
    <t>89448 - TUBO, PVC, SOLDÁVEL, DN 40MM, INSTALADO EM PRUMADA DE ÁGUA - FORNECIMENTO E INSTALAÇÃO. AF_06/2022 (M)</t>
  </si>
  <si>
    <t>00009874</t>
  </si>
  <si>
    <t>TUBO PVC, SOLDAVEL, DN 40 MM, AGUA FRIA (NBR-5648)</t>
  </si>
  <si>
    <t>89449 - TUBO, PVC, SOLDÁVEL, DN 50MM, INSTALADO EM PRUMADA DE ÁGUA - FORNECIMENTO E INSTALAÇÃO. AF_06/2022 (M)</t>
  </si>
  <si>
    <t>00009875</t>
  </si>
  <si>
    <t>TUBO PVC, SOLDAVEL, DN 50 MM, PARA AGUA FRIA (NBR-5648)</t>
  </si>
  <si>
    <t>104032 - COLAR DE TOMADA, PVC, COM TRAVAS, DE 75 MM X 1/2" OU 75 MM X 3/4", PARA LIGAÇÃO PREDIAL DE ÁGUA. AF_06/2022 (UN)</t>
  </si>
  <si>
    <t>00001413</t>
  </si>
  <si>
    <t>COLAR TOMADA PVC, COM TRAVAS, SAIDA COM ROSCA, DE 75 MM X 1/2" OU 75 MM X 3/4", PARA LIGACAO PREDIAL DE AGUA</t>
  </si>
  <si>
    <t>88246</t>
  </si>
  <si>
    <t>ASSENTADOR DE TUBOS COM ENCARGOS COMPLEMENTARES</t>
  </si>
  <si>
    <t>89362 - JOELHO 90 GRAUS, PVC, SOLDÁVEL, DN 25MM, INSTALADO EM RAMAL OU SUB-RAMAL DE ÁGUA - FORNECIMENTO E INSTALAÇÃO. AF_06/2022 (UN)</t>
  </si>
  <si>
    <t>00000122</t>
  </si>
  <si>
    <t>ADESIVO PLASTICO PARA PVC, FRASCO COM *850* GR</t>
  </si>
  <si>
    <t>00003529</t>
  </si>
  <si>
    <t>JOELHO PVC, SOLDAVEL, 90 GRAUS, 25 MM, PARA AGUA FRIA PREDIAL</t>
  </si>
  <si>
    <t>00020083</t>
  </si>
  <si>
    <t>SOLUCAO PREPARADORA / LIMPADORA PARA PVC, FRASCO COM 1000 CM3</t>
  </si>
  <si>
    <t>89366 - JOELHO 90 GRAUS COM BUCHA DE LATÃO, PVC, SOLDÁVEL, DN 25MM, X 3/4 INSTALADO EM RAMAL OU SUB-RAMAL DE ÁGUA - FORNECIMENTO E INSTALAÇÃO. AF_06/2022 (UN)</t>
  </si>
  <si>
    <t>00003524</t>
  </si>
  <si>
    <t>JOELHO PVC, SOLDAVEL, COM BUCHA DE LATAO, 90 GRAUS, 25 MM X 3/4", PARA AGUA FRIA PREDIAL</t>
  </si>
  <si>
    <t>90373 - JOELHO 90 GRAUS COM BUCHA DE LATÃO, PVC, SOLDÁVEL, DN 25MM, X 1/2 INSTALADO EM RAMAL OU SUB-RAMAL DE ÁGUA - FORNECIMENTO E INSTALAÇÃO. AF_06/2022 (UN)</t>
  </si>
  <si>
    <t>00020147</t>
  </si>
  <si>
    <t>JOELHO PVC, SOLDAVEL, COM BUCHA DE LATAO, 90 GRAUS, 25 MM X 1/2", PARA AGUA FRIA PREDIAL</t>
  </si>
  <si>
    <t>89408 - JOELHO 90 GRAUS, PVC, SOLDÁVEL, DN 25MM, INSTALADO EM RAMAL DE DISTRIBUIÇÃO DE ÁGUA - FORNECIMENTO E INSTALAÇÃO. AF_06/2022 (UN)</t>
  </si>
  <si>
    <t>89501 - JOELHO 90 GRAUS, PVC, SOLDÁVEL, DN 50MM, INSTALADO EM PRUMADA DE ÁGUA - FORNECIMENTO E INSTALAÇÃO. AF_06/2022 (UN)</t>
  </si>
  <si>
    <t>00003540</t>
  </si>
  <si>
    <t>JOELHO PVC, SOLDAVEL, 90 GRAUS, 50 MM, PARA AGUA FRIA PREDIAL</t>
  </si>
  <si>
    <t>89410 - CURVA 90 GRAUS, PVC, SOLDÁVEL, DN 25MM, INSTALADO EM RAMAL DE DISTRIBUIÇÃO DE ÁGUA - FORNECIMENTO E INSTALAÇÃO. AF_06/2022 (UN)</t>
  </si>
  <si>
    <t>00001956</t>
  </si>
  <si>
    <t>CURVA DE PVC 90 GRAUS, SOLDAVEL, 25 MM, PARA AGUA FRIA PREDIAL (NBR 5648)</t>
  </si>
  <si>
    <t>89432 - LUVA DE CORRER, PVC, SOLDÁVEL, DN 32MM, INSTALADO EM RAMAL DE DISTRIBUIÇÃO DE ÁGUA FORNECIMENTO E INSTALAÇÃO. AF_06/2022 (UN)</t>
  </si>
  <si>
    <t>00038021</t>
  </si>
  <si>
    <t>LUVA DE CORRER PARA TUBO SOLDAVEL, PVC, 32 MM, PARA AGUA FRIA PREDIAL</t>
  </si>
  <si>
    <t>89379 - LUVA DE CORRER, PVC, SOLDÁVEL, DN 25MM, INSTALADO EM RAMAL OU SUB-RAMAL DE ÁGUA - FORNECIMENTO E INSTALAÇÃO. AF_12/2014 (UN)</t>
  </si>
  <si>
    <t>00003873</t>
  </si>
  <si>
    <t>LUVA DE CORRER PARA TUBO SOLDAVEL, PVC, 25 MM, PARA AGUA FRIA PREDIAL</t>
  </si>
  <si>
    <t>89764 - BUCHA DE REDUÇÃO, CPVC, SOLDÁVEL, DN35MM X 28MM, INSTALADO EM RAMAL DE DISTRIBUIÇÃO DE ÁGUA - FORNECIMENTO E INSTALAÇÃO. AF_06/2022 (UN)</t>
  </si>
  <si>
    <t>00021114</t>
  </si>
  <si>
    <t>ADESIVO PARA TUBOS CPVC, *75* G</t>
  </si>
  <si>
    <t>00038003</t>
  </si>
  <si>
    <t>BUCHA DE REDUCAO, CPVC, SOLDAVEL, 35 X 28 MM, PARA AGUA QUENTE</t>
  </si>
  <si>
    <t>93065 - BUCHA DE REDUÇÃO EM COBRE, DN 42 MM X 35 MM, SEM ANEL DE SOLDA, PONTA X BOLSA, INSTALADO EM PRUMADA DE HIDRÁULICA PREDIAL - FORNECIMENTO E INSTALAÇÃO. AF_04/2022 (UN)</t>
  </si>
  <si>
    <t>00039890</t>
  </si>
  <si>
    <t>BUCHA DE REDUCAO DE COBRE (REF 600-2) SEM ANEL DE SOLDA, PONTA X BOLSA, 42 X 35 MM</t>
  </si>
  <si>
    <t>00039897</t>
  </si>
  <si>
    <t>PASTA PARA SOLDA DE TUBOS E CONEXOES DE COBRE (EMBALAGEM COM 250 G)</t>
  </si>
  <si>
    <t>00012732</t>
  </si>
  <si>
    <t>SOLDA ESTANHO/COBRE PARA CONEXOES DE COBRE, FIO 2,5 MM, CARRETEL 500 GR (SEM CHUMBO)</t>
  </si>
  <si>
    <t>93068 - BUCHA DE REDUÇÃO EM COBRE, DN 54 MM X 42 MM, SEM ANEL DE SOLDA, PONTA X BOLSA, INSTALADO EM PRUMADA DE HIDRÁULICA PREDIAL - FORNECIMENTO E INSTALAÇÃO. AF_04/2022 (UN)</t>
  </si>
  <si>
    <t>00039891</t>
  </si>
  <si>
    <t>BUCHA DE REDUCAO DE COBRE (REF 600-2) SEM ANEL DE SOLDA, PONTA X BOLSA, 54 X 42 MM</t>
  </si>
  <si>
    <t>93071 - BUCHA DE REDUÇÃO EM COBRE, DN 66 MM X 54 MM, SEM ANEL DE SOLDA, PONTA X BOLSA, INSTALADO EM PRUMADA DE HIDRÁULICA PREDIAL - FORNECIMENTO E INSTALAÇÃO. AF_04/2022 (UN)</t>
  </si>
  <si>
    <t>00039892</t>
  </si>
  <si>
    <t>BUCHA DE REDUCAO DE COBRE (REF 600-2) SEM ANEL DE SOLDA, PONTA X BOLSA, 66 X 54 MM</t>
  </si>
  <si>
    <t>89440 - TE, PVC, SOLDÁVEL, DN 25MM, INSTALADO EM RAMAL DE DISTRIBUIÇÃO DE ÁGUA - FORNECIMENTO E INSTALAÇÃO. AF_06/2022 (UN)</t>
  </si>
  <si>
    <t>00007139</t>
  </si>
  <si>
    <t>TE SOLDAVEL, PVC, 90 GRAUS, 25 MM, PARA AGUA FRIA PREDIAL (NBR 5648)</t>
  </si>
  <si>
    <t>89625 - TE, PVC, SOLDÁVEL, DN 50MM, INSTALADO EM PRUMADA DE ÁGUA - FORNECIMENTO E INSTALAÇÃO. AF_06/2022 (UN)</t>
  </si>
  <si>
    <t>00007142</t>
  </si>
  <si>
    <t>TE SOLDAVEL, PVC, 90 GRAUS,50 MM, PARA AGUA FRIA PREDIAL (NBR 5648)</t>
  </si>
  <si>
    <t>89628 - TE, PVC, SOLDÁVEL, DN 60MM, INSTALADO EM PRUMADA DE ÁGUA - FORNECIMENTO E INSTALAÇÃO. AF_06/2022 (UN)</t>
  </si>
  <si>
    <t>00007143</t>
  </si>
  <si>
    <t>TE SOLDAVEL, PVC, 90 GRAUS, 60 MM, PARA AGUA FRIA PREDIAL (NBR 5648)</t>
  </si>
  <si>
    <t>89395 - TE, PVC, SOLDÁVEL, DN 25MM, INSTALADO EM RAMAL OU SUB-RAMAL DE ÁGUA - FORNECIMENTO E INSTALAÇÃO. AF_06/2022 (UN)</t>
  </si>
  <si>
    <t>89398 - TE, PVC, SOLDÁVEL, DN 32MM, INSTALADO EM RAMAL OU SUB-RAMAL DE ÁGUA - FORNECIMENTO E INSTALAÇÃO. AF_06/2022 (UN)</t>
  </si>
  <si>
    <t>00007140</t>
  </si>
  <si>
    <t>TE SOLDAVEL, PVC, 90 GRAUS, 32 MM, PARA AGUA FRIA PREDIAL (NBR 5648)</t>
  </si>
  <si>
    <t>89442 - TÊ DE REDUÇÃO, PVC, SOLDÁVEL, DN 25MM X 20MM, INSTALADO EM RAMAL DE DISTRIBUIÇÃO DE ÁGUA - FORNECIMENTO E INSTALAÇÃO. AF_06/2022 (UN)</t>
  </si>
  <si>
    <t>00007104</t>
  </si>
  <si>
    <t>TE DE REDUCAO, PVC, SOLDAVEL, 90 GRAUS, 25 MM X 20 MM, PARA AGUA FRIA PREDIAL</t>
  </si>
  <si>
    <t>89627 - TÊ DE REDUÇÃO, PVC, SOLDÁVEL, DN 50MM X 25MM, INSTALADO EM PRUMADA DE ÁGUA - FORNECIMENTO E INSTALAÇÃO. AF_06/2022 (UN)</t>
  </si>
  <si>
    <t>00007129</t>
  </si>
  <si>
    <t>TE DE REDUCAO, PVC, SOLDAVEL, 90 GRAUS, 50 MM X 25 MM, PARA AGUA FRIA PREDIAL</t>
  </si>
  <si>
    <t>86884 - ENGATE FLEXÍVEL EM PLÁSTICO BRANCO, 1/2? X 30CM - FORNECIMENTO E INSTALAÇÃO. AF_01/2020 (UN)</t>
  </si>
  <si>
    <t>00006141</t>
  </si>
  <si>
    <t>ENGATE/RABICHO FLEXIVEL PLASTICO (PVC OU ABS) BRANCO 1/2 " X 30 CM</t>
  </si>
  <si>
    <t>00003146</t>
  </si>
  <si>
    <t>FITA VEDA ROSCA EM ROLOS DE 18 MM X 10 M (L X C)</t>
  </si>
  <si>
    <t>89429 - ADAPTADOR CURTO COM BOLSA E ROSCA PARA REGISTRO, PVC, SOLDÁVEL, DN 25MM X 3/4 , INSTALADO EM RAMAL DE DISTRIBUIÇÃO DE ÁGUA - FORNECIMENTO E INSTALAÇÃO. AF_06/2022 (UN)</t>
  </si>
  <si>
    <t>00000065</t>
  </si>
  <si>
    <t>ADAPTADOR PVC SOLDAVEL CURTO COM BOLSA E ROSCA, 25 MM X 3/4", PARA AGUA FRIA</t>
  </si>
  <si>
    <t>89436 - ADAPTADOR CURTO COM BOLSA E ROSCA PARA REGISTRO, PVC, SOLDÁVEL, DN 32MM X 1 , INSTALADO EM RAMAL DE DISTRIBUIÇÃO DE ÁGUA - FORNECIMENTO E INSTALAÇÃO. AF_06/2022 (UN)</t>
  </si>
  <si>
    <t>00000108</t>
  </si>
  <si>
    <t>ADAPTADOR PVC SOLDAVEL CURTO COM BOLSA E ROSCA, 32 MM X 1", PARA AGUA FRIA</t>
  </si>
  <si>
    <t>89610 - ADAPTADOR CURTO COM BOLSA E ROSCA PARA REGISTRO, PVC, SOLDÁVEL, DN 60MM X 2 , INSTALADO EM PRUMADA DE ÁGUA - FORNECIMENTO E INSTALAÇÃO. AF_06/2022 (UN)</t>
  </si>
  <si>
    <t>00000113</t>
  </si>
  <si>
    <t>ADAPTADOR PVC SOLDAVEL CURTO COM BOLSA E ROSCA, 60 MM X 2", PARA AGUA FRIA</t>
  </si>
  <si>
    <t>94703 - ADAPTADOR COM FLANGE E ANEL DE VEDAÇÃO, PVC, SOLDÁVEL, DN 25 MM X 3/4 , INSTALADO EM RESERVAÇÃO DE ÁGUA DE EDIFICAÇÃO QUE POSSUA RESERVATÓRIO DE FIBRA/FIBROCIMENTO FORNECIMENTO E INSTALAÇÃO. AF_06/2016 (UN)</t>
  </si>
  <si>
    <t>00000096</t>
  </si>
  <si>
    <t>ADAPTADOR PVC SOLDAVEL, COM FLANGE E ANEL DE VEDACAO, 25 MM X 3/4", PARA CAIXA D'AGUA</t>
  </si>
  <si>
    <t>00020080</t>
  </si>
  <si>
    <t>ADESIVO PLASTICO PARA PVC, FRASCO COM 175 GR</t>
  </si>
  <si>
    <t>94707 - ADAPTADOR COM FLANGE E ANEL DE VEDAÇÃO, PVC, SOLDÁVEL, DN 60 MM X 2 , INSTALADO EM RESERVAÇÃO DE ÁGUA DE EDIFICAÇÃO QUE POSSUA RESERVATÓRIO DE FIBRA/FIBROCIMENTO FORNECIMENTO E INSTALAÇÃO. AF_06/2016 (UN)</t>
  </si>
  <si>
    <t>00000100</t>
  </si>
  <si>
    <t>ADAPTADOR PVC SOLDAVEL, COM FLANGES E ANEL DE VEDACAO, 60 MM X 2", PARA CAIXA D' AGUA</t>
  </si>
  <si>
    <t>103042 - REGISTRO DE ESFERA, PVC, ROSCÁVEL, COM BORBOLETA, 3/4" - FORNECIMENTO E INSTALAÇÃO. AF_08/2021 (UN)</t>
  </si>
  <si>
    <t>00003148</t>
  </si>
  <si>
    <t>FITA VEDA ROSCA EM ROLOS DE 18 MM X 50 M (L X C)</t>
  </si>
  <si>
    <t>00006031</t>
  </si>
  <si>
    <t>REGISTRO DE ESFERA PVC, COM BORBOLETA, COM ROSCA EXTERNA, DE 3/4"</t>
  </si>
  <si>
    <t>94495 - REGISTRO DE GAVETA BRUTO, LATÃO, ROSCÁVEL, 1" - FORNECIMENTO E INSTALAÇÃO. AF_08/2021 (UN)</t>
  </si>
  <si>
    <t>00006019</t>
  </si>
  <si>
    <t>REGISTRO GAVETA BRUTO EM LATAO FORJADO, BITOLA 1 " (REF 1509)</t>
  </si>
  <si>
    <t>94498 - REGISTRO DE GAVETA BRUTO, LATÃO, ROSCÁVEL, 2" - FORNECIMENTO E INSTALAÇÃO. AF_08/2021 (UN)</t>
  </si>
  <si>
    <t>00006028</t>
  </si>
  <si>
    <t>REGISTRO GAVETA BRUTO EM LATAO FORJADO, BITOLA 2 " (REF 1509)</t>
  </si>
  <si>
    <t>94792 - REGISTRO DE GAVETA BRUTO, LATÃO, ROSCÁVEL, 1", COM ACABAMENTO E CANOPLA CROMADOS - FORNECIMENTO E INSTALAÇÃO. AF_08/2021 (UN)</t>
  </si>
  <si>
    <t>00006013</t>
  </si>
  <si>
    <t>REGISTRO GAVETA COM ACABAMENTO E CANOPLA CROMADOS, SIMPLES, BITOLA 1 " (REF 1509)</t>
  </si>
  <si>
    <t>89985 - REGISTRO DE PRESSÃO BRUTO, LATÃO, ROSCÁVEL, 3/4", COM ACABAMENTO E CANOPLA CROMADOS - FORNECIMENTO E INSTALAÇÃO. AF_08/2021 (UN)</t>
  </si>
  <si>
    <t>00006024</t>
  </si>
  <si>
    <t>REGISTRO PRESSAO COM ACABAMENTO E CANOPLA CROMADA, SIMPLES, BITOLA 3/4 " (REF 1416)</t>
  </si>
  <si>
    <t>102617 - CAIXA D´ÁGUA EM POLIÉSTER REFORÇADO COM FIBRA DE VIDRO, 5000 LITROS - FORNECIMENTO E INSTALAÇÃO. AF_06/2021 (UN)</t>
  </si>
  <si>
    <t>93288</t>
  </si>
  <si>
    <t>GUINDASTE HIDRÁULICO AUTOPROPELIDO, COM LANÇA TELESCÓPICA 40 M, CAPACIDADE MÁXIMA 60 T, POTÊNCIA 260 KW - CHI DIURNO. AF_03/2016</t>
  </si>
  <si>
    <t>93287</t>
  </si>
  <si>
    <t>GUINDASTE HIDRÁULICO AUTOPROPELIDO, COM LANÇA TELESCÓPICA 40 M, CAPACIDADE MÁXIMA 60 T, POTÊNCIA 260 KW - CHP DIURNO. AF_03/2016</t>
  </si>
  <si>
    <t>00037105</t>
  </si>
  <si>
    <t>CAIXA D'AGUA FIBRA DE VIDRO PARA 5000 LITROS, COM TAMPA</t>
  </si>
  <si>
    <t>102619 - CAIXA D´ÁGUA EM POLIÉSTER REFORÇADO COM FIBRA DE VIDRO, 10000 LITROS - FORNECIMENTO E INSTALAÇÃO. AF_06/2021 (UN)</t>
  </si>
  <si>
    <t>00037106</t>
  </si>
  <si>
    <t>CAIXA D'AGUA FIBRA DE VIDRO PARA 10000 LITROS, COM TAMPA</t>
  </si>
  <si>
    <t>89711 - TUBO PVC, SERIE NORMAL, ESGOTO PREDIAL, DN 40 MM, FORNECIDO E INSTALADO EM RAMAL DE DESCARGA OU RAMAL DE ESGOTO SANITÁRIO. AF_08/2022 (M)</t>
  </si>
  <si>
    <t>00009835</t>
  </si>
  <si>
    <t>TUBO PVC  SERIE NORMAL, DN 40 MM, PARA ESGOTO  PREDIAL (NBR 5688)</t>
  </si>
  <si>
    <t>89712 - TUBO PVC, SERIE NORMAL, ESGOTO PREDIAL, DN 50 MM, FORNECIDO E INSTALADO EM RAMAL DE DESCARGA OU RAMAL DE ESGOTO SANITÁRIO. AF_08/2022 (M)</t>
  </si>
  <si>
    <t>00009838</t>
  </si>
  <si>
    <t>TUBO PVC SERIE NORMAL, DN 50 MM, PARA ESGOTO PREDIAL (NBR 5688)</t>
  </si>
  <si>
    <t>89713 - TUBO PVC, SERIE NORMAL, ESGOTO PREDIAL, DN 75 MM, FORNECIDO E INSTALADO EM RAMAL DE DESCARGA OU RAMAL DE ESGOTO SANITÁRIO. AF_08/2022 (M)</t>
  </si>
  <si>
    <t>00009837</t>
  </si>
  <si>
    <t>TUBO PVC SERIE NORMAL, DN 75 MM, PARA ESGOTO PREDIAL (NBR 5688)</t>
  </si>
  <si>
    <t>102264 - TUBO DE PVC BRANCO PARA REDE COLETORA DE ESGOTO CONDOMINIAL DE PAREDE MACIÇA, DN 100 MM, JUNTA ELÁSTICA - FORNECIMENTO E ASSENTAMENTO. AF_01/2021 (M)</t>
  </si>
  <si>
    <t>00000303</t>
  </si>
  <si>
    <t>ANEL BORRACHA, PARA TUBO PVC, REDE COLETOR ESGOTO, DN 100 MM (NBR 7362)</t>
  </si>
  <si>
    <t>00020078</t>
  </si>
  <si>
    <t>PASTA LUBRIFICANTE PARA TUBOS E CONEXOES COM JUNTA ELASTICA, EMBALAGEM DE *400* GR (USO EM PVC, ACO, POLIETILENO E OUTROS)</t>
  </si>
  <si>
    <t>00009836</t>
  </si>
  <si>
    <t>TUBO PVC  SERIE NORMAL, DN 100 MM, PARA ESGOTO  PREDIAL (NBR 5688)</t>
  </si>
  <si>
    <t>94687 - CURVA 90 GRAUS, PVC, SOLDÁVEL, DN 110 MM, INSTALADO EM RESERVAÇÃO DE ÁGUA DE EDIFICAÇÃO QUE POSSUA RESERVATÓRIO DE FIBRA/FIBROCIMENTO FORNECIMENTO E INSTALAÇÃO. AF_06/2016 (UN)</t>
  </si>
  <si>
    <t>00001962</t>
  </si>
  <si>
    <t>CURVA DE PVC 90 GRAUS, SOLDAVEL, 110 MM, PARA AGUA FRIA PREDIAL (NBR 5648)</t>
  </si>
  <si>
    <t>94679 - CURVA 90 GRAUS, PVC, SOLDÁVEL, DN 50 MM, INSTALADO EM RESERVAÇÃO DE ÁGUA DE EDIFICAÇÃO QUE POSSUA RESERVATÓRIO DE FIBRA/FIBROCIMENTO FORNECIMENTO E INSTALAÇÃO. AF_06/2016 (UN)</t>
  </si>
  <si>
    <t>00001959</t>
  </si>
  <si>
    <t>CURVA DE PVC 90 GRAUS, SOLDAVEL, 50 MM, PARA AGUA FRIA PREDIAL (NBR 5648)</t>
  </si>
  <si>
    <t>00001967 - CURVA PVC LONGA 90 GRAUS, 40 MM, PARA ESGOTO PREDIAL (UN)</t>
  </si>
  <si>
    <t>89728 - CURVA CURTA 90 GRAUS, PVC, SERIE NORMAL, ESGOTO PREDIAL, DN 40 MM, JUNTA SOLDÁVEL, FORNECIDO E INSTALADO EM RAMAL DE DESCARGA OU RAMAL DE ESGOTO SANITÁRIO. AF_08/2022 (UN)</t>
  </si>
  <si>
    <t>00001933</t>
  </si>
  <si>
    <t>CURVA PVC CURTA 90 GRAUS, DN 40 MM, PARA ESGOTO PREDIAL</t>
  </si>
  <si>
    <t>89726 - JOELHO 45 GRAUS, PVC, SERIE NORMAL, ESGOTO PREDIAL, DN 40 MM, JUNTA SOLDÁVEL, FORNECIDO E INSTALADO EM RAMAL DE DESCARGA OU RAMAL DE ESGOTO SANITÁRIO. AF_08/2022 (UN)</t>
  </si>
  <si>
    <t>00003516</t>
  </si>
  <si>
    <t>JOELHO PVC, SOLDAVEL, BB, 45 GRAUS, DN 40 MM, PARA ESGOTO PREDIAL</t>
  </si>
  <si>
    <t>89744 - JOELHO 90 GRAUS, PVC, SERIE NORMAL, ESGOTO PREDIAL, DN 100 MM, JUNTA ELÁSTICA, FORNECIDO E INSTALADO EM RAMAL DE DESCARGA OU RAMAL DE ESGOTO SANITÁRIO. AF_08/2022 (UN)</t>
  </si>
  <si>
    <t>00000301</t>
  </si>
  <si>
    <t>ANEL BORRACHA PARA TUBO ESGOTO PREDIAL, DN 100 MM (NBR 5688)</t>
  </si>
  <si>
    <t>00003520</t>
  </si>
  <si>
    <t>JOELHO PVC, SOLDAVEL, PB, 90 GRAUS, DN 100 MM, PARA ESGOTO PREDIAL</t>
  </si>
  <si>
    <t>89801 - JOELHO 90 GRAUS, PVC, SERIE NORMAL, ESGOTO PREDIAL, DN 50 MM, JUNTA ELÁSTICA, FORNECIDO E INSTALADO EM PRUMADA DE ESGOTO SANITÁRIO OU VENTILAÇÃO. AF_08/2022 (UN)</t>
  </si>
  <si>
    <t>00000296</t>
  </si>
  <si>
    <t>ANEL BORRACHA PARA TUBO ESGOTO PREDIAL, DN 50 MM (NBR 5688)</t>
  </si>
  <si>
    <t>00003526</t>
  </si>
  <si>
    <t>JOELHO PVC, SOLDAVEL, PB, 90 GRAUS, DN 50 MM, PARA ESGOTO PREDIAL</t>
  </si>
  <si>
    <t>89514 - JOELHO 90 GRAUS, PVC, SERIE R, ÁGUA PLUVIAL, DN 40 MM, JUNTA SOLDÁVEL, FORNECIDO E INSTALADO EM RAMAL DE ENCAMINHAMENTO. AF_06/2022 (UN)</t>
  </si>
  <si>
    <t>00020154</t>
  </si>
  <si>
    <t>JOELHO, PVC SERIE R, 90 GRAUS, DN 40 MM, PARA ESGOTO OU AGUAS PLUVIAIS PREDIAIS</t>
  </si>
  <si>
    <t>89797 - JUNÇÃO SIMPLES, PVC, SERIE NORMAL, ESGOTO PREDIAL, DN 100 X 100 MM, JUNTA ELÁSTICA, FORNECIDO E INSTALADO EM RAMAL DE DESCARGA OU RAMAL DE ESGOTO SANITÁRIO. AF_08/2022 (UN)</t>
  </si>
  <si>
    <t>00003670</t>
  </si>
  <si>
    <t>JUNCAO SIMPLES, PVC, 45 GRAUS, DN 100 X 100 MM, SERIE NORMAL PARA ESGOTO PREDIAL</t>
  </si>
  <si>
    <t>89827 - JUNÇÃO SIMPLES, PVC, SERIE NORMAL, ESGOTO PREDIAL, DN 50 X 50 MM, JUNTA ELÁSTICA, FORNECIDO E INSTALADO EM PRUMADA DE ESGOTO SANITÁRIO OU VENTILAÇÃO. AF_08/2022 (UN)</t>
  </si>
  <si>
    <t>00003662</t>
  </si>
  <si>
    <t>JUNCAO SIMPLES, PVC, DN 50 X 50 MM, SERIE NORMAL PARA ESGOTO PREDIAL</t>
  </si>
  <si>
    <t>89784 - TE, PVC, SERIE NORMAL, ESGOTO PREDIAL, DN 50 X 50 MM, JUNTA ELÁSTICA, FORNECIDO E INSTALADO EM RAMAL DE DESCARGA OU RAMAL DE ESGOTO SANITÁRIO. AF_08/2022 (UN)</t>
  </si>
  <si>
    <t>00007097</t>
  </si>
  <si>
    <t>TE SANITARIO, PVC, DN 50 X 50 MM, SERIE NORMAL, PARA ESGOTO PREDIAL</t>
  </si>
  <si>
    <t>89707 - CAIXA SIFONADA, PVC, DN 100 X 100 X 50 MM, JUNTA ELÁSTICA, FORNECIDA E INSTALADA EM RAMAL DE DESCARGA OU EM RAMAL DE ESGOTO SANITÁRIO. AF_08/2022 (UN)</t>
  </si>
  <si>
    <t>00005103</t>
  </si>
  <si>
    <t>CAIXA SIFONADA PVC, 100 X 100 X 50 MM, COM GRELHA REDONDA, BRANCA</t>
  </si>
  <si>
    <t>86882 - SIFÃO DO TIPO GARRAFA/COPO EM PVC 1.1/4 X 1.1/2? - FORNECIMENTO E INSTALAÇÃO. AF_01/2020 (UN)</t>
  </si>
  <si>
    <t>00006146</t>
  </si>
  <si>
    <t>SIFAO PLASTICO TIPO COPO PARA TANQUE, 1.1/4 X 1.1/2 "</t>
  </si>
  <si>
    <t>S86882S - Sifão do tipo garrafa/copo em pvc 1.1/4 x 1.1/2? - fornecimento e instalação. af_01/2020 (un)</t>
  </si>
  <si>
    <t>I03146S</t>
  </si>
  <si>
    <t>Fita veda rosca em rolos de 18 mm x 10 m (l x c)</t>
  </si>
  <si>
    <t>I06146S</t>
  </si>
  <si>
    <t>Sifao plastico tipo copo para tanque, 1.1/4 x 1.1/2 "</t>
  </si>
  <si>
    <t>S88267S</t>
  </si>
  <si>
    <t>Encanador ou bombeiro hidráulico com encargos complementares</t>
  </si>
  <si>
    <t>S88316S</t>
  </si>
  <si>
    <t>Servente com encargos complementares</t>
  </si>
  <si>
    <t>86883 - SIFÃO DO TIPO FLEXÍVEL EM PVC 1 X 1.1/2 - FORNECIMENTO E INSTALAÇÃO. AF_01/2020 (UN)</t>
  </si>
  <si>
    <t>00044945</t>
  </si>
  <si>
    <t>SIFAO / TUBO SINFONADO EXTENSIVEL/SANFONADO, UNIVERSAL/ SIMPLES, ENTRE *50 A 70* CM, DE PLASTICO BRANCO</t>
  </si>
  <si>
    <t>86879 - VÁLVULA EM PLÁSTICO 1? PARA PIA, TANQUE OU LAVATÓRIO, COM OU SEM LADRÃO - FORNECIMENTO E INSTALAÇÃO. AF_01/2020 (UN)</t>
  </si>
  <si>
    <t>00006153</t>
  </si>
  <si>
    <t>VALVULA EM PLASTICO BRANCO PARA TANQUE OU LAVATORIO 1 ", SEM UNHO E SEM LADRAO</t>
  </si>
  <si>
    <t>86877 - VÁLVULA EM METAL CROMADO 1.1/2? X 1.1/2? PARA TANQUE OU LAVATÓRIO, COM OU SEM LADRÃO - FORNECIMENTO E INSTALAÇÃO. AF_01/2020 (UN)</t>
  </si>
  <si>
    <t>00037588</t>
  </si>
  <si>
    <t>VALVULA DE ESCOAMENTO PARA TANQUE, EM METAL CROMADO, 1.1/2 ", SEM LADRAO, COM TAMPAO PLASTICO</t>
  </si>
  <si>
    <t>98111 - CAIXA DE INSPEÇÃO PARA ATERRAMENTO, CIRCULAR, EM POLIETILENO, DIÂMETRO INTERNO = 0,3 M. AF_12/2020 (UN)</t>
  </si>
  <si>
    <t>101618</t>
  </si>
  <si>
    <t>PREPARO DE FUNDO DE VALA COM LARGURA MENOR QUE 1,5 M, COM CAMADA DE AREIA, LANÇAMENTO MANUAL. AF_08/2020</t>
  </si>
  <si>
    <t>98107 - CAIXA DE GORDURA SIMPLES (CAPACIDADE: 36 L), RETANGULAR, EM ALVENARIA COM BLOCOS DE CONCRETO, DIMENSÕES INTERNAS = 0,2X0,4 M, ALTURA INTERNA = 0,8 M. AF_12/2020 (UN)</t>
  </si>
  <si>
    <t>00000650</t>
  </si>
  <si>
    <t>BLOCO DE VEDACAO DE CONCRETO, 9 X 19 X 39 CM (CLASSE C - NBR 6136)</t>
  </si>
  <si>
    <t>00005069</t>
  </si>
  <si>
    <t>PREGO DE ACO POLIDO COM CABECA 17 X 27 (2 1/2 X 11)</t>
  </si>
  <si>
    <t>97733</t>
  </si>
  <si>
    <t>PEÇA RETANGULAR PRÉ-MOLDADA, VOLUME DE CONCRETO DE ATÉ 10 LITROS, TAXA DE AÇO APROXIMADA DE 30KG/M³. AF_01/2018</t>
  </si>
  <si>
    <t>101616</t>
  </si>
  <si>
    <t>PREPARO DE FUNDO DE VALA COM LARGURA MENOR QUE 1,5 M (ACERTO DO SOLO NATURAL). AF_08/2020</t>
  </si>
  <si>
    <t>95471 - VASO SANITARIO SIFONADO CONVENCIONAL PARA PCD SEM FURO FRONTAL COM LOUÇA BRANCA SEM ASSENTO - FORNECIMENTO E INSTALAÇÃO. AF_01/2020 (UN)</t>
  </si>
  <si>
    <t>00006138</t>
  </si>
  <si>
    <t>ANEL DE VEDACAO, PVC FLEXIVEL, 100 MM, PARA SAIDA DE BACIA / VASO SANITARIO</t>
  </si>
  <si>
    <t>00036520</t>
  </si>
  <si>
    <t>BACIA SANITARIA (VASO) CONVENCIONAL PARA PCD, SEM FURO FRONTAL, DE LOUCA BRANCA (SEM ASSENTO)</t>
  </si>
  <si>
    <t>00004384</t>
  </si>
  <si>
    <t>PARAFUSO NIQUELADO COM ACABAMENTO CROMADO PARA FIXAR PECA SANITARIA, INCLUI PORCA CEGA, ARRUELA E BUCHA DE NYLON TAMANHO S-10</t>
  </si>
  <si>
    <t>00037329</t>
  </si>
  <si>
    <t>REJUNTE EPOXI, QUALQUER COR</t>
  </si>
  <si>
    <t>103018 - VÁLVULA DE DESCARGA METÁLICA, BASE 1 1/4", ACABAMENTO METALICO CROMADO - FORNECIMENTO E INSTALAÇÃO. AF_08/2021 (UN)</t>
  </si>
  <si>
    <t>00011781</t>
  </si>
  <si>
    <t>VALVULA DE DESCARGA METALICA, BASE 1 1/4 " E ACABAMENTO METALICO CROMADO</t>
  </si>
  <si>
    <t>86941 - LAVATÓRIO LOUÇA BRANCA COM COLUNA, 45 X 55CM OU EQUIVALENTE, PADRÃO MÉDIO, INCLUSO SIFÃO TIPO GARRAFA, VÁLVULA E ENGATE FLEXÍVEL DE 40CM EM METAL CROMADO, COM TORNEIRA CROMADA DE MESA, PADRÃO MÉDIO - FORNECIMENTO E INSTALAÇÃO. AF_01/2020 (UN)</t>
  </si>
  <si>
    <t>86887</t>
  </si>
  <si>
    <t>ENGATE FLEXÍVEL EM INOX, 1/2  X 40CM - FORNECIMENTO E INSTALAÇÃO. AF_01/2020</t>
  </si>
  <si>
    <t>86903</t>
  </si>
  <si>
    <t>LAVATÓRIO LOUÇA BRANCA COM COLUNA, 45 X 55CM OU EQUIVALENTE, PADRÃO MÉDIO - FORNECIMENTO E INSTALAÇÃO. AF_01/2020</t>
  </si>
  <si>
    <t>86881</t>
  </si>
  <si>
    <t>SIFÃO DO TIPO GARRAFA EM METAL CROMADO 1 X 1.1/2? - FORNECIMENTO E INSTALAÇÃO. AF_01/2020</t>
  </si>
  <si>
    <t>86915</t>
  </si>
  <si>
    <t>TORNEIRA CROMADA DE MESA, 1/2? OU 3/4?, PARA LAVATÓRIO, PADRÃO MÉDIO - FORNECIMENTO E INSTALAÇÃO. AF_01/2020</t>
  </si>
  <si>
    <t>86906 - TORNEIRA CROMADA DE MESA, 1/2? OU 3/4?, PARA LAVATÓRIO, PADRÃO POPULAR - FORNECIMENTO E INSTALAÇÃO. AF_01/2020 (UN)</t>
  </si>
  <si>
    <t>00013415</t>
  </si>
  <si>
    <t>TORNEIRA DE MESA/BANCADA, PARA LAVATORIO, FIXA, METALICA CROMADA, PADRAO POPULAR, 1/2 " OU 3/4 " (REF 1193)</t>
  </si>
  <si>
    <t>95544 - PAPELEIRA DE PAREDE EM METAL CROMADO SEM TAMPA, INCLUSO FIXAÇÃO. AF_01/2020 (UN)</t>
  </si>
  <si>
    <t>00011703</t>
  </si>
  <si>
    <t>PAPELEIRA DE PAREDE EM METAL CROMADO SEM TAMPA</t>
  </si>
  <si>
    <t>100873 - BARRA DE APOIO RETA, EM ALUMINIO, COMPRIMENTO 90 CM, FIXADA NA PAREDE - FORNECIMENTO E INSTALAÇÃO. AF_01/2020 (UN)</t>
  </si>
  <si>
    <t>00036223</t>
  </si>
  <si>
    <t>BARRA DE APOIO RETA, EM ALUMINIO, COMPRIMENTO 90 CM, DIAMETRO MINIMO 3 CM</t>
  </si>
  <si>
    <t>00004351</t>
  </si>
  <si>
    <t>PARAFUSO NIQUELADO 3 1/2" COM ACABAMENTO CROMADO PARA FIXAR PECA SANITARIA, INCLUI PORCA CEGA, ARRUELA E BUCHA DE NYLON TAMANHO S-8</t>
  </si>
  <si>
    <t>100848 - VASO SANITÁRIO INFANTIL LOUÇA BRANCA - FORNECIMENTO E INSTALACAO. AF_01/2020 (UN)</t>
  </si>
  <si>
    <t>00011786</t>
  </si>
  <si>
    <t>BACIA SANITARIA (VASO) INFANTIL, SIFONADO, DE LOUCA BRANCA, (SEM ASSENTO)</t>
  </si>
  <si>
    <t>86938 - CUBA DE EMBUTIR OVAL EM LOUÇA BRANCA, 35 X 50CM OU EQUIVALENTE, INCLUSO VÁLVULA E SIFÃO TIPO GARRAFA EM METAL CROMADO - FORNECIMENTO E INSTALAÇÃO. AF_01/2020 (UN)</t>
  </si>
  <si>
    <t>86901</t>
  </si>
  <si>
    <t>CUBA DE EMBUTIR OVAL EM LOUÇA BRANCA, 35 X 50CM OU EQUIVALENTE - FORNECIMENTO E INSTALAÇÃO. AF_01/2020</t>
  </si>
  <si>
    <t>100860 - CHUVEIRO ELÉTRICO COMUM CORPO PLÁSTICO, TIPO DUCHA ? FORNECIMENTO E INSTALAÇÃO. AF_01/2020 (UN)</t>
  </si>
  <si>
    <t>00001368</t>
  </si>
  <si>
    <t>CHUVEIRO COMUM EM PLASTICO BRANCO, COM CANO, 3 TEMPERATURAS, 5500 W (110/220 V)</t>
  </si>
  <si>
    <t>COMP-09439188 - BANCADA EM GRANITO CINZA, E=2,5CM - ORSE (10759) (M²)</t>
  </si>
  <si>
    <t>00000592</t>
  </si>
  <si>
    <t>CANTONEIRA ALUMINIO ABAS IGUAIS 1 ", E = 1/8 ", 25,40 X 3,17 MM (0,408 KG/M)</t>
  </si>
  <si>
    <t>00011795</t>
  </si>
  <si>
    <t>GRANITO PARA BANCADA, POLIDO, TIPO ANDORINHA/ QUARTZ/ CASTELO/ CORUMBA OU OUTROS EQUIVALENTES DA REGIAO, E=  *2,5* CM</t>
  </si>
  <si>
    <t>95470 - VASO SANITARIO SIFONADO CONVENCIONAL COM LOUÇA BRANCA, INCLUSO CONJUNTO DE LIGAÇÃO PARA BACIA SANITÁRIA AJUSTÁVEL - FORNECIMENTO E INSTALAÇÃO. AF_10/2016 (UN)</t>
  </si>
  <si>
    <t>00006142</t>
  </si>
  <si>
    <t>CONJUNTO DE LIGACAO PARA BACIA SANITARIA AJUSTAVEL, EM PLASTICO BRANCO, COM TUBO, CANOPLA E ESPUDE</t>
  </si>
  <si>
    <t>95469</t>
  </si>
  <si>
    <t>VASO SANITARIO SIFONADO CONVENCIONAL COM  LOUÇA BRANCA - FORNECIMENTO E INSTALAÇÃO. AF_01/2020</t>
  </si>
  <si>
    <t>86922 - TANQUE DE LOUÇA BRANCA SUSPENSO, 18L OU EQUIVALENTE, INCLUSO SIFÃO TIPO GARRAFA EM METAL CROMADO, VÁLVULA METÁLICA E TORNEIRA DE METAL CROMADO PADRÃO MÉDIO - FORNECIMENTO E INSTALAÇÃO. AF_01/2020 (UN)</t>
  </si>
  <si>
    <t>86874</t>
  </si>
  <si>
    <t>TANQUE DE LOUÇA BRANCA SUSPENSO, 18L OU EQUIVALENTE - FORNECIMENTO E INSTALAÇÃO. AF_01/2020</t>
  </si>
  <si>
    <t>86914</t>
  </si>
  <si>
    <t>TORNEIRA CROMADA 1/2? OU 3/4? PARA TANQUE, PADRÃO MÉDIO - FORNECIMENTO E INSTALAÇÃO. AF_01/2020</t>
  </si>
  <si>
    <t>86913 - TORNEIRA CROMADA 1/2? OU 3/4? PARA TANQUE, PADRÃO POPULAR - FORNECIMENTO E INSTALAÇÃO. AF_01/2020 (UN)</t>
  </si>
  <si>
    <t>00007604</t>
  </si>
  <si>
    <t>TORNEIRA METALICA CROMADA PARA TANQUE / JARDIM, SEM BICO , CANO LONGO, DE PAREDE, PADRAO POPULAR / USO GERAL, 1/2 " OU 3/4 " (REF 1126)</t>
  </si>
  <si>
    <t>101909 - EXTINTOR DE INCÊNDIO PORTÁTIL COM CARGA DE PQS DE 6 KG, CLASSE BC - FORNECIMENTO E INSTALAÇÃO. AF_10/2020_P (UN)</t>
  </si>
  <si>
    <t>00004350</t>
  </si>
  <si>
    <t>BUCHA DE NYLON, DIAMETRO DO FURO 8 MM, COMPRIMENTO 40 MM, COM PARAFUSO DE ROSCA SOBERBA, CABECA CHATA, FENDA SIMPLES, 4,8 X 50 MM</t>
  </si>
  <si>
    <t>00010892</t>
  </si>
  <si>
    <t>EXTINTOR DE INCENDIO PORTATIL COM CARGA DE PO QUIMICO SECO (PQS) DE 6 KG, CLASSE BC</t>
  </si>
  <si>
    <t>101905 - EXTINTOR DE INCÊNDIO PORTÁTIL COM CARGA DE ÁGUA PRESSURIZADA DE 10 L, CLASSE A - FORNECIMENTO E INSTALAÇÃO. AF_10/2020_P (UN)</t>
  </si>
  <si>
    <t>00010886</t>
  </si>
  <si>
    <t>EXTINTOR DE INCENDIO PORTATIL COM CARGA DE AGUA PRESSURIZADA DE 10 L, CLASSE A</t>
  </si>
  <si>
    <t>102494 - PINTURA DE PISO COM TINTA EPÓXI, APLICAÇÃO MANUAL, 2 DEMÃOS, INCLUSO PRIMER EPÓXI. AF_05/2021 (M2)</t>
  </si>
  <si>
    <t>00005330</t>
  </si>
  <si>
    <t>DILUENTE EPOXI</t>
  </si>
  <si>
    <t>00044072</t>
  </si>
  <si>
    <t>PRIMER EPOXI / EPOXIDICO</t>
  </si>
  <si>
    <t>00007304</t>
  </si>
  <si>
    <t>TINTA EPOXI BASE AGUA PREMIUM, BRANCA</t>
  </si>
  <si>
    <t>99811 - LIMPEZA DE CONTRAPISO COM VASSOURA A SECO. AF_04/2019 (M2)</t>
  </si>
  <si>
    <t>VALOR (R$)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</si>
  <si>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</si>
  <si>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</si>
  <si>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</si>
  <si>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</si>
  <si>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</si>
  <si>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</si>
  <si>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</si>
  <si>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</si>
  <si>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</si>
  <si>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</si>
  <si>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</si>
  <si>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</si>
  <si>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Total parcela</t>
  </si>
  <si>
    <t xml:space="preserve">
</t>
  </si>
  <si>
    <t>COD</t>
  </si>
  <si>
    <t>%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</si>
  <si>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</si>
  <si>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</si>
  <si>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</si>
  <si>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</si>
  <si>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</si>
  <si>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</si>
  <si>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</si>
  <si>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Benefício</t>
  </si>
  <si>
    <t>S + G</t>
  </si>
  <si>
    <t>Garantia/seguros</t>
  </si>
  <si>
    <t>Lucro</t>
  </si>
  <si>
    <t>I</t>
  </si>
  <si>
    <t>Impostos</t>
  </si>
  <si>
    <t>ISS</t>
  </si>
  <si>
    <t>PIS</t>
  </si>
  <si>
    <t>COFINS</t>
  </si>
  <si>
    <t>BDI = 22,47%</t>
  </si>
  <si>
    <t>(1+AC+S+R+G)*(1+DF)*(1+L)/(1-I)-1</t>
  </si>
  <si>
    <t>HORA %</t>
  </si>
  <si>
    <t>MES %</t>
  </si>
  <si>
    <t>A</t>
  </si>
  <si>
    <t>GRUPO A</t>
  </si>
  <si>
    <t>A1</t>
  </si>
  <si>
    <t>INSS</t>
  </si>
  <si>
    <t>A2</t>
  </si>
  <si>
    <t>SESI</t>
  </si>
  <si>
    <t>A3</t>
  </si>
  <si>
    <t>SENAI</t>
  </si>
  <si>
    <t>A4</t>
  </si>
  <si>
    <t>INCRA</t>
  </si>
  <si>
    <t>A5</t>
  </si>
  <si>
    <t>SEBRAE</t>
  </si>
  <si>
    <t>A6</t>
  </si>
  <si>
    <t>Salário Educação</t>
  </si>
  <si>
    <t>A7</t>
  </si>
  <si>
    <t xml:space="preserve">Seguro Contra Acidentes de Trabalho </t>
  </si>
  <si>
    <t>A8</t>
  </si>
  <si>
    <t>FGTS</t>
  </si>
  <si>
    <t>A9</t>
  </si>
  <si>
    <t>SECONCI</t>
  </si>
  <si>
    <t>B</t>
  </si>
  <si>
    <t>GRUPO B</t>
  </si>
  <si>
    <t>B1</t>
  </si>
  <si>
    <t>Repouso Semanal Remunerado</t>
  </si>
  <si>
    <t>B2</t>
  </si>
  <si>
    <t>Feriados</t>
  </si>
  <si>
    <t>B3</t>
  </si>
  <si>
    <t>Auxílio - Enfermidade</t>
  </si>
  <si>
    <t>B4</t>
  </si>
  <si>
    <t>13º Salário</t>
  </si>
  <si>
    <t>B5</t>
  </si>
  <si>
    <t>Licença PaternidadE</t>
  </si>
  <si>
    <t>B6</t>
  </si>
  <si>
    <t>Faltas Justificadas</t>
  </si>
  <si>
    <t>B7</t>
  </si>
  <si>
    <t>Dias de Chuvas</t>
  </si>
  <si>
    <t>B8</t>
  </si>
  <si>
    <t>Auxílio Acidente de Trabalho</t>
  </si>
  <si>
    <t>B9</t>
  </si>
  <si>
    <t>Férias Gozadas</t>
  </si>
  <si>
    <t>B10</t>
  </si>
  <si>
    <t>Salário Maternidade</t>
  </si>
  <si>
    <t>C</t>
  </si>
  <si>
    <t>GRUPO C</t>
  </si>
  <si>
    <t>C1</t>
  </si>
  <si>
    <t>Aviso Prévio Indenizado</t>
  </si>
  <si>
    <t>C2</t>
  </si>
  <si>
    <t>Aviso Prévio Trabalhado</t>
  </si>
  <si>
    <t>C3</t>
  </si>
  <si>
    <t>Férias Indenizadas</t>
  </si>
  <si>
    <t>C4</t>
  </si>
  <si>
    <t>Depósito Rescisão Sem Justa Causa</t>
  </si>
  <si>
    <t>C5</t>
  </si>
  <si>
    <t>Indenização Adicional</t>
  </si>
  <si>
    <t>D</t>
  </si>
  <si>
    <t>GRUPO D</t>
  </si>
  <si>
    <t>D1</t>
  </si>
  <si>
    <t xml:space="preserve">Reincidência de Grupo A sobre Grupo B </t>
  </si>
  <si>
    <t>D2</t>
  </si>
  <si>
    <t>Reincidência de Grupo A sobre Aviso Prévio Trabalhado e Reincidência do FGTS sobre Aviso Prévio Indenizado</t>
  </si>
  <si>
    <t>Horista = 85,70%
Mensalista = 48,17%</t>
  </si>
  <si>
    <t>A + B + C + D</t>
  </si>
  <si>
    <t>Horista = 111,51%
Mensalista = 69,89%</t>
  </si>
  <si>
    <t>COMPOSIÇÃO DO BDI</t>
  </si>
  <si>
    <t>TABELA DOS ENCARGOS SOCIAIS</t>
  </si>
  <si>
    <t>FOSSA E SUMIDOURO E RESERVATÓRIO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</si>
</sst>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0"/>
    <numFmt numFmtId="165" formatCode="#,##0.00%"/>
    <numFmt numFmtId="166" formatCode="#,##0.00\'\ %\'"/>
    <numFmt numFmtId="167" formatCode="###,###,##0.00"/>
  </numFmts>
  <fonts count="13" x14ac:knownFonts="1">
    <font>
      <sz val="11"/>
      <color theme="1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9"/>
      <color rgb="FF000000"/>
      <name val="SansSerif"/>
      <family val="2"/>
    </font>
    <font>
      <b/>
      <sz val="7"/>
      <color rgb="FF000000"/>
      <name val="Arial"/>
      <family val="2"/>
    </font>
    <font>
      <b/>
      <sz val="5"/>
      <color rgb="FF000000"/>
      <name val="SansSerif"/>
      <family val="2"/>
    </font>
    <font>
      <sz val="6"/>
      <color rgb="FF000000"/>
      <name val="SansSerif"/>
      <family val="2"/>
    </font>
    <font>
      <sz val="7"/>
      <color rgb="FF000000"/>
      <name val="SansSerif"/>
      <family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4" fontId="1" fillId="5" borderId="2" xfId="0" applyNumberFormat="1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4" fontId="2" fillId="8" borderId="2" xfId="0" applyNumberFormat="1" applyFont="1" applyFill="1" applyBorder="1" applyAlignment="1">
      <alignment horizontal="right" vertical="center" wrapText="1"/>
    </xf>
    <xf numFmtId="0" fontId="0" fillId="9" borderId="0" xfId="0" applyFill="1" applyAlignment="1" applyProtection="1">
      <alignment wrapText="1"/>
      <protection locked="0"/>
    </xf>
    <xf numFmtId="0" fontId="3" fillId="18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top" wrapText="1"/>
    </xf>
    <xf numFmtId="0" fontId="7" fillId="20" borderId="2" xfId="0" applyFont="1" applyFill="1" applyBorder="1" applyAlignment="1">
      <alignment horizontal="justify" vertical="top" wrapText="1"/>
    </xf>
    <xf numFmtId="164" fontId="7" fillId="21" borderId="2" xfId="0" applyNumberFormat="1" applyFont="1" applyFill="1" applyBorder="1" applyAlignment="1">
      <alignment horizontal="right" vertical="top" wrapText="1"/>
    </xf>
    <xf numFmtId="4" fontId="7" fillId="22" borderId="2" xfId="0" applyNumberFormat="1" applyFont="1" applyFill="1" applyBorder="1" applyAlignment="1">
      <alignment horizontal="right" vertical="top" wrapText="1"/>
    </xf>
    <xf numFmtId="4" fontId="6" fillId="24" borderId="2" xfId="0" applyNumberFormat="1" applyFont="1" applyFill="1" applyBorder="1" applyAlignment="1">
      <alignment horizontal="right" vertical="top" wrapText="1"/>
    </xf>
    <xf numFmtId="0" fontId="4" fillId="26" borderId="2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 wrapText="1"/>
    </xf>
    <xf numFmtId="165" fontId="10" fillId="31" borderId="3" xfId="0" applyNumberFormat="1" applyFont="1" applyFill="1" applyBorder="1" applyAlignment="1">
      <alignment horizontal="right" vertical="center" wrapText="1"/>
    </xf>
    <xf numFmtId="0" fontId="0" fillId="32" borderId="3" xfId="0" applyFill="1" applyBorder="1" applyAlignment="1" applyProtection="1">
      <alignment wrapText="1"/>
      <protection locked="0"/>
    </xf>
    <xf numFmtId="0" fontId="0" fillId="33" borderId="4" xfId="0" applyFill="1" applyBorder="1" applyAlignment="1" applyProtection="1">
      <alignment wrapText="1"/>
      <protection locked="0"/>
    </xf>
    <xf numFmtId="166" fontId="3" fillId="34" borderId="3" xfId="0" applyNumberFormat="1" applyFont="1" applyFill="1" applyBorder="1" applyAlignment="1">
      <alignment horizontal="right" vertical="center" wrapText="1"/>
    </xf>
    <xf numFmtId="4" fontId="9" fillId="35" borderId="2" xfId="0" applyNumberFormat="1" applyFont="1" applyFill="1" applyBorder="1" applyAlignment="1">
      <alignment horizontal="right" vertical="center" wrapText="1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4" fontId="5" fillId="38" borderId="2" xfId="0" applyNumberFormat="1" applyFont="1" applyFill="1" applyBorder="1" applyAlignment="1">
      <alignment horizontal="right" vertical="center" wrapText="1"/>
    </xf>
    <xf numFmtId="0" fontId="0" fillId="39" borderId="4" xfId="0" applyFill="1" applyBorder="1" applyAlignment="1" applyProtection="1">
      <alignment wrapText="1"/>
      <protection locked="0"/>
    </xf>
    <xf numFmtId="0" fontId="0" fillId="40" borderId="7" xfId="0" applyFill="1" applyBorder="1" applyAlignment="1" applyProtection="1">
      <alignment wrapText="1"/>
      <protection locked="0"/>
    </xf>
    <xf numFmtId="4" fontId="9" fillId="42" borderId="3" xfId="0" applyNumberFormat="1" applyFont="1" applyFill="1" applyBorder="1" applyAlignment="1">
      <alignment horizontal="right" vertical="center" wrapText="1"/>
    </xf>
    <xf numFmtId="0" fontId="0" fillId="43" borderId="6" xfId="0" applyFill="1" applyBorder="1" applyAlignment="1" applyProtection="1">
      <alignment wrapText="1"/>
      <protection locked="0"/>
    </xf>
    <xf numFmtId="0" fontId="0" fillId="44" borderId="9" xfId="0" applyFill="1" applyBorder="1" applyAlignment="1" applyProtection="1">
      <alignment wrapText="1"/>
      <protection locked="0"/>
    </xf>
    <xf numFmtId="0" fontId="1" fillId="12" borderId="10" xfId="0" applyFont="1" applyFill="1" applyBorder="1" applyAlignment="1">
      <alignment horizontal="left" vertical="center" wrapText="1"/>
    </xf>
    <xf numFmtId="4" fontId="1" fillId="13" borderId="10" xfId="0" applyNumberFormat="1" applyFont="1" applyFill="1" applyBorder="1" applyAlignment="1">
      <alignment horizontal="right" vertical="center" wrapText="1"/>
    </xf>
    <xf numFmtId="0" fontId="0" fillId="9" borderId="10" xfId="0" applyFill="1" applyBorder="1" applyAlignment="1" applyProtection="1">
      <alignment wrapText="1"/>
      <protection locked="0"/>
    </xf>
    <xf numFmtId="0" fontId="3" fillId="14" borderId="10" xfId="0" applyFont="1" applyFill="1" applyBorder="1" applyAlignment="1">
      <alignment horizontal="right" vertical="center" wrapText="1"/>
    </xf>
    <xf numFmtId="0" fontId="5" fillId="45" borderId="1" xfId="0" applyFont="1" applyFill="1" applyBorder="1" applyAlignment="1">
      <alignment vertical="center" wrapText="1"/>
    </xf>
    <xf numFmtId="0" fontId="11" fillId="54" borderId="1" xfId="0" applyFont="1" applyFill="1" applyBorder="1" applyAlignment="1">
      <alignment vertical="center" wrapText="1"/>
    </xf>
    <xf numFmtId="0" fontId="5" fillId="45" borderId="10" xfId="0" applyFont="1" applyFill="1" applyBorder="1" applyAlignment="1">
      <alignment vertical="center" wrapText="1"/>
    </xf>
    <xf numFmtId="0" fontId="5" fillId="46" borderId="10" xfId="0" applyFont="1" applyFill="1" applyBorder="1" applyAlignment="1">
      <alignment horizontal="center" vertical="center" wrapText="1"/>
    </xf>
    <xf numFmtId="0" fontId="5" fillId="47" borderId="10" xfId="0" applyFont="1" applyFill="1" applyBorder="1" applyAlignment="1">
      <alignment horizontal="left" vertical="top" wrapText="1"/>
    </xf>
    <xf numFmtId="0" fontId="9" fillId="48" borderId="10" xfId="0" applyFont="1" applyFill="1" applyBorder="1" applyAlignment="1">
      <alignment horizontal="center" vertical="top" wrapText="1"/>
    </xf>
    <xf numFmtId="0" fontId="9" fillId="49" borderId="10" xfId="0" applyFont="1" applyFill="1" applyBorder="1" applyAlignment="1">
      <alignment horizontal="left" vertical="top" wrapText="1"/>
    </xf>
    <xf numFmtId="4" fontId="9" fillId="50" borderId="10" xfId="0" applyNumberFormat="1" applyFont="1" applyFill="1" applyBorder="1" applyAlignment="1">
      <alignment horizontal="right" vertical="top" wrapText="1"/>
    </xf>
    <xf numFmtId="0" fontId="5" fillId="51" borderId="10" xfId="0" applyFont="1" applyFill="1" applyBorder="1" applyAlignment="1">
      <alignment horizontal="right" vertical="center" wrapText="1"/>
    </xf>
    <xf numFmtId="4" fontId="5" fillId="52" borderId="10" xfId="0" applyNumberFormat="1" applyFont="1" applyFill="1" applyBorder="1" applyAlignment="1">
      <alignment horizontal="right" vertical="top" wrapText="1"/>
    </xf>
    <xf numFmtId="0" fontId="5" fillId="53" borderId="10" xfId="0" applyFont="1" applyFill="1" applyBorder="1" applyAlignment="1">
      <alignment horizontal="center" vertical="top" wrapText="1"/>
    </xf>
    <xf numFmtId="0" fontId="11" fillId="54" borderId="10" xfId="0" applyFont="1" applyFill="1" applyBorder="1" applyAlignment="1">
      <alignment vertical="center" wrapText="1"/>
    </xf>
    <xf numFmtId="0" fontId="1" fillId="55" borderId="10" xfId="0" applyFont="1" applyFill="1" applyBorder="1" applyAlignment="1">
      <alignment horizontal="center" vertical="center" wrapText="1"/>
    </xf>
    <xf numFmtId="167" fontId="9" fillId="56" borderId="10" xfId="0" applyNumberFormat="1" applyFont="1" applyFill="1" applyBorder="1" applyAlignment="1">
      <alignment horizontal="right" vertical="top" wrapText="1"/>
    </xf>
    <xf numFmtId="0" fontId="11" fillId="54" borderId="10" xfId="0" applyFont="1" applyFill="1" applyBorder="1" applyAlignment="1">
      <alignment horizontal="left" vertical="center" wrapText="1"/>
    </xf>
    <xf numFmtId="0" fontId="12" fillId="57" borderId="10" xfId="0" applyFont="1" applyFill="1" applyBorder="1" applyAlignment="1" applyProtection="1">
      <alignment horizontal="center" vertical="center" wrapText="1"/>
      <protection locked="0"/>
    </xf>
    <xf numFmtId="0" fontId="5" fillId="45" borderId="10" xfId="0" applyFont="1" applyFill="1" applyBorder="1" applyAlignment="1">
      <alignment horizontal="right" vertical="center" wrapText="1"/>
    </xf>
    <xf numFmtId="0" fontId="1" fillId="12" borderId="10" xfId="0" applyFont="1" applyFill="1" applyBorder="1" applyAlignment="1">
      <alignment horizontal="left" vertical="center" wrapText="1"/>
    </xf>
    <xf numFmtId="0" fontId="0" fillId="11" borderId="10" xfId="0" applyFill="1" applyBorder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right" vertical="center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2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top" wrapText="1"/>
    </xf>
    <xf numFmtId="0" fontId="5" fillId="16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right" vertical="top" wrapText="1"/>
    </xf>
    <xf numFmtId="0" fontId="1" fillId="25" borderId="2" xfId="0" applyFont="1" applyFill="1" applyBorder="1" applyAlignment="1">
      <alignment horizontal="right" vertical="center" wrapText="1"/>
    </xf>
    <xf numFmtId="4" fontId="7" fillId="41" borderId="8" xfId="0" applyNumberFormat="1" applyFont="1" applyFill="1" applyBorder="1" applyAlignment="1">
      <alignment horizontal="right" vertical="center" wrapText="1"/>
    </xf>
    <xf numFmtId="4" fontId="9" fillId="35" borderId="2" xfId="0" applyNumberFormat="1" applyFont="1" applyFill="1" applyBorder="1" applyAlignment="1">
      <alignment horizontal="right" vertical="center" wrapText="1"/>
    </xf>
    <xf numFmtId="0" fontId="0" fillId="2" borderId="9" xfId="0" applyFill="1" applyBorder="1" applyAlignment="1" applyProtection="1">
      <alignment horizontal="center" wrapText="1"/>
      <protection locked="0"/>
    </xf>
    <xf numFmtId="0" fontId="8" fillId="28" borderId="2" xfId="0" applyFont="1" applyFill="1" applyBorder="1" applyAlignment="1">
      <alignment horizontal="left" vertical="center" wrapText="1"/>
    </xf>
    <xf numFmtId="0" fontId="9" fillId="29" borderId="2" xfId="0" applyFont="1" applyFill="1" applyBorder="1" applyAlignment="1">
      <alignment horizontal="left" vertical="center" wrapText="1"/>
    </xf>
    <xf numFmtId="4" fontId="9" fillId="30" borderId="2" xfId="0" applyNumberFormat="1" applyFont="1" applyFill="1" applyBorder="1" applyAlignment="1">
      <alignment horizontal="right" vertical="center" wrapText="1"/>
    </xf>
    <xf numFmtId="4" fontId="9" fillId="30" borderId="3" xfId="0" applyNumberFormat="1" applyFont="1" applyFill="1" applyBorder="1" applyAlignment="1">
      <alignment horizontal="right" vertical="center" wrapText="1"/>
    </xf>
    <xf numFmtId="4" fontId="9" fillId="30" borderId="5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419231112" name="Picture">
          <a:extLst>
            <a:ext uri="{FF2B5EF4-FFF2-40B4-BE49-F238E27FC236}">
              <a16:creationId xmlns:a16="http://schemas.microsoft.com/office/drawing/2014/main" id="{00000000-0008-0000-0100-000088BF97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22448487" name="Picture">
          <a:extLst>
            <a:ext uri="{FF2B5EF4-FFF2-40B4-BE49-F238E27FC236}">
              <a16:creationId xmlns:a16="http://schemas.microsoft.com/office/drawing/2014/main" id="{00000000-0008-0000-0000-0000678956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118905497" name="Picture">
          <a:extLst>
            <a:ext uri="{FF2B5EF4-FFF2-40B4-BE49-F238E27FC236}">
              <a16:creationId xmlns:a16="http://schemas.microsoft.com/office/drawing/2014/main" id="{00000000-0008-0000-0200-00009924B1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303972906" name="Picture">
          <a:extLst>
            <a:ext uri="{FF2B5EF4-FFF2-40B4-BE49-F238E27FC236}">
              <a16:creationId xmlns:a16="http://schemas.microsoft.com/office/drawing/2014/main" id="{00000000-0008-0000-0300-00002A421E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33"/>
  <sheetViews>
    <sheetView workbookViewId="0">
      <selection activeCell="B15" sqref="B15:C15"/>
    </sheetView>
  </sheetViews>
  <sheetFormatPr defaultRowHeight="14.5" x14ac:dyDescent="0.35"/>
  <cols>
    <col min="1" max="1" width="9.26953125" customWidth="1"/>
    <col min="2" max="2" width="62.453125" customWidth="1"/>
    <col min="3" max="3" width="22.81640625" customWidth="1"/>
    <col min="4" max="4" width="12.453125" customWidth="1"/>
    <col min="5" max="5" width="8.26953125" customWidth="1"/>
  </cols>
  <sheetData>
    <row r="1" spans="1:5" ht="44.15" customHeight="1" x14ac:dyDescent="0.35">
      <c r="A1" s="52"/>
      <c r="B1" s="52"/>
      <c r="C1" s="52"/>
      <c r="D1" s="52"/>
      <c r="E1" s="52"/>
    </row>
    <row r="2" spans="1:5" ht="22" customHeight="1" x14ac:dyDescent="0.35">
      <c r="A2" s="52"/>
      <c r="B2" s="52"/>
      <c r="C2" s="52"/>
      <c r="D2" s="52"/>
      <c r="E2" s="52"/>
    </row>
    <row r="3" spans="1:5" ht="36" customHeight="1" x14ac:dyDescent="0.35">
      <c r="A3" s="52"/>
      <c r="B3" s="52"/>
      <c r="C3" s="52"/>
      <c r="D3" s="52"/>
      <c r="E3" s="52"/>
    </row>
    <row r="4" spans="1:5" ht="20.149999999999999" customHeight="1" x14ac:dyDescent="0.35">
      <c r="A4" s="30" t="s">
        <v>10</v>
      </c>
      <c r="B4" s="51" t="s">
        <v>11</v>
      </c>
      <c r="C4" s="51"/>
      <c r="D4" s="31">
        <v>18051.88</v>
      </c>
      <c r="E4" s="31">
        <v>1.9773650443219923</v>
      </c>
    </row>
    <row r="5" spans="1:5" ht="20.149999999999999" customHeight="1" x14ac:dyDescent="0.35">
      <c r="A5" s="30" t="s">
        <v>26</v>
      </c>
      <c r="B5" s="51" t="s">
        <v>27</v>
      </c>
      <c r="C5" s="51"/>
      <c r="D5" s="31">
        <v>12961.54</v>
      </c>
      <c r="E5" s="31">
        <v>1.4197798853405448</v>
      </c>
    </row>
    <row r="6" spans="1:5" ht="20.149999999999999" customHeight="1" x14ac:dyDescent="0.35">
      <c r="A6" s="30" t="s">
        <v>39</v>
      </c>
      <c r="B6" s="51" t="s">
        <v>40</v>
      </c>
      <c r="C6" s="51"/>
      <c r="D6" s="31">
        <v>37991.85</v>
      </c>
      <c r="E6" s="31">
        <v>4.161547504144969</v>
      </c>
    </row>
    <row r="7" spans="1:5" ht="20.149999999999999" customHeight="1" x14ac:dyDescent="0.35">
      <c r="A7" s="30" t="s">
        <v>69</v>
      </c>
      <c r="B7" s="51" t="s">
        <v>70</v>
      </c>
      <c r="C7" s="51"/>
      <c r="D7" s="31">
        <v>42240.62</v>
      </c>
      <c r="E7" s="31">
        <v>4.6269488517810018</v>
      </c>
    </row>
    <row r="8" spans="1:5" ht="20.149999999999999" customHeight="1" x14ac:dyDescent="0.35">
      <c r="A8" s="30" t="s">
        <v>81</v>
      </c>
      <c r="B8" s="51" t="s">
        <v>82</v>
      </c>
      <c r="C8" s="51"/>
      <c r="D8" s="31">
        <v>31334.09</v>
      </c>
      <c r="E8" s="31">
        <v>3.4322704483765287</v>
      </c>
    </row>
    <row r="9" spans="1:5" ht="20.149999999999999" customHeight="1" x14ac:dyDescent="0.35">
      <c r="A9" s="30" t="s">
        <v>100</v>
      </c>
      <c r="B9" s="51" t="s">
        <v>101</v>
      </c>
      <c r="C9" s="51"/>
      <c r="D9" s="31">
        <v>57860.77</v>
      </c>
      <c r="E9" s="31">
        <v>6.3379472961018246</v>
      </c>
    </row>
    <row r="10" spans="1:5" ht="20.149999999999999" customHeight="1" x14ac:dyDescent="0.35">
      <c r="A10" s="30" t="s">
        <v>117</v>
      </c>
      <c r="B10" s="51" t="s">
        <v>118</v>
      </c>
      <c r="C10" s="51"/>
      <c r="D10" s="31">
        <v>6412.46</v>
      </c>
      <c r="E10" s="31">
        <v>0.70240740865289386</v>
      </c>
    </row>
    <row r="11" spans="1:5" ht="20.149999999999999" customHeight="1" x14ac:dyDescent="0.35">
      <c r="A11" s="30" t="s">
        <v>128</v>
      </c>
      <c r="B11" s="51" t="s">
        <v>129</v>
      </c>
      <c r="C11" s="51"/>
      <c r="D11" s="31">
        <v>108703.47</v>
      </c>
      <c r="E11" s="31">
        <v>11.907149935325537</v>
      </c>
    </row>
    <row r="12" spans="1:5" ht="20.149999999999999" customHeight="1" x14ac:dyDescent="0.35">
      <c r="A12" s="30" t="s">
        <v>139</v>
      </c>
      <c r="B12" s="51" t="s">
        <v>140</v>
      </c>
      <c r="C12" s="51"/>
      <c r="D12" s="31">
        <v>7097.13</v>
      </c>
      <c r="E12" s="31">
        <v>0.77740472333125088</v>
      </c>
    </row>
    <row r="13" spans="1:5" ht="20.149999999999999" customHeight="1" x14ac:dyDescent="0.35">
      <c r="A13" s="30" t="s">
        <v>144</v>
      </c>
      <c r="B13" s="51" t="s">
        <v>145</v>
      </c>
      <c r="C13" s="51"/>
      <c r="D13" s="31">
        <v>82930.570000000007</v>
      </c>
      <c r="E13" s="31">
        <v>9.0840405666167783</v>
      </c>
    </row>
    <row r="14" spans="1:5" ht="20.149999999999999" customHeight="1" x14ac:dyDescent="0.35">
      <c r="A14" s="30" t="s">
        <v>155</v>
      </c>
      <c r="B14" s="51" t="s">
        <v>156</v>
      </c>
      <c r="C14" s="51"/>
      <c r="D14" s="31">
        <v>28292.49</v>
      </c>
      <c r="E14" s="31">
        <v>3.0990999686918772</v>
      </c>
    </row>
    <row r="15" spans="1:5" ht="20.149999999999999" customHeight="1" x14ac:dyDescent="0.35">
      <c r="A15" s="30" t="s">
        <v>165</v>
      </c>
      <c r="B15" s="51" t="s">
        <v>166</v>
      </c>
      <c r="C15" s="51"/>
      <c r="D15" s="31">
        <v>1814.12</v>
      </c>
      <c r="E15" s="31">
        <v>0.19871489696394018</v>
      </c>
    </row>
    <row r="16" spans="1:5" ht="20.149999999999999" customHeight="1" x14ac:dyDescent="0.35">
      <c r="A16" s="30" t="s">
        <v>170</v>
      </c>
      <c r="B16" s="51" t="s">
        <v>171</v>
      </c>
      <c r="C16" s="51"/>
      <c r="D16" s="31">
        <v>38470.97</v>
      </c>
      <c r="E16" s="31">
        <v>4.2140293032725697</v>
      </c>
    </row>
    <row r="17" spans="1:5" ht="20.149999999999999" customHeight="1" x14ac:dyDescent="0.35">
      <c r="A17" s="30" t="s">
        <v>184</v>
      </c>
      <c r="B17" s="51" t="s">
        <v>185</v>
      </c>
      <c r="C17" s="51"/>
      <c r="D17" s="31">
        <v>22129.02</v>
      </c>
      <c r="E17" s="31">
        <v>2.4239664020092229</v>
      </c>
    </row>
    <row r="18" spans="1:5" ht="20.149999999999999" customHeight="1" x14ac:dyDescent="0.35">
      <c r="A18" s="30" t="s">
        <v>195</v>
      </c>
      <c r="B18" s="51" t="s">
        <v>196</v>
      </c>
      <c r="C18" s="51"/>
      <c r="D18" s="31">
        <v>46563.02</v>
      </c>
      <c r="E18" s="31">
        <v>5.1004154750677388</v>
      </c>
    </row>
    <row r="19" spans="1:5" ht="20.149999999999999" customHeight="1" x14ac:dyDescent="0.35">
      <c r="A19" s="30" t="s">
        <v>203</v>
      </c>
      <c r="B19" s="51" t="s">
        <v>204</v>
      </c>
      <c r="C19" s="51"/>
      <c r="D19" s="31">
        <v>98030.42</v>
      </c>
      <c r="E19" s="31">
        <v>10.738046441046778</v>
      </c>
    </row>
    <row r="20" spans="1:5" ht="20.149999999999999" customHeight="1" x14ac:dyDescent="0.35">
      <c r="A20" s="30" t="s">
        <v>231</v>
      </c>
      <c r="B20" s="51" t="s">
        <v>232</v>
      </c>
      <c r="C20" s="51"/>
      <c r="D20" s="31">
        <v>102188.04</v>
      </c>
      <c r="E20" s="31">
        <v>11.19346340900657</v>
      </c>
    </row>
    <row r="21" spans="1:5" ht="20.149999999999999" customHeight="1" x14ac:dyDescent="0.35">
      <c r="A21" s="30" t="s">
        <v>262</v>
      </c>
      <c r="B21" s="51" t="s">
        <v>263</v>
      </c>
      <c r="C21" s="51"/>
      <c r="D21" s="31">
        <v>1714.74</v>
      </c>
      <c r="E21" s="31">
        <v>0.18782902036246046</v>
      </c>
    </row>
    <row r="22" spans="1:5" ht="20.149999999999999" customHeight="1" x14ac:dyDescent="0.35">
      <c r="A22" s="30" t="s">
        <v>273</v>
      </c>
      <c r="B22" s="51" t="s">
        <v>274</v>
      </c>
      <c r="C22" s="51"/>
      <c r="D22" s="31">
        <v>36042.480000000003</v>
      </c>
      <c r="E22" s="31">
        <v>3.9480176060706436</v>
      </c>
    </row>
    <row r="23" spans="1:5" ht="20.149999999999999" customHeight="1" x14ac:dyDescent="0.35">
      <c r="A23" s="30" t="s">
        <v>293</v>
      </c>
      <c r="B23" s="51" t="s">
        <v>294</v>
      </c>
      <c r="C23" s="51"/>
      <c r="D23" s="31">
        <v>51647.76</v>
      </c>
      <c r="E23" s="31">
        <v>5.6573872218035808</v>
      </c>
    </row>
    <row r="24" spans="1:5" ht="20.149999999999999" customHeight="1" x14ac:dyDescent="0.35">
      <c r="A24" s="30" t="s">
        <v>434</v>
      </c>
      <c r="B24" s="51" t="s">
        <v>435</v>
      </c>
      <c r="C24" s="51"/>
      <c r="D24" s="31">
        <v>23425.19</v>
      </c>
      <c r="E24" s="31">
        <v>2.5659461431496937</v>
      </c>
    </row>
    <row r="25" spans="1:5" ht="20.149999999999999" customHeight="1" x14ac:dyDescent="0.35">
      <c r="A25" s="30" t="s">
        <v>551</v>
      </c>
      <c r="B25" s="51" t="s">
        <v>552</v>
      </c>
      <c r="C25" s="51"/>
      <c r="D25" s="31">
        <v>9016.69</v>
      </c>
      <c r="E25" s="31">
        <v>0.98766929657673685</v>
      </c>
    </row>
    <row r="26" spans="1:5" ht="20.149999999999999" customHeight="1" x14ac:dyDescent="0.35">
      <c r="A26" s="30" t="s">
        <v>622</v>
      </c>
      <c r="B26" s="51" t="s">
        <v>623</v>
      </c>
      <c r="C26" s="51"/>
      <c r="D26" s="31">
        <v>14962.02</v>
      </c>
      <c r="E26" s="31">
        <v>1.638908265535032</v>
      </c>
    </row>
    <row r="27" spans="1:5" ht="20.149999999999999" customHeight="1" x14ac:dyDescent="0.35">
      <c r="A27" s="30" t="s">
        <v>642</v>
      </c>
      <c r="B27" s="51" t="s">
        <v>643</v>
      </c>
      <c r="C27" s="51"/>
      <c r="D27" s="31">
        <v>9093.89</v>
      </c>
      <c r="E27" s="31">
        <v>0.99612562253401427</v>
      </c>
    </row>
    <row r="28" spans="1:5" ht="20.149999999999999" customHeight="1" x14ac:dyDescent="0.35">
      <c r="A28" s="30" t="s">
        <v>660</v>
      </c>
      <c r="B28" s="51" t="s">
        <v>661</v>
      </c>
      <c r="C28" s="51"/>
      <c r="D28" s="31">
        <v>7437.98</v>
      </c>
      <c r="E28" s="31">
        <v>0.81474071688744287</v>
      </c>
    </row>
    <row r="29" spans="1:5" ht="20.149999999999999" customHeight="1" x14ac:dyDescent="0.35">
      <c r="A29" s="30" t="s">
        <v>672</v>
      </c>
      <c r="B29" s="51" t="s">
        <v>673</v>
      </c>
      <c r="C29" s="51"/>
      <c r="D29" s="31">
        <v>10423.969999999999</v>
      </c>
      <c r="E29" s="31">
        <v>1.1418197938974286</v>
      </c>
    </row>
    <row r="30" spans="1:5" ht="20.149999999999999" customHeight="1" x14ac:dyDescent="0.35">
      <c r="A30" s="30" t="s">
        <v>683</v>
      </c>
      <c r="B30" s="51" t="s">
        <v>684</v>
      </c>
      <c r="C30" s="51"/>
      <c r="D30" s="31">
        <v>6088.84</v>
      </c>
      <c r="E30" s="31">
        <v>0.66695875313094921</v>
      </c>
    </row>
    <row r="31" spans="1:5" ht="15" customHeight="1" x14ac:dyDescent="0.35">
      <c r="A31" s="32"/>
      <c r="B31" s="32"/>
      <c r="C31" s="33" t="s">
        <v>697</v>
      </c>
      <c r="D31" s="31">
        <v>167494.07</v>
      </c>
      <c r="E31" s="31">
        <v>100</v>
      </c>
    </row>
    <row r="32" spans="1:5" ht="15" customHeight="1" x14ac:dyDescent="0.35">
      <c r="A32" s="32"/>
      <c r="B32" s="32"/>
      <c r="C32" s="33" t="s">
        <v>698</v>
      </c>
      <c r="D32" s="31">
        <v>745431.95</v>
      </c>
      <c r="E32" s="32"/>
    </row>
    <row r="33" spans="1:5" ht="15" customHeight="1" x14ac:dyDescent="0.35">
      <c r="A33" s="32"/>
      <c r="B33" s="32"/>
      <c r="C33" s="33" t="s">
        <v>699</v>
      </c>
      <c r="D33" s="31">
        <v>912926.02</v>
      </c>
      <c r="E33" s="32"/>
    </row>
  </sheetData>
  <mergeCells count="28">
    <mergeCell ref="A1:E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23:C23"/>
    <mergeCell ref="B24:C24"/>
    <mergeCell ref="B25:C25"/>
    <mergeCell ref="B26:C26"/>
    <mergeCell ref="B27:C27"/>
  </mergeCells>
  <pageMargins left="0" right="0" top="0" bottom="0" header="0" footer="0"/>
  <pageSetup paperSize="9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68"/>
  <sheetViews>
    <sheetView workbookViewId="0">
      <selection activeCell="L1" sqref="L1"/>
    </sheetView>
  </sheetViews>
  <sheetFormatPr defaultRowHeight="14.5" x14ac:dyDescent="0.35"/>
  <cols>
    <col min="1" max="1" width="9.26953125" customWidth="1"/>
    <col min="2" max="2" width="13.453125" customWidth="1"/>
    <col min="3" max="3" width="59.7265625" bestFit="1"/>
    <col min="4" max="4" width="12.453125" customWidth="1"/>
    <col min="5" max="5" width="9.26953125" customWidth="1"/>
    <col min="6" max="10" width="12.453125" customWidth="1"/>
  </cols>
  <sheetData>
    <row r="1" spans="1:10" ht="109" customHeight="1" x14ac:dyDescent="0.35">
      <c r="A1" s="55"/>
      <c r="B1" s="55"/>
      <c r="C1" s="55"/>
      <c r="D1" s="55"/>
      <c r="E1" s="55"/>
      <c r="F1" s="55"/>
      <c r="G1" s="55"/>
      <c r="H1" s="55"/>
      <c r="I1" s="55"/>
      <c r="J1" s="55"/>
    </row>
    <row r="2" spans="1:10" ht="12" customHeight="1" x14ac:dyDescent="0.35">
      <c r="A2" s="56" t="s">
        <v>0</v>
      </c>
      <c r="B2" s="56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/>
      <c r="I2" s="56" t="s">
        <v>7</v>
      </c>
      <c r="J2" s="56"/>
    </row>
    <row r="3" spans="1:10" ht="10" customHeight="1" x14ac:dyDescent="0.35">
      <c r="A3" s="56"/>
      <c r="B3" s="56"/>
      <c r="C3" s="56"/>
      <c r="D3" s="56"/>
      <c r="E3" s="56"/>
      <c r="F3" s="56"/>
      <c r="G3" s="2" t="s">
        <v>8</v>
      </c>
      <c r="H3" s="2" t="s">
        <v>9</v>
      </c>
      <c r="I3" s="2" t="s">
        <v>8</v>
      </c>
      <c r="J3" s="2" t="s">
        <v>9</v>
      </c>
    </row>
    <row r="4" spans="1:10" ht="20.149999999999999" customHeight="1" x14ac:dyDescent="0.35">
      <c r="A4" s="3" t="s">
        <v>10</v>
      </c>
      <c r="B4" s="53" t="s">
        <v>11</v>
      </c>
      <c r="C4" s="53"/>
      <c r="D4" s="53"/>
      <c r="E4" s="53"/>
      <c r="F4" s="53"/>
      <c r="G4" s="53"/>
      <c r="H4" s="53"/>
      <c r="I4" s="4">
        <v>14740.01</v>
      </c>
      <c r="J4" s="4">
        <v>18051.88</v>
      </c>
    </row>
    <row r="5" spans="1:10" x14ac:dyDescent="0.35">
      <c r="A5" s="5" t="s">
        <v>12</v>
      </c>
      <c r="B5" s="6" t="s">
        <v>13</v>
      </c>
      <c r="C5" s="5" t="s">
        <v>14</v>
      </c>
      <c r="D5" s="6" t="s">
        <v>15</v>
      </c>
      <c r="E5" s="6" t="s">
        <v>16</v>
      </c>
      <c r="F5" s="7">
        <v>1</v>
      </c>
      <c r="G5" s="7">
        <v>153.05000000000001</v>
      </c>
      <c r="H5" s="7">
        <v>187.44</v>
      </c>
      <c r="I5" s="7">
        <v>153.05000000000001</v>
      </c>
      <c r="J5" s="7">
        <v>187.44</v>
      </c>
    </row>
    <row r="6" spans="1:10" ht="16" x14ac:dyDescent="0.35">
      <c r="A6" s="5" t="s">
        <v>17</v>
      </c>
      <c r="B6" s="6" t="s">
        <v>18</v>
      </c>
      <c r="C6" s="5" t="s">
        <v>19</v>
      </c>
      <c r="D6" s="6" t="s">
        <v>20</v>
      </c>
      <c r="E6" s="6" t="s">
        <v>21</v>
      </c>
      <c r="F6" s="7">
        <v>12.43</v>
      </c>
      <c r="G6" s="7">
        <v>784.84</v>
      </c>
      <c r="H6" s="7">
        <v>961.19</v>
      </c>
      <c r="I6" s="7">
        <v>9755.56</v>
      </c>
      <c r="J6" s="7">
        <v>11947.59</v>
      </c>
    </row>
    <row r="7" spans="1:10" ht="16" x14ac:dyDescent="0.35">
      <c r="A7" s="5" t="s">
        <v>22</v>
      </c>
      <c r="B7" s="6" t="s">
        <v>23</v>
      </c>
      <c r="C7" s="5" t="s">
        <v>24</v>
      </c>
      <c r="D7" s="6" t="s">
        <v>20</v>
      </c>
      <c r="E7" s="6" t="s">
        <v>25</v>
      </c>
      <c r="F7" s="7">
        <v>101.16</v>
      </c>
      <c r="G7" s="7">
        <v>47.76</v>
      </c>
      <c r="H7" s="7">
        <v>58.49</v>
      </c>
      <c r="I7" s="7">
        <v>4831.3999999999996</v>
      </c>
      <c r="J7" s="7">
        <v>5916.85</v>
      </c>
    </row>
    <row r="8" spans="1:10" ht="20.149999999999999" customHeight="1" x14ac:dyDescent="0.35">
      <c r="A8" s="3" t="s">
        <v>26</v>
      </c>
      <c r="B8" s="53" t="s">
        <v>27</v>
      </c>
      <c r="C8" s="53"/>
      <c r="D8" s="53"/>
      <c r="E8" s="53"/>
      <c r="F8" s="53"/>
      <c r="G8" s="53"/>
      <c r="H8" s="53"/>
      <c r="I8" s="4">
        <v>10582.87</v>
      </c>
      <c r="J8" s="4">
        <v>12961.54</v>
      </c>
    </row>
    <row r="9" spans="1:10" x14ac:dyDescent="0.35">
      <c r="A9" s="5" t="s">
        <v>28</v>
      </c>
      <c r="B9" s="6" t="s">
        <v>29</v>
      </c>
      <c r="C9" s="5" t="s">
        <v>30</v>
      </c>
      <c r="D9" s="6" t="s">
        <v>20</v>
      </c>
      <c r="E9" s="6" t="s">
        <v>31</v>
      </c>
      <c r="F9" s="7">
        <v>136.71</v>
      </c>
      <c r="G9" s="7">
        <v>22.2</v>
      </c>
      <c r="H9" s="7">
        <v>27.19</v>
      </c>
      <c r="I9" s="7">
        <v>3034.96</v>
      </c>
      <c r="J9" s="7">
        <v>3717.14</v>
      </c>
    </row>
    <row r="10" spans="1:10" x14ac:dyDescent="0.35">
      <c r="A10" s="5" t="s">
        <v>32</v>
      </c>
      <c r="B10" s="6" t="s">
        <v>33</v>
      </c>
      <c r="C10" s="5" t="s">
        <v>34</v>
      </c>
      <c r="D10" s="6" t="s">
        <v>20</v>
      </c>
      <c r="E10" s="6" t="s">
        <v>31</v>
      </c>
      <c r="F10" s="7">
        <v>72.61</v>
      </c>
      <c r="G10" s="7">
        <v>59.58</v>
      </c>
      <c r="H10" s="7">
        <v>72.97</v>
      </c>
      <c r="I10" s="7">
        <v>4326.1000000000004</v>
      </c>
      <c r="J10" s="7">
        <v>5298.35</v>
      </c>
    </row>
    <row r="11" spans="1:10" x14ac:dyDescent="0.35">
      <c r="A11" s="5" t="s">
        <v>35</v>
      </c>
      <c r="B11" s="6" t="s">
        <v>29</v>
      </c>
      <c r="C11" s="5" t="s">
        <v>30</v>
      </c>
      <c r="D11" s="6" t="s">
        <v>20</v>
      </c>
      <c r="E11" s="6" t="s">
        <v>31</v>
      </c>
      <c r="F11" s="7">
        <v>54.55</v>
      </c>
      <c r="G11" s="7">
        <v>22.2</v>
      </c>
      <c r="H11" s="7">
        <v>27.19</v>
      </c>
      <c r="I11" s="7">
        <v>1211.01</v>
      </c>
      <c r="J11" s="7">
        <v>1483.21</v>
      </c>
    </row>
    <row r="12" spans="1:10" x14ac:dyDescent="0.35">
      <c r="A12" s="5" t="s">
        <v>36</v>
      </c>
      <c r="B12" s="6" t="s">
        <v>37</v>
      </c>
      <c r="C12" s="5" t="s">
        <v>38</v>
      </c>
      <c r="D12" s="6" t="s">
        <v>20</v>
      </c>
      <c r="E12" s="6" t="s">
        <v>31</v>
      </c>
      <c r="F12" s="7">
        <v>55.67</v>
      </c>
      <c r="G12" s="7">
        <v>36.119999999999997</v>
      </c>
      <c r="H12" s="7">
        <v>44.24</v>
      </c>
      <c r="I12" s="7">
        <v>2010.8</v>
      </c>
      <c r="J12" s="7">
        <v>2462.84</v>
      </c>
    </row>
    <row r="13" spans="1:10" ht="20.149999999999999" customHeight="1" x14ac:dyDescent="0.35">
      <c r="A13" s="3" t="s">
        <v>39</v>
      </c>
      <c r="B13" s="53" t="s">
        <v>40</v>
      </c>
      <c r="C13" s="53"/>
      <c r="D13" s="53"/>
      <c r="E13" s="53"/>
      <c r="F13" s="53"/>
      <c r="G13" s="53"/>
      <c r="H13" s="53"/>
      <c r="I13" s="4">
        <v>31022.9</v>
      </c>
      <c r="J13" s="4">
        <v>37991.85</v>
      </c>
    </row>
    <row r="14" spans="1:10" x14ac:dyDescent="0.35">
      <c r="A14" s="5" t="s">
        <v>41</v>
      </c>
      <c r="B14" s="6" t="s">
        <v>42</v>
      </c>
      <c r="C14" s="5" t="s">
        <v>43</v>
      </c>
      <c r="D14" s="6" t="s">
        <v>20</v>
      </c>
      <c r="E14" s="6" t="s">
        <v>31</v>
      </c>
      <c r="F14" s="7">
        <v>1.46</v>
      </c>
      <c r="G14" s="7">
        <v>551.70000000000005</v>
      </c>
      <c r="H14" s="7">
        <v>675.67</v>
      </c>
      <c r="I14" s="7">
        <v>805.48</v>
      </c>
      <c r="J14" s="7">
        <v>986.48</v>
      </c>
    </row>
    <row r="15" spans="1:10" ht="16" x14ac:dyDescent="0.35">
      <c r="A15" s="5" t="s">
        <v>44</v>
      </c>
      <c r="B15" s="6" t="s">
        <v>45</v>
      </c>
      <c r="C15" s="5" t="s">
        <v>46</v>
      </c>
      <c r="D15" s="6" t="s">
        <v>20</v>
      </c>
      <c r="E15" s="6" t="s">
        <v>21</v>
      </c>
      <c r="F15" s="7">
        <v>96.48</v>
      </c>
      <c r="G15" s="7">
        <v>160.47999999999999</v>
      </c>
      <c r="H15" s="7">
        <v>196.54</v>
      </c>
      <c r="I15" s="7">
        <v>15483.11</v>
      </c>
      <c r="J15" s="7">
        <v>18962.18</v>
      </c>
    </row>
    <row r="16" spans="1:10" ht="16" x14ac:dyDescent="0.35">
      <c r="A16" s="5" t="s">
        <v>47</v>
      </c>
      <c r="B16" s="6" t="s">
        <v>48</v>
      </c>
      <c r="C16" s="5" t="s">
        <v>49</v>
      </c>
      <c r="D16" s="6" t="s">
        <v>20</v>
      </c>
      <c r="E16" s="6" t="s">
        <v>31</v>
      </c>
      <c r="F16" s="7">
        <v>10.06</v>
      </c>
      <c r="G16" s="7">
        <v>451.82</v>
      </c>
      <c r="H16" s="7">
        <v>553.34</v>
      </c>
      <c r="I16" s="7">
        <v>4545.3100000000004</v>
      </c>
      <c r="J16" s="7">
        <v>5566.6</v>
      </c>
    </row>
    <row r="17" spans="1:10" ht="16" x14ac:dyDescent="0.35">
      <c r="A17" s="5" t="s">
        <v>50</v>
      </c>
      <c r="B17" s="6" t="s">
        <v>51</v>
      </c>
      <c r="C17" s="5" t="s">
        <v>52</v>
      </c>
      <c r="D17" s="6" t="s">
        <v>20</v>
      </c>
      <c r="E17" s="6" t="s">
        <v>31</v>
      </c>
      <c r="F17" s="7">
        <v>10.06</v>
      </c>
      <c r="G17" s="7">
        <v>205.96</v>
      </c>
      <c r="H17" s="7">
        <v>252.24</v>
      </c>
      <c r="I17" s="7">
        <v>2071.96</v>
      </c>
      <c r="J17" s="7">
        <v>2537.5300000000002</v>
      </c>
    </row>
    <row r="18" spans="1:10" x14ac:dyDescent="0.35">
      <c r="A18" s="5" t="s">
        <v>53</v>
      </c>
      <c r="B18" s="6" t="s">
        <v>54</v>
      </c>
      <c r="C18" s="5" t="s">
        <v>55</v>
      </c>
      <c r="D18" s="6" t="s">
        <v>20</v>
      </c>
      <c r="E18" s="6" t="s">
        <v>56</v>
      </c>
      <c r="F18" s="7">
        <v>241</v>
      </c>
      <c r="G18" s="7">
        <v>15.37</v>
      </c>
      <c r="H18" s="7">
        <v>18.82</v>
      </c>
      <c r="I18" s="7">
        <v>3704.17</v>
      </c>
      <c r="J18" s="7">
        <v>4535.62</v>
      </c>
    </row>
    <row r="19" spans="1:10" x14ac:dyDescent="0.35">
      <c r="A19" s="5" t="s">
        <v>57</v>
      </c>
      <c r="B19" s="6" t="s">
        <v>58</v>
      </c>
      <c r="C19" s="5" t="s">
        <v>59</v>
      </c>
      <c r="D19" s="6" t="s">
        <v>20</v>
      </c>
      <c r="E19" s="6" t="s">
        <v>56</v>
      </c>
      <c r="F19" s="7">
        <v>235.2</v>
      </c>
      <c r="G19" s="7">
        <v>13.1</v>
      </c>
      <c r="H19" s="7">
        <v>16.04</v>
      </c>
      <c r="I19" s="7">
        <v>3081.12</v>
      </c>
      <c r="J19" s="7">
        <v>3772.61</v>
      </c>
    </row>
    <row r="20" spans="1:10" ht="16" x14ac:dyDescent="0.35">
      <c r="A20" s="5" t="s">
        <v>60</v>
      </c>
      <c r="B20" s="6" t="s">
        <v>61</v>
      </c>
      <c r="C20" s="5" t="s">
        <v>62</v>
      </c>
      <c r="D20" s="6" t="s">
        <v>20</v>
      </c>
      <c r="E20" s="6" t="s">
        <v>56</v>
      </c>
      <c r="F20" s="7">
        <v>18.100000000000001</v>
      </c>
      <c r="G20" s="7">
        <v>11.14</v>
      </c>
      <c r="H20" s="7">
        <v>13.64</v>
      </c>
      <c r="I20" s="7">
        <v>201.63</v>
      </c>
      <c r="J20" s="7">
        <v>246.88</v>
      </c>
    </row>
    <row r="21" spans="1:10" x14ac:dyDescent="0.35">
      <c r="A21" s="5" t="s">
        <v>63</v>
      </c>
      <c r="B21" s="6" t="s">
        <v>64</v>
      </c>
      <c r="C21" s="5" t="s">
        <v>65</v>
      </c>
      <c r="D21" s="6" t="s">
        <v>20</v>
      </c>
      <c r="E21" s="6" t="s">
        <v>56</v>
      </c>
      <c r="F21" s="7">
        <v>7.6</v>
      </c>
      <c r="G21" s="7">
        <v>10.62</v>
      </c>
      <c r="H21" s="7">
        <v>13.01</v>
      </c>
      <c r="I21" s="7">
        <v>80.709999999999994</v>
      </c>
      <c r="J21" s="7">
        <v>98.88</v>
      </c>
    </row>
    <row r="22" spans="1:10" x14ac:dyDescent="0.35">
      <c r="A22" s="5" t="s">
        <v>66</v>
      </c>
      <c r="B22" s="6" t="s">
        <v>67</v>
      </c>
      <c r="C22" s="5" t="s">
        <v>68</v>
      </c>
      <c r="D22" s="6" t="s">
        <v>20</v>
      </c>
      <c r="E22" s="6" t="s">
        <v>56</v>
      </c>
      <c r="F22" s="7">
        <v>65.099999999999994</v>
      </c>
      <c r="G22" s="7">
        <v>16.12</v>
      </c>
      <c r="H22" s="7">
        <v>19.739999999999998</v>
      </c>
      <c r="I22" s="7">
        <v>1049.4100000000001</v>
      </c>
      <c r="J22" s="7">
        <v>1285.07</v>
      </c>
    </row>
    <row r="23" spans="1:10" ht="20.149999999999999" customHeight="1" x14ac:dyDescent="0.35">
      <c r="A23" s="3" t="s">
        <v>69</v>
      </c>
      <c r="B23" s="53" t="s">
        <v>70</v>
      </c>
      <c r="C23" s="53"/>
      <c r="D23" s="53"/>
      <c r="E23" s="53"/>
      <c r="F23" s="53"/>
      <c r="G23" s="53"/>
      <c r="H23" s="53"/>
      <c r="I23" s="4">
        <v>34492.449999999997</v>
      </c>
      <c r="J23" s="4">
        <v>42240.62</v>
      </c>
    </row>
    <row r="24" spans="1:10" ht="16" x14ac:dyDescent="0.35">
      <c r="A24" s="5" t="s">
        <v>71</v>
      </c>
      <c r="B24" s="6" t="s">
        <v>72</v>
      </c>
      <c r="C24" s="5" t="s">
        <v>73</v>
      </c>
      <c r="D24" s="6" t="s">
        <v>20</v>
      </c>
      <c r="E24" s="6" t="s">
        <v>21</v>
      </c>
      <c r="F24" s="7">
        <v>2.2000000000000002</v>
      </c>
      <c r="G24" s="7">
        <v>16</v>
      </c>
      <c r="H24" s="7">
        <v>19.600000000000001</v>
      </c>
      <c r="I24" s="7">
        <v>35.200000000000003</v>
      </c>
      <c r="J24" s="7">
        <v>43.12</v>
      </c>
    </row>
    <row r="25" spans="1:10" ht="16" x14ac:dyDescent="0.35">
      <c r="A25" s="5" t="s">
        <v>74</v>
      </c>
      <c r="B25" s="6" t="s">
        <v>75</v>
      </c>
      <c r="C25" s="5" t="s">
        <v>76</v>
      </c>
      <c r="D25" s="6" t="s">
        <v>20</v>
      </c>
      <c r="E25" s="6" t="s">
        <v>21</v>
      </c>
      <c r="F25" s="7">
        <v>220.31</v>
      </c>
      <c r="G25" s="7">
        <v>74.239999999999995</v>
      </c>
      <c r="H25" s="7">
        <v>90.92</v>
      </c>
      <c r="I25" s="7">
        <v>16355.81</v>
      </c>
      <c r="J25" s="7">
        <v>20030.59</v>
      </c>
    </row>
    <row r="26" spans="1:10" ht="16" x14ac:dyDescent="0.35">
      <c r="A26" s="5" t="s">
        <v>77</v>
      </c>
      <c r="B26" s="6" t="s">
        <v>48</v>
      </c>
      <c r="C26" s="5" t="s">
        <v>49</v>
      </c>
      <c r="D26" s="6" t="s">
        <v>20</v>
      </c>
      <c r="E26" s="6" t="s">
        <v>31</v>
      </c>
      <c r="F26" s="7">
        <v>13.22</v>
      </c>
      <c r="G26" s="7">
        <v>451.82</v>
      </c>
      <c r="H26" s="7">
        <v>553.34</v>
      </c>
      <c r="I26" s="7">
        <v>5973.06</v>
      </c>
      <c r="J26" s="7">
        <v>7315.15</v>
      </c>
    </row>
    <row r="27" spans="1:10" ht="16" x14ac:dyDescent="0.35">
      <c r="A27" s="5" t="s">
        <v>78</v>
      </c>
      <c r="B27" s="6" t="s">
        <v>51</v>
      </c>
      <c r="C27" s="5" t="s">
        <v>52</v>
      </c>
      <c r="D27" s="6" t="s">
        <v>20</v>
      </c>
      <c r="E27" s="6" t="s">
        <v>31</v>
      </c>
      <c r="F27" s="7">
        <v>13.22</v>
      </c>
      <c r="G27" s="7">
        <v>205.96</v>
      </c>
      <c r="H27" s="7">
        <v>252.24</v>
      </c>
      <c r="I27" s="7">
        <v>2722.79</v>
      </c>
      <c r="J27" s="7">
        <v>3334.61</v>
      </c>
    </row>
    <row r="28" spans="1:10" x14ac:dyDescent="0.35">
      <c r="A28" s="5" t="s">
        <v>79</v>
      </c>
      <c r="B28" s="6" t="s">
        <v>54</v>
      </c>
      <c r="C28" s="5" t="s">
        <v>55</v>
      </c>
      <c r="D28" s="6" t="s">
        <v>20</v>
      </c>
      <c r="E28" s="6" t="s">
        <v>56</v>
      </c>
      <c r="F28" s="7">
        <v>389.6</v>
      </c>
      <c r="G28" s="7">
        <v>15.37</v>
      </c>
      <c r="H28" s="7">
        <v>18.82</v>
      </c>
      <c r="I28" s="7">
        <v>5988.15</v>
      </c>
      <c r="J28" s="7">
        <v>7332.27</v>
      </c>
    </row>
    <row r="29" spans="1:10" x14ac:dyDescent="0.35">
      <c r="A29" s="5" t="s">
        <v>80</v>
      </c>
      <c r="B29" s="6" t="s">
        <v>67</v>
      </c>
      <c r="C29" s="5" t="s">
        <v>68</v>
      </c>
      <c r="D29" s="6" t="s">
        <v>20</v>
      </c>
      <c r="E29" s="6" t="s">
        <v>56</v>
      </c>
      <c r="F29" s="7">
        <v>212</v>
      </c>
      <c r="G29" s="7">
        <v>16.12</v>
      </c>
      <c r="H29" s="7">
        <v>19.739999999999998</v>
      </c>
      <c r="I29" s="7">
        <v>3417.44</v>
      </c>
      <c r="J29" s="7">
        <v>4184.88</v>
      </c>
    </row>
    <row r="30" spans="1:10" ht="20.149999999999999" customHeight="1" x14ac:dyDescent="0.35">
      <c r="A30" s="3" t="s">
        <v>81</v>
      </c>
      <c r="B30" s="53" t="s">
        <v>82</v>
      </c>
      <c r="C30" s="53"/>
      <c r="D30" s="53"/>
      <c r="E30" s="53"/>
      <c r="F30" s="53"/>
      <c r="G30" s="53"/>
      <c r="H30" s="53"/>
      <c r="I30" s="4">
        <v>25583.47</v>
      </c>
      <c r="J30" s="4">
        <v>31334.09</v>
      </c>
    </row>
    <row r="31" spans="1:10" ht="16" x14ac:dyDescent="0.35">
      <c r="A31" s="5" t="s">
        <v>83</v>
      </c>
      <c r="B31" s="6" t="s">
        <v>84</v>
      </c>
      <c r="C31" s="5" t="s">
        <v>85</v>
      </c>
      <c r="D31" s="6" t="s">
        <v>20</v>
      </c>
      <c r="E31" s="6" t="s">
        <v>21</v>
      </c>
      <c r="F31" s="7">
        <v>199.64</v>
      </c>
      <c r="G31" s="7">
        <v>41.17</v>
      </c>
      <c r="H31" s="7">
        <v>50.42</v>
      </c>
      <c r="I31" s="7">
        <v>8219.18</v>
      </c>
      <c r="J31" s="7">
        <v>10065.85</v>
      </c>
    </row>
    <row r="32" spans="1:10" ht="16" x14ac:dyDescent="0.35">
      <c r="A32" s="5" t="s">
        <v>86</v>
      </c>
      <c r="B32" s="6" t="s">
        <v>48</v>
      </c>
      <c r="C32" s="5" t="s">
        <v>49</v>
      </c>
      <c r="D32" s="6" t="s">
        <v>20</v>
      </c>
      <c r="E32" s="6" t="s">
        <v>31</v>
      </c>
      <c r="F32" s="7">
        <v>10.08</v>
      </c>
      <c r="G32" s="7">
        <v>451.82</v>
      </c>
      <c r="H32" s="7">
        <v>553.34</v>
      </c>
      <c r="I32" s="7">
        <v>4554.3500000000004</v>
      </c>
      <c r="J32" s="7">
        <v>5577.67</v>
      </c>
    </row>
    <row r="33" spans="1:10" ht="16" x14ac:dyDescent="0.35">
      <c r="A33" s="5" t="s">
        <v>87</v>
      </c>
      <c r="B33" s="6" t="s">
        <v>51</v>
      </c>
      <c r="C33" s="5" t="s">
        <v>52</v>
      </c>
      <c r="D33" s="6" t="s">
        <v>20</v>
      </c>
      <c r="E33" s="6" t="s">
        <v>31</v>
      </c>
      <c r="F33" s="7">
        <v>10.08</v>
      </c>
      <c r="G33" s="7">
        <v>205.96</v>
      </c>
      <c r="H33" s="7">
        <v>252.24</v>
      </c>
      <c r="I33" s="7">
        <v>2076.08</v>
      </c>
      <c r="J33" s="7">
        <v>2542.58</v>
      </c>
    </row>
    <row r="34" spans="1:10" ht="16" x14ac:dyDescent="0.35">
      <c r="A34" s="5" t="s">
        <v>88</v>
      </c>
      <c r="B34" s="6" t="s">
        <v>89</v>
      </c>
      <c r="C34" s="5" t="s">
        <v>90</v>
      </c>
      <c r="D34" s="6" t="s">
        <v>20</v>
      </c>
      <c r="E34" s="6" t="s">
        <v>56</v>
      </c>
      <c r="F34" s="7">
        <v>580.5</v>
      </c>
      <c r="G34" s="7">
        <v>11.83</v>
      </c>
      <c r="H34" s="7">
        <v>14.49</v>
      </c>
      <c r="I34" s="7">
        <v>6867.32</v>
      </c>
      <c r="J34" s="7">
        <v>8411.4500000000007</v>
      </c>
    </row>
    <row r="35" spans="1:10" ht="16" x14ac:dyDescent="0.35">
      <c r="A35" s="5" t="s">
        <v>91</v>
      </c>
      <c r="B35" s="6" t="s">
        <v>92</v>
      </c>
      <c r="C35" s="5" t="s">
        <v>93</v>
      </c>
      <c r="D35" s="6" t="s">
        <v>20</v>
      </c>
      <c r="E35" s="6" t="s">
        <v>56</v>
      </c>
      <c r="F35" s="7">
        <v>59.1</v>
      </c>
      <c r="G35" s="7">
        <v>10.09</v>
      </c>
      <c r="H35" s="7">
        <v>12.36</v>
      </c>
      <c r="I35" s="7">
        <v>596.32000000000005</v>
      </c>
      <c r="J35" s="7">
        <v>730.48</v>
      </c>
    </row>
    <row r="36" spans="1:10" ht="16" x14ac:dyDescent="0.35">
      <c r="A36" s="5" t="s">
        <v>94</v>
      </c>
      <c r="B36" s="6" t="s">
        <v>95</v>
      </c>
      <c r="C36" s="5" t="s">
        <v>96</v>
      </c>
      <c r="D36" s="6" t="s">
        <v>20</v>
      </c>
      <c r="E36" s="6" t="s">
        <v>56</v>
      </c>
      <c r="F36" s="7">
        <v>22.7</v>
      </c>
      <c r="G36" s="7">
        <v>9.86</v>
      </c>
      <c r="H36" s="7">
        <v>12.08</v>
      </c>
      <c r="I36" s="7">
        <v>223.82</v>
      </c>
      <c r="J36" s="7">
        <v>274.22000000000003</v>
      </c>
    </row>
    <row r="37" spans="1:10" ht="16" x14ac:dyDescent="0.35">
      <c r="A37" s="5" t="s">
        <v>97</v>
      </c>
      <c r="B37" s="6" t="s">
        <v>98</v>
      </c>
      <c r="C37" s="5" t="s">
        <v>99</v>
      </c>
      <c r="D37" s="6" t="s">
        <v>20</v>
      </c>
      <c r="E37" s="6" t="s">
        <v>56</v>
      </c>
      <c r="F37" s="7">
        <v>224</v>
      </c>
      <c r="G37" s="7">
        <v>13.6</v>
      </c>
      <c r="H37" s="7">
        <v>16.66</v>
      </c>
      <c r="I37" s="7">
        <v>3046.4</v>
      </c>
      <c r="J37" s="7">
        <v>3731.84</v>
      </c>
    </row>
    <row r="38" spans="1:10" ht="20.149999999999999" customHeight="1" x14ac:dyDescent="0.35">
      <c r="A38" s="3" t="s">
        <v>100</v>
      </c>
      <c r="B38" s="53" t="s">
        <v>101</v>
      </c>
      <c r="C38" s="53"/>
      <c r="D38" s="53"/>
      <c r="E38" s="53"/>
      <c r="F38" s="53"/>
      <c r="G38" s="53"/>
      <c r="H38" s="53"/>
      <c r="I38" s="4">
        <v>47244.62</v>
      </c>
      <c r="J38" s="4">
        <v>57860.77</v>
      </c>
    </row>
    <row r="39" spans="1:10" x14ac:dyDescent="0.35">
      <c r="A39" s="5" t="s">
        <v>102</v>
      </c>
      <c r="B39" s="6" t="s">
        <v>103</v>
      </c>
      <c r="C39" s="5" t="s">
        <v>104</v>
      </c>
      <c r="D39" s="6" t="s">
        <v>20</v>
      </c>
      <c r="E39" s="6" t="s">
        <v>21</v>
      </c>
      <c r="F39" s="7">
        <v>264.23</v>
      </c>
      <c r="G39" s="7">
        <v>96.01</v>
      </c>
      <c r="H39" s="7">
        <v>117.58</v>
      </c>
      <c r="I39" s="7">
        <v>25368.720000000001</v>
      </c>
      <c r="J39" s="7">
        <v>31068.16</v>
      </c>
    </row>
    <row r="40" spans="1:10" ht="16" x14ac:dyDescent="0.35">
      <c r="A40" s="5" t="s">
        <v>105</v>
      </c>
      <c r="B40" s="6" t="s">
        <v>48</v>
      </c>
      <c r="C40" s="5" t="s">
        <v>49</v>
      </c>
      <c r="D40" s="6" t="s">
        <v>20</v>
      </c>
      <c r="E40" s="6" t="s">
        <v>31</v>
      </c>
      <c r="F40" s="7">
        <v>16.489999999999998</v>
      </c>
      <c r="G40" s="7">
        <v>451.82</v>
      </c>
      <c r="H40" s="7">
        <v>553.34</v>
      </c>
      <c r="I40" s="7">
        <v>7450.51</v>
      </c>
      <c r="J40" s="7">
        <v>9124.58</v>
      </c>
    </row>
    <row r="41" spans="1:10" ht="16" x14ac:dyDescent="0.35">
      <c r="A41" s="5" t="s">
        <v>106</v>
      </c>
      <c r="B41" s="6" t="s">
        <v>51</v>
      </c>
      <c r="C41" s="5" t="s">
        <v>52</v>
      </c>
      <c r="D41" s="6" t="s">
        <v>20</v>
      </c>
      <c r="E41" s="6" t="s">
        <v>31</v>
      </c>
      <c r="F41" s="7">
        <v>16.489999999999998</v>
      </c>
      <c r="G41" s="7">
        <v>205.96</v>
      </c>
      <c r="H41" s="7">
        <v>252.24</v>
      </c>
      <c r="I41" s="7">
        <v>3396.28</v>
      </c>
      <c r="J41" s="7">
        <v>4159.4399999999996</v>
      </c>
    </row>
    <row r="42" spans="1:10" ht="16" x14ac:dyDescent="0.35">
      <c r="A42" s="5" t="s">
        <v>107</v>
      </c>
      <c r="B42" s="6" t="s">
        <v>108</v>
      </c>
      <c r="C42" s="5" t="s">
        <v>109</v>
      </c>
      <c r="D42" s="6" t="s">
        <v>20</v>
      </c>
      <c r="E42" s="6" t="s">
        <v>56</v>
      </c>
      <c r="F42" s="7">
        <v>285.3</v>
      </c>
      <c r="G42" s="7">
        <v>13.41</v>
      </c>
      <c r="H42" s="7">
        <v>16.420000000000002</v>
      </c>
      <c r="I42" s="7">
        <v>3825.87</v>
      </c>
      <c r="J42" s="7">
        <v>4684.63</v>
      </c>
    </row>
    <row r="43" spans="1:10" ht="16" x14ac:dyDescent="0.35">
      <c r="A43" s="5" t="s">
        <v>110</v>
      </c>
      <c r="B43" s="6" t="s">
        <v>111</v>
      </c>
      <c r="C43" s="5" t="s">
        <v>112</v>
      </c>
      <c r="D43" s="6" t="s">
        <v>20</v>
      </c>
      <c r="E43" s="6" t="s">
        <v>56</v>
      </c>
      <c r="F43" s="7">
        <v>174.4</v>
      </c>
      <c r="G43" s="7">
        <v>13.02</v>
      </c>
      <c r="H43" s="7">
        <v>15.95</v>
      </c>
      <c r="I43" s="7">
        <v>2270.69</v>
      </c>
      <c r="J43" s="7">
        <v>2781.68</v>
      </c>
    </row>
    <row r="44" spans="1:10" ht="16" x14ac:dyDescent="0.35">
      <c r="A44" s="5" t="s">
        <v>113</v>
      </c>
      <c r="B44" s="6" t="s">
        <v>89</v>
      </c>
      <c r="C44" s="5" t="s">
        <v>90</v>
      </c>
      <c r="D44" s="6" t="s">
        <v>20</v>
      </c>
      <c r="E44" s="6" t="s">
        <v>56</v>
      </c>
      <c r="F44" s="7">
        <v>64.900000000000006</v>
      </c>
      <c r="G44" s="7">
        <v>11.83</v>
      </c>
      <c r="H44" s="7">
        <v>14.49</v>
      </c>
      <c r="I44" s="7">
        <v>767.77</v>
      </c>
      <c r="J44" s="7">
        <v>940.4</v>
      </c>
    </row>
    <row r="45" spans="1:10" ht="16" x14ac:dyDescent="0.35">
      <c r="A45" s="5" t="s">
        <v>114</v>
      </c>
      <c r="B45" s="6" t="s">
        <v>92</v>
      </c>
      <c r="C45" s="5" t="s">
        <v>93</v>
      </c>
      <c r="D45" s="6" t="s">
        <v>20</v>
      </c>
      <c r="E45" s="6" t="s">
        <v>56</v>
      </c>
      <c r="F45" s="7">
        <v>18.7</v>
      </c>
      <c r="G45" s="7">
        <v>10.09</v>
      </c>
      <c r="H45" s="7">
        <v>12.36</v>
      </c>
      <c r="I45" s="7">
        <v>188.68</v>
      </c>
      <c r="J45" s="7">
        <v>231.13</v>
      </c>
    </row>
    <row r="46" spans="1:10" ht="16" x14ac:dyDescent="0.35">
      <c r="A46" s="5" t="s">
        <v>115</v>
      </c>
      <c r="B46" s="6" t="s">
        <v>95</v>
      </c>
      <c r="C46" s="5" t="s">
        <v>96</v>
      </c>
      <c r="D46" s="6" t="s">
        <v>20</v>
      </c>
      <c r="E46" s="6" t="s">
        <v>56</v>
      </c>
      <c r="F46" s="7">
        <v>17.600000000000001</v>
      </c>
      <c r="G46" s="7">
        <v>9.86</v>
      </c>
      <c r="H46" s="7">
        <v>12.08</v>
      </c>
      <c r="I46" s="7">
        <v>173.54</v>
      </c>
      <c r="J46" s="7">
        <v>212.61</v>
      </c>
    </row>
    <row r="47" spans="1:10" ht="16" x14ac:dyDescent="0.35">
      <c r="A47" s="5" t="s">
        <v>116</v>
      </c>
      <c r="B47" s="6" t="s">
        <v>98</v>
      </c>
      <c r="C47" s="5" t="s">
        <v>99</v>
      </c>
      <c r="D47" s="6" t="s">
        <v>20</v>
      </c>
      <c r="E47" s="6" t="s">
        <v>56</v>
      </c>
      <c r="F47" s="7">
        <v>279.60000000000002</v>
      </c>
      <c r="G47" s="7">
        <v>13.6</v>
      </c>
      <c r="H47" s="7">
        <v>16.66</v>
      </c>
      <c r="I47" s="7">
        <v>3802.56</v>
      </c>
      <c r="J47" s="7">
        <v>4658.1400000000003</v>
      </c>
    </row>
    <row r="48" spans="1:10" ht="20.149999999999999" customHeight="1" x14ac:dyDescent="0.35">
      <c r="A48" s="3" t="s">
        <v>117</v>
      </c>
      <c r="B48" s="53" t="s">
        <v>118</v>
      </c>
      <c r="C48" s="53"/>
      <c r="D48" s="53"/>
      <c r="E48" s="53"/>
      <c r="F48" s="53"/>
      <c r="G48" s="53"/>
      <c r="H48" s="53"/>
      <c r="I48" s="4">
        <v>5236.04</v>
      </c>
      <c r="J48" s="4">
        <v>6412.46</v>
      </c>
    </row>
    <row r="49" spans="1:10" x14ac:dyDescent="0.35">
      <c r="A49" s="5" t="s">
        <v>119</v>
      </c>
      <c r="B49" s="6" t="s">
        <v>120</v>
      </c>
      <c r="C49" s="5" t="s">
        <v>121</v>
      </c>
      <c r="D49" s="6" t="s">
        <v>20</v>
      </c>
      <c r="E49" s="6" t="s">
        <v>25</v>
      </c>
      <c r="F49" s="7">
        <v>55.16</v>
      </c>
      <c r="G49" s="7">
        <v>42.21</v>
      </c>
      <c r="H49" s="7">
        <v>51.69</v>
      </c>
      <c r="I49" s="7">
        <v>2328.3000000000002</v>
      </c>
      <c r="J49" s="7">
        <v>2851.22</v>
      </c>
    </row>
    <row r="50" spans="1:10" x14ac:dyDescent="0.35">
      <c r="A50" s="5" t="s">
        <v>122</v>
      </c>
      <c r="B50" s="6" t="s">
        <v>123</v>
      </c>
      <c r="C50" s="5" t="s">
        <v>124</v>
      </c>
      <c r="D50" s="6" t="s">
        <v>20</v>
      </c>
      <c r="E50" s="6" t="s">
        <v>25</v>
      </c>
      <c r="F50" s="7">
        <v>20.16</v>
      </c>
      <c r="G50" s="7">
        <v>31.04</v>
      </c>
      <c r="H50" s="7">
        <v>38.01</v>
      </c>
      <c r="I50" s="7">
        <v>625.77</v>
      </c>
      <c r="J50" s="7">
        <v>766.28</v>
      </c>
    </row>
    <row r="51" spans="1:10" x14ac:dyDescent="0.35">
      <c r="A51" s="5" t="s">
        <v>125</v>
      </c>
      <c r="B51" s="6" t="s">
        <v>126</v>
      </c>
      <c r="C51" s="5" t="s">
        <v>127</v>
      </c>
      <c r="D51" s="6" t="s">
        <v>20</v>
      </c>
      <c r="E51" s="6" t="s">
        <v>25</v>
      </c>
      <c r="F51" s="7">
        <v>55.16</v>
      </c>
      <c r="G51" s="7">
        <v>41.37</v>
      </c>
      <c r="H51" s="7">
        <v>50.67</v>
      </c>
      <c r="I51" s="7">
        <v>2281.9699999999998</v>
      </c>
      <c r="J51" s="7">
        <v>2794.96</v>
      </c>
    </row>
    <row r="52" spans="1:10" ht="20.149999999999999" customHeight="1" x14ac:dyDescent="0.35">
      <c r="A52" s="3" t="s">
        <v>128</v>
      </c>
      <c r="B52" s="53" t="s">
        <v>129</v>
      </c>
      <c r="C52" s="53"/>
      <c r="D52" s="53"/>
      <c r="E52" s="53"/>
      <c r="F52" s="53"/>
      <c r="G52" s="53"/>
      <c r="H52" s="53"/>
      <c r="I52" s="4">
        <v>88756.13</v>
      </c>
      <c r="J52" s="4">
        <v>108703.47</v>
      </c>
    </row>
    <row r="53" spans="1:10" ht="16" x14ac:dyDescent="0.35">
      <c r="A53" s="5" t="s">
        <v>130</v>
      </c>
      <c r="B53" s="6" t="s">
        <v>131</v>
      </c>
      <c r="C53" s="5" t="s">
        <v>132</v>
      </c>
      <c r="D53" s="6" t="s">
        <v>20</v>
      </c>
      <c r="E53" s="6" t="s">
        <v>21</v>
      </c>
      <c r="F53" s="7">
        <v>395.11</v>
      </c>
      <c r="G53" s="7">
        <v>149.19</v>
      </c>
      <c r="H53" s="7">
        <v>182.71</v>
      </c>
      <c r="I53" s="7">
        <v>58946.46</v>
      </c>
      <c r="J53" s="7">
        <v>72190.55</v>
      </c>
    </row>
    <row r="54" spans="1:10" x14ac:dyDescent="0.35">
      <c r="A54" s="5" t="s">
        <v>133</v>
      </c>
      <c r="B54" s="6" t="s">
        <v>103</v>
      </c>
      <c r="C54" s="5" t="s">
        <v>104</v>
      </c>
      <c r="D54" s="6" t="s">
        <v>20</v>
      </c>
      <c r="E54" s="6" t="s">
        <v>21</v>
      </c>
      <c r="F54" s="7">
        <v>54.1</v>
      </c>
      <c r="G54" s="7">
        <v>96.01</v>
      </c>
      <c r="H54" s="7">
        <v>117.58</v>
      </c>
      <c r="I54" s="7">
        <v>5194.1400000000003</v>
      </c>
      <c r="J54" s="7">
        <v>6361.08</v>
      </c>
    </row>
    <row r="55" spans="1:10" ht="16" x14ac:dyDescent="0.35">
      <c r="A55" s="5" t="s">
        <v>134</v>
      </c>
      <c r="B55" s="6" t="s">
        <v>48</v>
      </c>
      <c r="C55" s="5" t="s">
        <v>49</v>
      </c>
      <c r="D55" s="6" t="s">
        <v>20</v>
      </c>
      <c r="E55" s="6" t="s">
        <v>31</v>
      </c>
      <c r="F55" s="7">
        <v>11.19</v>
      </c>
      <c r="G55" s="7">
        <v>451.82</v>
      </c>
      <c r="H55" s="7">
        <v>553.34</v>
      </c>
      <c r="I55" s="7">
        <v>5055.87</v>
      </c>
      <c r="J55" s="7">
        <v>6191.87</v>
      </c>
    </row>
    <row r="56" spans="1:10" ht="16" x14ac:dyDescent="0.35">
      <c r="A56" s="5" t="s">
        <v>135</v>
      </c>
      <c r="B56" s="6" t="s">
        <v>51</v>
      </c>
      <c r="C56" s="5" t="s">
        <v>52</v>
      </c>
      <c r="D56" s="6" t="s">
        <v>20</v>
      </c>
      <c r="E56" s="6" t="s">
        <v>31</v>
      </c>
      <c r="F56" s="7">
        <v>11.19</v>
      </c>
      <c r="G56" s="7">
        <v>205.96</v>
      </c>
      <c r="H56" s="7">
        <v>252.24</v>
      </c>
      <c r="I56" s="7">
        <v>2304.69</v>
      </c>
      <c r="J56" s="7">
        <v>2822.57</v>
      </c>
    </row>
    <row r="57" spans="1:10" ht="16" x14ac:dyDescent="0.35">
      <c r="A57" s="5" t="s">
        <v>136</v>
      </c>
      <c r="B57" s="6" t="s">
        <v>111</v>
      </c>
      <c r="C57" s="5" t="s">
        <v>112</v>
      </c>
      <c r="D57" s="6" t="s">
        <v>20</v>
      </c>
      <c r="E57" s="6" t="s">
        <v>56</v>
      </c>
      <c r="F57" s="7">
        <v>486.6</v>
      </c>
      <c r="G57" s="7">
        <v>13.02</v>
      </c>
      <c r="H57" s="7">
        <v>15.95</v>
      </c>
      <c r="I57" s="7">
        <v>6335.53</v>
      </c>
      <c r="J57" s="7">
        <v>7761.27</v>
      </c>
    </row>
    <row r="58" spans="1:10" ht="16" x14ac:dyDescent="0.35">
      <c r="A58" s="5" t="s">
        <v>137</v>
      </c>
      <c r="B58" s="6" t="s">
        <v>89</v>
      </c>
      <c r="C58" s="5" t="s">
        <v>90</v>
      </c>
      <c r="D58" s="6" t="s">
        <v>20</v>
      </c>
      <c r="E58" s="6" t="s">
        <v>56</v>
      </c>
      <c r="F58" s="7">
        <v>104.5</v>
      </c>
      <c r="G58" s="7">
        <v>11.83</v>
      </c>
      <c r="H58" s="7">
        <v>14.49</v>
      </c>
      <c r="I58" s="7">
        <v>1236.24</v>
      </c>
      <c r="J58" s="7">
        <v>1514.21</v>
      </c>
    </row>
    <row r="59" spans="1:10" ht="16" x14ac:dyDescent="0.35">
      <c r="A59" s="5" t="s">
        <v>138</v>
      </c>
      <c r="B59" s="6" t="s">
        <v>98</v>
      </c>
      <c r="C59" s="5" t="s">
        <v>99</v>
      </c>
      <c r="D59" s="6" t="s">
        <v>20</v>
      </c>
      <c r="E59" s="6" t="s">
        <v>56</v>
      </c>
      <c r="F59" s="7">
        <v>712</v>
      </c>
      <c r="G59" s="7">
        <v>13.6</v>
      </c>
      <c r="H59" s="7">
        <v>16.66</v>
      </c>
      <c r="I59" s="7">
        <v>9683.2000000000007</v>
      </c>
      <c r="J59" s="7">
        <v>11861.92</v>
      </c>
    </row>
    <row r="60" spans="1:10" ht="20.149999999999999" customHeight="1" x14ac:dyDescent="0.35">
      <c r="A60" s="3" t="s">
        <v>139</v>
      </c>
      <c r="B60" s="53" t="s">
        <v>140</v>
      </c>
      <c r="C60" s="53"/>
      <c r="D60" s="53"/>
      <c r="E60" s="53"/>
      <c r="F60" s="53"/>
      <c r="G60" s="53"/>
      <c r="H60" s="53"/>
      <c r="I60" s="4">
        <v>5794.92</v>
      </c>
      <c r="J60" s="4">
        <v>7097.13</v>
      </c>
    </row>
    <row r="61" spans="1:10" ht="16" x14ac:dyDescent="0.35">
      <c r="A61" s="5" t="s">
        <v>141</v>
      </c>
      <c r="B61" s="6" t="s">
        <v>142</v>
      </c>
      <c r="C61" s="5" t="s">
        <v>143</v>
      </c>
      <c r="D61" s="6" t="s">
        <v>20</v>
      </c>
      <c r="E61" s="6" t="s">
        <v>21</v>
      </c>
      <c r="F61" s="7">
        <v>31.87</v>
      </c>
      <c r="G61" s="7">
        <v>181.83</v>
      </c>
      <c r="H61" s="7">
        <v>222.69</v>
      </c>
      <c r="I61" s="7">
        <v>5794.92</v>
      </c>
      <c r="J61" s="7">
        <v>7097.13</v>
      </c>
    </row>
    <row r="62" spans="1:10" ht="20.149999999999999" customHeight="1" x14ac:dyDescent="0.35">
      <c r="A62" s="3" t="s">
        <v>144</v>
      </c>
      <c r="B62" s="53" t="s">
        <v>145</v>
      </c>
      <c r="C62" s="53"/>
      <c r="D62" s="53"/>
      <c r="E62" s="53"/>
      <c r="F62" s="53"/>
      <c r="G62" s="53"/>
      <c r="H62" s="53"/>
      <c r="I62" s="4">
        <v>67716.740000000005</v>
      </c>
      <c r="J62" s="4">
        <v>82930.570000000007</v>
      </c>
    </row>
    <row r="63" spans="1:10" ht="16" x14ac:dyDescent="0.35">
      <c r="A63" s="5" t="s">
        <v>146</v>
      </c>
      <c r="B63" s="6" t="s">
        <v>147</v>
      </c>
      <c r="C63" s="5" t="s">
        <v>148</v>
      </c>
      <c r="D63" s="6" t="s">
        <v>20</v>
      </c>
      <c r="E63" s="6" t="s">
        <v>21</v>
      </c>
      <c r="F63" s="7">
        <v>656.2</v>
      </c>
      <c r="G63" s="7">
        <v>68.55</v>
      </c>
      <c r="H63" s="7">
        <v>83.95</v>
      </c>
      <c r="I63" s="7">
        <v>44982.51</v>
      </c>
      <c r="J63" s="7">
        <v>55087.99</v>
      </c>
    </row>
    <row r="64" spans="1:10" ht="16" x14ac:dyDescent="0.35">
      <c r="A64" s="5" t="s">
        <v>149</v>
      </c>
      <c r="B64" s="6" t="s">
        <v>150</v>
      </c>
      <c r="C64" s="5" t="s">
        <v>151</v>
      </c>
      <c r="D64" s="6" t="s">
        <v>20</v>
      </c>
      <c r="E64" s="6" t="s">
        <v>21</v>
      </c>
      <c r="F64" s="7">
        <v>21.03</v>
      </c>
      <c r="G64" s="7">
        <v>561.25</v>
      </c>
      <c r="H64" s="7">
        <v>687.36</v>
      </c>
      <c r="I64" s="7">
        <v>11803.09</v>
      </c>
      <c r="J64" s="7">
        <v>14455.18</v>
      </c>
    </row>
    <row r="65" spans="1:10" ht="16" x14ac:dyDescent="0.35">
      <c r="A65" s="5" t="s">
        <v>152</v>
      </c>
      <c r="B65" s="6" t="s">
        <v>153</v>
      </c>
      <c r="C65" s="5" t="s">
        <v>154</v>
      </c>
      <c r="D65" s="6"/>
      <c r="E65" s="6" t="s">
        <v>25</v>
      </c>
      <c r="F65" s="7">
        <v>21.76</v>
      </c>
      <c r="G65" s="7">
        <v>502.35</v>
      </c>
      <c r="H65" s="7">
        <v>615.23</v>
      </c>
      <c r="I65" s="7">
        <v>10931.14</v>
      </c>
      <c r="J65" s="7">
        <v>13387.4</v>
      </c>
    </row>
    <row r="66" spans="1:10" ht="20.149999999999999" customHeight="1" x14ac:dyDescent="0.35">
      <c r="A66" s="3" t="s">
        <v>155</v>
      </c>
      <c r="B66" s="53" t="s">
        <v>156</v>
      </c>
      <c r="C66" s="53"/>
      <c r="D66" s="53"/>
      <c r="E66" s="53"/>
      <c r="F66" s="53"/>
      <c r="G66" s="53"/>
      <c r="H66" s="53"/>
      <c r="I66" s="4">
        <v>23101.56</v>
      </c>
      <c r="J66" s="4">
        <v>28292.49</v>
      </c>
    </row>
    <row r="67" spans="1:10" ht="24" x14ac:dyDescent="0.35">
      <c r="A67" s="5" t="s">
        <v>157</v>
      </c>
      <c r="B67" s="6" t="s">
        <v>158</v>
      </c>
      <c r="C67" s="5" t="s">
        <v>159</v>
      </c>
      <c r="D67" s="6" t="s">
        <v>20</v>
      </c>
      <c r="E67" s="6" t="s">
        <v>160</v>
      </c>
      <c r="F67" s="7">
        <v>8</v>
      </c>
      <c r="G67" s="7">
        <v>864.7</v>
      </c>
      <c r="H67" s="7">
        <v>1059</v>
      </c>
      <c r="I67" s="7">
        <v>6917.6</v>
      </c>
      <c r="J67" s="7">
        <v>8472</v>
      </c>
    </row>
    <row r="68" spans="1:10" ht="24" x14ac:dyDescent="0.35">
      <c r="A68" s="5" t="s">
        <v>161</v>
      </c>
      <c r="B68" s="6" t="s">
        <v>162</v>
      </c>
      <c r="C68" s="5" t="s">
        <v>163</v>
      </c>
      <c r="D68" s="6" t="s">
        <v>20</v>
      </c>
      <c r="E68" s="6" t="s">
        <v>160</v>
      </c>
      <c r="F68" s="7">
        <v>9</v>
      </c>
      <c r="G68" s="7">
        <v>837.44</v>
      </c>
      <c r="H68" s="7">
        <v>1025.6099999999999</v>
      </c>
      <c r="I68" s="7">
        <v>7536.96</v>
      </c>
      <c r="J68" s="7">
        <v>9230.49</v>
      </c>
    </row>
    <row r="69" spans="1:10" ht="24" x14ac:dyDescent="0.35">
      <c r="A69" s="5" t="s">
        <v>164</v>
      </c>
      <c r="B69" s="6" t="s">
        <v>158</v>
      </c>
      <c r="C69" s="5" t="s">
        <v>159</v>
      </c>
      <c r="D69" s="6" t="s">
        <v>20</v>
      </c>
      <c r="E69" s="6" t="s">
        <v>160</v>
      </c>
      <c r="F69" s="7">
        <v>10</v>
      </c>
      <c r="G69" s="7">
        <v>864.7</v>
      </c>
      <c r="H69" s="7">
        <v>1059</v>
      </c>
      <c r="I69" s="7">
        <v>8647</v>
      </c>
      <c r="J69" s="7">
        <v>10590</v>
      </c>
    </row>
    <row r="70" spans="1:10" ht="20.149999999999999" customHeight="1" x14ac:dyDescent="0.35">
      <c r="A70" s="3" t="s">
        <v>165</v>
      </c>
      <c r="B70" s="53" t="s">
        <v>166</v>
      </c>
      <c r="C70" s="53"/>
      <c r="D70" s="53"/>
      <c r="E70" s="53"/>
      <c r="F70" s="53"/>
      <c r="G70" s="53"/>
      <c r="H70" s="53"/>
      <c r="I70" s="4">
        <v>1481.28</v>
      </c>
      <c r="J70" s="4">
        <v>1814.12</v>
      </c>
    </row>
    <row r="71" spans="1:10" ht="16" x14ac:dyDescent="0.35">
      <c r="A71" s="5" t="s">
        <v>167</v>
      </c>
      <c r="B71" s="6" t="s">
        <v>168</v>
      </c>
      <c r="C71" s="5" t="s">
        <v>169</v>
      </c>
      <c r="D71" s="6" t="s">
        <v>20</v>
      </c>
      <c r="E71" s="6" t="s">
        <v>160</v>
      </c>
      <c r="F71" s="7">
        <v>2</v>
      </c>
      <c r="G71" s="7">
        <v>740.64</v>
      </c>
      <c r="H71" s="7">
        <v>907.06</v>
      </c>
      <c r="I71" s="7">
        <v>1481.28</v>
      </c>
      <c r="J71" s="7">
        <v>1814.12</v>
      </c>
    </row>
    <row r="72" spans="1:10" ht="20.149999999999999" customHeight="1" x14ac:dyDescent="0.35">
      <c r="A72" s="3" t="s">
        <v>170</v>
      </c>
      <c r="B72" s="53" t="s">
        <v>171</v>
      </c>
      <c r="C72" s="53"/>
      <c r="D72" s="53"/>
      <c r="E72" s="53"/>
      <c r="F72" s="53"/>
      <c r="G72" s="53"/>
      <c r="H72" s="53"/>
      <c r="I72" s="4">
        <v>31412.61</v>
      </c>
      <c r="J72" s="4">
        <v>38470.97</v>
      </c>
    </row>
    <row r="73" spans="1:10" ht="16" x14ac:dyDescent="0.35">
      <c r="A73" s="5" t="s">
        <v>172</v>
      </c>
      <c r="B73" s="6" t="s">
        <v>173</v>
      </c>
      <c r="C73" s="5" t="s">
        <v>174</v>
      </c>
      <c r="D73" s="6" t="s">
        <v>20</v>
      </c>
      <c r="E73" s="6" t="s">
        <v>21</v>
      </c>
      <c r="F73" s="7">
        <v>2.46</v>
      </c>
      <c r="G73" s="7">
        <v>757.34</v>
      </c>
      <c r="H73" s="7">
        <v>927.51</v>
      </c>
      <c r="I73" s="7">
        <v>1863.06</v>
      </c>
      <c r="J73" s="7">
        <v>2281.67</v>
      </c>
    </row>
    <row r="74" spans="1:10" ht="16" x14ac:dyDescent="0.35">
      <c r="A74" s="5" t="s">
        <v>175</v>
      </c>
      <c r="B74" s="6" t="s">
        <v>173</v>
      </c>
      <c r="C74" s="5" t="s">
        <v>174</v>
      </c>
      <c r="D74" s="6" t="s">
        <v>20</v>
      </c>
      <c r="E74" s="6" t="s">
        <v>21</v>
      </c>
      <c r="F74" s="7">
        <v>1.1200000000000001</v>
      </c>
      <c r="G74" s="7">
        <v>757.34</v>
      </c>
      <c r="H74" s="7">
        <v>927.51</v>
      </c>
      <c r="I74" s="7">
        <v>848.22</v>
      </c>
      <c r="J74" s="7">
        <v>1038.81</v>
      </c>
    </row>
    <row r="75" spans="1:10" ht="16" x14ac:dyDescent="0.35">
      <c r="A75" s="5" t="s">
        <v>176</v>
      </c>
      <c r="B75" s="6" t="s">
        <v>173</v>
      </c>
      <c r="C75" s="5" t="s">
        <v>174</v>
      </c>
      <c r="D75" s="6" t="s">
        <v>20</v>
      </c>
      <c r="E75" s="6" t="s">
        <v>21</v>
      </c>
      <c r="F75" s="7">
        <v>8.0500000000000007</v>
      </c>
      <c r="G75" s="7">
        <v>757.34</v>
      </c>
      <c r="H75" s="7">
        <v>927.51</v>
      </c>
      <c r="I75" s="7">
        <v>6096.59</v>
      </c>
      <c r="J75" s="7">
        <v>7466.46</v>
      </c>
    </row>
    <row r="76" spans="1:10" ht="16" x14ac:dyDescent="0.35">
      <c r="A76" s="5" t="s">
        <v>177</v>
      </c>
      <c r="B76" s="6" t="s">
        <v>178</v>
      </c>
      <c r="C76" s="5" t="s">
        <v>179</v>
      </c>
      <c r="D76" s="6" t="s">
        <v>20</v>
      </c>
      <c r="E76" s="6" t="s">
        <v>21</v>
      </c>
      <c r="F76" s="7">
        <v>1.34</v>
      </c>
      <c r="G76" s="7">
        <v>749.27</v>
      </c>
      <c r="H76" s="7">
        <v>917.63</v>
      </c>
      <c r="I76" s="7">
        <v>1004.02</v>
      </c>
      <c r="J76" s="7">
        <v>1229.6199999999999</v>
      </c>
    </row>
    <row r="77" spans="1:10" ht="16" x14ac:dyDescent="0.35">
      <c r="A77" s="5" t="s">
        <v>180</v>
      </c>
      <c r="B77" s="6" t="s">
        <v>178</v>
      </c>
      <c r="C77" s="5" t="s">
        <v>179</v>
      </c>
      <c r="D77" s="6" t="s">
        <v>20</v>
      </c>
      <c r="E77" s="6" t="s">
        <v>21</v>
      </c>
      <c r="F77" s="7">
        <v>21.48</v>
      </c>
      <c r="G77" s="7">
        <v>749.27</v>
      </c>
      <c r="H77" s="7">
        <v>917.63</v>
      </c>
      <c r="I77" s="7">
        <v>16094.32</v>
      </c>
      <c r="J77" s="7">
        <v>19710.689999999999</v>
      </c>
    </row>
    <row r="78" spans="1:10" ht="24" x14ac:dyDescent="0.35">
      <c r="A78" s="5" t="s">
        <v>181</v>
      </c>
      <c r="B78" s="6" t="s">
        <v>182</v>
      </c>
      <c r="C78" s="5" t="s">
        <v>183</v>
      </c>
      <c r="D78" s="6" t="s">
        <v>20</v>
      </c>
      <c r="E78" s="6" t="s">
        <v>21</v>
      </c>
      <c r="F78" s="7">
        <v>7.16</v>
      </c>
      <c r="G78" s="7">
        <v>769.05</v>
      </c>
      <c r="H78" s="7">
        <v>941.86</v>
      </c>
      <c r="I78" s="7">
        <v>5506.4</v>
      </c>
      <c r="J78" s="7">
        <v>6743.72</v>
      </c>
    </row>
    <row r="79" spans="1:10" ht="20.149999999999999" customHeight="1" x14ac:dyDescent="0.35">
      <c r="A79" s="3" t="s">
        <v>184</v>
      </c>
      <c r="B79" s="53" t="s">
        <v>185</v>
      </c>
      <c r="C79" s="53"/>
      <c r="D79" s="53"/>
      <c r="E79" s="53"/>
      <c r="F79" s="53"/>
      <c r="G79" s="53"/>
      <c r="H79" s="53"/>
      <c r="I79" s="4">
        <v>18069.54</v>
      </c>
      <c r="J79" s="4">
        <v>22129.02</v>
      </c>
    </row>
    <row r="80" spans="1:10" ht="16" x14ac:dyDescent="0.35">
      <c r="A80" s="5" t="s">
        <v>186</v>
      </c>
      <c r="B80" s="6" t="s">
        <v>187</v>
      </c>
      <c r="C80" s="5" t="s">
        <v>188</v>
      </c>
      <c r="D80" s="6" t="s">
        <v>20</v>
      </c>
      <c r="E80" s="6" t="s">
        <v>21</v>
      </c>
      <c r="F80" s="7">
        <v>390.67</v>
      </c>
      <c r="G80" s="7">
        <v>39.479999999999997</v>
      </c>
      <c r="H80" s="7">
        <v>48.35</v>
      </c>
      <c r="I80" s="7">
        <v>15423.65</v>
      </c>
      <c r="J80" s="7">
        <v>18888.89</v>
      </c>
    </row>
    <row r="81" spans="1:10" ht="16" x14ac:dyDescent="0.35">
      <c r="A81" s="5" t="s">
        <v>189</v>
      </c>
      <c r="B81" s="6" t="s">
        <v>190</v>
      </c>
      <c r="C81" s="5" t="s">
        <v>191</v>
      </c>
      <c r="D81" s="6" t="s">
        <v>20</v>
      </c>
      <c r="E81" s="6" t="s">
        <v>25</v>
      </c>
      <c r="F81" s="7">
        <v>102.05</v>
      </c>
      <c r="G81" s="7">
        <v>23.6</v>
      </c>
      <c r="H81" s="7">
        <v>28.9</v>
      </c>
      <c r="I81" s="7">
        <v>2408.38</v>
      </c>
      <c r="J81" s="7">
        <v>2949.25</v>
      </c>
    </row>
    <row r="82" spans="1:10" ht="16" x14ac:dyDescent="0.35">
      <c r="A82" s="5" t="s">
        <v>192</v>
      </c>
      <c r="B82" s="6" t="s">
        <v>193</v>
      </c>
      <c r="C82" s="5" t="s">
        <v>194</v>
      </c>
      <c r="D82" s="6" t="s">
        <v>20</v>
      </c>
      <c r="E82" s="6" t="s">
        <v>25</v>
      </c>
      <c r="F82" s="7">
        <v>4.04</v>
      </c>
      <c r="G82" s="7">
        <v>58.79</v>
      </c>
      <c r="H82" s="7">
        <v>72</v>
      </c>
      <c r="I82" s="7">
        <v>237.51</v>
      </c>
      <c r="J82" s="7">
        <v>290.88</v>
      </c>
    </row>
    <row r="83" spans="1:10" ht="20.149999999999999" customHeight="1" x14ac:dyDescent="0.35">
      <c r="A83" s="3" t="s">
        <v>195</v>
      </c>
      <c r="B83" s="53" t="s">
        <v>196</v>
      </c>
      <c r="C83" s="53"/>
      <c r="D83" s="53"/>
      <c r="E83" s="53"/>
      <c r="F83" s="53"/>
      <c r="G83" s="53"/>
      <c r="H83" s="53"/>
      <c r="I83" s="4">
        <v>38022.5</v>
      </c>
      <c r="J83" s="4">
        <v>46563.02</v>
      </c>
    </row>
    <row r="84" spans="1:10" ht="16" x14ac:dyDescent="0.35">
      <c r="A84" s="5" t="s">
        <v>197</v>
      </c>
      <c r="B84" s="6" t="s">
        <v>198</v>
      </c>
      <c r="C84" s="5" t="s">
        <v>199</v>
      </c>
      <c r="D84" s="6" t="s">
        <v>20</v>
      </c>
      <c r="E84" s="6" t="s">
        <v>21</v>
      </c>
      <c r="F84" s="7">
        <v>92.29</v>
      </c>
      <c r="G84" s="7">
        <v>100.02</v>
      </c>
      <c r="H84" s="7">
        <v>122.49</v>
      </c>
      <c r="I84" s="7">
        <v>9230.85</v>
      </c>
      <c r="J84" s="7">
        <v>11304.6</v>
      </c>
    </row>
    <row r="85" spans="1:10" x14ac:dyDescent="0.35">
      <c r="A85" s="5" t="s">
        <v>200</v>
      </c>
      <c r="B85" s="6" t="s">
        <v>201</v>
      </c>
      <c r="C85" s="5" t="s">
        <v>202</v>
      </c>
      <c r="D85" s="6" t="s">
        <v>20</v>
      </c>
      <c r="E85" s="6" t="s">
        <v>21</v>
      </c>
      <c r="F85" s="7">
        <v>630.29</v>
      </c>
      <c r="G85" s="7">
        <v>45.68</v>
      </c>
      <c r="H85" s="7">
        <v>55.94</v>
      </c>
      <c r="I85" s="7">
        <v>28791.65</v>
      </c>
      <c r="J85" s="7">
        <v>35258.42</v>
      </c>
    </row>
    <row r="86" spans="1:10" ht="20.149999999999999" customHeight="1" x14ac:dyDescent="0.35">
      <c r="A86" s="3" t="s">
        <v>203</v>
      </c>
      <c r="B86" s="53" t="s">
        <v>204</v>
      </c>
      <c r="C86" s="53"/>
      <c r="D86" s="53"/>
      <c r="E86" s="53"/>
      <c r="F86" s="53"/>
      <c r="G86" s="53"/>
      <c r="H86" s="53"/>
      <c r="I86" s="4">
        <v>80042.11</v>
      </c>
      <c r="J86" s="4">
        <v>98030.42</v>
      </c>
    </row>
    <row r="87" spans="1:10" ht="16" x14ac:dyDescent="0.35">
      <c r="A87" s="5" t="s">
        <v>205</v>
      </c>
      <c r="B87" s="6" t="s">
        <v>206</v>
      </c>
      <c r="C87" s="5" t="s">
        <v>207</v>
      </c>
      <c r="D87" s="6" t="s">
        <v>20</v>
      </c>
      <c r="E87" s="6" t="s">
        <v>21</v>
      </c>
      <c r="F87" s="7">
        <v>757.22</v>
      </c>
      <c r="G87" s="7">
        <v>3.38</v>
      </c>
      <c r="H87" s="7">
        <v>4.1399999999999997</v>
      </c>
      <c r="I87" s="7">
        <v>2559.4</v>
      </c>
      <c r="J87" s="7">
        <v>3134.89</v>
      </c>
    </row>
    <row r="88" spans="1:10" ht="16" x14ac:dyDescent="0.35">
      <c r="A88" s="5" t="s">
        <v>208</v>
      </c>
      <c r="B88" s="6" t="s">
        <v>209</v>
      </c>
      <c r="C88" s="5" t="s">
        <v>210</v>
      </c>
      <c r="D88" s="6" t="s">
        <v>20</v>
      </c>
      <c r="E88" s="6" t="s">
        <v>21</v>
      </c>
      <c r="F88" s="7">
        <v>378.61</v>
      </c>
      <c r="G88" s="7">
        <v>5.07</v>
      </c>
      <c r="H88" s="7">
        <v>6.21</v>
      </c>
      <c r="I88" s="7">
        <v>1919.55</v>
      </c>
      <c r="J88" s="7">
        <v>2351.17</v>
      </c>
    </row>
    <row r="89" spans="1:10" ht="16" x14ac:dyDescent="0.35">
      <c r="A89" s="5" t="s">
        <v>211</v>
      </c>
      <c r="B89" s="6" t="s">
        <v>212</v>
      </c>
      <c r="C89" s="5" t="s">
        <v>213</v>
      </c>
      <c r="D89" s="6" t="s">
        <v>20</v>
      </c>
      <c r="E89" s="6" t="s">
        <v>21</v>
      </c>
      <c r="F89" s="7">
        <v>394</v>
      </c>
      <c r="G89" s="7">
        <v>3.73</v>
      </c>
      <c r="H89" s="7">
        <v>4.57</v>
      </c>
      <c r="I89" s="7">
        <v>1469.62</v>
      </c>
      <c r="J89" s="7">
        <v>1800.58</v>
      </c>
    </row>
    <row r="90" spans="1:10" ht="24" x14ac:dyDescent="0.35">
      <c r="A90" s="5" t="s">
        <v>214</v>
      </c>
      <c r="B90" s="6" t="s">
        <v>215</v>
      </c>
      <c r="C90" s="5" t="s">
        <v>216</v>
      </c>
      <c r="D90" s="6" t="s">
        <v>20</v>
      </c>
      <c r="E90" s="6" t="s">
        <v>21</v>
      </c>
      <c r="F90" s="7">
        <v>470.96</v>
      </c>
      <c r="G90" s="7">
        <v>25.45</v>
      </c>
      <c r="H90" s="7">
        <v>31.17</v>
      </c>
      <c r="I90" s="7">
        <v>11985.93</v>
      </c>
      <c r="J90" s="7">
        <v>14679.82</v>
      </c>
    </row>
    <row r="91" spans="1:10" ht="24" x14ac:dyDescent="0.35">
      <c r="A91" s="5" t="s">
        <v>217</v>
      </c>
      <c r="B91" s="6" t="s">
        <v>218</v>
      </c>
      <c r="C91" s="5" t="s">
        <v>219</v>
      </c>
      <c r="D91" s="6" t="s">
        <v>20</v>
      </c>
      <c r="E91" s="6" t="s">
        <v>21</v>
      </c>
      <c r="F91" s="7">
        <v>286.27</v>
      </c>
      <c r="G91" s="7">
        <v>29.11</v>
      </c>
      <c r="H91" s="7">
        <v>35.65</v>
      </c>
      <c r="I91" s="7">
        <v>8333.32</v>
      </c>
      <c r="J91" s="7">
        <v>10205.530000000001</v>
      </c>
    </row>
    <row r="92" spans="1:10" ht="24" x14ac:dyDescent="0.35">
      <c r="A92" s="5" t="s">
        <v>220</v>
      </c>
      <c r="B92" s="6" t="s">
        <v>221</v>
      </c>
      <c r="C92" s="5" t="s">
        <v>222</v>
      </c>
      <c r="D92" s="6" t="s">
        <v>20</v>
      </c>
      <c r="E92" s="6" t="s">
        <v>21</v>
      </c>
      <c r="F92" s="7">
        <v>394</v>
      </c>
      <c r="G92" s="7">
        <v>36.99</v>
      </c>
      <c r="H92" s="7">
        <v>45.3</v>
      </c>
      <c r="I92" s="7">
        <v>14574.06</v>
      </c>
      <c r="J92" s="7">
        <v>17848.2</v>
      </c>
    </row>
    <row r="93" spans="1:10" ht="16" x14ac:dyDescent="0.35">
      <c r="A93" s="5" t="s">
        <v>223</v>
      </c>
      <c r="B93" s="6" t="s">
        <v>224</v>
      </c>
      <c r="C93" s="5" t="s">
        <v>225</v>
      </c>
      <c r="D93" s="6" t="s">
        <v>226</v>
      </c>
      <c r="E93" s="6" t="s">
        <v>227</v>
      </c>
      <c r="F93" s="7">
        <v>171.54</v>
      </c>
      <c r="G93" s="7">
        <v>106.3</v>
      </c>
      <c r="H93" s="7">
        <v>130.19</v>
      </c>
      <c r="I93" s="7">
        <v>18234.7</v>
      </c>
      <c r="J93" s="7">
        <v>22332.79</v>
      </c>
    </row>
    <row r="94" spans="1:10" ht="16" x14ac:dyDescent="0.35">
      <c r="A94" s="5" t="s">
        <v>228</v>
      </c>
      <c r="B94" s="6" t="s">
        <v>229</v>
      </c>
      <c r="C94" s="5" t="s">
        <v>230</v>
      </c>
      <c r="D94" s="6" t="s">
        <v>20</v>
      </c>
      <c r="E94" s="6" t="s">
        <v>21</v>
      </c>
      <c r="F94" s="7">
        <v>273.63</v>
      </c>
      <c r="G94" s="7">
        <v>76.62</v>
      </c>
      <c r="H94" s="7">
        <v>93.84</v>
      </c>
      <c r="I94" s="7">
        <v>20965.53</v>
      </c>
      <c r="J94" s="7">
        <v>25677.439999999999</v>
      </c>
    </row>
    <row r="95" spans="1:10" ht="20.149999999999999" customHeight="1" x14ac:dyDescent="0.35">
      <c r="A95" s="3" t="s">
        <v>231</v>
      </c>
      <c r="B95" s="53" t="s">
        <v>232</v>
      </c>
      <c r="C95" s="53"/>
      <c r="D95" s="53"/>
      <c r="E95" s="53"/>
      <c r="F95" s="53"/>
      <c r="G95" s="53"/>
      <c r="H95" s="53"/>
      <c r="I95" s="4">
        <v>83441.86</v>
      </c>
      <c r="J95" s="4">
        <v>102188.04</v>
      </c>
    </row>
    <row r="96" spans="1:10" ht="16" x14ac:dyDescent="0.35">
      <c r="A96" s="5" t="s">
        <v>233</v>
      </c>
      <c r="B96" s="6" t="s">
        <v>234</v>
      </c>
      <c r="C96" s="5" t="s">
        <v>235</v>
      </c>
      <c r="D96" s="6" t="s">
        <v>20</v>
      </c>
      <c r="E96" s="6" t="s">
        <v>21</v>
      </c>
      <c r="F96" s="7">
        <v>413.25</v>
      </c>
      <c r="G96" s="7">
        <v>39.17</v>
      </c>
      <c r="H96" s="7">
        <v>47.97</v>
      </c>
      <c r="I96" s="7">
        <v>16187</v>
      </c>
      <c r="J96" s="7">
        <v>19823.599999999999</v>
      </c>
    </row>
    <row r="97" spans="1:10" ht="16" x14ac:dyDescent="0.35">
      <c r="A97" s="5" t="s">
        <v>236</v>
      </c>
      <c r="B97" s="6" t="s">
        <v>237</v>
      </c>
      <c r="C97" s="5" t="s">
        <v>238</v>
      </c>
      <c r="D97" s="6" t="s">
        <v>20</v>
      </c>
      <c r="E97" s="6" t="s">
        <v>21</v>
      </c>
      <c r="F97" s="7">
        <v>413.25</v>
      </c>
      <c r="G97" s="7">
        <v>43.63</v>
      </c>
      <c r="H97" s="7">
        <v>53.43</v>
      </c>
      <c r="I97" s="7">
        <v>18030.099999999999</v>
      </c>
      <c r="J97" s="7">
        <v>22079.95</v>
      </c>
    </row>
    <row r="98" spans="1:10" x14ac:dyDescent="0.35">
      <c r="A98" s="5" t="s">
        <v>239</v>
      </c>
      <c r="B98" s="6" t="s">
        <v>240</v>
      </c>
      <c r="C98" s="5" t="s">
        <v>241</v>
      </c>
      <c r="D98" s="6" t="s">
        <v>226</v>
      </c>
      <c r="E98" s="6" t="s">
        <v>227</v>
      </c>
      <c r="F98" s="7">
        <v>413.25</v>
      </c>
      <c r="G98" s="7">
        <v>20.97</v>
      </c>
      <c r="H98" s="7">
        <v>25.68</v>
      </c>
      <c r="I98" s="7">
        <v>8665.85</v>
      </c>
      <c r="J98" s="7">
        <v>10612.26</v>
      </c>
    </row>
    <row r="99" spans="1:10" x14ac:dyDescent="0.35">
      <c r="A99" s="5" t="s">
        <v>242</v>
      </c>
      <c r="B99" s="6" t="s">
        <v>243</v>
      </c>
      <c r="C99" s="5" t="s">
        <v>244</v>
      </c>
      <c r="D99" s="6" t="s">
        <v>20</v>
      </c>
      <c r="E99" s="6" t="s">
        <v>25</v>
      </c>
      <c r="F99" s="7">
        <v>296.33</v>
      </c>
      <c r="G99" s="7">
        <v>51.31</v>
      </c>
      <c r="H99" s="7">
        <v>62.84</v>
      </c>
      <c r="I99" s="7">
        <v>15204.69</v>
      </c>
      <c r="J99" s="7">
        <v>18621.38</v>
      </c>
    </row>
    <row r="100" spans="1:10" ht="16" x14ac:dyDescent="0.35">
      <c r="A100" s="5" t="s">
        <v>245</v>
      </c>
      <c r="B100" s="6" t="s">
        <v>246</v>
      </c>
      <c r="C100" s="5" t="s">
        <v>247</v>
      </c>
      <c r="D100" s="6" t="s">
        <v>20</v>
      </c>
      <c r="E100" s="6" t="s">
        <v>21</v>
      </c>
      <c r="F100" s="7">
        <v>85.92</v>
      </c>
      <c r="G100" s="7">
        <v>26.67</v>
      </c>
      <c r="H100" s="7">
        <v>32.659999999999997</v>
      </c>
      <c r="I100" s="7">
        <v>2291.4899999999998</v>
      </c>
      <c r="J100" s="7">
        <v>2806.15</v>
      </c>
    </row>
    <row r="101" spans="1:10" ht="16" x14ac:dyDescent="0.35">
      <c r="A101" s="5" t="s">
        <v>248</v>
      </c>
      <c r="B101" s="6" t="s">
        <v>249</v>
      </c>
      <c r="C101" s="5" t="s">
        <v>250</v>
      </c>
      <c r="D101" s="6" t="s">
        <v>20</v>
      </c>
      <c r="E101" s="6" t="s">
        <v>31</v>
      </c>
      <c r="F101" s="7">
        <v>4.37</v>
      </c>
      <c r="G101" s="7">
        <v>146.86000000000001</v>
      </c>
      <c r="H101" s="7">
        <v>179.86</v>
      </c>
      <c r="I101" s="7">
        <v>641.78</v>
      </c>
      <c r="J101" s="7">
        <v>785.99</v>
      </c>
    </row>
    <row r="102" spans="1:10" ht="16" x14ac:dyDescent="0.35">
      <c r="A102" s="5" t="s">
        <v>251</v>
      </c>
      <c r="B102" s="6" t="s">
        <v>252</v>
      </c>
      <c r="C102" s="5" t="s">
        <v>253</v>
      </c>
      <c r="D102" s="6" t="s">
        <v>20</v>
      </c>
      <c r="E102" s="6" t="s">
        <v>21</v>
      </c>
      <c r="F102" s="7">
        <v>58.61</v>
      </c>
      <c r="G102" s="7">
        <v>58.2</v>
      </c>
      <c r="H102" s="7">
        <v>71.28</v>
      </c>
      <c r="I102" s="7">
        <v>3411.1</v>
      </c>
      <c r="J102" s="7">
        <v>4177.72</v>
      </c>
    </row>
    <row r="103" spans="1:10" x14ac:dyDescent="0.35">
      <c r="A103" s="5" t="s">
        <v>254</v>
      </c>
      <c r="B103" s="6" t="s">
        <v>240</v>
      </c>
      <c r="C103" s="5" t="s">
        <v>255</v>
      </c>
      <c r="D103" s="6" t="s">
        <v>226</v>
      </c>
      <c r="E103" s="6" t="s">
        <v>227</v>
      </c>
      <c r="F103" s="7">
        <v>104.27</v>
      </c>
      <c r="G103" s="7">
        <v>20.97</v>
      </c>
      <c r="H103" s="7">
        <v>25.68</v>
      </c>
      <c r="I103" s="7">
        <v>2186.54</v>
      </c>
      <c r="J103" s="7">
        <v>2677.65</v>
      </c>
    </row>
    <row r="104" spans="1:10" x14ac:dyDescent="0.35">
      <c r="A104" s="5" t="s">
        <v>256</v>
      </c>
      <c r="B104" s="6" t="s">
        <v>257</v>
      </c>
      <c r="C104" s="5" t="s">
        <v>258</v>
      </c>
      <c r="D104" s="6" t="s">
        <v>20</v>
      </c>
      <c r="E104" s="6" t="s">
        <v>25</v>
      </c>
      <c r="F104" s="7">
        <v>79.48</v>
      </c>
      <c r="G104" s="7">
        <v>174.33</v>
      </c>
      <c r="H104" s="7">
        <v>213.5</v>
      </c>
      <c r="I104" s="7">
        <v>13855.75</v>
      </c>
      <c r="J104" s="7">
        <v>16968.98</v>
      </c>
    </row>
    <row r="105" spans="1:10" x14ac:dyDescent="0.35">
      <c r="A105" s="5" t="s">
        <v>259</v>
      </c>
      <c r="B105" s="6" t="s">
        <v>260</v>
      </c>
      <c r="C105" s="5" t="s">
        <v>261</v>
      </c>
      <c r="D105" s="6" t="s">
        <v>20</v>
      </c>
      <c r="E105" s="6" t="s">
        <v>21</v>
      </c>
      <c r="F105" s="7">
        <v>200.24</v>
      </c>
      <c r="G105" s="7">
        <v>14.82</v>
      </c>
      <c r="H105" s="7">
        <v>18.149999999999999</v>
      </c>
      <c r="I105" s="7">
        <v>2967.56</v>
      </c>
      <c r="J105" s="7">
        <v>3634.36</v>
      </c>
    </row>
    <row r="106" spans="1:10" ht="20.149999999999999" customHeight="1" x14ac:dyDescent="0.35">
      <c r="A106" s="3" t="s">
        <v>262</v>
      </c>
      <c r="B106" s="53" t="s">
        <v>263</v>
      </c>
      <c r="C106" s="53"/>
      <c r="D106" s="53"/>
      <c r="E106" s="53"/>
      <c r="F106" s="53"/>
      <c r="G106" s="53"/>
      <c r="H106" s="53"/>
      <c r="I106" s="4">
        <v>1400.02</v>
      </c>
      <c r="J106" s="4">
        <v>1714.74</v>
      </c>
    </row>
    <row r="107" spans="1:10" ht="16" x14ac:dyDescent="0.35">
      <c r="A107" s="5" t="s">
        <v>264</v>
      </c>
      <c r="B107" s="6" t="s">
        <v>265</v>
      </c>
      <c r="C107" s="5" t="s">
        <v>266</v>
      </c>
      <c r="D107" s="6" t="s">
        <v>20</v>
      </c>
      <c r="E107" s="6" t="s">
        <v>25</v>
      </c>
      <c r="F107" s="7">
        <v>48.38</v>
      </c>
      <c r="G107" s="7">
        <v>7.51</v>
      </c>
      <c r="H107" s="7">
        <v>9.1999999999999993</v>
      </c>
      <c r="I107" s="7">
        <v>363.33</v>
      </c>
      <c r="J107" s="7">
        <v>445.1</v>
      </c>
    </row>
    <row r="108" spans="1:10" x14ac:dyDescent="0.35">
      <c r="A108" s="5" t="s">
        <v>267</v>
      </c>
      <c r="B108" s="6" t="s">
        <v>268</v>
      </c>
      <c r="C108" s="5" t="s">
        <v>269</v>
      </c>
      <c r="D108" s="6" t="s">
        <v>20</v>
      </c>
      <c r="E108" s="6" t="s">
        <v>25</v>
      </c>
      <c r="F108" s="7">
        <v>12.18</v>
      </c>
      <c r="G108" s="7">
        <v>73.12</v>
      </c>
      <c r="H108" s="7">
        <v>89.55</v>
      </c>
      <c r="I108" s="7">
        <v>890.6</v>
      </c>
      <c r="J108" s="7">
        <v>1090.72</v>
      </c>
    </row>
    <row r="109" spans="1:10" ht="16" x14ac:dyDescent="0.35">
      <c r="A109" s="5" t="s">
        <v>270</v>
      </c>
      <c r="B109" s="6" t="s">
        <v>271</v>
      </c>
      <c r="C109" s="5" t="s">
        <v>272</v>
      </c>
      <c r="D109" s="6" t="s">
        <v>20</v>
      </c>
      <c r="E109" s="6" t="s">
        <v>25</v>
      </c>
      <c r="F109" s="7">
        <v>1.49</v>
      </c>
      <c r="G109" s="7">
        <v>98.05</v>
      </c>
      <c r="H109" s="7">
        <v>120.08</v>
      </c>
      <c r="I109" s="7">
        <v>146.09</v>
      </c>
      <c r="J109" s="7">
        <v>178.92</v>
      </c>
    </row>
    <row r="110" spans="1:10" ht="20.149999999999999" customHeight="1" x14ac:dyDescent="0.35">
      <c r="A110" s="3" t="s">
        <v>273</v>
      </c>
      <c r="B110" s="53" t="s">
        <v>274</v>
      </c>
      <c r="C110" s="53"/>
      <c r="D110" s="53"/>
      <c r="E110" s="53"/>
      <c r="F110" s="53"/>
      <c r="G110" s="53"/>
      <c r="H110" s="53"/>
      <c r="I110" s="4">
        <v>29427.279999999999</v>
      </c>
      <c r="J110" s="4">
        <v>36042.480000000003</v>
      </c>
    </row>
    <row r="111" spans="1:10" x14ac:dyDescent="0.35">
      <c r="A111" s="5" t="s">
        <v>275</v>
      </c>
      <c r="B111" s="6" t="s">
        <v>276</v>
      </c>
      <c r="C111" s="5" t="s">
        <v>277</v>
      </c>
      <c r="D111" s="6" t="s">
        <v>20</v>
      </c>
      <c r="E111" s="6" t="s">
        <v>21</v>
      </c>
      <c r="F111" s="7">
        <v>286.27</v>
      </c>
      <c r="G111" s="7">
        <v>22.35</v>
      </c>
      <c r="H111" s="7">
        <v>27.37</v>
      </c>
      <c r="I111" s="7">
        <v>6398.13</v>
      </c>
      <c r="J111" s="7">
        <v>7835.21</v>
      </c>
    </row>
    <row r="112" spans="1:10" x14ac:dyDescent="0.35">
      <c r="A112" s="5" t="s">
        <v>278</v>
      </c>
      <c r="B112" s="6" t="s">
        <v>279</v>
      </c>
      <c r="C112" s="5" t="s">
        <v>280</v>
      </c>
      <c r="D112" s="6" t="s">
        <v>20</v>
      </c>
      <c r="E112" s="6" t="s">
        <v>21</v>
      </c>
      <c r="F112" s="7">
        <v>394</v>
      </c>
      <c r="G112" s="7">
        <v>11.69</v>
      </c>
      <c r="H112" s="7">
        <v>14.32</v>
      </c>
      <c r="I112" s="7">
        <v>4605.8599999999997</v>
      </c>
      <c r="J112" s="7">
        <v>5642.08</v>
      </c>
    </row>
    <row r="113" spans="1:10" x14ac:dyDescent="0.35">
      <c r="A113" s="5" t="s">
        <v>281</v>
      </c>
      <c r="B113" s="6" t="s">
        <v>282</v>
      </c>
      <c r="C113" s="5" t="s">
        <v>283</v>
      </c>
      <c r="D113" s="6" t="s">
        <v>20</v>
      </c>
      <c r="E113" s="6" t="s">
        <v>21</v>
      </c>
      <c r="F113" s="7">
        <v>286.27</v>
      </c>
      <c r="G113" s="7">
        <v>10.91</v>
      </c>
      <c r="H113" s="7">
        <v>13.36</v>
      </c>
      <c r="I113" s="7">
        <v>3123.21</v>
      </c>
      <c r="J113" s="7">
        <v>3824.57</v>
      </c>
    </row>
    <row r="114" spans="1:10" x14ac:dyDescent="0.35">
      <c r="A114" s="5" t="s">
        <v>284</v>
      </c>
      <c r="B114" s="6" t="s">
        <v>285</v>
      </c>
      <c r="C114" s="5" t="s">
        <v>286</v>
      </c>
      <c r="D114" s="6" t="s">
        <v>20</v>
      </c>
      <c r="E114" s="6" t="s">
        <v>21</v>
      </c>
      <c r="F114" s="7">
        <v>394</v>
      </c>
      <c r="G114" s="7">
        <v>12.36</v>
      </c>
      <c r="H114" s="7">
        <v>15.14</v>
      </c>
      <c r="I114" s="7">
        <v>4869.84</v>
      </c>
      <c r="J114" s="7">
        <v>5965.16</v>
      </c>
    </row>
    <row r="115" spans="1:10" x14ac:dyDescent="0.35">
      <c r="A115" s="5" t="s">
        <v>287</v>
      </c>
      <c r="B115" s="6" t="s">
        <v>288</v>
      </c>
      <c r="C115" s="5" t="s">
        <v>289</v>
      </c>
      <c r="D115" s="6" t="s">
        <v>20</v>
      </c>
      <c r="E115" s="6" t="s">
        <v>21</v>
      </c>
      <c r="F115" s="7">
        <v>348.34</v>
      </c>
      <c r="G115" s="7">
        <v>27.8</v>
      </c>
      <c r="H115" s="7">
        <v>34.049999999999997</v>
      </c>
      <c r="I115" s="7">
        <v>9683.85</v>
      </c>
      <c r="J115" s="7">
        <v>11860.98</v>
      </c>
    </row>
    <row r="116" spans="1:10" ht="16" x14ac:dyDescent="0.35">
      <c r="A116" s="5" t="s">
        <v>290</v>
      </c>
      <c r="B116" s="6" t="s">
        <v>291</v>
      </c>
      <c r="C116" s="5" t="s">
        <v>292</v>
      </c>
      <c r="D116" s="6" t="s">
        <v>20</v>
      </c>
      <c r="E116" s="6" t="s">
        <v>21</v>
      </c>
      <c r="F116" s="7">
        <v>83.21</v>
      </c>
      <c r="G116" s="7">
        <v>8.9700000000000006</v>
      </c>
      <c r="H116" s="7">
        <v>10.99</v>
      </c>
      <c r="I116" s="7">
        <v>746.39</v>
      </c>
      <c r="J116" s="7">
        <v>914.48</v>
      </c>
    </row>
    <row r="117" spans="1:10" ht="20.149999999999999" customHeight="1" x14ac:dyDescent="0.35">
      <c r="A117" s="3" t="s">
        <v>293</v>
      </c>
      <c r="B117" s="53" t="s">
        <v>294</v>
      </c>
      <c r="C117" s="53"/>
      <c r="D117" s="53"/>
      <c r="E117" s="53"/>
      <c r="F117" s="53"/>
      <c r="G117" s="53"/>
      <c r="H117" s="53"/>
      <c r="I117" s="4">
        <v>42176.1</v>
      </c>
      <c r="J117" s="4">
        <v>51647.76</v>
      </c>
    </row>
    <row r="118" spans="1:10" ht="16" x14ac:dyDescent="0.35">
      <c r="A118" s="5" t="s">
        <v>295</v>
      </c>
      <c r="B118" s="6" t="s">
        <v>296</v>
      </c>
      <c r="C118" s="5" t="s">
        <v>297</v>
      </c>
      <c r="D118" s="6" t="s">
        <v>20</v>
      </c>
      <c r="E118" s="6" t="s">
        <v>25</v>
      </c>
      <c r="F118" s="7">
        <v>8.9499999999999993</v>
      </c>
      <c r="G118" s="7">
        <v>25.27</v>
      </c>
      <c r="H118" s="7">
        <v>30.95</v>
      </c>
      <c r="I118" s="7">
        <v>226.17</v>
      </c>
      <c r="J118" s="7">
        <v>277</v>
      </c>
    </row>
    <row r="119" spans="1:10" ht="16" x14ac:dyDescent="0.35">
      <c r="A119" s="5" t="s">
        <v>298</v>
      </c>
      <c r="B119" s="6" t="s">
        <v>299</v>
      </c>
      <c r="C119" s="5" t="s">
        <v>300</v>
      </c>
      <c r="D119" s="6" t="s">
        <v>20</v>
      </c>
      <c r="E119" s="6" t="s">
        <v>25</v>
      </c>
      <c r="F119" s="7">
        <v>2</v>
      </c>
      <c r="G119" s="7">
        <v>16.61</v>
      </c>
      <c r="H119" s="7">
        <v>20.34</v>
      </c>
      <c r="I119" s="7">
        <v>33.22</v>
      </c>
      <c r="J119" s="7">
        <v>40.68</v>
      </c>
    </row>
    <row r="120" spans="1:10" ht="16" x14ac:dyDescent="0.35">
      <c r="A120" s="5" t="s">
        <v>301</v>
      </c>
      <c r="B120" s="6" t="s">
        <v>302</v>
      </c>
      <c r="C120" s="5" t="s">
        <v>303</v>
      </c>
      <c r="D120" s="6" t="s">
        <v>20</v>
      </c>
      <c r="E120" s="6" t="s">
        <v>25</v>
      </c>
      <c r="F120" s="7">
        <v>35.799999999999997</v>
      </c>
      <c r="G120" s="7">
        <v>18.36</v>
      </c>
      <c r="H120" s="7">
        <v>22.49</v>
      </c>
      <c r="I120" s="7">
        <v>657.29</v>
      </c>
      <c r="J120" s="7">
        <v>805.14</v>
      </c>
    </row>
    <row r="121" spans="1:10" ht="16" x14ac:dyDescent="0.35">
      <c r="A121" s="5" t="s">
        <v>304</v>
      </c>
      <c r="B121" s="6" t="s">
        <v>305</v>
      </c>
      <c r="C121" s="5" t="s">
        <v>306</v>
      </c>
      <c r="D121" s="6" t="s">
        <v>20</v>
      </c>
      <c r="E121" s="6" t="s">
        <v>25</v>
      </c>
      <c r="F121" s="7">
        <v>31.55</v>
      </c>
      <c r="G121" s="7">
        <v>14.75</v>
      </c>
      <c r="H121" s="7">
        <v>18.059999999999999</v>
      </c>
      <c r="I121" s="7">
        <v>465.36</v>
      </c>
      <c r="J121" s="7">
        <v>569.79</v>
      </c>
    </row>
    <row r="122" spans="1:10" ht="16" x14ac:dyDescent="0.35">
      <c r="A122" s="5" t="s">
        <v>307</v>
      </c>
      <c r="B122" s="6" t="s">
        <v>308</v>
      </c>
      <c r="C122" s="5" t="s">
        <v>309</v>
      </c>
      <c r="D122" s="6" t="s">
        <v>20</v>
      </c>
      <c r="E122" s="6" t="s">
        <v>25</v>
      </c>
      <c r="F122" s="7">
        <v>48.2</v>
      </c>
      <c r="G122" s="7">
        <v>11.02</v>
      </c>
      <c r="H122" s="7">
        <v>13.5</v>
      </c>
      <c r="I122" s="7">
        <v>531.16</v>
      </c>
      <c r="J122" s="7">
        <v>650.70000000000005</v>
      </c>
    </row>
    <row r="123" spans="1:10" ht="16" x14ac:dyDescent="0.35">
      <c r="A123" s="5" t="s">
        <v>310</v>
      </c>
      <c r="B123" s="6" t="s">
        <v>311</v>
      </c>
      <c r="C123" s="5" t="s">
        <v>312</v>
      </c>
      <c r="D123" s="6" t="s">
        <v>20</v>
      </c>
      <c r="E123" s="6" t="s">
        <v>25</v>
      </c>
      <c r="F123" s="7">
        <v>2</v>
      </c>
      <c r="G123" s="7">
        <v>9.39</v>
      </c>
      <c r="H123" s="7">
        <v>11.5</v>
      </c>
      <c r="I123" s="7">
        <v>18.78</v>
      </c>
      <c r="J123" s="7">
        <v>23</v>
      </c>
    </row>
    <row r="124" spans="1:10" x14ac:dyDescent="0.35">
      <c r="A124" s="5" t="s">
        <v>313</v>
      </c>
      <c r="B124" s="6" t="s">
        <v>314</v>
      </c>
      <c r="C124" s="5" t="s">
        <v>315</v>
      </c>
      <c r="D124" s="6" t="s">
        <v>20</v>
      </c>
      <c r="E124" s="6" t="s">
        <v>160</v>
      </c>
      <c r="F124" s="7">
        <v>33</v>
      </c>
      <c r="G124" s="7">
        <v>21.18</v>
      </c>
      <c r="H124" s="7">
        <v>25.94</v>
      </c>
      <c r="I124" s="7">
        <v>698.94</v>
      </c>
      <c r="J124" s="7">
        <v>856.02</v>
      </c>
    </row>
    <row r="125" spans="1:10" x14ac:dyDescent="0.35">
      <c r="A125" s="5" t="s">
        <v>316</v>
      </c>
      <c r="B125" s="6" t="s">
        <v>314</v>
      </c>
      <c r="C125" s="5" t="s">
        <v>317</v>
      </c>
      <c r="D125" s="6" t="s">
        <v>20</v>
      </c>
      <c r="E125" s="6" t="s">
        <v>160</v>
      </c>
      <c r="F125" s="7">
        <v>52</v>
      </c>
      <c r="G125" s="7">
        <v>21.18</v>
      </c>
      <c r="H125" s="7">
        <v>25.94</v>
      </c>
      <c r="I125" s="7">
        <v>1101.3599999999999</v>
      </c>
      <c r="J125" s="7">
        <v>1348.88</v>
      </c>
    </row>
    <row r="126" spans="1:10" x14ac:dyDescent="0.35">
      <c r="A126" s="5" t="s">
        <v>318</v>
      </c>
      <c r="B126" s="6" t="s">
        <v>314</v>
      </c>
      <c r="C126" s="5" t="s">
        <v>319</v>
      </c>
      <c r="D126" s="6" t="s">
        <v>20</v>
      </c>
      <c r="E126" s="6" t="s">
        <v>160</v>
      </c>
      <c r="F126" s="7">
        <v>37</v>
      </c>
      <c r="G126" s="7">
        <v>21.18</v>
      </c>
      <c r="H126" s="7">
        <v>25.94</v>
      </c>
      <c r="I126" s="7">
        <v>783.66</v>
      </c>
      <c r="J126" s="7">
        <v>959.78</v>
      </c>
    </row>
    <row r="127" spans="1:10" x14ac:dyDescent="0.35">
      <c r="A127" s="5" t="s">
        <v>320</v>
      </c>
      <c r="B127" s="6" t="s">
        <v>314</v>
      </c>
      <c r="C127" s="5" t="s">
        <v>321</v>
      </c>
      <c r="D127" s="6" t="s">
        <v>20</v>
      </c>
      <c r="E127" s="6" t="s">
        <v>160</v>
      </c>
      <c r="F127" s="7">
        <v>131</v>
      </c>
      <c r="G127" s="7">
        <v>21.18</v>
      </c>
      <c r="H127" s="7">
        <v>25.94</v>
      </c>
      <c r="I127" s="7">
        <v>2774.58</v>
      </c>
      <c r="J127" s="7">
        <v>3398.14</v>
      </c>
    </row>
    <row r="128" spans="1:10" x14ac:dyDescent="0.35">
      <c r="A128" s="5" t="s">
        <v>322</v>
      </c>
      <c r="B128" s="6" t="s">
        <v>323</v>
      </c>
      <c r="C128" s="5" t="s">
        <v>324</v>
      </c>
      <c r="D128" s="6" t="s">
        <v>20</v>
      </c>
      <c r="E128" s="6" t="s">
        <v>160</v>
      </c>
      <c r="F128" s="7">
        <v>4</v>
      </c>
      <c r="G128" s="7">
        <v>1.47</v>
      </c>
      <c r="H128" s="7">
        <v>1.8</v>
      </c>
      <c r="I128" s="7">
        <v>5.88</v>
      </c>
      <c r="J128" s="7">
        <v>7.2</v>
      </c>
    </row>
    <row r="129" spans="1:10" x14ac:dyDescent="0.35">
      <c r="A129" s="5" t="s">
        <v>325</v>
      </c>
      <c r="B129" s="6" t="s">
        <v>326</v>
      </c>
      <c r="C129" s="5" t="s">
        <v>327</v>
      </c>
      <c r="D129" s="6" t="s">
        <v>20</v>
      </c>
      <c r="E129" s="6" t="s">
        <v>160</v>
      </c>
      <c r="F129" s="7">
        <v>4</v>
      </c>
      <c r="G129" s="7">
        <v>1.6</v>
      </c>
      <c r="H129" s="7">
        <v>1.96</v>
      </c>
      <c r="I129" s="7">
        <v>6.4</v>
      </c>
      <c r="J129" s="7">
        <v>7.84</v>
      </c>
    </row>
    <row r="130" spans="1:10" x14ac:dyDescent="0.35">
      <c r="A130" s="5" t="s">
        <v>328</v>
      </c>
      <c r="B130" s="6" t="s">
        <v>329</v>
      </c>
      <c r="C130" s="5" t="s">
        <v>330</v>
      </c>
      <c r="D130" s="6" t="s">
        <v>20</v>
      </c>
      <c r="E130" s="6" t="s">
        <v>160</v>
      </c>
      <c r="F130" s="7">
        <v>4</v>
      </c>
      <c r="G130" s="7">
        <v>3.14</v>
      </c>
      <c r="H130" s="7">
        <v>3.85</v>
      </c>
      <c r="I130" s="7">
        <v>12.56</v>
      </c>
      <c r="J130" s="7">
        <v>15.4</v>
      </c>
    </row>
    <row r="131" spans="1:10" x14ac:dyDescent="0.35">
      <c r="A131" s="5" t="s">
        <v>331</v>
      </c>
      <c r="B131" s="6" t="s">
        <v>332</v>
      </c>
      <c r="C131" s="5" t="s">
        <v>333</v>
      </c>
      <c r="D131" s="6" t="s">
        <v>20</v>
      </c>
      <c r="E131" s="6" t="s">
        <v>160</v>
      </c>
      <c r="F131" s="7">
        <v>4</v>
      </c>
      <c r="G131" s="7">
        <v>1.86</v>
      </c>
      <c r="H131" s="7">
        <v>2.2799999999999998</v>
      </c>
      <c r="I131" s="7">
        <v>7.44</v>
      </c>
      <c r="J131" s="7">
        <v>9.1199999999999992</v>
      </c>
    </row>
    <row r="132" spans="1:10" x14ac:dyDescent="0.35">
      <c r="A132" s="5" t="s">
        <v>334</v>
      </c>
      <c r="B132" s="6" t="s">
        <v>335</v>
      </c>
      <c r="C132" s="5" t="s">
        <v>336</v>
      </c>
      <c r="D132" s="6" t="s">
        <v>20</v>
      </c>
      <c r="E132" s="6" t="s">
        <v>160</v>
      </c>
      <c r="F132" s="7">
        <v>52</v>
      </c>
      <c r="G132" s="7">
        <v>0.06</v>
      </c>
      <c r="H132" s="7">
        <v>7.0000000000000007E-2</v>
      </c>
      <c r="I132" s="7">
        <v>3.12</v>
      </c>
      <c r="J132" s="7">
        <v>3.64</v>
      </c>
    </row>
    <row r="133" spans="1:10" x14ac:dyDescent="0.35">
      <c r="A133" s="5" t="s">
        <v>337</v>
      </c>
      <c r="B133" s="6" t="s">
        <v>338</v>
      </c>
      <c r="C133" s="5" t="s">
        <v>339</v>
      </c>
      <c r="D133" s="6" t="s">
        <v>20</v>
      </c>
      <c r="E133" s="6" t="s">
        <v>160</v>
      </c>
      <c r="F133" s="7">
        <v>79</v>
      </c>
      <c r="G133" s="7">
        <v>0.16</v>
      </c>
      <c r="H133" s="7">
        <v>0.2</v>
      </c>
      <c r="I133" s="7">
        <v>12.64</v>
      </c>
      <c r="J133" s="7">
        <v>15.8</v>
      </c>
    </row>
    <row r="134" spans="1:10" ht="16" x14ac:dyDescent="0.35">
      <c r="A134" s="5" t="s">
        <v>340</v>
      </c>
      <c r="B134" s="6" t="s">
        <v>341</v>
      </c>
      <c r="C134" s="5" t="s">
        <v>342</v>
      </c>
      <c r="D134" s="6" t="s">
        <v>20</v>
      </c>
      <c r="E134" s="6" t="s">
        <v>160</v>
      </c>
      <c r="F134" s="7">
        <v>2</v>
      </c>
      <c r="G134" s="7">
        <v>9.89</v>
      </c>
      <c r="H134" s="7">
        <v>12.11</v>
      </c>
      <c r="I134" s="7">
        <v>19.78</v>
      </c>
      <c r="J134" s="7">
        <v>24.22</v>
      </c>
    </row>
    <row r="135" spans="1:10" ht="16" x14ac:dyDescent="0.35">
      <c r="A135" s="5" t="s">
        <v>343</v>
      </c>
      <c r="B135" s="6" t="s">
        <v>344</v>
      </c>
      <c r="C135" s="5" t="s">
        <v>345</v>
      </c>
      <c r="D135" s="6" t="s">
        <v>20</v>
      </c>
      <c r="E135" s="6" t="s">
        <v>160</v>
      </c>
      <c r="F135" s="7">
        <v>1</v>
      </c>
      <c r="G135" s="7">
        <v>9.17</v>
      </c>
      <c r="H135" s="7">
        <v>11.23</v>
      </c>
      <c r="I135" s="7">
        <v>9.17</v>
      </c>
      <c r="J135" s="7">
        <v>11.23</v>
      </c>
    </row>
    <row r="136" spans="1:10" ht="16" x14ac:dyDescent="0.35">
      <c r="A136" s="5" t="s">
        <v>346</v>
      </c>
      <c r="B136" s="6" t="s">
        <v>347</v>
      </c>
      <c r="C136" s="5" t="s">
        <v>348</v>
      </c>
      <c r="D136" s="6" t="s">
        <v>20</v>
      </c>
      <c r="E136" s="6" t="s">
        <v>160</v>
      </c>
      <c r="F136" s="7">
        <v>6</v>
      </c>
      <c r="G136" s="7">
        <v>4.45</v>
      </c>
      <c r="H136" s="7">
        <v>5.45</v>
      </c>
      <c r="I136" s="7">
        <v>26.7</v>
      </c>
      <c r="J136" s="7">
        <v>32.700000000000003</v>
      </c>
    </row>
    <row r="137" spans="1:10" ht="16" x14ac:dyDescent="0.35">
      <c r="A137" s="5" t="s">
        <v>349</v>
      </c>
      <c r="B137" s="6" t="s">
        <v>350</v>
      </c>
      <c r="C137" s="5" t="s">
        <v>351</v>
      </c>
      <c r="D137" s="6" t="s">
        <v>20</v>
      </c>
      <c r="E137" s="6" t="s">
        <v>160</v>
      </c>
      <c r="F137" s="7">
        <v>5</v>
      </c>
      <c r="G137" s="7">
        <v>5.86</v>
      </c>
      <c r="H137" s="7">
        <v>7.18</v>
      </c>
      <c r="I137" s="7">
        <v>29.3</v>
      </c>
      <c r="J137" s="7">
        <v>35.9</v>
      </c>
    </row>
    <row r="138" spans="1:10" ht="16" x14ac:dyDescent="0.35">
      <c r="A138" s="5" t="s">
        <v>352</v>
      </c>
      <c r="B138" s="6" t="s">
        <v>347</v>
      </c>
      <c r="C138" s="5" t="s">
        <v>348</v>
      </c>
      <c r="D138" s="6" t="s">
        <v>20</v>
      </c>
      <c r="E138" s="6" t="s">
        <v>160</v>
      </c>
      <c r="F138" s="7">
        <v>52</v>
      </c>
      <c r="G138" s="7">
        <v>3.38</v>
      </c>
      <c r="H138" s="7">
        <v>4.1399999999999997</v>
      </c>
      <c r="I138" s="7">
        <v>175.76</v>
      </c>
      <c r="J138" s="7">
        <v>215.28</v>
      </c>
    </row>
    <row r="139" spans="1:10" x14ac:dyDescent="0.35">
      <c r="A139" s="5" t="s">
        <v>353</v>
      </c>
      <c r="B139" s="6" t="s">
        <v>354</v>
      </c>
      <c r="C139" s="5" t="s">
        <v>355</v>
      </c>
      <c r="D139" s="6" t="s">
        <v>15</v>
      </c>
      <c r="E139" s="6" t="s">
        <v>4</v>
      </c>
      <c r="F139" s="7">
        <v>4</v>
      </c>
      <c r="G139" s="7">
        <v>250.78</v>
      </c>
      <c r="H139" s="7">
        <v>307.13</v>
      </c>
      <c r="I139" s="7">
        <v>1003.12</v>
      </c>
      <c r="J139" s="7">
        <v>1228.52</v>
      </c>
    </row>
    <row r="140" spans="1:10" x14ac:dyDescent="0.35">
      <c r="A140" s="5" t="s">
        <v>356</v>
      </c>
      <c r="B140" s="6" t="s">
        <v>357</v>
      </c>
      <c r="C140" s="5" t="s">
        <v>358</v>
      </c>
      <c r="D140" s="6" t="s">
        <v>226</v>
      </c>
      <c r="E140" s="6" t="s">
        <v>359</v>
      </c>
      <c r="F140" s="7">
        <v>100</v>
      </c>
      <c r="G140" s="7">
        <v>62.12</v>
      </c>
      <c r="H140" s="7">
        <v>76.08</v>
      </c>
      <c r="I140" s="7">
        <v>6212</v>
      </c>
      <c r="J140" s="7">
        <v>7608</v>
      </c>
    </row>
    <row r="141" spans="1:10" x14ac:dyDescent="0.35">
      <c r="A141" s="5" t="s">
        <v>360</v>
      </c>
      <c r="B141" s="6" t="s">
        <v>361</v>
      </c>
      <c r="C141" s="5" t="s">
        <v>362</v>
      </c>
      <c r="D141" s="6" t="s">
        <v>15</v>
      </c>
      <c r="E141" s="6" t="s">
        <v>4</v>
      </c>
      <c r="F141" s="7">
        <v>14</v>
      </c>
      <c r="G141" s="7">
        <v>244.59</v>
      </c>
      <c r="H141" s="7">
        <v>299.55</v>
      </c>
      <c r="I141" s="7">
        <v>3424.26</v>
      </c>
      <c r="J141" s="7">
        <v>4193.7</v>
      </c>
    </row>
    <row r="142" spans="1:10" x14ac:dyDescent="0.35">
      <c r="A142" s="5" t="s">
        <v>363</v>
      </c>
      <c r="B142" s="6" t="s">
        <v>364</v>
      </c>
      <c r="C142" s="5" t="s">
        <v>365</v>
      </c>
      <c r="D142" s="6" t="s">
        <v>20</v>
      </c>
      <c r="E142" s="6" t="s">
        <v>160</v>
      </c>
      <c r="F142" s="7">
        <v>11</v>
      </c>
      <c r="G142" s="7">
        <v>12.74</v>
      </c>
      <c r="H142" s="7">
        <v>15.6</v>
      </c>
      <c r="I142" s="7">
        <v>140.13999999999999</v>
      </c>
      <c r="J142" s="7">
        <v>171.6</v>
      </c>
    </row>
    <row r="143" spans="1:10" x14ac:dyDescent="0.35">
      <c r="A143" s="5" t="s">
        <v>366</v>
      </c>
      <c r="B143" s="6" t="s">
        <v>367</v>
      </c>
      <c r="C143" s="5" t="s">
        <v>368</v>
      </c>
      <c r="D143" s="6" t="s">
        <v>15</v>
      </c>
      <c r="E143" s="6" t="s">
        <v>369</v>
      </c>
      <c r="F143" s="7">
        <v>11</v>
      </c>
      <c r="G143" s="7">
        <v>48.01</v>
      </c>
      <c r="H143" s="7">
        <v>58.8</v>
      </c>
      <c r="I143" s="7">
        <v>528.11</v>
      </c>
      <c r="J143" s="7">
        <v>646.79999999999995</v>
      </c>
    </row>
    <row r="144" spans="1:10" ht="16" x14ac:dyDescent="0.35">
      <c r="A144" s="5" t="s">
        <v>370</v>
      </c>
      <c r="B144" s="6" t="s">
        <v>371</v>
      </c>
      <c r="C144" s="5" t="s">
        <v>372</v>
      </c>
      <c r="D144" s="6" t="s">
        <v>20</v>
      </c>
      <c r="E144" s="6" t="s">
        <v>160</v>
      </c>
      <c r="F144" s="7">
        <v>81</v>
      </c>
      <c r="G144" s="7">
        <v>24.65</v>
      </c>
      <c r="H144" s="7">
        <v>30.19</v>
      </c>
      <c r="I144" s="7">
        <v>1996.65</v>
      </c>
      <c r="J144" s="7">
        <v>2445.39</v>
      </c>
    </row>
    <row r="145" spans="1:10" ht="16" x14ac:dyDescent="0.35">
      <c r="A145" s="5" t="s">
        <v>373</v>
      </c>
      <c r="B145" s="6" t="s">
        <v>374</v>
      </c>
      <c r="C145" s="5" t="s">
        <v>375</v>
      </c>
      <c r="D145" s="6" t="s">
        <v>20</v>
      </c>
      <c r="E145" s="6" t="s">
        <v>160</v>
      </c>
      <c r="F145" s="7">
        <v>9</v>
      </c>
      <c r="G145" s="7">
        <v>44.79</v>
      </c>
      <c r="H145" s="7">
        <v>54.85</v>
      </c>
      <c r="I145" s="7">
        <v>403.11</v>
      </c>
      <c r="J145" s="7">
        <v>493.65</v>
      </c>
    </row>
    <row r="146" spans="1:10" ht="16" x14ac:dyDescent="0.35">
      <c r="A146" s="5" t="s">
        <v>376</v>
      </c>
      <c r="B146" s="6" t="s">
        <v>377</v>
      </c>
      <c r="C146" s="5" t="s">
        <v>378</v>
      </c>
      <c r="D146" s="6" t="s">
        <v>20</v>
      </c>
      <c r="E146" s="6" t="s">
        <v>25</v>
      </c>
      <c r="F146" s="7">
        <v>14</v>
      </c>
      <c r="G146" s="7">
        <v>20.87</v>
      </c>
      <c r="H146" s="7">
        <v>25.56</v>
      </c>
      <c r="I146" s="7">
        <v>292.18</v>
      </c>
      <c r="J146" s="7">
        <v>357.84</v>
      </c>
    </row>
    <row r="147" spans="1:10" ht="16" x14ac:dyDescent="0.35">
      <c r="A147" s="5" t="s">
        <v>379</v>
      </c>
      <c r="B147" s="6" t="s">
        <v>380</v>
      </c>
      <c r="C147" s="5" t="s">
        <v>381</v>
      </c>
      <c r="D147" s="6" t="s">
        <v>20</v>
      </c>
      <c r="E147" s="6" t="s">
        <v>160</v>
      </c>
      <c r="F147" s="7">
        <v>7</v>
      </c>
      <c r="G147" s="7">
        <v>26.54</v>
      </c>
      <c r="H147" s="7">
        <v>32.5</v>
      </c>
      <c r="I147" s="7">
        <v>185.78</v>
      </c>
      <c r="J147" s="7">
        <v>227.5</v>
      </c>
    </row>
    <row r="148" spans="1:10" ht="16" x14ac:dyDescent="0.35">
      <c r="A148" s="5" t="s">
        <v>382</v>
      </c>
      <c r="B148" s="6" t="s">
        <v>383</v>
      </c>
      <c r="C148" s="5" t="s">
        <v>384</v>
      </c>
      <c r="D148" s="6" t="s">
        <v>20</v>
      </c>
      <c r="E148" s="6" t="s">
        <v>160</v>
      </c>
      <c r="F148" s="7">
        <v>1</v>
      </c>
      <c r="G148" s="7">
        <v>59.84</v>
      </c>
      <c r="H148" s="7">
        <v>73.290000000000006</v>
      </c>
      <c r="I148" s="7">
        <v>59.84</v>
      </c>
      <c r="J148" s="7">
        <v>73.290000000000006</v>
      </c>
    </row>
    <row r="149" spans="1:10" ht="16" x14ac:dyDescent="0.35">
      <c r="A149" s="5" t="s">
        <v>385</v>
      </c>
      <c r="B149" s="6" t="s">
        <v>386</v>
      </c>
      <c r="C149" s="5" t="s">
        <v>387</v>
      </c>
      <c r="D149" s="6" t="s">
        <v>20</v>
      </c>
      <c r="E149" s="6" t="s">
        <v>160</v>
      </c>
      <c r="F149" s="7">
        <v>3</v>
      </c>
      <c r="G149" s="7">
        <v>522.26</v>
      </c>
      <c r="H149" s="7">
        <v>639.61</v>
      </c>
      <c r="I149" s="7">
        <v>1566.78</v>
      </c>
      <c r="J149" s="7">
        <v>1918.83</v>
      </c>
    </row>
    <row r="150" spans="1:10" ht="16" x14ac:dyDescent="0.35">
      <c r="A150" s="5" t="s">
        <v>388</v>
      </c>
      <c r="B150" s="6" t="s">
        <v>389</v>
      </c>
      <c r="C150" s="5" t="s">
        <v>390</v>
      </c>
      <c r="D150" s="6" t="s">
        <v>20</v>
      </c>
      <c r="E150" s="6" t="s">
        <v>160</v>
      </c>
      <c r="F150" s="7">
        <v>1</v>
      </c>
      <c r="G150" s="7">
        <v>2194.16</v>
      </c>
      <c r="H150" s="7">
        <v>2687.19</v>
      </c>
      <c r="I150" s="7">
        <v>2194.16</v>
      </c>
      <c r="J150" s="7">
        <v>2687.19</v>
      </c>
    </row>
    <row r="151" spans="1:10" ht="16" x14ac:dyDescent="0.35">
      <c r="A151" s="5" t="s">
        <v>391</v>
      </c>
      <c r="B151" s="6" t="s">
        <v>392</v>
      </c>
      <c r="C151" s="5" t="s">
        <v>393</v>
      </c>
      <c r="D151" s="6" t="s">
        <v>20</v>
      </c>
      <c r="E151" s="6" t="s">
        <v>25</v>
      </c>
      <c r="F151" s="7">
        <v>14.8</v>
      </c>
      <c r="G151" s="7">
        <v>27.2</v>
      </c>
      <c r="H151" s="7">
        <v>33.31</v>
      </c>
      <c r="I151" s="7">
        <v>402.56</v>
      </c>
      <c r="J151" s="7">
        <v>492.99</v>
      </c>
    </row>
    <row r="152" spans="1:10" ht="16" x14ac:dyDescent="0.35">
      <c r="A152" s="5" t="s">
        <v>394</v>
      </c>
      <c r="B152" s="6" t="s">
        <v>377</v>
      </c>
      <c r="C152" s="5" t="s">
        <v>378</v>
      </c>
      <c r="D152" s="6" t="s">
        <v>20</v>
      </c>
      <c r="E152" s="6" t="s">
        <v>25</v>
      </c>
      <c r="F152" s="7">
        <v>3.7</v>
      </c>
      <c r="G152" s="7">
        <v>22.98</v>
      </c>
      <c r="H152" s="7">
        <v>28.14</v>
      </c>
      <c r="I152" s="7">
        <v>85.03</v>
      </c>
      <c r="J152" s="7">
        <v>104.12</v>
      </c>
    </row>
    <row r="153" spans="1:10" ht="16" x14ac:dyDescent="0.35">
      <c r="A153" s="5" t="s">
        <v>395</v>
      </c>
      <c r="B153" s="6" t="s">
        <v>396</v>
      </c>
      <c r="C153" s="5" t="s">
        <v>397</v>
      </c>
      <c r="D153" s="6" t="s">
        <v>20</v>
      </c>
      <c r="E153" s="6" t="s">
        <v>25</v>
      </c>
      <c r="F153" s="7">
        <v>190</v>
      </c>
      <c r="G153" s="7">
        <v>15.17</v>
      </c>
      <c r="H153" s="7">
        <v>18.579999999999998</v>
      </c>
      <c r="I153" s="7">
        <v>2882.3</v>
      </c>
      <c r="J153" s="7">
        <v>3530.2</v>
      </c>
    </row>
    <row r="154" spans="1:10" ht="16" x14ac:dyDescent="0.35">
      <c r="A154" s="5" t="s">
        <v>398</v>
      </c>
      <c r="B154" s="6" t="s">
        <v>399</v>
      </c>
      <c r="C154" s="5" t="s">
        <v>400</v>
      </c>
      <c r="D154" s="6" t="s">
        <v>20</v>
      </c>
      <c r="E154" s="6" t="s">
        <v>25</v>
      </c>
      <c r="F154" s="7">
        <v>166</v>
      </c>
      <c r="G154" s="7">
        <v>8.36</v>
      </c>
      <c r="H154" s="7">
        <v>10.24</v>
      </c>
      <c r="I154" s="7">
        <v>1387.76</v>
      </c>
      <c r="J154" s="7">
        <v>1699.84</v>
      </c>
    </row>
    <row r="155" spans="1:10" ht="16" x14ac:dyDescent="0.35">
      <c r="A155" s="5" t="s">
        <v>401</v>
      </c>
      <c r="B155" s="6" t="s">
        <v>402</v>
      </c>
      <c r="C155" s="5" t="s">
        <v>403</v>
      </c>
      <c r="D155" s="6" t="s">
        <v>20</v>
      </c>
      <c r="E155" s="6" t="s">
        <v>25</v>
      </c>
      <c r="F155" s="7">
        <v>143.69999999999999</v>
      </c>
      <c r="G155" s="7">
        <v>5.95</v>
      </c>
      <c r="H155" s="7">
        <v>7.29</v>
      </c>
      <c r="I155" s="7">
        <v>855.02</v>
      </c>
      <c r="J155" s="7">
        <v>1047.57</v>
      </c>
    </row>
    <row r="156" spans="1:10" ht="16" x14ac:dyDescent="0.35">
      <c r="A156" s="5" t="s">
        <v>404</v>
      </c>
      <c r="B156" s="6" t="s">
        <v>405</v>
      </c>
      <c r="C156" s="5" t="s">
        <v>406</v>
      </c>
      <c r="D156" s="6" t="s">
        <v>20</v>
      </c>
      <c r="E156" s="6" t="s">
        <v>25</v>
      </c>
      <c r="F156" s="7">
        <v>1805.7</v>
      </c>
      <c r="G156" s="7">
        <v>3.8</v>
      </c>
      <c r="H156" s="7">
        <v>4.6500000000000004</v>
      </c>
      <c r="I156" s="7">
        <v>6861.66</v>
      </c>
      <c r="J156" s="7">
        <v>8396.51</v>
      </c>
    </row>
    <row r="157" spans="1:10" ht="16" x14ac:dyDescent="0.35">
      <c r="A157" s="5" t="s">
        <v>407</v>
      </c>
      <c r="B157" s="6" t="s">
        <v>408</v>
      </c>
      <c r="C157" s="5" t="s">
        <v>409</v>
      </c>
      <c r="D157" s="6" t="s">
        <v>20</v>
      </c>
      <c r="E157" s="6" t="s">
        <v>25</v>
      </c>
      <c r="F157" s="7">
        <v>817.5</v>
      </c>
      <c r="G157" s="7">
        <v>2.58</v>
      </c>
      <c r="H157" s="7">
        <v>3.16</v>
      </c>
      <c r="I157" s="7">
        <v>2109.15</v>
      </c>
      <c r="J157" s="7">
        <v>2583.3000000000002</v>
      </c>
    </row>
    <row r="158" spans="1:10" ht="16" x14ac:dyDescent="0.35">
      <c r="A158" s="5" t="s">
        <v>410</v>
      </c>
      <c r="B158" s="6" t="s">
        <v>411</v>
      </c>
      <c r="C158" s="5" t="s">
        <v>412</v>
      </c>
      <c r="D158" s="6" t="s">
        <v>20</v>
      </c>
      <c r="E158" s="6" t="s">
        <v>160</v>
      </c>
      <c r="F158" s="7">
        <v>2</v>
      </c>
      <c r="G158" s="7">
        <v>131.94999999999999</v>
      </c>
      <c r="H158" s="7">
        <v>161.6</v>
      </c>
      <c r="I158" s="7">
        <v>263.89999999999998</v>
      </c>
      <c r="J158" s="7">
        <v>323.2</v>
      </c>
    </row>
    <row r="159" spans="1:10" ht="16" x14ac:dyDescent="0.35">
      <c r="A159" s="5" t="s">
        <v>413</v>
      </c>
      <c r="B159" s="6" t="s">
        <v>414</v>
      </c>
      <c r="C159" s="5" t="s">
        <v>415</v>
      </c>
      <c r="D159" s="6" t="s">
        <v>20</v>
      </c>
      <c r="E159" s="6" t="s">
        <v>160</v>
      </c>
      <c r="F159" s="7">
        <v>112</v>
      </c>
      <c r="G159" s="7">
        <v>10.56</v>
      </c>
      <c r="H159" s="7">
        <v>12.93</v>
      </c>
      <c r="I159" s="7">
        <v>1182.72</v>
      </c>
      <c r="J159" s="7">
        <v>1448.16</v>
      </c>
    </row>
    <row r="160" spans="1:10" x14ac:dyDescent="0.35">
      <c r="A160" s="5" t="s">
        <v>416</v>
      </c>
      <c r="B160" s="6" t="s">
        <v>417</v>
      </c>
      <c r="C160" s="5" t="s">
        <v>418</v>
      </c>
      <c r="D160" s="6" t="s">
        <v>20</v>
      </c>
      <c r="E160" s="6" t="s">
        <v>160</v>
      </c>
      <c r="F160" s="7">
        <v>1</v>
      </c>
      <c r="G160" s="7">
        <v>68.17</v>
      </c>
      <c r="H160" s="7">
        <v>83.49</v>
      </c>
      <c r="I160" s="7">
        <v>68.17</v>
      </c>
      <c r="J160" s="7">
        <v>83.49</v>
      </c>
    </row>
    <row r="161" spans="1:10" x14ac:dyDescent="0.35">
      <c r="A161" s="5" t="s">
        <v>419</v>
      </c>
      <c r="B161" s="6" t="s">
        <v>420</v>
      </c>
      <c r="C161" s="5" t="s">
        <v>421</v>
      </c>
      <c r="D161" s="6" t="s">
        <v>20</v>
      </c>
      <c r="E161" s="6" t="s">
        <v>160</v>
      </c>
      <c r="F161" s="7">
        <v>2</v>
      </c>
      <c r="G161" s="7">
        <v>71.33</v>
      </c>
      <c r="H161" s="7">
        <v>87.36</v>
      </c>
      <c r="I161" s="7">
        <v>142.66</v>
      </c>
      <c r="J161" s="7">
        <v>174.72</v>
      </c>
    </row>
    <row r="162" spans="1:10" x14ac:dyDescent="0.35">
      <c r="A162" s="5" t="s">
        <v>422</v>
      </c>
      <c r="B162" s="6" t="s">
        <v>423</v>
      </c>
      <c r="C162" s="5" t="s">
        <v>424</v>
      </c>
      <c r="D162" s="6" t="s">
        <v>226</v>
      </c>
      <c r="E162" s="6" t="s">
        <v>359</v>
      </c>
      <c r="F162" s="7">
        <v>1</v>
      </c>
      <c r="G162" s="7">
        <v>78.64</v>
      </c>
      <c r="H162" s="7">
        <v>96.31</v>
      </c>
      <c r="I162" s="7">
        <v>78.64</v>
      </c>
      <c r="J162" s="7">
        <v>96.31</v>
      </c>
    </row>
    <row r="163" spans="1:10" ht="16" x14ac:dyDescent="0.35">
      <c r="A163" s="5" t="s">
        <v>425</v>
      </c>
      <c r="B163" s="6" t="s">
        <v>426</v>
      </c>
      <c r="C163" s="5" t="s">
        <v>427</v>
      </c>
      <c r="D163" s="6" t="s">
        <v>20</v>
      </c>
      <c r="E163" s="6" t="s">
        <v>160</v>
      </c>
      <c r="F163" s="7">
        <v>15</v>
      </c>
      <c r="G163" s="7">
        <v>10.27</v>
      </c>
      <c r="H163" s="7">
        <v>12.58</v>
      </c>
      <c r="I163" s="7">
        <v>154.05000000000001</v>
      </c>
      <c r="J163" s="7">
        <v>188.7</v>
      </c>
    </row>
    <row r="164" spans="1:10" ht="16" x14ac:dyDescent="0.35">
      <c r="A164" s="5" t="s">
        <v>428</v>
      </c>
      <c r="B164" s="6" t="s">
        <v>429</v>
      </c>
      <c r="C164" s="5" t="s">
        <v>430</v>
      </c>
      <c r="D164" s="6" t="s">
        <v>20</v>
      </c>
      <c r="E164" s="6" t="s">
        <v>160</v>
      </c>
      <c r="F164" s="7">
        <v>8</v>
      </c>
      <c r="G164" s="7">
        <v>10.69</v>
      </c>
      <c r="H164" s="7">
        <v>13.09</v>
      </c>
      <c r="I164" s="7">
        <v>85.52</v>
      </c>
      <c r="J164" s="7">
        <v>104.72</v>
      </c>
    </row>
    <row r="165" spans="1:10" ht="16" x14ac:dyDescent="0.35">
      <c r="A165" s="5" t="s">
        <v>431</v>
      </c>
      <c r="B165" s="6" t="s">
        <v>432</v>
      </c>
      <c r="C165" s="5" t="s">
        <v>433</v>
      </c>
      <c r="D165" s="6" t="s">
        <v>20</v>
      </c>
      <c r="E165" s="6" t="s">
        <v>160</v>
      </c>
      <c r="F165" s="7">
        <v>1</v>
      </c>
      <c r="G165" s="7">
        <v>11.56</v>
      </c>
      <c r="H165" s="7">
        <v>14.16</v>
      </c>
      <c r="I165" s="7">
        <v>11.56</v>
      </c>
      <c r="J165" s="7">
        <v>14.16</v>
      </c>
    </row>
    <row r="166" spans="1:10" ht="20.149999999999999" customHeight="1" x14ac:dyDescent="0.35">
      <c r="A166" s="3" t="s">
        <v>434</v>
      </c>
      <c r="B166" s="53" t="s">
        <v>435</v>
      </c>
      <c r="C166" s="53"/>
      <c r="D166" s="53"/>
      <c r="E166" s="53"/>
      <c r="F166" s="53"/>
      <c r="G166" s="53"/>
      <c r="H166" s="53"/>
      <c r="I166" s="4">
        <v>19127.27</v>
      </c>
      <c r="J166" s="4">
        <v>23425.19</v>
      </c>
    </row>
    <row r="167" spans="1:10" ht="16" x14ac:dyDescent="0.35">
      <c r="A167" s="5" t="s">
        <v>436</v>
      </c>
      <c r="B167" s="6" t="s">
        <v>437</v>
      </c>
      <c r="C167" s="5" t="s">
        <v>438</v>
      </c>
      <c r="D167" s="6" t="s">
        <v>20</v>
      </c>
      <c r="E167" s="6" t="s">
        <v>25</v>
      </c>
      <c r="F167" s="7">
        <v>0.34</v>
      </c>
      <c r="G167" s="7">
        <v>15.29</v>
      </c>
      <c r="H167" s="7">
        <v>18.73</v>
      </c>
      <c r="I167" s="7">
        <v>5.2</v>
      </c>
      <c r="J167" s="7">
        <v>6.37</v>
      </c>
    </row>
    <row r="168" spans="1:10" ht="16" x14ac:dyDescent="0.35">
      <c r="A168" s="5" t="s">
        <v>439</v>
      </c>
      <c r="B168" s="6" t="s">
        <v>440</v>
      </c>
      <c r="C168" s="5" t="s">
        <v>441</v>
      </c>
      <c r="D168" s="6" t="s">
        <v>20</v>
      </c>
      <c r="E168" s="6" t="s">
        <v>25</v>
      </c>
      <c r="F168" s="7">
        <v>112.78</v>
      </c>
      <c r="G168" s="7">
        <v>10.210000000000001</v>
      </c>
      <c r="H168" s="7">
        <v>12.5</v>
      </c>
      <c r="I168" s="7">
        <v>1151.48</v>
      </c>
      <c r="J168" s="7">
        <v>1409.75</v>
      </c>
    </row>
    <row r="169" spans="1:10" ht="16" x14ac:dyDescent="0.35">
      <c r="A169" s="5" t="s">
        <v>442</v>
      </c>
      <c r="B169" s="6" t="s">
        <v>443</v>
      </c>
      <c r="C169" s="5" t="s">
        <v>444</v>
      </c>
      <c r="D169" s="6" t="s">
        <v>20</v>
      </c>
      <c r="E169" s="6" t="s">
        <v>25</v>
      </c>
      <c r="F169" s="7">
        <v>14.66</v>
      </c>
      <c r="G169" s="7">
        <v>16.98</v>
      </c>
      <c r="H169" s="7">
        <v>20.8</v>
      </c>
      <c r="I169" s="7">
        <v>248.93</v>
      </c>
      <c r="J169" s="7">
        <v>304.93</v>
      </c>
    </row>
    <row r="170" spans="1:10" ht="16" x14ac:dyDescent="0.35">
      <c r="A170" s="5" t="s">
        <v>445</v>
      </c>
      <c r="B170" s="6" t="s">
        <v>446</v>
      </c>
      <c r="C170" s="5" t="s">
        <v>447</v>
      </c>
      <c r="D170" s="6" t="s">
        <v>20</v>
      </c>
      <c r="E170" s="6" t="s">
        <v>25</v>
      </c>
      <c r="F170" s="7">
        <v>26.63</v>
      </c>
      <c r="G170" s="7">
        <v>17.75</v>
      </c>
      <c r="H170" s="7">
        <v>21.74</v>
      </c>
      <c r="I170" s="7">
        <v>472.68</v>
      </c>
      <c r="J170" s="7">
        <v>578.94000000000005</v>
      </c>
    </row>
    <row r="171" spans="1:10" ht="16" x14ac:dyDescent="0.35">
      <c r="A171" s="5" t="s">
        <v>448</v>
      </c>
      <c r="B171" s="6" t="s">
        <v>449</v>
      </c>
      <c r="C171" s="5" t="s">
        <v>450</v>
      </c>
      <c r="D171" s="6" t="s">
        <v>20</v>
      </c>
      <c r="E171" s="6" t="s">
        <v>25</v>
      </c>
      <c r="F171" s="7">
        <v>73.53</v>
      </c>
      <c r="G171" s="7">
        <v>19.57</v>
      </c>
      <c r="H171" s="7">
        <v>23.97</v>
      </c>
      <c r="I171" s="7">
        <v>1438.98</v>
      </c>
      <c r="J171" s="7">
        <v>1762.51</v>
      </c>
    </row>
    <row r="172" spans="1:10" ht="16" x14ac:dyDescent="0.35">
      <c r="A172" s="5" t="s">
        <v>451</v>
      </c>
      <c r="B172" s="6" t="s">
        <v>452</v>
      </c>
      <c r="C172" s="5" t="s">
        <v>453</v>
      </c>
      <c r="D172" s="6" t="s">
        <v>20</v>
      </c>
      <c r="E172" s="6" t="s">
        <v>160</v>
      </c>
      <c r="F172" s="7">
        <v>1</v>
      </c>
      <c r="G172" s="7">
        <v>21.74</v>
      </c>
      <c r="H172" s="7">
        <v>26.62</v>
      </c>
      <c r="I172" s="7">
        <v>21.74</v>
      </c>
      <c r="J172" s="7">
        <v>26.62</v>
      </c>
    </row>
    <row r="173" spans="1:10" ht="16" x14ac:dyDescent="0.35">
      <c r="A173" s="5" t="s">
        <v>454</v>
      </c>
      <c r="B173" s="6" t="s">
        <v>455</v>
      </c>
      <c r="C173" s="5" t="s">
        <v>456</v>
      </c>
      <c r="D173" s="6" t="s">
        <v>20</v>
      </c>
      <c r="E173" s="6" t="s">
        <v>160</v>
      </c>
      <c r="F173" s="7">
        <v>4</v>
      </c>
      <c r="G173" s="7">
        <v>6.72</v>
      </c>
      <c r="H173" s="7">
        <v>8.23</v>
      </c>
      <c r="I173" s="7">
        <v>26.88</v>
      </c>
      <c r="J173" s="7">
        <v>32.92</v>
      </c>
    </row>
    <row r="174" spans="1:10" ht="16" x14ac:dyDescent="0.35">
      <c r="A174" s="5" t="s">
        <v>457</v>
      </c>
      <c r="B174" s="6" t="s">
        <v>458</v>
      </c>
      <c r="C174" s="5" t="s">
        <v>459</v>
      </c>
      <c r="D174" s="6" t="s">
        <v>20</v>
      </c>
      <c r="E174" s="6" t="s">
        <v>160</v>
      </c>
      <c r="F174" s="7">
        <v>7</v>
      </c>
      <c r="G174" s="7">
        <v>14.6</v>
      </c>
      <c r="H174" s="7">
        <v>17.88</v>
      </c>
      <c r="I174" s="7">
        <v>102.2</v>
      </c>
      <c r="J174" s="7">
        <v>125.16</v>
      </c>
    </row>
    <row r="175" spans="1:10" ht="16" x14ac:dyDescent="0.35">
      <c r="A175" s="5" t="s">
        <v>460</v>
      </c>
      <c r="B175" s="6" t="s">
        <v>461</v>
      </c>
      <c r="C175" s="5" t="s">
        <v>462</v>
      </c>
      <c r="D175" s="6" t="s">
        <v>20</v>
      </c>
      <c r="E175" s="6" t="s">
        <v>160</v>
      </c>
      <c r="F175" s="7">
        <v>12</v>
      </c>
      <c r="G175" s="7">
        <v>11.17</v>
      </c>
      <c r="H175" s="7">
        <v>13.68</v>
      </c>
      <c r="I175" s="7">
        <v>134.04</v>
      </c>
      <c r="J175" s="7">
        <v>164.16</v>
      </c>
    </row>
    <row r="176" spans="1:10" ht="16" x14ac:dyDescent="0.35">
      <c r="A176" s="5" t="s">
        <v>463</v>
      </c>
      <c r="B176" s="6" t="s">
        <v>464</v>
      </c>
      <c r="C176" s="5" t="s">
        <v>465</v>
      </c>
      <c r="D176" s="6" t="s">
        <v>20</v>
      </c>
      <c r="E176" s="6" t="s">
        <v>160</v>
      </c>
      <c r="F176" s="7">
        <v>13</v>
      </c>
      <c r="G176" s="7">
        <v>6.18</v>
      </c>
      <c r="H176" s="7">
        <v>7.57</v>
      </c>
      <c r="I176" s="7">
        <v>80.34</v>
      </c>
      <c r="J176" s="7">
        <v>98.41</v>
      </c>
    </row>
    <row r="177" spans="1:10" ht="16" x14ac:dyDescent="0.35">
      <c r="A177" s="5" t="s">
        <v>466</v>
      </c>
      <c r="B177" s="6" t="s">
        <v>467</v>
      </c>
      <c r="C177" s="5" t="s">
        <v>468</v>
      </c>
      <c r="D177" s="6" t="s">
        <v>20</v>
      </c>
      <c r="E177" s="6" t="s">
        <v>160</v>
      </c>
      <c r="F177" s="7">
        <v>1</v>
      </c>
      <c r="G177" s="7">
        <v>12.06</v>
      </c>
      <c r="H177" s="7">
        <v>14.77</v>
      </c>
      <c r="I177" s="7">
        <v>12.06</v>
      </c>
      <c r="J177" s="7">
        <v>14.77</v>
      </c>
    </row>
    <row r="178" spans="1:10" ht="16" x14ac:dyDescent="0.35">
      <c r="A178" s="5" t="s">
        <v>469</v>
      </c>
      <c r="B178" s="6" t="s">
        <v>470</v>
      </c>
      <c r="C178" s="5" t="s">
        <v>471</v>
      </c>
      <c r="D178" s="6" t="s">
        <v>20</v>
      </c>
      <c r="E178" s="6" t="s">
        <v>160</v>
      </c>
      <c r="F178" s="7">
        <v>54</v>
      </c>
      <c r="G178" s="7">
        <v>8.75</v>
      </c>
      <c r="H178" s="7">
        <v>10.72</v>
      </c>
      <c r="I178" s="7">
        <v>472.5</v>
      </c>
      <c r="J178" s="7">
        <v>578.88</v>
      </c>
    </row>
    <row r="179" spans="1:10" ht="16" x14ac:dyDescent="0.35">
      <c r="A179" s="5" t="s">
        <v>472</v>
      </c>
      <c r="B179" s="6" t="s">
        <v>473</v>
      </c>
      <c r="C179" s="5" t="s">
        <v>474</v>
      </c>
      <c r="D179" s="6" t="s">
        <v>20</v>
      </c>
      <c r="E179" s="6" t="s">
        <v>160</v>
      </c>
      <c r="F179" s="7">
        <v>14</v>
      </c>
      <c r="G179" s="7">
        <v>29.72</v>
      </c>
      <c r="H179" s="7">
        <v>36.4</v>
      </c>
      <c r="I179" s="7">
        <v>416.08</v>
      </c>
      <c r="J179" s="7">
        <v>509.6</v>
      </c>
    </row>
    <row r="180" spans="1:10" ht="16" x14ac:dyDescent="0.35">
      <c r="A180" s="5" t="s">
        <v>475</v>
      </c>
      <c r="B180" s="6" t="s">
        <v>476</v>
      </c>
      <c r="C180" s="5" t="s">
        <v>477</v>
      </c>
      <c r="D180" s="6" t="s">
        <v>20</v>
      </c>
      <c r="E180" s="6" t="s">
        <v>160</v>
      </c>
      <c r="F180" s="7">
        <v>2</v>
      </c>
      <c r="G180" s="7">
        <v>18.29</v>
      </c>
      <c r="H180" s="7">
        <v>22.4</v>
      </c>
      <c r="I180" s="7">
        <v>36.58</v>
      </c>
      <c r="J180" s="7">
        <v>44.8</v>
      </c>
    </row>
    <row r="181" spans="1:10" ht="16" x14ac:dyDescent="0.35">
      <c r="A181" s="5" t="s">
        <v>478</v>
      </c>
      <c r="B181" s="6" t="s">
        <v>479</v>
      </c>
      <c r="C181" s="5" t="s">
        <v>480</v>
      </c>
      <c r="D181" s="6" t="s">
        <v>20</v>
      </c>
      <c r="E181" s="6" t="s">
        <v>160</v>
      </c>
      <c r="F181" s="7">
        <v>15</v>
      </c>
      <c r="G181" s="7">
        <v>35.020000000000003</v>
      </c>
      <c r="H181" s="7">
        <v>42.89</v>
      </c>
      <c r="I181" s="7">
        <v>525.29999999999995</v>
      </c>
      <c r="J181" s="7">
        <v>643.35</v>
      </c>
    </row>
    <row r="182" spans="1:10" ht="16" x14ac:dyDescent="0.35">
      <c r="A182" s="5" t="s">
        <v>481</v>
      </c>
      <c r="B182" s="6" t="s">
        <v>482</v>
      </c>
      <c r="C182" s="5" t="s">
        <v>483</v>
      </c>
      <c r="D182" s="6" t="s">
        <v>20</v>
      </c>
      <c r="E182" s="6" t="s">
        <v>160</v>
      </c>
      <c r="F182" s="7">
        <v>16</v>
      </c>
      <c r="G182" s="7">
        <v>40.01</v>
      </c>
      <c r="H182" s="7">
        <v>49</v>
      </c>
      <c r="I182" s="7">
        <v>640.16</v>
      </c>
      <c r="J182" s="7">
        <v>784</v>
      </c>
    </row>
    <row r="183" spans="1:10" ht="16" x14ac:dyDescent="0.35">
      <c r="A183" s="5" t="s">
        <v>484</v>
      </c>
      <c r="B183" s="6" t="s">
        <v>485</v>
      </c>
      <c r="C183" s="5" t="s">
        <v>486</v>
      </c>
      <c r="D183" s="6" t="s">
        <v>20</v>
      </c>
      <c r="E183" s="6" t="s">
        <v>160</v>
      </c>
      <c r="F183" s="7">
        <v>2</v>
      </c>
      <c r="G183" s="7">
        <v>56.59</v>
      </c>
      <c r="H183" s="7">
        <v>69.31</v>
      </c>
      <c r="I183" s="7">
        <v>113.18</v>
      </c>
      <c r="J183" s="7">
        <v>138.62</v>
      </c>
    </row>
    <row r="184" spans="1:10" ht="16" x14ac:dyDescent="0.35">
      <c r="A184" s="5" t="s">
        <v>487</v>
      </c>
      <c r="B184" s="6" t="s">
        <v>488</v>
      </c>
      <c r="C184" s="5" t="s">
        <v>489</v>
      </c>
      <c r="D184" s="6" t="s">
        <v>20</v>
      </c>
      <c r="E184" s="6" t="s">
        <v>160</v>
      </c>
      <c r="F184" s="7">
        <v>2</v>
      </c>
      <c r="G184" s="7">
        <v>157.13999999999999</v>
      </c>
      <c r="H184" s="7">
        <v>192.45</v>
      </c>
      <c r="I184" s="7">
        <v>314.27999999999997</v>
      </c>
      <c r="J184" s="7">
        <v>384.9</v>
      </c>
    </row>
    <row r="185" spans="1:10" ht="16" x14ac:dyDescent="0.35">
      <c r="A185" s="5" t="s">
        <v>490</v>
      </c>
      <c r="B185" s="6" t="s">
        <v>491</v>
      </c>
      <c r="C185" s="5" t="s">
        <v>492</v>
      </c>
      <c r="D185" s="6" t="s">
        <v>20</v>
      </c>
      <c r="E185" s="6" t="s">
        <v>160</v>
      </c>
      <c r="F185" s="7">
        <v>14</v>
      </c>
      <c r="G185" s="7">
        <v>8.67</v>
      </c>
      <c r="H185" s="7">
        <v>10.62</v>
      </c>
      <c r="I185" s="7">
        <v>121.38</v>
      </c>
      <c r="J185" s="7">
        <v>148.68</v>
      </c>
    </row>
    <row r="186" spans="1:10" ht="16" x14ac:dyDescent="0.35">
      <c r="A186" s="5" t="s">
        <v>493</v>
      </c>
      <c r="B186" s="6" t="s">
        <v>494</v>
      </c>
      <c r="C186" s="5" t="s">
        <v>495</v>
      </c>
      <c r="D186" s="6" t="s">
        <v>20</v>
      </c>
      <c r="E186" s="6" t="s">
        <v>160</v>
      </c>
      <c r="F186" s="7">
        <v>3</v>
      </c>
      <c r="G186" s="7">
        <v>19.87</v>
      </c>
      <c r="H186" s="7">
        <v>24.33</v>
      </c>
      <c r="I186" s="7">
        <v>59.61</v>
      </c>
      <c r="J186" s="7">
        <v>72.989999999999995</v>
      </c>
    </row>
    <row r="187" spans="1:10" ht="16" x14ac:dyDescent="0.35">
      <c r="A187" s="5" t="s">
        <v>496</v>
      </c>
      <c r="B187" s="6" t="s">
        <v>497</v>
      </c>
      <c r="C187" s="5" t="s">
        <v>498</v>
      </c>
      <c r="D187" s="6" t="s">
        <v>20</v>
      </c>
      <c r="E187" s="6" t="s">
        <v>160</v>
      </c>
      <c r="F187" s="7">
        <v>1</v>
      </c>
      <c r="G187" s="7">
        <v>46.26</v>
      </c>
      <c r="H187" s="7">
        <v>56.65</v>
      </c>
      <c r="I187" s="7">
        <v>46.26</v>
      </c>
      <c r="J187" s="7">
        <v>56.65</v>
      </c>
    </row>
    <row r="188" spans="1:10" ht="16" x14ac:dyDescent="0.35">
      <c r="A188" s="5" t="s">
        <v>499</v>
      </c>
      <c r="B188" s="6" t="s">
        <v>500</v>
      </c>
      <c r="C188" s="5" t="s">
        <v>501</v>
      </c>
      <c r="D188" s="6" t="s">
        <v>20</v>
      </c>
      <c r="E188" s="6" t="s">
        <v>160</v>
      </c>
      <c r="F188" s="7">
        <v>8</v>
      </c>
      <c r="G188" s="7">
        <v>9.39</v>
      </c>
      <c r="H188" s="7">
        <v>11.5</v>
      </c>
      <c r="I188" s="7">
        <v>75.12</v>
      </c>
      <c r="J188" s="7">
        <v>92</v>
      </c>
    </row>
    <row r="189" spans="1:10" ht="16" x14ac:dyDescent="0.35">
      <c r="A189" s="5" t="s">
        <v>502</v>
      </c>
      <c r="B189" s="6" t="s">
        <v>503</v>
      </c>
      <c r="C189" s="5" t="s">
        <v>504</v>
      </c>
      <c r="D189" s="6" t="s">
        <v>20</v>
      </c>
      <c r="E189" s="6" t="s">
        <v>160</v>
      </c>
      <c r="F189" s="7">
        <v>4</v>
      </c>
      <c r="G189" s="7">
        <v>14.04</v>
      </c>
      <c r="H189" s="7">
        <v>17.190000000000001</v>
      </c>
      <c r="I189" s="7">
        <v>56.16</v>
      </c>
      <c r="J189" s="7">
        <v>68.760000000000005</v>
      </c>
    </row>
    <row r="190" spans="1:10" ht="16" x14ac:dyDescent="0.35">
      <c r="A190" s="5" t="s">
        <v>505</v>
      </c>
      <c r="B190" s="6" t="s">
        <v>506</v>
      </c>
      <c r="C190" s="5" t="s">
        <v>507</v>
      </c>
      <c r="D190" s="6" t="s">
        <v>20</v>
      </c>
      <c r="E190" s="6" t="s">
        <v>160</v>
      </c>
      <c r="F190" s="7">
        <v>2</v>
      </c>
      <c r="G190" s="7">
        <v>11.04</v>
      </c>
      <c r="H190" s="7">
        <v>13.52</v>
      </c>
      <c r="I190" s="7">
        <v>22.08</v>
      </c>
      <c r="J190" s="7">
        <v>27.04</v>
      </c>
    </row>
    <row r="191" spans="1:10" ht="16" x14ac:dyDescent="0.35">
      <c r="A191" s="5" t="s">
        <v>508</v>
      </c>
      <c r="B191" s="6" t="s">
        <v>509</v>
      </c>
      <c r="C191" s="5" t="s">
        <v>510</v>
      </c>
      <c r="D191" s="6" t="s">
        <v>20</v>
      </c>
      <c r="E191" s="6" t="s">
        <v>160</v>
      </c>
      <c r="F191" s="7">
        <v>1</v>
      </c>
      <c r="G191" s="7">
        <v>18.23</v>
      </c>
      <c r="H191" s="7">
        <v>22.33</v>
      </c>
      <c r="I191" s="7">
        <v>18.23</v>
      </c>
      <c r="J191" s="7">
        <v>22.33</v>
      </c>
    </row>
    <row r="192" spans="1:10" x14ac:dyDescent="0.35">
      <c r="A192" s="5" t="s">
        <v>511</v>
      </c>
      <c r="B192" s="6" t="s">
        <v>512</v>
      </c>
      <c r="C192" s="5" t="s">
        <v>513</v>
      </c>
      <c r="D192" s="6" t="s">
        <v>20</v>
      </c>
      <c r="E192" s="6" t="s">
        <v>160</v>
      </c>
      <c r="F192" s="7">
        <v>14</v>
      </c>
      <c r="G192" s="7">
        <v>8.8800000000000008</v>
      </c>
      <c r="H192" s="7">
        <v>10.88</v>
      </c>
      <c r="I192" s="7">
        <v>124.32</v>
      </c>
      <c r="J192" s="7">
        <v>152.32</v>
      </c>
    </row>
    <row r="193" spans="1:10" ht="16" x14ac:dyDescent="0.35">
      <c r="A193" s="5" t="s">
        <v>514</v>
      </c>
      <c r="B193" s="6" t="s">
        <v>515</v>
      </c>
      <c r="C193" s="5" t="s">
        <v>516</v>
      </c>
      <c r="D193" s="6" t="s">
        <v>20</v>
      </c>
      <c r="E193" s="6" t="s">
        <v>160</v>
      </c>
      <c r="F193" s="7">
        <v>2</v>
      </c>
      <c r="G193" s="7">
        <v>4.54</v>
      </c>
      <c r="H193" s="7">
        <v>5.56</v>
      </c>
      <c r="I193" s="7">
        <v>9.08</v>
      </c>
      <c r="J193" s="7">
        <v>11.12</v>
      </c>
    </row>
    <row r="194" spans="1:10" ht="16" x14ac:dyDescent="0.35">
      <c r="A194" s="5" t="s">
        <v>517</v>
      </c>
      <c r="B194" s="6" t="s">
        <v>518</v>
      </c>
      <c r="C194" s="5" t="s">
        <v>519</v>
      </c>
      <c r="D194" s="6" t="s">
        <v>20</v>
      </c>
      <c r="E194" s="6" t="s">
        <v>160</v>
      </c>
      <c r="F194" s="7">
        <v>30</v>
      </c>
      <c r="G194" s="7">
        <v>6.34</v>
      </c>
      <c r="H194" s="7">
        <v>7.76</v>
      </c>
      <c r="I194" s="7">
        <v>190.2</v>
      </c>
      <c r="J194" s="7">
        <v>232.8</v>
      </c>
    </row>
    <row r="195" spans="1:10" ht="16" x14ac:dyDescent="0.35">
      <c r="A195" s="5" t="s">
        <v>520</v>
      </c>
      <c r="B195" s="6" t="s">
        <v>521</v>
      </c>
      <c r="C195" s="5" t="s">
        <v>522</v>
      </c>
      <c r="D195" s="6" t="s">
        <v>20</v>
      </c>
      <c r="E195" s="6" t="s">
        <v>160</v>
      </c>
      <c r="F195" s="7">
        <v>2</v>
      </c>
      <c r="G195" s="7">
        <v>18.32</v>
      </c>
      <c r="H195" s="7">
        <v>22.44</v>
      </c>
      <c r="I195" s="7">
        <v>36.64</v>
      </c>
      <c r="J195" s="7">
        <v>44.88</v>
      </c>
    </row>
    <row r="196" spans="1:10" ht="24" x14ac:dyDescent="0.35">
      <c r="A196" s="5" t="s">
        <v>523</v>
      </c>
      <c r="B196" s="6" t="s">
        <v>524</v>
      </c>
      <c r="C196" s="5" t="s">
        <v>525</v>
      </c>
      <c r="D196" s="6" t="s">
        <v>20</v>
      </c>
      <c r="E196" s="6" t="s">
        <v>160</v>
      </c>
      <c r="F196" s="7">
        <v>1</v>
      </c>
      <c r="G196" s="7">
        <v>19.96</v>
      </c>
      <c r="H196" s="7">
        <v>24.45</v>
      </c>
      <c r="I196" s="7">
        <v>19.96</v>
      </c>
      <c r="J196" s="7">
        <v>24.45</v>
      </c>
    </row>
    <row r="197" spans="1:10" ht="24" x14ac:dyDescent="0.35">
      <c r="A197" s="5" t="s">
        <v>526</v>
      </c>
      <c r="B197" s="6" t="s">
        <v>527</v>
      </c>
      <c r="C197" s="5" t="s">
        <v>528</v>
      </c>
      <c r="D197" s="6" t="s">
        <v>20</v>
      </c>
      <c r="E197" s="6" t="s">
        <v>160</v>
      </c>
      <c r="F197" s="7">
        <v>1</v>
      </c>
      <c r="G197" s="7">
        <v>64.64</v>
      </c>
      <c r="H197" s="7">
        <v>79.16</v>
      </c>
      <c r="I197" s="7">
        <v>64.64</v>
      </c>
      <c r="J197" s="7">
        <v>79.16</v>
      </c>
    </row>
    <row r="198" spans="1:10" x14ac:dyDescent="0.35">
      <c r="A198" s="5" t="s">
        <v>529</v>
      </c>
      <c r="B198" s="6" t="s">
        <v>530</v>
      </c>
      <c r="C198" s="5" t="s">
        <v>531</v>
      </c>
      <c r="D198" s="6" t="s">
        <v>20</v>
      </c>
      <c r="E198" s="6" t="s">
        <v>160</v>
      </c>
      <c r="F198" s="7">
        <v>1</v>
      </c>
      <c r="G198" s="7">
        <v>15.46</v>
      </c>
      <c r="H198" s="7">
        <v>18.93</v>
      </c>
      <c r="I198" s="7">
        <v>15.46</v>
      </c>
      <c r="J198" s="7">
        <v>18.93</v>
      </c>
    </row>
    <row r="199" spans="1:10" x14ac:dyDescent="0.35">
      <c r="A199" s="5" t="s">
        <v>532</v>
      </c>
      <c r="B199" s="6" t="s">
        <v>533</v>
      </c>
      <c r="C199" s="5" t="s">
        <v>534</v>
      </c>
      <c r="D199" s="6" t="s">
        <v>20</v>
      </c>
      <c r="E199" s="6" t="s">
        <v>160</v>
      </c>
      <c r="F199" s="7">
        <v>14</v>
      </c>
      <c r="G199" s="7">
        <v>57.54</v>
      </c>
      <c r="H199" s="7">
        <v>70.47</v>
      </c>
      <c r="I199" s="7">
        <v>805.56</v>
      </c>
      <c r="J199" s="7">
        <v>986.58</v>
      </c>
    </row>
    <row r="200" spans="1:10" x14ac:dyDescent="0.35">
      <c r="A200" s="5" t="s">
        <v>535</v>
      </c>
      <c r="B200" s="6" t="s">
        <v>536</v>
      </c>
      <c r="C200" s="5" t="s">
        <v>537</v>
      </c>
      <c r="D200" s="6" t="s">
        <v>20</v>
      </c>
      <c r="E200" s="6" t="s">
        <v>160</v>
      </c>
      <c r="F200" s="7">
        <v>1</v>
      </c>
      <c r="G200" s="7">
        <v>137.34</v>
      </c>
      <c r="H200" s="7">
        <v>168.2</v>
      </c>
      <c r="I200" s="7">
        <v>137.34</v>
      </c>
      <c r="J200" s="7">
        <v>168.2</v>
      </c>
    </row>
    <row r="201" spans="1:10" ht="16" x14ac:dyDescent="0.35">
      <c r="A201" s="5" t="s">
        <v>538</v>
      </c>
      <c r="B201" s="6" t="s">
        <v>539</v>
      </c>
      <c r="C201" s="5" t="s">
        <v>540</v>
      </c>
      <c r="D201" s="6" t="s">
        <v>20</v>
      </c>
      <c r="E201" s="6" t="s">
        <v>160</v>
      </c>
      <c r="F201" s="7">
        <v>1</v>
      </c>
      <c r="G201" s="7">
        <v>108.07</v>
      </c>
      <c r="H201" s="7">
        <v>132.35</v>
      </c>
      <c r="I201" s="7">
        <v>108.07</v>
      </c>
      <c r="J201" s="7">
        <v>132.35</v>
      </c>
    </row>
    <row r="202" spans="1:10" x14ac:dyDescent="0.35">
      <c r="A202" s="5" t="s">
        <v>541</v>
      </c>
      <c r="B202" s="6" t="s">
        <v>530</v>
      </c>
      <c r="C202" s="5" t="s">
        <v>531</v>
      </c>
      <c r="D202" s="6" t="s">
        <v>20</v>
      </c>
      <c r="E202" s="6" t="s">
        <v>160</v>
      </c>
      <c r="F202" s="7">
        <v>1</v>
      </c>
      <c r="G202" s="7">
        <v>15.46</v>
      </c>
      <c r="H202" s="7">
        <v>18.93</v>
      </c>
      <c r="I202" s="7">
        <v>15.46</v>
      </c>
      <c r="J202" s="7">
        <v>18.93</v>
      </c>
    </row>
    <row r="203" spans="1:10" ht="16" x14ac:dyDescent="0.35">
      <c r="A203" s="5" t="s">
        <v>542</v>
      </c>
      <c r="B203" s="6" t="s">
        <v>543</v>
      </c>
      <c r="C203" s="5" t="s">
        <v>544</v>
      </c>
      <c r="D203" s="6" t="s">
        <v>20</v>
      </c>
      <c r="E203" s="6" t="s">
        <v>160</v>
      </c>
      <c r="F203" s="7">
        <v>4</v>
      </c>
      <c r="G203" s="7">
        <v>83.98</v>
      </c>
      <c r="H203" s="7">
        <v>102.85</v>
      </c>
      <c r="I203" s="7">
        <v>335.92</v>
      </c>
      <c r="J203" s="7">
        <v>411.4</v>
      </c>
    </row>
    <row r="204" spans="1:10" ht="16" x14ac:dyDescent="0.35">
      <c r="A204" s="5" t="s">
        <v>545</v>
      </c>
      <c r="B204" s="6" t="s">
        <v>546</v>
      </c>
      <c r="C204" s="5" t="s">
        <v>547</v>
      </c>
      <c r="D204" s="6" t="s">
        <v>20</v>
      </c>
      <c r="E204" s="6" t="s">
        <v>160</v>
      </c>
      <c r="F204" s="7">
        <v>1</v>
      </c>
      <c r="G204" s="7">
        <v>3629.25</v>
      </c>
      <c r="H204" s="7">
        <v>4444.74</v>
      </c>
      <c r="I204" s="7">
        <v>3629.25</v>
      </c>
      <c r="J204" s="7">
        <v>4444.74</v>
      </c>
    </row>
    <row r="205" spans="1:10" ht="16" x14ac:dyDescent="0.35">
      <c r="A205" s="5" t="s">
        <v>548</v>
      </c>
      <c r="B205" s="6" t="s">
        <v>549</v>
      </c>
      <c r="C205" s="5" t="s">
        <v>550</v>
      </c>
      <c r="D205" s="6" t="s">
        <v>20</v>
      </c>
      <c r="E205" s="6" t="s">
        <v>160</v>
      </c>
      <c r="F205" s="7">
        <v>1</v>
      </c>
      <c r="G205" s="7">
        <v>7023.92</v>
      </c>
      <c r="H205" s="7">
        <v>8602.19</v>
      </c>
      <c r="I205" s="7">
        <v>7023.92</v>
      </c>
      <c r="J205" s="7">
        <v>8602.19</v>
      </c>
    </row>
    <row r="206" spans="1:10" ht="20.149999999999999" customHeight="1" x14ac:dyDescent="0.35">
      <c r="A206" s="3" t="s">
        <v>551</v>
      </c>
      <c r="B206" s="53" t="s">
        <v>552</v>
      </c>
      <c r="C206" s="53"/>
      <c r="D206" s="53"/>
      <c r="E206" s="53"/>
      <c r="F206" s="53"/>
      <c r="G206" s="53"/>
      <c r="H206" s="53"/>
      <c r="I206" s="4">
        <v>7362.66</v>
      </c>
      <c r="J206" s="4">
        <v>9016.69</v>
      </c>
    </row>
    <row r="207" spans="1:10" ht="16" x14ac:dyDescent="0.35">
      <c r="A207" s="5" t="s">
        <v>553</v>
      </c>
      <c r="B207" s="6" t="s">
        <v>554</v>
      </c>
      <c r="C207" s="5" t="s">
        <v>555</v>
      </c>
      <c r="D207" s="6" t="s">
        <v>20</v>
      </c>
      <c r="E207" s="6" t="s">
        <v>25</v>
      </c>
      <c r="F207" s="7">
        <v>29.25</v>
      </c>
      <c r="G207" s="7">
        <v>17.149999999999999</v>
      </c>
      <c r="H207" s="7">
        <v>21</v>
      </c>
      <c r="I207" s="7">
        <v>501.64</v>
      </c>
      <c r="J207" s="7">
        <v>614.25</v>
      </c>
    </row>
    <row r="208" spans="1:10" ht="16" x14ac:dyDescent="0.35">
      <c r="A208" s="5" t="s">
        <v>556</v>
      </c>
      <c r="B208" s="6" t="s">
        <v>557</v>
      </c>
      <c r="C208" s="5" t="s">
        <v>558</v>
      </c>
      <c r="D208" s="6" t="s">
        <v>20</v>
      </c>
      <c r="E208" s="6" t="s">
        <v>25</v>
      </c>
      <c r="F208" s="7">
        <v>37.79</v>
      </c>
      <c r="G208" s="7">
        <v>22.91</v>
      </c>
      <c r="H208" s="7">
        <v>28.06</v>
      </c>
      <c r="I208" s="7">
        <v>865.77</v>
      </c>
      <c r="J208" s="7">
        <v>1060.3900000000001</v>
      </c>
    </row>
    <row r="209" spans="1:10" ht="16" x14ac:dyDescent="0.35">
      <c r="A209" s="5" t="s">
        <v>559</v>
      </c>
      <c r="B209" s="6" t="s">
        <v>560</v>
      </c>
      <c r="C209" s="5" t="s">
        <v>561</v>
      </c>
      <c r="D209" s="6" t="s">
        <v>20</v>
      </c>
      <c r="E209" s="6" t="s">
        <v>25</v>
      </c>
      <c r="F209" s="7">
        <v>11.32</v>
      </c>
      <c r="G209" s="7">
        <v>28.85</v>
      </c>
      <c r="H209" s="7">
        <v>35.33</v>
      </c>
      <c r="I209" s="7">
        <v>326.58</v>
      </c>
      <c r="J209" s="7">
        <v>399.94</v>
      </c>
    </row>
    <row r="210" spans="1:10" ht="16" x14ac:dyDescent="0.35">
      <c r="A210" s="5" t="s">
        <v>562</v>
      </c>
      <c r="B210" s="6" t="s">
        <v>563</v>
      </c>
      <c r="C210" s="5" t="s">
        <v>564</v>
      </c>
      <c r="D210" s="6" t="s">
        <v>20</v>
      </c>
      <c r="E210" s="6" t="s">
        <v>25</v>
      </c>
      <c r="F210" s="7">
        <v>88.09</v>
      </c>
      <c r="G210" s="7">
        <v>20.309999999999999</v>
      </c>
      <c r="H210" s="7">
        <v>24.87</v>
      </c>
      <c r="I210" s="7">
        <v>1789.11</v>
      </c>
      <c r="J210" s="7">
        <v>2190.8000000000002</v>
      </c>
    </row>
    <row r="211" spans="1:10" ht="16" x14ac:dyDescent="0.35">
      <c r="A211" s="5" t="s">
        <v>565</v>
      </c>
      <c r="B211" s="6" t="s">
        <v>566</v>
      </c>
      <c r="C211" s="5" t="s">
        <v>567</v>
      </c>
      <c r="D211" s="6" t="s">
        <v>20</v>
      </c>
      <c r="E211" s="6" t="s">
        <v>160</v>
      </c>
      <c r="F211" s="7">
        <v>4</v>
      </c>
      <c r="G211" s="7">
        <v>234.76</v>
      </c>
      <c r="H211" s="7">
        <v>287.51</v>
      </c>
      <c r="I211" s="7">
        <v>939.04</v>
      </c>
      <c r="J211" s="7">
        <v>1150.04</v>
      </c>
    </row>
    <row r="212" spans="1:10" ht="16" x14ac:dyDescent="0.35">
      <c r="A212" s="5" t="s">
        <v>568</v>
      </c>
      <c r="B212" s="6" t="s">
        <v>569</v>
      </c>
      <c r="C212" s="5" t="s">
        <v>570</v>
      </c>
      <c r="D212" s="6" t="s">
        <v>20</v>
      </c>
      <c r="E212" s="6" t="s">
        <v>160</v>
      </c>
      <c r="F212" s="7">
        <v>4</v>
      </c>
      <c r="G212" s="7">
        <v>22.79</v>
      </c>
      <c r="H212" s="7">
        <v>27.91</v>
      </c>
      <c r="I212" s="7">
        <v>91.16</v>
      </c>
      <c r="J212" s="7">
        <v>111.64</v>
      </c>
    </row>
    <row r="213" spans="1:10" x14ac:dyDescent="0.35">
      <c r="A213" s="5" t="s">
        <v>571</v>
      </c>
      <c r="B213" s="6" t="s">
        <v>572</v>
      </c>
      <c r="C213" s="5" t="s">
        <v>573</v>
      </c>
      <c r="D213" s="6" t="s">
        <v>20</v>
      </c>
      <c r="E213" s="6" t="s">
        <v>160</v>
      </c>
      <c r="F213" s="7">
        <v>10</v>
      </c>
      <c r="G213" s="7">
        <v>14.65</v>
      </c>
      <c r="H213" s="7">
        <v>17.940000000000001</v>
      </c>
      <c r="I213" s="7">
        <v>146.5</v>
      </c>
      <c r="J213" s="7">
        <v>179.4</v>
      </c>
    </row>
    <row r="214" spans="1:10" ht="16" x14ac:dyDescent="0.35">
      <c r="A214" s="5" t="s">
        <v>574</v>
      </c>
      <c r="B214" s="6" t="s">
        <v>575</v>
      </c>
      <c r="C214" s="5" t="s">
        <v>576</v>
      </c>
      <c r="D214" s="6" t="s">
        <v>20</v>
      </c>
      <c r="E214" s="6" t="s">
        <v>160</v>
      </c>
      <c r="F214" s="7">
        <v>14</v>
      </c>
      <c r="G214" s="7">
        <v>11.09</v>
      </c>
      <c r="H214" s="7">
        <v>13.58</v>
      </c>
      <c r="I214" s="7">
        <v>155.26</v>
      </c>
      <c r="J214" s="7">
        <v>190.12</v>
      </c>
    </row>
    <row r="215" spans="1:10" ht="16" x14ac:dyDescent="0.35">
      <c r="A215" s="5" t="s">
        <v>577</v>
      </c>
      <c r="B215" s="6" t="s">
        <v>578</v>
      </c>
      <c r="C215" s="5" t="s">
        <v>579</v>
      </c>
      <c r="D215" s="6" t="s">
        <v>20</v>
      </c>
      <c r="E215" s="6" t="s">
        <v>160</v>
      </c>
      <c r="F215" s="7">
        <v>1</v>
      </c>
      <c r="G215" s="7">
        <v>8.15</v>
      </c>
      <c r="H215" s="7">
        <v>9.98</v>
      </c>
      <c r="I215" s="7">
        <v>8.15</v>
      </c>
      <c r="J215" s="7">
        <v>9.98</v>
      </c>
    </row>
    <row r="216" spans="1:10" ht="16" x14ac:dyDescent="0.35">
      <c r="A216" s="5" t="s">
        <v>580</v>
      </c>
      <c r="B216" s="6" t="s">
        <v>581</v>
      </c>
      <c r="C216" s="5" t="s">
        <v>582</v>
      </c>
      <c r="D216" s="6" t="s">
        <v>20</v>
      </c>
      <c r="E216" s="6" t="s">
        <v>160</v>
      </c>
      <c r="F216" s="7">
        <v>9</v>
      </c>
      <c r="G216" s="7">
        <v>24.78</v>
      </c>
      <c r="H216" s="7">
        <v>30.35</v>
      </c>
      <c r="I216" s="7">
        <v>223.02</v>
      </c>
      <c r="J216" s="7">
        <v>273.14999999999998</v>
      </c>
    </row>
    <row r="217" spans="1:10" ht="16" x14ac:dyDescent="0.35">
      <c r="A217" s="5" t="s">
        <v>583</v>
      </c>
      <c r="B217" s="6" t="s">
        <v>584</v>
      </c>
      <c r="C217" s="5" t="s">
        <v>585</v>
      </c>
      <c r="D217" s="6" t="s">
        <v>20</v>
      </c>
      <c r="E217" s="6" t="s">
        <v>160</v>
      </c>
      <c r="F217" s="7">
        <v>25</v>
      </c>
      <c r="G217" s="7">
        <v>9.44</v>
      </c>
      <c r="H217" s="7">
        <v>11.56</v>
      </c>
      <c r="I217" s="7">
        <v>236</v>
      </c>
      <c r="J217" s="7">
        <v>289</v>
      </c>
    </row>
    <row r="218" spans="1:10" ht="16" x14ac:dyDescent="0.35">
      <c r="A218" s="5" t="s">
        <v>586</v>
      </c>
      <c r="B218" s="6" t="s">
        <v>587</v>
      </c>
      <c r="C218" s="5" t="s">
        <v>588</v>
      </c>
      <c r="D218" s="6" t="s">
        <v>20</v>
      </c>
      <c r="E218" s="6" t="s">
        <v>160</v>
      </c>
      <c r="F218" s="7">
        <v>14</v>
      </c>
      <c r="G218" s="7">
        <v>7.31</v>
      </c>
      <c r="H218" s="7">
        <v>8.9499999999999993</v>
      </c>
      <c r="I218" s="7">
        <v>102.34</v>
      </c>
      <c r="J218" s="7">
        <v>125.3</v>
      </c>
    </row>
    <row r="219" spans="1:10" ht="16" x14ac:dyDescent="0.35">
      <c r="A219" s="5" t="s">
        <v>589</v>
      </c>
      <c r="B219" s="6" t="s">
        <v>590</v>
      </c>
      <c r="C219" s="5" t="s">
        <v>591</v>
      </c>
      <c r="D219" s="6" t="s">
        <v>20</v>
      </c>
      <c r="E219" s="6" t="s">
        <v>160</v>
      </c>
      <c r="F219" s="7">
        <v>4</v>
      </c>
      <c r="G219" s="7">
        <v>48.8</v>
      </c>
      <c r="H219" s="7">
        <v>59.77</v>
      </c>
      <c r="I219" s="7">
        <v>195.2</v>
      </c>
      <c r="J219" s="7">
        <v>239.08</v>
      </c>
    </row>
    <row r="220" spans="1:10" ht="16" x14ac:dyDescent="0.35">
      <c r="A220" s="5" t="s">
        <v>592</v>
      </c>
      <c r="B220" s="6" t="s">
        <v>593</v>
      </c>
      <c r="C220" s="5" t="s">
        <v>594</v>
      </c>
      <c r="D220" s="6" t="s">
        <v>20</v>
      </c>
      <c r="E220" s="6" t="s">
        <v>160</v>
      </c>
      <c r="F220" s="7">
        <v>1</v>
      </c>
      <c r="G220" s="7">
        <v>19.75</v>
      </c>
      <c r="H220" s="7">
        <v>24.19</v>
      </c>
      <c r="I220" s="7">
        <v>19.75</v>
      </c>
      <c r="J220" s="7">
        <v>24.19</v>
      </c>
    </row>
    <row r="221" spans="1:10" ht="16" x14ac:dyDescent="0.35">
      <c r="A221" s="5" t="s">
        <v>595</v>
      </c>
      <c r="B221" s="6" t="s">
        <v>596</v>
      </c>
      <c r="C221" s="5" t="s">
        <v>597</v>
      </c>
      <c r="D221" s="6" t="s">
        <v>20</v>
      </c>
      <c r="E221" s="6" t="s">
        <v>160</v>
      </c>
      <c r="F221" s="7">
        <v>5</v>
      </c>
      <c r="G221" s="7">
        <v>21.72</v>
      </c>
      <c r="H221" s="7">
        <v>26.6</v>
      </c>
      <c r="I221" s="7">
        <v>108.6</v>
      </c>
      <c r="J221" s="7">
        <v>133</v>
      </c>
    </row>
    <row r="222" spans="1:10" ht="16" x14ac:dyDescent="0.35">
      <c r="A222" s="5" t="s">
        <v>598</v>
      </c>
      <c r="B222" s="6" t="s">
        <v>599</v>
      </c>
      <c r="C222" s="5" t="s">
        <v>600</v>
      </c>
      <c r="D222" s="6" t="s">
        <v>20</v>
      </c>
      <c r="E222" s="6" t="s">
        <v>160</v>
      </c>
      <c r="F222" s="7">
        <v>11</v>
      </c>
      <c r="G222" s="7">
        <v>37.15</v>
      </c>
      <c r="H222" s="7">
        <v>45.5</v>
      </c>
      <c r="I222" s="7">
        <v>408.65</v>
      </c>
      <c r="J222" s="7">
        <v>500.5</v>
      </c>
    </row>
    <row r="223" spans="1:10" x14ac:dyDescent="0.35">
      <c r="A223" s="5" t="s">
        <v>601</v>
      </c>
      <c r="B223" s="6" t="s">
        <v>602</v>
      </c>
      <c r="C223" s="5" t="s">
        <v>603</v>
      </c>
      <c r="D223" s="6" t="s">
        <v>20</v>
      </c>
      <c r="E223" s="6" t="s">
        <v>160</v>
      </c>
      <c r="F223" s="7">
        <v>14</v>
      </c>
      <c r="G223" s="7">
        <v>20.16</v>
      </c>
      <c r="H223" s="7">
        <v>24.69</v>
      </c>
      <c r="I223" s="7">
        <v>282.24</v>
      </c>
      <c r="J223" s="7">
        <v>345.66</v>
      </c>
    </row>
    <row r="224" spans="1:10" x14ac:dyDescent="0.35">
      <c r="A224" s="5" t="s">
        <v>604</v>
      </c>
      <c r="B224" s="6" t="s">
        <v>605</v>
      </c>
      <c r="C224" s="5" t="s">
        <v>606</v>
      </c>
      <c r="D224" s="6" t="s">
        <v>226</v>
      </c>
      <c r="E224" s="6" t="s">
        <v>359</v>
      </c>
      <c r="F224" s="7">
        <v>8</v>
      </c>
      <c r="G224" s="7">
        <v>18.82</v>
      </c>
      <c r="H224" s="7">
        <v>23.05</v>
      </c>
      <c r="I224" s="7">
        <v>150.56</v>
      </c>
      <c r="J224" s="7">
        <v>184.4</v>
      </c>
    </row>
    <row r="225" spans="1:10" x14ac:dyDescent="0.35">
      <c r="A225" s="5" t="s">
        <v>607</v>
      </c>
      <c r="B225" s="6" t="s">
        <v>608</v>
      </c>
      <c r="C225" s="5" t="s">
        <v>609</v>
      </c>
      <c r="D225" s="6" t="s">
        <v>20</v>
      </c>
      <c r="E225" s="6" t="s">
        <v>160</v>
      </c>
      <c r="F225" s="7">
        <v>2</v>
      </c>
      <c r="G225" s="7">
        <v>10.83</v>
      </c>
      <c r="H225" s="7">
        <v>13.26</v>
      </c>
      <c r="I225" s="7">
        <v>21.66</v>
      </c>
      <c r="J225" s="7">
        <v>26.52</v>
      </c>
    </row>
    <row r="226" spans="1:10" ht="16" x14ac:dyDescent="0.35">
      <c r="A226" s="5" t="s">
        <v>610</v>
      </c>
      <c r="B226" s="6" t="s">
        <v>611</v>
      </c>
      <c r="C226" s="5" t="s">
        <v>612</v>
      </c>
      <c r="D226" s="6" t="s">
        <v>20</v>
      </c>
      <c r="E226" s="6" t="s">
        <v>160</v>
      </c>
      <c r="F226" s="7">
        <v>22</v>
      </c>
      <c r="G226" s="7">
        <v>8.09</v>
      </c>
      <c r="H226" s="7">
        <v>9.91</v>
      </c>
      <c r="I226" s="7">
        <v>177.98</v>
      </c>
      <c r="J226" s="7">
        <v>218.02</v>
      </c>
    </row>
    <row r="227" spans="1:10" ht="16" x14ac:dyDescent="0.35">
      <c r="A227" s="5" t="s">
        <v>613</v>
      </c>
      <c r="B227" s="6" t="s">
        <v>614</v>
      </c>
      <c r="C227" s="5" t="s">
        <v>615</v>
      </c>
      <c r="D227" s="6" t="s">
        <v>20</v>
      </c>
      <c r="E227" s="6" t="s">
        <v>160</v>
      </c>
      <c r="F227" s="7">
        <v>2</v>
      </c>
      <c r="G227" s="7">
        <v>47.69</v>
      </c>
      <c r="H227" s="7">
        <v>58.41</v>
      </c>
      <c r="I227" s="7">
        <v>95.38</v>
      </c>
      <c r="J227" s="7">
        <v>116.82</v>
      </c>
    </row>
    <row r="228" spans="1:10" ht="16" x14ac:dyDescent="0.35">
      <c r="A228" s="5" t="s">
        <v>616</v>
      </c>
      <c r="B228" s="6" t="s">
        <v>617</v>
      </c>
      <c r="C228" s="5" t="s">
        <v>618</v>
      </c>
      <c r="D228" s="6" t="s">
        <v>20</v>
      </c>
      <c r="E228" s="6" t="s">
        <v>160</v>
      </c>
      <c r="F228" s="7">
        <v>7</v>
      </c>
      <c r="G228" s="7">
        <v>43.34</v>
      </c>
      <c r="H228" s="7">
        <v>53.08</v>
      </c>
      <c r="I228" s="7">
        <v>303.38</v>
      </c>
      <c r="J228" s="7">
        <v>371.56</v>
      </c>
    </row>
    <row r="229" spans="1:10" ht="16" x14ac:dyDescent="0.35">
      <c r="A229" s="5" t="s">
        <v>619</v>
      </c>
      <c r="B229" s="6" t="s">
        <v>620</v>
      </c>
      <c r="C229" s="5" t="s">
        <v>621</v>
      </c>
      <c r="D229" s="6" t="s">
        <v>20</v>
      </c>
      <c r="E229" s="6" t="s">
        <v>160</v>
      </c>
      <c r="F229" s="7">
        <v>1</v>
      </c>
      <c r="G229" s="7">
        <v>214.69</v>
      </c>
      <c r="H229" s="7">
        <v>262.93</v>
      </c>
      <c r="I229" s="7">
        <v>214.69</v>
      </c>
      <c r="J229" s="7">
        <v>262.93</v>
      </c>
    </row>
    <row r="230" spans="1:10" ht="20.149999999999999" customHeight="1" x14ac:dyDescent="0.35">
      <c r="A230" s="3" t="s">
        <v>622</v>
      </c>
      <c r="B230" s="53" t="s">
        <v>623</v>
      </c>
      <c r="C230" s="53"/>
      <c r="D230" s="53"/>
      <c r="E230" s="53"/>
      <c r="F230" s="53"/>
      <c r="G230" s="53"/>
      <c r="H230" s="53"/>
      <c r="I230" s="4">
        <v>12216.92</v>
      </c>
      <c r="J230" s="4">
        <v>14962.02</v>
      </c>
    </row>
    <row r="231" spans="1:10" ht="16" x14ac:dyDescent="0.35">
      <c r="A231" s="5" t="s">
        <v>624</v>
      </c>
      <c r="B231" s="6" t="s">
        <v>625</v>
      </c>
      <c r="C231" s="5" t="s">
        <v>626</v>
      </c>
      <c r="D231" s="6" t="s">
        <v>20</v>
      </c>
      <c r="E231" s="6" t="s">
        <v>160</v>
      </c>
      <c r="F231" s="7">
        <v>4</v>
      </c>
      <c r="G231" s="7">
        <v>694.32</v>
      </c>
      <c r="H231" s="7">
        <v>850.33</v>
      </c>
      <c r="I231" s="7">
        <v>2777.28</v>
      </c>
      <c r="J231" s="7">
        <v>3401.32</v>
      </c>
    </row>
    <row r="232" spans="1:10" ht="16" x14ac:dyDescent="0.35">
      <c r="A232" s="5" t="s">
        <v>627</v>
      </c>
      <c r="B232" s="6" t="s">
        <v>628</v>
      </c>
      <c r="C232" s="5" t="s">
        <v>629</v>
      </c>
      <c r="D232" s="6" t="s">
        <v>20</v>
      </c>
      <c r="E232" s="6" t="s">
        <v>160</v>
      </c>
      <c r="F232" s="7">
        <v>4</v>
      </c>
      <c r="G232" s="7">
        <v>252.76</v>
      </c>
      <c r="H232" s="7">
        <v>309.56</v>
      </c>
      <c r="I232" s="7">
        <v>1011.04</v>
      </c>
      <c r="J232" s="7">
        <v>1238.24</v>
      </c>
    </row>
    <row r="233" spans="1:10" ht="24" x14ac:dyDescent="0.35">
      <c r="A233" s="5" t="s">
        <v>630</v>
      </c>
      <c r="B233" s="6" t="s">
        <v>631</v>
      </c>
      <c r="C233" s="5" t="s">
        <v>632</v>
      </c>
      <c r="D233" s="6" t="s">
        <v>20</v>
      </c>
      <c r="E233" s="6" t="s">
        <v>160</v>
      </c>
      <c r="F233" s="7">
        <v>4</v>
      </c>
      <c r="G233" s="7">
        <v>658.03</v>
      </c>
      <c r="H233" s="7">
        <v>805.89</v>
      </c>
      <c r="I233" s="7">
        <v>2632.12</v>
      </c>
      <c r="J233" s="7">
        <v>3223.56</v>
      </c>
    </row>
    <row r="234" spans="1:10" ht="16" x14ac:dyDescent="0.35">
      <c r="A234" s="5" t="s">
        <v>633</v>
      </c>
      <c r="B234" s="6" t="s">
        <v>634</v>
      </c>
      <c r="C234" s="5" t="s">
        <v>635</v>
      </c>
      <c r="D234" s="6" t="s">
        <v>20</v>
      </c>
      <c r="E234" s="6" t="s">
        <v>160</v>
      </c>
      <c r="F234" s="7">
        <v>4</v>
      </c>
      <c r="G234" s="7">
        <v>54.17</v>
      </c>
      <c r="H234" s="7">
        <v>66.34</v>
      </c>
      <c r="I234" s="7">
        <v>216.68</v>
      </c>
      <c r="J234" s="7">
        <v>265.36</v>
      </c>
    </row>
    <row r="235" spans="1:10" x14ac:dyDescent="0.35">
      <c r="A235" s="5" t="s">
        <v>636</v>
      </c>
      <c r="B235" s="6" t="s">
        <v>637</v>
      </c>
      <c r="C235" s="5" t="s">
        <v>638</v>
      </c>
      <c r="D235" s="6" t="s">
        <v>20</v>
      </c>
      <c r="E235" s="6" t="s">
        <v>160</v>
      </c>
      <c r="F235" s="7">
        <v>4</v>
      </c>
      <c r="G235" s="7">
        <v>24.88</v>
      </c>
      <c r="H235" s="7">
        <v>30.47</v>
      </c>
      <c r="I235" s="7">
        <v>99.52</v>
      </c>
      <c r="J235" s="7">
        <v>121.88</v>
      </c>
    </row>
    <row r="236" spans="1:10" ht="16" x14ac:dyDescent="0.35">
      <c r="A236" s="5" t="s">
        <v>639</v>
      </c>
      <c r="B236" s="6" t="s">
        <v>640</v>
      </c>
      <c r="C236" s="5" t="s">
        <v>641</v>
      </c>
      <c r="D236" s="6" t="s">
        <v>20</v>
      </c>
      <c r="E236" s="6" t="s">
        <v>160</v>
      </c>
      <c r="F236" s="7">
        <v>18</v>
      </c>
      <c r="G236" s="7">
        <v>304.45999999999998</v>
      </c>
      <c r="H236" s="7">
        <v>372.87</v>
      </c>
      <c r="I236" s="7">
        <v>5480.28</v>
      </c>
      <c r="J236" s="7">
        <v>6711.66</v>
      </c>
    </row>
    <row r="237" spans="1:10" ht="20.149999999999999" customHeight="1" x14ac:dyDescent="0.35">
      <c r="A237" s="3" t="s">
        <v>642</v>
      </c>
      <c r="B237" s="53" t="s">
        <v>643</v>
      </c>
      <c r="C237" s="53"/>
      <c r="D237" s="53"/>
      <c r="E237" s="53"/>
      <c r="F237" s="53"/>
      <c r="G237" s="53"/>
      <c r="H237" s="53"/>
      <c r="I237" s="4">
        <v>7425.38</v>
      </c>
      <c r="J237" s="4">
        <v>9093.89</v>
      </c>
    </row>
    <row r="238" spans="1:10" x14ac:dyDescent="0.35">
      <c r="A238" s="5" t="s">
        <v>644</v>
      </c>
      <c r="B238" s="6" t="s">
        <v>645</v>
      </c>
      <c r="C238" s="5" t="s">
        <v>646</v>
      </c>
      <c r="D238" s="6" t="s">
        <v>20</v>
      </c>
      <c r="E238" s="6" t="s">
        <v>160</v>
      </c>
      <c r="F238" s="7">
        <v>2</v>
      </c>
      <c r="G238" s="7">
        <v>502.28</v>
      </c>
      <c r="H238" s="7">
        <v>615.14</v>
      </c>
      <c r="I238" s="7">
        <v>1004.56</v>
      </c>
      <c r="J238" s="7">
        <v>1230.28</v>
      </c>
    </row>
    <row r="239" spans="1:10" ht="16" x14ac:dyDescent="0.35">
      <c r="A239" s="5" t="s">
        <v>647</v>
      </c>
      <c r="B239" s="6" t="s">
        <v>628</v>
      </c>
      <c r="C239" s="5" t="s">
        <v>629</v>
      </c>
      <c r="D239" s="6" t="s">
        <v>20</v>
      </c>
      <c r="E239" s="6" t="s">
        <v>160</v>
      </c>
      <c r="F239" s="7">
        <v>2</v>
      </c>
      <c r="G239" s="7">
        <v>252.76</v>
      </c>
      <c r="H239" s="7">
        <v>309.56</v>
      </c>
      <c r="I239" s="7">
        <v>505.52</v>
      </c>
      <c r="J239" s="7">
        <v>619.12</v>
      </c>
    </row>
    <row r="240" spans="1:10" ht="16" x14ac:dyDescent="0.35">
      <c r="A240" s="5" t="s">
        <v>648</v>
      </c>
      <c r="B240" s="6" t="s">
        <v>649</v>
      </c>
      <c r="C240" s="5" t="s">
        <v>650</v>
      </c>
      <c r="D240" s="6" t="s">
        <v>20</v>
      </c>
      <c r="E240" s="6" t="s">
        <v>160</v>
      </c>
      <c r="F240" s="7">
        <v>5</v>
      </c>
      <c r="G240" s="7">
        <v>322.24</v>
      </c>
      <c r="H240" s="7">
        <v>394.65</v>
      </c>
      <c r="I240" s="7">
        <v>1611.2</v>
      </c>
      <c r="J240" s="7">
        <v>1973.25</v>
      </c>
    </row>
    <row r="241" spans="1:10" ht="16" x14ac:dyDescent="0.35">
      <c r="A241" s="5" t="s">
        <v>651</v>
      </c>
      <c r="B241" s="6" t="s">
        <v>634</v>
      </c>
      <c r="C241" s="5" t="s">
        <v>635</v>
      </c>
      <c r="D241" s="6" t="s">
        <v>20</v>
      </c>
      <c r="E241" s="6" t="s">
        <v>160</v>
      </c>
      <c r="F241" s="7">
        <v>5</v>
      </c>
      <c r="G241" s="7">
        <v>54.17</v>
      </c>
      <c r="H241" s="7">
        <v>66.34</v>
      </c>
      <c r="I241" s="7">
        <v>270.85000000000002</v>
      </c>
      <c r="J241" s="7">
        <v>331.7</v>
      </c>
    </row>
    <row r="242" spans="1:10" x14ac:dyDescent="0.35">
      <c r="A242" s="5" t="s">
        <v>652</v>
      </c>
      <c r="B242" s="6" t="s">
        <v>637</v>
      </c>
      <c r="C242" s="5" t="s">
        <v>638</v>
      </c>
      <c r="D242" s="6" t="s">
        <v>20</v>
      </c>
      <c r="E242" s="6" t="s">
        <v>160</v>
      </c>
      <c r="F242" s="7">
        <v>3</v>
      </c>
      <c r="G242" s="7">
        <v>24.88</v>
      </c>
      <c r="H242" s="7">
        <v>30.47</v>
      </c>
      <c r="I242" s="7">
        <v>74.64</v>
      </c>
      <c r="J242" s="7">
        <v>91.41</v>
      </c>
    </row>
    <row r="243" spans="1:10" x14ac:dyDescent="0.35">
      <c r="A243" s="5" t="s">
        <v>653</v>
      </c>
      <c r="B243" s="6" t="s">
        <v>654</v>
      </c>
      <c r="C243" s="5" t="s">
        <v>655</v>
      </c>
      <c r="D243" s="6" t="s">
        <v>20</v>
      </c>
      <c r="E243" s="6" t="s">
        <v>160</v>
      </c>
      <c r="F243" s="7">
        <v>2</v>
      </c>
      <c r="G243" s="7">
        <v>101.07</v>
      </c>
      <c r="H243" s="7">
        <v>123.78</v>
      </c>
      <c r="I243" s="7">
        <v>202.14</v>
      </c>
      <c r="J243" s="7">
        <v>247.56</v>
      </c>
    </row>
    <row r="244" spans="1:10" x14ac:dyDescent="0.35">
      <c r="A244" s="5" t="s">
        <v>656</v>
      </c>
      <c r="B244" s="6" t="s">
        <v>657</v>
      </c>
      <c r="C244" s="5" t="s">
        <v>658</v>
      </c>
      <c r="D244" s="6" t="s">
        <v>15</v>
      </c>
      <c r="E244" s="6" t="s">
        <v>16</v>
      </c>
      <c r="F244" s="7">
        <v>6.13</v>
      </c>
      <c r="G244" s="7">
        <v>437.01</v>
      </c>
      <c r="H244" s="7">
        <v>535.21</v>
      </c>
      <c r="I244" s="7">
        <v>2678.87</v>
      </c>
      <c r="J244" s="7">
        <v>3280.84</v>
      </c>
    </row>
    <row r="245" spans="1:10" ht="16" x14ac:dyDescent="0.35">
      <c r="A245" s="5" t="s">
        <v>659</v>
      </c>
      <c r="B245" s="6" t="s">
        <v>150</v>
      </c>
      <c r="C245" s="5" t="s">
        <v>151</v>
      </c>
      <c r="D245" s="6" t="s">
        <v>20</v>
      </c>
      <c r="E245" s="6" t="s">
        <v>21</v>
      </c>
      <c r="F245" s="7">
        <v>1.92</v>
      </c>
      <c r="G245" s="7">
        <v>561.25</v>
      </c>
      <c r="H245" s="7">
        <v>687.36</v>
      </c>
      <c r="I245" s="7">
        <v>1077.5999999999999</v>
      </c>
      <c r="J245" s="7">
        <v>1319.73</v>
      </c>
    </row>
    <row r="246" spans="1:10" ht="20.149999999999999" customHeight="1" x14ac:dyDescent="0.35">
      <c r="A246" s="3" t="s">
        <v>660</v>
      </c>
      <c r="B246" s="53" t="s">
        <v>661</v>
      </c>
      <c r="C246" s="53"/>
      <c r="D246" s="53"/>
      <c r="E246" s="53"/>
      <c r="F246" s="53"/>
      <c r="G246" s="53"/>
      <c r="H246" s="53"/>
      <c r="I246" s="4">
        <v>6073.31</v>
      </c>
      <c r="J246" s="4">
        <v>7437.98</v>
      </c>
    </row>
    <row r="247" spans="1:10" ht="16" x14ac:dyDescent="0.35">
      <c r="A247" s="5" t="s">
        <v>662</v>
      </c>
      <c r="B247" s="6" t="s">
        <v>663</v>
      </c>
      <c r="C247" s="5" t="s">
        <v>664</v>
      </c>
      <c r="D247" s="6" t="s">
        <v>20</v>
      </c>
      <c r="E247" s="6" t="s">
        <v>160</v>
      </c>
      <c r="F247" s="7">
        <v>3</v>
      </c>
      <c r="G247" s="7">
        <v>280.42</v>
      </c>
      <c r="H247" s="7">
        <v>343.43</v>
      </c>
      <c r="I247" s="7">
        <v>841.26</v>
      </c>
      <c r="J247" s="7">
        <v>1030.29</v>
      </c>
    </row>
    <row r="248" spans="1:10" ht="16" x14ac:dyDescent="0.35">
      <c r="A248" s="5" t="s">
        <v>665</v>
      </c>
      <c r="B248" s="6" t="s">
        <v>628</v>
      </c>
      <c r="C248" s="5" t="s">
        <v>629</v>
      </c>
      <c r="D248" s="6" t="s">
        <v>20</v>
      </c>
      <c r="E248" s="6" t="s">
        <v>160</v>
      </c>
      <c r="F248" s="7">
        <v>3</v>
      </c>
      <c r="G248" s="7">
        <v>252.76</v>
      </c>
      <c r="H248" s="7">
        <v>309.56</v>
      </c>
      <c r="I248" s="7">
        <v>758.28</v>
      </c>
      <c r="J248" s="7">
        <v>928.68</v>
      </c>
    </row>
    <row r="249" spans="1:10" ht="16" x14ac:dyDescent="0.35">
      <c r="A249" s="5" t="s">
        <v>666</v>
      </c>
      <c r="B249" s="6" t="s">
        <v>649</v>
      </c>
      <c r="C249" s="5" t="s">
        <v>650</v>
      </c>
      <c r="D249" s="6" t="s">
        <v>20</v>
      </c>
      <c r="E249" s="6" t="s">
        <v>160</v>
      </c>
      <c r="F249" s="7">
        <v>3</v>
      </c>
      <c r="G249" s="7">
        <v>322.24</v>
      </c>
      <c r="H249" s="7">
        <v>394.65</v>
      </c>
      <c r="I249" s="7">
        <v>966.72</v>
      </c>
      <c r="J249" s="7">
        <v>1183.95</v>
      </c>
    </row>
    <row r="250" spans="1:10" ht="16" x14ac:dyDescent="0.35">
      <c r="A250" s="5" t="s">
        <v>667</v>
      </c>
      <c r="B250" s="6" t="s">
        <v>634</v>
      </c>
      <c r="C250" s="5" t="s">
        <v>635</v>
      </c>
      <c r="D250" s="6" t="s">
        <v>20</v>
      </c>
      <c r="E250" s="6" t="s">
        <v>160</v>
      </c>
      <c r="F250" s="7">
        <v>3</v>
      </c>
      <c r="G250" s="7">
        <v>54.17</v>
      </c>
      <c r="H250" s="7">
        <v>66.34</v>
      </c>
      <c r="I250" s="7">
        <v>162.51</v>
      </c>
      <c r="J250" s="7">
        <v>199.02</v>
      </c>
    </row>
    <row r="251" spans="1:10" x14ac:dyDescent="0.35">
      <c r="A251" s="5" t="s">
        <v>668</v>
      </c>
      <c r="B251" s="6" t="s">
        <v>637</v>
      </c>
      <c r="C251" s="5" t="s">
        <v>638</v>
      </c>
      <c r="D251" s="6" t="s">
        <v>20</v>
      </c>
      <c r="E251" s="6" t="s">
        <v>160</v>
      </c>
      <c r="F251" s="7">
        <v>3</v>
      </c>
      <c r="G251" s="7">
        <v>24.88</v>
      </c>
      <c r="H251" s="7">
        <v>30.47</v>
      </c>
      <c r="I251" s="7">
        <v>74.64</v>
      </c>
      <c r="J251" s="7">
        <v>91.41</v>
      </c>
    </row>
    <row r="252" spans="1:10" x14ac:dyDescent="0.35">
      <c r="A252" s="5" t="s">
        <v>669</v>
      </c>
      <c r="B252" s="6" t="s">
        <v>654</v>
      </c>
      <c r="C252" s="5" t="s">
        <v>655</v>
      </c>
      <c r="D252" s="6" t="s">
        <v>20</v>
      </c>
      <c r="E252" s="6" t="s">
        <v>160</v>
      </c>
      <c r="F252" s="7">
        <v>2</v>
      </c>
      <c r="G252" s="7">
        <v>101.07</v>
      </c>
      <c r="H252" s="7">
        <v>123.78</v>
      </c>
      <c r="I252" s="7">
        <v>202.14</v>
      </c>
      <c r="J252" s="7">
        <v>247.56</v>
      </c>
    </row>
    <row r="253" spans="1:10" x14ac:dyDescent="0.35">
      <c r="A253" s="5" t="s">
        <v>670</v>
      </c>
      <c r="B253" s="6" t="s">
        <v>657</v>
      </c>
      <c r="C253" s="5" t="s">
        <v>658</v>
      </c>
      <c r="D253" s="6" t="s">
        <v>15</v>
      </c>
      <c r="E253" s="6" t="s">
        <v>16</v>
      </c>
      <c r="F253" s="7">
        <v>1.9</v>
      </c>
      <c r="G253" s="7">
        <v>437.01</v>
      </c>
      <c r="H253" s="7">
        <v>535.21</v>
      </c>
      <c r="I253" s="7">
        <v>830.32</v>
      </c>
      <c r="J253" s="7">
        <v>1016.9</v>
      </c>
    </row>
    <row r="254" spans="1:10" x14ac:dyDescent="0.35">
      <c r="A254" s="5" t="s">
        <v>671</v>
      </c>
      <c r="B254" s="6" t="s">
        <v>657</v>
      </c>
      <c r="C254" s="5" t="s">
        <v>658</v>
      </c>
      <c r="D254" s="6" t="s">
        <v>15</v>
      </c>
      <c r="E254" s="6" t="s">
        <v>16</v>
      </c>
      <c r="F254" s="7">
        <v>5.12</v>
      </c>
      <c r="G254" s="7">
        <v>437</v>
      </c>
      <c r="H254" s="7">
        <v>535.19000000000005</v>
      </c>
      <c r="I254" s="7">
        <v>2237.44</v>
      </c>
      <c r="J254" s="7">
        <v>2740.17</v>
      </c>
    </row>
    <row r="255" spans="1:10" ht="20.149999999999999" customHeight="1" x14ac:dyDescent="0.35">
      <c r="A255" s="3" t="s">
        <v>672</v>
      </c>
      <c r="B255" s="53" t="s">
        <v>673</v>
      </c>
      <c r="C255" s="53"/>
      <c r="D255" s="53"/>
      <c r="E255" s="53"/>
      <c r="F255" s="53"/>
      <c r="G255" s="53"/>
      <c r="H255" s="53"/>
      <c r="I255" s="4">
        <v>8511.42</v>
      </c>
      <c r="J255" s="4">
        <v>10423.969999999999</v>
      </c>
    </row>
    <row r="256" spans="1:10" ht="16" x14ac:dyDescent="0.35">
      <c r="A256" s="5" t="s">
        <v>674</v>
      </c>
      <c r="B256" s="6" t="s">
        <v>649</v>
      </c>
      <c r="C256" s="5" t="s">
        <v>650</v>
      </c>
      <c r="D256" s="6" t="s">
        <v>20</v>
      </c>
      <c r="E256" s="6" t="s">
        <v>160</v>
      </c>
      <c r="F256" s="7">
        <v>1</v>
      </c>
      <c r="G256" s="7">
        <v>322.24</v>
      </c>
      <c r="H256" s="7">
        <v>394.65</v>
      </c>
      <c r="I256" s="7">
        <v>322.24</v>
      </c>
      <c r="J256" s="7">
        <v>394.65</v>
      </c>
    </row>
    <row r="257" spans="1:10" ht="24" x14ac:dyDescent="0.35">
      <c r="A257" s="5" t="s">
        <v>675</v>
      </c>
      <c r="B257" s="6" t="s">
        <v>676</v>
      </c>
      <c r="C257" s="5" t="s">
        <v>677</v>
      </c>
      <c r="D257" s="6" t="s">
        <v>20</v>
      </c>
      <c r="E257" s="6" t="s">
        <v>160</v>
      </c>
      <c r="F257" s="7">
        <v>4</v>
      </c>
      <c r="G257" s="7">
        <v>724.46</v>
      </c>
      <c r="H257" s="7">
        <v>887.25</v>
      </c>
      <c r="I257" s="7">
        <v>2897.84</v>
      </c>
      <c r="J257" s="7">
        <v>3549</v>
      </c>
    </row>
    <row r="258" spans="1:10" ht="16" x14ac:dyDescent="0.35">
      <c r="A258" s="5" t="s">
        <v>678</v>
      </c>
      <c r="B258" s="6" t="s">
        <v>634</v>
      </c>
      <c r="C258" s="5" t="s">
        <v>635</v>
      </c>
      <c r="D258" s="6" t="s">
        <v>20</v>
      </c>
      <c r="E258" s="6" t="s">
        <v>160</v>
      </c>
      <c r="F258" s="7">
        <v>5</v>
      </c>
      <c r="G258" s="7">
        <v>54.17</v>
      </c>
      <c r="H258" s="7">
        <v>66.34</v>
      </c>
      <c r="I258" s="7">
        <v>270.85000000000002</v>
      </c>
      <c r="J258" s="7">
        <v>331.7</v>
      </c>
    </row>
    <row r="259" spans="1:10" ht="16" x14ac:dyDescent="0.35">
      <c r="A259" s="5" t="s">
        <v>679</v>
      </c>
      <c r="B259" s="6" t="s">
        <v>680</v>
      </c>
      <c r="C259" s="5" t="s">
        <v>681</v>
      </c>
      <c r="D259" s="6" t="s">
        <v>20</v>
      </c>
      <c r="E259" s="6" t="s">
        <v>160</v>
      </c>
      <c r="F259" s="7">
        <v>11</v>
      </c>
      <c r="G259" s="7">
        <v>39.659999999999997</v>
      </c>
      <c r="H259" s="7">
        <v>48.57</v>
      </c>
      <c r="I259" s="7">
        <v>436.26</v>
      </c>
      <c r="J259" s="7">
        <v>534.27</v>
      </c>
    </row>
    <row r="260" spans="1:10" x14ac:dyDescent="0.35">
      <c r="A260" s="5" t="s">
        <v>682</v>
      </c>
      <c r="B260" s="6" t="s">
        <v>657</v>
      </c>
      <c r="C260" s="5" t="s">
        <v>658</v>
      </c>
      <c r="D260" s="6" t="s">
        <v>15</v>
      </c>
      <c r="E260" s="6" t="s">
        <v>16</v>
      </c>
      <c r="F260" s="7">
        <v>10.49</v>
      </c>
      <c r="G260" s="7">
        <v>437.01</v>
      </c>
      <c r="H260" s="7">
        <v>535.21</v>
      </c>
      <c r="I260" s="7">
        <v>4584.2299999999996</v>
      </c>
      <c r="J260" s="7">
        <v>5614.35</v>
      </c>
    </row>
    <row r="261" spans="1:10" ht="20.149999999999999" customHeight="1" x14ac:dyDescent="0.35">
      <c r="A261" s="3" t="s">
        <v>683</v>
      </c>
      <c r="B261" s="53" t="s">
        <v>684</v>
      </c>
      <c r="C261" s="53"/>
      <c r="D261" s="53"/>
      <c r="E261" s="53"/>
      <c r="F261" s="53"/>
      <c r="G261" s="53"/>
      <c r="H261" s="53"/>
      <c r="I261" s="4">
        <v>4969.9799999999996</v>
      </c>
      <c r="J261" s="4">
        <v>6088.84</v>
      </c>
    </row>
    <row r="262" spans="1:10" ht="16" x14ac:dyDescent="0.35">
      <c r="A262" s="5" t="s">
        <v>685</v>
      </c>
      <c r="B262" s="6" t="s">
        <v>686</v>
      </c>
      <c r="C262" s="5" t="s">
        <v>687</v>
      </c>
      <c r="D262" s="6" t="s">
        <v>20</v>
      </c>
      <c r="E262" s="6" t="s">
        <v>160</v>
      </c>
      <c r="F262" s="7">
        <v>4</v>
      </c>
      <c r="G262" s="7">
        <v>320.22000000000003</v>
      </c>
      <c r="H262" s="7">
        <v>392.17</v>
      </c>
      <c r="I262" s="7">
        <v>1280.8800000000001</v>
      </c>
      <c r="J262" s="7">
        <v>1568.68</v>
      </c>
    </row>
    <row r="263" spans="1:10" ht="16" x14ac:dyDescent="0.35">
      <c r="A263" s="5" t="s">
        <v>688</v>
      </c>
      <c r="B263" s="6" t="s">
        <v>689</v>
      </c>
      <c r="C263" s="5" t="s">
        <v>690</v>
      </c>
      <c r="D263" s="6" t="s">
        <v>20</v>
      </c>
      <c r="E263" s="6" t="s">
        <v>160</v>
      </c>
      <c r="F263" s="7">
        <v>4</v>
      </c>
      <c r="G263" s="7">
        <v>282.24</v>
      </c>
      <c r="H263" s="7">
        <v>345.66</v>
      </c>
      <c r="I263" s="7">
        <v>1128.96</v>
      </c>
      <c r="J263" s="7">
        <v>1382.64</v>
      </c>
    </row>
    <row r="264" spans="1:10" x14ac:dyDescent="0.35">
      <c r="A264" s="5" t="s">
        <v>691</v>
      </c>
      <c r="B264" s="6" t="s">
        <v>692</v>
      </c>
      <c r="C264" s="5" t="s">
        <v>693</v>
      </c>
      <c r="D264" s="6" t="s">
        <v>20</v>
      </c>
      <c r="E264" s="6" t="s">
        <v>21</v>
      </c>
      <c r="F264" s="7">
        <v>12</v>
      </c>
      <c r="G264" s="7">
        <v>55.58</v>
      </c>
      <c r="H264" s="7">
        <v>68.069999999999993</v>
      </c>
      <c r="I264" s="7">
        <v>666.96</v>
      </c>
      <c r="J264" s="7">
        <v>816.84</v>
      </c>
    </row>
    <row r="265" spans="1:10" x14ac:dyDescent="0.35">
      <c r="A265" s="5" t="s">
        <v>694</v>
      </c>
      <c r="B265" s="6" t="s">
        <v>695</v>
      </c>
      <c r="C265" s="5" t="s">
        <v>696</v>
      </c>
      <c r="D265" s="6" t="s">
        <v>20</v>
      </c>
      <c r="E265" s="6" t="s">
        <v>21</v>
      </c>
      <c r="F265" s="7">
        <v>763.38</v>
      </c>
      <c r="G265" s="7">
        <v>2.48</v>
      </c>
      <c r="H265" s="7">
        <v>3.04</v>
      </c>
      <c r="I265" s="7">
        <v>1893.18</v>
      </c>
      <c r="J265" s="7">
        <v>2320.6799999999998</v>
      </c>
    </row>
    <row r="266" spans="1:10" ht="15" customHeight="1" x14ac:dyDescent="0.35">
      <c r="A266" s="8"/>
      <c r="B266" s="8"/>
      <c r="C266" s="8"/>
      <c r="D266" s="8"/>
      <c r="E266" s="8"/>
      <c r="F266" s="8"/>
      <c r="G266" s="8"/>
      <c r="H266" s="54" t="s">
        <v>697</v>
      </c>
      <c r="I266" s="54"/>
      <c r="J266" s="4">
        <v>167494.07</v>
      </c>
    </row>
    <row r="267" spans="1:10" ht="15" customHeight="1" x14ac:dyDescent="0.35">
      <c r="A267" s="8"/>
      <c r="B267" s="8"/>
      <c r="C267" s="8"/>
      <c r="D267" s="8"/>
      <c r="E267" s="8"/>
      <c r="F267" s="8"/>
      <c r="G267" s="8"/>
      <c r="H267" s="54" t="s">
        <v>698</v>
      </c>
      <c r="I267" s="54"/>
      <c r="J267" s="4">
        <v>745431.95</v>
      </c>
    </row>
    <row r="268" spans="1:10" ht="15" customHeight="1" x14ac:dyDescent="0.35">
      <c r="A268" s="8"/>
      <c r="B268" s="8"/>
      <c r="C268" s="8"/>
      <c r="D268" s="8"/>
      <c r="E268" s="8"/>
      <c r="F268" s="8"/>
      <c r="G268" s="8"/>
      <c r="H268" s="54" t="s">
        <v>699</v>
      </c>
      <c r="I268" s="54"/>
      <c r="J268" s="4">
        <v>912926.02</v>
      </c>
    </row>
  </sheetData>
  <mergeCells count="39">
    <mergeCell ref="A1:J1"/>
    <mergeCell ref="A2:A3"/>
    <mergeCell ref="B2:B3"/>
    <mergeCell ref="C2:C3"/>
    <mergeCell ref="D2:D3"/>
    <mergeCell ref="E2:E3"/>
    <mergeCell ref="F2:F3"/>
    <mergeCell ref="G2:H2"/>
    <mergeCell ref="I2:J2"/>
    <mergeCell ref="B4:H4"/>
    <mergeCell ref="B8:H8"/>
    <mergeCell ref="B13:H13"/>
    <mergeCell ref="B23:H23"/>
    <mergeCell ref="B30:H30"/>
    <mergeCell ref="B38:H38"/>
    <mergeCell ref="B48:H48"/>
    <mergeCell ref="B52:H52"/>
    <mergeCell ref="B60:H60"/>
    <mergeCell ref="B62:H62"/>
    <mergeCell ref="B66:H66"/>
    <mergeCell ref="B70:H70"/>
    <mergeCell ref="B72:H72"/>
    <mergeCell ref="B79:H79"/>
    <mergeCell ref="B83:H83"/>
    <mergeCell ref="B86:H86"/>
    <mergeCell ref="B95:H95"/>
    <mergeCell ref="B106:H106"/>
    <mergeCell ref="B110:H110"/>
    <mergeCell ref="B117:H117"/>
    <mergeCell ref="B166:H166"/>
    <mergeCell ref="B206:H206"/>
    <mergeCell ref="B230:H230"/>
    <mergeCell ref="B237:H237"/>
    <mergeCell ref="B246:H246"/>
    <mergeCell ref="B255:H255"/>
    <mergeCell ref="B261:H261"/>
    <mergeCell ref="H266:I266"/>
    <mergeCell ref="H267:I267"/>
    <mergeCell ref="H268:I268"/>
  </mergeCells>
  <pageMargins left="0" right="0" top="0" bottom="0" header="0" footer="0"/>
  <pageSetup scale="8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367"/>
  <sheetViews>
    <sheetView workbookViewId="0">
      <selection activeCell="H1" sqref="H1"/>
    </sheetView>
  </sheetViews>
  <sheetFormatPr defaultRowHeight="14.5" x14ac:dyDescent="0.35"/>
  <cols>
    <col min="1" max="1" width="10.26953125" customWidth="1"/>
    <col min="2" max="2" width="48.81640625" customWidth="1"/>
    <col min="3" max="3" width="12.453125" customWidth="1"/>
    <col min="4" max="4" width="6.1796875" customWidth="1"/>
    <col min="5" max="7" width="12.453125" customWidth="1"/>
  </cols>
  <sheetData>
    <row r="1" spans="1:7" ht="102" customHeight="1" x14ac:dyDescent="0.35">
      <c r="A1" s="55"/>
      <c r="B1" s="55"/>
      <c r="C1" s="55"/>
      <c r="D1" s="55"/>
      <c r="E1" s="55"/>
      <c r="F1" s="55"/>
      <c r="G1" s="55"/>
    </row>
    <row r="2" spans="1:7" ht="10" customHeight="1" x14ac:dyDescent="0.35">
      <c r="A2" s="8"/>
      <c r="B2" s="8"/>
      <c r="C2" s="57"/>
      <c r="D2" s="57"/>
      <c r="E2" s="8"/>
      <c r="F2" s="8"/>
      <c r="G2" s="8"/>
    </row>
    <row r="3" spans="1:7" ht="20.149999999999999" customHeight="1" x14ac:dyDescent="0.35">
      <c r="A3" s="58" t="s">
        <v>700</v>
      </c>
      <c r="B3" s="58"/>
      <c r="C3" s="58"/>
      <c r="D3" s="58"/>
      <c r="E3" s="58"/>
      <c r="F3" s="58"/>
      <c r="G3" s="58"/>
    </row>
    <row r="4" spans="1:7" ht="15" customHeight="1" x14ac:dyDescent="0.35">
      <c r="A4" s="59" t="s">
        <v>701</v>
      </c>
      <c r="B4" s="59"/>
      <c r="C4" s="9" t="s">
        <v>3</v>
      </c>
      <c r="D4" s="9" t="s">
        <v>4</v>
      </c>
      <c r="E4" s="9" t="s">
        <v>702</v>
      </c>
      <c r="F4" s="9" t="s">
        <v>703</v>
      </c>
      <c r="G4" s="9" t="s">
        <v>704</v>
      </c>
    </row>
    <row r="5" spans="1:7" ht="29.15" customHeight="1" x14ac:dyDescent="0.35">
      <c r="A5" s="10" t="s">
        <v>705</v>
      </c>
      <c r="B5" s="11" t="s">
        <v>706</v>
      </c>
      <c r="C5" s="10" t="s">
        <v>707</v>
      </c>
      <c r="D5" s="10" t="s">
        <v>21</v>
      </c>
      <c r="E5" s="12">
        <v>0.49107142999999998</v>
      </c>
      <c r="F5" s="13">
        <v>196</v>
      </c>
      <c r="G5" s="13">
        <v>96.25</v>
      </c>
    </row>
    <row r="6" spans="1:7" ht="20.149999999999999" customHeight="1" x14ac:dyDescent="0.35">
      <c r="A6" s="10" t="s">
        <v>708</v>
      </c>
      <c r="B6" s="11" t="s">
        <v>709</v>
      </c>
      <c r="C6" s="10" t="s">
        <v>20</v>
      </c>
      <c r="D6" s="10" t="s">
        <v>25</v>
      </c>
      <c r="E6" s="12">
        <v>1.9642857199999999</v>
      </c>
      <c r="F6" s="13">
        <v>13.34</v>
      </c>
      <c r="G6" s="13">
        <v>26.2</v>
      </c>
    </row>
    <row r="7" spans="1:7" ht="15" customHeight="1" x14ac:dyDescent="0.35">
      <c r="A7" s="10" t="s">
        <v>710</v>
      </c>
      <c r="B7" s="11" t="s">
        <v>711</v>
      </c>
      <c r="C7" s="10" t="s">
        <v>20</v>
      </c>
      <c r="D7" s="10" t="s">
        <v>56</v>
      </c>
      <c r="E7" s="12">
        <v>5.4017860000000001E-2</v>
      </c>
      <c r="F7" s="13">
        <v>24.92</v>
      </c>
      <c r="G7" s="13">
        <v>1.35</v>
      </c>
    </row>
    <row r="8" spans="1:7" ht="20.149999999999999" customHeight="1" x14ac:dyDescent="0.35">
      <c r="A8" s="10" t="s">
        <v>712</v>
      </c>
      <c r="B8" s="11" t="s">
        <v>713</v>
      </c>
      <c r="C8" s="10" t="s">
        <v>20</v>
      </c>
      <c r="D8" s="10" t="s">
        <v>25</v>
      </c>
      <c r="E8" s="12">
        <v>0.49107142999999998</v>
      </c>
      <c r="F8" s="13">
        <v>5.6</v>
      </c>
      <c r="G8" s="13">
        <v>2.75</v>
      </c>
    </row>
    <row r="9" spans="1:7" ht="15" customHeight="1" x14ac:dyDescent="0.35">
      <c r="A9" s="8"/>
      <c r="B9" s="8"/>
      <c r="C9" s="8"/>
      <c r="D9" s="8"/>
      <c r="E9" s="60" t="s">
        <v>714</v>
      </c>
      <c r="F9" s="60"/>
      <c r="G9" s="14">
        <v>126.55</v>
      </c>
    </row>
    <row r="10" spans="1:7" ht="15" customHeight="1" x14ac:dyDescent="0.35">
      <c r="A10" s="59" t="s">
        <v>715</v>
      </c>
      <c r="B10" s="59"/>
      <c r="C10" s="9" t="s">
        <v>3</v>
      </c>
      <c r="D10" s="9" t="s">
        <v>4</v>
      </c>
      <c r="E10" s="9" t="s">
        <v>702</v>
      </c>
      <c r="F10" s="9" t="s">
        <v>703</v>
      </c>
      <c r="G10" s="9" t="s">
        <v>704</v>
      </c>
    </row>
    <row r="11" spans="1:7" ht="15" customHeight="1" x14ac:dyDescent="0.35">
      <c r="A11" s="10" t="s">
        <v>716</v>
      </c>
      <c r="B11" s="11" t="s">
        <v>717</v>
      </c>
      <c r="C11" s="10" t="s">
        <v>20</v>
      </c>
      <c r="D11" s="10" t="s">
        <v>718</v>
      </c>
      <c r="E11" s="12">
        <v>0.49107142999999998</v>
      </c>
      <c r="F11" s="13">
        <v>19.34</v>
      </c>
      <c r="G11" s="13">
        <v>9.5</v>
      </c>
    </row>
    <row r="12" spans="1:7" ht="15" customHeight="1" x14ac:dyDescent="0.35">
      <c r="A12" s="10" t="s">
        <v>719</v>
      </c>
      <c r="B12" s="11" t="s">
        <v>720</v>
      </c>
      <c r="C12" s="10" t="s">
        <v>20</v>
      </c>
      <c r="D12" s="10" t="s">
        <v>718</v>
      </c>
      <c r="E12" s="12">
        <v>0.98214285999999995</v>
      </c>
      <c r="F12" s="13">
        <v>15.53</v>
      </c>
      <c r="G12" s="13">
        <v>15.25</v>
      </c>
    </row>
    <row r="13" spans="1:7" ht="18" customHeight="1" x14ac:dyDescent="0.35">
      <c r="A13" s="8"/>
      <c r="B13" s="8"/>
      <c r="C13" s="8"/>
      <c r="D13" s="8"/>
      <c r="E13" s="60" t="s">
        <v>721</v>
      </c>
      <c r="F13" s="60"/>
      <c r="G13" s="14">
        <v>24.75</v>
      </c>
    </row>
    <row r="14" spans="1:7" ht="15" customHeight="1" x14ac:dyDescent="0.35">
      <c r="A14" s="59" t="s">
        <v>722</v>
      </c>
      <c r="B14" s="59"/>
      <c r="C14" s="9" t="s">
        <v>3</v>
      </c>
      <c r="D14" s="9" t="s">
        <v>4</v>
      </c>
      <c r="E14" s="9" t="s">
        <v>702</v>
      </c>
      <c r="F14" s="9" t="s">
        <v>703</v>
      </c>
      <c r="G14" s="9" t="s">
        <v>704</v>
      </c>
    </row>
    <row r="15" spans="1:7" ht="29.15" customHeight="1" x14ac:dyDescent="0.35">
      <c r="A15" s="10" t="s">
        <v>723</v>
      </c>
      <c r="B15" s="11" t="s">
        <v>724</v>
      </c>
      <c r="C15" s="10" t="s">
        <v>20</v>
      </c>
      <c r="D15" s="10" t="s">
        <v>31</v>
      </c>
      <c r="E15" s="12">
        <v>4.9107100000000004E-3</v>
      </c>
      <c r="F15" s="13">
        <v>355.82</v>
      </c>
      <c r="G15" s="13">
        <v>1.75</v>
      </c>
    </row>
    <row r="16" spans="1:7" ht="15" customHeight="1" x14ac:dyDescent="0.35">
      <c r="A16" s="8"/>
      <c r="B16" s="8"/>
      <c r="C16" s="8"/>
      <c r="D16" s="8"/>
      <c r="E16" s="60" t="s">
        <v>725</v>
      </c>
      <c r="F16" s="60"/>
      <c r="G16" s="14">
        <v>1.75</v>
      </c>
    </row>
    <row r="17" spans="1:7" ht="15" customHeight="1" x14ac:dyDescent="0.35">
      <c r="A17" s="8"/>
      <c r="B17" s="8"/>
      <c r="C17" s="8"/>
      <c r="D17" s="8"/>
      <c r="E17" s="61" t="s">
        <v>726</v>
      </c>
      <c r="F17" s="61"/>
      <c r="G17" s="4">
        <v>153.05000000000001</v>
      </c>
    </row>
    <row r="18" spans="1:7" ht="10" customHeight="1" x14ac:dyDescent="0.35">
      <c r="A18" s="8"/>
      <c r="B18" s="8"/>
      <c r="C18" s="57"/>
      <c r="D18" s="57"/>
      <c r="E18" s="8"/>
      <c r="F18" s="8"/>
      <c r="G18" s="8"/>
    </row>
    <row r="19" spans="1:7" ht="20.149999999999999" customHeight="1" x14ac:dyDescent="0.35">
      <c r="A19" s="58" t="s">
        <v>727</v>
      </c>
      <c r="B19" s="58"/>
      <c r="C19" s="58"/>
      <c r="D19" s="58"/>
      <c r="E19" s="58"/>
      <c r="F19" s="58"/>
      <c r="G19" s="58"/>
    </row>
    <row r="20" spans="1:7" ht="15" customHeight="1" x14ac:dyDescent="0.35">
      <c r="A20" s="59" t="s">
        <v>701</v>
      </c>
      <c r="B20" s="59"/>
      <c r="C20" s="9" t="s">
        <v>3</v>
      </c>
      <c r="D20" s="9" t="s">
        <v>4</v>
      </c>
      <c r="E20" s="9" t="s">
        <v>702</v>
      </c>
      <c r="F20" s="9" t="s">
        <v>703</v>
      </c>
      <c r="G20" s="9" t="s">
        <v>704</v>
      </c>
    </row>
    <row r="21" spans="1:7" ht="29.15" customHeight="1" x14ac:dyDescent="0.35">
      <c r="A21" s="10" t="s">
        <v>728</v>
      </c>
      <c r="B21" s="11" t="s">
        <v>729</v>
      </c>
      <c r="C21" s="10" t="s">
        <v>20</v>
      </c>
      <c r="D21" s="10" t="s">
        <v>160</v>
      </c>
      <c r="E21" s="12">
        <v>6.4863799999999999E-2</v>
      </c>
      <c r="F21" s="13">
        <v>16.34</v>
      </c>
      <c r="G21" s="13">
        <v>1.05</v>
      </c>
    </row>
    <row r="22" spans="1:7" ht="15" customHeight="1" x14ac:dyDescent="0.35">
      <c r="A22" s="8"/>
      <c r="B22" s="8"/>
      <c r="C22" s="8"/>
      <c r="D22" s="8"/>
      <c r="E22" s="60" t="s">
        <v>714</v>
      </c>
      <c r="F22" s="60"/>
      <c r="G22" s="14">
        <v>1.05</v>
      </c>
    </row>
    <row r="23" spans="1:7" ht="15" customHeight="1" x14ac:dyDescent="0.35">
      <c r="A23" s="59" t="s">
        <v>722</v>
      </c>
      <c r="B23" s="59"/>
      <c r="C23" s="9" t="s">
        <v>3</v>
      </c>
      <c r="D23" s="9" t="s">
        <v>4</v>
      </c>
      <c r="E23" s="9" t="s">
        <v>702</v>
      </c>
      <c r="F23" s="9" t="s">
        <v>703</v>
      </c>
      <c r="G23" s="9" t="s">
        <v>704</v>
      </c>
    </row>
    <row r="24" spans="1:7" ht="29.15" customHeight="1" x14ac:dyDescent="0.35">
      <c r="A24" s="10" t="s">
        <v>730</v>
      </c>
      <c r="B24" s="11" t="s">
        <v>731</v>
      </c>
      <c r="C24" s="10" t="s">
        <v>20</v>
      </c>
      <c r="D24" s="10" t="s">
        <v>31</v>
      </c>
      <c r="E24" s="12">
        <v>4.0858310000000002E-2</v>
      </c>
      <c r="F24" s="13">
        <v>776.9</v>
      </c>
      <c r="G24" s="13">
        <v>31.74</v>
      </c>
    </row>
    <row r="25" spans="1:7" ht="20.149999999999999" customHeight="1" x14ac:dyDescent="0.35">
      <c r="A25" s="10" t="s">
        <v>282</v>
      </c>
      <c r="B25" s="11" t="s">
        <v>283</v>
      </c>
      <c r="C25" s="10" t="s">
        <v>20</v>
      </c>
      <c r="D25" s="10" t="s">
        <v>21</v>
      </c>
      <c r="E25" s="12">
        <v>4.9626686400000004</v>
      </c>
      <c r="F25" s="13">
        <v>12.78</v>
      </c>
      <c r="G25" s="13">
        <v>63.42</v>
      </c>
    </row>
    <row r="26" spans="1:7" ht="29.15" customHeight="1" x14ac:dyDescent="0.35">
      <c r="A26" s="10" t="s">
        <v>408</v>
      </c>
      <c r="B26" s="11" t="s">
        <v>409</v>
      </c>
      <c r="C26" s="10" t="s">
        <v>20</v>
      </c>
      <c r="D26" s="10" t="s">
        <v>25</v>
      </c>
      <c r="E26" s="12">
        <v>0.66186551000000005</v>
      </c>
      <c r="F26" s="13">
        <v>2.59</v>
      </c>
      <c r="G26" s="13">
        <v>1.71</v>
      </c>
    </row>
    <row r="27" spans="1:7" ht="29.15" customHeight="1" x14ac:dyDescent="0.35">
      <c r="A27" s="10" t="s">
        <v>732</v>
      </c>
      <c r="B27" s="11" t="s">
        <v>733</v>
      </c>
      <c r="C27" s="10" t="s">
        <v>20</v>
      </c>
      <c r="D27" s="10" t="s">
        <v>160</v>
      </c>
      <c r="E27" s="12">
        <v>0.12982558</v>
      </c>
      <c r="F27" s="13">
        <v>17.079999999999998</v>
      </c>
      <c r="G27" s="13">
        <v>2.21</v>
      </c>
    </row>
    <row r="28" spans="1:7" ht="29.15" customHeight="1" x14ac:dyDescent="0.35">
      <c r="A28" s="10" t="s">
        <v>734</v>
      </c>
      <c r="B28" s="11" t="s">
        <v>735</v>
      </c>
      <c r="C28" s="10" t="s">
        <v>20</v>
      </c>
      <c r="D28" s="10" t="s">
        <v>25</v>
      </c>
      <c r="E28" s="12">
        <v>6.4863799999999999E-2</v>
      </c>
      <c r="F28" s="13">
        <v>7.08</v>
      </c>
      <c r="G28" s="13">
        <v>0.45</v>
      </c>
    </row>
    <row r="29" spans="1:7" ht="29.15" customHeight="1" x14ac:dyDescent="0.35">
      <c r="A29" s="10" t="s">
        <v>736</v>
      </c>
      <c r="B29" s="11" t="s">
        <v>737</v>
      </c>
      <c r="C29" s="10" t="s">
        <v>20</v>
      </c>
      <c r="D29" s="10" t="s">
        <v>25</v>
      </c>
      <c r="E29" s="12">
        <v>0.12982558</v>
      </c>
      <c r="F29" s="13">
        <v>9.1300000000000008</v>
      </c>
      <c r="G29" s="13">
        <v>1.18</v>
      </c>
    </row>
    <row r="30" spans="1:7" ht="29.15" customHeight="1" x14ac:dyDescent="0.35">
      <c r="A30" s="10" t="s">
        <v>311</v>
      </c>
      <c r="B30" s="11" t="s">
        <v>312</v>
      </c>
      <c r="C30" s="10" t="s">
        <v>20</v>
      </c>
      <c r="D30" s="10" t="s">
        <v>25</v>
      </c>
      <c r="E30" s="12">
        <v>0.16872425999999999</v>
      </c>
      <c r="F30" s="13">
        <v>9.5299999999999994</v>
      </c>
      <c r="G30" s="13">
        <v>1.6</v>
      </c>
    </row>
    <row r="31" spans="1:7" ht="20.149999999999999" customHeight="1" x14ac:dyDescent="0.35">
      <c r="A31" s="10" t="s">
        <v>33</v>
      </c>
      <c r="B31" s="11" t="s">
        <v>34</v>
      </c>
      <c r="C31" s="10" t="s">
        <v>20</v>
      </c>
      <c r="D31" s="10" t="s">
        <v>31</v>
      </c>
      <c r="E31" s="12">
        <v>3.9584550000000003E-2</v>
      </c>
      <c r="F31" s="13">
        <v>61.43</v>
      </c>
      <c r="G31" s="13">
        <v>2.4300000000000002</v>
      </c>
    </row>
    <row r="32" spans="1:7" ht="37" customHeight="1" x14ac:dyDescent="0.35">
      <c r="A32" s="10" t="s">
        <v>738</v>
      </c>
      <c r="B32" s="11" t="s">
        <v>739</v>
      </c>
      <c r="C32" s="10" t="s">
        <v>20</v>
      </c>
      <c r="D32" s="10" t="s">
        <v>25</v>
      </c>
      <c r="E32" s="12">
        <v>0.12982558</v>
      </c>
      <c r="F32" s="13">
        <v>2.7</v>
      </c>
      <c r="G32" s="13">
        <v>0.35</v>
      </c>
    </row>
    <row r="33" spans="1:7" ht="29.15" customHeight="1" x14ac:dyDescent="0.35">
      <c r="A33" s="10" t="s">
        <v>740</v>
      </c>
      <c r="B33" s="11" t="s">
        <v>741</v>
      </c>
      <c r="C33" s="10" t="s">
        <v>20</v>
      </c>
      <c r="D33" s="10" t="s">
        <v>25</v>
      </c>
      <c r="E33" s="12">
        <v>0.16872425999999999</v>
      </c>
      <c r="F33" s="13">
        <v>1.37</v>
      </c>
      <c r="G33" s="13">
        <v>0.23</v>
      </c>
    </row>
    <row r="34" spans="1:7" ht="29.15" customHeight="1" x14ac:dyDescent="0.35">
      <c r="A34" s="10" t="s">
        <v>742</v>
      </c>
      <c r="B34" s="11" t="s">
        <v>743</v>
      </c>
      <c r="C34" s="10" t="s">
        <v>20</v>
      </c>
      <c r="D34" s="10" t="s">
        <v>160</v>
      </c>
      <c r="E34" s="12">
        <v>6.4863799999999999E-2</v>
      </c>
      <c r="F34" s="13">
        <v>34.520000000000003</v>
      </c>
      <c r="G34" s="13">
        <v>2.23</v>
      </c>
    </row>
    <row r="35" spans="1:7" ht="37" customHeight="1" x14ac:dyDescent="0.35">
      <c r="A35" s="10" t="s">
        <v>173</v>
      </c>
      <c r="B35" s="11" t="s">
        <v>174</v>
      </c>
      <c r="C35" s="10" t="s">
        <v>20</v>
      </c>
      <c r="D35" s="10" t="s">
        <v>21</v>
      </c>
      <c r="E35" s="12">
        <v>6.4863799999999999E-2</v>
      </c>
      <c r="F35" s="13">
        <v>760.86</v>
      </c>
      <c r="G35" s="13">
        <v>49.35</v>
      </c>
    </row>
    <row r="36" spans="1:7" ht="20.149999999999999" customHeight="1" x14ac:dyDescent="0.35">
      <c r="A36" s="10" t="s">
        <v>72</v>
      </c>
      <c r="B36" s="11" t="s">
        <v>73</v>
      </c>
      <c r="C36" s="10" t="s">
        <v>20</v>
      </c>
      <c r="D36" s="10" t="s">
        <v>21</v>
      </c>
      <c r="E36" s="12">
        <v>9.1122800000000004E-3</v>
      </c>
      <c r="F36" s="13">
        <v>15.87</v>
      </c>
      <c r="G36" s="13">
        <v>0.14000000000000001</v>
      </c>
    </row>
    <row r="37" spans="1:7" ht="20.149999999999999" customHeight="1" x14ac:dyDescent="0.35">
      <c r="A37" s="10" t="s">
        <v>246</v>
      </c>
      <c r="B37" s="11" t="s">
        <v>247</v>
      </c>
      <c r="C37" s="10" t="s">
        <v>20</v>
      </c>
      <c r="D37" s="10" t="s">
        <v>21</v>
      </c>
      <c r="E37" s="12">
        <v>1.4805015500000001</v>
      </c>
      <c r="F37" s="13">
        <v>26.47</v>
      </c>
      <c r="G37" s="13">
        <v>39.18</v>
      </c>
    </row>
    <row r="38" spans="1:7" ht="29.15" customHeight="1" x14ac:dyDescent="0.35">
      <c r="A38" s="10" t="s">
        <v>744</v>
      </c>
      <c r="B38" s="11" t="s">
        <v>745</v>
      </c>
      <c r="C38" s="10" t="s">
        <v>20</v>
      </c>
      <c r="D38" s="10" t="s">
        <v>160</v>
      </c>
      <c r="E38" s="12">
        <v>6.4863799999999999E-2</v>
      </c>
      <c r="F38" s="13">
        <v>159.65</v>
      </c>
      <c r="G38" s="13">
        <v>10.35</v>
      </c>
    </row>
    <row r="39" spans="1:7" ht="29.15" customHeight="1" x14ac:dyDescent="0.35">
      <c r="A39" s="10" t="s">
        <v>746</v>
      </c>
      <c r="B39" s="11" t="s">
        <v>747</v>
      </c>
      <c r="C39" s="10" t="s">
        <v>20</v>
      </c>
      <c r="D39" s="10" t="s">
        <v>21</v>
      </c>
      <c r="E39" s="12">
        <v>0.78610614999999995</v>
      </c>
      <c r="F39" s="13">
        <v>127.51</v>
      </c>
      <c r="G39" s="13">
        <v>100.23</v>
      </c>
    </row>
    <row r="40" spans="1:7" ht="29.15" customHeight="1" x14ac:dyDescent="0.35">
      <c r="A40" s="10" t="s">
        <v>748</v>
      </c>
      <c r="B40" s="11" t="s">
        <v>749</v>
      </c>
      <c r="C40" s="10" t="s">
        <v>20</v>
      </c>
      <c r="D40" s="10" t="s">
        <v>21</v>
      </c>
      <c r="E40" s="12">
        <v>0.50323335000000002</v>
      </c>
      <c r="F40" s="13">
        <v>104.13</v>
      </c>
      <c r="G40" s="13">
        <v>52.4</v>
      </c>
    </row>
    <row r="41" spans="1:7" ht="29.15" customHeight="1" x14ac:dyDescent="0.35">
      <c r="A41" s="10" t="s">
        <v>750</v>
      </c>
      <c r="B41" s="11" t="s">
        <v>751</v>
      </c>
      <c r="C41" s="10" t="s">
        <v>20</v>
      </c>
      <c r="D41" s="10" t="s">
        <v>21</v>
      </c>
      <c r="E41" s="12">
        <v>0.61287473000000003</v>
      </c>
      <c r="F41" s="13">
        <v>166.3</v>
      </c>
      <c r="G41" s="13">
        <v>101.92</v>
      </c>
    </row>
    <row r="42" spans="1:7" ht="29.15" customHeight="1" x14ac:dyDescent="0.35">
      <c r="A42" s="10" t="s">
        <v>752</v>
      </c>
      <c r="B42" s="11" t="s">
        <v>753</v>
      </c>
      <c r="C42" s="10" t="s">
        <v>20</v>
      </c>
      <c r="D42" s="10" t="s">
        <v>21</v>
      </c>
      <c r="E42" s="12">
        <v>0.57916906999999995</v>
      </c>
      <c r="F42" s="13">
        <v>106.5</v>
      </c>
      <c r="G42" s="13">
        <v>61.68</v>
      </c>
    </row>
    <row r="43" spans="1:7" ht="29.15" customHeight="1" x14ac:dyDescent="0.35">
      <c r="A43" s="10" t="s">
        <v>754</v>
      </c>
      <c r="B43" s="11" t="s">
        <v>755</v>
      </c>
      <c r="C43" s="10" t="s">
        <v>20</v>
      </c>
      <c r="D43" s="10" t="s">
        <v>21</v>
      </c>
      <c r="E43" s="12">
        <v>0.14991180000000001</v>
      </c>
      <c r="F43" s="13">
        <v>874.18</v>
      </c>
      <c r="G43" s="13">
        <v>131.04</v>
      </c>
    </row>
    <row r="44" spans="1:7" ht="15" customHeight="1" x14ac:dyDescent="0.35">
      <c r="A44" s="10" t="s">
        <v>37</v>
      </c>
      <c r="B44" s="11" t="s">
        <v>38</v>
      </c>
      <c r="C44" s="10" t="s">
        <v>20</v>
      </c>
      <c r="D44" s="10" t="s">
        <v>31</v>
      </c>
      <c r="E44" s="12">
        <v>1.0386039999999999E-2</v>
      </c>
      <c r="F44" s="13">
        <v>37.25</v>
      </c>
      <c r="G44" s="13">
        <v>0.38</v>
      </c>
    </row>
    <row r="45" spans="1:7" ht="37" customHeight="1" x14ac:dyDescent="0.35">
      <c r="A45" s="10" t="s">
        <v>756</v>
      </c>
      <c r="B45" s="11" t="s">
        <v>757</v>
      </c>
      <c r="C45" s="10" t="s">
        <v>20</v>
      </c>
      <c r="D45" s="10" t="s">
        <v>21</v>
      </c>
      <c r="E45" s="12">
        <v>1.68449918</v>
      </c>
      <c r="F45" s="13">
        <v>58.92</v>
      </c>
      <c r="G45" s="13">
        <v>99.25</v>
      </c>
    </row>
    <row r="46" spans="1:7" ht="37" customHeight="1" x14ac:dyDescent="0.35">
      <c r="A46" s="10" t="s">
        <v>758</v>
      </c>
      <c r="B46" s="11" t="s">
        <v>759</v>
      </c>
      <c r="C46" s="10" t="s">
        <v>20</v>
      </c>
      <c r="D46" s="10" t="s">
        <v>21</v>
      </c>
      <c r="E46" s="12">
        <v>1.68449918</v>
      </c>
      <c r="F46" s="13">
        <v>18</v>
      </c>
      <c r="G46" s="13">
        <v>30.32</v>
      </c>
    </row>
    <row r="47" spans="1:7" ht="15" customHeight="1" x14ac:dyDescent="0.35">
      <c r="A47" s="8"/>
      <c r="B47" s="8"/>
      <c r="C47" s="8"/>
      <c r="D47" s="8"/>
      <c r="E47" s="60" t="s">
        <v>725</v>
      </c>
      <c r="F47" s="60"/>
      <c r="G47" s="14">
        <v>783.79</v>
      </c>
    </row>
    <row r="48" spans="1:7" ht="15" customHeight="1" x14ac:dyDescent="0.35">
      <c r="A48" s="8"/>
      <c r="B48" s="8"/>
      <c r="C48" s="8"/>
      <c r="D48" s="8"/>
      <c r="E48" s="61" t="s">
        <v>726</v>
      </c>
      <c r="F48" s="61"/>
      <c r="G48" s="4">
        <v>784.84</v>
      </c>
    </row>
    <row r="49" spans="1:7" ht="10" customHeight="1" x14ac:dyDescent="0.35">
      <c r="A49" s="8"/>
      <c r="B49" s="8"/>
      <c r="C49" s="57"/>
      <c r="D49" s="57"/>
      <c r="E49" s="8"/>
      <c r="F49" s="8"/>
      <c r="G49" s="8"/>
    </row>
    <row r="50" spans="1:7" ht="20.149999999999999" customHeight="1" x14ac:dyDescent="0.35">
      <c r="A50" s="58" t="s">
        <v>760</v>
      </c>
      <c r="B50" s="58"/>
      <c r="C50" s="58"/>
      <c r="D50" s="58"/>
      <c r="E50" s="58"/>
      <c r="F50" s="58"/>
      <c r="G50" s="58"/>
    </row>
    <row r="51" spans="1:7" ht="15" customHeight="1" x14ac:dyDescent="0.35">
      <c r="A51" s="59" t="s">
        <v>761</v>
      </c>
      <c r="B51" s="59"/>
      <c r="C51" s="9" t="s">
        <v>3</v>
      </c>
      <c r="D51" s="9" t="s">
        <v>4</v>
      </c>
      <c r="E51" s="9" t="s">
        <v>702</v>
      </c>
      <c r="F51" s="9" t="s">
        <v>703</v>
      </c>
      <c r="G51" s="9" t="s">
        <v>704</v>
      </c>
    </row>
    <row r="52" spans="1:7" ht="20.149999999999999" customHeight="1" x14ac:dyDescent="0.35">
      <c r="A52" s="10" t="s">
        <v>762</v>
      </c>
      <c r="B52" s="11" t="s">
        <v>763</v>
      </c>
      <c r="C52" s="10" t="s">
        <v>20</v>
      </c>
      <c r="D52" s="10" t="s">
        <v>764</v>
      </c>
      <c r="E52" s="12">
        <v>1.6435669999999999E-2</v>
      </c>
      <c r="F52" s="13">
        <v>18.55</v>
      </c>
      <c r="G52" s="13">
        <v>0.3</v>
      </c>
    </row>
    <row r="53" spans="1:7" ht="20.149999999999999" customHeight="1" x14ac:dyDescent="0.35">
      <c r="A53" s="10" t="s">
        <v>765</v>
      </c>
      <c r="B53" s="11" t="s">
        <v>766</v>
      </c>
      <c r="C53" s="10" t="s">
        <v>20</v>
      </c>
      <c r="D53" s="10" t="s">
        <v>767</v>
      </c>
      <c r="E53" s="12">
        <v>3.8154199999999999E-3</v>
      </c>
      <c r="F53" s="13">
        <v>19.54</v>
      </c>
      <c r="G53" s="13">
        <v>7.0000000000000007E-2</v>
      </c>
    </row>
    <row r="54" spans="1:7" ht="15" customHeight="1" x14ac:dyDescent="0.35">
      <c r="A54" s="8"/>
      <c r="B54" s="8"/>
      <c r="C54" s="8"/>
      <c r="D54" s="8"/>
      <c r="E54" s="60" t="s">
        <v>768</v>
      </c>
      <c r="F54" s="60"/>
      <c r="G54" s="14">
        <v>0.37</v>
      </c>
    </row>
    <row r="55" spans="1:7" ht="15" customHeight="1" x14ac:dyDescent="0.35">
      <c r="A55" s="59" t="s">
        <v>701</v>
      </c>
      <c r="B55" s="59"/>
      <c r="C55" s="9" t="s">
        <v>3</v>
      </c>
      <c r="D55" s="9" t="s">
        <v>4</v>
      </c>
      <c r="E55" s="9" t="s">
        <v>702</v>
      </c>
      <c r="F55" s="9" t="s">
        <v>703</v>
      </c>
      <c r="G55" s="9" t="s">
        <v>704</v>
      </c>
    </row>
    <row r="56" spans="1:7" ht="20.149999999999999" customHeight="1" x14ac:dyDescent="0.35">
      <c r="A56" s="10" t="s">
        <v>769</v>
      </c>
      <c r="B56" s="11" t="s">
        <v>770</v>
      </c>
      <c r="C56" s="10" t="s">
        <v>20</v>
      </c>
      <c r="D56" s="10" t="s">
        <v>25</v>
      </c>
      <c r="E56" s="12">
        <v>0.41165521999999999</v>
      </c>
      <c r="F56" s="13">
        <v>20.12</v>
      </c>
      <c r="G56" s="13">
        <v>8.2799999999999994</v>
      </c>
    </row>
    <row r="57" spans="1:7" ht="15" customHeight="1" x14ac:dyDescent="0.35">
      <c r="A57" s="10" t="s">
        <v>771</v>
      </c>
      <c r="B57" s="11" t="s">
        <v>772</v>
      </c>
      <c r="C57" s="10" t="s">
        <v>20</v>
      </c>
      <c r="D57" s="10" t="s">
        <v>56</v>
      </c>
      <c r="E57" s="12">
        <v>0.11077267</v>
      </c>
      <c r="F57" s="13">
        <v>24.92</v>
      </c>
      <c r="G57" s="13">
        <v>2.76</v>
      </c>
    </row>
    <row r="58" spans="1:7" ht="20.149999999999999" customHeight="1" x14ac:dyDescent="0.35">
      <c r="A58" s="10" t="s">
        <v>712</v>
      </c>
      <c r="B58" s="11" t="s">
        <v>713</v>
      </c>
      <c r="C58" s="10" t="s">
        <v>20</v>
      </c>
      <c r="D58" s="10" t="s">
        <v>25</v>
      </c>
      <c r="E58" s="12">
        <v>0.74297531000000006</v>
      </c>
      <c r="F58" s="13">
        <v>5.6</v>
      </c>
      <c r="G58" s="13">
        <v>4.16</v>
      </c>
    </row>
    <row r="59" spans="1:7" ht="20.149999999999999" customHeight="1" x14ac:dyDescent="0.35">
      <c r="A59" s="10" t="s">
        <v>773</v>
      </c>
      <c r="B59" s="11" t="s">
        <v>774</v>
      </c>
      <c r="C59" s="10" t="s">
        <v>20</v>
      </c>
      <c r="D59" s="10" t="s">
        <v>25</v>
      </c>
      <c r="E59" s="12">
        <v>0.54887363</v>
      </c>
      <c r="F59" s="13">
        <v>15.07</v>
      </c>
      <c r="G59" s="13">
        <v>8.27</v>
      </c>
    </row>
    <row r="60" spans="1:7" ht="15" customHeight="1" x14ac:dyDescent="0.35">
      <c r="A60" s="10" t="s">
        <v>775</v>
      </c>
      <c r="B60" s="11" t="s">
        <v>776</v>
      </c>
      <c r="C60" s="10" t="s">
        <v>20</v>
      </c>
      <c r="D60" s="10" t="s">
        <v>777</v>
      </c>
      <c r="E60" s="12">
        <v>2.5547569999999999E-2</v>
      </c>
      <c r="F60" s="13">
        <v>23.81</v>
      </c>
      <c r="G60" s="13">
        <v>0.6</v>
      </c>
    </row>
    <row r="61" spans="1:7" ht="15" customHeight="1" x14ac:dyDescent="0.35">
      <c r="A61" s="8"/>
      <c r="B61" s="8"/>
      <c r="C61" s="8"/>
      <c r="D61" s="8"/>
      <c r="E61" s="60" t="s">
        <v>714</v>
      </c>
      <c r="F61" s="60"/>
      <c r="G61" s="14">
        <v>24.07</v>
      </c>
    </row>
    <row r="62" spans="1:7" ht="15" customHeight="1" x14ac:dyDescent="0.35">
      <c r="A62" s="59" t="s">
        <v>715</v>
      </c>
      <c r="B62" s="59"/>
      <c r="C62" s="9" t="s">
        <v>3</v>
      </c>
      <c r="D62" s="9" t="s">
        <v>4</v>
      </c>
      <c r="E62" s="9" t="s">
        <v>702</v>
      </c>
      <c r="F62" s="9" t="s">
        <v>703</v>
      </c>
      <c r="G62" s="9" t="s">
        <v>704</v>
      </c>
    </row>
    <row r="63" spans="1:7" ht="15" customHeight="1" x14ac:dyDescent="0.35">
      <c r="A63" s="10" t="s">
        <v>778</v>
      </c>
      <c r="B63" s="11" t="s">
        <v>779</v>
      </c>
      <c r="C63" s="10" t="s">
        <v>20</v>
      </c>
      <c r="D63" s="10" t="s">
        <v>718</v>
      </c>
      <c r="E63" s="12">
        <v>0.34857335</v>
      </c>
      <c r="F63" s="13">
        <v>15.45</v>
      </c>
      <c r="G63" s="13">
        <v>5.38</v>
      </c>
    </row>
    <row r="64" spans="1:7" ht="15" customHeight="1" x14ac:dyDescent="0.35">
      <c r="A64" s="10" t="s">
        <v>716</v>
      </c>
      <c r="B64" s="11" t="s">
        <v>717</v>
      </c>
      <c r="C64" s="10" t="s">
        <v>20</v>
      </c>
      <c r="D64" s="10" t="s">
        <v>718</v>
      </c>
      <c r="E64" s="12">
        <v>0.69756593</v>
      </c>
      <c r="F64" s="13">
        <v>19.34</v>
      </c>
      <c r="G64" s="13">
        <v>13.49</v>
      </c>
    </row>
    <row r="65" spans="1:7" ht="18" customHeight="1" x14ac:dyDescent="0.35">
      <c r="A65" s="8"/>
      <c r="B65" s="8"/>
      <c r="C65" s="8"/>
      <c r="D65" s="8"/>
      <c r="E65" s="60" t="s">
        <v>721</v>
      </c>
      <c r="F65" s="60"/>
      <c r="G65" s="14">
        <v>18.87</v>
      </c>
    </row>
    <row r="66" spans="1:7" ht="15" customHeight="1" x14ac:dyDescent="0.35">
      <c r="A66" s="59" t="s">
        <v>722</v>
      </c>
      <c r="B66" s="59"/>
      <c r="C66" s="9" t="s">
        <v>3</v>
      </c>
      <c r="D66" s="9" t="s">
        <v>4</v>
      </c>
      <c r="E66" s="9" t="s">
        <v>702</v>
      </c>
      <c r="F66" s="9" t="s">
        <v>703</v>
      </c>
      <c r="G66" s="9" t="s">
        <v>704</v>
      </c>
    </row>
    <row r="67" spans="1:7" ht="29.15" customHeight="1" x14ac:dyDescent="0.35">
      <c r="A67" s="10" t="s">
        <v>780</v>
      </c>
      <c r="B67" s="11" t="s">
        <v>781</v>
      </c>
      <c r="C67" s="10" t="s">
        <v>20</v>
      </c>
      <c r="D67" s="10" t="s">
        <v>31</v>
      </c>
      <c r="E67" s="12">
        <v>4.50023E-3</v>
      </c>
      <c r="F67" s="13">
        <v>401.81</v>
      </c>
      <c r="G67" s="13">
        <v>1.8</v>
      </c>
    </row>
    <row r="68" spans="1:7" ht="15" customHeight="1" x14ac:dyDescent="0.35">
      <c r="A68" s="10" t="s">
        <v>782</v>
      </c>
      <c r="B68" s="11" t="s">
        <v>783</v>
      </c>
      <c r="C68" s="10" t="s">
        <v>20</v>
      </c>
      <c r="D68" s="10" t="s">
        <v>160</v>
      </c>
      <c r="E68" s="12">
        <v>1.4675800400000001</v>
      </c>
      <c r="F68" s="13">
        <v>1.81</v>
      </c>
      <c r="G68" s="13">
        <v>2.65</v>
      </c>
    </row>
    <row r="69" spans="1:7" ht="15" customHeight="1" x14ac:dyDescent="0.35">
      <c r="A69" s="8"/>
      <c r="B69" s="8"/>
      <c r="C69" s="8"/>
      <c r="D69" s="8"/>
      <c r="E69" s="60" t="s">
        <v>725</v>
      </c>
      <c r="F69" s="60"/>
      <c r="G69" s="14">
        <v>4.45</v>
      </c>
    </row>
    <row r="70" spans="1:7" ht="15" customHeight="1" x14ac:dyDescent="0.35">
      <c r="A70" s="8"/>
      <c r="B70" s="8"/>
      <c r="C70" s="8"/>
      <c r="D70" s="8"/>
      <c r="E70" s="61" t="s">
        <v>726</v>
      </c>
      <c r="F70" s="61"/>
      <c r="G70" s="4">
        <v>47.76</v>
      </c>
    </row>
    <row r="71" spans="1:7" ht="10" customHeight="1" x14ac:dyDescent="0.35">
      <c r="A71" s="8"/>
      <c r="B71" s="8"/>
      <c r="C71" s="57"/>
      <c r="D71" s="57"/>
      <c r="E71" s="8"/>
      <c r="F71" s="8"/>
      <c r="G71" s="8"/>
    </row>
    <row r="72" spans="1:7" ht="20.149999999999999" customHeight="1" x14ac:dyDescent="0.35">
      <c r="A72" s="58" t="s">
        <v>784</v>
      </c>
      <c r="B72" s="58"/>
      <c r="C72" s="58"/>
      <c r="D72" s="58"/>
      <c r="E72" s="58"/>
      <c r="F72" s="58"/>
      <c r="G72" s="58"/>
    </row>
    <row r="73" spans="1:7" ht="15" customHeight="1" x14ac:dyDescent="0.35">
      <c r="A73" s="59" t="s">
        <v>761</v>
      </c>
      <c r="B73" s="59"/>
      <c r="C73" s="9" t="s">
        <v>3</v>
      </c>
      <c r="D73" s="9" t="s">
        <v>4</v>
      </c>
      <c r="E73" s="9" t="s">
        <v>702</v>
      </c>
      <c r="F73" s="9" t="s">
        <v>703</v>
      </c>
      <c r="G73" s="9" t="s">
        <v>704</v>
      </c>
    </row>
    <row r="74" spans="1:7" ht="29.15" customHeight="1" x14ac:dyDescent="0.35">
      <c r="A74" s="10" t="s">
        <v>785</v>
      </c>
      <c r="B74" s="11" t="s">
        <v>786</v>
      </c>
      <c r="C74" s="10" t="s">
        <v>20</v>
      </c>
      <c r="D74" s="10" t="s">
        <v>764</v>
      </c>
      <c r="E74" s="12">
        <v>0.23472085000000001</v>
      </c>
      <c r="F74" s="13">
        <v>19.309999999999999</v>
      </c>
      <c r="G74" s="13">
        <v>4.53</v>
      </c>
    </row>
    <row r="75" spans="1:7" ht="29.15" customHeight="1" x14ac:dyDescent="0.35">
      <c r="A75" s="10" t="s">
        <v>787</v>
      </c>
      <c r="B75" s="11" t="s">
        <v>788</v>
      </c>
      <c r="C75" s="10" t="s">
        <v>20</v>
      </c>
      <c r="D75" s="10" t="s">
        <v>767</v>
      </c>
      <c r="E75" s="12">
        <v>0.25320281</v>
      </c>
      <c r="F75" s="13">
        <v>25.34</v>
      </c>
      <c r="G75" s="13">
        <v>6.41</v>
      </c>
    </row>
    <row r="76" spans="1:7" ht="15" customHeight="1" x14ac:dyDescent="0.35">
      <c r="A76" s="8"/>
      <c r="B76" s="8"/>
      <c r="C76" s="8"/>
      <c r="D76" s="8"/>
      <c r="E76" s="60" t="s">
        <v>768</v>
      </c>
      <c r="F76" s="60"/>
      <c r="G76" s="14">
        <v>10.94</v>
      </c>
    </row>
    <row r="77" spans="1:7" ht="15" customHeight="1" x14ac:dyDescent="0.35">
      <c r="A77" s="59" t="s">
        <v>715</v>
      </c>
      <c r="B77" s="59"/>
      <c r="C77" s="9" t="s">
        <v>3</v>
      </c>
      <c r="D77" s="9" t="s">
        <v>4</v>
      </c>
      <c r="E77" s="9" t="s">
        <v>702</v>
      </c>
      <c r="F77" s="9" t="s">
        <v>703</v>
      </c>
      <c r="G77" s="9" t="s">
        <v>704</v>
      </c>
    </row>
    <row r="78" spans="1:7" ht="15" customHeight="1" x14ac:dyDescent="0.35">
      <c r="A78" s="10" t="s">
        <v>719</v>
      </c>
      <c r="B78" s="11" t="s">
        <v>720</v>
      </c>
      <c r="C78" s="10" t="s">
        <v>20</v>
      </c>
      <c r="D78" s="10" t="s">
        <v>718</v>
      </c>
      <c r="E78" s="12">
        <v>0.60066361000000001</v>
      </c>
      <c r="F78" s="13">
        <v>15.53</v>
      </c>
      <c r="G78" s="13">
        <v>9.32</v>
      </c>
    </row>
    <row r="79" spans="1:7" ht="18" customHeight="1" x14ac:dyDescent="0.35">
      <c r="A79" s="8"/>
      <c r="B79" s="8"/>
      <c r="C79" s="8"/>
      <c r="D79" s="8"/>
      <c r="E79" s="60" t="s">
        <v>721</v>
      </c>
      <c r="F79" s="60"/>
      <c r="G79" s="14">
        <v>9.32</v>
      </c>
    </row>
    <row r="80" spans="1:7" ht="15" customHeight="1" x14ac:dyDescent="0.35">
      <c r="A80" s="59" t="s">
        <v>722</v>
      </c>
      <c r="B80" s="59"/>
      <c r="C80" s="9" t="s">
        <v>3</v>
      </c>
      <c r="D80" s="9" t="s">
        <v>4</v>
      </c>
      <c r="E80" s="9" t="s">
        <v>702</v>
      </c>
      <c r="F80" s="9" t="s">
        <v>703</v>
      </c>
      <c r="G80" s="9" t="s">
        <v>704</v>
      </c>
    </row>
    <row r="81" spans="1:7" ht="20.149999999999999" customHeight="1" x14ac:dyDescent="0.35">
      <c r="A81" s="10" t="s">
        <v>789</v>
      </c>
      <c r="B81" s="11" t="s">
        <v>790</v>
      </c>
      <c r="C81" s="10" t="s">
        <v>20</v>
      </c>
      <c r="D81" s="10" t="s">
        <v>31</v>
      </c>
      <c r="E81" s="12">
        <v>0.92409786999999999</v>
      </c>
      <c r="F81" s="13">
        <v>2.1</v>
      </c>
      <c r="G81" s="13">
        <v>1.94</v>
      </c>
    </row>
    <row r="82" spans="1:7" ht="15" customHeight="1" x14ac:dyDescent="0.35">
      <c r="A82" s="8"/>
      <c r="B82" s="8"/>
      <c r="C82" s="8"/>
      <c r="D82" s="8"/>
      <c r="E82" s="60" t="s">
        <v>725</v>
      </c>
      <c r="F82" s="60"/>
      <c r="G82" s="14">
        <v>1.94</v>
      </c>
    </row>
    <row r="83" spans="1:7" ht="15" customHeight="1" x14ac:dyDescent="0.35">
      <c r="A83" s="8"/>
      <c r="B83" s="8"/>
      <c r="C83" s="8"/>
      <c r="D83" s="8"/>
      <c r="E83" s="61" t="s">
        <v>726</v>
      </c>
      <c r="F83" s="61"/>
      <c r="G83" s="4">
        <v>22.2</v>
      </c>
    </row>
    <row r="84" spans="1:7" ht="10" customHeight="1" x14ac:dyDescent="0.35">
      <c r="A84" s="8"/>
      <c r="B84" s="8"/>
      <c r="C84" s="57"/>
      <c r="D84" s="57"/>
      <c r="E84" s="8"/>
      <c r="F84" s="8"/>
      <c r="G84" s="8"/>
    </row>
    <row r="85" spans="1:7" ht="20.149999999999999" customHeight="1" x14ac:dyDescent="0.35">
      <c r="A85" s="58" t="s">
        <v>791</v>
      </c>
      <c r="B85" s="58"/>
      <c r="C85" s="58"/>
      <c r="D85" s="58"/>
      <c r="E85" s="58"/>
      <c r="F85" s="58"/>
      <c r="G85" s="58"/>
    </row>
    <row r="86" spans="1:7" ht="15" customHeight="1" x14ac:dyDescent="0.35">
      <c r="A86" s="59" t="s">
        <v>715</v>
      </c>
      <c r="B86" s="59"/>
      <c r="C86" s="9" t="s">
        <v>3</v>
      </c>
      <c r="D86" s="9" t="s">
        <v>4</v>
      </c>
      <c r="E86" s="9" t="s">
        <v>702</v>
      </c>
      <c r="F86" s="9" t="s">
        <v>703</v>
      </c>
      <c r="G86" s="9" t="s">
        <v>704</v>
      </c>
    </row>
    <row r="87" spans="1:7" ht="15" customHeight="1" x14ac:dyDescent="0.35">
      <c r="A87" s="10" t="s">
        <v>719</v>
      </c>
      <c r="B87" s="11" t="s">
        <v>720</v>
      </c>
      <c r="C87" s="10" t="s">
        <v>20</v>
      </c>
      <c r="D87" s="10" t="s">
        <v>718</v>
      </c>
      <c r="E87" s="12">
        <v>3.8370894899999999</v>
      </c>
      <c r="F87" s="13">
        <v>15.53</v>
      </c>
      <c r="G87" s="13">
        <v>59.58</v>
      </c>
    </row>
    <row r="88" spans="1:7" ht="18" customHeight="1" x14ac:dyDescent="0.35">
      <c r="A88" s="8"/>
      <c r="B88" s="8"/>
      <c r="C88" s="8"/>
      <c r="D88" s="8"/>
      <c r="E88" s="60" t="s">
        <v>721</v>
      </c>
      <c r="F88" s="60"/>
      <c r="G88" s="14">
        <v>59.58</v>
      </c>
    </row>
    <row r="89" spans="1:7" ht="15" customHeight="1" x14ac:dyDescent="0.35">
      <c r="A89" s="8"/>
      <c r="B89" s="8"/>
      <c r="C89" s="8"/>
      <c r="D89" s="8"/>
      <c r="E89" s="61" t="s">
        <v>726</v>
      </c>
      <c r="F89" s="61"/>
      <c r="G89" s="4">
        <v>59.58</v>
      </c>
    </row>
    <row r="90" spans="1:7" ht="10" customHeight="1" x14ac:dyDescent="0.35">
      <c r="A90" s="8"/>
      <c r="B90" s="8"/>
      <c r="C90" s="57"/>
      <c r="D90" s="57"/>
      <c r="E90" s="8"/>
      <c r="F90" s="8"/>
      <c r="G90" s="8"/>
    </row>
    <row r="91" spans="1:7" ht="20.149999999999999" customHeight="1" x14ac:dyDescent="0.35">
      <c r="A91" s="58" t="s">
        <v>784</v>
      </c>
      <c r="B91" s="58"/>
      <c r="C91" s="58"/>
      <c r="D91" s="58"/>
      <c r="E91" s="58"/>
      <c r="F91" s="58"/>
      <c r="G91" s="58"/>
    </row>
    <row r="92" spans="1:7" ht="15" customHeight="1" x14ac:dyDescent="0.35">
      <c r="A92" s="59" t="s">
        <v>761</v>
      </c>
      <c r="B92" s="59"/>
      <c r="C92" s="9" t="s">
        <v>3</v>
      </c>
      <c r="D92" s="9" t="s">
        <v>4</v>
      </c>
      <c r="E92" s="9" t="s">
        <v>702</v>
      </c>
      <c r="F92" s="9" t="s">
        <v>703</v>
      </c>
      <c r="G92" s="9" t="s">
        <v>704</v>
      </c>
    </row>
    <row r="93" spans="1:7" ht="29.15" customHeight="1" x14ac:dyDescent="0.35">
      <c r="A93" s="10" t="s">
        <v>785</v>
      </c>
      <c r="B93" s="11" t="s">
        <v>786</v>
      </c>
      <c r="C93" s="10" t="s">
        <v>20</v>
      </c>
      <c r="D93" s="10" t="s">
        <v>764</v>
      </c>
      <c r="E93" s="12">
        <v>0.23516877999999999</v>
      </c>
      <c r="F93" s="13">
        <v>19.309999999999999</v>
      </c>
      <c r="G93" s="13">
        <v>4.54</v>
      </c>
    </row>
    <row r="94" spans="1:7" ht="29.15" customHeight="1" x14ac:dyDescent="0.35">
      <c r="A94" s="10" t="s">
        <v>787</v>
      </c>
      <c r="B94" s="11" t="s">
        <v>788</v>
      </c>
      <c r="C94" s="10" t="s">
        <v>20</v>
      </c>
      <c r="D94" s="10" t="s">
        <v>767</v>
      </c>
      <c r="E94" s="12">
        <v>0.25368602000000001</v>
      </c>
      <c r="F94" s="13">
        <v>25.34</v>
      </c>
      <c r="G94" s="13">
        <v>6.42</v>
      </c>
    </row>
    <row r="95" spans="1:7" ht="15" customHeight="1" x14ac:dyDescent="0.35">
      <c r="A95" s="8"/>
      <c r="B95" s="8"/>
      <c r="C95" s="8"/>
      <c r="D95" s="8"/>
      <c r="E95" s="60" t="s">
        <v>768</v>
      </c>
      <c r="F95" s="60"/>
      <c r="G95" s="14">
        <v>10.96</v>
      </c>
    </row>
    <row r="96" spans="1:7" ht="15" customHeight="1" x14ac:dyDescent="0.35">
      <c r="A96" s="59" t="s">
        <v>715</v>
      </c>
      <c r="B96" s="59"/>
      <c r="C96" s="9" t="s">
        <v>3</v>
      </c>
      <c r="D96" s="9" t="s">
        <v>4</v>
      </c>
      <c r="E96" s="9" t="s">
        <v>702</v>
      </c>
      <c r="F96" s="9" t="s">
        <v>703</v>
      </c>
      <c r="G96" s="9" t="s">
        <v>704</v>
      </c>
    </row>
    <row r="97" spans="1:7" ht="15" customHeight="1" x14ac:dyDescent="0.35">
      <c r="A97" s="10" t="s">
        <v>719</v>
      </c>
      <c r="B97" s="11" t="s">
        <v>720</v>
      </c>
      <c r="C97" s="10" t="s">
        <v>20</v>
      </c>
      <c r="D97" s="10" t="s">
        <v>718</v>
      </c>
      <c r="E97" s="12">
        <v>0.60057676999999998</v>
      </c>
      <c r="F97" s="13">
        <v>15.53</v>
      </c>
      <c r="G97" s="13">
        <v>9.32</v>
      </c>
    </row>
    <row r="98" spans="1:7" ht="18" customHeight="1" x14ac:dyDescent="0.35">
      <c r="A98" s="8"/>
      <c r="B98" s="8"/>
      <c r="C98" s="8"/>
      <c r="D98" s="8"/>
      <c r="E98" s="60" t="s">
        <v>721</v>
      </c>
      <c r="F98" s="60"/>
      <c r="G98" s="14">
        <v>9.32</v>
      </c>
    </row>
    <row r="99" spans="1:7" ht="15" customHeight="1" x14ac:dyDescent="0.35">
      <c r="A99" s="59" t="s">
        <v>722</v>
      </c>
      <c r="B99" s="59"/>
      <c r="C99" s="9" t="s">
        <v>3</v>
      </c>
      <c r="D99" s="9" t="s">
        <v>4</v>
      </c>
      <c r="E99" s="9" t="s">
        <v>702</v>
      </c>
      <c r="F99" s="9" t="s">
        <v>703</v>
      </c>
      <c r="G99" s="9" t="s">
        <v>704</v>
      </c>
    </row>
    <row r="100" spans="1:7" ht="20.149999999999999" customHeight="1" x14ac:dyDescent="0.35">
      <c r="A100" s="10" t="s">
        <v>789</v>
      </c>
      <c r="B100" s="11" t="s">
        <v>790</v>
      </c>
      <c r="C100" s="10" t="s">
        <v>20</v>
      </c>
      <c r="D100" s="10" t="s">
        <v>31</v>
      </c>
      <c r="E100" s="12">
        <v>0.91674193999999998</v>
      </c>
      <c r="F100" s="13">
        <v>2.1</v>
      </c>
      <c r="G100" s="13">
        <v>1.92</v>
      </c>
    </row>
    <row r="101" spans="1:7" ht="15" customHeight="1" x14ac:dyDescent="0.35">
      <c r="A101" s="8"/>
      <c r="B101" s="8"/>
      <c r="C101" s="8"/>
      <c r="D101" s="8"/>
      <c r="E101" s="60" t="s">
        <v>725</v>
      </c>
      <c r="F101" s="60"/>
      <c r="G101" s="14">
        <v>1.92</v>
      </c>
    </row>
    <row r="102" spans="1:7" ht="15" customHeight="1" x14ac:dyDescent="0.35">
      <c r="A102" s="8"/>
      <c r="B102" s="8"/>
      <c r="C102" s="8"/>
      <c r="D102" s="8"/>
      <c r="E102" s="61" t="s">
        <v>726</v>
      </c>
      <c r="F102" s="61"/>
      <c r="G102" s="4">
        <v>22.2</v>
      </c>
    </row>
    <row r="103" spans="1:7" ht="10" customHeight="1" x14ac:dyDescent="0.35">
      <c r="A103" s="8"/>
      <c r="B103" s="8"/>
      <c r="C103" s="57"/>
      <c r="D103" s="57"/>
      <c r="E103" s="8"/>
      <c r="F103" s="8"/>
      <c r="G103" s="8"/>
    </row>
    <row r="104" spans="1:7" ht="20.149999999999999" customHeight="1" x14ac:dyDescent="0.35">
      <c r="A104" s="58" t="s">
        <v>792</v>
      </c>
      <c r="B104" s="58"/>
      <c r="C104" s="58"/>
      <c r="D104" s="58"/>
      <c r="E104" s="58"/>
      <c r="F104" s="58"/>
      <c r="G104" s="58"/>
    </row>
    <row r="105" spans="1:7" ht="15" customHeight="1" x14ac:dyDescent="0.35">
      <c r="A105" s="59" t="s">
        <v>715</v>
      </c>
      <c r="B105" s="59"/>
      <c r="C105" s="9" t="s">
        <v>3</v>
      </c>
      <c r="D105" s="9" t="s">
        <v>4</v>
      </c>
      <c r="E105" s="9" t="s">
        <v>702</v>
      </c>
      <c r="F105" s="9" t="s">
        <v>703</v>
      </c>
      <c r="G105" s="9" t="s">
        <v>704</v>
      </c>
    </row>
    <row r="106" spans="1:7" ht="15" customHeight="1" x14ac:dyDescent="0.35">
      <c r="A106" s="10" t="s">
        <v>719</v>
      </c>
      <c r="B106" s="11" t="s">
        <v>720</v>
      </c>
      <c r="C106" s="10" t="s">
        <v>20</v>
      </c>
      <c r="D106" s="10" t="s">
        <v>718</v>
      </c>
      <c r="E106" s="12">
        <v>2.3264648999999999</v>
      </c>
      <c r="F106" s="13">
        <v>15.53</v>
      </c>
      <c r="G106" s="13">
        <v>36.119999999999997</v>
      </c>
    </row>
    <row r="107" spans="1:7" ht="18" customHeight="1" x14ac:dyDescent="0.35">
      <c r="A107" s="8"/>
      <c r="B107" s="8"/>
      <c r="C107" s="8"/>
      <c r="D107" s="8"/>
      <c r="E107" s="60" t="s">
        <v>721</v>
      </c>
      <c r="F107" s="60"/>
      <c r="G107" s="14">
        <v>36.119999999999997</v>
      </c>
    </row>
    <row r="108" spans="1:7" ht="15" customHeight="1" x14ac:dyDescent="0.35">
      <c r="A108" s="8"/>
      <c r="B108" s="8"/>
      <c r="C108" s="8"/>
      <c r="D108" s="8"/>
      <c r="E108" s="61" t="s">
        <v>726</v>
      </c>
      <c r="F108" s="61"/>
      <c r="G108" s="4">
        <v>36.119999999999997</v>
      </c>
    </row>
    <row r="109" spans="1:7" ht="10" customHeight="1" x14ac:dyDescent="0.35">
      <c r="A109" s="8"/>
      <c r="B109" s="8"/>
      <c r="C109" s="57"/>
      <c r="D109" s="57"/>
      <c r="E109" s="8"/>
      <c r="F109" s="8"/>
      <c r="G109" s="8"/>
    </row>
    <row r="110" spans="1:7" ht="20.149999999999999" customHeight="1" x14ac:dyDescent="0.35">
      <c r="A110" s="58" t="s">
        <v>793</v>
      </c>
      <c r="B110" s="58"/>
      <c r="C110" s="58"/>
      <c r="D110" s="58"/>
      <c r="E110" s="58"/>
      <c r="F110" s="58"/>
      <c r="G110" s="58"/>
    </row>
    <row r="111" spans="1:7" ht="15" customHeight="1" x14ac:dyDescent="0.35">
      <c r="A111" s="59" t="s">
        <v>715</v>
      </c>
      <c r="B111" s="59"/>
      <c r="C111" s="9" t="s">
        <v>3</v>
      </c>
      <c r="D111" s="9" t="s">
        <v>4</v>
      </c>
      <c r="E111" s="9" t="s">
        <v>702</v>
      </c>
      <c r="F111" s="9" t="s">
        <v>703</v>
      </c>
      <c r="G111" s="9" t="s">
        <v>704</v>
      </c>
    </row>
    <row r="112" spans="1:7" ht="15" customHeight="1" x14ac:dyDescent="0.35">
      <c r="A112" s="10" t="s">
        <v>794</v>
      </c>
      <c r="B112" s="11" t="s">
        <v>795</v>
      </c>
      <c r="C112" s="10" t="s">
        <v>20</v>
      </c>
      <c r="D112" s="10" t="s">
        <v>718</v>
      </c>
      <c r="E112" s="12">
        <v>6.2520751199999998</v>
      </c>
      <c r="F112" s="13">
        <v>19.57</v>
      </c>
      <c r="G112" s="13">
        <v>122.35</v>
      </c>
    </row>
    <row r="113" spans="1:7" ht="15" customHeight="1" x14ac:dyDescent="0.35">
      <c r="A113" s="10" t="s">
        <v>719</v>
      </c>
      <c r="B113" s="11" t="s">
        <v>720</v>
      </c>
      <c r="C113" s="10" t="s">
        <v>20</v>
      </c>
      <c r="D113" s="10" t="s">
        <v>718</v>
      </c>
      <c r="E113" s="12">
        <v>1.70506643</v>
      </c>
      <c r="F113" s="13">
        <v>15.53</v>
      </c>
      <c r="G113" s="13">
        <v>26.47</v>
      </c>
    </row>
    <row r="114" spans="1:7" ht="18" customHeight="1" x14ac:dyDescent="0.35">
      <c r="A114" s="8"/>
      <c r="B114" s="8"/>
      <c r="C114" s="8"/>
      <c r="D114" s="8"/>
      <c r="E114" s="60" t="s">
        <v>721</v>
      </c>
      <c r="F114" s="60"/>
      <c r="G114" s="14">
        <v>148.82</v>
      </c>
    </row>
    <row r="115" spans="1:7" ht="15" customHeight="1" x14ac:dyDescent="0.35">
      <c r="A115" s="59" t="s">
        <v>722</v>
      </c>
      <c r="B115" s="59"/>
      <c r="C115" s="9" t="s">
        <v>3</v>
      </c>
      <c r="D115" s="9" t="s">
        <v>4</v>
      </c>
      <c r="E115" s="9" t="s">
        <v>702</v>
      </c>
      <c r="F115" s="9" t="s">
        <v>703</v>
      </c>
      <c r="G115" s="9" t="s">
        <v>704</v>
      </c>
    </row>
    <row r="116" spans="1:7" ht="29.15" customHeight="1" x14ac:dyDescent="0.35">
      <c r="A116" s="10" t="s">
        <v>796</v>
      </c>
      <c r="B116" s="11" t="s">
        <v>797</v>
      </c>
      <c r="C116" s="10" t="s">
        <v>20</v>
      </c>
      <c r="D116" s="10" t="s">
        <v>31</v>
      </c>
      <c r="E116" s="12">
        <v>1.13738198</v>
      </c>
      <c r="F116" s="13">
        <v>354.22</v>
      </c>
      <c r="G116" s="13">
        <v>402.88</v>
      </c>
    </row>
    <row r="117" spans="1:7" ht="15" customHeight="1" x14ac:dyDescent="0.35">
      <c r="A117" s="8"/>
      <c r="B117" s="8"/>
      <c r="C117" s="8"/>
      <c r="D117" s="8"/>
      <c r="E117" s="60" t="s">
        <v>725</v>
      </c>
      <c r="F117" s="60"/>
      <c r="G117" s="14">
        <v>402.88</v>
      </c>
    </row>
    <row r="118" spans="1:7" ht="15" customHeight="1" x14ac:dyDescent="0.35">
      <c r="A118" s="8"/>
      <c r="B118" s="8"/>
      <c r="C118" s="8"/>
      <c r="D118" s="8"/>
      <c r="E118" s="61" t="s">
        <v>726</v>
      </c>
      <c r="F118" s="61"/>
      <c r="G118" s="4">
        <v>551.70000000000005</v>
      </c>
    </row>
    <row r="119" spans="1:7" ht="10" customHeight="1" x14ac:dyDescent="0.35">
      <c r="A119" s="8"/>
      <c r="B119" s="8"/>
      <c r="C119" s="57"/>
      <c r="D119" s="57"/>
      <c r="E119" s="8"/>
      <c r="F119" s="8"/>
      <c r="G119" s="8"/>
    </row>
    <row r="120" spans="1:7" ht="20.149999999999999" customHeight="1" x14ac:dyDescent="0.35">
      <c r="A120" s="58" t="s">
        <v>798</v>
      </c>
      <c r="B120" s="58"/>
      <c r="C120" s="58"/>
      <c r="D120" s="58"/>
      <c r="E120" s="58"/>
      <c r="F120" s="58"/>
      <c r="G120" s="58"/>
    </row>
    <row r="121" spans="1:7" ht="15" customHeight="1" x14ac:dyDescent="0.35">
      <c r="A121" s="59" t="s">
        <v>761</v>
      </c>
      <c r="B121" s="59"/>
      <c r="C121" s="9" t="s">
        <v>3</v>
      </c>
      <c r="D121" s="9" t="s">
        <v>4</v>
      </c>
      <c r="E121" s="9" t="s">
        <v>702</v>
      </c>
      <c r="F121" s="9" t="s">
        <v>703</v>
      </c>
      <c r="G121" s="9" t="s">
        <v>704</v>
      </c>
    </row>
    <row r="122" spans="1:7" ht="20.149999999999999" customHeight="1" x14ac:dyDescent="0.35">
      <c r="A122" s="10" t="s">
        <v>762</v>
      </c>
      <c r="B122" s="11" t="s">
        <v>763</v>
      </c>
      <c r="C122" s="10" t="s">
        <v>20</v>
      </c>
      <c r="D122" s="10" t="s">
        <v>764</v>
      </c>
      <c r="E122" s="12">
        <v>0.13882900000000001</v>
      </c>
      <c r="F122" s="13">
        <v>18.55</v>
      </c>
      <c r="G122" s="13">
        <v>2.57</v>
      </c>
    </row>
    <row r="123" spans="1:7" ht="20.149999999999999" customHeight="1" x14ac:dyDescent="0.35">
      <c r="A123" s="10" t="s">
        <v>765</v>
      </c>
      <c r="B123" s="11" t="s">
        <v>766</v>
      </c>
      <c r="C123" s="10" t="s">
        <v>20</v>
      </c>
      <c r="D123" s="10" t="s">
        <v>767</v>
      </c>
      <c r="E123" s="12">
        <v>7.0891399999999993E-2</v>
      </c>
      <c r="F123" s="13">
        <v>19.54</v>
      </c>
      <c r="G123" s="13">
        <v>1.38</v>
      </c>
    </row>
    <row r="124" spans="1:7" ht="15" customHeight="1" x14ac:dyDescent="0.35">
      <c r="A124" s="8"/>
      <c r="B124" s="8"/>
      <c r="C124" s="8"/>
      <c r="D124" s="8"/>
      <c r="E124" s="60" t="s">
        <v>768</v>
      </c>
      <c r="F124" s="60"/>
      <c r="G124" s="14">
        <v>3.95</v>
      </c>
    </row>
    <row r="125" spans="1:7" ht="15" customHeight="1" x14ac:dyDescent="0.35">
      <c r="A125" s="59" t="s">
        <v>701</v>
      </c>
      <c r="B125" s="59"/>
      <c r="C125" s="9" t="s">
        <v>3</v>
      </c>
      <c r="D125" s="9" t="s">
        <v>4</v>
      </c>
      <c r="E125" s="9" t="s">
        <v>702</v>
      </c>
      <c r="F125" s="9" t="s">
        <v>703</v>
      </c>
      <c r="G125" s="9" t="s">
        <v>704</v>
      </c>
    </row>
    <row r="126" spans="1:7" ht="29.15" customHeight="1" x14ac:dyDescent="0.35">
      <c r="A126" s="10" t="s">
        <v>799</v>
      </c>
      <c r="B126" s="11" t="s">
        <v>800</v>
      </c>
      <c r="C126" s="10" t="s">
        <v>20</v>
      </c>
      <c r="D126" s="10" t="s">
        <v>21</v>
      </c>
      <c r="E126" s="12">
        <v>0.42188061999999998</v>
      </c>
      <c r="F126" s="13">
        <v>26.98</v>
      </c>
      <c r="G126" s="13">
        <v>11.38</v>
      </c>
    </row>
    <row r="127" spans="1:7" ht="20.149999999999999" customHeight="1" x14ac:dyDescent="0.35">
      <c r="A127" s="10" t="s">
        <v>801</v>
      </c>
      <c r="B127" s="11" t="s">
        <v>802</v>
      </c>
      <c r="C127" s="10" t="s">
        <v>20</v>
      </c>
      <c r="D127" s="10" t="s">
        <v>777</v>
      </c>
      <c r="E127" s="12">
        <v>1.004477E-2</v>
      </c>
      <c r="F127" s="13">
        <v>8.5</v>
      </c>
      <c r="G127" s="13">
        <v>0.08</v>
      </c>
    </row>
    <row r="128" spans="1:7" ht="20.149999999999999" customHeight="1" x14ac:dyDescent="0.35">
      <c r="A128" s="10" t="s">
        <v>708</v>
      </c>
      <c r="B128" s="11" t="s">
        <v>709</v>
      </c>
      <c r="C128" s="10" t="s">
        <v>20</v>
      </c>
      <c r="D128" s="10" t="s">
        <v>25</v>
      </c>
      <c r="E128" s="12">
        <v>0.92110603999999996</v>
      </c>
      <c r="F128" s="13">
        <v>13.34</v>
      </c>
      <c r="G128" s="13">
        <v>12.28</v>
      </c>
    </row>
    <row r="129" spans="1:7" ht="15" customHeight="1" x14ac:dyDescent="0.35">
      <c r="A129" s="10" t="s">
        <v>803</v>
      </c>
      <c r="B129" s="11" t="s">
        <v>804</v>
      </c>
      <c r="C129" s="10" t="s">
        <v>20</v>
      </c>
      <c r="D129" s="10" t="s">
        <v>56</v>
      </c>
      <c r="E129" s="12">
        <v>1.6071640000000002E-2</v>
      </c>
      <c r="F129" s="13">
        <v>27.6</v>
      </c>
      <c r="G129" s="13">
        <v>0.44</v>
      </c>
    </row>
    <row r="130" spans="1:7" ht="15" customHeight="1" x14ac:dyDescent="0.35">
      <c r="A130" s="10" t="s">
        <v>805</v>
      </c>
      <c r="B130" s="11" t="s">
        <v>806</v>
      </c>
      <c r="C130" s="10" t="s">
        <v>20</v>
      </c>
      <c r="D130" s="10" t="s">
        <v>56</v>
      </c>
      <c r="E130" s="12">
        <v>1.3058200000000001E-2</v>
      </c>
      <c r="F130" s="13">
        <v>27.92</v>
      </c>
      <c r="G130" s="13">
        <v>0.36</v>
      </c>
    </row>
    <row r="131" spans="1:7" ht="15" customHeight="1" x14ac:dyDescent="0.35">
      <c r="A131" s="10" t="s">
        <v>807</v>
      </c>
      <c r="B131" s="11" t="s">
        <v>808</v>
      </c>
      <c r="C131" s="10" t="s">
        <v>20</v>
      </c>
      <c r="D131" s="10" t="s">
        <v>56</v>
      </c>
      <c r="E131" s="12">
        <v>6.9308960000000003E-2</v>
      </c>
      <c r="F131" s="13">
        <v>25.4</v>
      </c>
      <c r="G131" s="13">
        <v>1.76</v>
      </c>
    </row>
    <row r="132" spans="1:7" ht="15" customHeight="1" x14ac:dyDescent="0.35">
      <c r="A132" s="10" t="s">
        <v>809</v>
      </c>
      <c r="B132" s="11" t="s">
        <v>810</v>
      </c>
      <c r="C132" s="10" t="s">
        <v>20</v>
      </c>
      <c r="D132" s="10" t="s">
        <v>56</v>
      </c>
      <c r="E132" s="12">
        <v>2.4107460000000001E-2</v>
      </c>
      <c r="F132" s="13">
        <v>30.76</v>
      </c>
      <c r="G132" s="13">
        <v>0.74</v>
      </c>
    </row>
    <row r="133" spans="1:7" ht="20.149999999999999" customHeight="1" x14ac:dyDescent="0.35">
      <c r="A133" s="10" t="s">
        <v>811</v>
      </c>
      <c r="B133" s="11" t="s">
        <v>812</v>
      </c>
      <c r="C133" s="10" t="s">
        <v>20</v>
      </c>
      <c r="D133" s="10" t="s">
        <v>25</v>
      </c>
      <c r="E133" s="12">
        <v>7.6681826800000001</v>
      </c>
      <c r="F133" s="13">
        <v>4.66</v>
      </c>
      <c r="G133" s="13">
        <v>35.729999999999997</v>
      </c>
    </row>
    <row r="134" spans="1:7" ht="15" customHeight="1" x14ac:dyDescent="0.35">
      <c r="A134" s="8"/>
      <c r="B134" s="8"/>
      <c r="C134" s="8"/>
      <c r="D134" s="8"/>
      <c r="E134" s="60" t="s">
        <v>714</v>
      </c>
      <c r="F134" s="60"/>
      <c r="G134" s="14">
        <v>62.77</v>
      </c>
    </row>
    <row r="135" spans="1:7" ht="15" customHeight="1" x14ac:dyDescent="0.35">
      <c r="A135" s="59" t="s">
        <v>715</v>
      </c>
      <c r="B135" s="59"/>
      <c r="C135" s="9" t="s">
        <v>3</v>
      </c>
      <c r="D135" s="9" t="s">
        <v>4</v>
      </c>
      <c r="E135" s="9" t="s">
        <v>702</v>
      </c>
      <c r="F135" s="9" t="s">
        <v>703</v>
      </c>
      <c r="G135" s="9" t="s">
        <v>704</v>
      </c>
    </row>
    <row r="136" spans="1:7" ht="15" customHeight="1" x14ac:dyDescent="0.35">
      <c r="A136" s="10" t="s">
        <v>778</v>
      </c>
      <c r="B136" s="11" t="s">
        <v>779</v>
      </c>
      <c r="C136" s="10" t="s">
        <v>20</v>
      </c>
      <c r="D136" s="10" t="s">
        <v>718</v>
      </c>
      <c r="E136" s="12">
        <v>1.40108991</v>
      </c>
      <c r="F136" s="13">
        <v>15.45</v>
      </c>
      <c r="G136" s="13">
        <v>21.64</v>
      </c>
    </row>
    <row r="137" spans="1:7" ht="15" customHeight="1" x14ac:dyDescent="0.35">
      <c r="A137" s="10" t="s">
        <v>716</v>
      </c>
      <c r="B137" s="11" t="s">
        <v>717</v>
      </c>
      <c r="C137" s="10" t="s">
        <v>20</v>
      </c>
      <c r="D137" s="10" t="s">
        <v>718</v>
      </c>
      <c r="E137" s="12">
        <v>3.7292082099999999</v>
      </c>
      <c r="F137" s="13">
        <v>19.34</v>
      </c>
      <c r="G137" s="13">
        <v>72.12</v>
      </c>
    </row>
    <row r="138" spans="1:7" ht="18" customHeight="1" x14ac:dyDescent="0.35">
      <c r="A138" s="8"/>
      <c r="B138" s="8"/>
      <c r="C138" s="8"/>
      <c r="D138" s="8"/>
      <c r="E138" s="60" t="s">
        <v>721</v>
      </c>
      <c r="F138" s="60"/>
      <c r="G138" s="14">
        <v>93.76</v>
      </c>
    </row>
    <row r="139" spans="1:7" ht="15" customHeight="1" x14ac:dyDescent="0.35">
      <c r="A139" s="8"/>
      <c r="B139" s="8"/>
      <c r="C139" s="8"/>
      <c r="D139" s="8"/>
      <c r="E139" s="61" t="s">
        <v>726</v>
      </c>
      <c r="F139" s="61"/>
      <c r="G139" s="4">
        <v>160.47999999999999</v>
      </c>
    </row>
    <row r="140" spans="1:7" ht="10" customHeight="1" x14ac:dyDescent="0.35">
      <c r="A140" s="8"/>
      <c r="B140" s="8"/>
      <c r="C140" s="57"/>
      <c r="D140" s="57"/>
      <c r="E140" s="8"/>
      <c r="F140" s="8"/>
      <c r="G140" s="8"/>
    </row>
    <row r="141" spans="1:7" ht="20.149999999999999" customHeight="1" x14ac:dyDescent="0.35">
      <c r="A141" s="58" t="s">
        <v>813</v>
      </c>
      <c r="B141" s="58"/>
      <c r="C141" s="58"/>
      <c r="D141" s="58"/>
      <c r="E141" s="58"/>
      <c r="F141" s="58"/>
      <c r="G141" s="58"/>
    </row>
    <row r="142" spans="1:7" ht="15" customHeight="1" x14ac:dyDescent="0.35">
      <c r="A142" s="59" t="s">
        <v>761</v>
      </c>
      <c r="B142" s="59"/>
      <c r="C142" s="9" t="s">
        <v>3</v>
      </c>
      <c r="D142" s="9" t="s">
        <v>4</v>
      </c>
      <c r="E142" s="9" t="s">
        <v>702</v>
      </c>
      <c r="F142" s="9" t="s">
        <v>703</v>
      </c>
      <c r="G142" s="9" t="s">
        <v>704</v>
      </c>
    </row>
    <row r="143" spans="1:7" ht="29.15" customHeight="1" x14ac:dyDescent="0.35">
      <c r="A143" s="10" t="s">
        <v>814</v>
      </c>
      <c r="B143" s="11" t="s">
        <v>815</v>
      </c>
      <c r="C143" s="10" t="s">
        <v>20</v>
      </c>
      <c r="D143" s="10" t="s">
        <v>764</v>
      </c>
      <c r="E143" s="12">
        <v>0.59175781999999999</v>
      </c>
      <c r="F143" s="13">
        <v>1.33</v>
      </c>
      <c r="G143" s="13">
        <v>0.78</v>
      </c>
    </row>
    <row r="144" spans="1:7" ht="29.15" customHeight="1" x14ac:dyDescent="0.35">
      <c r="A144" s="10" t="s">
        <v>816</v>
      </c>
      <c r="B144" s="11" t="s">
        <v>817</v>
      </c>
      <c r="C144" s="10" t="s">
        <v>20</v>
      </c>
      <c r="D144" s="10" t="s">
        <v>767</v>
      </c>
      <c r="E144" s="12">
        <v>0.62524981000000002</v>
      </c>
      <c r="F144" s="13">
        <v>4.34</v>
      </c>
      <c r="G144" s="13">
        <v>2.71</v>
      </c>
    </row>
    <row r="145" spans="1:7" ht="15" customHeight="1" x14ac:dyDescent="0.35">
      <c r="A145" s="8"/>
      <c r="B145" s="8"/>
      <c r="C145" s="8"/>
      <c r="D145" s="8"/>
      <c r="E145" s="60" t="s">
        <v>768</v>
      </c>
      <c r="F145" s="60"/>
      <c r="G145" s="14">
        <v>3.49</v>
      </c>
    </row>
    <row r="146" spans="1:7" ht="15" customHeight="1" x14ac:dyDescent="0.35">
      <c r="A146" s="59" t="s">
        <v>701</v>
      </c>
      <c r="B146" s="59"/>
      <c r="C146" s="9" t="s">
        <v>3</v>
      </c>
      <c r="D146" s="9" t="s">
        <v>4</v>
      </c>
      <c r="E146" s="9" t="s">
        <v>702</v>
      </c>
      <c r="F146" s="9" t="s">
        <v>703</v>
      </c>
      <c r="G146" s="9" t="s">
        <v>704</v>
      </c>
    </row>
    <row r="147" spans="1:7" ht="20.149999999999999" customHeight="1" x14ac:dyDescent="0.35">
      <c r="A147" s="10" t="s">
        <v>818</v>
      </c>
      <c r="B147" s="11" t="s">
        <v>819</v>
      </c>
      <c r="C147" s="10" t="s">
        <v>20</v>
      </c>
      <c r="D147" s="10" t="s">
        <v>31</v>
      </c>
      <c r="E147" s="12">
        <v>0.74198432999999997</v>
      </c>
      <c r="F147" s="13">
        <v>107.8</v>
      </c>
      <c r="G147" s="13">
        <v>79.98</v>
      </c>
    </row>
    <row r="148" spans="1:7" ht="15" customHeight="1" x14ac:dyDescent="0.35">
      <c r="A148" s="10" t="s">
        <v>820</v>
      </c>
      <c r="B148" s="11" t="s">
        <v>821</v>
      </c>
      <c r="C148" s="10" t="s">
        <v>20</v>
      </c>
      <c r="D148" s="10" t="s">
        <v>56</v>
      </c>
      <c r="E148" s="12">
        <v>372.22351192000002</v>
      </c>
      <c r="F148" s="13">
        <v>0.69</v>
      </c>
      <c r="G148" s="13">
        <v>256.83</v>
      </c>
    </row>
    <row r="149" spans="1:7" ht="20.149999999999999" customHeight="1" x14ac:dyDescent="0.35">
      <c r="A149" s="10" t="s">
        <v>822</v>
      </c>
      <c r="B149" s="11" t="s">
        <v>823</v>
      </c>
      <c r="C149" s="10" t="s">
        <v>20</v>
      </c>
      <c r="D149" s="10" t="s">
        <v>31</v>
      </c>
      <c r="E149" s="12">
        <v>0.60909009000000003</v>
      </c>
      <c r="F149" s="13">
        <v>102.36</v>
      </c>
      <c r="G149" s="13">
        <v>62.34</v>
      </c>
    </row>
    <row r="150" spans="1:7" ht="15" customHeight="1" x14ac:dyDescent="0.35">
      <c r="A150" s="8"/>
      <c r="B150" s="8"/>
      <c r="C150" s="8"/>
      <c r="D150" s="8"/>
      <c r="E150" s="60" t="s">
        <v>714</v>
      </c>
      <c r="F150" s="60"/>
      <c r="G150" s="14">
        <v>399.15</v>
      </c>
    </row>
    <row r="151" spans="1:7" ht="15" customHeight="1" x14ac:dyDescent="0.35">
      <c r="A151" s="59" t="s">
        <v>715</v>
      </c>
      <c r="B151" s="59"/>
      <c r="C151" s="9" t="s">
        <v>3</v>
      </c>
      <c r="D151" s="9" t="s">
        <v>4</v>
      </c>
      <c r="E151" s="9" t="s">
        <v>702</v>
      </c>
      <c r="F151" s="9" t="s">
        <v>703</v>
      </c>
      <c r="G151" s="9" t="s">
        <v>704</v>
      </c>
    </row>
    <row r="152" spans="1:7" ht="20.149999999999999" customHeight="1" x14ac:dyDescent="0.35">
      <c r="A152" s="10" t="s">
        <v>824</v>
      </c>
      <c r="B152" s="11" t="s">
        <v>825</v>
      </c>
      <c r="C152" s="10" t="s">
        <v>20</v>
      </c>
      <c r="D152" s="10" t="s">
        <v>718</v>
      </c>
      <c r="E152" s="12">
        <v>1.21868087</v>
      </c>
      <c r="F152" s="13">
        <v>15.85</v>
      </c>
      <c r="G152" s="13">
        <v>19.309999999999999</v>
      </c>
    </row>
    <row r="153" spans="1:7" ht="15" customHeight="1" x14ac:dyDescent="0.35">
      <c r="A153" s="10" t="s">
        <v>719</v>
      </c>
      <c r="B153" s="11" t="s">
        <v>720</v>
      </c>
      <c r="C153" s="10" t="s">
        <v>20</v>
      </c>
      <c r="D153" s="10" t="s">
        <v>718</v>
      </c>
      <c r="E153" s="12">
        <v>1.92401592</v>
      </c>
      <c r="F153" s="13">
        <v>15.53</v>
      </c>
      <c r="G153" s="13">
        <v>29.87</v>
      </c>
    </row>
    <row r="154" spans="1:7" ht="18" customHeight="1" x14ac:dyDescent="0.35">
      <c r="A154" s="8"/>
      <c r="B154" s="8"/>
      <c r="C154" s="8"/>
      <c r="D154" s="8"/>
      <c r="E154" s="60" t="s">
        <v>721</v>
      </c>
      <c r="F154" s="60"/>
      <c r="G154" s="14">
        <v>49.18</v>
      </c>
    </row>
    <row r="155" spans="1:7" ht="15" customHeight="1" x14ac:dyDescent="0.35">
      <c r="A155" s="8"/>
      <c r="B155" s="8"/>
      <c r="C155" s="8"/>
      <c r="D155" s="8"/>
      <c r="E155" s="61" t="s">
        <v>726</v>
      </c>
      <c r="F155" s="61"/>
      <c r="G155" s="4">
        <v>451.82</v>
      </c>
    </row>
    <row r="156" spans="1:7" ht="10" customHeight="1" x14ac:dyDescent="0.35">
      <c r="A156" s="8"/>
      <c r="B156" s="8"/>
      <c r="C156" s="57"/>
      <c r="D156" s="57"/>
      <c r="E156" s="8"/>
      <c r="F156" s="8"/>
      <c r="G156" s="8"/>
    </row>
    <row r="157" spans="1:7" ht="20.149999999999999" customHeight="1" x14ac:dyDescent="0.35">
      <c r="A157" s="58" t="s">
        <v>826</v>
      </c>
      <c r="B157" s="58"/>
      <c r="C157" s="58"/>
      <c r="D157" s="58"/>
      <c r="E157" s="58"/>
      <c r="F157" s="58"/>
      <c r="G157" s="58"/>
    </row>
    <row r="158" spans="1:7" ht="15" customHeight="1" x14ac:dyDescent="0.35">
      <c r="A158" s="59" t="s">
        <v>761</v>
      </c>
      <c r="B158" s="59"/>
      <c r="C158" s="9" t="s">
        <v>3</v>
      </c>
      <c r="D158" s="9" t="s">
        <v>4</v>
      </c>
      <c r="E158" s="9" t="s">
        <v>702</v>
      </c>
      <c r="F158" s="9" t="s">
        <v>703</v>
      </c>
      <c r="G158" s="9" t="s">
        <v>704</v>
      </c>
    </row>
    <row r="159" spans="1:7" ht="29.15" customHeight="1" x14ac:dyDescent="0.35">
      <c r="A159" s="10" t="s">
        <v>827</v>
      </c>
      <c r="B159" s="11" t="s">
        <v>828</v>
      </c>
      <c r="C159" s="10" t="s">
        <v>20</v>
      </c>
      <c r="D159" s="10" t="s">
        <v>764</v>
      </c>
      <c r="E159" s="12">
        <v>1.37466873</v>
      </c>
      <c r="F159" s="13">
        <v>0.54</v>
      </c>
      <c r="G159" s="13">
        <v>0.74</v>
      </c>
    </row>
    <row r="160" spans="1:7" ht="29.15" customHeight="1" x14ac:dyDescent="0.35">
      <c r="A160" s="10" t="s">
        <v>829</v>
      </c>
      <c r="B160" s="11" t="s">
        <v>830</v>
      </c>
      <c r="C160" s="10" t="s">
        <v>20</v>
      </c>
      <c r="D160" s="10" t="s">
        <v>767</v>
      </c>
      <c r="E160" s="12">
        <v>1.0108714299999999</v>
      </c>
      <c r="F160" s="13">
        <v>1.27</v>
      </c>
      <c r="G160" s="13">
        <v>1.28</v>
      </c>
    </row>
    <row r="161" spans="1:7" ht="15" customHeight="1" x14ac:dyDescent="0.35">
      <c r="A161" s="8"/>
      <c r="B161" s="8"/>
      <c r="C161" s="8"/>
      <c r="D161" s="8"/>
      <c r="E161" s="60" t="s">
        <v>768</v>
      </c>
      <c r="F161" s="60"/>
      <c r="G161" s="14">
        <v>2.02</v>
      </c>
    </row>
    <row r="162" spans="1:7" ht="15" customHeight="1" x14ac:dyDescent="0.35">
      <c r="A162" s="59" t="s">
        <v>715</v>
      </c>
      <c r="B162" s="59"/>
      <c r="C162" s="9" t="s">
        <v>3</v>
      </c>
      <c r="D162" s="9" t="s">
        <v>4</v>
      </c>
      <c r="E162" s="9" t="s">
        <v>702</v>
      </c>
      <c r="F162" s="9" t="s">
        <v>703</v>
      </c>
      <c r="G162" s="9" t="s">
        <v>704</v>
      </c>
    </row>
    <row r="163" spans="1:7" ht="15" customHeight="1" x14ac:dyDescent="0.35">
      <c r="A163" s="10" t="s">
        <v>716</v>
      </c>
      <c r="B163" s="11" t="s">
        <v>717</v>
      </c>
      <c r="C163" s="10" t="s">
        <v>20</v>
      </c>
      <c r="D163" s="10" t="s">
        <v>718</v>
      </c>
      <c r="E163" s="12">
        <v>2.3855401600000001</v>
      </c>
      <c r="F163" s="13">
        <v>19.34</v>
      </c>
      <c r="G163" s="13">
        <v>46.13</v>
      </c>
    </row>
    <row r="164" spans="1:7" ht="15" customHeight="1" x14ac:dyDescent="0.35">
      <c r="A164" s="10" t="s">
        <v>794</v>
      </c>
      <c r="B164" s="11" t="s">
        <v>795</v>
      </c>
      <c r="C164" s="10" t="s">
        <v>20</v>
      </c>
      <c r="D164" s="10" t="s">
        <v>718</v>
      </c>
      <c r="E164" s="12">
        <v>2.3855401600000001</v>
      </c>
      <c r="F164" s="13">
        <v>19.57</v>
      </c>
      <c r="G164" s="13">
        <v>46.68</v>
      </c>
    </row>
    <row r="165" spans="1:7" ht="15" customHeight="1" x14ac:dyDescent="0.35">
      <c r="A165" s="10" t="s">
        <v>719</v>
      </c>
      <c r="B165" s="11" t="s">
        <v>720</v>
      </c>
      <c r="C165" s="10" t="s">
        <v>20</v>
      </c>
      <c r="D165" s="10" t="s">
        <v>718</v>
      </c>
      <c r="E165" s="12">
        <v>7.1559892500000002</v>
      </c>
      <c r="F165" s="13">
        <v>15.53</v>
      </c>
      <c r="G165" s="13">
        <v>111.13</v>
      </c>
    </row>
    <row r="166" spans="1:7" ht="18" customHeight="1" x14ac:dyDescent="0.35">
      <c r="A166" s="8"/>
      <c r="B166" s="8"/>
      <c r="C166" s="8"/>
      <c r="D166" s="8"/>
      <c r="E166" s="60" t="s">
        <v>721</v>
      </c>
      <c r="F166" s="60"/>
      <c r="G166" s="14">
        <v>203.94</v>
      </c>
    </row>
    <row r="167" spans="1:7" ht="15" customHeight="1" x14ac:dyDescent="0.35">
      <c r="A167" s="8"/>
      <c r="B167" s="8"/>
      <c r="C167" s="8"/>
      <c r="D167" s="8"/>
      <c r="E167" s="61" t="s">
        <v>726</v>
      </c>
      <c r="F167" s="61"/>
      <c r="G167" s="4">
        <v>205.96</v>
      </c>
    </row>
    <row r="168" spans="1:7" ht="10" customHeight="1" x14ac:dyDescent="0.35">
      <c r="A168" s="8"/>
      <c r="B168" s="8"/>
      <c r="C168" s="57"/>
      <c r="D168" s="57"/>
      <c r="E168" s="8"/>
      <c r="F168" s="8"/>
      <c r="G168" s="8"/>
    </row>
    <row r="169" spans="1:7" ht="20.149999999999999" customHeight="1" x14ac:dyDescent="0.35">
      <c r="A169" s="58" t="s">
        <v>831</v>
      </c>
      <c r="B169" s="58"/>
      <c r="C169" s="58"/>
      <c r="D169" s="58"/>
      <c r="E169" s="58"/>
      <c r="F169" s="58"/>
      <c r="G169" s="58"/>
    </row>
    <row r="170" spans="1:7" ht="15" customHeight="1" x14ac:dyDescent="0.35">
      <c r="A170" s="59" t="s">
        <v>701</v>
      </c>
      <c r="B170" s="59"/>
      <c r="C170" s="9" t="s">
        <v>3</v>
      </c>
      <c r="D170" s="9" t="s">
        <v>4</v>
      </c>
      <c r="E170" s="9" t="s">
        <v>702</v>
      </c>
      <c r="F170" s="9" t="s">
        <v>703</v>
      </c>
      <c r="G170" s="9" t="s">
        <v>704</v>
      </c>
    </row>
    <row r="171" spans="1:7" ht="20.149999999999999" customHeight="1" x14ac:dyDescent="0.35">
      <c r="A171" s="10" t="s">
        <v>832</v>
      </c>
      <c r="B171" s="11" t="s">
        <v>833</v>
      </c>
      <c r="C171" s="10" t="s">
        <v>20</v>
      </c>
      <c r="D171" s="10" t="s">
        <v>56</v>
      </c>
      <c r="E171" s="12">
        <v>2.4439249999999999E-2</v>
      </c>
      <c r="F171" s="13">
        <v>29.4</v>
      </c>
      <c r="G171" s="13">
        <v>0.71</v>
      </c>
    </row>
    <row r="172" spans="1:7" ht="29.15" customHeight="1" x14ac:dyDescent="0.35">
      <c r="A172" s="10" t="s">
        <v>834</v>
      </c>
      <c r="B172" s="11" t="s">
        <v>835</v>
      </c>
      <c r="C172" s="10" t="s">
        <v>20</v>
      </c>
      <c r="D172" s="10" t="s">
        <v>160</v>
      </c>
      <c r="E172" s="12">
        <v>1.1633084</v>
      </c>
      <c r="F172" s="13">
        <v>0.22</v>
      </c>
      <c r="G172" s="13">
        <v>0.25</v>
      </c>
    </row>
    <row r="173" spans="1:7" ht="15" customHeight="1" x14ac:dyDescent="0.35">
      <c r="A173" s="8"/>
      <c r="B173" s="8"/>
      <c r="C173" s="8"/>
      <c r="D173" s="8"/>
      <c r="E173" s="60" t="s">
        <v>714</v>
      </c>
      <c r="F173" s="60"/>
      <c r="G173" s="14">
        <v>0.96</v>
      </c>
    </row>
    <row r="174" spans="1:7" ht="15" customHeight="1" x14ac:dyDescent="0.35">
      <c r="A174" s="59" t="s">
        <v>715</v>
      </c>
      <c r="B174" s="59"/>
      <c r="C174" s="9" t="s">
        <v>3</v>
      </c>
      <c r="D174" s="9" t="s">
        <v>4</v>
      </c>
      <c r="E174" s="9" t="s">
        <v>702</v>
      </c>
      <c r="F174" s="9" t="s">
        <v>703</v>
      </c>
      <c r="G174" s="9" t="s">
        <v>704</v>
      </c>
    </row>
    <row r="175" spans="1:7" ht="15" customHeight="1" x14ac:dyDescent="0.35">
      <c r="A175" s="10" t="s">
        <v>836</v>
      </c>
      <c r="B175" s="11" t="s">
        <v>837</v>
      </c>
      <c r="C175" s="10" t="s">
        <v>20</v>
      </c>
      <c r="D175" s="10" t="s">
        <v>718</v>
      </c>
      <c r="E175" s="12">
        <v>4.7647450000000001E-2</v>
      </c>
      <c r="F175" s="13">
        <v>15.54</v>
      </c>
      <c r="G175" s="13">
        <v>0.74</v>
      </c>
    </row>
    <row r="176" spans="1:7" ht="15" customHeight="1" x14ac:dyDescent="0.35">
      <c r="A176" s="10" t="s">
        <v>838</v>
      </c>
      <c r="B176" s="11" t="s">
        <v>839</v>
      </c>
      <c r="C176" s="10" t="s">
        <v>20</v>
      </c>
      <c r="D176" s="10" t="s">
        <v>718</v>
      </c>
      <c r="E176" s="12">
        <v>0.14683197000000001</v>
      </c>
      <c r="F176" s="13">
        <v>19.46</v>
      </c>
      <c r="G176" s="13">
        <v>2.85</v>
      </c>
    </row>
    <row r="177" spans="1:7" ht="18" customHeight="1" x14ac:dyDescent="0.35">
      <c r="A177" s="8"/>
      <c r="B177" s="8"/>
      <c r="C177" s="8"/>
      <c r="D177" s="8"/>
      <c r="E177" s="60" t="s">
        <v>721</v>
      </c>
      <c r="F177" s="60"/>
      <c r="G177" s="14">
        <v>3.59</v>
      </c>
    </row>
    <row r="178" spans="1:7" ht="15" customHeight="1" x14ac:dyDescent="0.35">
      <c r="A178" s="59" t="s">
        <v>722</v>
      </c>
      <c r="B178" s="59"/>
      <c r="C178" s="9" t="s">
        <v>3</v>
      </c>
      <c r="D178" s="9" t="s">
        <v>4</v>
      </c>
      <c r="E178" s="9" t="s">
        <v>702</v>
      </c>
      <c r="F178" s="9" t="s">
        <v>703</v>
      </c>
      <c r="G178" s="9" t="s">
        <v>704</v>
      </c>
    </row>
    <row r="179" spans="1:7" ht="15" customHeight="1" x14ac:dyDescent="0.35">
      <c r="A179" s="10" t="s">
        <v>840</v>
      </c>
      <c r="B179" s="11" t="s">
        <v>841</v>
      </c>
      <c r="C179" s="10" t="s">
        <v>20</v>
      </c>
      <c r="D179" s="10" t="s">
        <v>56</v>
      </c>
      <c r="E179" s="12">
        <v>0.97149954999999999</v>
      </c>
      <c r="F179" s="13">
        <v>11.14</v>
      </c>
      <c r="G179" s="13">
        <v>10.82</v>
      </c>
    </row>
    <row r="180" spans="1:7" ht="15" customHeight="1" x14ac:dyDescent="0.35">
      <c r="A180" s="8"/>
      <c r="B180" s="8"/>
      <c r="C180" s="8"/>
      <c r="D180" s="8"/>
      <c r="E180" s="60" t="s">
        <v>725</v>
      </c>
      <c r="F180" s="60"/>
      <c r="G180" s="14">
        <v>10.82</v>
      </c>
    </row>
    <row r="181" spans="1:7" ht="15" customHeight="1" x14ac:dyDescent="0.35">
      <c r="A181" s="8"/>
      <c r="B181" s="8"/>
      <c r="C181" s="8"/>
      <c r="D181" s="8"/>
      <c r="E181" s="61" t="s">
        <v>726</v>
      </c>
      <c r="F181" s="61"/>
      <c r="G181" s="4">
        <v>15.37</v>
      </c>
    </row>
    <row r="182" spans="1:7" ht="10" customHeight="1" x14ac:dyDescent="0.35">
      <c r="A182" s="8"/>
      <c r="B182" s="8"/>
      <c r="C182" s="57"/>
      <c r="D182" s="57"/>
      <c r="E182" s="8"/>
      <c r="F182" s="8"/>
      <c r="G182" s="8"/>
    </row>
    <row r="183" spans="1:7" ht="20.149999999999999" customHeight="1" x14ac:dyDescent="0.35">
      <c r="A183" s="58" t="s">
        <v>842</v>
      </c>
      <c r="B183" s="58"/>
      <c r="C183" s="58"/>
      <c r="D183" s="58"/>
      <c r="E183" s="58"/>
      <c r="F183" s="58"/>
      <c r="G183" s="58"/>
    </row>
    <row r="184" spans="1:7" ht="15" customHeight="1" x14ac:dyDescent="0.35">
      <c r="A184" s="59" t="s">
        <v>701</v>
      </c>
      <c r="B184" s="59"/>
      <c r="C184" s="9" t="s">
        <v>3</v>
      </c>
      <c r="D184" s="9" t="s">
        <v>4</v>
      </c>
      <c r="E184" s="9" t="s">
        <v>702</v>
      </c>
      <c r="F184" s="9" t="s">
        <v>703</v>
      </c>
      <c r="G184" s="9" t="s">
        <v>704</v>
      </c>
    </row>
    <row r="185" spans="1:7" ht="20.149999999999999" customHeight="1" x14ac:dyDescent="0.35">
      <c r="A185" s="10" t="s">
        <v>832</v>
      </c>
      <c r="B185" s="11" t="s">
        <v>833</v>
      </c>
      <c r="C185" s="10" t="s">
        <v>20</v>
      </c>
      <c r="D185" s="10" t="s">
        <v>56</v>
      </c>
      <c r="E185" s="12">
        <v>2.439912E-2</v>
      </c>
      <c r="F185" s="13">
        <v>29.4</v>
      </c>
      <c r="G185" s="13">
        <v>0.71</v>
      </c>
    </row>
    <row r="186" spans="1:7" ht="29.15" customHeight="1" x14ac:dyDescent="0.35">
      <c r="A186" s="10" t="s">
        <v>834</v>
      </c>
      <c r="B186" s="11" t="s">
        <v>835</v>
      </c>
      <c r="C186" s="10" t="s">
        <v>20</v>
      </c>
      <c r="D186" s="10" t="s">
        <v>160</v>
      </c>
      <c r="E186" s="12">
        <v>0.45431171999999997</v>
      </c>
      <c r="F186" s="13">
        <v>0.22</v>
      </c>
      <c r="G186" s="13">
        <v>0.09</v>
      </c>
    </row>
    <row r="187" spans="1:7" ht="15" customHeight="1" x14ac:dyDescent="0.35">
      <c r="A187" s="8"/>
      <c r="B187" s="8"/>
      <c r="C187" s="8"/>
      <c r="D187" s="8"/>
      <c r="E187" s="60" t="s">
        <v>714</v>
      </c>
      <c r="F187" s="60"/>
      <c r="G187" s="14">
        <v>0.8</v>
      </c>
    </row>
    <row r="188" spans="1:7" ht="15" customHeight="1" x14ac:dyDescent="0.35">
      <c r="A188" s="59" t="s">
        <v>715</v>
      </c>
      <c r="B188" s="59"/>
      <c r="C188" s="9" t="s">
        <v>3</v>
      </c>
      <c r="D188" s="9" t="s">
        <v>4</v>
      </c>
      <c r="E188" s="9" t="s">
        <v>702</v>
      </c>
      <c r="F188" s="9" t="s">
        <v>703</v>
      </c>
      <c r="G188" s="9" t="s">
        <v>704</v>
      </c>
    </row>
    <row r="189" spans="1:7" ht="15" customHeight="1" x14ac:dyDescent="0.35">
      <c r="A189" s="10" t="s">
        <v>836</v>
      </c>
      <c r="B189" s="11" t="s">
        <v>837</v>
      </c>
      <c r="C189" s="10" t="s">
        <v>20</v>
      </c>
      <c r="D189" s="10" t="s">
        <v>718</v>
      </c>
      <c r="E189" s="12">
        <v>2.819779E-2</v>
      </c>
      <c r="F189" s="13">
        <v>15.54</v>
      </c>
      <c r="G189" s="13">
        <v>0.43</v>
      </c>
    </row>
    <row r="190" spans="1:7" ht="15" customHeight="1" x14ac:dyDescent="0.35">
      <c r="A190" s="10" t="s">
        <v>838</v>
      </c>
      <c r="B190" s="11" t="s">
        <v>839</v>
      </c>
      <c r="C190" s="10" t="s">
        <v>20</v>
      </c>
      <c r="D190" s="10" t="s">
        <v>718</v>
      </c>
      <c r="E190" s="12">
        <v>8.653806E-2</v>
      </c>
      <c r="F190" s="13">
        <v>19.46</v>
      </c>
      <c r="G190" s="13">
        <v>1.68</v>
      </c>
    </row>
    <row r="191" spans="1:7" ht="18" customHeight="1" x14ac:dyDescent="0.35">
      <c r="A191" s="8"/>
      <c r="B191" s="8"/>
      <c r="C191" s="8"/>
      <c r="D191" s="8"/>
      <c r="E191" s="60" t="s">
        <v>721</v>
      </c>
      <c r="F191" s="60"/>
      <c r="G191" s="14">
        <v>2.11</v>
      </c>
    </row>
    <row r="192" spans="1:7" ht="15" customHeight="1" x14ac:dyDescent="0.35">
      <c r="A192" s="59" t="s">
        <v>722</v>
      </c>
      <c r="B192" s="59"/>
      <c r="C192" s="9" t="s">
        <v>3</v>
      </c>
      <c r="D192" s="9" t="s">
        <v>4</v>
      </c>
      <c r="E192" s="9" t="s">
        <v>702</v>
      </c>
      <c r="F192" s="9" t="s">
        <v>703</v>
      </c>
      <c r="G192" s="9" t="s">
        <v>704</v>
      </c>
    </row>
    <row r="193" spans="1:7" ht="20.149999999999999" customHeight="1" x14ac:dyDescent="0.35">
      <c r="A193" s="10" t="s">
        <v>843</v>
      </c>
      <c r="B193" s="11" t="s">
        <v>844</v>
      </c>
      <c r="C193" s="10" t="s">
        <v>20</v>
      </c>
      <c r="D193" s="10" t="s">
        <v>56</v>
      </c>
      <c r="E193" s="12">
        <v>0.97140676000000004</v>
      </c>
      <c r="F193" s="13">
        <v>10.49</v>
      </c>
      <c r="G193" s="13">
        <v>10.19</v>
      </c>
    </row>
    <row r="194" spans="1:7" ht="15" customHeight="1" x14ac:dyDescent="0.35">
      <c r="A194" s="8"/>
      <c r="B194" s="8"/>
      <c r="C194" s="8"/>
      <c r="D194" s="8"/>
      <c r="E194" s="60" t="s">
        <v>725</v>
      </c>
      <c r="F194" s="60"/>
      <c r="G194" s="14">
        <v>10.19</v>
      </c>
    </row>
    <row r="195" spans="1:7" ht="15" customHeight="1" x14ac:dyDescent="0.35">
      <c r="A195" s="8"/>
      <c r="B195" s="8"/>
      <c r="C195" s="8"/>
      <c r="D195" s="8"/>
      <c r="E195" s="61" t="s">
        <v>726</v>
      </c>
      <c r="F195" s="61"/>
      <c r="G195" s="4">
        <v>13.1</v>
      </c>
    </row>
    <row r="196" spans="1:7" ht="10" customHeight="1" x14ac:dyDescent="0.35">
      <c r="A196" s="8"/>
      <c r="B196" s="8"/>
      <c r="C196" s="57"/>
      <c r="D196" s="57"/>
      <c r="E196" s="8"/>
      <c r="F196" s="8"/>
      <c r="G196" s="8"/>
    </row>
    <row r="197" spans="1:7" ht="20.149999999999999" customHeight="1" x14ac:dyDescent="0.35">
      <c r="A197" s="58" t="s">
        <v>845</v>
      </c>
      <c r="B197" s="58"/>
      <c r="C197" s="58"/>
      <c r="D197" s="58"/>
      <c r="E197" s="58"/>
      <c r="F197" s="58"/>
      <c r="G197" s="58"/>
    </row>
    <row r="198" spans="1:7" ht="15" customHeight="1" x14ac:dyDescent="0.35">
      <c r="A198" s="59" t="s">
        <v>701</v>
      </c>
      <c r="B198" s="59"/>
      <c r="C198" s="9" t="s">
        <v>3</v>
      </c>
      <c r="D198" s="9" t="s">
        <v>4</v>
      </c>
      <c r="E198" s="9" t="s">
        <v>702</v>
      </c>
      <c r="F198" s="9" t="s">
        <v>703</v>
      </c>
      <c r="G198" s="9" t="s">
        <v>704</v>
      </c>
    </row>
    <row r="199" spans="1:7" ht="20.149999999999999" customHeight="1" x14ac:dyDescent="0.35">
      <c r="A199" s="10" t="s">
        <v>832</v>
      </c>
      <c r="B199" s="11" t="s">
        <v>833</v>
      </c>
      <c r="C199" s="10" t="s">
        <v>20</v>
      </c>
      <c r="D199" s="10" t="s">
        <v>56</v>
      </c>
      <c r="E199" s="12">
        <v>2.4357319999999998E-2</v>
      </c>
      <c r="F199" s="13">
        <v>29.4</v>
      </c>
      <c r="G199" s="13">
        <v>0.71</v>
      </c>
    </row>
    <row r="200" spans="1:7" ht="29.15" customHeight="1" x14ac:dyDescent="0.35">
      <c r="A200" s="10" t="s">
        <v>834</v>
      </c>
      <c r="B200" s="11" t="s">
        <v>835</v>
      </c>
      <c r="C200" s="10" t="s">
        <v>20</v>
      </c>
      <c r="D200" s="10" t="s">
        <v>160</v>
      </c>
      <c r="E200" s="12">
        <v>0.29813367000000002</v>
      </c>
      <c r="F200" s="13">
        <v>0.22</v>
      </c>
      <c r="G200" s="13">
        <v>0.06</v>
      </c>
    </row>
    <row r="201" spans="1:7" ht="15" customHeight="1" x14ac:dyDescent="0.35">
      <c r="A201" s="8"/>
      <c r="B201" s="8"/>
      <c r="C201" s="8"/>
      <c r="D201" s="8"/>
      <c r="E201" s="60" t="s">
        <v>714</v>
      </c>
      <c r="F201" s="60"/>
      <c r="G201" s="14">
        <v>0.77</v>
      </c>
    </row>
    <row r="202" spans="1:7" ht="15" customHeight="1" x14ac:dyDescent="0.35">
      <c r="A202" s="59" t="s">
        <v>715</v>
      </c>
      <c r="B202" s="59"/>
      <c r="C202" s="9" t="s">
        <v>3</v>
      </c>
      <c r="D202" s="9" t="s">
        <v>4</v>
      </c>
      <c r="E202" s="9" t="s">
        <v>702</v>
      </c>
      <c r="F202" s="9" t="s">
        <v>703</v>
      </c>
      <c r="G202" s="9" t="s">
        <v>704</v>
      </c>
    </row>
    <row r="203" spans="1:7" ht="15" customHeight="1" x14ac:dyDescent="0.35">
      <c r="A203" s="10" t="s">
        <v>836</v>
      </c>
      <c r="B203" s="11" t="s">
        <v>837</v>
      </c>
      <c r="C203" s="10" t="s">
        <v>20</v>
      </c>
      <c r="D203" s="10" t="s">
        <v>718</v>
      </c>
      <c r="E203" s="12">
        <v>2.1359409999999999E-2</v>
      </c>
      <c r="F203" s="13">
        <v>15.54</v>
      </c>
      <c r="G203" s="13">
        <v>0.33</v>
      </c>
    </row>
    <row r="204" spans="1:7" ht="15" customHeight="1" x14ac:dyDescent="0.35">
      <c r="A204" s="10" t="s">
        <v>838</v>
      </c>
      <c r="B204" s="11" t="s">
        <v>839</v>
      </c>
      <c r="C204" s="10" t="s">
        <v>20</v>
      </c>
      <c r="D204" s="10" t="s">
        <v>718</v>
      </c>
      <c r="E204" s="12">
        <v>6.6020029999999993E-2</v>
      </c>
      <c r="F204" s="13">
        <v>19.46</v>
      </c>
      <c r="G204" s="13">
        <v>1.28</v>
      </c>
    </row>
    <row r="205" spans="1:7" ht="18" customHeight="1" x14ac:dyDescent="0.35">
      <c r="A205" s="8"/>
      <c r="B205" s="8"/>
      <c r="C205" s="8"/>
      <c r="D205" s="8"/>
      <c r="E205" s="60" t="s">
        <v>721</v>
      </c>
      <c r="F205" s="60"/>
      <c r="G205" s="14">
        <v>1.61</v>
      </c>
    </row>
    <row r="206" spans="1:7" ht="15" customHeight="1" x14ac:dyDescent="0.35">
      <c r="A206" s="59" t="s">
        <v>722</v>
      </c>
      <c r="B206" s="59"/>
      <c r="C206" s="9" t="s">
        <v>3</v>
      </c>
      <c r="D206" s="9" t="s">
        <v>4</v>
      </c>
      <c r="E206" s="9" t="s">
        <v>702</v>
      </c>
      <c r="F206" s="9" t="s">
        <v>703</v>
      </c>
      <c r="G206" s="9" t="s">
        <v>704</v>
      </c>
    </row>
    <row r="207" spans="1:7" ht="20.149999999999999" customHeight="1" x14ac:dyDescent="0.35">
      <c r="A207" s="10" t="s">
        <v>846</v>
      </c>
      <c r="B207" s="11" t="s">
        <v>847</v>
      </c>
      <c r="C207" s="10" t="s">
        <v>20</v>
      </c>
      <c r="D207" s="10" t="s">
        <v>56</v>
      </c>
      <c r="E207" s="12">
        <v>0.97196612999999998</v>
      </c>
      <c r="F207" s="13">
        <v>9.02</v>
      </c>
      <c r="G207" s="13">
        <v>8.76</v>
      </c>
    </row>
    <row r="208" spans="1:7" ht="15" customHeight="1" x14ac:dyDescent="0.35">
      <c r="A208" s="8"/>
      <c r="B208" s="8"/>
      <c r="C208" s="8"/>
      <c r="D208" s="8"/>
      <c r="E208" s="60" t="s">
        <v>725</v>
      </c>
      <c r="F208" s="60"/>
      <c r="G208" s="14">
        <v>8.76</v>
      </c>
    </row>
    <row r="209" spans="1:7" ht="15" customHeight="1" x14ac:dyDescent="0.35">
      <c r="A209" s="8"/>
      <c r="B209" s="8"/>
      <c r="C209" s="8"/>
      <c r="D209" s="8"/>
      <c r="E209" s="61" t="s">
        <v>726</v>
      </c>
      <c r="F209" s="61"/>
      <c r="G209" s="4">
        <v>11.14</v>
      </c>
    </row>
    <row r="210" spans="1:7" ht="10" customHeight="1" x14ac:dyDescent="0.35">
      <c r="A210" s="8"/>
      <c r="B210" s="8"/>
      <c r="C210" s="57"/>
      <c r="D210" s="57"/>
      <c r="E210" s="8"/>
      <c r="F210" s="8"/>
      <c r="G210" s="8"/>
    </row>
    <row r="211" spans="1:7" ht="20.149999999999999" customHeight="1" x14ac:dyDescent="0.35">
      <c r="A211" s="58" t="s">
        <v>848</v>
      </c>
      <c r="B211" s="58"/>
      <c r="C211" s="58"/>
      <c r="D211" s="58"/>
      <c r="E211" s="58"/>
      <c r="F211" s="58"/>
      <c r="G211" s="58"/>
    </row>
    <row r="212" spans="1:7" ht="15" customHeight="1" x14ac:dyDescent="0.35">
      <c r="A212" s="59" t="s">
        <v>701</v>
      </c>
      <c r="B212" s="59"/>
      <c r="C212" s="9" t="s">
        <v>3</v>
      </c>
      <c r="D212" s="9" t="s">
        <v>4</v>
      </c>
      <c r="E212" s="9" t="s">
        <v>702</v>
      </c>
      <c r="F212" s="9" t="s">
        <v>703</v>
      </c>
      <c r="G212" s="9" t="s">
        <v>704</v>
      </c>
    </row>
    <row r="213" spans="1:7" ht="20.149999999999999" customHeight="1" x14ac:dyDescent="0.35">
      <c r="A213" s="10" t="s">
        <v>832</v>
      </c>
      <c r="B213" s="11" t="s">
        <v>833</v>
      </c>
      <c r="C213" s="10" t="s">
        <v>20</v>
      </c>
      <c r="D213" s="10" t="s">
        <v>56</v>
      </c>
      <c r="E213" s="12">
        <v>2.4348600000000001E-2</v>
      </c>
      <c r="F213" s="13">
        <v>29.4</v>
      </c>
      <c r="G213" s="13">
        <v>0.71</v>
      </c>
    </row>
    <row r="214" spans="1:7" ht="29.15" customHeight="1" x14ac:dyDescent="0.35">
      <c r="A214" s="10" t="s">
        <v>834</v>
      </c>
      <c r="B214" s="11" t="s">
        <v>835</v>
      </c>
      <c r="C214" s="10" t="s">
        <v>20</v>
      </c>
      <c r="D214" s="10" t="s">
        <v>160</v>
      </c>
      <c r="E214" s="12">
        <v>0.19235399</v>
      </c>
      <c r="F214" s="13">
        <v>0.22</v>
      </c>
      <c r="G214" s="13">
        <v>0.04</v>
      </c>
    </row>
    <row r="215" spans="1:7" ht="15" customHeight="1" x14ac:dyDescent="0.35">
      <c r="A215" s="8"/>
      <c r="B215" s="8"/>
      <c r="C215" s="8"/>
      <c r="D215" s="8"/>
      <c r="E215" s="60" t="s">
        <v>714</v>
      </c>
      <c r="F215" s="60"/>
      <c r="G215" s="14">
        <v>0.75</v>
      </c>
    </row>
    <row r="216" spans="1:7" ht="15" customHeight="1" x14ac:dyDescent="0.35">
      <c r="A216" s="59" t="s">
        <v>715</v>
      </c>
      <c r="B216" s="59"/>
      <c r="C216" s="9" t="s">
        <v>3</v>
      </c>
      <c r="D216" s="9" t="s">
        <v>4</v>
      </c>
      <c r="E216" s="9" t="s">
        <v>702</v>
      </c>
      <c r="F216" s="9" t="s">
        <v>703</v>
      </c>
      <c r="G216" s="9" t="s">
        <v>704</v>
      </c>
    </row>
    <row r="217" spans="1:7" ht="15" customHeight="1" x14ac:dyDescent="0.35">
      <c r="A217" s="10" t="s">
        <v>836</v>
      </c>
      <c r="B217" s="11" t="s">
        <v>837</v>
      </c>
      <c r="C217" s="10" t="s">
        <v>20</v>
      </c>
      <c r="D217" s="10" t="s">
        <v>718</v>
      </c>
      <c r="E217" s="12">
        <v>1.5546519999999999E-2</v>
      </c>
      <c r="F217" s="13">
        <v>15.54</v>
      </c>
      <c r="G217" s="13">
        <v>0.24</v>
      </c>
    </row>
    <row r="218" spans="1:7" ht="15" customHeight="1" x14ac:dyDescent="0.35">
      <c r="A218" s="10" t="s">
        <v>838</v>
      </c>
      <c r="B218" s="11" t="s">
        <v>839</v>
      </c>
      <c r="C218" s="10" t="s">
        <v>20</v>
      </c>
      <c r="D218" s="10" t="s">
        <v>718</v>
      </c>
      <c r="E218" s="12">
        <v>4.8097090000000002E-2</v>
      </c>
      <c r="F218" s="13">
        <v>19.46</v>
      </c>
      <c r="G218" s="13">
        <v>0.93</v>
      </c>
    </row>
    <row r="219" spans="1:7" ht="18" customHeight="1" x14ac:dyDescent="0.35">
      <c r="A219" s="8"/>
      <c r="B219" s="8"/>
      <c r="C219" s="8"/>
      <c r="D219" s="8"/>
      <c r="E219" s="60" t="s">
        <v>721</v>
      </c>
      <c r="F219" s="60"/>
      <c r="G219" s="14">
        <v>1.17</v>
      </c>
    </row>
    <row r="220" spans="1:7" ht="15" customHeight="1" x14ac:dyDescent="0.35">
      <c r="A220" s="59" t="s">
        <v>722</v>
      </c>
      <c r="B220" s="59"/>
      <c r="C220" s="9" t="s">
        <v>3</v>
      </c>
      <c r="D220" s="9" t="s">
        <v>4</v>
      </c>
      <c r="E220" s="9" t="s">
        <v>702</v>
      </c>
      <c r="F220" s="9" t="s">
        <v>703</v>
      </c>
      <c r="G220" s="9" t="s">
        <v>704</v>
      </c>
    </row>
    <row r="221" spans="1:7" ht="20.149999999999999" customHeight="1" x14ac:dyDescent="0.35">
      <c r="A221" s="10" t="s">
        <v>849</v>
      </c>
      <c r="B221" s="11" t="s">
        <v>850</v>
      </c>
      <c r="C221" s="10" t="s">
        <v>20</v>
      </c>
      <c r="D221" s="10" t="s">
        <v>56</v>
      </c>
      <c r="E221" s="12">
        <v>0.97165853999999996</v>
      </c>
      <c r="F221" s="13">
        <v>8.9600000000000009</v>
      </c>
      <c r="G221" s="13">
        <v>8.6999999999999993</v>
      </c>
    </row>
    <row r="222" spans="1:7" ht="15" customHeight="1" x14ac:dyDescent="0.35">
      <c r="A222" s="8"/>
      <c r="B222" s="8"/>
      <c r="C222" s="8"/>
      <c r="D222" s="8"/>
      <c r="E222" s="60" t="s">
        <v>725</v>
      </c>
      <c r="F222" s="60"/>
      <c r="G222" s="14">
        <v>8.6999999999999993</v>
      </c>
    </row>
    <row r="223" spans="1:7" ht="15" customHeight="1" x14ac:dyDescent="0.35">
      <c r="A223" s="8"/>
      <c r="B223" s="8"/>
      <c r="C223" s="8"/>
      <c r="D223" s="8"/>
      <c r="E223" s="61" t="s">
        <v>726</v>
      </c>
      <c r="F223" s="61"/>
      <c r="G223" s="4">
        <v>10.62</v>
      </c>
    </row>
    <row r="224" spans="1:7" ht="10" customHeight="1" x14ac:dyDescent="0.35">
      <c r="A224" s="8"/>
      <c r="B224" s="8"/>
      <c r="C224" s="57"/>
      <c r="D224" s="57"/>
      <c r="E224" s="8"/>
      <c r="F224" s="8"/>
      <c r="G224" s="8"/>
    </row>
    <row r="225" spans="1:7" ht="20.149999999999999" customHeight="1" x14ac:dyDescent="0.35">
      <c r="A225" s="58" t="s">
        <v>851</v>
      </c>
      <c r="B225" s="58"/>
      <c r="C225" s="58"/>
      <c r="D225" s="58"/>
      <c r="E225" s="58"/>
      <c r="F225" s="58"/>
      <c r="G225" s="58"/>
    </row>
    <row r="226" spans="1:7" ht="15" customHeight="1" x14ac:dyDescent="0.35">
      <c r="A226" s="59" t="s">
        <v>701</v>
      </c>
      <c r="B226" s="59"/>
      <c r="C226" s="9" t="s">
        <v>3</v>
      </c>
      <c r="D226" s="9" t="s">
        <v>4</v>
      </c>
      <c r="E226" s="9" t="s">
        <v>702</v>
      </c>
      <c r="F226" s="9" t="s">
        <v>703</v>
      </c>
      <c r="G226" s="9" t="s">
        <v>704</v>
      </c>
    </row>
    <row r="227" spans="1:7" ht="20.149999999999999" customHeight="1" x14ac:dyDescent="0.35">
      <c r="A227" s="10" t="s">
        <v>832</v>
      </c>
      <c r="B227" s="11" t="s">
        <v>833</v>
      </c>
      <c r="C227" s="10" t="s">
        <v>20</v>
      </c>
      <c r="D227" s="10" t="s">
        <v>56</v>
      </c>
      <c r="E227" s="12">
        <v>2.450863E-2</v>
      </c>
      <c r="F227" s="13">
        <v>29.4</v>
      </c>
      <c r="G227" s="13">
        <v>0.72</v>
      </c>
    </row>
    <row r="228" spans="1:7" ht="29.15" customHeight="1" x14ac:dyDescent="0.35">
      <c r="A228" s="10" t="s">
        <v>834</v>
      </c>
      <c r="B228" s="11" t="s">
        <v>835</v>
      </c>
      <c r="C228" s="10" t="s">
        <v>20</v>
      </c>
      <c r="D228" s="10" t="s">
        <v>160</v>
      </c>
      <c r="E228" s="12">
        <v>1.9278493000000001</v>
      </c>
      <c r="F228" s="13">
        <v>0.22</v>
      </c>
      <c r="G228" s="13">
        <v>0.42</v>
      </c>
    </row>
    <row r="229" spans="1:7" ht="15" customHeight="1" x14ac:dyDescent="0.35">
      <c r="A229" s="8"/>
      <c r="B229" s="8"/>
      <c r="C229" s="8"/>
      <c r="D229" s="8"/>
      <c r="E229" s="60" t="s">
        <v>714</v>
      </c>
      <c r="F229" s="60"/>
      <c r="G229" s="14">
        <v>1.1399999999999999</v>
      </c>
    </row>
    <row r="230" spans="1:7" ht="15" customHeight="1" x14ac:dyDescent="0.35">
      <c r="A230" s="59" t="s">
        <v>715</v>
      </c>
      <c r="B230" s="59"/>
      <c r="C230" s="9" t="s">
        <v>3</v>
      </c>
      <c r="D230" s="9" t="s">
        <v>4</v>
      </c>
      <c r="E230" s="9" t="s">
        <v>702</v>
      </c>
      <c r="F230" s="9" t="s">
        <v>703</v>
      </c>
      <c r="G230" s="9" t="s">
        <v>704</v>
      </c>
    </row>
    <row r="231" spans="1:7" ht="15" customHeight="1" x14ac:dyDescent="0.35">
      <c r="A231" s="10" t="s">
        <v>836</v>
      </c>
      <c r="B231" s="11" t="s">
        <v>837</v>
      </c>
      <c r="C231" s="10" t="s">
        <v>20</v>
      </c>
      <c r="D231" s="10" t="s">
        <v>718</v>
      </c>
      <c r="E231" s="12">
        <v>6.1723779999999999E-2</v>
      </c>
      <c r="F231" s="13">
        <v>15.54</v>
      </c>
      <c r="G231" s="13">
        <v>0.95</v>
      </c>
    </row>
    <row r="232" spans="1:7" ht="15" customHeight="1" x14ac:dyDescent="0.35">
      <c r="A232" s="10" t="s">
        <v>838</v>
      </c>
      <c r="B232" s="11" t="s">
        <v>839</v>
      </c>
      <c r="C232" s="10" t="s">
        <v>20</v>
      </c>
      <c r="D232" s="10" t="s">
        <v>718</v>
      </c>
      <c r="E232" s="12">
        <v>0.18905947000000001</v>
      </c>
      <c r="F232" s="13">
        <v>19.46</v>
      </c>
      <c r="G232" s="13">
        <v>3.67</v>
      </c>
    </row>
    <row r="233" spans="1:7" ht="18" customHeight="1" x14ac:dyDescent="0.35">
      <c r="A233" s="8"/>
      <c r="B233" s="8"/>
      <c r="C233" s="8"/>
      <c r="D233" s="8"/>
      <c r="E233" s="60" t="s">
        <v>721</v>
      </c>
      <c r="F233" s="60"/>
      <c r="G233" s="14">
        <v>4.62</v>
      </c>
    </row>
    <row r="234" spans="1:7" ht="15" customHeight="1" x14ac:dyDescent="0.35">
      <c r="A234" s="59" t="s">
        <v>722</v>
      </c>
      <c r="B234" s="59"/>
      <c r="C234" s="9" t="s">
        <v>3</v>
      </c>
      <c r="D234" s="9" t="s">
        <v>4</v>
      </c>
      <c r="E234" s="9" t="s">
        <v>702</v>
      </c>
      <c r="F234" s="9" t="s">
        <v>703</v>
      </c>
      <c r="G234" s="9" t="s">
        <v>704</v>
      </c>
    </row>
    <row r="235" spans="1:7" ht="15" customHeight="1" x14ac:dyDescent="0.35">
      <c r="A235" s="10" t="s">
        <v>852</v>
      </c>
      <c r="B235" s="11" t="s">
        <v>853</v>
      </c>
      <c r="C235" s="10" t="s">
        <v>20</v>
      </c>
      <c r="D235" s="10" t="s">
        <v>56</v>
      </c>
      <c r="E235" s="12">
        <v>0.97202818000000002</v>
      </c>
      <c r="F235" s="13">
        <v>10.66</v>
      </c>
      <c r="G235" s="13">
        <v>10.36</v>
      </c>
    </row>
    <row r="236" spans="1:7" ht="15" customHeight="1" x14ac:dyDescent="0.35">
      <c r="A236" s="8"/>
      <c r="B236" s="8"/>
      <c r="C236" s="8"/>
      <c r="D236" s="8"/>
      <c r="E236" s="60" t="s">
        <v>725</v>
      </c>
      <c r="F236" s="60"/>
      <c r="G236" s="14">
        <v>10.36</v>
      </c>
    </row>
    <row r="237" spans="1:7" ht="15" customHeight="1" x14ac:dyDescent="0.35">
      <c r="A237" s="8"/>
      <c r="B237" s="8"/>
      <c r="C237" s="8"/>
      <c r="D237" s="8"/>
      <c r="E237" s="61" t="s">
        <v>726</v>
      </c>
      <c r="F237" s="61"/>
      <c r="G237" s="4">
        <v>16.12</v>
      </c>
    </row>
    <row r="238" spans="1:7" ht="10" customHeight="1" x14ac:dyDescent="0.35">
      <c r="A238" s="8"/>
      <c r="B238" s="8"/>
      <c r="C238" s="57"/>
      <c r="D238" s="57"/>
      <c r="E238" s="8"/>
      <c r="F238" s="8"/>
      <c r="G238" s="8"/>
    </row>
    <row r="239" spans="1:7" ht="20.149999999999999" customHeight="1" x14ac:dyDescent="0.35">
      <c r="A239" s="58" t="s">
        <v>854</v>
      </c>
      <c r="B239" s="58"/>
      <c r="C239" s="58"/>
      <c r="D239" s="58"/>
      <c r="E239" s="58"/>
      <c r="F239" s="58"/>
      <c r="G239" s="58"/>
    </row>
    <row r="240" spans="1:7" ht="15" customHeight="1" x14ac:dyDescent="0.35">
      <c r="A240" s="59" t="s">
        <v>715</v>
      </c>
      <c r="B240" s="59"/>
      <c r="C240" s="9" t="s">
        <v>3</v>
      </c>
      <c r="D240" s="9" t="s">
        <v>4</v>
      </c>
      <c r="E240" s="9" t="s">
        <v>702</v>
      </c>
      <c r="F240" s="9" t="s">
        <v>703</v>
      </c>
      <c r="G240" s="9" t="s">
        <v>704</v>
      </c>
    </row>
    <row r="241" spans="1:7" ht="15" customHeight="1" x14ac:dyDescent="0.35">
      <c r="A241" s="10" t="s">
        <v>794</v>
      </c>
      <c r="B241" s="11" t="s">
        <v>795</v>
      </c>
      <c r="C241" s="10" t="s">
        <v>20</v>
      </c>
      <c r="D241" s="10" t="s">
        <v>718</v>
      </c>
      <c r="E241" s="12">
        <v>0.16441084</v>
      </c>
      <c r="F241" s="13">
        <v>19.57</v>
      </c>
      <c r="G241" s="13">
        <v>3.21</v>
      </c>
    </row>
    <row r="242" spans="1:7" ht="15" customHeight="1" x14ac:dyDescent="0.35">
      <c r="A242" s="10" t="s">
        <v>719</v>
      </c>
      <c r="B242" s="11" t="s">
        <v>720</v>
      </c>
      <c r="C242" s="10" t="s">
        <v>20</v>
      </c>
      <c r="D242" s="10" t="s">
        <v>718</v>
      </c>
      <c r="E242" s="12">
        <v>4.4756829999999997E-2</v>
      </c>
      <c r="F242" s="13">
        <v>15.53</v>
      </c>
      <c r="G242" s="13">
        <v>0.69</v>
      </c>
    </row>
    <row r="243" spans="1:7" ht="18" customHeight="1" x14ac:dyDescent="0.35">
      <c r="A243" s="8"/>
      <c r="B243" s="8"/>
      <c r="C243" s="8"/>
      <c r="D243" s="8"/>
      <c r="E243" s="60" t="s">
        <v>721</v>
      </c>
      <c r="F243" s="60"/>
      <c r="G243" s="14">
        <v>3.9</v>
      </c>
    </row>
    <row r="244" spans="1:7" ht="15" customHeight="1" x14ac:dyDescent="0.35">
      <c r="A244" s="59" t="s">
        <v>722</v>
      </c>
      <c r="B244" s="59"/>
      <c r="C244" s="9" t="s">
        <v>3</v>
      </c>
      <c r="D244" s="9" t="s">
        <v>4</v>
      </c>
      <c r="E244" s="9" t="s">
        <v>702</v>
      </c>
      <c r="F244" s="9" t="s">
        <v>703</v>
      </c>
      <c r="G244" s="9" t="s">
        <v>704</v>
      </c>
    </row>
    <row r="245" spans="1:7" ht="29.15" customHeight="1" x14ac:dyDescent="0.35">
      <c r="A245" s="10" t="s">
        <v>796</v>
      </c>
      <c r="B245" s="11" t="s">
        <v>797</v>
      </c>
      <c r="C245" s="10" t="s">
        <v>20</v>
      </c>
      <c r="D245" s="10" t="s">
        <v>31</v>
      </c>
      <c r="E245" s="12">
        <v>3.417245E-2</v>
      </c>
      <c r="F245" s="13">
        <v>354.22</v>
      </c>
      <c r="G245" s="13">
        <v>12.1</v>
      </c>
    </row>
    <row r="246" spans="1:7" ht="15" customHeight="1" x14ac:dyDescent="0.35">
      <c r="A246" s="8"/>
      <c r="B246" s="8"/>
      <c r="C246" s="8"/>
      <c r="D246" s="8"/>
      <c r="E246" s="60" t="s">
        <v>725</v>
      </c>
      <c r="F246" s="60"/>
      <c r="G246" s="14">
        <v>12.1</v>
      </c>
    </row>
    <row r="247" spans="1:7" ht="15" customHeight="1" x14ac:dyDescent="0.35">
      <c r="A247" s="8"/>
      <c r="B247" s="8"/>
      <c r="C247" s="8"/>
      <c r="D247" s="8"/>
      <c r="E247" s="61" t="s">
        <v>726</v>
      </c>
      <c r="F247" s="61"/>
      <c r="G247" s="4">
        <v>16</v>
      </c>
    </row>
    <row r="248" spans="1:7" ht="10" customHeight="1" x14ac:dyDescent="0.35">
      <c r="A248" s="8"/>
      <c r="B248" s="8"/>
      <c r="C248" s="57"/>
      <c r="D248" s="57"/>
      <c r="E248" s="8"/>
      <c r="F248" s="8"/>
      <c r="G248" s="8"/>
    </row>
    <row r="249" spans="1:7" ht="20.149999999999999" customHeight="1" x14ac:dyDescent="0.35">
      <c r="A249" s="58" t="s">
        <v>855</v>
      </c>
      <c r="B249" s="58"/>
      <c r="C249" s="58"/>
      <c r="D249" s="58"/>
      <c r="E249" s="58"/>
      <c r="F249" s="58"/>
      <c r="G249" s="58"/>
    </row>
    <row r="250" spans="1:7" ht="15" customHeight="1" x14ac:dyDescent="0.35">
      <c r="A250" s="59" t="s">
        <v>761</v>
      </c>
      <c r="B250" s="59"/>
      <c r="C250" s="9" t="s">
        <v>3</v>
      </c>
      <c r="D250" s="9" t="s">
        <v>4</v>
      </c>
      <c r="E250" s="9" t="s">
        <v>702</v>
      </c>
      <c r="F250" s="9" t="s">
        <v>703</v>
      </c>
      <c r="G250" s="9" t="s">
        <v>704</v>
      </c>
    </row>
    <row r="251" spans="1:7" ht="20.149999999999999" customHeight="1" x14ac:dyDescent="0.35">
      <c r="A251" s="10" t="s">
        <v>762</v>
      </c>
      <c r="B251" s="11" t="s">
        <v>763</v>
      </c>
      <c r="C251" s="10" t="s">
        <v>20</v>
      </c>
      <c r="D251" s="10" t="s">
        <v>764</v>
      </c>
      <c r="E251" s="12">
        <v>2.8525990000000001E-2</v>
      </c>
      <c r="F251" s="13">
        <v>18.55</v>
      </c>
      <c r="G251" s="13">
        <v>0.52</v>
      </c>
    </row>
    <row r="252" spans="1:7" ht="20.149999999999999" customHeight="1" x14ac:dyDescent="0.35">
      <c r="A252" s="10" t="s">
        <v>765</v>
      </c>
      <c r="B252" s="11" t="s">
        <v>766</v>
      </c>
      <c r="C252" s="10" t="s">
        <v>20</v>
      </c>
      <c r="D252" s="10" t="s">
        <v>767</v>
      </c>
      <c r="E252" s="12">
        <v>1.3771159999999999E-2</v>
      </c>
      <c r="F252" s="13">
        <v>19.54</v>
      </c>
      <c r="G252" s="13">
        <v>0.26</v>
      </c>
    </row>
    <row r="253" spans="1:7" ht="15" customHeight="1" x14ac:dyDescent="0.35">
      <c r="A253" s="8"/>
      <c r="B253" s="8"/>
      <c r="C253" s="8"/>
      <c r="D253" s="8"/>
      <c r="E253" s="60" t="s">
        <v>768</v>
      </c>
      <c r="F253" s="60"/>
      <c r="G253" s="14">
        <v>0.78</v>
      </c>
    </row>
    <row r="254" spans="1:7" ht="15" customHeight="1" x14ac:dyDescent="0.35">
      <c r="A254" s="59" t="s">
        <v>701</v>
      </c>
      <c r="B254" s="59"/>
      <c r="C254" s="9" t="s">
        <v>3</v>
      </c>
      <c r="D254" s="9" t="s">
        <v>4</v>
      </c>
      <c r="E254" s="9" t="s">
        <v>702</v>
      </c>
      <c r="F254" s="9" t="s">
        <v>703</v>
      </c>
      <c r="G254" s="9" t="s">
        <v>704</v>
      </c>
    </row>
    <row r="255" spans="1:7" ht="29.15" customHeight="1" x14ac:dyDescent="0.35">
      <c r="A255" s="10" t="s">
        <v>799</v>
      </c>
      <c r="B255" s="11" t="s">
        <v>800</v>
      </c>
      <c r="C255" s="10" t="s">
        <v>20</v>
      </c>
      <c r="D255" s="10" t="s">
        <v>21</v>
      </c>
      <c r="E255" s="12">
        <v>0.31616852000000001</v>
      </c>
      <c r="F255" s="13">
        <v>26.98</v>
      </c>
      <c r="G255" s="13">
        <v>8.5299999999999994</v>
      </c>
    </row>
    <row r="256" spans="1:7" ht="20.149999999999999" customHeight="1" x14ac:dyDescent="0.35">
      <c r="A256" s="10" t="s">
        <v>801</v>
      </c>
      <c r="B256" s="11" t="s">
        <v>802</v>
      </c>
      <c r="C256" s="10" t="s">
        <v>20</v>
      </c>
      <c r="D256" s="10" t="s">
        <v>777</v>
      </c>
      <c r="E256" s="12">
        <v>1.003709E-2</v>
      </c>
      <c r="F256" s="13">
        <v>8.5</v>
      </c>
      <c r="G256" s="13">
        <v>0.08</v>
      </c>
    </row>
    <row r="257" spans="1:7" ht="20.149999999999999" customHeight="1" x14ac:dyDescent="0.35">
      <c r="A257" s="10" t="s">
        <v>708</v>
      </c>
      <c r="B257" s="11" t="s">
        <v>709</v>
      </c>
      <c r="C257" s="10" t="s">
        <v>20</v>
      </c>
      <c r="D257" s="10" t="s">
        <v>25</v>
      </c>
      <c r="E257" s="12">
        <v>1.2225182800000001</v>
      </c>
      <c r="F257" s="13">
        <v>13.34</v>
      </c>
      <c r="G257" s="13">
        <v>16.3</v>
      </c>
    </row>
    <row r="258" spans="1:7" ht="15" customHeight="1" x14ac:dyDescent="0.35">
      <c r="A258" s="10" t="s">
        <v>803</v>
      </c>
      <c r="B258" s="11" t="s">
        <v>804</v>
      </c>
      <c r="C258" s="10" t="s">
        <v>20</v>
      </c>
      <c r="D258" s="10" t="s">
        <v>56</v>
      </c>
      <c r="E258" s="12">
        <v>4.0148299999999996E-3</v>
      </c>
      <c r="F258" s="13">
        <v>27.6</v>
      </c>
      <c r="G258" s="13">
        <v>0.11</v>
      </c>
    </row>
    <row r="259" spans="1:7" ht="15" customHeight="1" x14ac:dyDescent="0.35">
      <c r="A259" s="10" t="s">
        <v>807</v>
      </c>
      <c r="B259" s="11" t="s">
        <v>808</v>
      </c>
      <c r="C259" s="10" t="s">
        <v>20</v>
      </c>
      <c r="D259" s="10" t="s">
        <v>56</v>
      </c>
      <c r="E259" s="12">
        <v>1.9070480000000001E-2</v>
      </c>
      <c r="F259" s="13">
        <v>25.4</v>
      </c>
      <c r="G259" s="13">
        <v>0.48</v>
      </c>
    </row>
    <row r="260" spans="1:7" ht="15" customHeight="1" x14ac:dyDescent="0.35">
      <c r="A260" s="10" t="s">
        <v>809</v>
      </c>
      <c r="B260" s="11" t="s">
        <v>810</v>
      </c>
      <c r="C260" s="10" t="s">
        <v>20</v>
      </c>
      <c r="D260" s="10" t="s">
        <v>56</v>
      </c>
      <c r="E260" s="12">
        <v>1.003709E-2</v>
      </c>
      <c r="F260" s="13">
        <v>30.76</v>
      </c>
      <c r="G260" s="13">
        <v>0.3</v>
      </c>
    </row>
    <row r="261" spans="1:7" ht="20.149999999999999" customHeight="1" x14ac:dyDescent="0.35">
      <c r="A261" s="10" t="s">
        <v>811</v>
      </c>
      <c r="B261" s="11" t="s">
        <v>812</v>
      </c>
      <c r="C261" s="10" t="s">
        <v>20</v>
      </c>
      <c r="D261" s="10" t="s">
        <v>25</v>
      </c>
      <c r="E261" s="12">
        <v>0.72467831999999999</v>
      </c>
      <c r="F261" s="13">
        <v>4.66</v>
      </c>
      <c r="G261" s="13">
        <v>3.37</v>
      </c>
    </row>
    <row r="262" spans="1:7" ht="15" customHeight="1" x14ac:dyDescent="0.35">
      <c r="A262" s="8"/>
      <c r="B262" s="8"/>
      <c r="C262" s="8"/>
      <c r="D262" s="8"/>
      <c r="E262" s="60" t="s">
        <v>714</v>
      </c>
      <c r="F262" s="60"/>
      <c r="G262" s="14">
        <v>29.17</v>
      </c>
    </row>
    <row r="263" spans="1:7" ht="15" customHeight="1" x14ac:dyDescent="0.35">
      <c r="A263" s="59" t="s">
        <v>715</v>
      </c>
      <c r="B263" s="59"/>
      <c r="C263" s="9" t="s">
        <v>3</v>
      </c>
      <c r="D263" s="9" t="s">
        <v>4</v>
      </c>
      <c r="E263" s="9" t="s">
        <v>702</v>
      </c>
      <c r="F263" s="9" t="s">
        <v>703</v>
      </c>
      <c r="G263" s="9" t="s">
        <v>704</v>
      </c>
    </row>
    <row r="264" spans="1:7" ht="15" customHeight="1" x14ac:dyDescent="0.35">
      <c r="A264" s="10" t="s">
        <v>778</v>
      </c>
      <c r="B264" s="11" t="s">
        <v>779</v>
      </c>
      <c r="C264" s="10" t="s">
        <v>20</v>
      </c>
      <c r="D264" s="10" t="s">
        <v>718</v>
      </c>
      <c r="E264" s="12">
        <v>0.71315004000000004</v>
      </c>
      <c r="F264" s="13">
        <v>15.45</v>
      </c>
      <c r="G264" s="13">
        <v>11.01</v>
      </c>
    </row>
    <row r="265" spans="1:7" ht="15" customHeight="1" x14ac:dyDescent="0.35">
      <c r="A265" s="10" t="s">
        <v>716</v>
      </c>
      <c r="B265" s="11" t="s">
        <v>717</v>
      </c>
      <c r="C265" s="10" t="s">
        <v>20</v>
      </c>
      <c r="D265" s="10" t="s">
        <v>718</v>
      </c>
      <c r="E265" s="12">
        <v>1.72091974</v>
      </c>
      <c r="F265" s="13">
        <v>19.34</v>
      </c>
      <c r="G265" s="13">
        <v>33.28</v>
      </c>
    </row>
    <row r="266" spans="1:7" ht="18" customHeight="1" x14ac:dyDescent="0.35">
      <c r="A266" s="8"/>
      <c r="B266" s="8"/>
      <c r="C266" s="8"/>
      <c r="D266" s="8"/>
      <c r="E266" s="60" t="s">
        <v>721</v>
      </c>
      <c r="F266" s="60"/>
      <c r="G266" s="14">
        <v>44.29</v>
      </c>
    </row>
    <row r="267" spans="1:7" ht="15" customHeight="1" x14ac:dyDescent="0.35">
      <c r="A267" s="8"/>
      <c r="B267" s="8"/>
      <c r="C267" s="8"/>
      <c r="D267" s="8"/>
      <c r="E267" s="61" t="s">
        <v>726</v>
      </c>
      <c r="F267" s="61"/>
      <c r="G267" s="4">
        <v>74.239999999999995</v>
      </c>
    </row>
    <row r="268" spans="1:7" ht="10" customHeight="1" x14ac:dyDescent="0.35">
      <c r="A268" s="8"/>
      <c r="B268" s="8"/>
      <c r="C268" s="57"/>
      <c r="D268" s="57"/>
      <c r="E268" s="8"/>
      <c r="F268" s="8"/>
      <c r="G268" s="8"/>
    </row>
    <row r="269" spans="1:7" ht="20.149999999999999" customHeight="1" x14ac:dyDescent="0.35">
      <c r="A269" s="58" t="s">
        <v>856</v>
      </c>
      <c r="B269" s="58"/>
      <c r="C269" s="58"/>
      <c r="D269" s="58"/>
      <c r="E269" s="58"/>
      <c r="F269" s="58"/>
      <c r="G269" s="58"/>
    </row>
    <row r="270" spans="1:7" ht="15" customHeight="1" x14ac:dyDescent="0.35">
      <c r="A270" s="59" t="s">
        <v>857</v>
      </c>
      <c r="B270" s="59"/>
      <c r="C270" s="9" t="s">
        <v>3</v>
      </c>
      <c r="D270" s="9" t="s">
        <v>4</v>
      </c>
      <c r="E270" s="9" t="s">
        <v>702</v>
      </c>
      <c r="F270" s="9" t="s">
        <v>703</v>
      </c>
      <c r="G270" s="9" t="s">
        <v>704</v>
      </c>
    </row>
    <row r="271" spans="1:7" ht="20.149999999999999" customHeight="1" x14ac:dyDescent="0.35">
      <c r="A271" s="10" t="s">
        <v>858</v>
      </c>
      <c r="B271" s="11" t="s">
        <v>859</v>
      </c>
      <c r="C271" s="10" t="s">
        <v>20</v>
      </c>
      <c r="D271" s="10" t="s">
        <v>860</v>
      </c>
      <c r="E271" s="12">
        <v>0.19898404</v>
      </c>
      <c r="F271" s="13">
        <v>6.33</v>
      </c>
      <c r="G271" s="13">
        <v>1.25</v>
      </c>
    </row>
    <row r="272" spans="1:7" ht="20.149999999999999" customHeight="1" x14ac:dyDescent="0.35">
      <c r="A272" s="10" t="s">
        <v>861</v>
      </c>
      <c r="B272" s="11" t="s">
        <v>862</v>
      </c>
      <c r="C272" s="10" t="s">
        <v>20</v>
      </c>
      <c r="D272" s="10" t="s">
        <v>860</v>
      </c>
      <c r="E272" s="12">
        <v>0.79695141999999997</v>
      </c>
      <c r="F272" s="13">
        <v>2.4300000000000002</v>
      </c>
      <c r="G272" s="13">
        <v>1.93</v>
      </c>
    </row>
    <row r="273" spans="1:7" ht="29.15" customHeight="1" x14ac:dyDescent="0.35">
      <c r="A273" s="10" t="s">
        <v>863</v>
      </c>
      <c r="B273" s="11" t="s">
        <v>864</v>
      </c>
      <c r="C273" s="10" t="s">
        <v>20</v>
      </c>
      <c r="D273" s="10" t="s">
        <v>860</v>
      </c>
      <c r="E273" s="12">
        <v>0.39898331999999997</v>
      </c>
      <c r="F273" s="13">
        <v>9.75</v>
      </c>
      <c r="G273" s="13">
        <v>3.89</v>
      </c>
    </row>
    <row r="274" spans="1:7" ht="15" customHeight="1" x14ac:dyDescent="0.35">
      <c r="A274" s="8"/>
      <c r="B274" s="8"/>
      <c r="C274" s="8"/>
      <c r="D274" s="8"/>
      <c r="E274" s="60" t="s">
        <v>865</v>
      </c>
      <c r="F274" s="60"/>
      <c r="G274" s="14">
        <v>7.07</v>
      </c>
    </row>
    <row r="275" spans="1:7" ht="15" customHeight="1" x14ac:dyDescent="0.35">
      <c r="A275" s="59" t="s">
        <v>701</v>
      </c>
      <c r="B275" s="59"/>
      <c r="C275" s="9" t="s">
        <v>3</v>
      </c>
      <c r="D275" s="9" t="s">
        <v>4</v>
      </c>
      <c r="E275" s="9" t="s">
        <v>702</v>
      </c>
      <c r="F275" s="9" t="s">
        <v>703</v>
      </c>
      <c r="G275" s="9" t="s">
        <v>704</v>
      </c>
    </row>
    <row r="276" spans="1:7" ht="20.149999999999999" customHeight="1" x14ac:dyDescent="0.35">
      <c r="A276" s="10" t="s">
        <v>801</v>
      </c>
      <c r="B276" s="11" t="s">
        <v>802</v>
      </c>
      <c r="C276" s="10" t="s">
        <v>20</v>
      </c>
      <c r="D276" s="10" t="s">
        <v>777</v>
      </c>
      <c r="E276" s="12">
        <v>4.0608900000000002E-3</v>
      </c>
      <c r="F276" s="13">
        <v>8.5</v>
      </c>
      <c r="G276" s="13">
        <v>0.03</v>
      </c>
    </row>
    <row r="277" spans="1:7" ht="15" customHeight="1" x14ac:dyDescent="0.35">
      <c r="A277" s="10" t="s">
        <v>809</v>
      </c>
      <c r="B277" s="11" t="s">
        <v>810</v>
      </c>
      <c r="C277" s="10" t="s">
        <v>20</v>
      </c>
      <c r="D277" s="10" t="s">
        <v>56</v>
      </c>
      <c r="E277" s="12">
        <v>1.9289270000000001E-2</v>
      </c>
      <c r="F277" s="13">
        <v>30.76</v>
      </c>
      <c r="G277" s="13">
        <v>0.59</v>
      </c>
    </row>
    <row r="278" spans="1:7" ht="15" customHeight="1" x14ac:dyDescent="0.35">
      <c r="A278" s="8"/>
      <c r="B278" s="8"/>
      <c r="C278" s="8"/>
      <c r="D278" s="8"/>
      <c r="E278" s="60" t="s">
        <v>714</v>
      </c>
      <c r="F278" s="60"/>
      <c r="G278" s="14">
        <v>0.62</v>
      </c>
    </row>
    <row r="279" spans="1:7" ht="15" customHeight="1" x14ac:dyDescent="0.35">
      <c r="A279" s="59" t="s">
        <v>715</v>
      </c>
      <c r="B279" s="59"/>
      <c r="C279" s="9" t="s">
        <v>3</v>
      </c>
      <c r="D279" s="9" t="s">
        <v>4</v>
      </c>
      <c r="E279" s="9" t="s">
        <v>702</v>
      </c>
      <c r="F279" s="9" t="s">
        <v>703</v>
      </c>
      <c r="G279" s="9" t="s">
        <v>704</v>
      </c>
    </row>
    <row r="280" spans="1:7" ht="15" customHeight="1" x14ac:dyDescent="0.35">
      <c r="A280" s="10" t="s">
        <v>778</v>
      </c>
      <c r="B280" s="11" t="s">
        <v>779</v>
      </c>
      <c r="C280" s="10" t="s">
        <v>20</v>
      </c>
      <c r="D280" s="10" t="s">
        <v>718</v>
      </c>
      <c r="E280" s="12">
        <v>0.18105878</v>
      </c>
      <c r="F280" s="13">
        <v>15.45</v>
      </c>
      <c r="G280" s="13">
        <v>2.79</v>
      </c>
    </row>
    <row r="281" spans="1:7" ht="15" customHeight="1" x14ac:dyDescent="0.35">
      <c r="A281" s="10" t="s">
        <v>716</v>
      </c>
      <c r="B281" s="11" t="s">
        <v>717</v>
      </c>
      <c r="C281" s="10" t="s">
        <v>20</v>
      </c>
      <c r="D281" s="10" t="s">
        <v>718</v>
      </c>
      <c r="E281" s="12">
        <v>0.98883038999999995</v>
      </c>
      <c r="F281" s="13">
        <v>19.34</v>
      </c>
      <c r="G281" s="13">
        <v>19.12</v>
      </c>
    </row>
    <row r="282" spans="1:7" ht="18" customHeight="1" x14ac:dyDescent="0.35">
      <c r="A282" s="8"/>
      <c r="B282" s="8"/>
      <c r="C282" s="8"/>
      <c r="D282" s="8"/>
      <c r="E282" s="60" t="s">
        <v>721</v>
      </c>
      <c r="F282" s="60"/>
      <c r="G282" s="14">
        <v>21.91</v>
      </c>
    </row>
    <row r="283" spans="1:7" ht="15" customHeight="1" x14ac:dyDescent="0.35">
      <c r="A283" s="59" t="s">
        <v>722</v>
      </c>
      <c r="B283" s="59"/>
      <c r="C283" s="9" t="s">
        <v>3</v>
      </c>
      <c r="D283" s="9" t="s">
        <v>4</v>
      </c>
      <c r="E283" s="9" t="s">
        <v>702</v>
      </c>
      <c r="F283" s="9" t="s">
        <v>703</v>
      </c>
      <c r="G283" s="9" t="s">
        <v>704</v>
      </c>
    </row>
    <row r="284" spans="1:7" ht="29.15" customHeight="1" x14ac:dyDescent="0.35">
      <c r="A284" s="10" t="s">
        <v>866</v>
      </c>
      <c r="B284" s="11" t="s">
        <v>867</v>
      </c>
      <c r="C284" s="10" t="s">
        <v>20</v>
      </c>
      <c r="D284" s="10" t="s">
        <v>21</v>
      </c>
      <c r="E284" s="12">
        <v>6.7021750000000005E-2</v>
      </c>
      <c r="F284" s="13">
        <v>172.69</v>
      </c>
      <c r="G284" s="13">
        <v>11.57</v>
      </c>
    </row>
    <row r="285" spans="1:7" ht="15" customHeight="1" x14ac:dyDescent="0.35">
      <c r="A285" s="8"/>
      <c r="B285" s="8"/>
      <c r="C285" s="8"/>
      <c r="D285" s="8"/>
      <c r="E285" s="60" t="s">
        <v>725</v>
      </c>
      <c r="F285" s="60"/>
      <c r="G285" s="14">
        <v>11.57</v>
      </c>
    </row>
    <row r="286" spans="1:7" ht="15" customHeight="1" x14ac:dyDescent="0.35">
      <c r="A286" s="8"/>
      <c r="B286" s="8"/>
      <c r="C286" s="8"/>
      <c r="D286" s="8"/>
      <c r="E286" s="61" t="s">
        <v>726</v>
      </c>
      <c r="F286" s="61"/>
      <c r="G286" s="4">
        <v>41.17</v>
      </c>
    </row>
    <row r="287" spans="1:7" ht="10" customHeight="1" x14ac:dyDescent="0.35">
      <c r="A287" s="8"/>
      <c r="B287" s="8"/>
      <c r="C287" s="57"/>
      <c r="D287" s="57"/>
      <c r="E287" s="8"/>
      <c r="F287" s="8"/>
      <c r="G287" s="8"/>
    </row>
    <row r="288" spans="1:7" ht="20.149999999999999" customHeight="1" x14ac:dyDescent="0.35">
      <c r="A288" s="58" t="s">
        <v>868</v>
      </c>
      <c r="B288" s="58"/>
      <c r="C288" s="58"/>
      <c r="D288" s="58"/>
      <c r="E288" s="58"/>
      <c r="F288" s="58"/>
      <c r="G288" s="58"/>
    </row>
    <row r="289" spans="1:7" ht="15" customHeight="1" x14ac:dyDescent="0.35">
      <c r="A289" s="59" t="s">
        <v>701</v>
      </c>
      <c r="B289" s="59"/>
      <c r="C289" s="9" t="s">
        <v>3</v>
      </c>
      <c r="D289" s="9" t="s">
        <v>4</v>
      </c>
      <c r="E289" s="9" t="s">
        <v>702</v>
      </c>
      <c r="F289" s="9" t="s">
        <v>703</v>
      </c>
      <c r="G289" s="9" t="s">
        <v>704</v>
      </c>
    </row>
    <row r="290" spans="1:7" ht="20.149999999999999" customHeight="1" x14ac:dyDescent="0.35">
      <c r="A290" s="10" t="s">
        <v>832</v>
      </c>
      <c r="B290" s="11" t="s">
        <v>833</v>
      </c>
      <c r="C290" s="10" t="s">
        <v>20</v>
      </c>
      <c r="D290" s="10" t="s">
        <v>56</v>
      </c>
      <c r="E290" s="12">
        <v>2.4315059999999999E-2</v>
      </c>
      <c r="F290" s="13">
        <v>29.4</v>
      </c>
      <c r="G290" s="13">
        <v>0.71</v>
      </c>
    </row>
    <row r="291" spans="1:7" ht="29.15" customHeight="1" x14ac:dyDescent="0.35">
      <c r="A291" s="10" t="s">
        <v>834</v>
      </c>
      <c r="B291" s="11" t="s">
        <v>835</v>
      </c>
      <c r="C291" s="10" t="s">
        <v>20</v>
      </c>
      <c r="D291" s="10" t="s">
        <v>160</v>
      </c>
      <c r="E291" s="12">
        <v>0.52812327999999997</v>
      </c>
      <c r="F291" s="13">
        <v>0.22</v>
      </c>
      <c r="G291" s="13">
        <v>0.11</v>
      </c>
    </row>
    <row r="292" spans="1:7" ht="15" customHeight="1" x14ac:dyDescent="0.35">
      <c r="A292" s="8"/>
      <c r="B292" s="8"/>
      <c r="C292" s="8"/>
      <c r="D292" s="8"/>
      <c r="E292" s="60" t="s">
        <v>714</v>
      </c>
      <c r="F292" s="60"/>
      <c r="G292" s="14">
        <v>0.82</v>
      </c>
    </row>
    <row r="293" spans="1:7" ht="15" customHeight="1" x14ac:dyDescent="0.35">
      <c r="A293" s="59" t="s">
        <v>715</v>
      </c>
      <c r="B293" s="59"/>
      <c r="C293" s="9" t="s">
        <v>3</v>
      </c>
      <c r="D293" s="9" t="s">
        <v>4</v>
      </c>
      <c r="E293" s="9" t="s">
        <v>702</v>
      </c>
      <c r="F293" s="9" t="s">
        <v>703</v>
      </c>
      <c r="G293" s="9" t="s">
        <v>704</v>
      </c>
    </row>
    <row r="294" spans="1:7" ht="15" customHeight="1" x14ac:dyDescent="0.35">
      <c r="A294" s="10" t="s">
        <v>836</v>
      </c>
      <c r="B294" s="11" t="s">
        <v>837</v>
      </c>
      <c r="C294" s="10" t="s">
        <v>20</v>
      </c>
      <c r="D294" s="10" t="s">
        <v>718</v>
      </c>
      <c r="E294" s="12">
        <v>6.2112799999999996E-3</v>
      </c>
      <c r="F294" s="13">
        <v>15.54</v>
      </c>
      <c r="G294" s="13">
        <v>0.09</v>
      </c>
    </row>
    <row r="295" spans="1:7" ht="15" customHeight="1" x14ac:dyDescent="0.35">
      <c r="A295" s="10" t="s">
        <v>838</v>
      </c>
      <c r="B295" s="11" t="s">
        <v>839</v>
      </c>
      <c r="C295" s="10" t="s">
        <v>20</v>
      </c>
      <c r="D295" s="10" t="s">
        <v>718</v>
      </c>
      <c r="E295" s="12">
        <v>3.8044130000000002E-2</v>
      </c>
      <c r="F295" s="13">
        <v>19.46</v>
      </c>
      <c r="G295" s="13">
        <v>0.74</v>
      </c>
    </row>
    <row r="296" spans="1:7" ht="18" customHeight="1" x14ac:dyDescent="0.35">
      <c r="A296" s="8"/>
      <c r="B296" s="8"/>
      <c r="C296" s="8"/>
      <c r="D296" s="8"/>
      <c r="E296" s="60" t="s">
        <v>721</v>
      </c>
      <c r="F296" s="60"/>
      <c r="G296" s="14">
        <v>0.83</v>
      </c>
    </row>
    <row r="297" spans="1:7" ht="15" customHeight="1" x14ac:dyDescent="0.35">
      <c r="A297" s="59" t="s">
        <v>722</v>
      </c>
      <c r="B297" s="59"/>
      <c r="C297" s="9" t="s">
        <v>3</v>
      </c>
      <c r="D297" s="9" t="s">
        <v>4</v>
      </c>
      <c r="E297" s="9" t="s">
        <v>702</v>
      </c>
      <c r="F297" s="9" t="s">
        <v>703</v>
      </c>
      <c r="G297" s="9" t="s">
        <v>704</v>
      </c>
    </row>
    <row r="298" spans="1:7" ht="20.149999999999999" customHeight="1" x14ac:dyDescent="0.35">
      <c r="A298" s="10" t="s">
        <v>843</v>
      </c>
      <c r="B298" s="11" t="s">
        <v>844</v>
      </c>
      <c r="C298" s="10" t="s">
        <v>20</v>
      </c>
      <c r="D298" s="10" t="s">
        <v>56</v>
      </c>
      <c r="E298" s="12">
        <v>0.97049313999999998</v>
      </c>
      <c r="F298" s="13">
        <v>10.49</v>
      </c>
      <c r="G298" s="13">
        <v>10.18</v>
      </c>
    </row>
    <row r="299" spans="1:7" ht="15" customHeight="1" x14ac:dyDescent="0.35">
      <c r="A299" s="8"/>
      <c r="B299" s="8"/>
      <c r="C299" s="8"/>
      <c r="D299" s="8"/>
      <c r="E299" s="60" t="s">
        <v>725</v>
      </c>
      <c r="F299" s="60"/>
      <c r="G299" s="14">
        <v>10.18</v>
      </c>
    </row>
    <row r="300" spans="1:7" ht="15" customHeight="1" x14ac:dyDescent="0.35">
      <c r="A300" s="8"/>
      <c r="B300" s="8"/>
      <c r="C300" s="8"/>
      <c r="D300" s="8"/>
      <c r="E300" s="61" t="s">
        <v>726</v>
      </c>
      <c r="F300" s="61"/>
      <c r="G300" s="4">
        <v>11.83</v>
      </c>
    </row>
    <row r="301" spans="1:7" ht="10" customHeight="1" x14ac:dyDescent="0.35">
      <c r="A301" s="8"/>
      <c r="B301" s="8"/>
      <c r="C301" s="57"/>
      <c r="D301" s="57"/>
      <c r="E301" s="8"/>
      <c r="F301" s="8"/>
      <c r="G301" s="8"/>
    </row>
    <row r="302" spans="1:7" ht="20.149999999999999" customHeight="1" x14ac:dyDescent="0.35">
      <c r="A302" s="58" t="s">
        <v>869</v>
      </c>
      <c r="B302" s="58"/>
      <c r="C302" s="58"/>
      <c r="D302" s="58"/>
      <c r="E302" s="58"/>
      <c r="F302" s="58"/>
      <c r="G302" s="58"/>
    </row>
    <row r="303" spans="1:7" ht="15" customHeight="1" x14ac:dyDescent="0.35">
      <c r="A303" s="59" t="s">
        <v>701</v>
      </c>
      <c r="B303" s="59"/>
      <c r="C303" s="9" t="s">
        <v>3</v>
      </c>
      <c r="D303" s="9" t="s">
        <v>4</v>
      </c>
      <c r="E303" s="9" t="s">
        <v>702</v>
      </c>
      <c r="F303" s="9" t="s">
        <v>703</v>
      </c>
      <c r="G303" s="9" t="s">
        <v>704</v>
      </c>
    </row>
    <row r="304" spans="1:7" ht="20.149999999999999" customHeight="1" x14ac:dyDescent="0.35">
      <c r="A304" s="10" t="s">
        <v>832</v>
      </c>
      <c r="B304" s="11" t="s">
        <v>833</v>
      </c>
      <c r="C304" s="10" t="s">
        <v>20</v>
      </c>
      <c r="D304" s="10" t="s">
        <v>56</v>
      </c>
      <c r="E304" s="12">
        <v>2.4362600000000002E-2</v>
      </c>
      <c r="F304" s="13">
        <v>29.4</v>
      </c>
      <c r="G304" s="13">
        <v>0.71</v>
      </c>
    </row>
    <row r="305" spans="1:7" ht="29.15" customHeight="1" x14ac:dyDescent="0.35">
      <c r="A305" s="10" t="s">
        <v>834</v>
      </c>
      <c r="B305" s="11" t="s">
        <v>835</v>
      </c>
      <c r="C305" s="10" t="s">
        <v>20</v>
      </c>
      <c r="D305" s="10" t="s">
        <v>160</v>
      </c>
      <c r="E305" s="12">
        <v>0.35764305000000002</v>
      </c>
      <c r="F305" s="13">
        <v>0.22</v>
      </c>
      <c r="G305" s="13">
        <v>7.0000000000000007E-2</v>
      </c>
    </row>
    <row r="306" spans="1:7" ht="15" customHeight="1" x14ac:dyDescent="0.35">
      <c r="A306" s="8"/>
      <c r="B306" s="8"/>
      <c r="C306" s="8"/>
      <c r="D306" s="8"/>
      <c r="E306" s="60" t="s">
        <v>714</v>
      </c>
      <c r="F306" s="60"/>
      <c r="G306" s="14">
        <v>0.78</v>
      </c>
    </row>
    <row r="307" spans="1:7" ht="15" customHeight="1" x14ac:dyDescent="0.35">
      <c r="A307" s="59" t="s">
        <v>715</v>
      </c>
      <c r="B307" s="59"/>
      <c r="C307" s="9" t="s">
        <v>3</v>
      </c>
      <c r="D307" s="9" t="s">
        <v>4</v>
      </c>
      <c r="E307" s="9" t="s">
        <v>702</v>
      </c>
      <c r="F307" s="9" t="s">
        <v>703</v>
      </c>
      <c r="G307" s="9" t="s">
        <v>704</v>
      </c>
    </row>
    <row r="308" spans="1:7" ht="15" customHeight="1" x14ac:dyDescent="0.35">
      <c r="A308" s="10" t="s">
        <v>836</v>
      </c>
      <c r="B308" s="11" t="s">
        <v>837</v>
      </c>
      <c r="C308" s="10" t="s">
        <v>20</v>
      </c>
      <c r="D308" s="10" t="s">
        <v>718</v>
      </c>
      <c r="E308" s="12">
        <v>4.0875199999999999E-3</v>
      </c>
      <c r="F308" s="13">
        <v>15.54</v>
      </c>
      <c r="G308" s="13">
        <v>0.06</v>
      </c>
    </row>
    <row r="309" spans="1:7" ht="15" customHeight="1" x14ac:dyDescent="0.35">
      <c r="A309" s="10" t="s">
        <v>838</v>
      </c>
      <c r="B309" s="11" t="s">
        <v>839</v>
      </c>
      <c r="C309" s="10" t="s">
        <v>20</v>
      </c>
      <c r="D309" s="10" t="s">
        <v>718</v>
      </c>
      <c r="E309" s="12">
        <v>2.5011780000000001E-2</v>
      </c>
      <c r="F309" s="13">
        <v>19.46</v>
      </c>
      <c r="G309" s="13">
        <v>0.48</v>
      </c>
    </row>
    <row r="310" spans="1:7" ht="18" customHeight="1" x14ac:dyDescent="0.35">
      <c r="A310" s="8"/>
      <c r="B310" s="8"/>
      <c r="C310" s="8"/>
      <c r="D310" s="8"/>
      <c r="E310" s="60" t="s">
        <v>721</v>
      </c>
      <c r="F310" s="60"/>
      <c r="G310" s="14">
        <v>0.54</v>
      </c>
    </row>
    <row r="311" spans="1:7" ht="15" customHeight="1" x14ac:dyDescent="0.35">
      <c r="A311" s="59" t="s">
        <v>722</v>
      </c>
      <c r="B311" s="59"/>
      <c r="C311" s="9" t="s">
        <v>3</v>
      </c>
      <c r="D311" s="9" t="s">
        <v>4</v>
      </c>
      <c r="E311" s="9" t="s">
        <v>702</v>
      </c>
      <c r="F311" s="9" t="s">
        <v>703</v>
      </c>
      <c r="G311" s="9" t="s">
        <v>704</v>
      </c>
    </row>
    <row r="312" spans="1:7" ht="20.149999999999999" customHeight="1" x14ac:dyDescent="0.35">
      <c r="A312" s="10" t="s">
        <v>846</v>
      </c>
      <c r="B312" s="11" t="s">
        <v>847</v>
      </c>
      <c r="C312" s="10" t="s">
        <v>20</v>
      </c>
      <c r="D312" s="10" t="s">
        <v>56</v>
      </c>
      <c r="E312" s="12">
        <v>0.97322167999999998</v>
      </c>
      <c r="F312" s="13">
        <v>9.02</v>
      </c>
      <c r="G312" s="13">
        <v>8.77</v>
      </c>
    </row>
    <row r="313" spans="1:7" ht="15" customHeight="1" x14ac:dyDescent="0.35">
      <c r="A313" s="8"/>
      <c r="B313" s="8"/>
      <c r="C313" s="8"/>
      <c r="D313" s="8"/>
      <c r="E313" s="60" t="s">
        <v>725</v>
      </c>
      <c r="F313" s="60"/>
      <c r="G313" s="14">
        <v>8.77</v>
      </c>
    </row>
    <row r="314" spans="1:7" ht="15" customHeight="1" x14ac:dyDescent="0.35">
      <c r="A314" s="8"/>
      <c r="B314" s="8"/>
      <c r="C314" s="8"/>
      <c r="D314" s="8"/>
      <c r="E314" s="61" t="s">
        <v>726</v>
      </c>
      <c r="F314" s="61"/>
      <c r="G314" s="4">
        <v>10.09</v>
      </c>
    </row>
    <row r="315" spans="1:7" ht="10" customHeight="1" x14ac:dyDescent="0.35">
      <c r="A315" s="8"/>
      <c r="B315" s="8"/>
      <c r="C315" s="57"/>
      <c r="D315" s="57"/>
      <c r="E315" s="8"/>
      <c r="F315" s="8"/>
      <c r="G315" s="8"/>
    </row>
    <row r="316" spans="1:7" ht="20.149999999999999" customHeight="1" x14ac:dyDescent="0.35">
      <c r="A316" s="58" t="s">
        <v>870</v>
      </c>
      <c r="B316" s="58"/>
      <c r="C316" s="58"/>
      <c r="D316" s="58"/>
      <c r="E316" s="58"/>
      <c r="F316" s="58"/>
      <c r="G316" s="58"/>
    </row>
    <row r="317" spans="1:7" ht="15" customHeight="1" x14ac:dyDescent="0.35">
      <c r="A317" s="59" t="s">
        <v>701</v>
      </c>
      <c r="B317" s="59"/>
      <c r="C317" s="9" t="s">
        <v>3</v>
      </c>
      <c r="D317" s="9" t="s">
        <v>4</v>
      </c>
      <c r="E317" s="9" t="s">
        <v>702</v>
      </c>
      <c r="F317" s="9" t="s">
        <v>703</v>
      </c>
      <c r="G317" s="9" t="s">
        <v>704</v>
      </c>
    </row>
    <row r="318" spans="1:7" ht="20.149999999999999" customHeight="1" x14ac:dyDescent="0.35">
      <c r="A318" s="10" t="s">
        <v>832</v>
      </c>
      <c r="B318" s="11" t="s">
        <v>833</v>
      </c>
      <c r="C318" s="10" t="s">
        <v>20</v>
      </c>
      <c r="D318" s="10" t="s">
        <v>56</v>
      </c>
      <c r="E318" s="12">
        <v>2.4323009999999999E-2</v>
      </c>
      <c r="F318" s="13">
        <v>29.4</v>
      </c>
      <c r="G318" s="13">
        <v>0.71</v>
      </c>
    </row>
    <row r="319" spans="1:7" ht="29.15" customHeight="1" x14ac:dyDescent="0.35">
      <c r="A319" s="10" t="s">
        <v>834</v>
      </c>
      <c r="B319" s="11" t="s">
        <v>835</v>
      </c>
      <c r="C319" s="10" t="s">
        <v>20</v>
      </c>
      <c r="D319" s="10" t="s">
        <v>160</v>
      </c>
      <c r="E319" s="12">
        <v>0.20625917999999999</v>
      </c>
      <c r="F319" s="13">
        <v>0.22</v>
      </c>
      <c r="G319" s="13">
        <v>0.04</v>
      </c>
    </row>
    <row r="320" spans="1:7" ht="15" customHeight="1" x14ac:dyDescent="0.35">
      <c r="A320" s="8"/>
      <c r="B320" s="8"/>
      <c r="C320" s="8"/>
      <c r="D320" s="8"/>
      <c r="E320" s="60" t="s">
        <v>714</v>
      </c>
      <c r="F320" s="60"/>
      <c r="G320" s="14">
        <v>0.75</v>
      </c>
    </row>
    <row r="321" spans="1:7" ht="15" customHeight="1" x14ac:dyDescent="0.35">
      <c r="A321" s="59" t="s">
        <v>715</v>
      </c>
      <c r="B321" s="59"/>
      <c r="C321" s="9" t="s">
        <v>3</v>
      </c>
      <c r="D321" s="9" t="s">
        <v>4</v>
      </c>
      <c r="E321" s="9" t="s">
        <v>702</v>
      </c>
      <c r="F321" s="9" t="s">
        <v>703</v>
      </c>
      <c r="G321" s="9" t="s">
        <v>704</v>
      </c>
    </row>
    <row r="322" spans="1:7" ht="15" customHeight="1" x14ac:dyDescent="0.35">
      <c r="A322" s="10" t="s">
        <v>836</v>
      </c>
      <c r="B322" s="11" t="s">
        <v>837</v>
      </c>
      <c r="C322" s="10" t="s">
        <v>20</v>
      </c>
      <c r="D322" s="10" t="s">
        <v>718</v>
      </c>
      <c r="E322" s="12">
        <v>3.10911E-3</v>
      </c>
      <c r="F322" s="13">
        <v>15.54</v>
      </c>
      <c r="G322" s="13">
        <v>0.04</v>
      </c>
    </row>
    <row r="323" spans="1:7" ht="15" customHeight="1" x14ac:dyDescent="0.35">
      <c r="A323" s="10" t="s">
        <v>838</v>
      </c>
      <c r="B323" s="11" t="s">
        <v>839</v>
      </c>
      <c r="C323" s="10" t="s">
        <v>20</v>
      </c>
      <c r="D323" s="10" t="s">
        <v>718</v>
      </c>
      <c r="E323" s="12">
        <v>1.8849060000000001E-2</v>
      </c>
      <c r="F323" s="13">
        <v>19.46</v>
      </c>
      <c r="G323" s="13">
        <v>0.36</v>
      </c>
    </row>
    <row r="324" spans="1:7" ht="18" customHeight="1" x14ac:dyDescent="0.35">
      <c r="A324" s="8"/>
      <c r="B324" s="8"/>
      <c r="C324" s="8"/>
      <c r="D324" s="8"/>
      <c r="E324" s="60" t="s">
        <v>721</v>
      </c>
      <c r="F324" s="60"/>
      <c r="G324" s="14">
        <v>0.4</v>
      </c>
    </row>
    <row r="325" spans="1:7" ht="15" customHeight="1" x14ac:dyDescent="0.35">
      <c r="A325" s="59" t="s">
        <v>722</v>
      </c>
      <c r="B325" s="59"/>
      <c r="C325" s="9" t="s">
        <v>3</v>
      </c>
      <c r="D325" s="9" t="s">
        <v>4</v>
      </c>
      <c r="E325" s="9" t="s">
        <v>702</v>
      </c>
      <c r="F325" s="9" t="s">
        <v>703</v>
      </c>
      <c r="G325" s="9" t="s">
        <v>704</v>
      </c>
    </row>
    <row r="326" spans="1:7" ht="20.149999999999999" customHeight="1" x14ac:dyDescent="0.35">
      <c r="A326" s="10" t="s">
        <v>849</v>
      </c>
      <c r="B326" s="11" t="s">
        <v>850</v>
      </c>
      <c r="C326" s="10" t="s">
        <v>20</v>
      </c>
      <c r="D326" s="10" t="s">
        <v>56</v>
      </c>
      <c r="E326" s="12">
        <v>0.97269406000000003</v>
      </c>
      <c r="F326" s="13">
        <v>8.9600000000000009</v>
      </c>
      <c r="G326" s="13">
        <v>8.7100000000000009</v>
      </c>
    </row>
    <row r="327" spans="1:7" ht="15" customHeight="1" x14ac:dyDescent="0.35">
      <c r="A327" s="8"/>
      <c r="B327" s="8"/>
      <c r="C327" s="8"/>
      <c r="D327" s="8"/>
      <c r="E327" s="60" t="s">
        <v>725</v>
      </c>
      <c r="F327" s="60"/>
      <c r="G327" s="14">
        <v>8.7100000000000009</v>
      </c>
    </row>
    <row r="328" spans="1:7" ht="15" customHeight="1" x14ac:dyDescent="0.35">
      <c r="A328" s="8"/>
      <c r="B328" s="8"/>
      <c r="C328" s="8"/>
      <c r="D328" s="8"/>
      <c r="E328" s="61" t="s">
        <v>726</v>
      </c>
      <c r="F328" s="61"/>
      <c r="G328" s="4">
        <v>9.86</v>
      </c>
    </row>
    <row r="329" spans="1:7" ht="10" customHeight="1" x14ac:dyDescent="0.35">
      <c r="A329" s="8"/>
      <c r="B329" s="8"/>
      <c r="C329" s="57"/>
      <c r="D329" s="57"/>
      <c r="E329" s="8"/>
      <c r="F329" s="8"/>
      <c r="G329" s="8"/>
    </row>
    <row r="330" spans="1:7" ht="20.149999999999999" customHeight="1" x14ac:dyDescent="0.35">
      <c r="A330" s="58" t="s">
        <v>871</v>
      </c>
      <c r="B330" s="58"/>
      <c r="C330" s="58"/>
      <c r="D330" s="58"/>
      <c r="E330" s="58"/>
      <c r="F330" s="58"/>
      <c r="G330" s="58"/>
    </row>
    <row r="331" spans="1:7" ht="15" customHeight="1" x14ac:dyDescent="0.35">
      <c r="A331" s="59" t="s">
        <v>701</v>
      </c>
      <c r="B331" s="59"/>
      <c r="C331" s="9" t="s">
        <v>3</v>
      </c>
      <c r="D331" s="9" t="s">
        <v>4</v>
      </c>
      <c r="E331" s="9" t="s">
        <v>702</v>
      </c>
      <c r="F331" s="9" t="s">
        <v>703</v>
      </c>
      <c r="G331" s="9" t="s">
        <v>704</v>
      </c>
    </row>
    <row r="332" spans="1:7" ht="20.149999999999999" customHeight="1" x14ac:dyDescent="0.35">
      <c r="A332" s="10" t="s">
        <v>832</v>
      </c>
      <c r="B332" s="11" t="s">
        <v>833</v>
      </c>
      <c r="C332" s="10" t="s">
        <v>20</v>
      </c>
      <c r="D332" s="10" t="s">
        <v>56</v>
      </c>
      <c r="E332" s="12">
        <v>2.44546E-2</v>
      </c>
      <c r="F332" s="13">
        <v>29.4</v>
      </c>
      <c r="G332" s="13">
        <v>0.71</v>
      </c>
    </row>
    <row r="333" spans="1:7" ht="29.15" customHeight="1" x14ac:dyDescent="0.35">
      <c r="A333" s="10" t="s">
        <v>834</v>
      </c>
      <c r="B333" s="11" t="s">
        <v>835</v>
      </c>
      <c r="C333" s="10" t="s">
        <v>20</v>
      </c>
      <c r="D333" s="10" t="s">
        <v>160</v>
      </c>
      <c r="E333" s="12">
        <v>1.16403938</v>
      </c>
      <c r="F333" s="13">
        <v>0.22</v>
      </c>
      <c r="G333" s="13">
        <v>0.25</v>
      </c>
    </row>
    <row r="334" spans="1:7" ht="15" customHeight="1" x14ac:dyDescent="0.35">
      <c r="A334" s="8"/>
      <c r="B334" s="8"/>
      <c r="C334" s="8"/>
      <c r="D334" s="8"/>
      <c r="E334" s="60" t="s">
        <v>714</v>
      </c>
      <c r="F334" s="60"/>
      <c r="G334" s="14">
        <v>0.96</v>
      </c>
    </row>
    <row r="335" spans="1:7" ht="15" customHeight="1" x14ac:dyDescent="0.35">
      <c r="A335" s="59" t="s">
        <v>715</v>
      </c>
      <c r="B335" s="59"/>
      <c r="C335" s="9" t="s">
        <v>3</v>
      </c>
      <c r="D335" s="9" t="s">
        <v>4</v>
      </c>
      <c r="E335" s="9" t="s">
        <v>702</v>
      </c>
      <c r="F335" s="9" t="s">
        <v>703</v>
      </c>
      <c r="G335" s="9" t="s">
        <v>704</v>
      </c>
    </row>
    <row r="336" spans="1:7" ht="15" customHeight="1" x14ac:dyDescent="0.35">
      <c r="A336" s="10" t="s">
        <v>836</v>
      </c>
      <c r="B336" s="11" t="s">
        <v>837</v>
      </c>
      <c r="C336" s="10" t="s">
        <v>20</v>
      </c>
      <c r="D336" s="10" t="s">
        <v>718</v>
      </c>
      <c r="E336" s="12">
        <v>1.7008269999999999E-2</v>
      </c>
      <c r="F336" s="13">
        <v>15.54</v>
      </c>
      <c r="G336" s="13">
        <v>0.26</v>
      </c>
    </row>
    <row r="337" spans="1:7" ht="15" customHeight="1" x14ac:dyDescent="0.35">
      <c r="A337" s="10" t="s">
        <v>838</v>
      </c>
      <c r="B337" s="11" t="s">
        <v>839</v>
      </c>
      <c r="C337" s="10" t="s">
        <v>20</v>
      </c>
      <c r="D337" s="10" t="s">
        <v>718</v>
      </c>
      <c r="E337" s="12">
        <v>0.10389629</v>
      </c>
      <c r="F337" s="13">
        <v>19.46</v>
      </c>
      <c r="G337" s="13">
        <v>2.02</v>
      </c>
    </row>
    <row r="338" spans="1:7" ht="18" customHeight="1" x14ac:dyDescent="0.35">
      <c r="A338" s="8"/>
      <c r="B338" s="8"/>
      <c r="C338" s="8"/>
      <c r="D338" s="8"/>
      <c r="E338" s="60" t="s">
        <v>721</v>
      </c>
      <c r="F338" s="60"/>
      <c r="G338" s="14">
        <v>2.2799999999999998</v>
      </c>
    </row>
    <row r="339" spans="1:7" ht="15" customHeight="1" x14ac:dyDescent="0.35">
      <c r="A339" s="59" t="s">
        <v>722</v>
      </c>
      <c r="B339" s="59"/>
      <c r="C339" s="9" t="s">
        <v>3</v>
      </c>
      <c r="D339" s="9" t="s">
        <v>4</v>
      </c>
      <c r="E339" s="9" t="s">
        <v>702</v>
      </c>
      <c r="F339" s="9" t="s">
        <v>703</v>
      </c>
      <c r="G339" s="9" t="s">
        <v>704</v>
      </c>
    </row>
    <row r="340" spans="1:7" ht="15" customHeight="1" x14ac:dyDescent="0.35">
      <c r="A340" s="10" t="s">
        <v>852</v>
      </c>
      <c r="B340" s="11" t="s">
        <v>853</v>
      </c>
      <c r="C340" s="10" t="s">
        <v>20</v>
      </c>
      <c r="D340" s="10" t="s">
        <v>56</v>
      </c>
      <c r="E340" s="12">
        <v>0.97190177</v>
      </c>
      <c r="F340" s="13">
        <v>10.66</v>
      </c>
      <c r="G340" s="13">
        <v>10.36</v>
      </c>
    </row>
    <row r="341" spans="1:7" ht="15" customHeight="1" x14ac:dyDescent="0.35">
      <c r="A341" s="8"/>
      <c r="B341" s="8"/>
      <c r="C341" s="8"/>
      <c r="D341" s="8"/>
      <c r="E341" s="60" t="s">
        <v>725</v>
      </c>
      <c r="F341" s="60"/>
      <c r="G341" s="14">
        <v>10.36</v>
      </c>
    </row>
    <row r="342" spans="1:7" ht="15" customHeight="1" x14ac:dyDescent="0.35">
      <c r="A342" s="8"/>
      <c r="B342" s="8"/>
      <c r="C342" s="8"/>
      <c r="D342" s="8"/>
      <c r="E342" s="61" t="s">
        <v>726</v>
      </c>
      <c r="F342" s="61"/>
      <c r="G342" s="4">
        <v>13.6</v>
      </c>
    </row>
    <row r="343" spans="1:7" ht="10" customHeight="1" x14ac:dyDescent="0.35">
      <c r="A343" s="8"/>
      <c r="B343" s="8"/>
      <c r="C343" s="57"/>
      <c r="D343" s="57"/>
      <c r="E343" s="8"/>
      <c r="F343" s="8"/>
      <c r="G343" s="8"/>
    </row>
    <row r="344" spans="1:7" ht="20.149999999999999" customHeight="1" x14ac:dyDescent="0.35">
      <c r="A344" s="58" t="s">
        <v>872</v>
      </c>
      <c r="B344" s="58"/>
      <c r="C344" s="58"/>
      <c r="D344" s="58"/>
      <c r="E344" s="58"/>
      <c r="F344" s="58"/>
      <c r="G344" s="58"/>
    </row>
    <row r="345" spans="1:7" ht="15" customHeight="1" x14ac:dyDescent="0.35">
      <c r="A345" s="59" t="s">
        <v>761</v>
      </c>
      <c r="B345" s="59"/>
      <c r="C345" s="9" t="s">
        <v>3</v>
      </c>
      <c r="D345" s="9" t="s">
        <v>4</v>
      </c>
      <c r="E345" s="9" t="s">
        <v>702</v>
      </c>
      <c r="F345" s="9" t="s">
        <v>703</v>
      </c>
      <c r="G345" s="9" t="s">
        <v>704</v>
      </c>
    </row>
    <row r="346" spans="1:7" ht="20.149999999999999" customHeight="1" x14ac:dyDescent="0.35">
      <c r="A346" s="10" t="s">
        <v>762</v>
      </c>
      <c r="B346" s="11" t="s">
        <v>763</v>
      </c>
      <c r="C346" s="10" t="s">
        <v>20</v>
      </c>
      <c r="D346" s="10" t="s">
        <v>764</v>
      </c>
      <c r="E346" s="12">
        <v>0.23467499</v>
      </c>
      <c r="F346" s="13">
        <v>18.55</v>
      </c>
      <c r="G346" s="13">
        <v>4.3499999999999996</v>
      </c>
    </row>
    <row r="347" spans="1:7" ht="20.149999999999999" customHeight="1" x14ac:dyDescent="0.35">
      <c r="A347" s="10" t="s">
        <v>765</v>
      </c>
      <c r="B347" s="11" t="s">
        <v>766</v>
      </c>
      <c r="C347" s="10" t="s">
        <v>20</v>
      </c>
      <c r="D347" s="10" t="s">
        <v>767</v>
      </c>
      <c r="E347" s="12">
        <v>4.9509490000000003E-2</v>
      </c>
      <c r="F347" s="13">
        <v>19.54</v>
      </c>
      <c r="G347" s="13">
        <v>0.96</v>
      </c>
    </row>
    <row r="348" spans="1:7" ht="15" customHeight="1" x14ac:dyDescent="0.35">
      <c r="A348" s="8"/>
      <c r="B348" s="8"/>
      <c r="C348" s="8"/>
      <c r="D348" s="8"/>
      <c r="E348" s="60" t="s">
        <v>768</v>
      </c>
      <c r="F348" s="60"/>
      <c r="G348" s="14">
        <v>5.31</v>
      </c>
    </row>
    <row r="349" spans="1:7" ht="15" customHeight="1" x14ac:dyDescent="0.35">
      <c r="A349" s="59" t="s">
        <v>701</v>
      </c>
      <c r="B349" s="59"/>
      <c r="C349" s="9" t="s">
        <v>3</v>
      </c>
      <c r="D349" s="9" t="s">
        <v>4</v>
      </c>
      <c r="E349" s="9" t="s">
        <v>702</v>
      </c>
      <c r="F349" s="9" t="s">
        <v>703</v>
      </c>
      <c r="G349" s="9" t="s">
        <v>704</v>
      </c>
    </row>
    <row r="350" spans="1:7" ht="29.15" customHeight="1" x14ac:dyDescent="0.35">
      <c r="A350" s="10" t="s">
        <v>799</v>
      </c>
      <c r="B350" s="11" t="s">
        <v>800</v>
      </c>
      <c r="C350" s="10" t="s">
        <v>20</v>
      </c>
      <c r="D350" s="10" t="s">
        <v>21</v>
      </c>
      <c r="E350" s="12">
        <v>1.15722254</v>
      </c>
      <c r="F350" s="13">
        <v>26.98</v>
      </c>
      <c r="G350" s="13">
        <v>31.22</v>
      </c>
    </row>
    <row r="351" spans="1:7" ht="20.149999999999999" customHeight="1" x14ac:dyDescent="0.35">
      <c r="A351" s="10" t="s">
        <v>708</v>
      </c>
      <c r="B351" s="11" t="s">
        <v>709</v>
      </c>
      <c r="C351" s="10" t="s">
        <v>20</v>
      </c>
      <c r="D351" s="10" t="s">
        <v>25</v>
      </c>
      <c r="E351" s="12">
        <v>0.16762560000000001</v>
      </c>
      <c r="F351" s="13">
        <v>13.34</v>
      </c>
      <c r="G351" s="13">
        <v>2.23</v>
      </c>
    </row>
    <row r="352" spans="1:7" ht="15" customHeight="1" x14ac:dyDescent="0.35">
      <c r="A352" s="10" t="s">
        <v>771</v>
      </c>
      <c r="B352" s="11" t="s">
        <v>772</v>
      </c>
      <c r="C352" s="10" t="s">
        <v>20</v>
      </c>
      <c r="D352" s="10" t="s">
        <v>56</v>
      </c>
      <c r="E352" s="12">
        <v>0.16055705000000001</v>
      </c>
      <c r="F352" s="13">
        <v>24.92</v>
      </c>
      <c r="G352" s="13">
        <v>4</v>
      </c>
    </row>
    <row r="353" spans="1:7" ht="20.149999999999999" customHeight="1" x14ac:dyDescent="0.35">
      <c r="A353" s="10" t="s">
        <v>811</v>
      </c>
      <c r="B353" s="11" t="s">
        <v>812</v>
      </c>
      <c r="C353" s="10" t="s">
        <v>20</v>
      </c>
      <c r="D353" s="10" t="s">
        <v>25</v>
      </c>
      <c r="E353" s="12">
        <v>7.0200795400000002</v>
      </c>
      <c r="F353" s="13">
        <v>4.66</v>
      </c>
      <c r="G353" s="13">
        <v>32.71</v>
      </c>
    </row>
    <row r="354" spans="1:7" ht="15" customHeight="1" x14ac:dyDescent="0.35">
      <c r="A354" s="8"/>
      <c r="B354" s="8"/>
      <c r="C354" s="8"/>
      <c r="D354" s="8"/>
      <c r="E354" s="60" t="s">
        <v>714</v>
      </c>
      <c r="F354" s="60"/>
      <c r="G354" s="14">
        <v>70.16</v>
      </c>
    </row>
    <row r="355" spans="1:7" ht="15" customHeight="1" x14ac:dyDescent="0.35">
      <c r="A355" s="59" t="s">
        <v>715</v>
      </c>
      <c r="B355" s="59"/>
      <c r="C355" s="9" t="s">
        <v>3</v>
      </c>
      <c r="D355" s="9" t="s">
        <v>4</v>
      </c>
      <c r="E355" s="9" t="s">
        <v>702</v>
      </c>
      <c r="F355" s="9" t="s">
        <v>703</v>
      </c>
      <c r="G355" s="9" t="s">
        <v>704</v>
      </c>
    </row>
    <row r="356" spans="1:7" ht="15" customHeight="1" x14ac:dyDescent="0.35">
      <c r="A356" s="10" t="s">
        <v>778</v>
      </c>
      <c r="B356" s="11" t="s">
        <v>779</v>
      </c>
      <c r="C356" s="10" t="s">
        <v>20</v>
      </c>
      <c r="D356" s="10" t="s">
        <v>718</v>
      </c>
      <c r="E356" s="12">
        <v>0.20001835000000001</v>
      </c>
      <c r="F356" s="13">
        <v>15.45</v>
      </c>
      <c r="G356" s="13">
        <v>3.09</v>
      </c>
    </row>
    <row r="357" spans="1:7" ht="15" customHeight="1" x14ac:dyDescent="0.35">
      <c r="A357" s="10" t="s">
        <v>716</v>
      </c>
      <c r="B357" s="11" t="s">
        <v>717</v>
      </c>
      <c r="C357" s="10" t="s">
        <v>20</v>
      </c>
      <c r="D357" s="10" t="s">
        <v>718</v>
      </c>
      <c r="E357" s="12">
        <v>0.90258004000000003</v>
      </c>
      <c r="F357" s="13">
        <v>19.34</v>
      </c>
      <c r="G357" s="13">
        <v>17.45</v>
      </c>
    </row>
    <row r="358" spans="1:7" ht="18" customHeight="1" x14ac:dyDescent="0.35">
      <c r="A358" s="8"/>
      <c r="B358" s="8"/>
      <c r="C358" s="8"/>
      <c r="D358" s="8"/>
      <c r="E358" s="60" t="s">
        <v>721</v>
      </c>
      <c r="F358" s="60"/>
      <c r="G358" s="14">
        <v>20.54</v>
      </c>
    </row>
    <row r="359" spans="1:7" ht="15" customHeight="1" x14ac:dyDescent="0.35">
      <c r="A359" s="8"/>
      <c r="B359" s="8"/>
      <c r="C359" s="8"/>
      <c r="D359" s="8"/>
      <c r="E359" s="61" t="s">
        <v>726</v>
      </c>
      <c r="F359" s="61"/>
      <c r="G359" s="4">
        <v>96.01</v>
      </c>
    </row>
    <row r="360" spans="1:7" ht="10" customHeight="1" x14ac:dyDescent="0.35">
      <c r="A360" s="8"/>
      <c r="B360" s="8"/>
      <c r="C360" s="57"/>
      <c r="D360" s="57"/>
      <c r="E360" s="8"/>
      <c r="F360" s="8"/>
      <c r="G360" s="8"/>
    </row>
    <row r="361" spans="1:7" ht="20.149999999999999" customHeight="1" x14ac:dyDescent="0.35">
      <c r="A361" s="58" t="s">
        <v>873</v>
      </c>
      <c r="B361" s="58"/>
      <c r="C361" s="58"/>
      <c r="D361" s="58"/>
      <c r="E361" s="58"/>
      <c r="F361" s="58"/>
      <c r="G361" s="58"/>
    </row>
    <row r="362" spans="1:7" ht="15" customHeight="1" x14ac:dyDescent="0.35">
      <c r="A362" s="59" t="s">
        <v>701</v>
      </c>
      <c r="B362" s="59"/>
      <c r="C362" s="9" t="s">
        <v>3</v>
      </c>
      <c r="D362" s="9" t="s">
        <v>4</v>
      </c>
      <c r="E362" s="9" t="s">
        <v>702</v>
      </c>
      <c r="F362" s="9" t="s">
        <v>703</v>
      </c>
      <c r="G362" s="9" t="s">
        <v>704</v>
      </c>
    </row>
    <row r="363" spans="1:7" ht="20.149999999999999" customHeight="1" x14ac:dyDescent="0.35">
      <c r="A363" s="10" t="s">
        <v>832</v>
      </c>
      <c r="B363" s="11" t="s">
        <v>833</v>
      </c>
      <c r="C363" s="10" t="s">
        <v>20</v>
      </c>
      <c r="D363" s="10" t="s">
        <v>56</v>
      </c>
      <c r="E363" s="12">
        <v>2.4394579999999999E-2</v>
      </c>
      <c r="F363" s="13">
        <v>29.4</v>
      </c>
      <c r="G363" s="13">
        <v>0.71</v>
      </c>
    </row>
    <row r="364" spans="1:7" ht="29.15" customHeight="1" x14ac:dyDescent="0.35">
      <c r="A364" s="10" t="s">
        <v>834</v>
      </c>
      <c r="B364" s="11" t="s">
        <v>835</v>
      </c>
      <c r="C364" s="10" t="s">
        <v>20</v>
      </c>
      <c r="D364" s="10" t="s">
        <v>160</v>
      </c>
      <c r="E364" s="12">
        <v>0.94650995999999998</v>
      </c>
      <c r="F364" s="13">
        <v>0.22</v>
      </c>
      <c r="G364" s="13">
        <v>0.2</v>
      </c>
    </row>
    <row r="365" spans="1:7" ht="15" customHeight="1" x14ac:dyDescent="0.35">
      <c r="A365" s="8"/>
      <c r="B365" s="8"/>
      <c r="C365" s="8"/>
      <c r="D365" s="8"/>
      <c r="E365" s="60" t="s">
        <v>714</v>
      </c>
      <c r="F365" s="60"/>
      <c r="G365" s="14">
        <v>0.91</v>
      </c>
    </row>
    <row r="366" spans="1:7" ht="15" customHeight="1" x14ac:dyDescent="0.35">
      <c r="A366" s="59" t="s">
        <v>715</v>
      </c>
      <c r="B366" s="59"/>
      <c r="C366" s="9" t="s">
        <v>3</v>
      </c>
      <c r="D366" s="9" t="s">
        <v>4</v>
      </c>
      <c r="E366" s="9" t="s">
        <v>702</v>
      </c>
      <c r="F366" s="9" t="s">
        <v>703</v>
      </c>
      <c r="G366" s="9" t="s">
        <v>704</v>
      </c>
    </row>
    <row r="367" spans="1:7" ht="15" customHeight="1" x14ac:dyDescent="0.35">
      <c r="A367" s="10" t="s">
        <v>836</v>
      </c>
      <c r="B367" s="11" t="s">
        <v>837</v>
      </c>
      <c r="C367" s="10" t="s">
        <v>20</v>
      </c>
      <c r="D367" s="10" t="s">
        <v>718</v>
      </c>
      <c r="E367" s="12">
        <v>1.2548699999999999E-2</v>
      </c>
      <c r="F367" s="13">
        <v>15.54</v>
      </c>
      <c r="G367" s="13">
        <v>0.19</v>
      </c>
    </row>
    <row r="368" spans="1:7" ht="15" customHeight="1" x14ac:dyDescent="0.35">
      <c r="A368" s="10" t="s">
        <v>838</v>
      </c>
      <c r="B368" s="11" t="s">
        <v>839</v>
      </c>
      <c r="C368" s="10" t="s">
        <v>20</v>
      </c>
      <c r="D368" s="10" t="s">
        <v>718</v>
      </c>
      <c r="E368" s="12">
        <v>7.6848700000000006E-2</v>
      </c>
      <c r="F368" s="13">
        <v>19.46</v>
      </c>
      <c r="G368" s="13">
        <v>1.49</v>
      </c>
    </row>
    <row r="369" spans="1:7" ht="18" customHeight="1" x14ac:dyDescent="0.35">
      <c r="A369" s="8"/>
      <c r="B369" s="8"/>
      <c r="C369" s="8"/>
      <c r="D369" s="8"/>
      <c r="E369" s="60" t="s">
        <v>721</v>
      </c>
      <c r="F369" s="60"/>
      <c r="G369" s="14">
        <v>1.68</v>
      </c>
    </row>
    <row r="370" spans="1:7" ht="15" customHeight="1" x14ac:dyDescent="0.35">
      <c r="A370" s="59" t="s">
        <v>722</v>
      </c>
      <c r="B370" s="59"/>
      <c r="C370" s="9" t="s">
        <v>3</v>
      </c>
      <c r="D370" s="9" t="s">
        <v>4</v>
      </c>
      <c r="E370" s="9" t="s">
        <v>702</v>
      </c>
      <c r="F370" s="9" t="s">
        <v>703</v>
      </c>
      <c r="G370" s="9" t="s">
        <v>704</v>
      </c>
    </row>
    <row r="371" spans="1:7" ht="15" customHeight="1" x14ac:dyDescent="0.35">
      <c r="A371" s="10" t="s">
        <v>840</v>
      </c>
      <c r="B371" s="11" t="s">
        <v>841</v>
      </c>
      <c r="C371" s="10" t="s">
        <v>20</v>
      </c>
      <c r="D371" s="10" t="s">
        <v>56</v>
      </c>
      <c r="E371" s="12">
        <v>0.97189011000000003</v>
      </c>
      <c r="F371" s="13">
        <v>11.14</v>
      </c>
      <c r="G371" s="13">
        <v>10.82</v>
      </c>
    </row>
    <row r="372" spans="1:7" ht="15" customHeight="1" x14ac:dyDescent="0.35">
      <c r="A372" s="8"/>
      <c r="B372" s="8"/>
      <c r="C372" s="8"/>
      <c r="D372" s="8"/>
      <c r="E372" s="60" t="s">
        <v>725</v>
      </c>
      <c r="F372" s="60"/>
      <c r="G372" s="14">
        <v>10.82</v>
      </c>
    </row>
    <row r="373" spans="1:7" ht="15" customHeight="1" x14ac:dyDescent="0.35">
      <c r="A373" s="8"/>
      <c r="B373" s="8"/>
      <c r="C373" s="8"/>
      <c r="D373" s="8"/>
      <c r="E373" s="61" t="s">
        <v>726</v>
      </c>
      <c r="F373" s="61"/>
      <c r="G373" s="4">
        <v>13.41</v>
      </c>
    </row>
    <row r="374" spans="1:7" ht="10" customHeight="1" x14ac:dyDescent="0.35">
      <c r="A374" s="8"/>
      <c r="B374" s="8"/>
      <c r="C374" s="57"/>
      <c r="D374" s="57"/>
      <c r="E374" s="8"/>
      <c r="F374" s="8"/>
      <c r="G374" s="8"/>
    </row>
    <row r="375" spans="1:7" ht="20.149999999999999" customHeight="1" x14ac:dyDescent="0.35">
      <c r="A375" s="58" t="s">
        <v>874</v>
      </c>
      <c r="B375" s="58"/>
      <c r="C375" s="58"/>
      <c r="D375" s="58"/>
      <c r="E375" s="58"/>
      <c r="F375" s="58"/>
      <c r="G375" s="58"/>
    </row>
    <row r="376" spans="1:7" ht="15" customHeight="1" x14ac:dyDescent="0.35">
      <c r="A376" s="59" t="s">
        <v>701</v>
      </c>
      <c r="B376" s="59"/>
      <c r="C376" s="9" t="s">
        <v>3</v>
      </c>
      <c r="D376" s="9" t="s">
        <v>4</v>
      </c>
      <c r="E376" s="9" t="s">
        <v>702</v>
      </c>
      <c r="F376" s="9" t="s">
        <v>703</v>
      </c>
      <c r="G376" s="9" t="s">
        <v>704</v>
      </c>
    </row>
    <row r="377" spans="1:7" ht="20.149999999999999" customHeight="1" x14ac:dyDescent="0.35">
      <c r="A377" s="10" t="s">
        <v>832</v>
      </c>
      <c r="B377" s="11" t="s">
        <v>833</v>
      </c>
      <c r="C377" s="10" t="s">
        <v>20</v>
      </c>
      <c r="D377" s="10" t="s">
        <v>56</v>
      </c>
      <c r="E377" s="12">
        <v>2.4413049999999999E-2</v>
      </c>
      <c r="F377" s="13">
        <v>29.4</v>
      </c>
      <c r="G377" s="13">
        <v>0.71</v>
      </c>
    </row>
    <row r="378" spans="1:7" ht="29.15" customHeight="1" x14ac:dyDescent="0.35">
      <c r="A378" s="10" t="s">
        <v>834</v>
      </c>
      <c r="B378" s="11" t="s">
        <v>835</v>
      </c>
      <c r="C378" s="10" t="s">
        <v>20</v>
      </c>
      <c r="D378" s="10" t="s">
        <v>160</v>
      </c>
      <c r="E378" s="12">
        <v>0.72555612000000003</v>
      </c>
      <c r="F378" s="13">
        <v>0.22</v>
      </c>
      <c r="G378" s="13">
        <v>0.15</v>
      </c>
    </row>
    <row r="379" spans="1:7" ht="15" customHeight="1" x14ac:dyDescent="0.35">
      <c r="A379" s="8"/>
      <c r="B379" s="8"/>
      <c r="C379" s="8"/>
      <c r="D379" s="8"/>
      <c r="E379" s="60" t="s">
        <v>714</v>
      </c>
      <c r="F379" s="60"/>
      <c r="G379" s="14">
        <v>0.86</v>
      </c>
    </row>
    <row r="380" spans="1:7" ht="15" customHeight="1" x14ac:dyDescent="0.35">
      <c r="A380" s="59" t="s">
        <v>715</v>
      </c>
      <c r="B380" s="59"/>
      <c r="C380" s="9" t="s">
        <v>3</v>
      </c>
      <c r="D380" s="9" t="s">
        <v>4</v>
      </c>
      <c r="E380" s="9" t="s">
        <v>702</v>
      </c>
      <c r="F380" s="9" t="s">
        <v>703</v>
      </c>
      <c r="G380" s="9" t="s">
        <v>704</v>
      </c>
    </row>
    <row r="381" spans="1:7" ht="15" customHeight="1" x14ac:dyDescent="0.35">
      <c r="A381" s="10" t="s">
        <v>836</v>
      </c>
      <c r="B381" s="11" t="s">
        <v>837</v>
      </c>
      <c r="C381" s="10" t="s">
        <v>20</v>
      </c>
      <c r="D381" s="10" t="s">
        <v>718</v>
      </c>
      <c r="E381" s="12">
        <v>8.9584499999999997E-3</v>
      </c>
      <c r="F381" s="13">
        <v>15.54</v>
      </c>
      <c r="G381" s="13">
        <v>0.13</v>
      </c>
    </row>
    <row r="382" spans="1:7" ht="15" customHeight="1" x14ac:dyDescent="0.35">
      <c r="A382" s="10" t="s">
        <v>838</v>
      </c>
      <c r="B382" s="11" t="s">
        <v>839</v>
      </c>
      <c r="C382" s="10" t="s">
        <v>20</v>
      </c>
      <c r="D382" s="10" t="s">
        <v>718</v>
      </c>
      <c r="E382" s="12">
        <v>5.462711E-2</v>
      </c>
      <c r="F382" s="13">
        <v>19.46</v>
      </c>
      <c r="G382" s="13">
        <v>1.06</v>
      </c>
    </row>
    <row r="383" spans="1:7" ht="18" customHeight="1" x14ac:dyDescent="0.35">
      <c r="A383" s="8"/>
      <c r="B383" s="8"/>
      <c r="C383" s="8"/>
      <c r="D383" s="8"/>
      <c r="E383" s="60" t="s">
        <v>721</v>
      </c>
      <c r="F383" s="60"/>
      <c r="G383" s="14">
        <v>1.19</v>
      </c>
    </row>
    <row r="384" spans="1:7" ht="15" customHeight="1" x14ac:dyDescent="0.35">
      <c r="A384" s="59" t="s">
        <v>722</v>
      </c>
      <c r="B384" s="59"/>
      <c r="C384" s="9" t="s">
        <v>3</v>
      </c>
      <c r="D384" s="9" t="s">
        <v>4</v>
      </c>
      <c r="E384" s="9" t="s">
        <v>702</v>
      </c>
      <c r="F384" s="9" t="s">
        <v>703</v>
      </c>
      <c r="G384" s="9" t="s">
        <v>704</v>
      </c>
    </row>
    <row r="385" spans="1:7" ht="15" customHeight="1" x14ac:dyDescent="0.35">
      <c r="A385" s="10" t="s">
        <v>875</v>
      </c>
      <c r="B385" s="11" t="s">
        <v>876</v>
      </c>
      <c r="C385" s="10" t="s">
        <v>20</v>
      </c>
      <c r="D385" s="10" t="s">
        <v>56</v>
      </c>
      <c r="E385" s="12">
        <v>0.97374545000000001</v>
      </c>
      <c r="F385" s="13">
        <v>11.27</v>
      </c>
      <c r="G385" s="13">
        <v>10.97</v>
      </c>
    </row>
    <row r="386" spans="1:7" ht="15" customHeight="1" x14ac:dyDescent="0.35">
      <c r="A386" s="8"/>
      <c r="B386" s="8"/>
      <c r="C386" s="8"/>
      <c r="D386" s="8"/>
      <c r="E386" s="60" t="s">
        <v>725</v>
      </c>
      <c r="F386" s="60"/>
      <c r="G386" s="14">
        <v>10.97</v>
      </c>
    </row>
    <row r="387" spans="1:7" ht="15" customHeight="1" x14ac:dyDescent="0.35">
      <c r="A387" s="8"/>
      <c r="B387" s="8"/>
      <c r="C387" s="8"/>
      <c r="D387" s="8"/>
      <c r="E387" s="61" t="s">
        <v>726</v>
      </c>
      <c r="F387" s="61"/>
      <c r="G387" s="4">
        <v>13.02</v>
      </c>
    </row>
    <row r="388" spans="1:7" ht="10" customHeight="1" x14ac:dyDescent="0.35">
      <c r="A388" s="8"/>
      <c r="B388" s="8"/>
      <c r="C388" s="57"/>
      <c r="D388" s="57"/>
      <c r="E388" s="8"/>
      <c r="F388" s="8"/>
      <c r="G388" s="8"/>
    </row>
    <row r="389" spans="1:7" ht="20.149999999999999" customHeight="1" x14ac:dyDescent="0.35">
      <c r="A389" s="58" t="s">
        <v>877</v>
      </c>
      <c r="B389" s="58"/>
      <c r="C389" s="58"/>
      <c r="D389" s="58"/>
      <c r="E389" s="58"/>
      <c r="F389" s="58"/>
      <c r="G389" s="58"/>
    </row>
    <row r="390" spans="1:7" ht="15" customHeight="1" x14ac:dyDescent="0.35">
      <c r="A390" s="59" t="s">
        <v>701</v>
      </c>
      <c r="B390" s="59"/>
      <c r="C390" s="9" t="s">
        <v>3</v>
      </c>
      <c r="D390" s="9" t="s">
        <v>4</v>
      </c>
      <c r="E390" s="9" t="s">
        <v>702</v>
      </c>
      <c r="F390" s="9" t="s">
        <v>703</v>
      </c>
      <c r="G390" s="9" t="s">
        <v>704</v>
      </c>
    </row>
    <row r="391" spans="1:7" ht="20.149999999999999" customHeight="1" x14ac:dyDescent="0.35">
      <c r="A391" s="10" t="s">
        <v>801</v>
      </c>
      <c r="B391" s="11" t="s">
        <v>802</v>
      </c>
      <c r="C391" s="10" t="s">
        <v>20</v>
      </c>
      <c r="D391" s="10" t="s">
        <v>777</v>
      </c>
      <c r="E391" s="12">
        <v>6.0069700000000004E-3</v>
      </c>
      <c r="F391" s="13">
        <v>8.5</v>
      </c>
      <c r="G391" s="13">
        <v>0.05</v>
      </c>
    </row>
    <row r="392" spans="1:7" ht="29.15" customHeight="1" x14ac:dyDescent="0.35">
      <c r="A392" s="10" t="s">
        <v>834</v>
      </c>
      <c r="B392" s="11" t="s">
        <v>835</v>
      </c>
      <c r="C392" s="10" t="s">
        <v>20</v>
      </c>
      <c r="D392" s="10" t="s">
        <v>160</v>
      </c>
      <c r="E392" s="12">
        <v>6</v>
      </c>
      <c r="F392" s="13">
        <v>0.22</v>
      </c>
      <c r="G392" s="13">
        <v>1.32</v>
      </c>
    </row>
    <row r="393" spans="1:7" ht="15" customHeight="1" x14ac:dyDescent="0.35">
      <c r="A393" s="8"/>
      <c r="B393" s="8"/>
      <c r="C393" s="8"/>
      <c r="D393" s="8"/>
      <c r="E393" s="60" t="s">
        <v>714</v>
      </c>
      <c r="F393" s="60"/>
      <c r="G393" s="14">
        <v>1.37</v>
      </c>
    </row>
    <row r="394" spans="1:7" ht="15" customHeight="1" x14ac:dyDescent="0.35">
      <c r="A394" s="59" t="s">
        <v>715</v>
      </c>
      <c r="B394" s="59"/>
      <c r="C394" s="9" t="s">
        <v>3</v>
      </c>
      <c r="D394" s="9" t="s">
        <v>4</v>
      </c>
      <c r="E394" s="9" t="s">
        <v>702</v>
      </c>
      <c r="F394" s="9" t="s">
        <v>703</v>
      </c>
      <c r="G394" s="9" t="s">
        <v>704</v>
      </c>
    </row>
    <row r="395" spans="1:7" ht="15" customHeight="1" x14ac:dyDescent="0.35">
      <c r="A395" s="10" t="s">
        <v>794</v>
      </c>
      <c r="B395" s="11" t="s">
        <v>795</v>
      </c>
      <c r="C395" s="10" t="s">
        <v>20</v>
      </c>
      <c r="D395" s="10" t="s">
        <v>718</v>
      </c>
      <c r="E395" s="12">
        <v>8.3634390000000003E-2</v>
      </c>
      <c r="F395" s="13">
        <v>19.57</v>
      </c>
      <c r="G395" s="13">
        <v>1.63</v>
      </c>
    </row>
    <row r="396" spans="1:7" ht="15" customHeight="1" x14ac:dyDescent="0.35">
      <c r="A396" s="10" t="s">
        <v>719</v>
      </c>
      <c r="B396" s="11" t="s">
        <v>720</v>
      </c>
      <c r="C396" s="10" t="s">
        <v>20</v>
      </c>
      <c r="D396" s="10" t="s">
        <v>718</v>
      </c>
      <c r="E396" s="12">
        <v>0.10155604</v>
      </c>
      <c r="F396" s="13">
        <v>15.53</v>
      </c>
      <c r="G396" s="13">
        <v>1.57</v>
      </c>
    </row>
    <row r="397" spans="1:7" ht="18" customHeight="1" x14ac:dyDescent="0.35">
      <c r="A397" s="8"/>
      <c r="B397" s="8"/>
      <c r="C397" s="8"/>
      <c r="D397" s="8"/>
      <c r="E397" s="60" t="s">
        <v>721</v>
      </c>
      <c r="F397" s="60"/>
      <c r="G397" s="14">
        <v>3.2</v>
      </c>
    </row>
    <row r="398" spans="1:7" ht="15" customHeight="1" x14ac:dyDescent="0.35">
      <c r="A398" s="59" t="s">
        <v>722</v>
      </c>
      <c r="B398" s="59"/>
      <c r="C398" s="9" t="s">
        <v>3</v>
      </c>
      <c r="D398" s="9" t="s">
        <v>4</v>
      </c>
      <c r="E398" s="9" t="s">
        <v>702</v>
      </c>
      <c r="F398" s="9" t="s">
        <v>703</v>
      </c>
      <c r="G398" s="9" t="s">
        <v>704</v>
      </c>
    </row>
    <row r="399" spans="1:7" ht="37" customHeight="1" x14ac:dyDescent="0.35">
      <c r="A399" s="10" t="s">
        <v>878</v>
      </c>
      <c r="B399" s="11" t="s">
        <v>879</v>
      </c>
      <c r="C399" s="10" t="s">
        <v>20</v>
      </c>
      <c r="D399" s="10" t="s">
        <v>31</v>
      </c>
      <c r="E399" s="12">
        <v>1.8917199999999999E-3</v>
      </c>
      <c r="F399" s="13">
        <v>449.72</v>
      </c>
      <c r="G399" s="13">
        <v>0.85</v>
      </c>
    </row>
    <row r="400" spans="1:7" ht="29.15" customHeight="1" x14ac:dyDescent="0.35">
      <c r="A400" s="10" t="s">
        <v>880</v>
      </c>
      <c r="B400" s="11" t="s">
        <v>881</v>
      </c>
      <c r="C400" s="10" t="s">
        <v>20</v>
      </c>
      <c r="D400" s="10" t="s">
        <v>31</v>
      </c>
      <c r="E400" s="12">
        <v>1.7921650000000001E-2</v>
      </c>
      <c r="F400" s="13">
        <v>422.25</v>
      </c>
      <c r="G400" s="13">
        <v>7.56</v>
      </c>
    </row>
    <row r="401" spans="1:7" ht="15" customHeight="1" x14ac:dyDescent="0.35">
      <c r="A401" s="10" t="s">
        <v>840</v>
      </c>
      <c r="B401" s="11" t="s">
        <v>841</v>
      </c>
      <c r="C401" s="10" t="s">
        <v>20</v>
      </c>
      <c r="D401" s="10" t="s">
        <v>56</v>
      </c>
      <c r="E401" s="12">
        <v>0.48876499000000001</v>
      </c>
      <c r="F401" s="13">
        <v>11.14</v>
      </c>
      <c r="G401" s="13">
        <v>5.44</v>
      </c>
    </row>
    <row r="402" spans="1:7" ht="20.149999999999999" customHeight="1" x14ac:dyDescent="0.35">
      <c r="A402" s="10" t="s">
        <v>882</v>
      </c>
      <c r="B402" s="11" t="s">
        <v>883</v>
      </c>
      <c r="C402" s="10" t="s">
        <v>20</v>
      </c>
      <c r="D402" s="10" t="s">
        <v>21</v>
      </c>
      <c r="E402" s="12">
        <v>0.16926009</v>
      </c>
      <c r="F402" s="13">
        <v>140.57</v>
      </c>
      <c r="G402" s="13">
        <v>23.79</v>
      </c>
    </row>
    <row r="403" spans="1:7" ht="15" customHeight="1" x14ac:dyDescent="0.35">
      <c r="A403" s="8"/>
      <c r="B403" s="8"/>
      <c r="C403" s="8"/>
      <c r="D403" s="8"/>
      <c r="E403" s="60" t="s">
        <v>725</v>
      </c>
      <c r="F403" s="60"/>
      <c r="G403" s="14">
        <v>37.64</v>
      </c>
    </row>
    <row r="404" spans="1:7" ht="15" customHeight="1" x14ac:dyDescent="0.35">
      <c r="A404" s="8"/>
      <c r="B404" s="8"/>
      <c r="C404" s="8"/>
      <c r="D404" s="8"/>
      <c r="E404" s="61" t="s">
        <v>726</v>
      </c>
      <c r="F404" s="61"/>
      <c r="G404" s="4">
        <v>42.21</v>
      </c>
    </row>
    <row r="405" spans="1:7" ht="10" customHeight="1" x14ac:dyDescent="0.35">
      <c r="A405" s="8"/>
      <c r="B405" s="8"/>
      <c r="C405" s="57"/>
      <c r="D405" s="57"/>
      <c r="E405" s="8"/>
      <c r="F405" s="8"/>
      <c r="G405" s="8"/>
    </row>
    <row r="406" spans="1:7" ht="20.149999999999999" customHeight="1" x14ac:dyDescent="0.35">
      <c r="A406" s="58" t="s">
        <v>884</v>
      </c>
      <c r="B406" s="58"/>
      <c r="C406" s="58"/>
      <c r="D406" s="58"/>
      <c r="E406" s="58"/>
      <c r="F406" s="58"/>
      <c r="G406" s="58"/>
    </row>
    <row r="407" spans="1:7" ht="15" customHeight="1" x14ac:dyDescent="0.35">
      <c r="A407" s="59" t="s">
        <v>701</v>
      </c>
      <c r="B407" s="59"/>
      <c r="C407" s="9" t="s">
        <v>3</v>
      </c>
      <c r="D407" s="9" t="s">
        <v>4</v>
      </c>
      <c r="E407" s="9" t="s">
        <v>702</v>
      </c>
      <c r="F407" s="9" t="s">
        <v>703</v>
      </c>
      <c r="G407" s="9" t="s">
        <v>704</v>
      </c>
    </row>
    <row r="408" spans="1:7" ht="20.149999999999999" customHeight="1" x14ac:dyDescent="0.35">
      <c r="A408" s="10" t="s">
        <v>801</v>
      </c>
      <c r="B408" s="11" t="s">
        <v>802</v>
      </c>
      <c r="C408" s="10" t="s">
        <v>20</v>
      </c>
      <c r="D408" s="10" t="s">
        <v>777</v>
      </c>
      <c r="E408" s="12">
        <v>5.0063199999999999E-3</v>
      </c>
      <c r="F408" s="13">
        <v>8.5</v>
      </c>
      <c r="G408" s="13">
        <v>0.04</v>
      </c>
    </row>
    <row r="409" spans="1:7" ht="29.15" customHeight="1" x14ac:dyDescent="0.35">
      <c r="A409" s="10" t="s">
        <v>834</v>
      </c>
      <c r="B409" s="11" t="s">
        <v>835</v>
      </c>
      <c r="C409" s="10" t="s">
        <v>20</v>
      </c>
      <c r="D409" s="10" t="s">
        <v>160</v>
      </c>
      <c r="E409" s="12">
        <v>6</v>
      </c>
      <c r="F409" s="13">
        <v>0.22</v>
      </c>
      <c r="G409" s="13">
        <v>1.32</v>
      </c>
    </row>
    <row r="410" spans="1:7" ht="15" customHeight="1" x14ac:dyDescent="0.35">
      <c r="A410" s="8"/>
      <c r="B410" s="8"/>
      <c r="C410" s="8"/>
      <c r="D410" s="8"/>
      <c r="E410" s="60" t="s">
        <v>714</v>
      </c>
      <c r="F410" s="60"/>
      <c r="G410" s="14">
        <v>1.36</v>
      </c>
    </row>
    <row r="411" spans="1:7" ht="15" customHeight="1" x14ac:dyDescent="0.35">
      <c r="A411" s="59" t="s">
        <v>715</v>
      </c>
      <c r="B411" s="59"/>
      <c r="C411" s="9" t="s">
        <v>3</v>
      </c>
      <c r="D411" s="9" t="s">
        <v>4</v>
      </c>
      <c r="E411" s="9" t="s">
        <v>702</v>
      </c>
      <c r="F411" s="9" t="s">
        <v>703</v>
      </c>
      <c r="G411" s="9" t="s">
        <v>704</v>
      </c>
    </row>
    <row r="412" spans="1:7" ht="15" customHeight="1" x14ac:dyDescent="0.35">
      <c r="A412" s="10" t="s">
        <v>794</v>
      </c>
      <c r="B412" s="11" t="s">
        <v>795</v>
      </c>
      <c r="C412" s="10" t="s">
        <v>20</v>
      </c>
      <c r="D412" s="10" t="s">
        <v>718</v>
      </c>
      <c r="E412" s="12">
        <v>9.3524060000000006E-2</v>
      </c>
      <c r="F412" s="13">
        <v>19.57</v>
      </c>
      <c r="G412" s="13">
        <v>1.83</v>
      </c>
    </row>
    <row r="413" spans="1:7" ht="15" customHeight="1" x14ac:dyDescent="0.35">
      <c r="A413" s="10" t="s">
        <v>719</v>
      </c>
      <c r="B413" s="11" t="s">
        <v>720</v>
      </c>
      <c r="C413" s="10" t="s">
        <v>20</v>
      </c>
      <c r="D413" s="10" t="s">
        <v>718</v>
      </c>
      <c r="E413" s="12">
        <v>0.10645824</v>
      </c>
      <c r="F413" s="13">
        <v>15.53</v>
      </c>
      <c r="G413" s="13">
        <v>1.65</v>
      </c>
    </row>
    <row r="414" spans="1:7" ht="18" customHeight="1" x14ac:dyDescent="0.35">
      <c r="A414" s="8"/>
      <c r="B414" s="8"/>
      <c r="C414" s="8"/>
      <c r="D414" s="8"/>
      <c r="E414" s="60" t="s">
        <v>721</v>
      </c>
      <c r="F414" s="60"/>
      <c r="G414" s="14">
        <v>3.48</v>
      </c>
    </row>
    <row r="415" spans="1:7" ht="15" customHeight="1" x14ac:dyDescent="0.35">
      <c r="A415" s="59" t="s">
        <v>722</v>
      </c>
      <c r="B415" s="59"/>
      <c r="C415" s="9" t="s">
        <v>3</v>
      </c>
      <c r="D415" s="9" t="s">
        <v>4</v>
      </c>
      <c r="E415" s="9" t="s">
        <v>702</v>
      </c>
      <c r="F415" s="9" t="s">
        <v>703</v>
      </c>
      <c r="G415" s="9" t="s">
        <v>704</v>
      </c>
    </row>
    <row r="416" spans="1:7" ht="37" customHeight="1" x14ac:dyDescent="0.35">
      <c r="A416" s="10" t="s">
        <v>878</v>
      </c>
      <c r="B416" s="11" t="s">
        <v>879</v>
      </c>
      <c r="C416" s="10" t="s">
        <v>20</v>
      </c>
      <c r="D416" s="10" t="s">
        <v>31</v>
      </c>
      <c r="E416" s="12">
        <v>1.8903699999999999E-3</v>
      </c>
      <c r="F416" s="13">
        <v>449.72</v>
      </c>
      <c r="G416" s="13">
        <v>0.85</v>
      </c>
    </row>
    <row r="417" spans="1:7" ht="29.15" customHeight="1" x14ac:dyDescent="0.35">
      <c r="A417" s="10" t="s">
        <v>880</v>
      </c>
      <c r="B417" s="11" t="s">
        <v>881</v>
      </c>
      <c r="C417" s="10" t="s">
        <v>20</v>
      </c>
      <c r="D417" s="10" t="s">
        <v>31</v>
      </c>
      <c r="E417" s="12">
        <v>1.193923E-2</v>
      </c>
      <c r="F417" s="13">
        <v>422.25</v>
      </c>
      <c r="G417" s="13">
        <v>5.04</v>
      </c>
    </row>
    <row r="418" spans="1:7" ht="15" customHeight="1" x14ac:dyDescent="0.35">
      <c r="A418" s="10" t="s">
        <v>852</v>
      </c>
      <c r="B418" s="11" t="s">
        <v>853</v>
      </c>
      <c r="C418" s="10" t="s">
        <v>20</v>
      </c>
      <c r="D418" s="10" t="s">
        <v>56</v>
      </c>
      <c r="E418" s="12">
        <v>0.30550249000000002</v>
      </c>
      <c r="F418" s="13">
        <v>10.66</v>
      </c>
      <c r="G418" s="13">
        <v>3.25</v>
      </c>
    </row>
    <row r="419" spans="1:7" ht="20.149999999999999" customHeight="1" x14ac:dyDescent="0.35">
      <c r="A419" s="10" t="s">
        <v>882</v>
      </c>
      <c r="B419" s="11" t="s">
        <v>883</v>
      </c>
      <c r="C419" s="10" t="s">
        <v>20</v>
      </c>
      <c r="D419" s="10" t="s">
        <v>21</v>
      </c>
      <c r="E419" s="12">
        <v>0.1213823</v>
      </c>
      <c r="F419" s="13">
        <v>140.57</v>
      </c>
      <c r="G419" s="13">
        <v>17.059999999999999</v>
      </c>
    </row>
    <row r="420" spans="1:7" ht="15" customHeight="1" x14ac:dyDescent="0.35">
      <c r="A420" s="8"/>
      <c r="B420" s="8"/>
      <c r="C420" s="8"/>
      <c r="D420" s="8"/>
      <c r="E420" s="60" t="s">
        <v>725</v>
      </c>
      <c r="F420" s="60"/>
      <c r="G420" s="14">
        <v>26.2</v>
      </c>
    </row>
    <row r="421" spans="1:7" ht="15" customHeight="1" x14ac:dyDescent="0.35">
      <c r="A421" s="8"/>
      <c r="B421" s="8"/>
      <c r="C421" s="8"/>
      <c r="D421" s="8"/>
      <c r="E421" s="61" t="s">
        <v>726</v>
      </c>
      <c r="F421" s="61"/>
      <c r="G421" s="4">
        <v>31.04</v>
      </c>
    </row>
    <row r="422" spans="1:7" ht="10" customHeight="1" x14ac:dyDescent="0.35">
      <c r="A422" s="8"/>
      <c r="B422" s="8"/>
      <c r="C422" s="57"/>
      <c r="D422" s="57"/>
      <c r="E422" s="8"/>
      <c r="F422" s="8"/>
      <c r="G422" s="8"/>
    </row>
    <row r="423" spans="1:7" ht="20.149999999999999" customHeight="1" x14ac:dyDescent="0.35">
      <c r="A423" s="58" t="s">
        <v>885</v>
      </c>
      <c r="B423" s="58"/>
      <c r="C423" s="58"/>
      <c r="D423" s="58"/>
      <c r="E423" s="58"/>
      <c r="F423" s="58"/>
      <c r="G423" s="58"/>
    </row>
    <row r="424" spans="1:7" ht="15" customHeight="1" x14ac:dyDescent="0.35">
      <c r="A424" s="59" t="s">
        <v>701</v>
      </c>
      <c r="B424" s="59"/>
      <c r="C424" s="9" t="s">
        <v>3</v>
      </c>
      <c r="D424" s="9" t="s">
        <v>4</v>
      </c>
      <c r="E424" s="9" t="s">
        <v>702</v>
      </c>
      <c r="F424" s="9" t="s">
        <v>703</v>
      </c>
      <c r="G424" s="9" t="s">
        <v>704</v>
      </c>
    </row>
    <row r="425" spans="1:7" ht="20.149999999999999" customHeight="1" x14ac:dyDescent="0.35">
      <c r="A425" s="10" t="s">
        <v>801</v>
      </c>
      <c r="B425" s="11" t="s">
        <v>802</v>
      </c>
      <c r="C425" s="10" t="s">
        <v>20</v>
      </c>
      <c r="D425" s="10" t="s">
        <v>777</v>
      </c>
      <c r="E425" s="12">
        <v>6.0071100000000004E-3</v>
      </c>
      <c r="F425" s="13">
        <v>8.5</v>
      </c>
      <c r="G425" s="13">
        <v>0.05</v>
      </c>
    </row>
    <row r="426" spans="1:7" ht="29.15" customHeight="1" x14ac:dyDescent="0.35">
      <c r="A426" s="10" t="s">
        <v>834</v>
      </c>
      <c r="B426" s="11" t="s">
        <v>835</v>
      </c>
      <c r="C426" s="10" t="s">
        <v>20</v>
      </c>
      <c r="D426" s="10" t="s">
        <v>160</v>
      </c>
      <c r="E426" s="12">
        <v>6</v>
      </c>
      <c r="F426" s="13">
        <v>0.22</v>
      </c>
      <c r="G426" s="13">
        <v>1.32</v>
      </c>
    </row>
    <row r="427" spans="1:7" ht="15" customHeight="1" x14ac:dyDescent="0.35">
      <c r="A427" s="8"/>
      <c r="B427" s="8"/>
      <c r="C427" s="8"/>
      <c r="D427" s="8"/>
      <c r="E427" s="60" t="s">
        <v>714</v>
      </c>
      <c r="F427" s="60"/>
      <c r="G427" s="14">
        <v>1.37</v>
      </c>
    </row>
    <row r="428" spans="1:7" ht="15" customHeight="1" x14ac:dyDescent="0.35">
      <c r="A428" s="59" t="s">
        <v>715</v>
      </c>
      <c r="B428" s="59"/>
      <c r="C428" s="9" t="s">
        <v>3</v>
      </c>
      <c r="D428" s="9" t="s">
        <v>4</v>
      </c>
      <c r="E428" s="9" t="s">
        <v>702</v>
      </c>
      <c r="F428" s="9" t="s">
        <v>703</v>
      </c>
      <c r="G428" s="9" t="s">
        <v>704</v>
      </c>
    </row>
    <row r="429" spans="1:7" ht="15" customHeight="1" x14ac:dyDescent="0.35">
      <c r="A429" s="10" t="s">
        <v>794</v>
      </c>
      <c r="B429" s="11" t="s">
        <v>795</v>
      </c>
      <c r="C429" s="10" t="s">
        <v>20</v>
      </c>
      <c r="D429" s="10" t="s">
        <v>718</v>
      </c>
      <c r="E429" s="12">
        <v>8.364328E-2</v>
      </c>
      <c r="F429" s="13">
        <v>19.57</v>
      </c>
      <c r="G429" s="13">
        <v>1.63</v>
      </c>
    </row>
    <row r="430" spans="1:7" ht="15" customHeight="1" x14ac:dyDescent="0.35">
      <c r="A430" s="10" t="s">
        <v>719</v>
      </c>
      <c r="B430" s="11" t="s">
        <v>720</v>
      </c>
      <c r="C430" s="10" t="s">
        <v>20</v>
      </c>
      <c r="D430" s="10" t="s">
        <v>718</v>
      </c>
      <c r="E430" s="12">
        <v>0.10156684000000001</v>
      </c>
      <c r="F430" s="13">
        <v>15.53</v>
      </c>
      <c r="G430" s="13">
        <v>1.57</v>
      </c>
    </row>
    <row r="431" spans="1:7" ht="18" customHeight="1" x14ac:dyDescent="0.35">
      <c r="A431" s="8"/>
      <c r="B431" s="8"/>
      <c r="C431" s="8"/>
      <c r="D431" s="8"/>
      <c r="E431" s="60" t="s">
        <v>721</v>
      </c>
      <c r="F431" s="60"/>
      <c r="G431" s="14">
        <v>3.2</v>
      </c>
    </row>
    <row r="432" spans="1:7" ht="15" customHeight="1" x14ac:dyDescent="0.35">
      <c r="A432" s="59" t="s">
        <v>722</v>
      </c>
      <c r="B432" s="59"/>
      <c r="C432" s="9" t="s">
        <v>3</v>
      </c>
      <c r="D432" s="9" t="s">
        <v>4</v>
      </c>
      <c r="E432" s="9" t="s">
        <v>702</v>
      </c>
      <c r="F432" s="9" t="s">
        <v>703</v>
      </c>
      <c r="G432" s="9" t="s">
        <v>704</v>
      </c>
    </row>
    <row r="433" spans="1:7" ht="37" customHeight="1" x14ac:dyDescent="0.35">
      <c r="A433" s="10" t="s">
        <v>878</v>
      </c>
      <c r="B433" s="11" t="s">
        <v>879</v>
      </c>
      <c r="C433" s="10" t="s">
        <v>20</v>
      </c>
      <c r="D433" s="10" t="s">
        <v>31</v>
      </c>
      <c r="E433" s="12">
        <v>1.8919200000000001E-3</v>
      </c>
      <c r="F433" s="13">
        <v>449.72</v>
      </c>
      <c r="G433" s="13">
        <v>0.85</v>
      </c>
    </row>
    <row r="434" spans="1:7" ht="29.15" customHeight="1" x14ac:dyDescent="0.35">
      <c r="A434" s="10" t="s">
        <v>880</v>
      </c>
      <c r="B434" s="11" t="s">
        <v>881</v>
      </c>
      <c r="C434" s="10" t="s">
        <v>20</v>
      </c>
      <c r="D434" s="10" t="s">
        <v>31</v>
      </c>
      <c r="E434" s="12">
        <v>1.792355E-2</v>
      </c>
      <c r="F434" s="13">
        <v>422.25</v>
      </c>
      <c r="G434" s="13">
        <v>7.56</v>
      </c>
    </row>
    <row r="435" spans="1:7" ht="15" customHeight="1" x14ac:dyDescent="0.35">
      <c r="A435" s="10" t="s">
        <v>840</v>
      </c>
      <c r="B435" s="11" t="s">
        <v>841</v>
      </c>
      <c r="C435" s="10" t="s">
        <v>20</v>
      </c>
      <c r="D435" s="10" t="s">
        <v>56</v>
      </c>
      <c r="E435" s="12">
        <v>0.48881686000000002</v>
      </c>
      <c r="F435" s="13">
        <v>11.14</v>
      </c>
      <c r="G435" s="13">
        <v>5.44</v>
      </c>
    </row>
    <row r="436" spans="1:7" ht="20.149999999999999" customHeight="1" x14ac:dyDescent="0.35">
      <c r="A436" s="10" t="s">
        <v>882</v>
      </c>
      <c r="B436" s="11" t="s">
        <v>883</v>
      </c>
      <c r="C436" s="10" t="s">
        <v>20</v>
      </c>
      <c r="D436" s="10" t="s">
        <v>21</v>
      </c>
      <c r="E436" s="12">
        <v>0.16330355999999999</v>
      </c>
      <c r="F436" s="13">
        <v>140.57</v>
      </c>
      <c r="G436" s="13">
        <v>22.95</v>
      </c>
    </row>
    <row r="437" spans="1:7" ht="15" customHeight="1" x14ac:dyDescent="0.35">
      <c r="A437" s="8"/>
      <c r="B437" s="8"/>
      <c r="C437" s="8"/>
      <c r="D437" s="8"/>
      <c r="E437" s="60" t="s">
        <v>725</v>
      </c>
      <c r="F437" s="60"/>
      <c r="G437" s="14">
        <v>36.799999999999997</v>
      </c>
    </row>
    <row r="438" spans="1:7" ht="15" customHeight="1" x14ac:dyDescent="0.35">
      <c r="A438" s="8"/>
      <c r="B438" s="8"/>
      <c r="C438" s="8"/>
      <c r="D438" s="8"/>
      <c r="E438" s="61" t="s">
        <v>726</v>
      </c>
      <c r="F438" s="61"/>
      <c r="G438" s="4">
        <v>41.37</v>
      </c>
    </row>
    <row r="439" spans="1:7" ht="10" customHeight="1" x14ac:dyDescent="0.35">
      <c r="A439" s="8"/>
      <c r="B439" s="8"/>
      <c r="C439" s="57"/>
      <c r="D439" s="57"/>
      <c r="E439" s="8"/>
      <c r="F439" s="8"/>
      <c r="G439" s="8"/>
    </row>
    <row r="440" spans="1:7" ht="20.149999999999999" customHeight="1" x14ac:dyDescent="0.35">
      <c r="A440" s="58" t="s">
        <v>886</v>
      </c>
      <c r="B440" s="58"/>
      <c r="C440" s="58"/>
      <c r="D440" s="58"/>
      <c r="E440" s="58"/>
      <c r="F440" s="58"/>
      <c r="G440" s="58"/>
    </row>
    <row r="441" spans="1:7" ht="15" customHeight="1" x14ac:dyDescent="0.35">
      <c r="A441" s="59" t="s">
        <v>701</v>
      </c>
      <c r="B441" s="59"/>
      <c r="C441" s="9" t="s">
        <v>3</v>
      </c>
      <c r="D441" s="9" t="s">
        <v>4</v>
      </c>
      <c r="E441" s="9" t="s">
        <v>702</v>
      </c>
      <c r="F441" s="9" t="s">
        <v>703</v>
      </c>
      <c r="G441" s="9" t="s">
        <v>704</v>
      </c>
    </row>
    <row r="442" spans="1:7" ht="29.15" customHeight="1" x14ac:dyDescent="0.35">
      <c r="A442" s="10" t="s">
        <v>887</v>
      </c>
      <c r="B442" s="11" t="s">
        <v>888</v>
      </c>
      <c r="C442" s="10" t="s">
        <v>20</v>
      </c>
      <c r="D442" s="10" t="s">
        <v>21</v>
      </c>
      <c r="E442" s="12">
        <v>1.0086800899999999</v>
      </c>
      <c r="F442" s="13">
        <v>46.06</v>
      </c>
      <c r="G442" s="13">
        <v>46.45</v>
      </c>
    </row>
    <row r="443" spans="1:7" ht="15" customHeight="1" x14ac:dyDescent="0.35">
      <c r="A443" s="10" t="s">
        <v>809</v>
      </c>
      <c r="B443" s="11" t="s">
        <v>810</v>
      </c>
      <c r="C443" s="10" t="s">
        <v>20</v>
      </c>
      <c r="D443" s="10" t="s">
        <v>56</v>
      </c>
      <c r="E443" s="12">
        <v>4.03472E-2</v>
      </c>
      <c r="F443" s="13">
        <v>30.76</v>
      </c>
      <c r="G443" s="13">
        <v>1.24</v>
      </c>
    </row>
    <row r="444" spans="1:7" ht="20.149999999999999" customHeight="1" x14ac:dyDescent="0.35">
      <c r="A444" s="10" t="s">
        <v>889</v>
      </c>
      <c r="B444" s="11" t="s">
        <v>890</v>
      </c>
      <c r="C444" s="10" t="s">
        <v>20</v>
      </c>
      <c r="D444" s="10" t="s">
        <v>25</v>
      </c>
      <c r="E444" s="12">
        <v>1.88623176</v>
      </c>
      <c r="F444" s="13">
        <v>14.53</v>
      </c>
      <c r="G444" s="13">
        <v>27.4</v>
      </c>
    </row>
    <row r="445" spans="1:7" ht="15" customHeight="1" x14ac:dyDescent="0.35">
      <c r="A445" s="8"/>
      <c r="B445" s="8"/>
      <c r="C445" s="8"/>
      <c r="D445" s="8"/>
      <c r="E445" s="60" t="s">
        <v>714</v>
      </c>
      <c r="F445" s="60"/>
      <c r="G445" s="14">
        <v>75.09</v>
      </c>
    </row>
    <row r="446" spans="1:7" ht="15" customHeight="1" x14ac:dyDescent="0.35">
      <c r="A446" s="59" t="s">
        <v>715</v>
      </c>
      <c r="B446" s="59"/>
      <c r="C446" s="9" t="s">
        <v>3</v>
      </c>
      <c r="D446" s="9" t="s">
        <v>4</v>
      </c>
      <c r="E446" s="9" t="s">
        <v>702</v>
      </c>
      <c r="F446" s="9" t="s">
        <v>703</v>
      </c>
      <c r="G446" s="9" t="s">
        <v>704</v>
      </c>
    </row>
    <row r="447" spans="1:7" ht="15" customHeight="1" x14ac:dyDescent="0.35">
      <c r="A447" s="10" t="s">
        <v>716</v>
      </c>
      <c r="B447" s="11" t="s">
        <v>717</v>
      </c>
      <c r="C447" s="10" t="s">
        <v>20</v>
      </c>
      <c r="D447" s="10" t="s">
        <v>718</v>
      </c>
      <c r="E447" s="12">
        <v>0.50196269000000004</v>
      </c>
      <c r="F447" s="13">
        <v>19.34</v>
      </c>
      <c r="G447" s="13">
        <v>9.6999999999999993</v>
      </c>
    </row>
    <row r="448" spans="1:7" ht="15" customHeight="1" x14ac:dyDescent="0.35">
      <c r="A448" s="10" t="s">
        <v>719</v>
      </c>
      <c r="B448" s="11" t="s">
        <v>720</v>
      </c>
      <c r="C448" s="10" t="s">
        <v>20</v>
      </c>
      <c r="D448" s="10" t="s">
        <v>718</v>
      </c>
      <c r="E448" s="12">
        <v>0.35468022999999999</v>
      </c>
      <c r="F448" s="13">
        <v>15.53</v>
      </c>
      <c r="G448" s="13">
        <v>5.5</v>
      </c>
    </row>
    <row r="449" spans="1:7" ht="18" customHeight="1" x14ac:dyDescent="0.35">
      <c r="A449" s="8"/>
      <c r="B449" s="8"/>
      <c r="C449" s="8"/>
      <c r="D449" s="8"/>
      <c r="E449" s="60" t="s">
        <v>721</v>
      </c>
      <c r="F449" s="60"/>
      <c r="G449" s="14">
        <v>15.2</v>
      </c>
    </row>
    <row r="450" spans="1:7" ht="15" customHeight="1" x14ac:dyDescent="0.35">
      <c r="A450" s="59" t="s">
        <v>722</v>
      </c>
      <c r="B450" s="59"/>
      <c r="C450" s="9" t="s">
        <v>3</v>
      </c>
      <c r="D450" s="9" t="s">
        <v>4</v>
      </c>
      <c r="E450" s="9" t="s">
        <v>702</v>
      </c>
      <c r="F450" s="9" t="s">
        <v>703</v>
      </c>
      <c r="G450" s="9" t="s">
        <v>704</v>
      </c>
    </row>
    <row r="451" spans="1:7" ht="29.15" customHeight="1" x14ac:dyDescent="0.35">
      <c r="A451" s="10" t="s">
        <v>891</v>
      </c>
      <c r="B451" s="11" t="s">
        <v>892</v>
      </c>
      <c r="C451" s="10" t="s">
        <v>20</v>
      </c>
      <c r="D451" s="10" t="s">
        <v>56</v>
      </c>
      <c r="E451" s="12">
        <v>0.99356736999999995</v>
      </c>
      <c r="F451" s="13">
        <v>15.08</v>
      </c>
      <c r="G451" s="13">
        <v>14.98</v>
      </c>
    </row>
    <row r="452" spans="1:7" ht="29.15" customHeight="1" x14ac:dyDescent="0.35">
      <c r="A452" s="10" t="s">
        <v>893</v>
      </c>
      <c r="B452" s="11" t="s">
        <v>894</v>
      </c>
      <c r="C452" s="10" t="s">
        <v>20</v>
      </c>
      <c r="D452" s="10" t="s">
        <v>31</v>
      </c>
      <c r="E452" s="12">
        <v>4.4084539999999998E-2</v>
      </c>
      <c r="F452" s="13">
        <v>537.96</v>
      </c>
      <c r="G452" s="13">
        <v>23.71</v>
      </c>
    </row>
    <row r="453" spans="1:7" ht="20.149999999999999" customHeight="1" x14ac:dyDescent="0.35">
      <c r="A453" s="10" t="s">
        <v>895</v>
      </c>
      <c r="B453" s="11" t="s">
        <v>896</v>
      </c>
      <c r="C453" s="10" t="s">
        <v>20</v>
      </c>
      <c r="D453" s="10" t="s">
        <v>25</v>
      </c>
      <c r="E453" s="12">
        <v>0.97234489999999996</v>
      </c>
      <c r="F453" s="13">
        <v>20.79</v>
      </c>
      <c r="G453" s="13">
        <v>20.21</v>
      </c>
    </row>
    <row r="454" spans="1:7" ht="15" customHeight="1" x14ac:dyDescent="0.35">
      <c r="A454" s="8"/>
      <c r="B454" s="8"/>
      <c r="C454" s="8"/>
      <c r="D454" s="8"/>
      <c r="E454" s="60" t="s">
        <v>725</v>
      </c>
      <c r="F454" s="60"/>
      <c r="G454" s="14">
        <v>58.9</v>
      </c>
    </row>
    <row r="455" spans="1:7" ht="15" customHeight="1" x14ac:dyDescent="0.35">
      <c r="A455" s="8"/>
      <c r="B455" s="8"/>
      <c r="C455" s="8"/>
      <c r="D455" s="8"/>
      <c r="E455" s="61" t="s">
        <v>726</v>
      </c>
      <c r="F455" s="61"/>
      <c r="G455" s="4">
        <v>149.19</v>
      </c>
    </row>
    <row r="456" spans="1:7" ht="10" customHeight="1" x14ac:dyDescent="0.35">
      <c r="A456" s="8"/>
      <c r="B456" s="8"/>
      <c r="C456" s="57"/>
      <c r="D456" s="57"/>
      <c r="E456" s="8"/>
      <c r="F456" s="8"/>
      <c r="G456" s="8"/>
    </row>
    <row r="457" spans="1:7" ht="20.149999999999999" customHeight="1" x14ac:dyDescent="0.35">
      <c r="A457" s="58" t="s">
        <v>897</v>
      </c>
      <c r="B457" s="58"/>
      <c r="C457" s="58"/>
      <c r="D457" s="58"/>
      <c r="E457" s="58"/>
      <c r="F457" s="58"/>
      <c r="G457" s="58"/>
    </row>
    <row r="458" spans="1:7" ht="15" customHeight="1" x14ac:dyDescent="0.35">
      <c r="A458" s="59" t="s">
        <v>701</v>
      </c>
      <c r="B458" s="59"/>
      <c r="C458" s="9" t="s">
        <v>3</v>
      </c>
      <c r="D458" s="9" t="s">
        <v>4</v>
      </c>
      <c r="E458" s="9" t="s">
        <v>702</v>
      </c>
      <c r="F458" s="9" t="s">
        <v>703</v>
      </c>
      <c r="G458" s="9" t="s">
        <v>704</v>
      </c>
    </row>
    <row r="459" spans="1:7" ht="20.149999999999999" customHeight="1" x14ac:dyDescent="0.35">
      <c r="A459" s="10" t="s">
        <v>898</v>
      </c>
      <c r="B459" s="11" t="s">
        <v>899</v>
      </c>
      <c r="C459" s="10" t="s">
        <v>20</v>
      </c>
      <c r="D459" s="10" t="s">
        <v>160</v>
      </c>
      <c r="E459" s="12">
        <v>3.9514908800000001</v>
      </c>
      <c r="F459" s="13">
        <v>30.81</v>
      </c>
      <c r="G459" s="13">
        <v>121.74</v>
      </c>
    </row>
    <row r="460" spans="1:7" ht="15" customHeight="1" x14ac:dyDescent="0.35">
      <c r="A460" s="8"/>
      <c r="B460" s="8"/>
      <c r="C460" s="8"/>
      <c r="D460" s="8"/>
      <c r="E460" s="60" t="s">
        <v>714</v>
      </c>
      <c r="F460" s="60"/>
      <c r="G460" s="14">
        <v>121.74</v>
      </c>
    </row>
    <row r="461" spans="1:7" ht="15" customHeight="1" x14ac:dyDescent="0.35">
      <c r="A461" s="59" t="s">
        <v>715</v>
      </c>
      <c r="B461" s="59"/>
      <c r="C461" s="9" t="s">
        <v>3</v>
      </c>
      <c r="D461" s="9" t="s">
        <v>4</v>
      </c>
      <c r="E461" s="9" t="s">
        <v>702</v>
      </c>
      <c r="F461" s="9" t="s">
        <v>703</v>
      </c>
      <c r="G461" s="9" t="s">
        <v>704</v>
      </c>
    </row>
    <row r="462" spans="1:7" ht="15" customHeight="1" x14ac:dyDescent="0.35">
      <c r="A462" s="10" t="s">
        <v>794</v>
      </c>
      <c r="B462" s="11" t="s">
        <v>795</v>
      </c>
      <c r="C462" s="10" t="s">
        <v>20</v>
      </c>
      <c r="D462" s="10" t="s">
        <v>718</v>
      </c>
      <c r="E462" s="12">
        <v>2.0170198699999999</v>
      </c>
      <c r="F462" s="13">
        <v>19.57</v>
      </c>
      <c r="G462" s="13">
        <v>39.47</v>
      </c>
    </row>
    <row r="463" spans="1:7" ht="15" customHeight="1" x14ac:dyDescent="0.35">
      <c r="A463" s="10" t="s">
        <v>719</v>
      </c>
      <c r="B463" s="11" t="s">
        <v>720</v>
      </c>
      <c r="C463" s="10" t="s">
        <v>20</v>
      </c>
      <c r="D463" s="10" t="s">
        <v>718</v>
      </c>
      <c r="E463" s="12">
        <v>1.00938898</v>
      </c>
      <c r="F463" s="13">
        <v>15.53</v>
      </c>
      <c r="G463" s="13">
        <v>15.67</v>
      </c>
    </row>
    <row r="464" spans="1:7" ht="18" customHeight="1" x14ac:dyDescent="0.35">
      <c r="A464" s="8"/>
      <c r="B464" s="8"/>
      <c r="C464" s="8"/>
      <c r="D464" s="8"/>
      <c r="E464" s="60" t="s">
        <v>721</v>
      </c>
      <c r="F464" s="60"/>
      <c r="G464" s="14">
        <v>55.14</v>
      </c>
    </row>
    <row r="465" spans="1:7" ht="15" customHeight="1" x14ac:dyDescent="0.35">
      <c r="A465" s="59" t="s">
        <v>722</v>
      </c>
      <c r="B465" s="59"/>
      <c r="C465" s="9" t="s">
        <v>3</v>
      </c>
      <c r="D465" s="9" t="s">
        <v>4</v>
      </c>
      <c r="E465" s="9" t="s">
        <v>702</v>
      </c>
      <c r="F465" s="9" t="s">
        <v>703</v>
      </c>
      <c r="G465" s="9" t="s">
        <v>704</v>
      </c>
    </row>
    <row r="466" spans="1:7" ht="20.149999999999999" customHeight="1" x14ac:dyDescent="0.35">
      <c r="A466" s="10" t="s">
        <v>900</v>
      </c>
      <c r="B466" s="11" t="s">
        <v>901</v>
      </c>
      <c r="C466" s="10" t="s">
        <v>20</v>
      </c>
      <c r="D466" s="10" t="s">
        <v>31</v>
      </c>
      <c r="E466" s="12">
        <v>9.8325099999999992E-3</v>
      </c>
      <c r="F466" s="13">
        <v>504.36</v>
      </c>
      <c r="G466" s="13">
        <v>4.95</v>
      </c>
    </row>
    <row r="467" spans="1:7" ht="15" customHeight="1" x14ac:dyDescent="0.35">
      <c r="A467" s="8"/>
      <c r="B467" s="8"/>
      <c r="C467" s="8"/>
      <c r="D467" s="8"/>
      <c r="E467" s="60" t="s">
        <v>725</v>
      </c>
      <c r="F467" s="60"/>
      <c r="G467" s="14">
        <v>4.95</v>
      </c>
    </row>
    <row r="468" spans="1:7" ht="15" customHeight="1" x14ac:dyDescent="0.35">
      <c r="A468" s="8"/>
      <c r="B468" s="8"/>
      <c r="C468" s="8"/>
      <c r="D468" s="8"/>
      <c r="E468" s="61" t="s">
        <v>726</v>
      </c>
      <c r="F468" s="61"/>
      <c r="G468" s="4">
        <v>181.83</v>
      </c>
    </row>
    <row r="469" spans="1:7" ht="10" customHeight="1" x14ac:dyDescent="0.35">
      <c r="A469" s="8"/>
      <c r="B469" s="8"/>
      <c r="C469" s="57"/>
      <c r="D469" s="57"/>
      <c r="E469" s="8"/>
      <c r="F469" s="8"/>
      <c r="G469" s="8"/>
    </row>
    <row r="470" spans="1:7" ht="20.149999999999999" customHeight="1" x14ac:dyDescent="0.35">
      <c r="A470" s="58" t="s">
        <v>902</v>
      </c>
      <c r="B470" s="58"/>
      <c r="C470" s="58"/>
      <c r="D470" s="58"/>
      <c r="E470" s="58"/>
      <c r="F470" s="58"/>
      <c r="G470" s="58"/>
    </row>
    <row r="471" spans="1:7" ht="15" customHeight="1" x14ac:dyDescent="0.35">
      <c r="A471" s="59" t="s">
        <v>701</v>
      </c>
      <c r="B471" s="59"/>
      <c r="C471" s="9" t="s">
        <v>3</v>
      </c>
      <c r="D471" s="9" t="s">
        <v>4</v>
      </c>
      <c r="E471" s="9" t="s">
        <v>702</v>
      </c>
      <c r="F471" s="9" t="s">
        <v>703</v>
      </c>
      <c r="G471" s="9" t="s">
        <v>704</v>
      </c>
    </row>
    <row r="472" spans="1:7" ht="20.149999999999999" customHeight="1" x14ac:dyDescent="0.35">
      <c r="A472" s="10" t="s">
        <v>903</v>
      </c>
      <c r="B472" s="11" t="s">
        <v>904</v>
      </c>
      <c r="C472" s="10" t="s">
        <v>20</v>
      </c>
      <c r="D472" s="10" t="s">
        <v>160</v>
      </c>
      <c r="E472" s="12">
        <v>28.579657839999999</v>
      </c>
      <c r="F472" s="13">
        <v>0.66</v>
      </c>
      <c r="G472" s="13">
        <v>18.86</v>
      </c>
    </row>
    <row r="473" spans="1:7" ht="15" customHeight="1" x14ac:dyDescent="0.35">
      <c r="A473" s="10" t="s">
        <v>905</v>
      </c>
      <c r="B473" s="11" t="s">
        <v>906</v>
      </c>
      <c r="C473" s="10" t="s">
        <v>20</v>
      </c>
      <c r="D473" s="10" t="s">
        <v>907</v>
      </c>
      <c r="E473" s="12">
        <v>5.0476200000000001E-3</v>
      </c>
      <c r="F473" s="13">
        <v>39.520000000000003</v>
      </c>
      <c r="G473" s="13">
        <v>0.19</v>
      </c>
    </row>
    <row r="474" spans="1:7" ht="20.149999999999999" customHeight="1" x14ac:dyDescent="0.35">
      <c r="A474" s="10" t="s">
        <v>908</v>
      </c>
      <c r="B474" s="11" t="s">
        <v>909</v>
      </c>
      <c r="C474" s="10" t="s">
        <v>20</v>
      </c>
      <c r="D474" s="10" t="s">
        <v>25</v>
      </c>
      <c r="E474" s="12">
        <v>0.42400057000000002</v>
      </c>
      <c r="F474" s="13">
        <v>2.2200000000000002</v>
      </c>
      <c r="G474" s="13">
        <v>0.94</v>
      </c>
    </row>
    <row r="475" spans="1:7" ht="15" customHeight="1" x14ac:dyDescent="0.35">
      <c r="A475" s="8"/>
      <c r="B475" s="8"/>
      <c r="C475" s="8"/>
      <c r="D475" s="8"/>
      <c r="E475" s="60" t="s">
        <v>714</v>
      </c>
      <c r="F475" s="60"/>
      <c r="G475" s="14">
        <v>19.989999999999998</v>
      </c>
    </row>
    <row r="476" spans="1:7" ht="15" customHeight="1" x14ac:dyDescent="0.35">
      <c r="A476" s="59" t="s">
        <v>715</v>
      </c>
      <c r="B476" s="59"/>
      <c r="C476" s="9" t="s">
        <v>3</v>
      </c>
      <c r="D476" s="9" t="s">
        <v>4</v>
      </c>
      <c r="E476" s="9" t="s">
        <v>702</v>
      </c>
      <c r="F476" s="9" t="s">
        <v>703</v>
      </c>
      <c r="G476" s="9" t="s">
        <v>704</v>
      </c>
    </row>
    <row r="477" spans="1:7" ht="15" customHeight="1" x14ac:dyDescent="0.35">
      <c r="A477" s="10" t="s">
        <v>794</v>
      </c>
      <c r="B477" s="11" t="s">
        <v>795</v>
      </c>
      <c r="C477" s="10" t="s">
        <v>20</v>
      </c>
      <c r="D477" s="10" t="s">
        <v>718</v>
      </c>
      <c r="E477" s="12">
        <v>1.59192256</v>
      </c>
      <c r="F477" s="13">
        <v>19.57</v>
      </c>
      <c r="G477" s="13">
        <v>31.15</v>
      </c>
    </row>
    <row r="478" spans="1:7" ht="15" customHeight="1" x14ac:dyDescent="0.35">
      <c r="A478" s="10" t="s">
        <v>719</v>
      </c>
      <c r="B478" s="11" t="s">
        <v>720</v>
      </c>
      <c r="C478" s="10" t="s">
        <v>20</v>
      </c>
      <c r="D478" s="10" t="s">
        <v>718</v>
      </c>
      <c r="E478" s="12">
        <v>0.79596127000000005</v>
      </c>
      <c r="F478" s="13">
        <v>15.53</v>
      </c>
      <c r="G478" s="13">
        <v>12.36</v>
      </c>
    </row>
    <row r="479" spans="1:7" ht="18" customHeight="1" x14ac:dyDescent="0.35">
      <c r="A479" s="8"/>
      <c r="B479" s="8"/>
      <c r="C479" s="8"/>
      <c r="D479" s="8"/>
      <c r="E479" s="60" t="s">
        <v>721</v>
      </c>
      <c r="F479" s="60"/>
      <c r="G479" s="14">
        <v>43.51</v>
      </c>
    </row>
    <row r="480" spans="1:7" ht="15" customHeight="1" x14ac:dyDescent="0.35">
      <c r="A480" s="59" t="s">
        <v>722</v>
      </c>
      <c r="B480" s="59"/>
      <c r="C480" s="9" t="s">
        <v>3</v>
      </c>
      <c r="D480" s="9" t="s">
        <v>4</v>
      </c>
      <c r="E480" s="9" t="s">
        <v>702</v>
      </c>
      <c r="F480" s="9" t="s">
        <v>703</v>
      </c>
      <c r="G480" s="9" t="s">
        <v>704</v>
      </c>
    </row>
    <row r="481" spans="1:7" ht="29.15" customHeight="1" x14ac:dyDescent="0.35">
      <c r="A481" s="10" t="s">
        <v>910</v>
      </c>
      <c r="B481" s="11" t="s">
        <v>911</v>
      </c>
      <c r="C481" s="10" t="s">
        <v>20</v>
      </c>
      <c r="D481" s="10" t="s">
        <v>31</v>
      </c>
      <c r="E481" s="12">
        <v>8.9978100000000002E-3</v>
      </c>
      <c r="F481" s="13">
        <v>561.58000000000004</v>
      </c>
      <c r="G481" s="13">
        <v>5.05</v>
      </c>
    </row>
    <row r="482" spans="1:7" ht="15" customHeight="1" x14ac:dyDescent="0.35">
      <c r="A482" s="8"/>
      <c r="B482" s="8"/>
      <c r="C482" s="8"/>
      <c r="D482" s="8"/>
      <c r="E482" s="60" t="s">
        <v>725</v>
      </c>
      <c r="F482" s="60"/>
      <c r="G482" s="14">
        <v>5.05</v>
      </c>
    </row>
    <row r="483" spans="1:7" ht="15" customHeight="1" x14ac:dyDescent="0.35">
      <c r="A483" s="8"/>
      <c r="B483" s="8"/>
      <c r="C483" s="8"/>
      <c r="D483" s="8"/>
      <c r="E483" s="61" t="s">
        <v>726</v>
      </c>
      <c r="F483" s="61"/>
      <c r="G483" s="4">
        <v>68.55</v>
      </c>
    </row>
    <row r="484" spans="1:7" ht="10" customHeight="1" x14ac:dyDescent="0.35">
      <c r="A484" s="8"/>
      <c r="B484" s="8"/>
      <c r="C484" s="57"/>
      <c r="D484" s="57"/>
      <c r="E484" s="8"/>
      <c r="F484" s="8"/>
      <c r="G484" s="8"/>
    </row>
    <row r="485" spans="1:7" ht="20.149999999999999" customHeight="1" x14ac:dyDescent="0.35">
      <c r="A485" s="58" t="s">
        <v>912</v>
      </c>
      <c r="B485" s="58"/>
      <c r="C485" s="58"/>
      <c r="D485" s="58"/>
      <c r="E485" s="58"/>
      <c r="F485" s="58"/>
      <c r="G485" s="58"/>
    </row>
    <row r="486" spans="1:7" ht="15" customHeight="1" x14ac:dyDescent="0.35">
      <c r="A486" s="59" t="s">
        <v>761</v>
      </c>
      <c r="B486" s="59"/>
      <c r="C486" s="9" t="s">
        <v>3</v>
      </c>
      <c r="D486" s="9" t="s">
        <v>4</v>
      </c>
      <c r="E486" s="9" t="s">
        <v>702</v>
      </c>
      <c r="F486" s="9" t="s">
        <v>703</v>
      </c>
      <c r="G486" s="9" t="s">
        <v>704</v>
      </c>
    </row>
    <row r="487" spans="1:7" ht="20.149999999999999" customHeight="1" x14ac:dyDescent="0.35">
      <c r="A487" s="10" t="s">
        <v>762</v>
      </c>
      <c r="B487" s="11" t="s">
        <v>763</v>
      </c>
      <c r="C487" s="10" t="s">
        <v>20</v>
      </c>
      <c r="D487" s="10" t="s">
        <v>764</v>
      </c>
      <c r="E487" s="12">
        <v>1.29220986</v>
      </c>
      <c r="F487" s="13">
        <v>18.55</v>
      </c>
      <c r="G487" s="13">
        <v>23.97</v>
      </c>
    </row>
    <row r="488" spans="1:7" ht="20.149999999999999" customHeight="1" x14ac:dyDescent="0.35">
      <c r="A488" s="10" t="s">
        <v>765</v>
      </c>
      <c r="B488" s="11" t="s">
        <v>766</v>
      </c>
      <c r="C488" s="10" t="s">
        <v>20</v>
      </c>
      <c r="D488" s="10" t="s">
        <v>767</v>
      </c>
      <c r="E488" s="12">
        <v>8.7391079999999996E-2</v>
      </c>
      <c r="F488" s="13">
        <v>19.54</v>
      </c>
      <c r="G488" s="13">
        <v>1.7</v>
      </c>
    </row>
    <row r="489" spans="1:7" ht="15" customHeight="1" x14ac:dyDescent="0.35">
      <c r="A489" s="8"/>
      <c r="B489" s="8"/>
      <c r="C489" s="8"/>
      <c r="D489" s="8"/>
      <c r="E489" s="60" t="s">
        <v>768</v>
      </c>
      <c r="F489" s="60"/>
      <c r="G489" s="14">
        <v>25.67</v>
      </c>
    </row>
    <row r="490" spans="1:7" ht="15" customHeight="1" x14ac:dyDescent="0.35">
      <c r="A490" s="59" t="s">
        <v>701</v>
      </c>
      <c r="B490" s="59"/>
      <c r="C490" s="9" t="s">
        <v>3</v>
      </c>
      <c r="D490" s="9" t="s">
        <v>4</v>
      </c>
      <c r="E490" s="9" t="s">
        <v>702</v>
      </c>
      <c r="F490" s="9" t="s">
        <v>703</v>
      </c>
      <c r="G490" s="9" t="s">
        <v>704</v>
      </c>
    </row>
    <row r="491" spans="1:7" ht="20.149999999999999" customHeight="1" x14ac:dyDescent="0.35">
      <c r="A491" s="10" t="s">
        <v>913</v>
      </c>
      <c r="B491" s="11" t="s">
        <v>914</v>
      </c>
      <c r="C491" s="10" t="s">
        <v>20</v>
      </c>
      <c r="D491" s="10" t="s">
        <v>56</v>
      </c>
      <c r="E491" s="12">
        <v>0.53104783</v>
      </c>
      <c r="F491" s="13">
        <v>56.03</v>
      </c>
      <c r="G491" s="13">
        <v>29.75</v>
      </c>
    </row>
    <row r="492" spans="1:7" ht="15" customHeight="1" x14ac:dyDescent="0.35">
      <c r="A492" s="10" t="s">
        <v>915</v>
      </c>
      <c r="B492" s="11" t="s">
        <v>916</v>
      </c>
      <c r="C492" s="10" t="s">
        <v>20</v>
      </c>
      <c r="D492" s="10" t="s">
        <v>56</v>
      </c>
      <c r="E492" s="12">
        <v>0.97191773000000004</v>
      </c>
      <c r="F492" s="13">
        <v>2.59</v>
      </c>
      <c r="G492" s="13">
        <v>2.5099999999999998</v>
      </c>
    </row>
    <row r="493" spans="1:7" ht="29.15" customHeight="1" x14ac:dyDescent="0.35">
      <c r="A493" s="10" t="s">
        <v>917</v>
      </c>
      <c r="B493" s="11" t="s">
        <v>918</v>
      </c>
      <c r="C493" s="10" t="s">
        <v>20</v>
      </c>
      <c r="D493" s="10" t="s">
        <v>21</v>
      </c>
      <c r="E493" s="12">
        <v>1.0520759</v>
      </c>
      <c r="F493" s="13">
        <v>442.66</v>
      </c>
      <c r="G493" s="13">
        <v>465.71</v>
      </c>
    </row>
    <row r="494" spans="1:7" ht="15" customHeight="1" x14ac:dyDescent="0.35">
      <c r="A494" s="8"/>
      <c r="B494" s="8"/>
      <c r="C494" s="8"/>
      <c r="D494" s="8"/>
      <c r="E494" s="60" t="s">
        <v>714</v>
      </c>
      <c r="F494" s="60"/>
      <c r="G494" s="14">
        <v>497.97</v>
      </c>
    </row>
    <row r="495" spans="1:7" ht="15" customHeight="1" x14ac:dyDescent="0.35">
      <c r="A495" s="59" t="s">
        <v>715</v>
      </c>
      <c r="B495" s="59"/>
      <c r="C495" s="9" t="s">
        <v>3</v>
      </c>
      <c r="D495" s="9" t="s">
        <v>4</v>
      </c>
      <c r="E495" s="9" t="s">
        <v>702</v>
      </c>
      <c r="F495" s="9" t="s">
        <v>703</v>
      </c>
      <c r="G495" s="9" t="s">
        <v>704</v>
      </c>
    </row>
    <row r="496" spans="1:7" ht="15" customHeight="1" x14ac:dyDescent="0.35">
      <c r="A496" s="10" t="s">
        <v>919</v>
      </c>
      <c r="B496" s="11" t="s">
        <v>920</v>
      </c>
      <c r="C496" s="10" t="s">
        <v>20</v>
      </c>
      <c r="D496" s="10" t="s">
        <v>718</v>
      </c>
      <c r="E496" s="12">
        <v>1.3801137800000001</v>
      </c>
      <c r="F496" s="13">
        <v>19.5</v>
      </c>
      <c r="G496" s="13">
        <v>26.91</v>
      </c>
    </row>
    <row r="497" spans="1:7" ht="15" customHeight="1" x14ac:dyDescent="0.35">
      <c r="A497" s="10" t="s">
        <v>719</v>
      </c>
      <c r="B497" s="11" t="s">
        <v>720</v>
      </c>
      <c r="C497" s="10" t="s">
        <v>20</v>
      </c>
      <c r="D497" s="10" t="s">
        <v>718</v>
      </c>
      <c r="E497" s="12">
        <v>0.68930950999999996</v>
      </c>
      <c r="F497" s="13">
        <v>15.53</v>
      </c>
      <c r="G497" s="13">
        <v>10.7</v>
      </c>
    </row>
    <row r="498" spans="1:7" ht="18" customHeight="1" x14ac:dyDescent="0.35">
      <c r="A498" s="8"/>
      <c r="B498" s="8"/>
      <c r="C498" s="8"/>
      <c r="D498" s="8"/>
      <c r="E498" s="60" t="s">
        <v>721</v>
      </c>
      <c r="F498" s="60"/>
      <c r="G498" s="14">
        <v>37.61</v>
      </c>
    </row>
    <row r="499" spans="1:7" ht="15" customHeight="1" x14ac:dyDescent="0.35">
      <c r="A499" s="8"/>
      <c r="B499" s="8"/>
      <c r="C499" s="8"/>
      <c r="D499" s="8"/>
      <c r="E499" s="61" t="s">
        <v>726</v>
      </c>
      <c r="F499" s="61"/>
      <c r="G499" s="4">
        <v>561.25</v>
      </c>
    </row>
    <row r="500" spans="1:7" ht="10" customHeight="1" x14ac:dyDescent="0.35">
      <c r="A500" s="8"/>
      <c r="B500" s="8"/>
      <c r="C500" s="57"/>
      <c r="D500" s="57"/>
      <c r="E500" s="8"/>
      <c r="F500" s="8"/>
      <c r="G500" s="8"/>
    </row>
    <row r="501" spans="1:7" ht="20.149999999999999" customHeight="1" x14ac:dyDescent="0.35">
      <c r="A501" s="58" t="s">
        <v>921</v>
      </c>
      <c r="B501" s="58"/>
      <c r="C501" s="58"/>
      <c r="D501" s="58"/>
      <c r="E501" s="58"/>
      <c r="F501" s="58"/>
      <c r="G501" s="58"/>
    </row>
    <row r="502" spans="1:7" ht="15" customHeight="1" x14ac:dyDescent="0.35">
      <c r="A502" s="59" t="s">
        <v>922</v>
      </c>
      <c r="B502" s="59"/>
      <c r="C502" s="9" t="s">
        <v>3</v>
      </c>
      <c r="D502" s="9" t="s">
        <v>4</v>
      </c>
      <c r="E502" s="9" t="s">
        <v>702</v>
      </c>
      <c r="F502" s="9" t="s">
        <v>703</v>
      </c>
      <c r="G502" s="9" t="s">
        <v>704</v>
      </c>
    </row>
    <row r="503" spans="1:7" ht="37" customHeight="1" x14ac:dyDescent="0.35">
      <c r="A503" s="10" t="s">
        <v>153</v>
      </c>
      <c r="B503" s="11" t="s">
        <v>154</v>
      </c>
      <c r="C503" s="10"/>
      <c r="D503" s="10" t="s">
        <v>25</v>
      </c>
      <c r="E503" s="12">
        <v>1</v>
      </c>
      <c r="F503" s="13">
        <v>502.35</v>
      </c>
      <c r="G503" s="13">
        <v>502.35</v>
      </c>
    </row>
    <row r="504" spans="1:7" ht="15" customHeight="1" x14ac:dyDescent="0.35">
      <c r="A504" s="8"/>
      <c r="B504" s="8"/>
      <c r="C504" s="8"/>
      <c r="D504" s="8"/>
      <c r="E504" s="60" t="s">
        <v>923</v>
      </c>
      <c r="F504" s="60"/>
      <c r="G504" s="14">
        <v>502.35</v>
      </c>
    </row>
    <row r="505" spans="1:7" ht="15" customHeight="1" x14ac:dyDescent="0.35">
      <c r="A505" s="8"/>
      <c r="B505" s="8"/>
      <c r="C505" s="8"/>
      <c r="D505" s="8"/>
      <c r="E505" s="61" t="s">
        <v>726</v>
      </c>
      <c r="F505" s="61"/>
      <c r="G505" s="4">
        <v>502.35</v>
      </c>
    </row>
    <row r="506" spans="1:7" ht="10" customHeight="1" x14ac:dyDescent="0.35">
      <c r="A506" s="8"/>
      <c r="B506" s="8"/>
      <c r="C506" s="57"/>
      <c r="D506" s="57"/>
      <c r="E506" s="8"/>
      <c r="F506" s="8"/>
      <c r="G506" s="8"/>
    </row>
    <row r="507" spans="1:7" ht="20.149999999999999" customHeight="1" x14ac:dyDescent="0.35">
      <c r="A507" s="58" t="s">
        <v>924</v>
      </c>
      <c r="B507" s="58"/>
      <c r="C507" s="58"/>
      <c r="D507" s="58"/>
      <c r="E507" s="58"/>
      <c r="F507" s="58"/>
      <c r="G507" s="58"/>
    </row>
    <row r="508" spans="1:7" ht="15" customHeight="1" x14ac:dyDescent="0.35">
      <c r="A508" s="59" t="s">
        <v>701</v>
      </c>
      <c r="B508" s="59"/>
      <c r="C508" s="9" t="s">
        <v>3</v>
      </c>
      <c r="D508" s="9" t="s">
        <v>4</v>
      </c>
      <c r="E508" s="9" t="s">
        <v>702</v>
      </c>
      <c r="F508" s="9" t="s">
        <v>703</v>
      </c>
      <c r="G508" s="9" t="s">
        <v>704</v>
      </c>
    </row>
    <row r="509" spans="1:7" ht="20.149999999999999" customHeight="1" x14ac:dyDescent="0.35">
      <c r="A509" s="10" t="s">
        <v>925</v>
      </c>
      <c r="B509" s="11" t="s">
        <v>926</v>
      </c>
      <c r="C509" s="10" t="s">
        <v>20</v>
      </c>
      <c r="D509" s="10" t="s">
        <v>160</v>
      </c>
      <c r="E509" s="12">
        <v>0.65514265000000005</v>
      </c>
      <c r="F509" s="13">
        <v>29.72</v>
      </c>
      <c r="G509" s="13">
        <v>19.47</v>
      </c>
    </row>
    <row r="510" spans="1:7" ht="45" customHeight="1" x14ac:dyDescent="0.35">
      <c r="A510" s="10" t="s">
        <v>927</v>
      </c>
      <c r="B510" s="11" t="s">
        <v>928</v>
      </c>
      <c r="C510" s="10" t="s">
        <v>20</v>
      </c>
      <c r="D510" s="10" t="s">
        <v>160</v>
      </c>
      <c r="E510" s="12">
        <v>1</v>
      </c>
      <c r="F510" s="13">
        <v>820.69</v>
      </c>
      <c r="G510" s="13">
        <v>820.69</v>
      </c>
    </row>
    <row r="511" spans="1:7" ht="15" customHeight="1" x14ac:dyDescent="0.35">
      <c r="A511" s="8"/>
      <c r="B511" s="8"/>
      <c r="C511" s="8"/>
      <c r="D511" s="8"/>
      <c r="E511" s="60" t="s">
        <v>714</v>
      </c>
      <c r="F511" s="60"/>
      <c r="G511" s="14">
        <v>840.16</v>
      </c>
    </row>
    <row r="512" spans="1:7" ht="15" customHeight="1" x14ac:dyDescent="0.35">
      <c r="A512" s="59" t="s">
        <v>715</v>
      </c>
      <c r="B512" s="59"/>
      <c r="C512" s="9" t="s">
        <v>3</v>
      </c>
      <c r="D512" s="9" t="s">
        <v>4</v>
      </c>
      <c r="E512" s="9" t="s">
        <v>702</v>
      </c>
      <c r="F512" s="9" t="s">
        <v>703</v>
      </c>
      <c r="G512" s="9" t="s">
        <v>704</v>
      </c>
    </row>
    <row r="513" spans="1:7" ht="20.149999999999999" customHeight="1" x14ac:dyDescent="0.35">
      <c r="A513" s="10" t="s">
        <v>929</v>
      </c>
      <c r="B513" s="11" t="s">
        <v>930</v>
      </c>
      <c r="C513" s="10" t="s">
        <v>20</v>
      </c>
      <c r="D513" s="10" t="s">
        <v>718</v>
      </c>
      <c r="E513" s="12">
        <v>0.92441028000000003</v>
      </c>
      <c r="F513" s="13">
        <v>18.649999999999999</v>
      </c>
      <c r="G513" s="13">
        <v>17.239999999999998</v>
      </c>
    </row>
    <row r="514" spans="1:7" ht="15" customHeight="1" x14ac:dyDescent="0.35">
      <c r="A514" s="10" t="s">
        <v>719</v>
      </c>
      <c r="B514" s="11" t="s">
        <v>720</v>
      </c>
      <c r="C514" s="10" t="s">
        <v>20</v>
      </c>
      <c r="D514" s="10" t="s">
        <v>718</v>
      </c>
      <c r="E514" s="12">
        <v>0.47013124000000001</v>
      </c>
      <c r="F514" s="13">
        <v>15.53</v>
      </c>
      <c r="G514" s="13">
        <v>7.3</v>
      </c>
    </row>
    <row r="515" spans="1:7" ht="18" customHeight="1" x14ac:dyDescent="0.35">
      <c r="A515" s="8"/>
      <c r="B515" s="8"/>
      <c r="C515" s="8"/>
      <c r="D515" s="8"/>
      <c r="E515" s="60" t="s">
        <v>721</v>
      </c>
      <c r="F515" s="60"/>
      <c r="G515" s="14">
        <v>24.54</v>
      </c>
    </row>
    <row r="516" spans="1:7" ht="15" customHeight="1" x14ac:dyDescent="0.35">
      <c r="A516" s="8"/>
      <c r="B516" s="8"/>
      <c r="C516" s="8"/>
      <c r="D516" s="8"/>
      <c r="E516" s="61" t="s">
        <v>726</v>
      </c>
      <c r="F516" s="61"/>
      <c r="G516" s="4">
        <v>864.7</v>
      </c>
    </row>
    <row r="517" spans="1:7" ht="10" customHeight="1" x14ac:dyDescent="0.35">
      <c r="A517" s="8"/>
      <c r="B517" s="8"/>
      <c r="C517" s="57"/>
      <c r="D517" s="57"/>
      <c r="E517" s="8"/>
      <c r="F517" s="8"/>
      <c r="G517" s="8"/>
    </row>
    <row r="518" spans="1:7" ht="20.149999999999999" customHeight="1" x14ac:dyDescent="0.35">
      <c r="A518" s="58" t="s">
        <v>931</v>
      </c>
      <c r="B518" s="58"/>
      <c r="C518" s="58"/>
      <c r="D518" s="58"/>
      <c r="E518" s="58"/>
      <c r="F518" s="58"/>
      <c r="G518" s="58"/>
    </row>
    <row r="519" spans="1:7" ht="15" customHeight="1" x14ac:dyDescent="0.35">
      <c r="A519" s="59" t="s">
        <v>701</v>
      </c>
      <c r="B519" s="59"/>
      <c r="C519" s="9" t="s">
        <v>3</v>
      </c>
      <c r="D519" s="9" t="s">
        <v>4</v>
      </c>
      <c r="E519" s="9" t="s">
        <v>702</v>
      </c>
      <c r="F519" s="9" t="s">
        <v>703</v>
      </c>
      <c r="G519" s="9" t="s">
        <v>704</v>
      </c>
    </row>
    <row r="520" spans="1:7" ht="20.149999999999999" customHeight="1" x14ac:dyDescent="0.35">
      <c r="A520" s="10" t="s">
        <v>925</v>
      </c>
      <c r="B520" s="11" t="s">
        <v>926</v>
      </c>
      <c r="C520" s="10" t="s">
        <v>20</v>
      </c>
      <c r="D520" s="10" t="s">
        <v>160</v>
      </c>
      <c r="E520" s="12">
        <v>0.67558008999999997</v>
      </c>
      <c r="F520" s="13">
        <v>29.72</v>
      </c>
      <c r="G520" s="13">
        <v>20.07</v>
      </c>
    </row>
    <row r="521" spans="1:7" ht="45" customHeight="1" x14ac:dyDescent="0.35">
      <c r="A521" s="10" t="s">
        <v>932</v>
      </c>
      <c r="B521" s="11" t="s">
        <v>933</v>
      </c>
      <c r="C521" s="10" t="s">
        <v>20</v>
      </c>
      <c r="D521" s="10" t="s">
        <v>160</v>
      </c>
      <c r="E521" s="12">
        <v>1</v>
      </c>
      <c r="F521" s="13">
        <v>796.41</v>
      </c>
      <c r="G521" s="13">
        <v>796.41</v>
      </c>
    </row>
    <row r="522" spans="1:7" ht="15" customHeight="1" x14ac:dyDescent="0.35">
      <c r="A522" s="8"/>
      <c r="B522" s="8"/>
      <c r="C522" s="8"/>
      <c r="D522" s="8"/>
      <c r="E522" s="60" t="s">
        <v>714</v>
      </c>
      <c r="F522" s="60"/>
      <c r="G522" s="14">
        <v>816.48</v>
      </c>
    </row>
    <row r="523" spans="1:7" ht="15" customHeight="1" x14ac:dyDescent="0.35">
      <c r="A523" s="59" t="s">
        <v>715</v>
      </c>
      <c r="B523" s="59"/>
      <c r="C523" s="9" t="s">
        <v>3</v>
      </c>
      <c r="D523" s="9" t="s">
        <v>4</v>
      </c>
      <c r="E523" s="9" t="s">
        <v>702</v>
      </c>
      <c r="F523" s="9" t="s">
        <v>703</v>
      </c>
      <c r="G523" s="9" t="s">
        <v>704</v>
      </c>
    </row>
    <row r="524" spans="1:7" ht="20.149999999999999" customHeight="1" x14ac:dyDescent="0.35">
      <c r="A524" s="10" t="s">
        <v>929</v>
      </c>
      <c r="B524" s="11" t="s">
        <v>930</v>
      </c>
      <c r="C524" s="10" t="s">
        <v>20</v>
      </c>
      <c r="D524" s="10" t="s">
        <v>718</v>
      </c>
      <c r="E524" s="12">
        <v>0.79260984000000001</v>
      </c>
      <c r="F524" s="13">
        <v>18.649999999999999</v>
      </c>
      <c r="G524" s="13">
        <v>14.78</v>
      </c>
    </row>
    <row r="525" spans="1:7" ht="15" customHeight="1" x14ac:dyDescent="0.35">
      <c r="A525" s="10" t="s">
        <v>719</v>
      </c>
      <c r="B525" s="11" t="s">
        <v>720</v>
      </c>
      <c r="C525" s="10" t="s">
        <v>20</v>
      </c>
      <c r="D525" s="10" t="s">
        <v>718</v>
      </c>
      <c r="E525" s="12">
        <v>0.39846008999999999</v>
      </c>
      <c r="F525" s="13">
        <v>15.53</v>
      </c>
      <c r="G525" s="13">
        <v>6.18</v>
      </c>
    </row>
    <row r="526" spans="1:7" ht="18" customHeight="1" x14ac:dyDescent="0.35">
      <c r="A526" s="8"/>
      <c r="B526" s="8"/>
      <c r="C526" s="8"/>
      <c r="D526" s="8"/>
      <c r="E526" s="60" t="s">
        <v>721</v>
      </c>
      <c r="F526" s="60"/>
      <c r="G526" s="14">
        <v>20.96</v>
      </c>
    </row>
    <row r="527" spans="1:7" ht="15" customHeight="1" x14ac:dyDescent="0.35">
      <c r="A527" s="8"/>
      <c r="B527" s="8"/>
      <c r="C527" s="8"/>
      <c r="D527" s="8"/>
      <c r="E527" s="61" t="s">
        <v>726</v>
      </c>
      <c r="F527" s="61"/>
      <c r="G527" s="4">
        <v>837.44</v>
      </c>
    </row>
    <row r="528" spans="1:7" ht="10" customHeight="1" x14ac:dyDescent="0.35">
      <c r="A528" s="8"/>
      <c r="B528" s="8"/>
      <c r="C528" s="57"/>
      <c r="D528" s="57"/>
      <c r="E528" s="8"/>
      <c r="F528" s="8"/>
      <c r="G528" s="8"/>
    </row>
    <row r="529" spans="1:7" ht="20.149999999999999" customHeight="1" x14ac:dyDescent="0.35">
      <c r="A529" s="58" t="s">
        <v>934</v>
      </c>
      <c r="B529" s="58"/>
      <c r="C529" s="58"/>
      <c r="D529" s="58"/>
      <c r="E529" s="58"/>
      <c r="F529" s="58"/>
      <c r="G529" s="58"/>
    </row>
    <row r="530" spans="1:7" ht="15" customHeight="1" x14ac:dyDescent="0.35">
      <c r="A530" s="59" t="s">
        <v>701</v>
      </c>
      <c r="B530" s="59"/>
      <c r="C530" s="9" t="s">
        <v>3</v>
      </c>
      <c r="D530" s="9" t="s">
        <v>4</v>
      </c>
      <c r="E530" s="9" t="s">
        <v>702</v>
      </c>
      <c r="F530" s="9" t="s">
        <v>703</v>
      </c>
      <c r="G530" s="9" t="s">
        <v>704</v>
      </c>
    </row>
    <row r="531" spans="1:7" ht="29.15" customHeight="1" x14ac:dyDescent="0.35">
      <c r="A531" s="10" t="s">
        <v>935</v>
      </c>
      <c r="B531" s="11" t="s">
        <v>936</v>
      </c>
      <c r="C531" s="10" t="s">
        <v>20</v>
      </c>
      <c r="D531" s="10" t="s">
        <v>160</v>
      </c>
      <c r="E531" s="12">
        <v>5.9096541499999997</v>
      </c>
      <c r="F531" s="13">
        <v>0.6</v>
      </c>
      <c r="G531" s="13">
        <v>3.54</v>
      </c>
    </row>
    <row r="532" spans="1:7" ht="29.15" customHeight="1" x14ac:dyDescent="0.35">
      <c r="A532" s="10" t="s">
        <v>937</v>
      </c>
      <c r="B532" s="11" t="s">
        <v>938</v>
      </c>
      <c r="C532" s="10" t="s">
        <v>20</v>
      </c>
      <c r="D532" s="10" t="s">
        <v>160</v>
      </c>
      <c r="E532" s="12">
        <v>1</v>
      </c>
      <c r="F532" s="13">
        <v>677.91</v>
      </c>
      <c r="G532" s="13">
        <v>677.91</v>
      </c>
    </row>
    <row r="533" spans="1:7" ht="20.149999999999999" customHeight="1" x14ac:dyDescent="0.35">
      <c r="A533" s="10" t="s">
        <v>939</v>
      </c>
      <c r="B533" s="11" t="s">
        <v>940</v>
      </c>
      <c r="C533" s="10" t="s">
        <v>20</v>
      </c>
      <c r="D533" s="10" t="s">
        <v>941</v>
      </c>
      <c r="E533" s="12">
        <v>1.1132611699999999</v>
      </c>
      <c r="F533" s="13">
        <v>42.39</v>
      </c>
      <c r="G533" s="13">
        <v>47.19</v>
      </c>
    </row>
    <row r="534" spans="1:7" ht="15" customHeight="1" x14ac:dyDescent="0.35">
      <c r="A534" s="8"/>
      <c r="B534" s="8"/>
      <c r="C534" s="8"/>
      <c r="D534" s="8"/>
      <c r="E534" s="60" t="s">
        <v>714</v>
      </c>
      <c r="F534" s="60"/>
      <c r="G534" s="14">
        <v>728.64</v>
      </c>
    </row>
    <row r="535" spans="1:7" ht="15" customHeight="1" x14ac:dyDescent="0.35">
      <c r="A535" s="59" t="s">
        <v>715</v>
      </c>
      <c r="B535" s="59"/>
      <c r="C535" s="9" t="s">
        <v>3</v>
      </c>
      <c r="D535" s="9" t="s">
        <v>4</v>
      </c>
      <c r="E535" s="9" t="s">
        <v>702</v>
      </c>
      <c r="F535" s="9" t="s">
        <v>703</v>
      </c>
      <c r="G535" s="9" t="s">
        <v>704</v>
      </c>
    </row>
    <row r="536" spans="1:7" ht="15" customHeight="1" x14ac:dyDescent="0.35">
      <c r="A536" s="10" t="s">
        <v>794</v>
      </c>
      <c r="B536" s="11" t="s">
        <v>795</v>
      </c>
      <c r="C536" s="10" t="s">
        <v>20</v>
      </c>
      <c r="D536" s="10" t="s">
        <v>718</v>
      </c>
      <c r="E536" s="12">
        <v>0.43979296000000001</v>
      </c>
      <c r="F536" s="13">
        <v>19.57</v>
      </c>
      <c r="G536" s="13">
        <v>8.6</v>
      </c>
    </row>
    <row r="537" spans="1:7" ht="15" customHeight="1" x14ac:dyDescent="0.35">
      <c r="A537" s="10" t="s">
        <v>719</v>
      </c>
      <c r="B537" s="11" t="s">
        <v>720</v>
      </c>
      <c r="C537" s="10" t="s">
        <v>20</v>
      </c>
      <c r="D537" s="10" t="s">
        <v>718</v>
      </c>
      <c r="E537" s="12">
        <v>0.21916988000000001</v>
      </c>
      <c r="F537" s="13">
        <v>15.53</v>
      </c>
      <c r="G537" s="13">
        <v>3.4</v>
      </c>
    </row>
    <row r="538" spans="1:7" ht="18" customHeight="1" x14ac:dyDescent="0.35">
      <c r="A538" s="8"/>
      <c r="B538" s="8"/>
      <c r="C538" s="8"/>
      <c r="D538" s="8"/>
      <c r="E538" s="60" t="s">
        <v>721</v>
      </c>
      <c r="F538" s="60"/>
      <c r="G538" s="14">
        <v>12</v>
      </c>
    </row>
    <row r="539" spans="1:7" ht="15" customHeight="1" x14ac:dyDescent="0.35">
      <c r="A539" s="8"/>
      <c r="B539" s="8"/>
      <c r="C539" s="8"/>
      <c r="D539" s="8"/>
      <c r="E539" s="61" t="s">
        <v>726</v>
      </c>
      <c r="F539" s="61"/>
      <c r="G539" s="4">
        <v>740.64</v>
      </c>
    </row>
    <row r="540" spans="1:7" ht="10" customHeight="1" x14ac:dyDescent="0.35">
      <c r="A540" s="8"/>
      <c r="B540" s="8"/>
      <c r="C540" s="57"/>
      <c r="D540" s="57"/>
      <c r="E540" s="8"/>
      <c r="F540" s="8"/>
      <c r="G540" s="8"/>
    </row>
    <row r="541" spans="1:7" ht="20.149999999999999" customHeight="1" x14ac:dyDescent="0.35">
      <c r="A541" s="58" t="s">
        <v>942</v>
      </c>
      <c r="B541" s="58"/>
      <c r="C541" s="58"/>
      <c r="D541" s="58"/>
      <c r="E541" s="58"/>
      <c r="F541" s="58"/>
      <c r="G541" s="58"/>
    </row>
    <row r="542" spans="1:7" ht="15" customHeight="1" x14ac:dyDescent="0.35">
      <c r="A542" s="59" t="s">
        <v>701</v>
      </c>
      <c r="B542" s="59"/>
      <c r="C542" s="9" t="s">
        <v>3</v>
      </c>
      <c r="D542" s="9" t="s">
        <v>4</v>
      </c>
      <c r="E542" s="9" t="s">
        <v>702</v>
      </c>
      <c r="F542" s="9" t="s">
        <v>703</v>
      </c>
      <c r="G542" s="9" t="s">
        <v>704</v>
      </c>
    </row>
    <row r="543" spans="1:7" ht="20.149999999999999" customHeight="1" x14ac:dyDescent="0.35">
      <c r="A543" s="10" t="s">
        <v>943</v>
      </c>
      <c r="B543" s="11" t="s">
        <v>944</v>
      </c>
      <c r="C543" s="10" t="s">
        <v>20</v>
      </c>
      <c r="D543" s="10" t="s">
        <v>160</v>
      </c>
      <c r="E543" s="12">
        <v>2.77462506</v>
      </c>
      <c r="F543" s="13">
        <v>224.42</v>
      </c>
      <c r="G543" s="13">
        <v>622.67999999999995</v>
      </c>
    </row>
    <row r="544" spans="1:7" ht="15" customHeight="1" x14ac:dyDescent="0.35">
      <c r="A544" s="8"/>
      <c r="B544" s="8"/>
      <c r="C544" s="8"/>
      <c r="D544" s="8"/>
      <c r="E544" s="60" t="s">
        <v>714</v>
      </c>
      <c r="F544" s="60"/>
      <c r="G544" s="14">
        <v>622.67999999999995</v>
      </c>
    </row>
    <row r="545" spans="1:7" ht="15" customHeight="1" x14ac:dyDescent="0.35">
      <c r="A545" s="59" t="s">
        <v>715</v>
      </c>
      <c r="B545" s="59"/>
      <c r="C545" s="9" t="s">
        <v>3</v>
      </c>
      <c r="D545" s="9" t="s">
        <v>4</v>
      </c>
      <c r="E545" s="9" t="s">
        <v>702</v>
      </c>
      <c r="F545" s="9" t="s">
        <v>703</v>
      </c>
      <c r="G545" s="9" t="s">
        <v>704</v>
      </c>
    </row>
    <row r="546" spans="1:7" ht="15" customHeight="1" x14ac:dyDescent="0.35">
      <c r="A546" s="10" t="s">
        <v>794</v>
      </c>
      <c r="B546" s="11" t="s">
        <v>795</v>
      </c>
      <c r="C546" s="10" t="s">
        <v>20</v>
      </c>
      <c r="D546" s="10" t="s">
        <v>718</v>
      </c>
      <c r="E546" s="12">
        <v>4.4881390799999998</v>
      </c>
      <c r="F546" s="13">
        <v>19.57</v>
      </c>
      <c r="G546" s="13">
        <v>87.83</v>
      </c>
    </row>
    <row r="547" spans="1:7" ht="15" customHeight="1" x14ac:dyDescent="0.35">
      <c r="A547" s="10" t="s">
        <v>719</v>
      </c>
      <c r="B547" s="11" t="s">
        <v>720</v>
      </c>
      <c r="C547" s="10" t="s">
        <v>20</v>
      </c>
      <c r="D547" s="10" t="s">
        <v>718</v>
      </c>
      <c r="E547" s="12">
        <v>2.2446922100000002</v>
      </c>
      <c r="F547" s="13">
        <v>15.53</v>
      </c>
      <c r="G547" s="13">
        <v>34.86</v>
      </c>
    </row>
    <row r="548" spans="1:7" ht="18" customHeight="1" x14ac:dyDescent="0.35">
      <c r="A548" s="8"/>
      <c r="B548" s="8"/>
      <c r="C548" s="8"/>
      <c r="D548" s="8"/>
      <c r="E548" s="60" t="s">
        <v>721</v>
      </c>
      <c r="F548" s="60"/>
      <c r="G548" s="14">
        <v>122.69</v>
      </c>
    </row>
    <row r="549" spans="1:7" ht="15" customHeight="1" x14ac:dyDescent="0.35">
      <c r="A549" s="59" t="s">
        <v>722</v>
      </c>
      <c r="B549" s="59"/>
      <c r="C549" s="9" t="s">
        <v>3</v>
      </c>
      <c r="D549" s="9" t="s">
        <v>4</v>
      </c>
      <c r="E549" s="9" t="s">
        <v>702</v>
      </c>
      <c r="F549" s="9" t="s">
        <v>703</v>
      </c>
      <c r="G549" s="9" t="s">
        <v>704</v>
      </c>
    </row>
    <row r="550" spans="1:7" ht="20.149999999999999" customHeight="1" x14ac:dyDescent="0.35">
      <c r="A550" s="10" t="s">
        <v>945</v>
      </c>
      <c r="B550" s="11" t="s">
        <v>946</v>
      </c>
      <c r="C550" s="10" t="s">
        <v>20</v>
      </c>
      <c r="D550" s="10" t="s">
        <v>31</v>
      </c>
      <c r="E550" s="12">
        <v>2.0586799999999999E-2</v>
      </c>
      <c r="F550" s="13">
        <v>581.66999999999996</v>
      </c>
      <c r="G550" s="13">
        <v>11.97</v>
      </c>
    </row>
    <row r="551" spans="1:7" ht="15" customHeight="1" x14ac:dyDescent="0.35">
      <c r="A551" s="8"/>
      <c r="B551" s="8"/>
      <c r="C551" s="8"/>
      <c r="D551" s="8"/>
      <c r="E551" s="60" t="s">
        <v>725</v>
      </c>
      <c r="F551" s="60"/>
      <c r="G551" s="14">
        <v>11.97</v>
      </c>
    </row>
    <row r="552" spans="1:7" ht="15" customHeight="1" x14ac:dyDescent="0.35">
      <c r="A552" s="8"/>
      <c r="B552" s="8"/>
      <c r="C552" s="8"/>
      <c r="D552" s="8"/>
      <c r="E552" s="61" t="s">
        <v>726</v>
      </c>
      <c r="F552" s="61"/>
      <c r="G552" s="4">
        <v>757.34</v>
      </c>
    </row>
    <row r="553" spans="1:7" ht="10" customHeight="1" x14ac:dyDescent="0.35">
      <c r="A553" s="8"/>
      <c r="B553" s="8"/>
      <c r="C553" s="57"/>
      <c r="D553" s="57"/>
      <c r="E553" s="8"/>
      <c r="F553" s="8"/>
      <c r="G553" s="8"/>
    </row>
    <row r="554" spans="1:7" ht="20.149999999999999" customHeight="1" x14ac:dyDescent="0.35">
      <c r="A554" s="58" t="s">
        <v>947</v>
      </c>
      <c r="B554" s="58"/>
      <c r="C554" s="58"/>
      <c r="D554" s="58"/>
      <c r="E554" s="58"/>
      <c r="F554" s="58"/>
      <c r="G554" s="58"/>
    </row>
    <row r="555" spans="1:7" ht="15" customHeight="1" x14ac:dyDescent="0.35">
      <c r="A555" s="59" t="s">
        <v>701</v>
      </c>
      <c r="B555" s="59"/>
      <c r="C555" s="9" t="s">
        <v>3</v>
      </c>
      <c r="D555" s="9" t="s">
        <v>4</v>
      </c>
      <c r="E555" s="9" t="s">
        <v>702</v>
      </c>
      <c r="F555" s="9" t="s">
        <v>703</v>
      </c>
      <c r="G555" s="9" t="s">
        <v>704</v>
      </c>
    </row>
    <row r="556" spans="1:7" ht="29.15" customHeight="1" x14ac:dyDescent="0.35">
      <c r="A556" s="10" t="s">
        <v>948</v>
      </c>
      <c r="B556" s="11" t="s">
        <v>949</v>
      </c>
      <c r="C556" s="10" t="s">
        <v>20</v>
      </c>
      <c r="D556" s="10" t="s">
        <v>160</v>
      </c>
      <c r="E556" s="12">
        <v>0.55548757999999998</v>
      </c>
      <c r="F556" s="13">
        <v>1239.43</v>
      </c>
      <c r="G556" s="13">
        <v>688.48</v>
      </c>
    </row>
    <row r="557" spans="1:7" ht="15" customHeight="1" x14ac:dyDescent="0.35">
      <c r="A557" s="8"/>
      <c r="B557" s="8"/>
      <c r="C557" s="8"/>
      <c r="D557" s="8"/>
      <c r="E557" s="60" t="s">
        <v>714</v>
      </c>
      <c r="F557" s="60"/>
      <c r="G557" s="14">
        <v>688.48</v>
      </c>
    </row>
    <row r="558" spans="1:7" ht="15" customHeight="1" x14ac:dyDescent="0.35">
      <c r="A558" s="59" t="s">
        <v>715</v>
      </c>
      <c r="B558" s="59"/>
      <c r="C558" s="9" t="s">
        <v>3</v>
      </c>
      <c r="D558" s="9" t="s">
        <v>4</v>
      </c>
      <c r="E558" s="9" t="s">
        <v>702</v>
      </c>
      <c r="F558" s="9" t="s">
        <v>703</v>
      </c>
      <c r="G558" s="9" t="s">
        <v>704</v>
      </c>
    </row>
    <row r="559" spans="1:7" ht="15" customHeight="1" x14ac:dyDescent="0.35">
      <c r="A559" s="10" t="s">
        <v>794</v>
      </c>
      <c r="B559" s="11" t="s">
        <v>795</v>
      </c>
      <c r="C559" s="10" t="s">
        <v>20</v>
      </c>
      <c r="D559" s="10" t="s">
        <v>718</v>
      </c>
      <c r="E559" s="12">
        <v>2.0567833100000001</v>
      </c>
      <c r="F559" s="13">
        <v>19.57</v>
      </c>
      <c r="G559" s="13">
        <v>40.25</v>
      </c>
    </row>
    <row r="560" spans="1:7" ht="15" customHeight="1" x14ac:dyDescent="0.35">
      <c r="A560" s="10" t="s">
        <v>719</v>
      </c>
      <c r="B560" s="11" t="s">
        <v>720</v>
      </c>
      <c r="C560" s="10" t="s">
        <v>20</v>
      </c>
      <c r="D560" s="10" t="s">
        <v>718</v>
      </c>
      <c r="E560" s="12">
        <v>1.0286787900000001</v>
      </c>
      <c r="F560" s="13">
        <v>15.53</v>
      </c>
      <c r="G560" s="13">
        <v>15.97</v>
      </c>
    </row>
    <row r="561" spans="1:7" ht="18" customHeight="1" x14ac:dyDescent="0.35">
      <c r="A561" s="8"/>
      <c r="B561" s="8"/>
      <c r="C561" s="8"/>
      <c r="D561" s="8"/>
      <c r="E561" s="60" t="s">
        <v>721</v>
      </c>
      <c r="F561" s="60"/>
      <c r="G561" s="14">
        <v>56.22</v>
      </c>
    </row>
    <row r="562" spans="1:7" ht="15" customHeight="1" x14ac:dyDescent="0.35">
      <c r="A562" s="59" t="s">
        <v>722</v>
      </c>
      <c r="B562" s="59"/>
      <c r="C562" s="9" t="s">
        <v>3</v>
      </c>
      <c r="D562" s="9" t="s">
        <v>4</v>
      </c>
      <c r="E562" s="9" t="s">
        <v>702</v>
      </c>
      <c r="F562" s="9" t="s">
        <v>703</v>
      </c>
      <c r="G562" s="9" t="s">
        <v>704</v>
      </c>
    </row>
    <row r="563" spans="1:7" ht="20.149999999999999" customHeight="1" x14ac:dyDescent="0.35">
      <c r="A563" s="10" t="s">
        <v>945</v>
      </c>
      <c r="B563" s="11" t="s">
        <v>946</v>
      </c>
      <c r="C563" s="10" t="s">
        <v>20</v>
      </c>
      <c r="D563" s="10" t="s">
        <v>31</v>
      </c>
      <c r="E563" s="12">
        <v>7.8695699999999993E-3</v>
      </c>
      <c r="F563" s="13">
        <v>581.66999999999996</v>
      </c>
      <c r="G563" s="13">
        <v>4.57</v>
      </c>
    </row>
    <row r="564" spans="1:7" ht="15" customHeight="1" x14ac:dyDescent="0.35">
      <c r="A564" s="8"/>
      <c r="B564" s="8"/>
      <c r="C564" s="8"/>
      <c r="D564" s="8"/>
      <c r="E564" s="60" t="s">
        <v>725</v>
      </c>
      <c r="F564" s="60"/>
      <c r="G564" s="14">
        <v>4.57</v>
      </c>
    </row>
    <row r="565" spans="1:7" ht="15" customHeight="1" x14ac:dyDescent="0.35">
      <c r="A565" s="8"/>
      <c r="B565" s="8"/>
      <c r="C565" s="8"/>
      <c r="D565" s="8"/>
      <c r="E565" s="61" t="s">
        <v>726</v>
      </c>
      <c r="F565" s="61"/>
      <c r="G565" s="4">
        <v>749.27</v>
      </c>
    </row>
    <row r="566" spans="1:7" ht="10" customHeight="1" x14ac:dyDescent="0.35">
      <c r="A566" s="8"/>
      <c r="B566" s="8"/>
      <c r="C566" s="57"/>
      <c r="D566" s="57"/>
      <c r="E566" s="8"/>
      <c r="F566" s="8"/>
      <c r="G566" s="8"/>
    </row>
    <row r="567" spans="1:7" ht="20.149999999999999" customHeight="1" x14ac:dyDescent="0.35">
      <c r="A567" s="58" t="s">
        <v>950</v>
      </c>
      <c r="B567" s="58"/>
      <c r="C567" s="58"/>
      <c r="D567" s="58"/>
      <c r="E567" s="58"/>
      <c r="F567" s="58"/>
      <c r="G567" s="58"/>
    </row>
    <row r="568" spans="1:7" ht="15" customHeight="1" x14ac:dyDescent="0.35">
      <c r="A568" s="59" t="s">
        <v>701</v>
      </c>
      <c r="B568" s="59"/>
      <c r="C568" s="9" t="s">
        <v>3</v>
      </c>
      <c r="D568" s="9" t="s">
        <v>4</v>
      </c>
      <c r="E568" s="9" t="s">
        <v>702</v>
      </c>
      <c r="F568" s="9" t="s">
        <v>703</v>
      </c>
      <c r="G568" s="9" t="s">
        <v>704</v>
      </c>
    </row>
    <row r="569" spans="1:7" ht="29.15" customHeight="1" x14ac:dyDescent="0.35">
      <c r="A569" s="10" t="s">
        <v>951</v>
      </c>
      <c r="B569" s="11" t="s">
        <v>952</v>
      </c>
      <c r="C569" s="10" t="s">
        <v>20</v>
      </c>
      <c r="D569" s="10" t="s">
        <v>160</v>
      </c>
      <c r="E569" s="12">
        <v>0.83433124999999997</v>
      </c>
      <c r="F569" s="13">
        <v>882</v>
      </c>
      <c r="G569" s="13">
        <v>735.88</v>
      </c>
    </row>
    <row r="570" spans="1:7" ht="29.15" customHeight="1" x14ac:dyDescent="0.35">
      <c r="A570" s="10" t="s">
        <v>953</v>
      </c>
      <c r="B570" s="11" t="s">
        <v>954</v>
      </c>
      <c r="C570" s="10" t="s">
        <v>20</v>
      </c>
      <c r="D570" s="10" t="s">
        <v>160</v>
      </c>
      <c r="E570" s="12">
        <v>9.2113855499999993</v>
      </c>
      <c r="F570" s="13">
        <v>0.2</v>
      </c>
      <c r="G570" s="13">
        <v>1.84</v>
      </c>
    </row>
    <row r="571" spans="1:7" ht="15" customHeight="1" x14ac:dyDescent="0.35">
      <c r="A571" s="10" t="s">
        <v>955</v>
      </c>
      <c r="B571" s="11" t="s">
        <v>956</v>
      </c>
      <c r="C571" s="10" t="s">
        <v>20</v>
      </c>
      <c r="D571" s="10" t="s">
        <v>160</v>
      </c>
      <c r="E571" s="12">
        <v>0.62407137000000001</v>
      </c>
      <c r="F571" s="13">
        <v>28.01</v>
      </c>
      <c r="G571" s="13">
        <v>17.48</v>
      </c>
    </row>
    <row r="572" spans="1:7" ht="15" customHeight="1" x14ac:dyDescent="0.35">
      <c r="A572" s="8"/>
      <c r="B572" s="8"/>
      <c r="C572" s="8"/>
      <c r="D572" s="8"/>
      <c r="E572" s="60" t="s">
        <v>714</v>
      </c>
      <c r="F572" s="60"/>
      <c r="G572" s="14">
        <v>755.2</v>
      </c>
    </row>
    <row r="573" spans="1:7" ht="15" customHeight="1" x14ac:dyDescent="0.35">
      <c r="A573" s="59" t="s">
        <v>715</v>
      </c>
      <c r="B573" s="59"/>
      <c r="C573" s="9" t="s">
        <v>3</v>
      </c>
      <c r="D573" s="9" t="s">
        <v>4</v>
      </c>
      <c r="E573" s="9" t="s">
        <v>702</v>
      </c>
      <c r="F573" s="9" t="s">
        <v>703</v>
      </c>
      <c r="G573" s="9" t="s">
        <v>704</v>
      </c>
    </row>
    <row r="574" spans="1:7" ht="15" customHeight="1" x14ac:dyDescent="0.35">
      <c r="A574" s="10" t="s">
        <v>794</v>
      </c>
      <c r="B574" s="11" t="s">
        <v>795</v>
      </c>
      <c r="C574" s="10" t="s">
        <v>20</v>
      </c>
      <c r="D574" s="10" t="s">
        <v>718</v>
      </c>
      <c r="E574" s="12">
        <v>0.50769520999999995</v>
      </c>
      <c r="F574" s="13">
        <v>19.57</v>
      </c>
      <c r="G574" s="13">
        <v>9.93</v>
      </c>
    </row>
    <row r="575" spans="1:7" ht="15" customHeight="1" x14ac:dyDescent="0.35">
      <c r="A575" s="10" t="s">
        <v>719</v>
      </c>
      <c r="B575" s="11" t="s">
        <v>720</v>
      </c>
      <c r="C575" s="10" t="s">
        <v>20</v>
      </c>
      <c r="D575" s="10" t="s">
        <v>718</v>
      </c>
      <c r="E575" s="12">
        <v>0.25283566000000002</v>
      </c>
      <c r="F575" s="13">
        <v>15.53</v>
      </c>
      <c r="G575" s="13">
        <v>3.92</v>
      </c>
    </row>
    <row r="576" spans="1:7" ht="18" customHeight="1" x14ac:dyDescent="0.35">
      <c r="A576" s="8"/>
      <c r="B576" s="8"/>
      <c r="C576" s="8"/>
      <c r="D576" s="8"/>
      <c r="E576" s="60" t="s">
        <v>721</v>
      </c>
      <c r="F576" s="60"/>
      <c r="G576" s="14">
        <v>13.85</v>
      </c>
    </row>
    <row r="577" spans="1:7" ht="15" customHeight="1" x14ac:dyDescent="0.35">
      <c r="A577" s="8"/>
      <c r="B577" s="8"/>
      <c r="C577" s="8"/>
      <c r="D577" s="8"/>
      <c r="E577" s="61" t="s">
        <v>726</v>
      </c>
      <c r="F577" s="61"/>
      <c r="G577" s="4">
        <v>769.05</v>
      </c>
    </row>
    <row r="578" spans="1:7" ht="10" customHeight="1" x14ac:dyDescent="0.35">
      <c r="A578" s="8"/>
      <c r="B578" s="8"/>
      <c r="C578" s="57"/>
      <c r="D578" s="57"/>
      <c r="E578" s="8"/>
      <c r="F578" s="8"/>
      <c r="G578" s="8"/>
    </row>
    <row r="579" spans="1:7" ht="20.149999999999999" customHeight="1" x14ac:dyDescent="0.35">
      <c r="A579" s="58" t="s">
        <v>957</v>
      </c>
      <c r="B579" s="58"/>
      <c r="C579" s="58"/>
      <c r="D579" s="58"/>
      <c r="E579" s="58"/>
      <c r="F579" s="58"/>
      <c r="G579" s="58"/>
    </row>
    <row r="580" spans="1:7" ht="15" customHeight="1" x14ac:dyDescent="0.35">
      <c r="A580" s="59" t="s">
        <v>761</v>
      </c>
      <c r="B580" s="59"/>
      <c r="C580" s="9" t="s">
        <v>3</v>
      </c>
      <c r="D580" s="9" t="s">
        <v>4</v>
      </c>
      <c r="E580" s="9" t="s">
        <v>702</v>
      </c>
      <c r="F580" s="9" t="s">
        <v>703</v>
      </c>
      <c r="G580" s="9" t="s">
        <v>704</v>
      </c>
    </row>
    <row r="581" spans="1:7" ht="29.15" customHeight="1" x14ac:dyDescent="0.35">
      <c r="A581" s="10" t="s">
        <v>958</v>
      </c>
      <c r="B581" s="11" t="s">
        <v>959</v>
      </c>
      <c r="C581" s="10" t="s">
        <v>20</v>
      </c>
      <c r="D581" s="10" t="s">
        <v>764</v>
      </c>
      <c r="E581" s="12">
        <v>5.4314769999999998E-2</v>
      </c>
      <c r="F581" s="13">
        <v>15.86</v>
      </c>
      <c r="G581" s="13">
        <v>0.86</v>
      </c>
    </row>
    <row r="582" spans="1:7" ht="29.15" customHeight="1" x14ac:dyDescent="0.35">
      <c r="A582" s="10" t="s">
        <v>960</v>
      </c>
      <c r="B582" s="11" t="s">
        <v>961</v>
      </c>
      <c r="C582" s="10" t="s">
        <v>20</v>
      </c>
      <c r="D582" s="10" t="s">
        <v>767</v>
      </c>
      <c r="E582" s="12">
        <v>3.9157150000000002E-2</v>
      </c>
      <c r="F582" s="13">
        <v>16.68</v>
      </c>
      <c r="G582" s="13">
        <v>0.65</v>
      </c>
    </row>
    <row r="583" spans="1:7" ht="15" customHeight="1" x14ac:dyDescent="0.35">
      <c r="A583" s="8"/>
      <c r="B583" s="8"/>
      <c r="C583" s="8"/>
      <c r="D583" s="8"/>
      <c r="E583" s="60" t="s">
        <v>768</v>
      </c>
      <c r="F583" s="60"/>
      <c r="G583" s="14">
        <v>1.51</v>
      </c>
    </row>
    <row r="584" spans="1:7" ht="15" customHeight="1" x14ac:dyDescent="0.35">
      <c r="A584" s="59" t="s">
        <v>701</v>
      </c>
      <c r="B584" s="59"/>
      <c r="C584" s="9" t="s">
        <v>3</v>
      </c>
      <c r="D584" s="9" t="s">
        <v>4</v>
      </c>
      <c r="E584" s="9" t="s">
        <v>702</v>
      </c>
      <c r="F584" s="9" t="s">
        <v>703</v>
      </c>
      <c r="G584" s="9" t="s">
        <v>704</v>
      </c>
    </row>
    <row r="585" spans="1:7" ht="29.15" customHeight="1" x14ac:dyDescent="0.35">
      <c r="A585" s="10" t="s">
        <v>962</v>
      </c>
      <c r="B585" s="11" t="s">
        <v>963</v>
      </c>
      <c r="C585" s="10" t="s">
        <v>20</v>
      </c>
      <c r="D585" s="10" t="s">
        <v>964</v>
      </c>
      <c r="E585" s="12">
        <v>2.9561759999999999E-2</v>
      </c>
      <c r="F585" s="13">
        <v>823.2</v>
      </c>
      <c r="G585" s="13">
        <v>24.33</v>
      </c>
    </row>
    <row r="586" spans="1:7" ht="15" customHeight="1" x14ac:dyDescent="0.35">
      <c r="A586" s="8"/>
      <c r="B586" s="8"/>
      <c r="C586" s="8"/>
      <c r="D586" s="8"/>
      <c r="E586" s="60" t="s">
        <v>714</v>
      </c>
      <c r="F586" s="60"/>
      <c r="G586" s="14">
        <v>24.33</v>
      </c>
    </row>
    <row r="587" spans="1:7" ht="15" customHeight="1" x14ac:dyDescent="0.35">
      <c r="A587" s="59" t="s">
        <v>715</v>
      </c>
      <c r="B587" s="59"/>
      <c r="C587" s="9" t="s">
        <v>3</v>
      </c>
      <c r="D587" s="9" t="s">
        <v>4</v>
      </c>
      <c r="E587" s="9" t="s">
        <v>702</v>
      </c>
      <c r="F587" s="9" t="s">
        <v>703</v>
      </c>
      <c r="G587" s="9" t="s">
        <v>704</v>
      </c>
    </row>
    <row r="588" spans="1:7" ht="15" customHeight="1" x14ac:dyDescent="0.35">
      <c r="A588" s="10" t="s">
        <v>719</v>
      </c>
      <c r="B588" s="11" t="s">
        <v>720</v>
      </c>
      <c r="C588" s="10" t="s">
        <v>20</v>
      </c>
      <c r="D588" s="10" t="s">
        <v>718</v>
      </c>
      <c r="E588" s="12">
        <v>0.54968525000000001</v>
      </c>
      <c r="F588" s="13">
        <v>15.53</v>
      </c>
      <c r="G588" s="13">
        <v>8.5299999999999994</v>
      </c>
    </row>
    <row r="589" spans="1:7" ht="15" customHeight="1" x14ac:dyDescent="0.35">
      <c r="A589" s="10" t="s">
        <v>965</v>
      </c>
      <c r="B589" s="11" t="s">
        <v>966</v>
      </c>
      <c r="C589" s="10" t="s">
        <v>20</v>
      </c>
      <c r="D589" s="10" t="s">
        <v>718</v>
      </c>
      <c r="E589" s="12">
        <v>0.26736343000000001</v>
      </c>
      <c r="F589" s="13">
        <v>19.14</v>
      </c>
      <c r="G589" s="13">
        <v>5.1100000000000003</v>
      </c>
    </row>
    <row r="590" spans="1:7" ht="18" customHeight="1" x14ac:dyDescent="0.35">
      <c r="A590" s="8"/>
      <c r="B590" s="8"/>
      <c r="C590" s="8"/>
      <c r="D590" s="8"/>
      <c r="E590" s="60" t="s">
        <v>721</v>
      </c>
      <c r="F590" s="60"/>
      <c r="G590" s="14">
        <v>13.64</v>
      </c>
    </row>
    <row r="591" spans="1:7" ht="15" customHeight="1" x14ac:dyDescent="0.35">
      <c r="A591" s="8"/>
      <c r="B591" s="8"/>
      <c r="C591" s="8"/>
      <c r="D591" s="8"/>
      <c r="E591" s="61" t="s">
        <v>726</v>
      </c>
      <c r="F591" s="61"/>
      <c r="G591" s="4">
        <v>39.479999999999997</v>
      </c>
    </row>
    <row r="592" spans="1:7" ht="10" customHeight="1" x14ac:dyDescent="0.35">
      <c r="A592" s="8"/>
      <c r="B592" s="8"/>
      <c r="C592" s="57"/>
      <c r="D592" s="57"/>
      <c r="E592" s="8"/>
      <c r="F592" s="8"/>
      <c r="G592" s="8"/>
    </row>
    <row r="593" spans="1:7" ht="20.149999999999999" customHeight="1" x14ac:dyDescent="0.35">
      <c r="A593" s="58" t="s">
        <v>967</v>
      </c>
      <c r="B593" s="58"/>
      <c r="C593" s="58"/>
      <c r="D593" s="58"/>
      <c r="E593" s="58"/>
      <c r="F593" s="58"/>
      <c r="G593" s="58"/>
    </row>
    <row r="594" spans="1:7" ht="15" customHeight="1" x14ac:dyDescent="0.35">
      <c r="A594" s="59" t="s">
        <v>761</v>
      </c>
      <c r="B594" s="59"/>
      <c r="C594" s="9" t="s">
        <v>3</v>
      </c>
      <c r="D594" s="9" t="s">
        <v>4</v>
      </c>
      <c r="E594" s="9" t="s">
        <v>702</v>
      </c>
      <c r="F594" s="9" t="s">
        <v>703</v>
      </c>
      <c r="G594" s="9" t="s">
        <v>704</v>
      </c>
    </row>
    <row r="595" spans="1:7" ht="29.15" customHeight="1" x14ac:dyDescent="0.35">
      <c r="A595" s="10" t="s">
        <v>958</v>
      </c>
      <c r="B595" s="11" t="s">
        <v>959</v>
      </c>
      <c r="C595" s="10" t="s">
        <v>20</v>
      </c>
      <c r="D595" s="10" t="s">
        <v>764</v>
      </c>
      <c r="E595" s="12">
        <v>8.9282000000000007E-3</v>
      </c>
      <c r="F595" s="13">
        <v>15.86</v>
      </c>
      <c r="G595" s="13">
        <v>0.14000000000000001</v>
      </c>
    </row>
    <row r="596" spans="1:7" ht="29.15" customHeight="1" x14ac:dyDescent="0.35">
      <c r="A596" s="10" t="s">
        <v>960</v>
      </c>
      <c r="B596" s="11" t="s">
        <v>961</v>
      </c>
      <c r="C596" s="10" t="s">
        <v>20</v>
      </c>
      <c r="D596" s="10" t="s">
        <v>767</v>
      </c>
      <c r="E596" s="12">
        <v>6.4652399999999997E-3</v>
      </c>
      <c r="F596" s="13">
        <v>16.68</v>
      </c>
      <c r="G596" s="13">
        <v>0.1</v>
      </c>
    </row>
    <row r="597" spans="1:7" ht="15" customHeight="1" x14ac:dyDescent="0.35">
      <c r="A597" s="8"/>
      <c r="B597" s="8"/>
      <c r="C597" s="8"/>
      <c r="D597" s="8"/>
      <c r="E597" s="60" t="s">
        <v>768</v>
      </c>
      <c r="F597" s="60"/>
      <c r="G597" s="14">
        <v>0.24</v>
      </c>
    </row>
    <row r="598" spans="1:7" ht="15" customHeight="1" x14ac:dyDescent="0.35">
      <c r="A598" s="59" t="s">
        <v>701</v>
      </c>
      <c r="B598" s="59"/>
      <c r="C598" s="9" t="s">
        <v>3</v>
      </c>
      <c r="D598" s="9" t="s">
        <v>4</v>
      </c>
      <c r="E598" s="9" t="s">
        <v>702</v>
      </c>
      <c r="F598" s="9" t="s">
        <v>703</v>
      </c>
      <c r="G598" s="9" t="s">
        <v>704</v>
      </c>
    </row>
    <row r="599" spans="1:7" ht="20.149999999999999" customHeight="1" x14ac:dyDescent="0.35">
      <c r="A599" s="10" t="s">
        <v>968</v>
      </c>
      <c r="B599" s="11" t="s">
        <v>969</v>
      </c>
      <c r="C599" s="10" t="s">
        <v>20</v>
      </c>
      <c r="D599" s="10" t="s">
        <v>160</v>
      </c>
      <c r="E599" s="12">
        <v>3</v>
      </c>
      <c r="F599" s="13">
        <v>2.13</v>
      </c>
      <c r="G599" s="13">
        <v>6.39</v>
      </c>
    </row>
    <row r="600" spans="1:7" ht="15" customHeight="1" x14ac:dyDescent="0.35">
      <c r="A600" s="8"/>
      <c r="B600" s="8"/>
      <c r="C600" s="8"/>
      <c r="D600" s="8"/>
      <c r="E600" s="60" t="s">
        <v>714</v>
      </c>
      <c r="F600" s="60"/>
      <c r="G600" s="14">
        <v>6.39</v>
      </c>
    </row>
    <row r="601" spans="1:7" ht="15" customHeight="1" x14ac:dyDescent="0.35">
      <c r="A601" s="59" t="s">
        <v>715</v>
      </c>
      <c r="B601" s="59"/>
      <c r="C601" s="9" t="s">
        <v>3</v>
      </c>
      <c r="D601" s="9" t="s">
        <v>4</v>
      </c>
      <c r="E601" s="9" t="s">
        <v>702</v>
      </c>
      <c r="F601" s="9" t="s">
        <v>703</v>
      </c>
      <c r="G601" s="9" t="s">
        <v>704</v>
      </c>
    </row>
    <row r="602" spans="1:7" ht="15" customHeight="1" x14ac:dyDescent="0.35">
      <c r="A602" s="10" t="s">
        <v>719</v>
      </c>
      <c r="B602" s="11" t="s">
        <v>720</v>
      </c>
      <c r="C602" s="10" t="s">
        <v>20</v>
      </c>
      <c r="D602" s="10" t="s">
        <v>718</v>
      </c>
      <c r="E602" s="12">
        <v>0.35981477000000001</v>
      </c>
      <c r="F602" s="13">
        <v>15.53</v>
      </c>
      <c r="G602" s="13">
        <v>5.58</v>
      </c>
    </row>
    <row r="603" spans="1:7" ht="15" customHeight="1" x14ac:dyDescent="0.35">
      <c r="A603" s="10" t="s">
        <v>965</v>
      </c>
      <c r="B603" s="11" t="s">
        <v>966</v>
      </c>
      <c r="C603" s="10" t="s">
        <v>20</v>
      </c>
      <c r="D603" s="10" t="s">
        <v>718</v>
      </c>
      <c r="E603" s="12">
        <v>0.31300044999999999</v>
      </c>
      <c r="F603" s="13">
        <v>19.14</v>
      </c>
      <c r="G603" s="13">
        <v>5.99</v>
      </c>
    </row>
    <row r="604" spans="1:7" ht="18" customHeight="1" x14ac:dyDescent="0.35">
      <c r="A604" s="8"/>
      <c r="B604" s="8"/>
      <c r="C604" s="8"/>
      <c r="D604" s="8"/>
      <c r="E604" s="60" t="s">
        <v>721</v>
      </c>
      <c r="F604" s="60"/>
      <c r="G604" s="14">
        <v>11.57</v>
      </c>
    </row>
    <row r="605" spans="1:7" ht="15" customHeight="1" x14ac:dyDescent="0.35">
      <c r="A605" s="59" t="s">
        <v>722</v>
      </c>
      <c r="B605" s="59"/>
      <c r="C605" s="9" t="s">
        <v>3</v>
      </c>
      <c r="D605" s="9" t="s">
        <v>4</v>
      </c>
      <c r="E605" s="9" t="s">
        <v>702</v>
      </c>
      <c r="F605" s="9" t="s">
        <v>703</v>
      </c>
      <c r="G605" s="9" t="s">
        <v>704</v>
      </c>
    </row>
    <row r="606" spans="1:7" ht="37" customHeight="1" x14ac:dyDescent="0.35">
      <c r="A606" s="10" t="s">
        <v>970</v>
      </c>
      <c r="B606" s="11" t="s">
        <v>971</v>
      </c>
      <c r="C606" s="10" t="s">
        <v>20</v>
      </c>
      <c r="D606" s="10" t="s">
        <v>31</v>
      </c>
      <c r="E606" s="12">
        <v>1.2006889999999999E-2</v>
      </c>
      <c r="F606" s="13">
        <v>450.37</v>
      </c>
      <c r="G606" s="13">
        <v>5.4</v>
      </c>
    </row>
    <row r="607" spans="1:7" ht="15" customHeight="1" x14ac:dyDescent="0.35">
      <c r="A607" s="8"/>
      <c r="B607" s="8"/>
      <c r="C607" s="8"/>
      <c r="D607" s="8"/>
      <c r="E607" s="60" t="s">
        <v>725</v>
      </c>
      <c r="F607" s="60"/>
      <c r="G607" s="14">
        <v>5.4</v>
      </c>
    </row>
    <row r="608" spans="1:7" ht="15" customHeight="1" x14ac:dyDescent="0.35">
      <c r="A608" s="8"/>
      <c r="B608" s="8"/>
      <c r="C608" s="8"/>
      <c r="D608" s="8"/>
      <c r="E608" s="61" t="s">
        <v>726</v>
      </c>
      <c r="F608" s="61"/>
      <c r="G608" s="4">
        <v>23.6</v>
      </c>
    </row>
    <row r="609" spans="1:7" ht="10" customHeight="1" x14ac:dyDescent="0.35">
      <c r="A609" s="8"/>
      <c r="B609" s="8"/>
      <c r="C609" s="57"/>
      <c r="D609" s="57"/>
      <c r="E609" s="8"/>
      <c r="F609" s="8"/>
      <c r="G609" s="8"/>
    </row>
    <row r="610" spans="1:7" ht="20.149999999999999" customHeight="1" x14ac:dyDescent="0.35">
      <c r="A610" s="58" t="s">
        <v>972</v>
      </c>
      <c r="B610" s="58"/>
      <c r="C610" s="58"/>
      <c r="D610" s="58"/>
      <c r="E610" s="58"/>
      <c r="F610" s="58"/>
      <c r="G610" s="58"/>
    </row>
    <row r="611" spans="1:7" ht="15" customHeight="1" x14ac:dyDescent="0.35">
      <c r="A611" s="59" t="s">
        <v>761</v>
      </c>
      <c r="B611" s="59"/>
      <c r="C611" s="9" t="s">
        <v>3</v>
      </c>
      <c r="D611" s="9" t="s">
        <v>4</v>
      </c>
      <c r="E611" s="9" t="s">
        <v>702</v>
      </c>
      <c r="F611" s="9" t="s">
        <v>703</v>
      </c>
      <c r="G611" s="9" t="s">
        <v>704</v>
      </c>
    </row>
    <row r="612" spans="1:7" ht="29.15" customHeight="1" x14ac:dyDescent="0.35">
      <c r="A612" s="10" t="s">
        <v>958</v>
      </c>
      <c r="B612" s="11" t="s">
        <v>959</v>
      </c>
      <c r="C612" s="10" t="s">
        <v>20</v>
      </c>
      <c r="D612" s="10" t="s">
        <v>764</v>
      </c>
      <c r="E612" s="12">
        <v>1.840638E-2</v>
      </c>
      <c r="F612" s="13">
        <v>15.86</v>
      </c>
      <c r="G612" s="13">
        <v>0.28999999999999998</v>
      </c>
    </row>
    <row r="613" spans="1:7" ht="29.15" customHeight="1" x14ac:dyDescent="0.35">
      <c r="A613" s="10" t="s">
        <v>960</v>
      </c>
      <c r="B613" s="11" t="s">
        <v>961</v>
      </c>
      <c r="C613" s="10" t="s">
        <v>20</v>
      </c>
      <c r="D613" s="10" t="s">
        <v>767</v>
      </c>
      <c r="E613" s="12">
        <v>1.327673E-2</v>
      </c>
      <c r="F613" s="13">
        <v>16.68</v>
      </c>
      <c r="G613" s="13">
        <v>0.22</v>
      </c>
    </row>
    <row r="614" spans="1:7" ht="15" customHeight="1" x14ac:dyDescent="0.35">
      <c r="A614" s="8"/>
      <c r="B614" s="8"/>
      <c r="C614" s="8"/>
      <c r="D614" s="8"/>
      <c r="E614" s="60" t="s">
        <v>768</v>
      </c>
      <c r="F614" s="60"/>
      <c r="G614" s="14">
        <v>0.51</v>
      </c>
    </row>
    <row r="615" spans="1:7" ht="15" customHeight="1" x14ac:dyDescent="0.35">
      <c r="A615" s="59" t="s">
        <v>701</v>
      </c>
      <c r="B615" s="59"/>
      <c r="C615" s="9" t="s">
        <v>3</v>
      </c>
      <c r="D615" s="9" t="s">
        <v>4</v>
      </c>
      <c r="E615" s="9" t="s">
        <v>702</v>
      </c>
      <c r="F615" s="9" t="s">
        <v>703</v>
      </c>
      <c r="G615" s="9" t="s">
        <v>704</v>
      </c>
    </row>
    <row r="616" spans="1:7" ht="20.149999999999999" customHeight="1" x14ac:dyDescent="0.35">
      <c r="A616" s="10" t="s">
        <v>973</v>
      </c>
      <c r="B616" s="11" t="s">
        <v>974</v>
      </c>
      <c r="C616" s="10" t="s">
        <v>20</v>
      </c>
      <c r="D616" s="10" t="s">
        <v>25</v>
      </c>
      <c r="E616" s="12">
        <v>1.07876218</v>
      </c>
      <c r="F616" s="13">
        <v>34.96</v>
      </c>
      <c r="G616" s="13">
        <v>37.71</v>
      </c>
    </row>
    <row r="617" spans="1:7" ht="15" customHeight="1" x14ac:dyDescent="0.35">
      <c r="A617" s="10" t="s">
        <v>975</v>
      </c>
      <c r="B617" s="11" t="s">
        <v>976</v>
      </c>
      <c r="C617" s="10" t="s">
        <v>20</v>
      </c>
      <c r="D617" s="10" t="s">
        <v>56</v>
      </c>
      <c r="E617" s="12">
        <v>8.2191399999999998E-3</v>
      </c>
      <c r="F617" s="13">
        <v>24.5</v>
      </c>
      <c r="G617" s="13">
        <v>0.2</v>
      </c>
    </row>
    <row r="618" spans="1:7" ht="20.149999999999999" customHeight="1" x14ac:dyDescent="0.35">
      <c r="A618" s="10" t="s">
        <v>977</v>
      </c>
      <c r="B618" s="11" t="s">
        <v>978</v>
      </c>
      <c r="C618" s="10" t="s">
        <v>20</v>
      </c>
      <c r="D618" s="10" t="s">
        <v>56</v>
      </c>
      <c r="E618" s="12">
        <v>1.64382E-3</v>
      </c>
      <c r="F618" s="13">
        <v>65.59</v>
      </c>
      <c r="G618" s="13">
        <v>0.1</v>
      </c>
    </row>
    <row r="619" spans="1:7" ht="20.149999999999999" customHeight="1" x14ac:dyDescent="0.35">
      <c r="A619" s="10" t="s">
        <v>939</v>
      </c>
      <c r="B619" s="11" t="s">
        <v>940</v>
      </c>
      <c r="C619" s="10" t="s">
        <v>20</v>
      </c>
      <c r="D619" s="10" t="s">
        <v>941</v>
      </c>
      <c r="E619" s="12">
        <v>5.4451800000000002E-2</v>
      </c>
      <c r="F619" s="13">
        <v>42.39</v>
      </c>
      <c r="G619" s="13">
        <v>2.2999999999999998</v>
      </c>
    </row>
    <row r="620" spans="1:7" ht="15" customHeight="1" x14ac:dyDescent="0.35">
      <c r="A620" s="10" t="s">
        <v>979</v>
      </c>
      <c r="B620" s="11" t="s">
        <v>980</v>
      </c>
      <c r="C620" s="10" t="s">
        <v>20</v>
      </c>
      <c r="D620" s="10" t="s">
        <v>56</v>
      </c>
      <c r="E620" s="12">
        <v>6.0616160000000002E-2</v>
      </c>
      <c r="F620" s="13">
        <v>164.53</v>
      </c>
      <c r="G620" s="13">
        <v>9.9700000000000006</v>
      </c>
    </row>
    <row r="621" spans="1:7" ht="15" customHeight="1" x14ac:dyDescent="0.35">
      <c r="A621" s="8"/>
      <c r="B621" s="8"/>
      <c r="C621" s="8"/>
      <c r="D621" s="8"/>
      <c r="E621" s="60" t="s">
        <v>714</v>
      </c>
      <c r="F621" s="60"/>
      <c r="G621" s="14">
        <v>50.28</v>
      </c>
    </row>
    <row r="622" spans="1:7" ht="15" customHeight="1" x14ac:dyDescent="0.35">
      <c r="A622" s="59" t="s">
        <v>715</v>
      </c>
      <c r="B622" s="59"/>
      <c r="C622" s="9" t="s">
        <v>3</v>
      </c>
      <c r="D622" s="9" t="s">
        <v>4</v>
      </c>
      <c r="E622" s="9" t="s">
        <v>702</v>
      </c>
      <c r="F622" s="9" t="s">
        <v>703</v>
      </c>
      <c r="G622" s="9" t="s">
        <v>704</v>
      </c>
    </row>
    <row r="623" spans="1:7" ht="15" customHeight="1" x14ac:dyDescent="0.35">
      <c r="A623" s="10" t="s">
        <v>719</v>
      </c>
      <c r="B623" s="11" t="s">
        <v>720</v>
      </c>
      <c r="C623" s="10" t="s">
        <v>20</v>
      </c>
      <c r="D623" s="10" t="s">
        <v>718</v>
      </c>
      <c r="E623" s="12">
        <v>0.28299549000000002</v>
      </c>
      <c r="F623" s="13">
        <v>15.53</v>
      </c>
      <c r="G623" s="13">
        <v>4.3899999999999997</v>
      </c>
    </row>
    <row r="624" spans="1:7" ht="15" customHeight="1" x14ac:dyDescent="0.35">
      <c r="A624" s="10" t="s">
        <v>965</v>
      </c>
      <c r="B624" s="11" t="s">
        <v>966</v>
      </c>
      <c r="C624" s="10" t="s">
        <v>20</v>
      </c>
      <c r="D624" s="10" t="s">
        <v>718</v>
      </c>
      <c r="E624" s="12">
        <v>0.18909292999999999</v>
      </c>
      <c r="F624" s="13">
        <v>19.14</v>
      </c>
      <c r="G624" s="13">
        <v>3.61</v>
      </c>
    </row>
    <row r="625" spans="1:7" ht="18" customHeight="1" x14ac:dyDescent="0.35">
      <c r="A625" s="8"/>
      <c r="B625" s="8"/>
      <c r="C625" s="8"/>
      <c r="D625" s="8"/>
      <c r="E625" s="60" t="s">
        <v>721</v>
      </c>
      <c r="F625" s="60"/>
      <c r="G625" s="14">
        <v>8</v>
      </c>
    </row>
    <row r="626" spans="1:7" ht="15" customHeight="1" x14ac:dyDescent="0.35">
      <c r="A626" s="8"/>
      <c r="B626" s="8"/>
      <c r="C626" s="8"/>
      <c r="D626" s="8"/>
      <c r="E626" s="61" t="s">
        <v>726</v>
      </c>
      <c r="F626" s="61"/>
      <c r="G626" s="4">
        <v>58.79</v>
      </c>
    </row>
    <row r="627" spans="1:7" ht="10" customHeight="1" x14ac:dyDescent="0.35">
      <c r="A627" s="8"/>
      <c r="B627" s="8"/>
      <c r="C627" s="57"/>
      <c r="D627" s="57"/>
      <c r="E627" s="8"/>
      <c r="F627" s="8"/>
      <c r="G627" s="8"/>
    </row>
    <row r="628" spans="1:7" ht="20.149999999999999" customHeight="1" x14ac:dyDescent="0.35">
      <c r="A628" s="58" t="s">
        <v>981</v>
      </c>
      <c r="B628" s="58"/>
      <c r="C628" s="58"/>
      <c r="D628" s="58"/>
      <c r="E628" s="58"/>
      <c r="F628" s="58"/>
      <c r="G628" s="58"/>
    </row>
    <row r="629" spans="1:7" ht="15" customHeight="1" x14ac:dyDescent="0.35">
      <c r="A629" s="59" t="s">
        <v>701</v>
      </c>
      <c r="B629" s="59"/>
      <c r="C629" s="9" t="s">
        <v>3</v>
      </c>
      <c r="D629" s="9" t="s">
        <v>4</v>
      </c>
      <c r="E629" s="9" t="s">
        <v>702</v>
      </c>
      <c r="F629" s="9" t="s">
        <v>703</v>
      </c>
      <c r="G629" s="9" t="s">
        <v>704</v>
      </c>
    </row>
    <row r="630" spans="1:7" ht="15" customHeight="1" x14ac:dyDescent="0.35">
      <c r="A630" s="10" t="s">
        <v>982</v>
      </c>
      <c r="B630" s="11" t="s">
        <v>983</v>
      </c>
      <c r="C630" s="10" t="s">
        <v>20</v>
      </c>
      <c r="D630" s="10" t="s">
        <v>56</v>
      </c>
      <c r="E630" s="12">
        <v>0.27071616999999998</v>
      </c>
      <c r="F630" s="13">
        <v>8.6199999999999992</v>
      </c>
      <c r="G630" s="13">
        <v>2.33</v>
      </c>
    </row>
    <row r="631" spans="1:7" ht="20.149999999999999" customHeight="1" x14ac:dyDescent="0.35">
      <c r="A631" s="10" t="s">
        <v>984</v>
      </c>
      <c r="B631" s="11" t="s">
        <v>985</v>
      </c>
      <c r="C631" s="10" t="s">
        <v>20</v>
      </c>
      <c r="D631" s="10" t="s">
        <v>21</v>
      </c>
      <c r="E631" s="12">
        <v>1.17136807</v>
      </c>
      <c r="F631" s="13">
        <v>54.5</v>
      </c>
      <c r="G631" s="13">
        <v>63.83</v>
      </c>
    </row>
    <row r="632" spans="1:7" ht="20.149999999999999" customHeight="1" x14ac:dyDescent="0.35">
      <c r="A632" s="10" t="s">
        <v>986</v>
      </c>
      <c r="B632" s="11" t="s">
        <v>987</v>
      </c>
      <c r="C632" s="10" t="s">
        <v>20</v>
      </c>
      <c r="D632" s="10" t="s">
        <v>777</v>
      </c>
      <c r="E632" s="12">
        <v>0.64034787999999998</v>
      </c>
      <c r="F632" s="13">
        <v>18.47</v>
      </c>
      <c r="G632" s="13">
        <v>11.82</v>
      </c>
    </row>
    <row r="633" spans="1:7" ht="15" customHeight="1" x14ac:dyDescent="0.35">
      <c r="A633" s="8"/>
      <c r="B633" s="8"/>
      <c r="C633" s="8"/>
      <c r="D633" s="8"/>
      <c r="E633" s="60" t="s">
        <v>714</v>
      </c>
      <c r="F633" s="60"/>
      <c r="G633" s="14">
        <v>77.98</v>
      </c>
    </row>
    <row r="634" spans="1:7" ht="15" customHeight="1" x14ac:dyDescent="0.35">
      <c r="A634" s="59" t="s">
        <v>715</v>
      </c>
      <c r="B634" s="59"/>
      <c r="C634" s="9" t="s">
        <v>3</v>
      </c>
      <c r="D634" s="9" t="s">
        <v>4</v>
      </c>
      <c r="E634" s="9" t="s">
        <v>702</v>
      </c>
      <c r="F634" s="9" t="s">
        <v>703</v>
      </c>
      <c r="G634" s="9" t="s">
        <v>704</v>
      </c>
    </row>
    <row r="635" spans="1:7" ht="15" customHeight="1" x14ac:dyDescent="0.35">
      <c r="A635" s="10" t="s">
        <v>988</v>
      </c>
      <c r="B635" s="11" t="s">
        <v>989</v>
      </c>
      <c r="C635" s="10" t="s">
        <v>20</v>
      </c>
      <c r="D635" s="10" t="s">
        <v>718</v>
      </c>
      <c r="E635" s="12">
        <v>0.19649048999999999</v>
      </c>
      <c r="F635" s="13">
        <v>15.86</v>
      </c>
      <c r="G635" s="13">
        <v>3.11</v>
      </c>
    </row>
    <row r="636" spans="1:7" ht="15" customHeight="1" x14ac:dyDescent="0.35">
      <c r="A636" s="10" t="s">
        <v>990</v>
      </c>
      <c r="B636" s="11" t="s">
        <v>991</v>
      </c>
      <c r="C636" s="10" t="s">
        <v>20</v>
      </c>
      <c r="D636" s="10" t="s">
        <v>718</v>
      </c>
      <c r="E636" s="12">
        <v>0.96756969000000004</v>
      </c>
      <c r="F636" s="13">
        <v>19.57</v>
      </c>
      <c r="G636" s="13">
        <v>18.93</v>
      </c>
    </row>
    <row r="637" spans="1:7" ht="18" customHeight="1" x14ac:dyDescent="0.35">
      <c r="A637" s="8"/>
      <c r="B637" s="8"/>
      <c r="C637" s="8"/>
      <c r="D637" s="8"/>
      <c r="E637" s="60" t="s">
        <v>721</v>
      </c>
      <c r="F637" s="60"/>
      <c r="G637" s="14">
        <v>22.04</v>
      </c>
    </row>
    <row r="638" spans="1:7" ht="15" customHeight="1" x14ac:dyDescent="0.35">
      <c r="A638" s="8"/>
      <c r="B638" s="8"/>
      <c r="C638" s="8"/>
      <c r="D638" s="8"/>
      <c r="E638" s="61" t="s">
        <v>726</v>
      </c>
      <c r="F638" s="61"/>
      <c r="G638" s="4">
        <v>100.02</v>
      </c>
    </row>
    <row r="639" spans="1:7" ht="10" customHeight="1" x14ac:dyDescent="0.35">
      <c r="A639" s="8"/>
      <c r="B639" s="8"/>
      <c r="C639" s="57"/>
      <c r="D639" s="57"/>
      <c r="E639" s="8"/>
      <c r="F639" s="8"/>
      <c r="G639" s="8"/>
    </row>
    <row r="640" spans="1:7" ht="20.149999999999999" customHeight="1" x14ac:dyDescent="0.35">
      <c r="A640" s="58" t="s">
        <v>992</v>
      </c>
      <c r="B640" s="58"/>
      <c r="C640" s="58"/>
      <c r="D640" s="58"/>
      <c r="E640" s="58"/>
      <c r="F640" s="58"/>
      <c r="G640" s="58"/>
    </row>
    <row r="641" spans="1:7" ht="15" customHeight="1" x14ac:dyDescent="0.35">
      <c r="A641" s="59" t="s">
        <v>701</v>
      </c>
      <c r="B641" s="59"/>
      <c r="C641" s="9" t="s">
        <v>3</v>
      </c>
      <c r="D641" s="9" t="s">
        <v>4</v>
      </c>
      <c r="E641" s="9" t="s">
        <v>702</v>
      </c>
      <c r="F641" s="9" t="s">
        <v>703</v>
      </c>
      <c r="G641" s="9" t="s">
        <v>704</v>
      </c>
    </row>
    <row r="642" spans="1:7" ht="29.15" customHeight="1" x14ac:dyDescent="0.35">
      <c r="A642" s="10" t="s">
        <v>993</v>
      </c>
      <c r="B642" s="11" t="s">
        <v>994</v>
      </c>
      <c r="C642" s="10" t="s">
        <v>20</v>
      </c>
      <c r="D642" s="10" t="s">
        <v>56</v>
      </c>
      <c r="E642" s="12">
        <v>1.4712691899999999</v>
      </c>
      <c r="F642" s="13">
        <v>24.77</v>
      </c>
      <c r="G642" s="13">
        <v>36.44</v>
      </c>
    </row>
    <row r="643" spans="1:7" ht="15" customHeight="1" x14ac:dyDescent="0.35">
      <c r="A643" s="8"/>
      <c r="B643" s="8"/>
      <c r="C643" s="8"/>
      <c r="D643" s="8"/>
      <c r="E643" s="60" t="s">
        <v>714</v>
      </c>
      <c r="F643" s="60"/>
      <c r="G643" s="14">
        <v>36.44</v>
      </c>
    </row>
    <row r="644" spans="1:7" ht="15" customHeight="1" x14ac:dyDescent="0.35">
      <c r="A644" s="59" t="s">
        <v>715</v>
      </c>
      <c r="B644" s="59"/>
      <c r="C644" s="9" t="s">
        <v>3</v>
      </c>
      <c r="D644" s="9" t="s">
        <v>4</v>
      </c>
      <c r="E644" s="9" t="s">
        <v>702</v>
      </c>
      <c r="F644" s="9" t="s">
        <v>703</v>
      </c>
      <c r="G644" s="9" t="s">
        <v>704</v>
      </c>
    </row>
    <row r="645" spans="1:7" ht="15" customHeight="1" x14ac:dyDescent="0.35">
      <c r="A645" s="10" t="s">
        <v>988</v>
      </c>
      <c r="B645" s="11" t="s">
        <v>989</v>
      </c>
      <c r="C645" s="10" t="s">
        <v>20</v>
      </c>
      <c r="D645" s="10" t="s">
        <v>718</v>
      </c>
      <c r="E645" s="12">
        <v>8.1725950000000006E-2</v>
      </c>
      <c r="F645" s="13">
        <v>15.86</v>
      </c>
      <c r="G645" s="13">
        <v>1.29</v>
      </c>
    </row>
    <row r="646" spans="1:7" ht="15" customHeight="1" x14ac:dyDescent="0.35">
      <c r="A646" s="10" t="s">
        <v>990</v>
      </c>
      <c r="B646" s="11" t="s">
        <v>991</v>
      </c>
      <c r="C646" s="10" t="s">
        <v>20</v>
      </c>
      <c r="D646" s="10" t="s">
        <v>718</v>
      </c>
      <c r="E646" s="12">
        <v>0.40625630000000001</v>
      </c>
      <c r="F646" s="13">
        <v>19.57</v>
      </c>
      <c r="G646" s="13">
        <v>7.95</v>
      </c>
    </row>
    <row r="647" spans="1:7" ht="18" customHeight="1" x14ac:dyDescent="0.35">
      <c r="A647" s="8"/>
      <c r="B647" s="8"/>
      <c r="C647" s="8"/>
      <c r="D647" s="8"/>
      <c r="E647" s="60" t="s">
        <v>721</v>
      </c>
      <c r="F647" s="60"/>
      <c r="G647" s="14">
        <v>9.24</v>
      </c>
    </row>
    <row r="648" spans="1:7" ht="15" customHeight="1" x14ac:dyDescent="0.35">
      <c r="A648" s="8"/>
      <c r="B648" s="8"/>
      <c r="C648" s="8"/>
      <c r="D648" s="8"/>
      <c r="E648" s="61" t="s">
        <v>726</v>
      </c>
      <c r="F648" s="61"/>
      <c r="G648" s="4">
        <v>45.68</v>
      </c>
    </row>
    <row r="649" spans="1:7" ht="10" customHeight="1" x14ac:dyDescent="0.35">
      <c r="A649" s="8"/>
      <c r="B649" s="8"/>
      <c r="C649" s="57"/>
      <c r="D649" s="57"/>
      <c r="E649" s="8"/>
      <c r="F649" s="8"/>
      <c r="G649" s="8"/>
    </row>
    <row r="650" spans="1:7" ht="20.149999999999999" customHeight="1" x14ac:dyDescent="0.35">
      <c r="A650" s="58" t="s">
        <v>995</v>
      </c>
      <c r="B650" s="58"/>
      <c r="C650" s="58"/>
      <c r="D650" s="58"/>
      <c r="E650" s="58"/>
      <c r="F650" s="58"/>
      <c r="G650" s="58"/>
    </row>
    <row r="651" spans="1:7" ht="15" customHeight="1" x14ac:dyDescent="0.35">
      <c r="A651" s="59" t="s">
        <v>715</v>
      </c>
      <c r="B651" s="59"/>
      <c r="C651" s="9" t="s">
        <v>3</v>
      </c>
      <c r="D651" s="9" t="s">
        <v>4</v>
      </c>
      <c r="E651" s="9" t="s">
        <v>702</v>
      </c>
      <c r="F651" s="9" t="s">
        <v>703</v>
      </c>
      <c r="G651" s="9" t="s">
        <v>704</v>
      </c>
    </row>
    <row r="652" spans="1:7" ht="15" customHeight="1" x14ac:dyDescent="0.35">
      <c r="A652" s="10" t="s">
        <v>794</v>
      </c>
      <c r="B652" s="11" t="s">
        <v>795</v>
      </c>
      <c r="C652" s="10" t="s">
        <v>20</v>
      </c>
      <c r="D652" s="10" t="s">
        <v>718</v>
      </c>
      <c r="E652" s="12">
        <v>6.9373340000000006E-2</v>
      </c>
      <c r="F652" s="13">
        <v>19.57</v>
      </c>
      <c r="G652" s="13">
        <v>1.35</v>
      </c>
    </row>
    <row r="653" spans="1:7" ht="15" customHeight="1" x14ac:dyDescent="0.35">
      <c r="A653" s="10" t="s">
        <v>719</v>
      </c>
      <c r="B653" s="11" t="s">
        <v>720</v>
      </c>
      <c r="C653" s="10" t="s">
        <v>20</v>
      </c>
      <c r="D653" s="10" t="s">
        <v>718</v>
      </c>
      <c r="E653" s="12">
        <v>6.8862300000000001E-3</v>
      </c>
      <c r="F653" s="13">
        <v>15.53</v>
      </c>
      <c r="G653" s="13">
        <v>0.1</v>
      </c>
    </row>
    <row r="654" spans="1:7" ht="18" customHeight="1" x14ac:dyDescent="0.35">
      <c r="A654" s="8"/>
      <c r="B654" s="8"/>
      <c r="C654" s="8"/>
      <c r="D654" s="8"/>
      <c r="E654" s="60" t="s">
        <v>721</v>
      </c>
      <c r="F654" s="60"/>
      <c r="G654" s="14">
        <v>1.45</v>
      </c>
    </row>
    <row r="655" spans="1:7" ht="15" customHeight="1" x14ac:dyDescent="0.35">
      <c r="A655" s="59" t="s">
        <v>722</v>
      </c>
      <c r="B655" s="59"/>
      <c r="C655" s="9" t="s">
        <v>3</v>
      </c>
      <c r="D655" s="9" t="s">
        <v>4</v>
      </c>
      <c r="E655" s="9" t="s">
        <v>702</v>
      </c>
      <c r="F655" s="9" t="s">
        <v>703</v>
      </c>
      <c r="G655" s="9" t="s">
        <v>704</v>
      </c>
    </row>
    <row r="656" spans="1:7" ht="29.15" customHeight="1" x14ac:dyDescent="0.35">
      <c r="A656" s="10" t="s">
        <v>996</v>
      </c>
      <c r="B656" s="11" t="s">
        <v>997</v>
      </c>
      <c r="C656" s="10" t="s">
        <v>20</v>
      </c>
      <c r="D656" s="10" t="s">
        <v>31</v>
      </c>
      <c r="E656" s="12">
        <v>4.1317400000000001E-3</v>
      </c>
      <c r="F656" s="13">
        <v>469.03</v>
      </c>
      <c r="G656" s="13">
        <v>1.93</v>
      </c>
    </row>
    <row r="657" spans="1:7" ht="15" customHeight="1" x14ac:dyDescent="0.35">
      <c r="A657" s="8"/>
      <c r="B657" s="8"/>
      <c r="C657" s="8"/>
      <c r="D657" s="8"/>
      <c r="E657" s="60" t="s">
        <v>725</v>
      </c>
      <c r="F657" s="60"/>
      <c r="G657" s="14">
        <v>1.93</v>
      </c>
    </row>
    <row r="658" spans="1:7" ht="15" customHeight="1" x14ac:dyDescent="0.35">
      <c r="A658" s="8"/>
      <c r="B658" s="8"/>
      <c r="C658" s="8"/>
      <c r="D658" s="8"/>
      <c r="E658" s="61" t="s">
        <v>726</v>
      </c>
      <c r="F658" s="61"/>
      <c r="G658" s="4">
        <v>3.38</v>
      </c>
    </row>
    <row r="659" spans="1:7" ht="10" customHeight="1" x14ac:dyDescent="0.35">
      <c r="A659" s="8"/>
      <c r="B659" s="8"/>
      <c r="C659" s="57"/>
      <c r="D659" s="57"/>
      <c r="E659" s="8"/>
      <c r="F659" s="8"/>
      <c r="G659" s="8"/>
    </row>
    <row r="660" spans="1:7" ht="20.149999999999999" customHeight="1" x14ac:dyDescent="0.35">
      <c r="A660" s="58" t="s">
        <v>998</v>
      </c>
      <c r="B660" s="58"/>
      <c r="C660" s="58"/>
      <c r="D660" s="58"/>
      <c r="E660" s="58"/>
      <c r="F660" s="58"/>
      <c r="G660" s="58"/>
    </row>
    <row r="661" spans="1:7" ht="15" customHeight="1" x14ac:dyDescent="0.35">
      <c r="A661" s="59" t="s">
        <v>715</v>
      </c>
      <c r="B661" s="59"/>
      <c r="C661" s="9" t="s">
        <v>3</v>
      </c>
      <c r="D661" s="9" t="s">
        <v>4</v>
      </c>
      <c r="E661" s="9" t="s">
        <v>702</v>
      </c>
      <c r="F661" s="9" t="s">
        <v>703</v>
      </c>
      <c r="G661" s="9" t="s">
        <v>704</v>
      </c>
    </row>
    <row r="662" spans="1:7" ht="15" customHeight="1" x14ac:dyDescent="0.35">
      <c r="A662" s="10" t="s">
        <v>794</v>
      </c>
      <c r="B662" s="11" t="s">
        <v>795</v>
      </c>
      <c r="C662" s="10" t="s">
        <v>20</v>
      </c>
      <c r="D662" s="10" t="s">
        <v>718</v>
      </c>
      <c r="E662" s="12">
        <v>0.11760274</v>
      </c>
      <c r="F662" s="13">
        <v>19.57</v>
      </c>
      <c r="G662" s="13">
        <v>2.2999999999999998</v>
      </c>
    </row>
    <row r="663" spans="1:7" ht="15" customHeight="1" x14ac:dyDescent="0.35">
      <c r="A663" s="10" t="s">
        <v>719</v>
      </c>
      <c r="B663" s="11" t="s">
        <v>720</v>
      </c>
      <c r="C663" s="10" t="s">
        <v>20</v>
      </c>
      <c r="D663" s="10" t="s">
        <v>718</v>
      </c>
      <c r="E663" s="12">
        <v>5.8801359999999997E-2</v>
      </c>
      <c r="F663" s="13">
        <v>15.53</v>
      </c>
      <c r="G663" s="13">
        <v>0.91</v>
      </c>
    </row>
    <row r="664" spans="1:7" ht="18" customHeight="1" x14ac:dyDescent="0.35">
      <c r="A664" s="8"/>
      <c r="B664" s="8"/>
      <c r="C664" s="8"/>
      <c r="D664" s="8"/>
      <c r="E664" s="60" t="s">
        <v>721</v>
      </c>
      <c r="F664" s="60"/>
      <c r="G664" s="14">
        <v>3.21</v>
      </c>
    </row>
    <row r="665" spans="1:7" ht="15" customHeight="1" x14ac:dyDescent="0.35">
      <c r="A665" s="59" t="s">
        <v>722</v>
      </c>
      <c r="B665" s="59"/>
      <c r="C665" s="9" t="s">
        <v>3</v>
      </c>
      <c r="D665" s="9" t="s">
        <v>4</v>
      </c>
      <c r="E665" s="9" t="s">
        <v>702</v>
      </c>
      <c r="F665" s="9" t="s">
        <v>703</v>
      </c>
      <c r="G665" s="9" t="s">
        <v>704</v>
      </c>
    </row>
    <row r="666" spans="1:7" ht="29.15" customHeight="1" x14ac:dyDescent="0.35">
      <c r="A666" s="10" t="s">
        <v>996</v>
      </c>
      <c r="B666" s="11" t="s">
        <v>997</v>
      </c>
      <c r="C666" s="10" t="s">
        <v>20</v>
      </c>
      <c r="D666" s="10" t="s">
        <v>31</v>
      </c>
      <c r="E666" s="12">
        <v>3.9833100000000003E-3</v>
      </c>
      <c r="F666" s="13">
        <v>469.03</v>
      </c>
      <c r="G666" s="13">
        <v>1.86</v>
      </c>
    </row>
    <row r="667" spans="1:7" ht="15" customHeight="1" x14ac:dyDescent="0.35">
      <c r="A667" s="8"/>
      <c r="B667" s="8"/>
      <c r="C667" s="8"/>
      <c r="D667" s="8"/>
      <c r="E667" s="60" t="s">
        <v>725</v>
      </c>
      <c r="F667" s="60"/>
      <c r="G667" s="14">
        <v>1.86</v>
      </c>
    </row>
    <row r="668" spans="1:7" ht="15" customHeight="1" x14ac:dyDescent="0.35">
      <c r="A668" s="8"/>
      <c r="B668" s="8"/>
      <c r="C668" s="8"/>
      <c r="D668" s="8"/>
      <c r="E668" s="61" t="s">
        <v>726</v>
      </c>
      <c r="F668" s="61"/>
      <c r="G668" s="4">
        <v>5.07</v>
      </c>
    </row>
    <row r="669" spans="1:7" ht="10" customHeight="1" x14ac:dyDescent="0.35">
      <c r="A669" s="8"/>
      <c r="B669" s="8"/>
      <c r="C669" s="57"/>
      <c r="D669" s="57"/>
      <c r="E669" s="8"/>
      <c r="F669" s="8"/>
      <c r="G669" s="8"/>
    </row>
    <row r="670" spans="1:7" ht="20.149999999999999" customHeight="1" x14ac:dyDescent="0.35">
      <c r="A670" s="58" t="s">
        <v>999</v>
      </c>
      <c r="B670" s="58"/>
      <c r="C670" s="58"/>
      <c r="D670" s="58"/>
      <c r="E670" s="58"/>
      <c r="F670" s="58"/>
      <c r="G670" s="58"/>
    </row>
    <row r="671" spans="1:7" ht="15" customHeight="1" x14ac:dyDescent="0.35">
      <c r="A671" s="59" t="s">
        <v>715</v>
      </c>
      <c r="B671" s="59"/>
      <c r="C671" s="9" t="s">
        <v>3</v>
      </c>
      <c r="D671" s="9" t="s">
        <v>4</v>
      </c>
      <c r="E671" s="9" t="s">
        <v>702</v>
      </c>
      <c r="F671" s="9" t="s">
        <v>703</v>
      </c>
      <c r="G671" s="9" t="s">
        <v>704</v>
      </c>
    </row>
    <row r="672" spans="1:7" ht="15" customHeight="1" x14ac:dyDescent="0.35">
      <c r="A672" s="10" t="s">
        <v>794</v>
      </c>
      <c r="B672" s="11" t="s">
        <v>795</v>
      </c>
      <c r="C672" s="10" t="s">
        <v>20</v>
      </c>
      <c r="D672" s="10" t="s">
        <v>718</v>
      </c>
      <c r="E672" s="12">
        <v>6.7681060000000001E-2</v>
      </c>
      <c r="F672" s="13">
        <v>19.57</v>
      </c>
      <c r="G672" s="13">
        <v>1.32</v>
      </c>
    </row>
    <row r="673" spans="1:7" ht="15" customHeight="1" x14ac:dyDescent="0.35">
      <c r="A673" s="10" t="s">
        <v>719</v>
      </c>
      <c r="B673" s="11" t="s">
        <v>720</v>
      </c>
      <c r="C673" s="10" t="s">
        <v>20</v>
      </c>
      <c r="D673" s="10" t="s">
        <v>718</v>
      </c>
      <c r="E673" s="12">
        <v>6.8185199999999998E-3</v>
      </c>
      <c r="F673" s="13">
        <v>15.53</v>
      </c>
      <c r="G673" s="13">
        <v>0.1</v>
      </c>
    </row>
    <row r="674" spans="1:7" ht="18" customHeight="1" x14ac:dyDescent="0.35">
      <c r="A674" s="8"/>
      <c r="B674" s="8"/>
      <c r="C674" s="8"/>
      <c r="D674" s="8"/>
      <c r="E674" s="60" t="s">
        <v>721</v>
      </c>
      <c r="F674" s="60"/>
      <c r="G674" s="14">
        <v>1.42</v>
      </c>
    </row>
    <row r="675" spans="1:7" ht="15" customHeight="1" x14ac:dyDescent="0.35">
      <c r="A675" s="59" t="s">
        <v>722</v>
      </c>
      <c r="B675" s="59"/>
      <c r="C675" s="9" t="s">
        <v>3</v>
      </c>
      <c r="D675" s="9" t="s">
        <v>4</v>
      </c>
      <c r="E675" s="9" t="s">
        <v>702</v>
      </c>
      <c r="F675" s="9" t="s">
        <v>703</v>
      </c>
      <c r="G675" s="9" t="s">
        <v>704</v>
      </c>
    </row>
    <row r="676" spans="1:7" ht="29.15" customHeight="1" x14ac:dyDescent="0.35">
      <c r="A676" s="10" t="s">
        <v>1000</v>
      </c>
      <c r="B676" s="11" t="s">
        <v>1001</v>
      </c>
      <c r="C676" s="10" t="s">
        <v>20</v>
      </c>
      <c r="D676" s="10" t="s">
        <v>31</v>
      </c>
      <c r="E676" s="12">
        <v>4.0911100000000002E-3</v>
      </c>
      <c r="F676" s="13">
        <v>565.39</v>
      </c>
      <c r="G676" s="13">
        <v>2.31</v>
      </c>
    </row>
    <row r="677" spans="1:7" ht="15" customHeight="1" x14ac:dyDescent="0.35">
      <c r="A677" s="8"/>
      <c r="B677" s="8"/>
      <c r="C677" s="8"/>
      <c r="D677" s="8"/>
      <c r="E677" s="60" t="s">
        <v>725</v>
      </c>
      <c r="F677" s="60"/>
      <c r="G677" s="14">
        <v>2.31</v>
      </c>
    </row>
    <row r="678" spans="1:7" ht="15" customHeight="1" x14ac:dyDescent="0.35">
      <c r="A678" s="8"/>
      <c r="B678" s="8"/>
      <c r="C678" s="8"/>
      <c r="D678" s="8"/>
      <c r="E678" s="61" t="s">
        <v>726</v>
      </c>
      <c r="F678" s="61"/>
      <c r="G678" s="4">
        <v>3.73</v>
      </c>
    </row>
    <row r="679" spans="1:7" ht="10" customHeight="1" x14ac:dyDescent="0.35">
      <c r="A679" s="8"/>
      <c r="B679" s="8"/>
      <c r="C679" s="57"/>
      <c r="D679" s="57"/>
      <c r="E679" s="8"/>
      <c r="F679" s="8"/>
      <c r="G679" s="8"/>
    </row>
    <row r="680" spans="1:7" ht="27" customHeight="1" x14ac:dyDescent="0.35">
      <c r="A680" s="58" t="s">
        <v>1002</v>
      </c>
      <c r="B680" s="58"/>
      <c r="C680" s="58"/>
      <c r="D680" s="58"/>
      <c r="E680" s="58"/>
      <c r="F680" s="58"/>
      <c r="G680" s="58"/>
    </row>
    <row r="681" spans="1:7" ht="15" customHeight="1" x14ac:dyDescent="0.35">
      <c r="A681" s="59" t="s">
        <v>715</v>
      </c>
      <c r="B681" s="59"/>
      <c r="C681" s="9" t="s">
        <v>3</v>
      </c>
      <c r="D681" s="9" t="s">
        <v>4</v>
      </c>
      <c r="E681" s="9" t="s">
        <v>702</v>
      </c>
      <c r="F681" s="9" t="s">
        <v>703</v>
      </c>
      <c r="G681" s="9" t="s">
        <v>704</v>
      </c>
    </row>
    <row r="682" spans="1:7" ht="15" customHeight="1" x14ac:dyDescent="0.35">
      <c r="A682" s="10" t="s">
        <v>794</v>
      </c>
      <c r="B682" s="11" t="s">
        <v>795</v>
      </c>
      <c r="C682" s="10" t="s">
        <v>20</v>
      </c>
      <c r="D682" s="10" t="s">
        <v>718</v>
      </c>
      <c r="E682" s="12">
        <v>0.31627091000000002</v>
      </c>
      <c r="F682" s="13">
        <v>19.57</v>
      </c>
      <c r="G682" s="13">
        <v>6.18</v>
      </c>
    </row>
    <row r="683" spans="1:7" ht="15" customHeight="1" x14ac:dyDescent="0.35">
      <c r="A683" s="10" t="s">
        <v>719</v>
      </c>
      <c r="B683" s="11" t="s">
        <v>720</v>
      </c>
      <c r="C683" s="10" t="s">
        <v>20</v>
      </c>
      <c r="D683" s="10" t="s">
        <v>718</v>
      </c>
      <c r="E683" s="12">
        <v>0.11662488999999999</v>
      </c>
      <c r="F683" s="13">
        <v>15.53</v>
      </c>
      <c r="G683" s="13">
        <v>1.81</v>
      </c>
    </row>
    <row r="684" spans="1:7" ht="18" customHeight="1" x14ac:dyDescent="0.35">
      <c r="A684" s="8"/>
      <c r="B684" s="8"/>
      <c r="C684" s="8"/>
      <c r="D684" s="8"/>
      <c r="E684" s="60" t="s">
        <v>721</v>
      </c>
      <c r="F684" s="60"/>
      <c r="G684" s="14">
        <v>7.99</v>
      </c>
    </row>
    <row r="685" spans="1:7" ht="15" customHeight="1" x14ac:dyDescent="0.35">
      <c r="A685" s="59" t="s">
        <v>722</v>
      </c>
      <c r="B685" s="59"/>
      <c r="C685" s="9" t="s">
        <v>3</v>
      </c>
      <c r="D685" s="9" t="s">
        <v>4</v>
      </c>
      <c r="E685" s="9" t="s">
        <v>702</v>
      </c>
      <c r="F685" s="9" t="s">
        <v>703</v>
      </c>
      <c r="G685" s="9" t="s">
        <v>704</v>
      </c>
    </row>
    <row r="686" spans="1:7" ht="37" customHeight="1" x14ac:dyDescent="0.35">
      <c r="A686" s="10" t="s">
        <v>1003</v>
      </c>
      <c r="B686" s="11" t="s">
        <v>1004</v>
      </c>
      <c r="C686" s="10" t="s">
        <v>20</v>
      </c>
      <c r="D686" s="10" t="s">
        <v>31</v>
      </c>
      <c r="E686" s="12">
        <v>3.7161819999999998E-2</v>
      </c>
      <c r="F686" s="13">
        <v>469.95</v>
      </c>
      <c r="G686" s="13">
        <v>17.46</v>
      </c>
    </row>
    <row r="687" spans="1:7" ht="15" customHeight="1" x14ac:dyDescent="0.35">
      <c r="A687" s="8"/>
      <c r="B687" s="8"/>
      <c r="C687" s="8"/>
      <c r="D687" s="8"/>
      <c r="E687" s="60" t="s">
        <v>725</v>
      </c>
      <c r="F687" s="60"/>
      <c r="G687" s="14">
        <v>17.46</v>
      </c>
    </row>
    <row r="688" spans="1:7" ht="15" customHeight="1" x14ac:dyDescent="0.35">
      <c r="A688" s="8"/>
      <c r="B688" s="8"/>
      <c r="C688" s="8"/>
      <c r="D688" s="8"/>
      <c r="E688" s="61" t="s">
        <v>726</v>
      </c>
      <c r="F688" s="61"/>
      <c r="G688" s="4">
        <v>25.45</v>
      </c>
    </row>
    <row r="689" spans="1:7" ht="10" customHeight="1" x14ac:dyDescent="0.35">
      <c r="A689" s="8"/>
      <c r="B689" s="8"/>
      <c r="C689" s="57"/>
      <c r="D689" s="57"/>
      <c r="E689" s="8"/>
      <c r="F689" s="8"/>
      <c r="G689" s="8"/>
    </row>
    <row r="690" spans="1:7" ht="20.149999999999999" customHeight="1" x14ac:dyDescent="0.35">
      <c r="A690" s="58" t="s">
        <v>1005</v>
      </c>
      <c r="B690" s="58"/>
      <c r="C690" s="58"/>
      <c r="D690" s="58"/>
      <c r="E690" s="58"/>
      <c r="F690" s="58"/>
      <c r="G690" s="58"/>
    </row>
    <row r="691" spans="1:7" ht="15" customHeight="1" x14ac:dyDescent="0.35">
      <c r="A691" s="59" t="s">
        <v>715</v>
      </c>
      <c r="B691" s="59"/>
      <c r="C691" s="9" t="s">
        <v>3</v>
      </c>
      <c r="D691" s="9" t="s">
        <v>4</v>
      </c>
      <c r="E691" s="9" t="s">
        <v>702</v>
      </c>
      <c r="F691" s="9" t="s">
        <v>703</v>
      </c>
      <c r="G691" s="9" t="s">
        <v>704</v>
      </c>
    </row>
    <row r="692" spans="1:7" ht="15" customHeight="1" x14ac:dyDescent="0.35">
      <c r="A692" s="10" t="s">
        <v>794</v>
      </c>
      <c r="B692" s="11" t="s">
        <v>795</v>
      </c>
      <c r="C692" s="10" t="s">
        <v>20</v>
      </c>
      <c r="D692" s="10" t="s">
        <v>718</v>
      </c>
      <c r="E692" s="12">
        <v>0.46364030000000001</v>
      </c>
      <c r="F692" s="13">
        <v>19.57</v>
      </c>
      <c r="G692" s="13">
        <v>9.07</v>
      </c>
    </row>
    <row r="693" spans="1:7" ht="15" customHeight="1" x14ac:dyDescent="0.35">
      <c r="A693" s="10" t="s">
        <v>719</v>
      </c>
      <c r="B693" s="11" t="s">
        <v>720</v>
      </c>
      <c r="C693" s="10" t="s">
        <v>20</v>
      </c>
      <c r="D693" s="10" t="s">
        <v>718</v>
      </c>
      <c r="E693" s="12">
        <v>0.16868614000000001</v>
      </c>
      <c r="F693" s="13">
        <v>15.53</v>
      </c>
      <c r="G693" s="13">
        <v>2.61</v>
      </c>
    </row>
    <row r="694" spans="1:7" ht="18" customHeight="1" x14ac:dyDescent="0.35">
      <c r="A694" s="8"/>
      <c r="B694" s="8"/>
      <c r="C694" s="8"/>
      <c r="D694" s="8"/>
      <c r="E694" s="60" t="s">
        <v>721</v>
      </c>
      <c r="F694" s="60"/>
      <c r="G694" s="14">
        <v>11.68</v>
      </c>
    </row>
    <row r="695" spans="1:7" ht="15" customHeight="1" x14ac:dyDescent="0.35">
      <c r="A695" s="59" t="s">
        <v>722</v>
      </c>
      <c r="B695" s="59"/>
      <c r="C695" s="9" t="s">
        <v>3</v>
      </c>
      <c r="D695" s="9" t="s">
        <v>4</v>
      </c>
      <c r="E695" s="9" t="s">
        <v>702</v>
      </c>
      <c r="F695" s="9" t="s">
        <v>703</v>
      </c>
      <c r="G695" s="9" t="s">
        <v>704</v>
      </c>
    </row>
    <row r="696" spans="1:7" ht="37" customHeight="1" x14ac:dyDescent="0.35">
      <c r="A696" s="10" t="s">
        <v>1003</v>
      </c>
      <c r="B696" s="11" t="s">
        <v>1004</v>
      </c>
      <c r="C696" s="10" t="s">
        <v>20</v>
      </c>
      <c r="D696" s="10" t="s">
        <v>31</v>
      </c>
      <c r="E696" s="12">
        <v>3.7091209999999999E-2</v>
      </c>
      <c r="F696" s="13">
        <v>469.95</v>
      </c>
      <c r="G696" s="13">
        <v>17.43</v>
      </c>
    </row>
    <row r="697" spans="1:7" ht="15" customHeight="1" x14ac:dyDescent="0.35">
      <c r="A697" s="8"/>
      <c r="B697" s="8"/>
      <c r="C697" s="8"/>
      <c r="D697" s="8"/>
      <c r="E697" s="60" t="s">
        <v>725</v>
      </c>
      <c r="F697" s="60"/>
      <c r="G697" s="14">
        <v>17.43</v>
      </c>
    </row>
    <row r="698" spans="1:7" ht="15" customHeight="1" x14ac:dyDescent="0.35">
      <c r="A698" s="8"/>
      <c r="B698" s="8"/>
      <c r="C698" s="8"/>
      <c r="D698" s="8"/>
      <c r="E698" s="61" t="s">
        <v>726</v>
      </c>
      <c r="F698" s="61"/>
      <c r="G698" s="4">
        <v>29.11</v>
      </c>
    </row>
    <row r="699" spans="1:7" ht="10" customHeight="1" x14ac:dyDescent="0.35">
      <c r="A699" s="8"/>
      <c r="B699" s="8"/>
      <c r="C699" s="57"/>
      <c r="D699" s="57"/>
      <c r="E699" s="8"/>
      <c r="F699" s="8"/>
      <c r="G699" s="8"/>
    </row>
    <row r="700" spans="1:7" ht="20.149999999999999" customHeight="1" x14ac:dyDescent="0.35">
      <c r="A700" s="58" t="s">
        <v>1006</v>
      </c>
      <c r="B700" s="58"/>
      <c r="C700" s="58"/>
      <c r="D700" s="58"/>
      <c r="E700" s="58"/>
      <c r="F700" s="58"/>
      <c r="G700" s="58"/>
    </row>
    <row r="701" spans="1:7" ht="15" customHeight="1" x14ac:dyDescent="0.35">
      <c r="A701" s="59" t="s">
        <v>715</v>
      </c>
      <c r="B701" s="59"/>
      <c r="C701" s="9" t="s">
        <v>3</v>
      </c>
      <c r="D701" s="9" t="s">
        <v>4</v>
      </c>
      <c r="E701" s="9" t="s">
        <v>702</v>
      </c>
      <c r="F701" s="9" t="s">
        <v>703</v>
      </c>
      <c r="G701" s="9" t="s">
        <v>704</v>
      </c>
    </row>
    <row r="702" spans="1:7" ht="15" customHeight="1" x14ac:dyDescent="0.35">
      <c r="A702" s="10" t="s">
        <v>794</v>
      </c>
      <c r="B702" s="11" t="s">
        <v>795</v>
      </c>
      <c r="C702" s="10" t="s">
        <v>20</v>
      </c>
      <c r="D702" s="10" t="s">
        <v>718</v>
      </c>
      <c r="E702" s="12">
        <v>0.77705606999999999</v>
      </c>
      <c r="F702" s="13">
        <v>19.57</v>
      </c>
      <c r="G702" s="13">
        <v>15.2</v>
      </c>
    </row>
    <row r="703" spans="1:7" ht="15" customHeight="1" x14ac:dyDescent="0.35">
      <c r="A703" s="10" t="s">
        <v>719</v>
      </c>
      <c r="B703" s="11" t="s">
        <v>720</v>
      </c>
      <c r="C703" s="10" t="s">
        <v>20</v>
      </c>
      <c r="D703" s="10" t="s">
        <v>718</v>
      </c>
      <c r="E703" s="12">
        <v>0.28426480999999998</v>
      </c>
      <c r="F703" s="13">
        <v>15.53</v>
      </c>
      <c r="G703" s="13">
        <v>4.41</v>
      </c>
    </row>
    <row r="704" spans="1:7" ht="18" customHeight="1" x14ac:dyDescent="0.35">
      <c r="A704" s="8"/>
      <c r="B704" s="8"/>
      <c r="C704" s="8"/>
      <c r="D704" s="8"/>
      <c r="E704" s="60" t="s">
        <v>721</v>
      </c>
      <c r="F704" s="60"/>
      <c r="G704" s="14">
        <v>19.61</v>
      </c>
    </row>
    <row r="705" spans="1:7" ht="15" customHeight="1" x14ac:dyDescent="0.35">
      <c r="A705" s="59" t="s">
        <v>722</v>
      </c>
      <c r="B705" s="59"/>
      <c r="C705" s="9" t="s">
        <v>3</v>
      </c>
      <c r="D705" s="9" t="s">
        <v>4</v>
      </c>
      <c r="E705" s="9" t="s">
        <v>702</v>
      </c>
      <c r="F705" s="9" t="s">
        <v>703</v>
      </c>
      <c r="G705" s="9" t="s">
        <v>704</v>
      </c>
    </row>
    <row r="706" spans="1:7" ht="37" customHeight="1" x14ac:dyDescent="0.35">
      <c r="A706" s="10" t="s">
        <v>1003</v>
      </c>
      <c r="B706" s="11" t="s">
        <v>1004</v>
      </c>
      <c r="C706" s="10" t="s">
        <v>20</v>
      </c>
      <c r="D706" s="10" t="s">
        <v>31</v>
      </c>
      <c r="E706" s="12">
        <v>3.6983920000000003E-2</v>
      </c>
      <c r="F706" s="13">
        <v>469.95</v>
      </c>
      <c r="G706" s="13">
        <v>17.38</v>
      </c>
    </row>
    <row r="707" spans="1:7" ht="15" customHeight="1" x14ac:dyDescent="0.35">
      <c r="A707" s="8"/>
      <c r="B707" s="8"/>
      <c r="C707" s="8"/>
      <c r="D707" s="8"/>
      <c r="E707" s="60" t="s">
        <v>725</v>
      </c>
      <c r="F707" s="60"/>
      <c r="G707" s="14">
        <v>17.38</v>
      </c>
    </row>
    <row r="708" spans="1:7" ht="15" customHeight="1" x14ac:dyDescent="0.35">
      <c r="A708" s="8"/>
      <c r="B708" s="8"/>
      <c r="C708" s="8"/>
      <c r="D708" s="8"/>
      <c r="E708" s="61" t="s">
        <v>726</v>
      </c>
      <c r="F708" s="61"/>
      <c r="G708" s="4">
        <v>36.99</v>
      </c>
    </row>
    <row r="709" spans="1:7" ht="10" customHeight="1" x14ac:dyDescent="0.35">
      <c r="A709" s="8"/>
      <c r="B709" s="8"/>
      <c r="C709" s="57"/>
      <c r="D709" s="57"/>
      <c r="E709" s="8"/>
      <c r="F709" s="8"/>
      <c r="G709" s="8"/>
    </row>
    <row r="710" spans="1:7" ht="20.149999999999999" customHeight="1" x14ac:dyDescent="0.35">
      <c r="A710" s="58" t="s">
        <v>1007</v>
      </c>
      <c r="B710" s="58"/>
      <c r="C710" s="58"/>
      <c r="D710" s="58"/>
      <c r="E710" s="58"/>
      <c r="F710" s="58"/>
      <c r="G710" s="58"/>
    </row>
    <row r="711" spans="1:7" ht="15" customHeight="1" x14ac:dyDescent="0.35">
      <c r="A711" s="59" t="s">
        <v>1008</v>
      </c>
      <c r="B711" s="59"/>
      <c r="C711" s="9" t="s">
        <v>3</v>
      </c>
      <c r="D711" s="9" t="s">
        <v>4</v>
      </c>
      <c r="E711" s="9" t="s">
        <v>702</v>
      </c>
      <c r="F711" s="9" t="s">
        <v>703</v>
      </c>
      <c r="G711" s="9" t="s">
        <v>704</v>
      </c>
    </row>
    <row r="712" spans="1:7" ht="15" customHeight="1" x14ac:dyDescent="0.35">
      <c r="A712" s="10" t="s">
        <v>1009</v>
      </c>
      <c r="B712" s="11" t="s">
        <v>1010</v>
      </c>
      <c r="C712" s="10" t="s">
        <v>226</v>
      </c>
      <c r="D712" s="10" t="s">
        <v>1011</v>
      </c>
      <c r="E712" s="12">
        <v>0.40113472999999999</v>
      </c>
      <c r="F712" s="13">
        <v>3.62</v>
      </c>
      <c r="G712" s="13">
        <v>1.45</v>
      </c>
    </row>
    <row r="713" spans="1:7" ht="15" customHeight="1" x14ac:dyDescent="0.35">
      <c r="A713" s="10" t="s">
        <v>1012</v>
      </c>
      <c r="B713" s="11" t="s">
        <v>1013</v>
      </c>
      <c r="C713" s="10" t="s">
        <v>226</v>
      </c>
      <c r="D713" s="10" t="s">
        <v>1011</v>
      </c>
      <c r="E713" s="12">
        <v>0.34164473000000001</v>
      </c>
      <c r="F713" s="13">
        <v>3.72</v>
      </c>
      <c r="G713" s="13">
        <v>1.27</v>
      </c>
    </row>
    <row r="714" spans="1:7" ht="15" customHeight="1" x14ac:dyDescent="0.35">
      <c r="A714" s="8"/>
      <c r="B714" s="8"/>
      <c r="C714" s="8"/>
      <c r="D714" s="8"/>
      <c r="E714" s="60" t="s">
        <v>1014</v>
      </c>
      <c r="F714" s="60"/>
      <c r="G714" s="14">
        <v>2.72</v>
      </c>
    </row>
    <row r="715" spans="1:7" ht="15" customHeight="1" x14ac:dyDescent="0.35">
      <c r="A715" s="59" t="s">
        <v>701</v>
      </c>
      <c r="B715" s="59"/>
      <c r="C715" s="9" t="s">
        <v>3</v>
      </c>
      <c r="D715" s="9" t="s">
        <v>4</v>
      </c>
      <c r="E715" s="9" t="s">
        <v>702</v>
      </c>
      <c r="F715" s="9" t="s">
        <v>703</v>
      </c>
      <c r="G715" s="9" t="s">
        <v>704</v>
      </c>
    </row>
    <row r="716" spans="1:7" ht="15" customHeight="1" x14ac:dyDescent="0.35">
      <c r="A716" s="10" t="s">
        <v>1015</v>
      </c>
      <c r="B716" s="11" t="s">
        <v>1016</v>
      </c>
      <c r="C716" s="10" t="s">
        <v>226</v>
      </c>
      <c r="D716" s="10" t="s">
        <v>227</v>
      </c>
      <c r="E716" s="12">
        <v>1.06006702</v>
      </c>
      <c r="F716" s="13">
        <v>27.64</v>
      </c>
      <c r="G716" s="13">
        <v>29.3</v>
      </c>
    </row>
    <row r="717" spans="1:7" ht="15" customHeight="1" x14ac:dyDescent="0.35">
      <c r="A717" s="10" t="s">
        <v>1017</v>
      </c>
      <c r="B717" s="11" t="s">
        <v>1018</v>
      </c>
      <c r="C717" s="10" t="s">
        <v>226</v>
      </c>
      <c r="D717" s="10" t="s">
        <v>1019</v>
      </c>
      <c r="E717" s="12">
        <v>0.66632784</v>
      </c>
      <c r="F717" s="13">
        <v>88.47</v>
      </c>
      <c r="G717" s="13">
        <v>58.95</v>
      </c>
    </row>
    <row r="718" spans="1:7" ht="15" customHeight="1" x14ac:dyDescent="0.35">
      <c r="A718" s="8"/>
      <c r="B718" s="8"/>
      <c r="C718" s="8"/>
      <c r="D718" s="8"/>
      <c r="E718" s="60" t="s">
        <v>714</v>
      </c>
      <c r="F718" s="60"/>
      <c r="G718" s="14">
        <v>88.25</v>
      </c>
    </row>
    <row r="719" spans="1:7" ht="15" customHeight="1" x14ac:dyDescent="0.35">
      <c r="A719" s="59" t="s">
        <v>1020</v>
      </c>
      <c r="B719" s="59"/>
      <c r="C719" s="9" t="s">
        <v>3</v>
      </c>
      <c r="D719" s="9" t="s">
        <v>4</v>
      </c>
      <c r="E719" s="9" t="s">
        <v>702</v>
      </c>
      <c r="F719" s="9" t="s">
        <v>703</v>
      </c>
      <c r="G719" s="9" t="s">
        <v>704</v>
      </c>
    </row>
    <row r="720" spans="1:7" ht="15" customHeight="1" x14ac:dyDescent="0.35">
      <c r="A720" s="10" t="s">
        <v>1021</v>
      </c>
      <c r="B720" s="11" t="s">
        <v>1022</v>
      </c>
      <c r="C720" s="10" t="s">
        <v>226</v>
      </c>
      <c r="D720" s="10" t="s">
        <v>1011</v>
      </c>
      <c r="E720" s="12">
        <v>0.39682199000000001</v>
      </c>
      <c r="F720" s="13">
        <v>16.5</v>
      </c>
      <c r="G720" s="13">
        <v>6.55</v>
      </c>
    </row>
    <row r="721" spans="1:7" ht="15" customHeight="1" x14ac:dyDescent="0.35">
      <c r="A721" s="10" t="s">
        <v>1023</v>
      </c>
      <c r="B721" s="11" t="s">
        <v>1024</v>
      </c>
      <c r="C721" s="10" t="s">
        <v>226</v>
      </c>
      <c r="D721" s="10" t="s">
        <v>1011</v>
      </c>
      <c r="E721" s="12">
        <v>0.33712676000000003</v>
      </c>
      <c r="F721" s="13">
        <v>11.65</v>
      </c>
      <c r="G721" s="13">
        <v>3.93</v>
      </c>
    </row>
    <row r="722" spans="1:7" ht="15" customHeight="1" x14ac:dyDescent="0.35">
      <c r="A722" s="8"/>
      <c r="B722" s="8"/>
      <c r="C722" s="8"/>
      <c r="D722" s="8"/>
      <c r="E722" s="60" t="s">
        <v>1025</v>
      </c>
      <c r="F722" s="60"/>
      <c r="G722" s="14">
        <v>10.48</v>
      </c>
    </row>
    <row r="723" spans="1:7" ht="15" customHeight="1" x14ac:dyDescent="0.35">
      <c r="A723" s="59" t="s">
        <v>722</v>
      </c>
      <c r="B723" s="59"/>
      <c r="C723" s="9" t="s">
        <v>3</v>
      </c>
      <c r="D723" s="9" t="s">
        <v>4</v>
      </c>
      <c r="E723" s="9" t="s">
        <v>702</v>
      </c>
      <c r="F723" s="9" t="s">
        <v>703</v>
      </c>
      <c r="G723" s="9" t="s">
        <v>704</v>
      </c>
    </row>
    <row r="724" spans="1:7" ht="15" customHeight="1" x14ac:dyDescent="0.35">
      <c r="A724" s="10" t="s">
        <v>1026</v>
      </c>
      <c r="B724" s="11" t="s">
        <v>1027</v>
      </c>
      <c r="C724" s="10" t="s">
        <v>226</v>
      </c>
      <c r="D724" s="10" t="s">
        <v>1019</v>
      </c>
      <c r="E724" s="12">
        <v>3.97249213</v>
      </c>
      <c r="F724" s="13">
        <v>1.22</v>
      </c>
      <c r="G724" s="13">
        <v>4.8499999999999996</v>
      </c>
    </row>
    <row r="725" spans="1:7" ht="15" customHeight="1" x14ac:dyDescent="0.35">
      <c r="A725" s="8"/>
      <c r="B725" s="8"/>
      <c r="C725" s="8"/>
      <c r="D725" s="8"/>
      <c r="E725" s="60" t="s">
        <v>725</v>
      </c>
      <c r="F725" s="60"/>
      <c r="G725" s="14">
        <v>4.8499999999999996</v>
      </c>
    </row>
    <row r="726" spans="1:7" ht="15" customHeight="1" x14ac:dyDescent="0.35">
      <c r="A726" s="8"/>
      <c r="B726" s="8"/>
      <c r="C726" s="8"/>
      <c r="D726" s="8"/>
      <c r="E726" s="61" t="s">
        <v>726</v>
      </c>
      <c r="F726" s="61"/>
      <c r="G726" s="4">
        <v>106.3</v>
      </c>
    </row>
    <row r="727" spans="1:7" ht="10" customHeight="1" x14ac:dyDescent="0.35">
      <c r="A727" s="8"/>
      <c r="B727" s="8"/>
      <c r="C727" s="57"/>
      <c r="D727" s="57"/>
      <c r="E727" s="8"/>
      <c r="F727" s="8"/>
      <c r="G727" s="8"/>
    </row>
    <row r="728" spans="1:7" ht="20.149999999999999" customHeight="1" x14ac:dyDescent="0.35">
      <c r="A728" s="58" t="s">
        <v>1028</v>
      </c>
      <c r="B728" s="58"/>
      <c r="C728" s="58"/>
      <c r="D728" s="58"/>
      <c r="E728" s="58"/>
      <c r="F728" s="58"/>
      <c r="G728" s="58"/>
    </row>
    <row r="729" spans="1:7" ht="15" customHeight="1" x14ac:dyDescent="0.35">
      <c r="A729" s="59" t="s">
        <v>701</v>
      </c>
      <c r="B729" s="59"/>
      <c r="C729" s="9" t="s">
        <v>3</v>
      </c>
      <c r="D729" s="9" t="s">
        <v>4</v>
      </c>
      <c r="E729" s="9" t="s">
        <v>702</v>
      </c>
      <c r="F729" s="9" t="s">
        <v>703</v>
      </c>
      <c r="G729" s="9" t="s">
        <v>704</v>
      </c>
    </row>
    <row r="730" spans="1:7" ht="15" customHeight="1" x14ac:dyDescent="0.35">
      <c r="A730" s="10" t="s">
        <v>1029</v>
      </c>
      <c r="B730" s="11" t="s">
        <v>1030</v>
      </c>
      <c r="C730" s="10" t="s">
        <v>20</v>
      </c>
      <c r="D730" s="10" t="s">
        <v>56</v>
      </c>
      <c r="E730" s="12">
        <v>6.5909746399999998</v>
      </c>
      <c r="F730" s="13">
        <v>0.74</v>
      </c>
      <c r="G730" s="13">
        <v>4.87</v>
      </c>
    </row>
    <row r="731" spans="1:7" ht="15" customHeight="1" x14ac:dyDescent="0.35">
      <c r="A731" s="10" t="s">
        <v>1031</v>
      </c>
      <c r="B731" s="11" t="s">
        <v>1032</v>
      </c>
      <c r="C731" s="10" t="s">
        <v>20</v>
      </c>
      <c r="D731" s="10" t="s">
        <v>56</v>
      </c>
      <c r="E731" s="12">
        <v>0.2361587</v>
      </c>
      <c r="F731" s="13">
        <v>4.3099999999999996</v>
      </c>
      <c r="G731" s="13">
        <v>1.01</v>
      </c>
    </row>
    <row r="732" spans="1:7" ht="20.149999999999999" customHeight="1" x14ac:dyDescent="0.35">
      <c r="A732" s="10" t="s">
        <v>1033</v>
      </c>
      <c r="B732" s="11" t="s">
        <v>1034</v>
      </c>
      <c r="C732" s="10" t="s">
        <v>20</v>
      </c>
      <c r="D732" s="10" t="s">
        <v>21</v>
      </c>
      <c r="E732" s="12">
        <v>1.1700590099999999</v>
      </c>
      <c r="F732" s="13">
        <v>38.119999999999997</v>
      </c>
      <c r="G732" s="13">
        <v>44.6</v>
      </c>
    </row>
    <row r="733" spans="1:7" ht="15" customHeight="1" x14ac:dyDescent="0.35">
      <c r="A733" s="8"/>
      <c r="B733" s="8"/>
      <c r="C733" s="8"/>
      <c r="D733" s="8"/>
      <c r="E733" s="60" t="s">
        <v>714</v>
      </c>
      <c r="F733" s="60"/>
      <c r="G733" s="14">
        <v>50.48</v>
      </c>
    </row>
    <row r="734" spans="1:7" ht="15" customHeight="1" x14ac:dyDescent="0.35">
      <c r="A734" s="59" t="s">
        <v>715</v>
      </c>
      <c r="B734" s="59"/>
      <c r="C734" s="9" t="s">
        <v>3</v>
      </c>
      <c r="D734" s="9" t="s">
        <v>4</v>
      </c>
      <c r="E734" s="9" t="s">
        <v>702</v>
      </c>
      <c r="F734" s="9" t="s">
        <v>703</v>
      </c>
      <c r="G734" s="9" t="s">
        <v>704</v>
      </c>
    </row>
    <row r="735" spans="1:7" ht="20.149999999999999" customHeight="1" x14ac:dyDescent="0.35">
      <c r="A735" s="10" t="s">
        <v>1035</v>
      </c>
      <c r="B735" s="11" t="s">
        <v>1036</v>
      </c>
      <c r="C735" s="10" t="s">
        <v>20</v>
      </c>
      <c r="D735" s="10" t="s">
        <v>718</v>
      </c>
      <c r="E735" s="12">
        <v>0.9564028</v>
      </c>
      <c r="F735" s="13">
        <v>19.5</v>
      </c>
      <c r="G735" s="13">
        <v>18.64</v>
      </c>
    </row>
    <row r="736" spans="1:7" ht="15" customHeight="1" x14ac:dyDescent="0.35">
      <c r="A736" s="10" t="s">
        <v>719</v>
      </c>
      <c r="B736" s="11" t="s">
        <v>720</v>
      </c>
      <c r="C736" s="10" t="s">
        <v>20</v>
      </c>
      <c r="D736" s="10" t="s">
        <v>718</v>
      </c>
      <c r="E736" s="12">
        <v>0.48307167000000001</v>
      </c>
      <c r="F736" s="13">
        <v>15.53</v>
      </c>
      <c r="G736" s="13">
        <v>7.5</v>
      </c>
    </row>
    <row r="737" spans="1:7" ht="18" customHeight="1" x14ac:dyDescent="0.35">
      <c r="A737" s="8"/>
      <c r="B737" s="8"/>
      <c r="C737" s="8"/>
      <c r="D737" s="8"/>
      <c r="E737" s="60" t="s">
        <v>721</v>
      </c>
      <c r="F737" s="60"/>
      <c r="G737" s="14">
        <v>26.14</v>
      </c>
    </row>
    <row r="738" spans="1:7" ht="15" customHeight="1" x14ac:dyDescent="0.35">
      <c r="A738" s="8"/>
      <c r="B738" s="8"/>
      <c r="C738" s="8"/>
      <c r="D738" s="8"/>
      <c r="E738" s="61" t="s">
        <v>726</v>
      </c>
      <c r="F738" s="61"/>
      <c r="G738" s="4">
        <v>76.62</v>
      </c>
    </row>
    <row r="739" spans="1:7" ht="10" customHeight="1" x14ac:dyDescent="0.35">
      <c r="A739" s="8"/>
      <c r="B739" s="8"/>
      <c r="C739" s="57"/>
      <c r="D739" s="57"/>
      <c r="E739" s="8"/>
      <c r="F739" s="8"/>
      <c r="G739" s="8"/>
    </row>
    <row r="740" spans="1:7" ht="20.149999999999999" customHeight="1" x14ac:dyDescent="0.35">
      <c r="A740" s="58" t="s">
        <v>1037</v>
      </c>
      <c r="B740" s="58"/>
      <c r="C740" s="58"/>
      <c r="D740" s="58"/>
      <c r="E740" s="58"/>
      <c r="F740" s="58"/>
      <c r="G740" s="58"/>
    </row>
    <row r="741" spans="1:7" ht="15" customHeight="1" x14ac:dyDescent="0.35">
      <c r="A741" s="59" t="s">
        <v>701</v>
      </c>
      <c r="B741" s="59"/>
      <c r="C741" s="9" t="s">
        <v>3</v>
      </c>
      <c r="D741" s="9" t="s">
        <v>4</v>
      </c>
      <c r="E741" s="9" t="s">
        <v>702</v>
      </c>
      <c r="F741" s="9" t="s">
        <v>703</v>
      </c>
      <c r="G741" s="9" t="s">
        <v>704</v>
      </c>
    </row>
    <row r="742" spans="1:7" ht="29.15" customHeight="1" x14ac:dyDescent="0.35">
      <c r="A742" s="10" t="s">
        <v>1038</v>
      </c>
      <c r="B742" s="11" t="s">
        <v>1039</v>
      </c>
      <c r="C742" s="10" t="s">
        <v>20</v>
      </c>
      <c r="D742" s="10" t="s">
        <v>777</v>
      </c>
      <c r="E742" s="12">
        <v>0.27985996000000002</v>
      </c>
      <c r="F742" s="13">
        <v>8.84</v>
      </c>
      <c r="G742" s="13">
        <v>2.4700000000000002</v>
      </c>
    </row>
    <row r="743" spans="1:7" ht="15" customHeight="1" x14ac:dyDescent="0.35">
      <c r="A743" s="8"/>
      <c r="B743" s="8"/>
      <c r="C743" s="8"/>
      <c r="D743" s="8"/>
      <c r="E743" s="60" t="s">
        <v>714</v>
      </c>
      <c r="F743" s="60"/>
      <c r="G743" s="14">
        <v>2.4700000000000002</v>
      </c>
    </row>
    <row r="744" spans="1:7" ht="15" customHeight="1" x14ac:dyDescent="0.35">
      <c r="A744" s="59" t="s">
        <v>715</v>
      </c>
      <c r="B744" s="59"/>
      <c r="C744" s="9" t="s">
        <v>3</v>
      </c>
      <c r="D744" s="9" t="s">
        <v>4</v>
      </c>
      <c r="E744" s="9" t="s">
        <v>702</v>
      </c>
      <c r="F744" s="9" t="s">
        <v>703</v>
      </c>
      <c r="G744" s="9" t="s">
        <v>704</v>
      </c>
    </row>
    <row r="745" spans="1:7" ht="15" customHeight="1" x14ac:dyDescent="0.35">
      <c r="A745" s="10" t="s">
        <v>794</v>
      </c>
      <c r="B745" s="11" t="s">
        <v>795</v>
      </c>
      <c r="C745" s="10" t="s">
        <v>20</v>
      </c>
      <c r="D745" s="10" t="s">
        <v>718</v>
      </c>
      <c r="E745" s="12">
        <v>0.96028500999999999</v>
      </c>
      <c r="F745" s="13">
        <v>19.57</v>
      </c>
      <c r="G745" s="13">
        <v>18.79</v>
      </c>
    </row>
    <row r="746" spans="1:7" ht="15" customHeight="1" x14ac:dyDescent="0.35">
      <c r="A746" s="10" t="s">
        <v>719</v>
      </c>
      <c r="B746" s="11" t="s">
        <v>720</v>
      </c>
      <c r="C746" s="10" t="s">
        <v>20</v>
      </c>
      <c r="D746" s="10" t="s">
        <v>718</v>
      </c>
      <c r="E746" s="12">
        <v>0.19402530000000001</v>
      </c>
      <c r="F746" s="13">
        <v>15.53</v>
      </c>
      <c r="G746" s="13">
        <v>3.01</v>
      </c>
    </row>
    <row r="747" spans="1:7" ht="18" customHeight="1" x14ac:dyDescent="0.35">
      <c r="A747" s="8"/>
      <c r="B747" s="8"/>
      <c r="C747" s="8"/>
      <c r="D747" s="8"/>
      <c r="E747" s="60" t="s">
        <v>721</v>
      </c>
      <c r="F747" s="60"/>
      <c r="G747" s="14">
        <v>21.8</v>
      </c>
    </row>
    <row r="748" spans="1:7" ht="15" customHeight="1" x14ac:dyDescent="0.35">
      <c r="A748" s="59" t="s">
        <v>722</v>
      </c>
      <c r="B748" s="59"/>
      <c r="C748" s="9" t="s">
        <v>3</v>
      </c>
      <c r="D748" s="9" t="s">
        <v>4</v>
      </c>
      <c r="E748" s="9" t="s">
        <v>702</v>
      </c>
      <c r="F748" s="9" t="s">
        <v>703</v>
      </c>
      <c r="G748" s="9" t="s">
        <v>704</v>
      </c>
    </row>
    <row r="749" spans="1:7" ht="29.15" customHeight="1" x14ac:dyDescent="0.35">
      <c r="A749" s="10" t="s">
        <v>1040</v>
      </c>
      <c r="B749" s="11" t="s">
        <v>1041</v>
      </c>
      <c r="C749" s="10" t="s">
        <v>20</v>
      </c>
      <c r="D749" s="10" t="s">
        <v>31</v>
      </c>
      <c r="E749" s="12">
        <v>2.462249E-2</v>
      </c>
      <c r="F749" s="13">
        <v>605.35</v>
      </c>
      <c r="G749" s="13">
        <v>14.9</v>
      </c>
    </row>
    <row r="750" spans="1:7" ht="15" customHeight="1" x14ac:dyDescent="0.35">
      <c r="A750" s="8"/>
      <c r="B750" s="8"/>
      <c r="C750" s="8"/>
      <c r="D750" s="8"/>
      <c r="E750" s="60" t="s">
        <v>725</v>
      </c>
      <c r="F750" s="60"/>
      <c r="G750" s="14">
        <v>14.9</v>
      </c>
    </row>
    <row r="751" spans="1:7" ht="15" customHeight="1" x14ac:dyDescent="0.35">
      <c r="A751" s="8"/>
      <c r="B751" s="8"/>
      <c r="C751" s="8"/>
      <c r="D751" s="8"/>
      <c r="E751" s="61" t="s">
        <v>726</v>
      </c>
      <c r="F751" s="61"/>
      <c r="G751" s="4">
        <v>39.17</v>
      </c>
    </row>
    <row r="752" spans="1:7" ht="10" customHeight="1" x14ac:dyDescent="0.35">
      <c r="A752" s="8"/>
      <c r="B752" s="8"/>
      <c r="C752" s="57"/>
      <c r="D752" s="57"/>
      <c r="E752" s="8"/>
      <c r="F752" s="8"/>
      <c r="G752" s="8"/>
    </row>
    <row r="753" spans="1:7" ht="20.149999999999999" customHeight="1" x14ac:dyDescent="0.35">
      <c r="A753" s="58" t="s">
        <v>1042</v>
      </c>
      <c r="B753" s="58"/>
      <c r="C753" s="58"/>
      <c r="D753" s="58"/>
      <c r="E753" s="58"/>
      <c r="F753" s="58"/>
      <c r="G753" s="58"/>
    </row>
    <row r="754" spans="1:7" ht="15" customHeight="1" x14ac:dyDescent="0.35">
      <c r="A754" s="59" t="s">
        <v>701</v>
      </c>
      <c r="B754" s="59"/>
      <c r="C754" s="9" t="s">
        <v>3</v>
      </c>
      <c r="D754" s="9" t="s">
        <v>4</v>
      </c>
      <c r="E754" s="9" t="s">
        <v>702</v>
      </c>
      <c r="F754" s="9" t="s">
        <v>703</v>
      </c>
      <c r="G754" s="9" t="s">
        <v>704</v>
      </c>
    </row>
    <row r="755" spans="1:7" ht="20.149999999999999" customHeight="1" x14ac:dyDescent="0.35">
      <c r="A755" s="10" t="s">
        <v>1043</v>
      </c>
      <c r="B755" s="11" t="s">
        <v>1044</v>
      </c>
      <c r="C755" s="10" t="s">
        <v>20</v>
      </c>
      <c r="D755" s="10" t="s">
        <v>25</v>
      </c>
      <c r="E755" s="12">
        <v>1.67383302</v>
      </c>
      <c r="F755" s="13">
        <v>1.29</v>
      </c>
      <c r="G755" s="13">
        <v>2.15</v>
      </c>
    </row>
    <row r="756" spans="1:7" ht="15" customHeight="1" x14ac:dyDescent="0.35">
      <c r="A756" s="8"/>
      <c r="B756" s="8"/>
      <c r="C756" s="8"/>
      <c r="D756" s="8"/>
      <c r="E756" s="60" t="s">
        <v>714</v>
      </c>
      <c r="F756" s="60"/>
      <c r="G756" s="14">
        <v>2.15</v>
      </c>
    </row>
    <row r="757" spans="1:7" ht="15" customHeight="1" x14ac:dyDescent="0.35">
      <c r="A757" s="59" t="s">
        <v>715</v>
      </c>
      <c r="B757" s="59"/>
      <c r="C757" s="9" t="s">
        <v>3</v>
      </c>
      <c r="D757" s="9" t="s">
        <v>4</v>
      </c>
      <c r="E757" s="9" t="s">
        <v>702</v>
      </c>
      <c r="F757" s="9" t="s">
        <v>703</v>
      </c>
      <c r="G757" s="9" t="s">
        <v>704</v>
      </c>
    </row>
    <row r="758" spans="1:7" ht="15" customHeight="1" x14ac:dyDescent="0.35">
      <c r="A758" s="10" t="s">
        <v>794</v>
      </c>
      <c r="B758" s="11" t="s">
        <v>795</v>
      </c>
      <c r="C758" s="10" t="s">
        <v>20</v>
      </c>
      <c r="D758" s="10" t="s">
        <v>718</v>
      </c>
      <c r="E758" s="12">
        <v>0.35781884000000003</v>
      </c>
      <c r="F758" s="13">
        <v>19.57</v>
      </c>
      <c r="G758" s="13">
        <v>7</v>
      </c>
    </row>
    <row r="759" spans="1:7" ht="15" customHeight="1" x14ac:dyDescent="0.35">
      <c r="A759" s="10" t="s">
        <v>719</v>
      </c>
      <c r="B759" s="11" t="s">
        <v>720</v>
      </c>
      <c r="C759" s="10" t="s">
        <v>20</v>
      </c>
      <c r="D759" s="10" t="s">
        <v>718</v>
      </c>
      <c r="E759" s="12">
        <v>0.17890942000000001</v>
      </c>
      <c r="F759" s="13">
        <v>15.53</v>
      </c>
      <c r="G759" s="13">
        <v>2.77</v>
      </c>
    </row>
    <row r="760" spans="1:7" ht="18" customHeight="1" x14ac:dyDescent="0.35">
      <c r="A760" s="8"/>
      <c r="B760" s="8"/>
      <c r="C760" s="8"/>
      <c r="D760" s="8"/>
      <c r="E760" s="60" t="s">
        <v>721</v>
      </c>
      <c r="F760" s="60"/>
      <c r="G760" s="14">
        <v>9.77</v>
      </c>
    </row>
    <row r="761" spans="1:7" ht="15" customHeight="1" x14ac:dyDescent="0.35">
      <c r="A761" s="59" t="s">
        <v>722</v>
      </c>
      <c r="B761" s="59"/>
      <c r="C761" s="9" t="s">
        <v>3</v>
      </c>
      <c r="D761" s="9" t="s">
        <v>4</v>
      </c>
      <c r="E761" s="9" t="s">
        <v>702</v>
      </c>
      <c r="F761" s="9" t="s">
        <v>703</v>
      </c>
      <c r="G761" s="9" t="s">
        <v>704</v>
      </c>
    </row>
    <row r="762" spans="1:7" ht="29.15" customHeight="1" x14ac:dyDescent="0.35">
      <c r="A762" s="10" t="s">
        <v>1040</v>
      </c>
      <c r="B762" s="11" t="s">
        <v>1041</v>
      </c>
      <c r="C762" s="10" t="s">
        <v>20</v>
      </c>
      <c r="D762" s="10" t="s">
        <v>31</v>
      </c>
      <c r="E762" s="12">
        <v>5.2387830000000003E-2</v>
      </c>
      <c r="F762" s="13">
        <v>605.35</v>
      </c>
      <c r="G762" s="13">
        <v>31.71</v>
      </c>
    </row>
    <row r="763" spans="1:7" ht="15" customHeight="1" x14ac:dyDescent="0.35">
      <c r="A763" s="8"/>
      <c r="B763" s="8"/>
      <c r="C763" s="8"/>
      <c r="D763" s="8"/>
      <c r="E763" s="60" t="s">
        <v>725</v>
      </c>
      <c r="F763" s="60"/>
      <c r="G763" s="14">
        <v>31.71</v>
      </c>
    </row>
    <row r="764" spans="1:7" ht="15" customHeight="1" x14ac:dyDescent="0.35">
      <c r="A764" s="8"/>
      <c r="B764" s="8"/>
      <c r="C764" s="8"/>
      <c r="D764" s="8"/>
      <c r="E764" s="61" t="s">
        <v>726</v>
      </c>
      <c r="F764" s="61"/>
      <c r="G764" s="4">
        <v>43.63</v>
      </c>
    </row>
    <row r="765" spans="1:7" ht="10" customHeight="1" x14ac:dyDescent="0.35">
      <c r="A765" s="8"/>
      <c r="B765" s="8"/>
      <c r="C765" s="57"/>
      <c r="D765" s="57"/>
      <c r="E765" s="8"/>
      <c r="F765" s="8"/>
      <c r="G765" s="8"/>
    </row>
    <row r="766" spans="1:7" ht="20.149999999999999" customHeight="1" x14ac:dyDescent="0.35">
      <c r="A766" s="58" t="s">
        <v>1045</v>
      </c>
      <c r="B766" s="58"/>
      <c r="C766" s="58"/>
      <c r="D766" s="58"/>
      <c r="E766" s="58"/>
      <c r="F766" s="58"/>
      <c r="G766" s="58"/>
    </row>
    <row r="767" spans="1:7" ht="15" customHeight="1" x14ac:dyDescent="0.35">
      <c r="A767" s="59" t="s">
        <v>701</v>
      </c>
      <c r="B767" s="59"/>
      <c r="C767" s="9" t="s">
        <v>3</v>
      </c>
      <c r="D767" s="9" t="s">
        <v>4</v>
      </c>
      <c r="E767" s="9" t="s">
        <v>702</v>
      </c>
      <c r="F767" s="9" t="s">
        <v>703</v>
      </c>
      <c r="G767" s="9" t="s">
        <v>704</v>
      </c>
    </row>
    <row r="768" spans="1:7" ht="15" customHeight="1" x14ac:dyDescent="0.35">
      <c r="A768" s="10" t="s">
        <v>1046</v>
      </c>
      <c r="B768" s="11" t="s">
        <v>1047</v>
      </c>
      <c r="C768" s="10" t="s">
        <v>226</v>
      </c>
      <c r="D768" s="10" t="s">
        <v>1019</v>
      </c>
      <c r="E768" s="12">
        <v>0.5</v>
      </c>
      <c r="F768" s="13">
        <v>0.78</v>
      </c>
      <c r="G768" s="13">
        <v>0.39</v>
      </c>
    </row>
    <row r="769" spans="1:7" ht="15" customHeight="1" x14ac:dyDescent="0.35">
      <c r="A769" s="8"/>
      <c r="B769" s="8"/>
      <c r="C769" s="8"/>
      <c r="D769" s="8"/>
      <c r="E769" s="60" t="s">
        <v>714</v>
      </c>
      <c r="F769" s="60"/>
      <c r="G769" s="14">
        <v>0.39</v>
      </c>
    </row>
    <row r="770" spans="1:7" ht="15" customHeight="1" x14ac:dyDescent="0.35">
      <c r="A770" s="59" t="s">
        <v>722</v>
      </c>
      <c r="B770" s="59"/>
      <c r="C770" s="9" t="s">
        <v>3</v>
      </c>
      <c r="D770" s="9" t="s">
        <v>4</v>
      </c>
      <c r="E770" s="9" t="s">
        <v>702</v>
      </c>
      <c r="F770" s="9" t="s">
        <v>703</v>
      </c>
      <c r="G770" s="9" t="s">
        <v>704</v>
      </c>
    </row>
    <row r="771" spans="1:7" ht="15" customHeight="1" x14ac:dyDescent="0.35">
      <c r="A771" s="10" t="s">
        <v>1048</v>
      </c>
      <c r="B771" s="11" t="s">
        <v>1049</v>
      </c>
      <c r="C771" s="10" t="s">
        <v>226</v>
      </c>
      <c r="D771" s="10" t="s">
        <v>227</v>
      </c>
      <c r="E771" s="12">
        <v>0.97989714999999999</v>
      </c>
      <c r="F771" s="13">
        <v>21</v>
      </c>
      <c r="G771" s="13">
        <v>20.58</v>
      </c>
    </row>
    <row r="772" spans="1:7" ht="15" customHeight="1" x14ac:dyDescent="0.35">
      <c r="A772" s="8"/>
      <c r="B772" s="8"/>
      <c r="C772" s="8"/>
      <c r="D772" s="8"/>
      <c r="E772" s="60" t="s">
        <v>725</v>
      </c>
      <c r="F772" s="60"/>
      <c r="G772" s="14">
        <v>20.58</v>
      </c>
    </row>
    <row r="773" spans="1:7" ht="15" customHeight="1" x14ac:dyDescent="0.35">
      <c r="A773" s="8"/>
      <c r="B773" s="8"/>
      <c r="C773" s="8"/>
      <c r="D773" s="8"/>
      <c r="E773" s="61" t="s">
        <v>726</v>
      </c>
      <c r="F773" s="61"/>
      <c r="G773" s="4">
        <v>20.97</v>
      </c>
    </row>
    <row r="774" spans="1:7" ht="10" customHeight="1" x14ac:dyDescent="0.35">
      <c r="A774" s="8"/>
      <c r="B774" s="8"/>
      <c r="C774" s="57"/>
      <c r="D774" s="57"/>
      <c r="E774" s="8"/>
      <c r="F774" s="8"/>
      <c r="G774" s="8"/>
    </row>
    <row r="775" spans="1:7" ht="20.149999999999999" customHeight="1" x14ac:dyDescent="0.35">
      <c r="A775" s="58" t="s">
        <v>1050</v>
      </c>
      <c r="B775" s="58"/>
      <c r="C775" s="58"/>
      <c r="D775" s="58"/>
      <c r="E775" s="58"/>
      <c r="F775" s="58"/>
      <c r="G775" s="58"/>
    </row>
    <row r="776" spans="1:7" ht="15" customHeight="1" x14ac:dyDescent="0.35">
      <c r="A776" s="59" t="s">
        <v>701</v>
      </c>
      <c r="B776" s="59"/>
      <c r="C776" s="9" t="s">
        <v>3</v>
      </c>
      <c r="D776" s="9" t="s">
        <v>4</v>
      </c>
      <c r="E776" s="9" t="s">
        <v>702</v>
      </c>
      <c r="F776" s="9" t="s">
        <v>703</v>
      </c>
      <c r="G776" s="9" t="s">
        <v>704</v>
      </c>
    </row>
    <row r="777" spans="1:7" ht="15" customHeight="1" x14ac:dyDescent="0.35">
      <c r="A777" s="10" t="s">
        <v>1051</v>
      </c>
      <c r="B777" s="11" t="s">
        <v>1052</v>
      </c>
      <c r="C777" s="10" t="s">
        <v>20</v>
      </c>
      <c r="D777" s="10" t="s">
        <v>56</v>
      </c>
      <c r="E777" s="12">
        <v>0.86024992</v>
      </c>
      <c r="F777" s="13">
        <v>2.25</v>
      </c>
      <c r="G777" s="13">
        <v>1.93</v>
      </c>
    </row>
    <row r="778" spans="1:7" ht="15" customHeight="1" x14ac:dyDescent="0.35">
      <c r="A778" s="10" t="s">
        <v>1031</v>
      </c>
      <c r="B778" s="11" t="s">
        <v>1032</v>
      </c>
      <c r="C778" s="10" t="s">
        <v>20</v>
      </c>
      <c r="D778" s="10" t="s">
        <v>56</v>
      </c>
      <c r="E778" s="12">
        <v>0.11983978000000001</v>
      </c>
      <c r="F778" s="13">
        <v>4.3099999999999996</v>
      </c>
      <c r="G778" s="13">
        <v>0.51</v>
      </c>
    </row>
    <row r="779" spans="1:7" ht="29.15" customHeight="1" x14ac:dyDescent="0.35">
      <c r="A779" s="10" t="s">
        <v>1053</v>
      </c>
      <c r="B779" s="11" t="s">
        <v>1054</v>
      </c>
      <c r="C779" s="10" t="s">
        <v>20</v>
      </c>
      <c r="D779" s="10" t="s">
        <v>25</v>
      </c>
      <c r="E779" s="12">
        <v>1.03861147</v>
      </c>
      <c r="F779" s="13">
        <v>39.380000000000003</v>
      </c>
      <c r="G779" s="13">
        <v>40.9</v>
      </c>
    </row>
    <row r="780" spans="1:7" ht="15" customHeight="1" x14ac:dyDescent="0.35">
      <c r="A780" s="8"/>
      <c r="B780" s="8"/>
      <c r="C780" s="8"/>
      <c r="D780" s="8"/>
      <c r="E780" s="60" t="s">
        <v>714</v>
      </c>
      <c r="F780" s="60"/>
      <c r="G780" s="14">
        <v>43.34</v>
      </c>
    </row>
    <row r="781" spans="1:7" ht="15" customHeight="1" x14ac:dyDescent="0.35">
      <c r="A781" s="59" t="s">
        <v>715</v>
      </c>
      <c r="B781" s="59"/>
      <c r="C781" s="9" t="s">
        <v>3</v>
      </c>
      <c r="D781" s="9" t="s">
        <v>4</v>
      </c>
      <c r="E781" s="9" t="s">
        <v>702</v>
      </c>
      <c r="F781" s="9" t="s">
        <v>703</v>
      </c>
      <c r="G781" s="9" t="s">
        <v>704</v>
      </c>
    </row>
    <row r="782" spans="1:7" ht="15" customHeight="1" x14ac:dyDescent="0.35">
      <c r="A782" s="10" t="s">
        <v>919</v>
      </c>
      <c r="B782" s="11" t="s">
        <v>920</v>
      </c>
      <c r="C782" s="10" t="s">
        <v>20</v>
      </c>
      <c r="D782" s="10" t="s">
        <v>718</v>
      </c>
      <c r="E782" s="12">
        <v>0.29246422</v>
      </c>
      <c r="F782" s="13">
        <v>19.5</v>
      </c>
      <c r="G782" s="13">
        <v>5.7</v>
      </c>
    </row>
    <row r="783" spans="1:7" ht="15" customHeight="1" x14ac:dyDescent="0.35">
      <c r="A783" s="10" t="s">
        <v>719</v>
      </c>
      <c r="B783" s="11" t="s">
        <v>720</v>
      </c>
      <c r="C783" s="10" t="s">
        <v>20</v>
      </c>
      <c r="D783" s="10" t="s">
        <v>718</v>
      </c>
      <c r="E783" s="12">
        <v>0.14672118000000001</v>
      </c>
      <c r="F783" s="13">
        <v>15.53</v>
      </c>
      <c r="G783" s="13">
        <v>2.27</v>
      </c>
    </row>
    <row r="784" spans="1:7" ht="18" customHeight="1" x14ac:dyDescent="0.35">
      <c r="A784" s="8"/>
      <c r="B784" s="8"/>
      <c r="C784" s="8"/>
      <c r="D784" s="8"/>
      <c r="E784" s="60" t="s">
        <v>721</v>
      </c>
      <c r="F784" s="60"/>
      <c r="G784" s="14">
        <v>7.97</v>
      </c>
    </row>
    <row r="785" spans="1:7" ht="15" customHeight="1" x14ac:dyDescent="0.35">
      <c r="A785" s="8"/>
      <c r="B785" s="8"/>
      <c r="C785" s="8"/>
      <c r="D785" s="8"/>
      <c r="E785" s="61" t="s">
        <v>726</v>
      </c>
      <c r="F785" s="61"/>
      <c r="G785" s="4">
        <v>51.31</v>
      </c>
    </row>
    <row r="786" spans="1:7" ht="10" customHeight="1" x14ac:dyDescent="0.35">
      <c r="A786" s="8"/>
      <c r="B786" s="8"/>
      <c r="C786" s="57"/>
      <c r="D786" s="57"/>
      <c r="E786" s="8"/>
      <c r="F786" s="8"/>
      <c r="G786" s="8"/>
    </row>
    <row r="787" spans="1:7" ht="20.149999999999999" customHeight="1" x14ac:dyDescent="0.35">
      <c r="A787" s="58" t="s">
        <v>1055</v>
      </c>
      <c r="B787" s="58"/>
      <c r="C787" s="58"/>
      <c r="D787" s="58"/>
      <c r="E787" s="58"/>
      <c r="F787" s="58"/>
      <c r="G787" s="58"/>
    </row>
    <row r="788" spans="1:7" ht="15" customHeight="1" x14ac:dyDescent="0.35">
      <c r="A788" s="59" t="s">
        <v>715</v>
      </c>
      <c r="B788" s="59"/>
      <c r="C788" s="9" t="s">
        <v>3</v>
      </c>
      <c r="D788" s="9" t="s">
        <v>4</v>
      </c>
      <c r="E788" s="9" t="s">
        <v>702</v>
      </c>
      <c r="F788" s="9" t="s">
        <v>703</v>
      </c>
      <c r="G788" s="9" t="s">
        <v>704</v>
      </c>
    </row>
    <row r="789" spans="1:7" ht="15" customHeight="1" x14ac:dyDescent="0.35">
      <c r="A789" s="10" t="s">
        <v>794</v>
      </c>
      <c r="B789" s="11" t="s">
        <v>795</v>
      </c>
      <c r="C789" s="10" t="s">
        <v>20</v>
      </c>
      <c r="D789" s="10" t="s">
        <v>718</v>
      </c>
      <c r="E789" s="12">
        <v>0.27438006999999998</v>
      </c>
      <c r="F789" s="13">
        <v>19.57</v>
      </c>
      <c r="G789" s="13">
        <v>5.36</v>
      </c>
    </row>
    <row r="790" spans="1:7" ht="15" customHeight="1" x14ac:dyDescent="0.35">
      <c r="A790" s="10" t="s">
        <v>719</v>
      </c>
      <c r="B790" s="11" t="s">
        <v>720</v>
      </c>
      <c r="C790" s="10" t="s">
        <v>20</v>
      </c>
      <c r="D790" s="10" t="s">
        <v>718</v>
      </c>
      <c r="E790" s="12">
        <v>7.4665280000000001E-2</v>
      </c>
      <c r="F790" s="13">
        <v>15.53</v>
      </c>
      <c r="G790" s="13">
        <v>1.1499999999999999</v>
      </c>
    </row>
    <row r="791" spans="1:7" ht="18" customHeight="1" x14ac:dyDescent="0.35">
      <c r="A791" s="8"/>
      <c r="B791" s="8"/>
      <c r="C791" s="8"/>
      <c r="D791" s="8"/>
      <c r="E791" s="60" t="s">
        <v>721</v>
      </c>
      <c r="F791" s="60"/>
      <c r="G791" s="14">
        <v>6.51</v>
      </c>
    </row>
    <row r="792" spans="1:7" ht="15" customHeight="1" x14ac:dyDescent="0.35">
      <c r="A792" s="59" t="s">
        <v>722</v>
      </c>
      <c r="B792" s="59"/>
      <c r="C792" s="9" t="s">
        <v>3</v>
      </c>
      <c r="D792" s="9" t="s">
        <v>4</v>
      </c>
      <c r="E792" s="9" t="s">
        <v>702</v>
      </c>
      <c r="F792" s="9" t="s">
        <v>703</v>
      </c>
      <c r="G792" s="9" t="s">
        <v>704</v>
      </c>
    </row>
    <row r="793" spans="1:7" ht="29.15" customHeight="1" x14ac:dyDescent="0.35">
      <c r="A793" s="10" t="s">
        <v>796</v>
      </c>
      <c r="B793" s="11" t="s">
        <v>797</v>
      </c>
      <c r="C793" s="10" t="s">
        <v>20</v>
      </c>
      <c r="D793" s="10" t="s">
        <v>31</v>
      </c>
      <c r="E793" s="12">
        <v>5.6931030000000001E-2</v>
      </c>
      <c r="F793" s="13">
        <v>354.22</v>
      </c>
      <c r="G793" s="13">
        <v>20.16</v>
      </c>
    </row>
    <row r="794" spans="1:7" ht="15" customHeight="1" x14ac:dyDescent="0.35">
      <c r="A794" s="8"/>
      <c r="B794" s="8"/>
      <c r="C794" s="8"/>
      <c r="D794" s="8"/>
      <c r="E794" s="60" t="s">
        <v>725</v>
      </c>
      <c r="F794" s="60"/>
      <c r="G794" s="14">
        <v>20.16</v>
      </c>
    </row>
    <row r="795" spans="1:7" ht="15" customHeight="1" x14ac:dyDescent="0.35">
      <c r="A795" s="8"/>
      <c r="B795" s="8"/>
      <c r="C795" s="8"/>
      <c r="D795" s="8"/>
      <c r="E795" s="61" t="s">
        <v>726</v>
      </c>
      <c r="F795" s="61"/>
      <c r="G795" s="4">
        <v>26.67</v>
      </c>
    </row>
    <row r="796" spans="1:7" ht="10" customHeight="1" x14ac:dyDescent="0.35">
      <c r="A796" s="8"/>
      <c r="B796" s="8"/>
      <c r="C796" s="57"/>
      <c r="D796" s="57"/>
      <c r="E796" s="8"/>
      <c r="F796" s="8"/>
      <c r="G796" s="8"/>
    </row>
    <row r="797" spans="1:7" ht="20.149999999999999" customHeight="1" x14ac:dyDescent="0.35">
      <c r="A797" s="58" t="s">
        <v>1056</v>
      </c>
      <c r="B797" s="58"/>
      <c r="C797" s="58"/>
      <c r="D797" s="58"/>
      <c r="E797" s="58"/>
      <c r="F797" s="58"/>
      <c r="G797" s="58"/>
    </row>
    <row r="798" spans="1:7" ht="15" customHeight="1" x14ac:dyDescent="0.35">
      <c r="A798" s="59" t="s">
        <v>761</v>
      </c>
      <c r="B798" s="59"/>
      <c r="C798" s="9" t="s">
        <v>3</v>
      </c>
      <c r="D798" s="9" t="s">
        <v>4</v>
      </c>
      <c r="E798" s="9" t="s">
        <v>702</v>
      </c>
      <c r="F798" s="9" t="s">
        <v>703</v>
      </c>
      <c r="G798" s="9" t="s">
        <v>704</v>
      </c>
    </row>
    <row r="799" spans="1:7" ht="29.15" customHeight="1" x14ac:dyDescent="0.35">
      <c r="A799" s="10" t="s">
        <v>1057</v>
      </c>
      <c r="B799" s="11" t="s">
        <v>1058</v>
      </c>
      <c r="C799" s="10" t="s">
        <v>20</v>
      </c>
      <c r="D799" s="10" t="s">
        <v>764</v>
      </c>
      <c r="E799" s="12">
        <v>2.9357640000000001E-2</v>
      </c>
      <c r="F799" s="13">
        <v>0.59</v>
      </c>
      <c r="G799" s="13">
        <v>0.01</v>
      </c>
    </row>
    <row r="800" spans="1:7" ht="29.15" customHeight="1" x14ac:dyDescent="0.35">
      <c r="A800" s="10" t="s">
        <v>1059</v>
      </c>
      <c r="B800" s="11" t="s">
        <v>1060</v>
      </c>
      <c r="C800" s="10" t="s">
        <v>20</v>
      </c>
      <c r="D800" s="10" t="s">
        <v>767</v>
      </c>
      <c r="E800" s="12">
        <v>3.131482E-2</v>
      </c>
      <c r="F800" s="13">
        <v>8.32</v>
      </c>
      <c r="G800" s="13">
        <v>0.26</v>
      </c>
    </row>
    <row r="801" spans="1:7" ht="15" customHeight="1" x14ac:dyDescent="0.35">
      <c r="A801" s="8"/>
      <c r="B801" s="8"/>
      <c r="C801" s="8"/>
      <c r="D801" s="8"/>
      <c r="E801" s="60" t="s">
        <v>768</v>
      </c>
      <c r="F801" s="60"/>
      <c r="G801" s="14">
        <v>0.27</v>
      </c>
    </row>
    <row r="802" spans="1:7" ht="15" customHeight="1" x14ac:dyDescent="0.35">
      <c r="A802" s="59" t="s">
        <v>701</v>
      </c>
      <c r="B802" s="59"/>
      <c r="C802" s="9" t="s">
        <v>3</v>
      </c>
      <c r="D802" s="9" t="s">
        <v>4</v>
      </c>
      <c r="E802" s="9" t="s">
        <v>702</v>
      </c>
      <c r="F802" s="9" t="s">
        <v>703</v>
      </c>
      <c r="G802" s="9" t="s">
        <v>704</v>
      </c>
    </row>
    <row r="803" spans="1:7" ht="20.149999999999999" customHeight="1" x14ac:dyDescent="0.35">
      <c r="A803" s="10" t="s">
        <v>818</v>
      </c>
      <c r="B803" s="11" t="s">
        <v>819</v>
      </c>
      <c r="C803" s="10" t="s">
        <v>20</v>
      </c>
      <c r="D803" s="10" t="s">
        <v>31</v>
      </c>
      <c r="E803" s="12">
        <v>1.12847823</v>
      </c>
      <c r="F803" s="13">
        <v>107.8</v>
      </c>
      <c r="G803" s="13">
        <v>121.64</v>
      </c>
    </row>
    <row r="804" spans="1:7" ht="15" customHeight="1" x14ac:dyDescent="0.35">
      <c r="A804" s="8"/>
      <c r="B804" s="8"/>
      <c r="C804" s="8"/>
      <c r="D804" s="8"/>
      <c r="E804" s="60" t="s">
        <v>714</v>
      </c>
      <c r="F804" s="60"/>
      <c r="G804" s="14">
        <v>121.64</v>
      </c>
    </row>
    <row r="805" spans="1:7" ht="15" customHeight="1" x14ac:dyDescent="0.35">
      <c r="A805" s="59" t="s">
        <v>715</v>
      </c>
      <c r="B805" s="59"/>
      <c r="C805" s="9" t="s">
        <v>3</v>
      </c>
      <c r="D805" s="9" t="s">
        <v>4</v>
      </c>
      <c r="E805" s="9" t="s">
        <v>702</v>
      </c>
      <c r="F805" s="9" t="s">
        <v>703</v>
      </c>
      <c r="G805" s="9" t="s">
        <v>704</v>
      </c>
    </row>
    <row r="806" spans="1:7" ht="15" customHeight="1" x14ac:dyDescent="0.35">
      <c r="A806" s="10" t="s">
        <v>794</v>
      </c>
      <c r="B806" s="11" t="s">
        <v>795</v>
      </c>
      <c r="C806" s="10" t="s">
        <v>20</v>
      </c>
      <c r="D806" s="10" t="s">
        <v>718</v>
      </c>
      <c r="E806" s="12">
        <v>1.00845688</v>
      </c>
      <c r="F806" s="13">
        <v>19.57</v>
      </c>
      <c r="G806" s="13">
        <v>19.73</v>
      </c>
    </row>
    <row r="807" spans="1:7" ht="15" customHeight="1" x14ac:dyDescent="0.35">
      <c r="A807" s="10" t="s">
        <v>719</v>
      </c>
      <c r="B807" s="11" t="s">
        <v>720</v>
      </c>
      <c r="C807" s="10" t="s">
        <v>20</v>
      </c>
      <c r="D807" s="10" t="s">
        <v>718</v>
      </c>
      <c r="E807" s="12">
        <v>0.33629966999999999</v>
      </c>
      <c r="F807" s="13">
        <v>15.53</v>
      </c>
      <c r="G807" s="13">
        <v>5.22</v>
      </c>
    </row>
    <row r="808" spans="1:7" ht="18" customHeight="1" x14ac:dyDescent="0.35">
      <c r="A808" s="8"/>
      <c r="B808" s="8"/>
      <c r="C808" s="8"/>
      <c r="D808" s="8"/>
      <c r="E808" s="60" t="s">
        <v>721</v>
      </c>
      <c r="F808" s="60"/>
      <c r="G808" s="14">
        <v>24.95</v>
      </c>
    </row>
    <row r="809" spans="1:7" ht="15" customHeight="1" x14ac:dyDescent="0.35">
      <c r="A809" s="8"/>
      <c r="B809" s="8"/>
      <c r="C809" s="8"/>
      <c r="D809" s="8"/>
      <c r="E809" s="61" t="s">
        <v>726</v>
      </c>
      <c r="F809" s="61"/>
      <c r="G809" s="4">
        <v>146.86000000000001</v>
      </c>
    </row>
    <row r="810" spans="1:7" ht="10" customHeight="1" x14ac:dyDescent="0.35">
      <c r="A810" s="8"/>
      <c r="B810" s="8"/>
      <c r="C810" s="57"/>
      <c r="D810" s="57"/>
      <c r="E810" s="8"/>
      <c r="F810" s="8"/>
      <c r="G810" s="8"/>
    </row>
    <row r="811" spans="1:7" ht="20.149999999999999" customHeight="1" x14ac:dyDescent="0.35">
      <c r="A811" s="58" t="s">
        <v>1061</v>
      </c>
      <c r="B811" s="58"/>
      <c r="C811" s="58"/>
      <c r="D811" s="58"/>
      <c r="E811" s="58"/>
      <c r="F811" s="58"/>
      <c r="G811" s="58"/>
    </row>
    <row r="812" spans="1:7" ht="15" customHeight="1" x14ac:dyDescent="0.35">
      <c r="A812" s="59" t="s">
        <v>761</v>
      </c>
      <c r="B812" s="59"/>
      <c r="C812" s="9" t="s">
        <v>3</v>
      </c>
      <c r="D812" s="9" t="s">
        <v>4</v>
      </c>
      <c r="E812" s="9" t="s">
        <v>702</v>
      </c>
      <c r="F812" s="9" t="s">
        <v>703</v>
      </c>
      <c r="G812" s="9" t="s">
        <v>704</v>
      </c>
    </row>
    <row r="813" spans="1:7" ht="37" customHeight="1" x14ac:dyDescent="0.35">
      <c r="A813" s="10" t="s">
        <v>1062</v>
      </c>
      <c r="B813" s="11" t="s">
        <v>1063</v>
      </c>
      <c r="C813" s="10" t="s">
        <v>20</v>
      </c>
      <c r="D813" s="10" t="s">
        <v>764</v>
      </c>
      <c r="E813" s="12">
        <v>0.15520138999999999</v>
      </c>
      <c r="F813" s="13">
        <v>0.97</v>
      </c>
      <c r="G813" s="13">
        <v>0.15</v>
      </c>
    </row>
    <row r="814" spans="1:7" ht="37" customHeight="1" x14ac:dyDescent="0.35">
      <c r="A814" s="10" t="s">
        <v>1064</v>
      </c>
      <c r="B814" s="11" t="s">
        <v>1065</v>
      </c>
      <c r="C814" s="10" t="s">
        <v>20</v>
      </c>
      <c r="D814" s="10" t="s">
        <v>767</v>
      </c>
      <c r="E814" s="12">
        <v>4.984193E-2</v>
      </c>
      <c r="F814" s="13">
        <v>9.1999999999999993</v>
      </c>
      <c r="G814" s="13">
        <v>0.45</v>
      </c>
    </row>
    <row r="815" spans="1:7" ht="29.15" customHeight="1" x14ac:dyDescent="0.35">
      <c r="A815" s="10" t="s">
        <v>1057</v>
      </c>
      <c r="B815" s="11" t="s">
        <v>1058</v>
      </c>
      <c r="C815" s="10" t="s">
        <v>20</v>
      </c>
      <c r="D815" s="10" t="s">
        <v>764</v>
      </c>
      <c r="E815" s="12">
        <v>0.20091563000000001</v>
      </c>
      <c r="F815" s="13">
        <v>0.59</v>
      </c>
      <c r="G815" s="13">
        <v>0.11</v>
      </c>
    </row>
    <row r="816" spans="1:7" ht="29.15" customHeight="1" x14ac:dyDescent="0.35">
      <c r="A816" s="10" t="s">
        <v>1059</v>
      </c>
      <c r="B816" s="11" t="s">
        <v>1060</v>
      </c>
      <c r="C816" s="10" t="s">
        <v>20</v>
      </c>
      <c r="D816" s="10" t="s">
        <v>767</v>
      </c>
      <c r="E816" s="12">
        <v>4.2308800000000002E-3</v>
      </c>
      <c r="F816" s="13">
        <v>8.32</v>
      </c>
      <c r="G816" s="13">
        <v>0.03</v>
      </c>
    </row>
    <row r="817" spans="1:7" ht="15" customHeight="1" x14ac:dyDescent="0.35">
      <c r="A817" s="8"/>
      <c r="B817" s="8"/>
      <c r="C817" s="8"/>
      <c r="D817" s="8"/>
      <c r="E817" s="60" t="s">
        <v>768</v>
      </c>
      <c r="F817" s="60"/>
      <c r="G817" s="14">
        <v>0.74</v>
      </c>
    </row>
    <row r="818" spans="1:7" ht="15" customHeight="1" x14ac:dyDescent="0.35">
      <c r="A818" s="59" t="s">
        <v>701</v>
      </c>
      <c r="B818" s="59"/>
      <c r="C818" s="9" t="s">
        <v>3</v>
      </c>
      <c r="D818" s="9" t="s">
        <v>4</v>
      </c>
      <c r="E818" s="9" t="s">
        <v>702</v>
      </c>
      <c r="F818" s="9" t="s">
        <v>703</v>
      </c>
      <c r="G818" s="9" t="s">
        <v>704</v>
      </c>
    </row>
    <row r="819" spans="1:7" ht="20.149999999999999" customHeight="1" x14ac:dyDescent="0.35">
      <c r="A819" s="10" t="s">
        <v>818</v>
      </c>
      <c r="B819" s="11" t="s">
        <v>819</v>
      </c>
      <c r="C819" s="10" t="s">
        <v>20</v>
      </c>
      <c r="D819" s="10" t="s">
        <v>31</v>
      </c>
      <c r="E819" s="12">
        <v>5.9843029999999998E-2</v>
      </c>
      <c r="F819" s="13">
        <v>107.8</v>
      </c>
      <c r="G819" s="13">
        <v>6.45</v>
      </c>
    </row>
    <row r="820" spans="1:7" ht="45" customHeight="1" x14ac:dyDescent="0.35">
      <c r="A820" s="10" t="s">
        <v>1066</v>
      </c>
      <c r="B820" s="11" t="s">
        <v>1067</v>
      </c>
      <c r="C820" s="10" t="s">
        <v>20</v>
      </c>
      <c r="D820" s="10" t="s">
        <v>21</v>
      </c>
      <c r="E820" s="12">
        <v>1.10488367</v>
      </c>
      <c r="F820" s="13">
        <v>32.590000000000003</v>
      </c>
      <c r="G820" s="13">
        <v>36</v>
      </c>
    </row>
    <row r="821" spans="1:7" ht="15" customHeight="1" x14ac:dyDescent="0.35">
      <c r="A821" s="10" t="s">
        <v>1068</v>
      </c>
      <c r="B821" s="11" t="s">
        <v>1069</v>
      </c>
      <c r="C821" s="10" t="s">
        <v>20</v>
      </c>
      <c r="D821" s="10" t="s">
        <v>31</v>
      </c>
      <c r="E821" s="12">
        <v>6.8482300000000003E-3</v>
      </c>
      <c r="F821" s="13">
        <v>96.69</v>
      </c>
      <c r="G821" s="13">
        <v>0.66</v>
      </c>
    </row>
    <row r="822" spans="1:7" ht="15" customHeight="1" x14ac:dyDescent="0.35">
      <c r="A822" s="8"/>
      <c r="B822" s="8"/>
      <c r="C822" s="8"/>
      <c r="D822" s="8"/>
      <c r="E822" s="60" t="s">
        <v>714</v>
      </c>
      <c r="F822" s="60"/>
      <c r="G822" s="14">
        <v>43.11</v>
      </c>
    </row>
    <row r="823" spans="1:7" ht="15" customHeight="1" x14ac:dyDescent="0.35">
      <c r="A823" s="59" t="s">
        <v>715</v>
      </c>
      <c r="B823" s="59"/>
      <c r="C823" s="9" t="s">
        <v>3</v>
      </c>
      <c r="D823" s="9" t="s">
        <v>4</v>
      </c>
      <c r="E823" s="9" t="s">
        <v>702</v>
      </c>
      <c r="F823" s="9" t="s">
        <v>703</v>
      </c>
      <c r="G823" s="9" t="s">
        <v>704</v>
      </c>
    </row>
    <row r="824" spans="1:7" ht="15" customHeight="1" x14ac:dyDescent="0.35">
      <c r="A824" s="10" t="s">
        <v>1070</v>
      </c>
      <c r="B824" s="11" t="s">
        <v>1071</v>
      </c>
      <c r="C824" s="10" t="s">
        <v>20</v>
      </c>
      <c r="D824" s="10" t="s">
        <v>718</v>
      </c>
      <c r="E824" s="12">
        <v>0.41018985000000002</v>
      </c>
      <c r="F824" s="13">
        <v>19.46</v>
      </c>
      <c r="G824" s="13">
        <v>7.98</v>
      </c>
    </row>
    <row r="825" spans="1:7" ht="15" customHeight="1" x14ac:dyDescent="0.35">
      <c r="A825" s="10" t="s">
        <v>719</v>
      </c>
      <c r="B825" s="11" t="s">
        <v>720</v>
      </c>
      <c r="C825" s="10" t="s">
        <v>20</v>
      </c>
      <c r="D825" s="10" t="s">
        <v>718</v>
      </c>
      <c r="E825" s="12">
        <v>0.41018985000000002</v>
      </c>
      <c r="F825" s="13">
        <v>15.53</v>
      </c>
      <c r="G825" s="13">
        <v>6.37</v>
      </c>
    </row>
    <row r="826" spans="1:7" ht="18" customHeight="1" x14ac:dyDescent="0.35">
      <c r="A826" s="8"/>
      <c r="B826" s="8"/>
      <c r="C826" s="8"/>
      <c r="D826" s="8"/>
      <c r="E826" s="60" t="s">
        <v>721</v>
      </c>
      <c r="F826" s="60"/>
      <c r="G826" s="14">
        <v>14.35</v>
      </c>
    </row>
    <row r="827" spans="1:7" ht="15" customHeight="1" x14ac:dyDescent="0.35">
      <c r="A827" s="8"/>
      <c r="B827" s="8"/>
      <c r="C827" s="8"/>
      <c r="D827" s="8"/>
      <c r="E827" s="61" t="s">
        <v>726</v>
      </c>
      <c r="F827" s="61"/>
      <c r="G827" s="4">
        <v>58.2</v>
      </c>
    </row>
    <row r="828" spans="1:7" ht="10" customHeight="1" x14ac:dyDescent="0.35">
      <c r="A828" s="8"/>
      <c r="B828" s="8"/>
      <c r="C828" s="57"/>
      <c r="D828" s="57"/>
      <c r="E828" s="8"/>
      <c r="F828" s="8"/>
      <c r="G828" s="8"/>
    </row>
    <row r="829" spans="1:7" ht="20.149999999999999" customHeight="1" x14ac:dyDescent="0.35">
      <c r="A829" s="58" t="s">
        <v>1072</v>
      </c>
      <c r="B829" s="58"/>
      <c r="C829" s="58"/>
      <c r="D829" s="58"/>
      <c r="E829" s="58"/>
      <c r="F829" s="58"/>
      <c r="G829" s="58"/>
    </row>
    <row r="830" spans="1:7" ht="15" customHeight="1" x14ac:dyDescent="0.35">
      <c r="A830" s="59" t="s">
        <v>701</v>
      </c>
      <c r="B830" s="59"/>
      <c r="C830" s="9" t="s">
        <v>3</v>
      </c>
      <c r="D830" s="9" t="s">
        <v>4</v>
      </c>
      <c r="E830" s="9" t="s">
        <v>702</v>
      </c>
      <c r="F830" s="9" t="s">
        <v>703</v>
      </c>
      <c r="G830" s="9" t="s">
        <v>704</v>
      </c>
    </row>
    <row r="831" spans="1:7" ht="15" customHeight="1" x14ac:dyDescent="0.35">
      <c r="A831" s="10" t="s">
        <v>1051</v>
      </c>
      <c r="B831" s="11" t="s">
        <v>1052</v>
      </c>
      <c r="C831" s="10" t="s">
        <v>20</v>
      </c>
      <c r="D831" s="10" t="s">
        <v>56</v>
      </c>
      <c r="E831" s="12">
        <v>1.2286051200000001</v>
      </c>
      <c r="F831" s="13">
        <v>2.25</v>
      </c>
      <c r="G831" s="13">
        <v>2.76</v>
      </c>
    </row>
    <row r="832" spans="1:7" ht="15" customHeight="1" x14ac:dyDescent="0.35">
      <c r="A832" s="10" t="s">
        <v>820</v>
      </c>
      <c r="B832" s="11" t="s">
        <v>821</v>
      </c>
      <c r="C832" s="10" t="s">
        <v>20</v>
      </c>
      <c r="D832" s="10" t="s">
        <v>56</v>
      </c>
      <c r="E832" s="12">
        <v>0.24268743000000001</v>
      </c>
      <c r="F832" s="13">
        <v>0.69</v>
      </c>
      <c r="G832" s="13">
        <v>0.16</v>
      </c>
    </row>
    <row r="833" spans="1:7" ht="20.149999999999999" customHeight="1" x14ac:dyDescent="0.35">
      <c r="A833" s="10" t="s">
        <v>1073</v>
      </c>
      <c r="B833" s="11" t="s">
        <v>1074</v>
      </c>
      <c r="C833" s="10" t="s">
        <v>20</v>
      </c>
      <c r="D833" s="10" t="s">
        <v>21</v>
      </c>
      <c r="E833" s="12">
        <v>0.25279940000000001</v>
      </c>
      <c r="F833" s="13">
        <v>631.32000000000005</v>
      </c>
      <c r="G833" s="13">
        <v>159.59</v>
      </c>
    </row>
    <row r="834" spans="1:7" ht="15" customHeight="1" x14ac:dyDescent="0.35">
      <c r="A834" s="8"/>
      <c r="B834" s="8"/>
      <c r="C834" s="8"/>
      <c r="D834" s="8"/>
      <c r="E834" s="60" t="s">
        <v>714</v>
      </c>
      <c r="F834" s="60"/>
      <c r="G834" s="14">
        <v>162.51</v>
      </c>
    </row>
    <row r="835" spans="1:7" ht="15" customHeight="1" x14ac:dyDescent="0.35">
      <c r="A835" s="59" t="s">
        <v>715</v>
      </c>
      <c r="B835" s="59"/>
      <c r="C835" s="9" t="s">
        <v>3</v>
      </c>
      <c r="D835" s="9" t="s">
        <v>4</v>
      </c>
      <c r="E835" s="9" t="s">
        <v>702</v>
      </c>
      <c r="F835" s="9" t="s">
        <v>703</v>
      </c>
      <c r="G835" s="9" t="s">
        <v>704</v>
      </c>
    </row>
    <row r="836" spans="1:7" ht="15" customHeight="1" x14ac:dyDescent="0.35">
      <c r="A836" s="10" t="s">
        <v>794</v>
      </c>
      <c r="B836" s="11" t="s">
        <v>795</v>
      </c>
      <c r="C836" s="10" t="s">
        <v>20</v>
      </c>
      <c r="D836" s="10" t="s">
        <v>718</v>
      </c>
      <c r="E836" s="12">
        <v>0.43296654000000001</v>
      </c>
      <c r="F836" s="13">
        <v>19.57</v>
      </c>
      <c r="G836" s="13">
        <v>8.4700000000000006</v>
      </c>
    </row>
    <row r="837" spans="1:7" ht="15" customHeight="1" x14ac:dyDescent="0.35">
      <c r="A837" s="10" t="s">
        <v>719</v>
      </c>
      <c r="B837" s="11" t="s">
        <v>720</v>
      </c>
      <c r="C837" s="10" t="s">
        <v>20</v>
      </c>
      <c r="D837" s="10" t="s">
        <v>718</v>
      </c>
      <c r="E837" s="12">
        <v>0.21598787999999999</v>
      </c>
      <c r="F837" s="13">
        <v>15.53</v>
      </c>
      <c r="G837" s="13">
        <v>3.35</v>
      </c>
    </row>
    <row r="838" spans="1:7" ht="18" customHeight="1" x14ac:dyDescent="0.35">
      <c r="A838" s="8"/>
      <c r="B838" s="8"/>
      <c r="C838" s="8"/>
      <c r="D838" s="8"/>
      <c r="E838" s="60" t="s">
        <v>721</v>
      </c>
      <c r="F838" s="60"/>
      <c r="G838" s="14">
        <v>11.82</v>
      </c>
    </row>
    <row r="839" spans="1:7" ht="15" customHeight="1" x14ac:dyDescent="0.35">
      <c r="A839" s="8"/>
      <c r="B839" s="8"/>
      <c r="C839" s="8"/>
      <c r="D839" s="8"/>
      <c r="E839" s="61" t="s">
        <v>726</v>
      </c>
      <c r="F839" s="61"/>
      <c r="G839" s="4">
        <v>174.33</v>
      </c>
    </row>
    <row r="840" spans="1:7" ht="10" customHeight="1" x14ac:dyDescent="0.35">
      <c r="A840" s="8"/>
      <c r="B840" s="8"/>
      <c r="C840" s="57"/>
      <c r="D840" s="57"/>
      <c r="E840" s="8"/>
      <c r="F840" s="8"/>
      <c r="G840" s="8"/>
    </row>
    <row r="841" spans="1:7" ht="20.149999999999999" customHeight="1" x14ac:dyDescent="0.35">
      <c r="A841" s="58" t="s">
        <v>1075</v>
      </c>
      <c r="B841" s="58"/>
      <c r="C841" s="58"/>
      <c r="D841" s="58"/>
      <c r="E841" s="58"/>
      <c r="F841" s="58"/>
      <c r="G841" s="58"/>
    </row>
    <row r="842" spans="1:7" ht="15" customHeight="1" x14ac:dyDescent="0.35">
      <c r="A842" s="59" t="s">
        <v>701</v>
      </c>
      <c r="B842" s="59"/>
      <c r="C842" s="9" t="s">
        <v>3</v>
      </c>
      <c r="D842" s="9" t="s">
        <v>4</v>
      </c>
      <c r="E842" s="9" t="s">
        <v>702</v>
      </c>
      <c r="F842" s="9" t="s">
        <v>703</v>
      </c>
      <c r="G842" s="9" t="s">
        <v>704</v>
      </c>
    </row>
    <row r="843" spans="1:7" ht="15" customHeight="1" x14ac:dyDescent="0.35">
      <c r="A843" s="10" t="s">
        <v>1076</v>
      </c>
      <c r="B843" s="11" t="s">
        <v>1077</v>
      </c>
      <c r="C843" s="10" t="s">
        <v>20</v>
      </c>
      <c r="D843" s="10" t="s">
        <v>21</v>
      </c>
      <c r="E843" s="12">
        <v>1.06175438</v>
      </c>
      <c r="F843" s="13">
        <v>11.02</v>
      </c>
      <c r="G843" s="13">
        <v>11.7</v>
      </c>
    </row>
    <row r="844" spans="1:7" ht="15" customHeight="1" x14ac:dyDescent="0.35">
      <c r="A844" s="8"/>
      <c r="B844" s="8"/>
      <c r="C844" s="8"/>
      <c r="D844" s="8"/>
      <c r="E844" s="60" t="s">
        <v>714</v>
      </c>
      <c r="F844" s="60"/>
      <c r="G844" s="14">
        <v>11.7</v>
      </c>
    </row>
    <row r="845" spans="1:7" ht="15" customHeight="1" x14ac:dyDescent="0.35">
      <c r="A845" s="59" t="s">
        <v>715</v>
      </c>
      <c r="B845" s="59"/>
      <c r="C845" s="9" t="s">
        <v>3</v>
      </c>
      <c r="D845" s="9" t="s">
        <v>4</v>
      </c>
      <c r="E845" s="9" t="s">
        <v>702</v>
      </c>
      <c r="F845" s="9" t="s">
        <v>703</v>
      </c>
      <c r="G845" s="9" t="s">
        <v>704</v>
      </c>
    </row>
    <row r="846" spans="1:7" ht="15" customHeight="1" x14ac:dyDescent="0.35">
      <c r="A846" s="10" t="s">
        <v>1078</v>
      </c>
      <c r="B846" s="11" t="s">
        <v>1079</v>
      </c>
      <c r="C846" s="10" t="s">
        <v>20</v>
      </c>
      <c r="D846" s="10" t="s">
        <v>718</v>
      </c>
      <c r="E846" s="12">
        <v>4.0634980000000001E-2</v>
      </c>
      <c r="F846" s="13">
        <v>15.11</v>
      </c>
      <c r="G846" s="13">
        <v>0.61</v>
      </c>
    </row>
    <row r="847" spans="1:7" ht="15" customHeight="1" x14ac:dyDescent="0.35">
      <c r="A847" s="10" t="s">
        <v>719</v>
      </c>
      <c r="B847" s="11" t="s">
        <v>720</v>
      </c>
      <c r="C847" s="10" t="s">
        <v>20</v>
      </c>
      <c r="D847" s="10" t="s">
        <v>718</v>
      </c>
      <c r="E847" s="12">
        <v>0.16189605000000001</v>
      </c>
      <c r="F847" s="13">
        <v>15.53</v>
      </c>
      <c r="G847" s="13">
        <v>2.5099999999999998</v>
      </c>
    </row>
    <row r="848" spans="1:7" ht="18" customHeight="1" x14ac:dyDescent="0.35">
      <c r="A848" s="8"/>
      <c r="B848" s="8"/>
      <c r="C848" s="8"/>
      <c r="D848" s="8"/>
      <c r="E848" s="60" t="s">
        <v>721</v>
      </c>
      <c r="F848" s="60"/>
      <c r="G848" s="14">
        <v>3.12</v>
      </c>
    </row>
    <row r="849" spans="1:7" ht="15" customHeight="1" x14ac:dyDescent="0.35">
      <c r="A849" s="8"/>
      <c r="B849" s="8"/>
      <c r="C849" s="8"/>
      <c r="D849" s="8"/>
      <c r="E849" s="61" t="s">
        <v>726</v>
      </c>
      <c r="F849" s="61"/>
      <c r="G849" s="4">
        <v>14.82</v>
      </c>
    </row>
    <row r="850" spans="1:7" ht="10" customHeight="1" x14ac:dyDescent="0.35">
      <c r="A850" s="8"/>
      <c r="B850" s="8"/>
      <c r="C850" s="57"/>
      <c r="D850" s="57"/>
      <c r="E850" s="8"/>
      <c r="F850" s="8"/>
      <c r="G850" s="8"/>
    </row>
    <row r="851" spans="1:7" ht="20.149999999999999" customHeight="1" x14ac:dyDescent="0.35">
      <c r="A851" s="58" t="s">
        <v>1080</v>
      </c>
      <c r="B851" s="58"/>
      <c r="C851" s="58"/>
      <c r="D851" s="58"/>
      <c r="E851" s="58"/>
      <c r="F851" s="58"/>
      <c r="G851" s="58"/>
    </row>
    <row r="852" spans="1:7" ht="15" customHeight="1" x14ac:dyDescent="0.35">
      <c r="A852" s="59" t="s">
        <v>701</v>
      </c>
      <c r="B852" s="59"/>
      <c r="C852" s="9" t="s">
        <v>3</v>
      </c>
      <c r="D852" s="9" t="s">
        <v>4</v>
      </c>
      <c r="E852" s="9" t="s">
        <v>702</v>
      </c>
      <c r="F852" s="9" t="s">
        <v>703</v>
      </c>
      <c r="G852" s="9" t="s">
        <v>704</v>
      </c>
    </row>
    <row r="853" spans="1:7" ht="15" customHeight="1" x14ac:dyDescent="0.35">
      <c r="A853" s="10" t="s">
        <v>1029</v>
      </c>
      <c r="B853" s="11" t="s">
        <v>1030</v>
      </c>
      <c r="C853" s="10" t="s">
        <v>20</v>
      </c>
      <c r="D853" s="10" t="s">
        <v>56</v>
      </c>
      <c r="E853" s="12">
        <v>0.54928858000000003</v>
      </c>
      <c r="F853" s="13">
        <v>0.74</v>
      </c>
      <c r="G853" s="13">
        <v>0.4</v>
      </c>
    </row>
    <row r="854" spans="1:7" ht="20.149999999999999" customHeight="1" x14ac:dyDescent="0.35">
      <c r="A854" s="10" t="s">
        <v>1081</v>
      </c>
      <c r="B854" s="11" t="s">
        <v>1082</v>
      </c>
      <c r="C854" s="10" t="s">
        <v>20</v>
      </c>
      <c r="D854" s="10" t="s">
        <v>21</v>
      </c>
      <c r="E854" s="12">
        <v>0.13663895000000001</v>
      </c>
      <c r="F854" s="13">
        <v>37.19</v>
      </c>
      <c r="G854" s="13">
        <v>5.08</v>
      </c>
    </row>
    <row r="855" spans="1:7" ht="15" customHeight="1" x14ac:dyDescent="0.35">
      <c r="A855" s="10" t="s">
        <v>1031</v>
      </c>
      <c r="B855" s="11" t="s">
        <v>1032</v>
      </c>
      <c r="C855" s="10" t="s">
        <v>20</v>
      </c>
      <c r="D855" s="10" t="s">
        <v>56</v>
      </c>
      <c r="E855" s="12">
        <v>7.6517810000000006E-2</v>
      </c>
      <c r="F855" s="13">
        <v>4.3099999999999996</v>
      </c>
      <c r="G855" s="13">
        <v>0.32</v>
      </c>
    </row>
    <row r="856" spans="1:7" ht="15" customHeight="1" x14ac:dyDescent="0.35">
      <c r="A856" s="8"/>
      <c r="B856" s="8"/>
      <c r="C856" s="8"/>
      <c r="D856" s="8"/>
      <c r="E856" s="60" t="s">
        <v>714</v>
      </c>
      <c r="F856" s="60"/>
      <c r="G856" s="14">
        <v>5.8</v>
      </c>
    </row>
    <row r="857" spans="1:7" ht="15" customHeight="1" x14ac:dyDescent="0.35">
      <c r="A857" s="59" t="s">
        <v>715</v>
      </c>
      <c r="B857" s="59"/>
      <c r="C857" s="9" t="s">
        <v>3</v>
      </c>
      <c r="D857" s="9" t="s">
        <v>4</v>
      </c>
      <c r="E857" s="9" t="s">
        <v>702</v>
      </c>
      <c r="F857" s="9" t="s">
        <v>703</v>
      </c>
      <c r="G857" s="9" t="s">
        <v>704</v>
      </c>
    </row>
    <row r="858" spans="1:7" ht="20.149999999999999" customHeight="1" x14ac:dyDescent="0.35">
      <c r="A858" s="10" t="s">
        <v>1035</v>
      </c>
      <c r="B858" s="11" t="s">
        <v>1036</v>
      </c>
      <c r="C858" s="10" t="s">
        <v>20</v>
      </c>
      <c r="D858" s="10" t="s">
        <v>718</v>
      </c>
      <c r="E858" s="12">
        <v>6.6367499999999996E-2</v>
      </c>
      <c r="F858" s="13">
        <v>19.5</v>
      </c>
      <c r="G858" s="13">
        <v>1.29</v>
      </c>
    </row>
    <row r="859" spans="1:7" ht="15" customHeight="1" x14ac:dyDescent="0.35">
      <c r="A859" s="10" t="s">
        <v>719</v>
      </c>
      <c r="B859" s="11" t="s">
        <v>720</v>
      </c>
      <c r="C859" s="10" t="s">
        <v>20</v>
      </c>
      <c r="D859" s="10" t="s">
        <v>718</v>
      </c>
      <c r="E859" s="12">
        <v>2.7587770000000001E-2</v>
      </c>
      <c r="F859" s="13">
        <v>15.53</v>
      </c>
      <c r="G859" s="13">
        <v>0.42</v>
      </c>
    </row>
    <row r="860" spans="1:7" ht="18" customHeight="1" x14ac:dyDescent="0.35">
      <c r="A860" s="8"/>
      <c r="B860" s="8"/>
      <c r="C860" s="8"/>
      <c r="D860" s="8"/>
      <c r="E860" s="60" t="s">
        <v>721</v>
      </c>
      <c r="F860" s="60"/>
      <c r="G860" s="14">
        <v>1.71</v>
      </c>
    </row>
    <row r="861" spans="1:7" ht="15" customHeight="1" x14ac:dyDescent="0.35">
      <c r="A861" s="8"/>
      <c r="B861" s="8"/>
      <c r="C861" s="8"/>
      <c r="D861" s="8"/>
      <c r="E861" s="61" t="s">
        <v>726</v>
      </c>
      <c r="F861" s="61"/>
      <c r="G861" s="4">
        <v>7.51</v>
      </c>
    </row>
    <row r="862" spans="1:7" ht="10" customHeight="1" x14ac:dyDescent="0.35">
      <c r="A862" s="8"/>
      <c r="B862" s="8"/>
      <c r="C862" s="57"/>
      <c r="D862" s="57"/>
      <c r="E862" s="8"/>
      <c r="F862" s="8"/>
      <c r="G862" s="8"/>
    </row>
    <row r="863" spans="1:7" ht="20.149999999999999" customHeight="1" x14ac:dyDescent="0.35">
      <c r="A863" s="58" t="s">
        <v>1083</v>
      </c>
      <c r="B863" s="58"/>
      <c r="C863" s="58"/>
      <c r="D863" s="58"/>
      <c r="E863" s="58"/>
      <c r="F863" s="58"/>
      <c r="G863" s="58"/>
    </row>
    <row r="864" spans="1:7" ht="15" customHeight="1" x14ac:dyDescent="0.35">
      <c r="A864" s="59" t="s">
        <v>701</v>
      </c>
      <c r="B864" s="59"/>
      <c r="C864" s="9" t="s">
        <v>3</v>
      </c>
      <c r="D864" s="9" t="s">
        <v>4</v>
      </c>
      <c r="E864" s="9" t="s">
        <v>702</v>
      </c>
      <c r="F864" s="9" t="s">
        <v>703</v>
      </c>
      <c r="G864" s="9" t="s">
        <v>704</v>
      </c>
    </row>
    <row r="865" spans="1:7" ht="15" customHeight="1" x14ac:dyDescent="0.35">
      <c r="A865" s="10" t="s">
        <v>1051</v>
      </c>
      <c r="B865" s="11" t="s">
        <v>1052</v>
      </c>
      <c r="C865" s="10" t="s">
        <v>20</v>
      </c>
      <c r="D865" s="10" t="s">
        <v>56</v>
      </c>
      <c r="E865" s="12">
        <v>1.2879285300000001</v>
      </c>
      <c r="F865" s="13">
        <v>2.25</v>
      </c>
      <c r="G865" s="13">
        <v>2.89</v>
      </c>
    </row>
    <row r="866" spans="1:7" ht="29.15" customHeight="1" x14ac:dyDescent="0.35">
      <c r="A866" s="10" t="s">
        <v>1084</v>
      </c>
      <c r="B866" s="11" t="s">
        <v>1085</v>
      </c>
      <c r="C866" s="10" t="s">
        <v>20</v>
      </c>
      <c r="D866" s="10" t="s">
        <v>25</v>
      </c>
      <c r="E866" s="12">
        <v>0.99839420999999995</v>
      </c>
      <c r="F866" s="13">
        <v>55.74</v>
      </c>
      <c r="G866" s="13">
        <v>55.65</v>
      </c>
    </row>
    <row r="867" spans="1:7" ht="15" customHeight="1" x14ac:dyDescent="0.35">
      <c r="A867" s="8"/>
      <c r="B867" s="8"/>
      <c r="C867" s="8"/>
      <c r="D867" s="8"/>
      <c r="E867" s="60" t="s">
        <v>714</v>
      </c>
      <c r="F867" s="60"/>
      <c r="G867" s="14">
        <v>58.54</v>
      </c>
    </row>
    <row r="868" spans="1:7" ht="15" customHeight="1" x14ac:dyDescent="0.35">
      <c r="A868" s="59" t="s">
        <v>715</v>
      </c>
      <c r="B868" s="59"/>
      <c r="C868" s="9" t="s">
        <v>3</v>
      </c>
      <c r="D868" s="9" t="s">
        <v>4</v>
      </c>
      <c r="E868" s="9" t="s">
        <v>702</v>
      </c>
      <c r="F868" s="9" t="s">
        <v>703</v>
      </c>
      <c r="G868" s="9" t="s">
        <v>704</v>
      </c>
    </row>
    <row r="869" spans="1:7" ht="15" customHeight="1" x14ac:dyDescent="0.35">
      <c r="A869" s="10" t="s">
        <v>919</v>
      </c>
      <c r="B869" s="11" t="s">
        <v>920</v>
      </c>
      <c r="C869" s="10" t="s">
        <v>20</v>
      </c>
      <c r="D869" s="10" t="s">
        <v>718</v>
      </c>
      <c r="E869" s="12">
        <v>0.53555887000000002</v>
      </c>
      <c r="F869" s="13">
        <v>19.5</v>
      </c>
      <c r="G869" s="13">
        <v>10.44</v>
      </c>
    </row>
    <row r="870" spans="1:7" ht="15" customHeight="1" x14ac:dyDescent="0.35">
      <c r="A870" s="10" t="s">
        <v>719</v>
      </c>
      <c r="B870" s="11" t="s">
        <v>720</v>
      </c>
      <c r="C870" s="10" t="s">
        <v>20</v>
      </c>
      <c r="D870" s="10" t="s">
        <v>718</v>
      </c>
      <c r="E870" s="12">
        <v>0.26703394000000003</v>
      </c>
      <c r="F870" s="13">
        <v>15.53</v>
      </c>
      <c r="G870" s="13">
        <v>4.1399999999999997</v>
      </c>
    </row>
    <row r="871" spans="1:7" ht="18" customHeight="1" x14ac:dyDescent="0.35">
      <c r="A871" s="8"/>
      <c r="B871" s="8"/>
      <c r="C871" s="8"/>
      <c r="D871" s="8"/>
      <c r="E871" s="60" t="s">
        <v>721</v>
      </c>
      <c r="F871" s="60"/>
      <c r="G871" s="14">
        <v>14.58</v>
      </c>
    </row>
    <row r="872" spans="1:7" ht="15" customHeight="1" x14ac:dyDescent="0.35">
      <c r="A872" s="8"/>
      <c r="B872" s="8"/>
      <c r="C872" s="8"/>
      <c r="D872" s="8"/>
      <c r="E872" s="61" t="s">
        <v>726</v>
      </c>
      <c r="F872" s="61"/>
      <c r="G872" s="4">
        <v>73.12</v>
      </c>
    </row>
    <row r="873" spans="1:7" ht="10" customHeight="1" x14ac:dyDescent="0.35">
      <c r="A873" s="8"/>
      <c r="B873" s="8"/>
      <c r="C873" s="57"/>
      <c r="D873" s="57"/>
      <c r="E873" s="8"/>
      <c r="F873" s="8"/>
      <c r="G873" s="8"/>
    </row>
    <row r="874" spans="1:7" ht="20.149999999999999" customHeight="1" x14ac:dyDescent="0.35">
      <c r="A874" s="58" t="s">
        <v>1086</v>
      </c>
      <c r="B874" s="58"/>
      <c r="C874" s="58"/>
      <c r="D874" s="58"/>
      <c r="E874" s="58"/>
      <c r="F874" s="58"/>
      <c r="G874" s="58"/>
    </row>
    <row r="875" spans="1:7" ht="15" customHeight="1" x14ac:dyDescent="0.35">
      <c r="A875" s="59" t="s">
        <v>761</v>
      </c>
      <c r="B875" s="59"/>
      <c r="C875" s="9" t="s">
        <v>3</v>
      </c>
      <c r="D875" s="9" t="s">
        <v>4</v>
      </c>
      <c r="E875" s="9" t="s">
        <v>702</v>
      </c>
      <c r="F875" s="9" t="s">
        <v>703</v>
      </c>
      <c r="G875" s="9" t="s">
        <v>704</v>
      </c>
    </row>
    <row r="876" spans="1:7" ht="20.149999999999999" customHeight="1" x14ac:dyDescent="0.35">
      <c r="A876" s="10" t="s">
        <v>762</v>
      </c>
      <c r="B876" s="11" t="s">
        <v>763</v>
      </c>
      <c r="C876" s="10" t="s">
        <v>20</v>
      </c>
      <c r="D876" s="10" t="s">
        <v>764</v>
      </c>
      <c r="E876" s="12">
        <v>0.40349793</v>
      </c>
      <c r="F876" s="13">
        <v>18.55</v>
      </c>
      <c r="G876" s="13">
        <v>7.48</v>
      </c>
    </row>
    <row r="877" spans="1:7" ht="20.149999999999999" customHeight="1" x14ac:dyDescent="0.35">
      <c r="A877" s="10" t="s">
        <v>765</v>
      </c>
      <c r="B877" s="11" t="s">
        <v>766</v>
      </c>
      <c r="C877" s="10" t="s">
        <v>20</v>
      </c>
      <c r="D877" s="10" t="s">
        <v>767</v>
      </c>
      <c r="E877" s="12">
        <v>2.1773399999999998E-2</v>
      </c>
      <c r="F877" s="13">
        <v>19.54</v>
      </c>
      <c r="G877" s="13">
        <v>0.42</v>
      </c>
    </row>
    <row r="878" spans="1:7" ht="15" customHeight="1" x14ac:dyDescent="0.35">
      <c r="A878" s="8"/>
      <c r="B878" s="8"/>
      <c r="C878" s="8"/>
      <c r="D878" s="8"/>
      <c r="E878" s="60" t="s">
        <v>768</v>
      </c>
      <c r="F878" s="60"/>
      <c r="G878" s="14">
        <v>7.9</v>
      </c>
    </row>
    <row r="879" spans="1:7" ht="15" customHeight="1" x14ac:dyDescent="0.35">
      <c r="A879" s="59" t="s">
        <v>701</v>
      </c>
      <c r="B879" s="59"/>
      <c r="C879" s="9" t="s">
        <v>3</v>
      </c>
      <c r="D879" s="9" t="s">
        <v>4</v>
      </c>
      <c r="E879" s="9" t="s">
        <v>702</v>
      </c>
      <c r="F879" s="9" t="s">
        <v>703</v>
      </c>
      <c r="G879" s="9" t="s">
        <v>704</v>
      </c>
    </row>
    <row r="880" spans="1:7" ht="20.149999999999999" customHeight="1" x14ac:dyDescent="0.35">
      <c r="A880" s="10" t="s">
        <v>1087</v>
      </c>
      <c r="B880" s="11" t="s">
        <v>1088</v>
      </c>
      <c r="C880" s="10" t="s">
        <v>20</v>
      </c>
      <c r="D880" s="10" t="s">
        <v>25</v>
      </c>
      <c r="E880" s="12">
        <v>1.0749446899999999</v>
      </c>
      <c r="F880" s="13">
        <v>70.81</v>
      </c>
      <c r="G880" s="13">
        <v>76.11</v>
      </c>
    </row>
    <row r="881" spans="1:7" ht="15" customHeight="1" x14ac:dyDescent="0.35">
      <c r="A881" s="8"/>
      <c r="B881" s="8"/>
      <c r="C881" s="8"/>
      <c r="D881" s="8"/>
      <c r="E881" s="60" t="s">
        <v>714</v>
      </c>
      <c r="F881" s="60"/>
      <c r="G881" s="14">
        <v>76.11</v>
      </c>
    </row>
    <row r="882" spans="1:7" ht="15" customHeight="1" x14ac:dyDescent="0.35">
      <c r="A882" s="59" t="s">
        <v>715</v>
      </c>
      <c r="B882" s="59"/>
      <c r="C882" s="9" t="s">
        <v>3</v>
      </c>
      <c r="D882" s="9" t="s">
        <v>4</v>
      </c>
      <c r="E882" s="9" t="s">
        <v>702</v>
      </c>
      <c r="F882" s="9" t="s">
        <v>703</v>
      </c>
      <c r="G882" s="9" t="s">
        <v>704</v>
      </c>
    </row>
    <row r="883" spans="1:7" ht="15" customHeight="1" x14ac:dyDescent="0.35">
      <c r="A883" s="10" t="s">
        <v>919</v>
      </c>
      <c r="B883" s="11" t="s">
        <v>920</v>
      </c>
      <c r="C883" s="10" t="s">
        <v>20</v>
      </c>
      <c r="D883" s="10" t="s">
        <v>718</v>
      </c>
      <c r="E883" s="12">
        <v>0.42473332000000003</v>
      </c>
      <c r="F883" s="13">
        <v>19.5</v>
      </c>
      <c r="G883" s="13">
        <v>8.2799999999999994</v>
      </c>
    </row>
    <row r="884" spans="1:7" ht="15" customHeight="1" x14ac:dyDescent="0.35">
      <c r="A884" s="10" t="s">
        <v>719</v>
      </c>
      <c r="B884" s="11" t="s">
        <v>720</v>
      </c>
      <c r="C884" s="10" t="s">
        <v>20</v>
      </c>
      <c r="D884" s="10" t="s">
        <v>718</v>
      </c>
      <c r="E884" s="12">
        <v>0.21224793</v>
      </c>
      <c r="F884" s="13">
        <v>15.53</v>
      </c>
      <c r="G884" s="13">
        <v>3.29</v>
      </c>
    </row>
    <row r="885" spans="1:7" ht="18" customHeight="1" x14ac:dyDescent="0.35">
      <c r="A885" s="8"/>
      <c r="B885" s="8"/>
      <c r="C885" s="8"/>
      <c r="D885" s="8"/>
      <c r="E885" s="60" t="s">
        <v>721</v>
      </c>
      <c r="F885" s="60"/>
      <c r="G885" s="14">
        <v>11.57</v>
      </c>
    </row>
    <row r="886" spans="1:7" ht="15" customHeight="1" x14ac:dyDescent="0.35">
      <c r="A886" s="59" t="s">
        <v>722</v>
      </c>
      <c r="B886" s="59"/>
      <c r="C886" s="9" t="s">
        <v>3</v>
      </c>
      <c r="D886" s="9" t="s">
        <v>4</v>
      </c>
      <c r="E886" s="9" t="s">
        <v>702</v>
      </c>
      <c r="F886" s="9" t="s">
        <v>703</v>
      </c>
      <c r="G886" s="9" t="s">
        <v>704</v>
      </c>
    </row>
    <row r="887" spans="1:7" ht="37" customHeight="1" x14ac:dyDescent="0.35">
      <c r="A887" s="10" t="s">
        <v>1089</v>
      </c>
      <c r="B887" s="11" t="s">
        <v>1090</v>
      </c>
      <c r="C887" s="10" t="s">
        <v>20</v>
      </c>
      <c r="D887" s="10" t="s">
        <v>31</v>
      </c>
      <c r="E887" s="12">
        <v>6.0993999999999996E-3</v>
      </c>
      <c r="F887" s="13">
        <v>405.67</v>
      </c>
      <c r="G887" s="13">
        <v>2.4700000000000002</v>
      </c>
    </row>
    <row r="888" spans="1:7" ht="15" customHeight="1" x14ac:dyDescent="0.35">
      <c r="A888" s="8"/>
      <c r="B888" s="8"/>
      <c r="C888" s="8"/>
      <c r="D888" s="8"/>
      <c r="E888" s="60" t="s">
        <v>725</v>
      </c>
      <c r="F888" s="60"/>
      <c r="G888" s="14">
        <v>2.4700000000000002</v>
      </c>
    </row>
    <row r="889" spans="1:7" ht="15" customHeight="1" x14ac:dyDescent="0.35">
      <c r="A889" s="8"/>
      <c r="B889" s="8"/>
      <c r="C889" s="8"/>
      <c r="D889" s="8"/>
      <c r="E889" s="61" t="s">
        <v>726</v>
      </c>
      <c r="F889" s="61"/>
      <c r="G889" s="4">
        <v>98.05</v>
      </c>
    </row>
    <row r="890" spans="1:7" ht="10" customHeight="1" x14ac:dyDescent="0.35">
      <c r="A890" s="8"/>
      <c r="B890" s="8"/>
      <c r="C890" s="57"/>
      <c r="D890" s="57"/>
      <c r="E890" s="8"/>
      <c r="F890" s="8"/>
      <c r="G890" s="8"/>
    </row>
    <row r="891" spans="1:7" ht="20.149999999999999" customHeight="1" x14ac:dyDescent="0.35">
      <c r="A891" s="58" t="s">
        <v>1091</v>
      </c>
      <c r="B891" s="58"/>
      <c r="C891" s="58"/>
      <c r="D891" s="58"/>
      <c r="E891" s="58"/>
      <c r="F891" s="58"/>
      <c r="G891" s="58"/>
    </row>
    <row r="892" spans="1:7" ht="15" customHeight="1" x14ac:dyDescent="0.35">
      <c r="A892" s="59" t="s">
        <v>701</v>
      </c>
      <c r="B892" s="59"/>
      <c r="C892" s="9" t="s">
        <v>3</v>
      </c>
      <c r="D892" s="9" t="s">
        <v>4</v>
      </c>
      <c r="E892" s="9" t="s">
        <v>702</v>
      </c>
      <c r="F892" s="9" t="s">
        <v>703</v>
      </c>
      <c r="G892" s="9" t="s">
        <v>704</v>
      </c>
    </row>
    <row r="893" spans="1:7" ht="20.149999999999999" customHeight="1" x14ac:dyDescent="0.35">
      <c r="A893" s="10" t="s">
        <v>1092</v>
      </c>
      <c r="B893" s="11" t="s">
        <v>1093</v>
      </c>
      <c r="C893" s="10" t="s">
        <v>20</v>
      </c>
      <c r="D893" s="10" t="s">
        <v>160</v>
      </c>
      <c r="E893" s="12">
        <v>0.10453712</v>
      </c>
      <c r="F893" s="13">
        <v>0.91</v>
      </c>
      <c r="G893" s="13">
        <v>0.09</v>
      </c>
    </row>
    <row r="894" spans="1:7" ht="15" customHeight="1" x14ac:dyDescent="0.35">
      <c r="A894" s="10" t="s">
        <v>1094</v>
      </c>
      <c r="B894" s="11" t="s">
        <v>1095</v>
      </c>
      <c r="C894" s="10" t="s">
        <v>20</v>
      </c>
      <c r="D894" s="10" t="s">
        <v>56</v>
      </c>
      <c r="E894" s="12">
        <v>1.6242568799999999</v>
      </c>
      <c r="F894" s="13">
        <v>4.88</v>
      </c>
      <c r="G894" s="13">
        <v>7.92</v>
      </c>
    </row>
    <row r="895" spans="1:7" ht="15" customHeight="1" x14ac:dyDescent="0.35">
      <c r="A895" s="8"/>
      <c r="B895" s="8"/>
      <c r="C895" s="8"/>
      <c r="D895" s="8"/>
      <c r="E895" s="60" t="s">
        <v>714</v>
      </c>
      <c r="F895" s="60"/>
      <c r="G895" s="14">
        <v>8.01</v>
      </c>
    </row>
    <row r="896" spans="1:7" ht="15" customHeight="1" x14ac:dyDescent="0.35">
      <c r="A896" s="59" t="s">
        <v>715</v>
      </c>
      <c r="B896" s="59"/>
      <c r="C896" s="9" t="s">
        <v>3</v>
      </c>
      <c r="D896" s="9" t="s">
        <v>4</v>
      </c>
      <c r="E896" s="9" t="s">
        <v>702</v>
      </c>
      <c r="F896" s="9" t="s">
        <v>703</v>
      </c>
      <c r="G896" s="9" t="s">
        <v>704</v>
      </c>
    </row>
    <row r="897" spans="1:7" ht="15" customHeight="1" x14ac:dyDescent="0.35">
      <c r="A897" s="10" t="s">
        <v>1096</v>
      </c>
      <c r="B897" s="11" t="s">
        <v>1097</v>
      </c>
      <c r="C897" s="10" t="s">
        <v>20</v>
      </c>
      <c r="D897" s="10" t="s">
        <v>718</v>
      </c>
      <c r="E897" s="12">
        <v>0.5845186</v>
      </c>
      <c r="F897" s="13">
        <v>20.65</v>
      </c>
      <c r="G897" s="13">
        <v>12.07</v>
      </c>
    </row>
    <row r="898" spans="1:7" ht="15" customHeight="1" x14ac:dyDescent="0.35">
      <c r="A898" s="10" t="s">
        <v>719</v>
      </c>
      <c r="B898" s="11" t="s">
        <v>720</v>
      </c>
      <c r="C898" s="10" t="s">
        <v>20</v>
      </c>
      <c r="D898" s="10" t="s">
        <v>718</v>
      </c>
      <c r="E898" s="12">
        <v>0.14638556</v>
      </c>
      <c r="F898" s="13">
        <v>15.53</v>
      </c>
      <c r="G898" s="13">
        <v>2.27</v>
      </c>
    </row>
    <row r="899" spans="1:7" ht="18" customHeight="1" x14ac:dyDescent="0.35">
      <c r="A899" s="8"/>
      <c r="B899" s="8"/>
      <c r="C899" s="8"/>
      <c r="D899" s="8"/>
      <c r="E899" s="60" t="s">
        <v>721</v>
      </c>
      <c r="F899" s="60"/>
      <c r="G899" s="14">
        <v>14.34</v>
      </c>
    </row>
    <row r="900" spans="1:7" ht="15" customHeight="1" x14ac:dyDescent="0.35">
      <c r="A900" s="8"/>
      <c r="B900" s="8"/>
      <c r="C900" s="8"/>
      <c r="D900" s="8"/>
      <c r="E900" s="61" t="s">
        <v>726</v>
      </c>
      <c r="F900" s="61"/>
      <c r="G900" s="4">
        <v>22.35</v>
      </c>
    </row>
    <row r="901" spans="1:7" ht="10" customHeight="1" x14ac:dyDescent="0.35">
      <c r="A901" s="8"/>
      <c r="B901" s="8"/>
      <c r="C901" s="57"/>
      <c r="D901" s="57"/>
      <c r="E901" s="8"/>
      <c r="F901" s="8"/>
      <c r="G901" s="8"/>
    </row>
    <row r="902" spans="1:7" ht="20.149999999999999" customHeight="1" x14ac:dyDescent="0.35">
      <c r="A902" s="58" t="s">
        <v>1098</v>
      </c>
      <c r="B902" s="58"/>
      <c r="C902" s="58"/>
      <c r="D902" s="58"/>
      <c r="E902" s="58"/>
      <c r="F902" s="58"/>
      <c r="G902" s="58"/>
    </row>
    <row r="903" spans="1:7" ht="15" customHeight="1" x14ac:dyDescent="0.35">
      <c r="A903" s="59" t="s">
        <v>701</v>
      </c>
      <c r="B903" s="59"/>
      <c r="C903" s="9" t="s">
        <v>3</v>
      </c>
      <c r="D903" s="9" t="s">
        <v>4</v>
      </c>
      <c r="E903" s="9" t="s">
        <v>702</v>
      </c>
      <c r="F903" s="9" t="s">
        <v>703</v>
      </c>
      <c r="G903" s="9" t="s">
        <v>704</v>
      </c>
    </row>
    <row r="904" spans="1:7" ht="20.149999999999999" customHeight="1" x14ac:dyDescent="0.35">
      <c r="A904" s="10" t="s">
        <v>1099</v>
      </c>
      <c r="B904" s="11" t="s">
        <v>1100</v>
      </c>
      <c r="C904" s="10" t="s">
        <v>20</v>
      </c>
      <c r="D904" s="10" t="s">
        <v>56</v>
      </c>
      <c r="E904" s="12">
        <v>1.0136437599999999</v>
      </c>
      <c r="F904" s="13">
        <v>5.68</v>
      </c>
      <c r="G904" s="13">
        <v>5.75</v>
      </c>
    </row>
    <row r="905" spans="1:7" ht="15" customHeight="1" x14ac:dyDescent="0.35">
      <c r="A905" s="8"/>
      <c r="B905" s="8"/>
      <c r="C905" s="8"/>
      <c r="D905" s="8"/>
      <c r="E905" s="60" t="s">
        <v>714</v>
      </c>
      <c r="F905" s="60"/>
      <c r="G905" s="14">
        <v>5.75</v>
      </c>
    </row>
    <row r="906" spans="1:7" ht="15" customHeight="1" x14ac:dyDescent="0.35">
      <c r="A906" s="59" t="s">
        <v>715</v>
      </c>
      <c r="B906" s="59"/>
      <c r="C906" s="9" t="s">
        <v>3</v>
      </c>
      <c r="D906" s="9" t="s">
        <v>4</v>
      </c>
      <c r="E906" s="9" t="s">
        <v>702</v>
      </c>
      <c r="F906" s="9" t="s">
        <v>703</v>
      </c>
      <c r="G906" s="9" t="s">
        <v>704</v>
      </c>
    </row>
    <row r="907" spans="1:7" ht="15" customHeight="1" x14ac:dyDescent="0.35">
      <c r="A907" s="10" t="s">
        <v>1096</v>
      </c>
      <c r="B907" s="11" t="s">
        <v>1097</v>
      </c>
      <c r="C907" s="10" t="s">
        <v>20</v>
      </c>
      <c r="D907" s="10" t="s">
        <v>718</v>
      </c>
      <c r="E907" s="12">
        <v>0.22538137</v>
      </c>
      <c r="F907" s="13">
        <v>20.65</v>
      </c>
      <c r="G907" s="13">
        <v>4.6500000000000004</v>
      </c>
    </row>
    <row r="908" spans="1:7" ht="15" customHeight="1" x14ac:dyDescent="0.35">
      <c r="A908" s="10" t="s">
        <v>719</v>
      </c>
      <c r="B908" s="11" t="s">
        <v>720</v>
      </c>
      <c r="C908" s="10" t="s">
        <v>20</v>
      </c>
      <c r="D908" s="10" t="s">
        <v>718</v>
      </c>
      <c r="E908" s="12">
        <v>8.3359539999999996E-2</v>
      </c>
      <c r="F908" s="13">
        <v>15.53</v>
      </c>
      <c r="G908" s="13">
        <v>1.29</v>
      </c>
    </row>
    <row r="909" spans="1:7" ht="18" customHeight="1" x14ac:dyDescent="0.35">
      <c r="A909" s="8"/>
      <c r="B909" s="8"/>
      <c r="C909" s="8"/>
      <c r="D909" s="8"/>
      <c r="E909" s="60" t="s">
        <v>721</v>
      </c>
      <c r="F909" s="60"/>
      <c r="G909" s="14">
        <v>5.94</v>
      </c>
    </row>
    <row r="910" spans="1:7" ht="15" customHeight="1" x14ac:dyDescent="0.35">
      <c r="A910" s="8"/>
      <c r="B910" s="8"/>
      <c r="C910" s="8"/>
      <c r="D910" s="8"/>
      <c r="E910" s="61" t="s">
        <v>726</v>
      </c>
      <c r="F910" s="61"/>
      <c r="G910" s="4">
        <v>11.69</v>
      </c>
    </row>
    <row r="911" spans="1:7" ht="10" customHeight="1" x14ac:dyDescent="0.35">
      <c r="A911" s="8"/>
      <c r="B911" s="8"/>
      <c r="C911" s="57"/>
      <c r="D911" s="57"/>
      <c r="E911" s="8"/>
      <c r="F911" s="8"/>
      <c r="G911" s="8"/>
    </row>
    <row r="912" spans="1:7" ht="20.149999999999999" customHeight="1" x14ac:dyDescent="0.35">
      <c r="A912" s="58" t="s">
        <v>1101</v>
      </c>
      <c r="B912" s="58"/>
      <c r="C912" s="58"/>
      <c r="D912" s="58"/>
      <c r="E912" s="58"/>
      <c r="F912" s="58"/>
      <c r="G912" s="58"/>
    </row>
    <row r="913" spans="1:7" ht="15" customHeight="1" x14ac:dyDescent="0.35">
      <c r="A913" s="59" t="s">
        <v>701</v>
      </c>
      <c r="B913" s="59"/>
      <c r="C913" s="9" t="s">
        <v>3</v>
      </c>
      <c r="D913" s="9" t="s">
        <v>4</v>
      </c>
      <c r="E913" s="9" t="s">
        <v>702</v>
      </c>
      <c r="F913" s="9" t="s">
        <v>703</v>
      </c>
      <c r="G913" s="9" t="s">
        <v>704</v>
      </c>
    </row>
    <row r="914" spans="1:7" ht="15" customHeight="1" x14ac:dyDescent="0.35">
      <c r="A914" s="10" t="s">
        <v>775</v>
      </c>
      <c r="B914" s="11" t="s">
        <v>776</v>
      </c>
      <c r="C914" s="10" t="s">
        <v>20</v>
      </c>
      <c r="D914" s="10" t="s">
        <v>777</v>
      </c>
      <c r="E914" s="12">
        <v>0.2838408</v>
      </c>
      <c r="F914" s="13">
        <v>23.81</v>
      </c>
      <c r="G914" s="13">
        <v>6.75</v>
      </c>
    </row>
    <row r="915" spans="1:7" ht="15" customHeight="1" x14ac:dyDescent="0.35">
      <c r="A915" s="8"/>
      <c r="B915" s="8"/>
      <c r="C915" s="8"/>
      <c r="D915" s="8"/>
      <c r="E915" s="60" t="s">
        <v>714</v>
      </c>
      <c r="F915" s="60"/>
      <c r="G915" s="14">
        <v>6.75</v>
      </c>
    </row>
    <row r="916" spans="1:7" ht="15" customHeight="1" x14ac:dyDescent="0.35">
      <c r="A916" s="59" t="s">
        <v>715</v>
      </c>
      <c r="B916" s="59"/>
      <c r="C916" s="9" t="s">
        <v>3</v>
      </c>
      <c r="D916" s="9" t="s">
        <v>4</v>
      </c>
      <c r="E916" s="9" t="s">
        <v>702</v>
      </c>
      <c r="F916" s="9" t="s">
        <v>703</v>
      </c>
      <c r="G916" s="9" t="s">
        <v>704</v>
      </c>
    </row>
    <row r="917" spans="1:7" ht="15" customHeight="1" x14ac:dyDescent="0.35">
      <c r="A917" s="10" t="s">
        <v>1096</v>
      </c>
      <c r="B917" s="11" t="s">
        <v>1097</v>
      </c>
      <c r="C917" s="10" t="s">
        <v>20</v>
      </c>
      <c r="D917" s="10" t="s">
        <v>718</v>
      </c>
      <c r="E917" s="12">
        <v>0.15799948999999999</v>
      </c>
      <c r="F917" s="13">
        <v>20.65</v>
      </c>
      <c r="G917" s="13">
        <v>3.26</v>
      </c>
    </row>
    <row r="918" spans="1:7" ht="15" customHeight="1" x14ac:dyDescent="0.35">
      <c r="A918" s="10" t="s">
        <v>719</v>
      </c>
      <c r="B918" s="11" t="s">
        <v>720</v>
      </c>
      <c r="C918" s="10" t="s">
        <v>20</v>
      </c>
      <c r="D918" s="10" t="s">
        <v>718</v>
      </c>
      <c r="E918" s="12">
        <v>5.812059E-2</v>
      </c>
      <c r="F918" s="13">
        <v>15.53</v>
      </c>
      <c r="G918" s="13">
        <v>0.9</v>
      </c>
    </row>
    <row r="919" spans="1:7" ht="18" customHeight="1" x14ac:dyDescent="0.35">
      <c r="A919" s="8"/>
      <c r="B919" s="8"/>
      <c r="C919" s="8"/>
      <c r="D919" s="8"/>
      <c r="E919" s="60" t="s">
        <v>721</v>
      </c>
      <c r="F919" s="60"/>
      <c r="G919" s="14">
        <v>4.16</v>
      </c>
    </row>
    <row r="920" spans="1:7" ht="15" customHeight="1" x14ac:dyDescent="0.35">
      <c r="A920" s="8"/>
      <c r="B920" s="8"/>
      <c r="C920" s="8"/>
      <c r="D920" s="8"/>
      <c r="E920" s="61" t="s">
        <v>726</v>
      </c>
      <c r="F920" s="61"/>
      <c r="G920" s="4">
        <v>10.91</v>
      </c>
    </row>
    <row r="921" spans="1:7" ht="10" customHeight="1" x14ac:dyDescent="0.35">
      <c r="A921" s="8"/>
      <c r="B921" s="8"/>
      <c r="C921" s="57"/>
      <c r="D921" s="57"/>
      <c r="E921" s="8"/>
      <c r="F921" s="8"/>
      <c r="G921" s="8"/>
    </row>
    <row r="922" spans="1:7" ht="20.149999999999999" customHeight="1" x14ac:dyDescent="0.35">
      <c r="A922" s="58" t="s">
        <v>1102</v>
      </c>
      <c r="B922" s="58"/>
      <c r="C922" s="58"/>
      <c r="D922" s="58"/>
      <c r="E922" s="58"/>
      <c r="F922" s="58"/>
      <c r="G922" s="58"/>
    </row>
    <row r="923" spans="1:7" ht="15" customHeight="1" x14ac:dyDescent="0.35">
      <c r="A923" s="59" t="s">
        <v>701</v>
      </c>
      <c r="B923" s="59"/>
      <c r="C923" s="9" t="s">
        <v>3</v>
      </c>
      <c r="D923" s="9" t="s">
        <v>4</v>
      </c>
      <c r="E923" s="9" t="s">
        <v>702</v>
      </c>
      <c r="F923" s="9" t="s">
        <v>703</v>
      </c>
      <c r="G923" s="9" t="s">
        <v>704</v>
      </c>
    </row>
    <row r="924" spans="1:7" ht="15" customHeight="1" x14ac:dyDescent="0.35">
      <c r="A924" s="10" t="s">
        <v>775</v>
      </c>
      <c r="B924" s="11" t="s">
        <v>776</v>
      </c>
      <c r="C924" s="10" t="s">
        <v>20</v>
      </c>
      <c r="D924" s="10" t="s">
        <v>777</v>
      </c>
      <c r="E924" s="12">
        <v>0.28857835999999998</v>
      </c>
      <c r="F924" s="13">
        <v>23.81</v>
      </c>
      <c r="G924" s="13">
        <v>6.87</v>
      </c>
    </row>
    <row r="925" spans="1:7" ht="15" customHeight="1" x14ac:dyDescent="0.35">
      <c r="A925" s="8"/>
      <c r="B925" s="8"/>
      <c r="C925" s="8"/>
      <c r="D925" s="8"/>
      <c r="E925" s="60" t="s">
        <v>714</v>
      </c>
      <c r="F925" s="60"/>
      <c r="G925" s="14">
        <v>6.87</v>
      </c>
    </row>
    <row r="926" spans="1:7" ht="15" customHeight="1" x14ac:dyDescent="0.35">
      <c r="A926" s="59" t="s">
        <v>715</v>
      </c>
      <c r="B926" s="59"/>
      <c r="C926" s="9" t="s">
        <v>3</v>
      </c>
      <c r="D926" s="9" t="s">
        <v>4</v>
      </c>
      <c r="E926" s="9" t="s">
        <v>702</v>
      </c>
      <c r="F926" s="9" t="s">
        <v>703</v>
      </c>
      <c r="G926" s="9" t="s">
        <v>704</v>
      </c>
    </row>
    <row r="927" spans="1:7" ht="15" customHeight="1" x14ac:dyDescent="0.35">
      <c r="A927" s="10" t="s">
        <v>1096</v>
      </c>
      <c r="B927" s="11" t="s">
        <v>1097</v>
      </c>
      <c r="C927" s="10" t="s">
        <v>20</v>
      </c>
      <c r="D927" s="10" t="s">
        <v>718</v>
      </c>
      <c r="E927" s="12">
        <v>0.20885300000000001</v>
      </c>
      <c r="F927" s="13">
        <v>20.65</v>
      </c>
      <c r="G927" s="13">
        <v>4.3099999999999996</v>
      </c>
    </row>
    <row r="928" spans="1:7" ht="15" customHeight="1" x14ac:dyDescent="0.35">
      <c r="A928" s="10" t="s">
        <v>719</v>
      </c>
      <c r="B928" s="11" t="s">
        <v>720</v>
      </c>
      <c r="C928" s="10" t="s">
        <v>20</v>
      </c>
      <c r="D928" s="10" t="s">
        <v>718</v>
      </c>
      <c r="E928" s="12">
        <v>7.6179979999999994E-2</v>
      </c>
      <c r="F928" s="13">
        <v>15.53</v>
      </c>
      <c r="G928" s="13">
        <v>1.18</v>
      </c>
    </row>
    <row r="929" spans="1:7" ht="18" customHeight="1" x14ac:dyDescent="0.35">
      <c r="A929" s="8"/>
      <c r="B929" s="8"/>
      <c r="C929" s="8"/>
      <c r="D929" s="8"/>
      <c r="E929" s="60" t="s">
        <v>721</v>
      </c>
      <c r="F929" s="60"/>
      <c r="G929" s="14">
        <v>5.49</v>
      </c>
    </row>
    <row r="930" spans="1:7" ht="15" customHeight="1" x14ac:dyDescent="0.35">
      <c r="A930" s="8"/>
      <c r="B930" s="8"/>
      <c r="C930" s="8"/>
      <c r="D930" s="8"/>
      <c r="E930" s="61" t="s">
        <v>726</v>
      </c>
      <c r="F930" s="61"/>
      <c r="G930" s="4">
        <v>12.36</v>
      </c>
    </row>
    <row r="931" spans="1:7" ht="10" customHeight="1" x14ac:dyDescent="0.35">
      <c r="A931" s="8"/>
      <c r="B931" s="8"/>
      <c r="C931" s="57"/>
      <c r="D931" s="57"/>
      <c r="E931" s="8"/>
      <c r="F931" s="8"/>
      <c r="G931" s="8"/>
    </row>
    <row r="932" spans="1:7" ht="20.149999999999999" customHeight="1" x14ac:dyDescent="0.35">
      <c r="A932" s="58" t="s">
        <v>1103</v>
      </c>
      <c r="B932" s="58"/>
      <c r="C932" s="58"/>
      <c r="D932" s="58"/>
      <c r="E932" s="58"/>
      <c r="F932" s="58"/>
      <c r="G932" s="58"/>
    </row>
    <row r="933" spans="1:7" ht="15" customHeight="1" x14ac:dyDescent="0.35">
      <c r="A933" s="59" t="s">
        <v>701</v>
      </c>
      <c r="B933" s="59"/>
      <c r="C933" s="9" t="s">
        <v>3</v>
      </c>
      <c r="D933" s="9" t="s">
        <v>4</v>
      </c>
      <c r="E933" s="9" t="s">
        <v>702</v>
      </c>
      <c r="F933" s="9" t="s">
        <v>703</v>
      </c>
      <c r="G933" s="9" t="s">
        <v>704</v>
      </c>
    </row>
    <row r="934" spans="1:7" ht="15" customHeight="1" x14ac:dyDescent="0.35">
      <c r="A934" s="10" t="s">
        <v>1104</v>
      </c>
      <c r="B934" s="11" t="s">
        <v>1105</v>
      </c>
      <c r="C934" s="10" t="s">
        <v>20</v>
      </c>
      <c r="D934" s="10" t="s">
        <v>160</v>
      </c>
      <c r="E934" s="12">
        <v>1.4522119999999999E-2</v>
      </c>
      <c r="F934" s="13">
        <v>7.18</v>
      </c>
      <c r="G934" s="13">
        <v>0.1</v>
      </c>
    </row>
    <row r="935" spans="1:7" ht="29.15" customHeight="1" x14ac:dyDescent="0.35">
      <c r="A935" s="10" t="s">
        <v>1106</v>
      </c>
      <c r="B935" s="11" t="s">
        <v>1107</v>
      </c>
      <c r="C935" s="10" t="s">
        <v>20</v>
      </c>
      <c r="D935" s="10" t="s">
        <v>777</v>
      </c>
      <c r="E935" s="12">
        <v>0.51864716</v>
      </c>
      <c r="F935" s="13">
        <v>34.299999999999997</v>
      </c>
      <c r="G935" s="13">
        <v>17.78</v>
      </c>
    </row>
    <row r="936" spans="1:7" ht="15" customHeight="1" x14ac:dyDescent="0.35">
      <c r="A936" s="8"/>
      <c r="B936" s="8"/>
      <c r="C936" s="8"/>
      <c r="D936" s="8"/>
      <c r="E936" s="60" t="s">
        <v>714</v>
      </c>
      <c r="F936" s="60"/>
      <c r="G936" s="14">
        <v>17.88</v>
      </c>
    </row>
    <row r="937" spans="1:7" ht="15" customHeight="1" x14ac:dyDescent="0.35">
      <c r="A937" s="59" t="s">
        <v>715</v>
      </c>
      <c r="B937" s="59"/>
      <c r="C937" s="9" t="s">
        <v>3</v>
      </c>
      <c r="D937" s="9" t="s">
        <v>4</v>
      </c>
      <c r="E937" s="9" t="s">
        <v>702</v>
      </c>
      <c r="F937" s="9" t="s">
        <v>703</v>
      </c>
      <c r="G937" s="9" t="s">
        <v>704</v>
      </c>
    </row>
    <row r="938" spans="1:7" ht="15" customHeight="1" x14ac:dyDescent="0.35">
      <c r="A938" s="10" t="s">
        <v>1096</v>
      </c>
      <c r="B938" s="11" t="s">
        <v>1097</v>
      </c>
      <c r="C938" s="10" t="s">
        <v>20</v>
      </c>
      <c r="D938" s="10" t="s">
        <v>718</v>
      </c>
      <c r="E938" s="12">
        <v>0.36618961</v>
      </c>
      <c r="F938" s="13">
        <v>20.65</v>
      </c>
      <c r="G938" s="13">
        <v>7.56</v>
      </c>
    </row>
    <row r="939" spans="1:7" ht="15" customHeight="1" x14ac:dyDescent="0.35">
      <c r="A939" s="10" t="s">
        <v>719</v>
      </c>
      <c r="B939" s="11" t="s">
        <v>720</v>
      </c>
      <c r="C939" s="10" t="s">
        <v>20</v>
      </c>
      <c r="D939" s="10" t="s">
        <v>718</v>
      </c>
      <c r="E939" s="12">
        <v>0.15237722000000001</v>
      </c>
      <c r="F939" s="13">
        <v>15.53</v>
      </c>
      <c r="G939" s="13">
        <v>2.36</v>
      </c>
    </row>
    <row r="940" spans="1:7" ht="18" customHeight="1" x14ac:dyDescent="0.35">
      <c r="A940" s="8"/>
      <c r="B940" s="8"/>
      <c r="C940" s="8"/>
      <c r="D940" s="8"/>
      <c r="E940" s="60" t="s">
        <v>721</v>
      </c>
      <c r="F940" s="60"/>
      <c r="G940" s="14">
        <v>9.92</v>
      </c>
    </row>
    <row r="941" spans="1:7" ht="15" customHeight="1" x14ac:dyDescent="0.35">
      <c r="A941" s="8"/>
      <c r="B941" s="8"/>
      <c r="C941" s="8"/>
      <c r="D941" s="8"/>
      <c r="E941" s="61" t="s">
        <v>726</v>
      </c>
      <c r="F941" s="61"/>
      <c r="G941" s="4">
        <v>27.8</v>
      </c>
    </row>
    <row r="942" spans="1:7" ht="10" customHeight="1" x14ac:dyDescent="0.35">
      <c r="A942" s="8"/>
      <c r="B942" s="8"/>
      <c r="C942" s="57"/>
      <c r="D942" s="57"/>
      <c r="E942" s="8"/>
      <c r="F942" s="8"/>
      <c r="G942" s="8"/>
    </row>
    <row r="943" spans="1:7" ht="20.149999999999999" customHeight="1" x14ac:dyDescent="0.35">
      <c r="A943" s="58" t="s">
        <v>1108</v>
      </c>
      <c r="B943" s="58"/>
      <c r="C943" s="58"/>
      <c r="D943" s="58"/>
      <c r="E943" s="58"/>
      <c r="F943" s="58"/>
      <c r="G943" s="58"/>
    </row>
    <row r="944" spans="1:7" ht="15" customHeight="1" x14ac:dyDescent="0.35">
      <c r="A944" s="59" t="s">
        <v>701</v>
      </c>
      <c r="B944" s="59"/>
      <c r="C944" s="9" t="s">
        <v>3</v>
      </c>
      <c r="D944" s="9" t="s">
        <v>4</v>
      </c>
      <c r="E944" s="9" t="s">
        <v>702</v>
      </c>
      <c r="F944" s="9" t="s">
        <v>703</v>
      </c>
      <c r="G944" s="9" t="s">
        <v>704</v>
      </c>
    </row>
    <row r="945" spans="1:7" ht="15" customHeight="1" x14ac:dyDescent="0.35">
      <c r="A945" s="10" t="s">
        <v>1109</v>
      </c>
      <c r="B945" s="11" t="s">
        <v>1110</v>
      </c>
      <c r="C945" s="10" t="s">
        <v>20</v>
      </c>
      <c r="D945" s="10" t="s">
        <v>777</v>
      </c>
      <c r="E945" s="12">
        <v>1.357177E-2</v>
      </c>
      <c r="F945" s="13">
        <v>16.64</v>
      </c>
      <c r="G945" s="13">
        <v>0.22</v>
      </c>
    </row>
    <row r="946" spans="1:7" ht="15" customHeight="1" x14ac:dyDescent="0.35">
      <c r="A946" s="10" t="s">
        <v>1111</v>
      </c>
      <c r="B946" s="11" t="s">
        <v>1112</v>
      </c>
      <c r="C946" s="10" t="s">
        <v>20</v>
      </c>
      <c r="D946" s="10" t="s">
        <v>777</v>
      </c>
      <c r="E946" s="12">
        <v>0.13593659999999999</v>
      </c>
      <c r="F946" s="13">
        <v>29.37</v>
      </c>
      <c r="G946" s="13">
        <v>3.99</v>
      </c>
    </row>
    <row r="947" spans="1:7" ht="15" customHeight="1" x14ac:dyDescent="0.35">
      <c r="A947" s="8"/>
      <c r="B947" s="8"/>
      <c r="C947" s="8"/>
      <c r="D947" s="8"/>
      <c r="E947" s="60" t="s">
        <v>714</v>
      </c>
      <c r="F947" s="60"/>
      <c r="G947" s="14">
        <v>4.21</v>
      </c>
    </row>
    <row r="948" spans="1:7" ht="15" customHeight="1" x14ac:dyDescent="0.35">
      <c r="A948" s="59" t="s">
        <v>715</v>
      </c>
      <c r="B948" s="59"/>
      <c r="C948" s="9" t="s">
        <v>3</v>
      </c>
      <c r="D948" s="9" t="s">
        <v>4</v>
      </c>
      <c r="E948" s="9" t="s">
        <v>702</v>
      </c>
      <c r="F948" s="9" t="s">
        <v>703</v>
      </c>
      <c r="G948" s="9" t="s">
        <v>704</v>
      </c>
    </row>
    <row r="949" spans="1:7" ht="15" customHeight="1" x14ac:dyDescent="0.35">
      <c r="A949" s="10" t="s">
        <v>1096</v>
      </c>
      <c r="B949" s="11" t="s">
        <v>1097</v>
      </c>
      <c r="C949" s="10" t="s">
        <v>20</v>
      </c>
      <c r="D949" s="10" t="s">
        <v>718</v>
      </c>
      <c r="E949" s="12">
        <v>0.23055030000000001</v>
      </c>
      <c r="F949" s="13">
        <v>20.65</v>
      </c>
      <c r="G949" s="13">
        <v>4.76</v>
      </c>
    </row>
    <row r="950" spans="1:7" ht="18" customHeight="1" x14ac:dyDescent="0.35">
      <c r="A950" s="8"/>
      <c r="B950" s="8"/>
      <c r="C950" s="8"/>
      <c r="D950" s="8"/>
      <c r="E950" s="60" t="s">
        <v>721</v>
      </c>
      <c r="F950" s="60"/>
      <c r="G950" s="14">
        <v>4.76</v>
      </c>
    </row>
    <row r="951" spans="1:7" ht="15" customHeight="1" x14ac:dyDescent="0.35">
      <c r="A951" s="8"/>
      <c r="B951" s="8"/>
      <c r="C951" s="8"/>
      <c r="D951" s="8"/>
      <c r="E951" s="61" t="s">
        <v>726</v>
      </c>
      <c r="F951" s="61"/>
      <c r="G951" s="4">
        <v>8.9700000000000006</v>
      </c>
    </row>
    <row r="952" spans="1:7" ht="10" customHeight="1" x14ac:dyDescent="0.35">
      <c r="A952" s="8"/>
      <c r="B952" s="8"/>
      <c r="C952" s="57"/>
      <c r="D952" s="57"/>
      <c r="E952" s="8"/>
      <c r="F952" s="8"/>
      <c r="G952" s="8"/>
    </row>
    <row r="953" spans="1:7" ht="20.149999999999999" customHeight="1" x14ac:dyDescent="0.35">
      <c r="A953" s="58" t="s">
        <v>1113</v>
      </c>
      <c r="B953" s="58"/>
      <c r="C953" s="58"/>
      <c r="D953" s="58"/>
      <c r="E953" s="58"/>
      <c r="F953" s="58"/>
      <c r="G953" s="58"/>
    </row>
    <row r="954" spans="1:7" ht="15" customHeight="1" x14ac:dyDescent="0.35">
      <c r="A954" s="59" t="s">
        <v>701</v>
      </c>
      <c r="B954" s="59"/>
      <c r="C954" s="9" t="s">
        <v>3</v>
      </c>
      <c r="D954" s="9" t="s">
        <v>4</v>
      </c>
      <c r="E954" s="9" t="s">
        <v>702</v>
      </c>
      <c r="F954" s="9" t="s">
        <v>703</v>
      </c>
      <c r="G954" s="9" t="s">
        <v>704</v>
      </c>
    </row>
    <row r="955" spans="1:7" ht="15" customHeight="1" x14ac:dyDescent="0.35">
      <c r="A955" s="10" t="s">
        <v>1114</v>
      </c>
      <c r="B955" s="11" t="s">
        <v>1115</v>
      </c>
      <c r="C955" s="10" t="s">
        <v>20</v>
      </c>
      <c r="D955" s="10" t="s">
        <v>25</v>
      </c>
      <c r="E955" s="12">
        <v>1.0992397700000001</v>
      </c>
      <c r="F955" s="13">
        <v>18.920000000000002</v>
      </c>
      <c r="G955" s="13">
        <v>20.79</v>
      </c>
    </row>
    <row r="956" spans="1:7" ht="15" customHeight="1" x14ac:dyDescent="0.35">
      <c r="A956" s="8"/>
      <c r="B956" s="8"/>
      <c r="C956" s="8"/>
      <c r="D956" s="8"/>
      <c r="E956" s="60" t="s">
        <v>714</v>
      </c>
      <c r="F956" s="60"/>
      <c r="G956" s="14">
        <v>20.79</v>
      </c>
    </row>
    <row r="957" spans="1:7" ht="15" customHeight="1" x14ac:dyDescent="0.35">
      <c r="A957" s="59" t="s">
        <v>715</v>
      </c>
      <c r="B957" s="59"/>
      <c r="C957" s="9" t="s">
        <v>3</v>
      </c>
      <c r="D957" s="9" t="s">
        <v>4</v>
      </c>
      <c r="E957" s="9" t="s">
        <v>702</v>
      </c>
      <c r="F957" s="9" t="s">
        <v>703</v>
      </c>
      <c r="G957" s="9" t="s">
        <v>704</v>
      </c>
    </row>
    <row r="958" spans="1:7" ht="15" customHeight="1" x14ac:dyDescent="0.35">
      <c r="A958" s="10" t="s">
        <v>1116</v>
      </c>
      <c r="B958" s="11" t="s">
        <v>1117</v>
      </c>
      <c r="C958" s="10" t="s">
        <v>20</v>
      </c>
      <c r="D958" s="10" t="s">
        <v>718</v>
      </c>
      <c r="E958" s="12">
        <v>0.12614500000000001</v>
      </c>
      <c r="F958" s="13">
        <v>15.79</v>
      </c>
      <c r="G958" s="13">
        <v>1.99</v>
      </c>
    </row>
    <row r="959" spans="1:7" ht="15" customHeight="1" x14ac:dyDescent="0.35">
      <c r="A959" s="10" t="s">
        <v>1118</v>
      </c>
      <c r="B959" s="11" t="s">
        <v>1119</v>
      </c>
      <c r="C959" s="10" t="s">
        <v>20</v>
      </c>
      <c r="D959" s="10" t="s">
        <v>718</v>
      </c>
      <c r="E959" s="12">
        <v>0.12614500000000001</v>
      </c>
      <c r="F959" s="13">
        <v>19.79</v>
      </c>
      <c r="G959" s="13">
        <v>2.4900000000000002</v>
      </c>
    </row>
    <row r="960" spans="1:7" ht="18" customHeight="1" x14ac:dyDescent="0.35">
      <c r="A960" s="8"/>
      <c r="B960" s="8"/>
      <c r="C960" s="8"/>
      <c r="D960" s="8"/>
      <c r="E960" s="60" t="s">
        <v>721</v>
      </c>
      <c r="F960" s="60"/>
      <c r="G960" s="14">
        <v>4.4800000000000004</v>
      </c>
    </row>
    <row r="961" spans="1:7" ht="15" customHeight="1" x14ac:dyDescent="0.35">
      <c r="A961" s="8"/>
      <c r="B961" s="8"/>
      <c r="C961" s="8"/>
      <c r="D961" s="8"/>
      <c r="E961" s="61" t="s">
        <v>726</v>
      </c>
      <c r="F961" s="61"/>
      <c r="G961" s="4">
        <v>25.27</v>
      </c>
    </row>
    <row r="962" spans="1:7" ht="10" customHeight="1" x14ac:dyDescent="0.35">
      <c r="A962" s="8"/>
      <c r="B962" s="8"/>
      <c r="C962" s="57"/>
      <c r="D962" s="57"/>
      <c r="E962" s="8"/>
      <c r="F962" s="8"/>
      <c r="G962" s="8"/>
    </row>
    <row r="963" spans="1:7" ht="20.149999999999999" customHeight="1" x14ac:dyDescent="0.35">
      <c r="A963" s="58" t="s">
        <v>1120</v>
      </c>
      <c r="B963" s="58"/>
      <c r="C963" s="58"/>
      <c r="D963" s="58"/>
      <c r="E963" s="58"/>
      <c r="F963" s="58"/>
      <c r="G963" s="58"/>
    </row>
    <row r="964" spans="1:7" ht="15" customHeight="1" x14ac:dyDescent="0.35">
      <c r="A964" s="59" t="s">
        <v>701</v>
      </c>
      <c r="B964" s="59"/>
      <c r="C964" s="9" t="s">
        <v>3</v>
      </c>
      <c r="D964" s="9" t="s">
        <v>4</v>
      </c>
      <c r="E964" s="9" t="s">
        <v>702</v>
      </c>
      <c r="F964" s="9" t="s">
        <v>703</v>
      </c>
      <c r="G964" s="9" t="s">
        <v>704</v>
      </c>
    </row>
    <row r="965" spans="1:7" ht="15" customHeight="1" x14ac:dyDescent="0.35">
      <c r="A965" s="10" t="s">
        <v>1121</v>
      </c>
      <c r="B965" s="11" t="s">
        <v>1122</v>
      </c>
      <c r="C965" s="10" t="s">
        <v>20</v>
      </c>
      <c r="D965" s="10" t="s">
        <v>25</v>
      </c>
      <c r="E965" s="12">
        <v>1.0982562499999999</v>
      </c>
      <c r="F965" s="13">
        <v>11.58</v>
      </c>
      <c r="G965" s="13">
        <v>12.71</v>
      </c>
    </row>
    <row r="966" spans="1:7" ht="15" customHeight="1" x14ac:dyDescent="0.35">
      <c r="A966" s="8"/>
      <c r="B966" s="8"/>
      <c r="C966" s="8"/>
      <c r="D966" s="8"/>
      <c r="E966" s="60" t="s">
        <v>714</v>
      </c>
      <c r="F966" s="60"/>
      <c r="G966" s="14">
        <v>12.71</v>
      </c>
    </row>
    <row r="967" spans="1:7" ht="15" customHeight="1" x14ac:dyDescent="0.35">
      <c r="A967" s="59" t="s">
        <v>715</v>
      </c>
      <c r="B967" s="59"/>
      <c r="C967" s="9" t="s">
        <v>3</v>
      </c>
      <c r="D967" s="9" t="s">
        <v>4</v>
      </c>
      <c r="E967" s="9" t="s">
        <v>702</v>
      </c>
      <c r="F967" s="9" t="s">
        <v>703</v>
      </c>
      <c r="G967" s="9" t="s">
        <v>704</v>
      </c>
    </row>
    <row r="968" spans="1:7" ht="15" customHeight="1" x14ac:dyDescent="0.35">
      <c r="A968" s="10" t="s">
        <v>1116</v>
      </c>
      <c r="B968" s="11" t="s">
        <v>1117</v>
      </c>
      <c r="C968" s="10" t="s">
        <v>20</v>
      </c>
      <c r="D968" s="10" t="s">
        <v>718</v>
      </c>
      <c r="E968" s="12">
        <v>0.10965951</v>
      </c>
      <c r="F968" s="13">
        <v>15.79</v>
      </c>
      <c r="G968" s="13">
        <v>1.73</v>
      </c>
    </row>
    <row r="969" spans="1:7" ht="15" customHeight="1" x14ac:dyDescent="0.35">
      <c r="A969" s="10" t="s">
        <v>1118</v>
      </c>
      <c r="B969" s="11" t="s">
        <v>1119</v>
      </c>
      <c r="C969" s="10" t="s">
        <v>20</v>
      </c>
      <c r="D969" s="10" t="s">
        <v>718</v>
      </c>
      <c r="E969" s="12">
        <v>0.10965951</v>
      </c>
      <c r="F969" s="13">
        <v>19.79</v>
      </c>
      <c r="G969" s="13">
        <v>2.17</v>
      </c>
    </row>
    <row r="970" spans="1:7" ht="18" customHeight="1" x14ac:dyDescent="0.35">
      <c r="A970" s="8"/>
      <c r="B970" s="8"/>
      <c r="C970" s="8"/>
      <c r="D970" s="8"/>
      <c r="E970" s="60" t="s">
        <v>721</v>
      </c>
      <c r="F970" s="60"/>
      <c r="G970" s="14">
        <v>3.9</v>
      </c>
    </row>
    <row r="971" spans="1:7" ht="15" customHeight="1" x14ac:dyDescent="0.35">
      <c r="A971" s="8"/>
      <c r="B971" s="8"/>
      <c r="C971" s="8"/>
      <c r="D971" s="8"/>
      <c r="E971" s="61" t="s">
        <v>726</v>
      </c>
      <c r="F971" s="61"/>
      <c r="G971" s="4">
        <v>16.61</v>
      </c>
    </row>
    <row r="972" spans="1:7" ht="10" customHeight="1" x14ac:dyDescent="0.35">
      <c r="A972" s="8"/>
      <c r="B972" s="8"/>
      <c r="C972" s="57"/>
      <c r="D972" s="57"/>
      <c r="E972" s="8"/>
      <c r="F972" s="8"/>
      <c r="G972" s="8"/>
    </row>
    <row r="973" spans="1:7" ht="20.149999999999999" customHeight="1" x14ac:dyDescent="0.35">
      <c r="A973" s="58" t="s">
        <v>1123</v>
      </c>
      <c r="B973" s="58"/>
      <c r="C973" s="58"/>
      <c r="D973" s="58"/>
      <c r="E973" s="58"/>
      <c r="F973" s="58"/>
      <c r="G973" s="58"/>
    </row>
    <row r="974" spans="1:7" ht="15" customHeight="1" x14ac:dyDescent="0.35">
      <c r="A974" s="59" t="s">
        <v>701</v>
      </c>
      <c r="B974" s="59"/>
      <c r="C974" s="9" t="s">
        <v>3</v>
      </c>
      <c r="D974" s="9" t="s">
        <v>4</v>
      </c>
      <c r="E974" s="9" t="s">
        <v>702</v>
      </c>
      <c r="F974" s="9" t="s">
        <v>703</v>
      </c>
      <c r="G974" s="9" t="s">
        <v>704</v>
      </c>
    </row>
    <row r="975" spans="1:7" ht="15" customHeight="1" x14ac:dyDescent="0.35">
      <c r="A975" s="10" t="s">
        <v>1124</v>
      </c>
      <c r="B975" s="11" t="s">
        <v>1125</v>
      </c>
      <c r="C975" s="10" t="s">
        <v>20</v>
      </c>
      <c r="D975" s="10" t="s">
        <v>25</v>
      </c>
      <c r="E975" s="12">
        <v>1.01336209</v>
      </c>
      <c r="F975" s="13">
        <v>10.54</v>
      </c>
      <c r="G975" s="13">
        <v>10.68</v>
      </c>
    </row>
    <row r="976" spans="1:7" ht="15" customHeight="1" x14ac:dyDescent="0.35">
      <c r="A976" s="8"/>
      <c r="B976" s="8"/>
      <c r="C976" s="8"/>
      <c r="D976" s="8"/>
      <c r="E976" s="60" t="s">
        <v>714</v>
      </c>
      <c r="F976" s="60"/>
      <c r="G976" s="14">
        <v>10.68</v>
      </c>
    </row>
    <row r="977" spans="1:7" ht="15" customHeight="1" x14ac:dyDescent="0.35">
      <c r="A977" s="59" t="s">
        <v>715</v>
      </c>
      <c r="B977" s="59"/>
      <c r="C977" s="9" t="s">
        <v>3</v>
      </c>
      <c r="D977" s="9" t="s">
        <v>4</v>
      </c>
      <c r="E977" s="9" t="s">
        <v>702</v>
      </c>
      <c r="F977" s="9" t="s">
        <v>703</v>
      </c>
      <c r="G977" s="9" t="s">
        <v>704</v>
      </c>
    </row>
    <row r="978" spans="1:7" ht="15" customHeight="1" x14ac:dyDescent="0.35">
      <c r="A978" s="10" t="s">
        <v>1116</v>
      </c>
      <c r="B978" s="11" t="s">
        <v>1117</v>
      </c>
      <c r="C978" s="10" t="s">
        <v>20</v>
      </c>
      <c r="D978" s="10" t="s">
        <v>718</v>
      </c>
      <c r="E978" s="12">
        <v>0.21596755000000001</v>
      </c>
      <c r="F978" s="13">
        <v>15.79</v>
      </c>
      <c r="G978" s="13">
        <v>3.41</v>
      </c>
    </row>
    <row r="979" spans="1:7" ht="15" customHeight="1" x14ac:dyDescent="0.35">
      <c r="A979" s="10" t="s">
        <v>1118</v>
      </c>
      <c r="B979" s="11" t="s">
        <v>1119</v>
      </c>
      <c r="C979" s="10" t="s">
        <v>20</v>
      </c>
      <c r="D979" s="10" t="s">
        <v>718</v>
      </c>
      <c r="E979" s="12">
        <v>0.21596755000000001</v>
      </c>
      <c r="F979" s="13">
        <v>19.79</v>
      </c>
      <c r="G979" s="13">
        <v>4.2699999999999996</v>
      </c>
    </row>
    <row r="980" spans="1:7" ht="18" customHeight="1" x14ac:dyDescent="0.35">
      <c r="A980" s="8"/>
      <c r="B980" s="8"/>
      <c r="C980" s="8"/>
      <c r="D980" s="8"/>
      <c r="E980" s="60" t="s">
        <v>721</v>
      </c>
      <c r="F980" s="60"/>
      <c r="G980" s="14">
        <v>7.68</v>
      </c>
    </row>
    <row r="981" spans="1:7" ht="15" customHeight="1" x14ac:dyDescent="0.35">
      <c r="A981" s="8"/>
      <c r="B981" s="8"/>
      <c r="C981" s="8"/>
      <c r="D981" s="8"/>
      <c r="E981" s="61" t="s">
        <v>726</v>
      </c>
      <c r="F981" s="61"/>
      <c r="G981" s="4">
        <v>18.36</v>
      </c>
    </row>
    <row r="982" spans="1:7" ht="10" customHeight="1" x14ac:dyDescent="0.35">
      <c r="A982" s="8"/>
      <c r="B982" s="8"/>
      <c r="C982" s="57"/>
      <c r="D982" s="57"/>
      <c r="E982" s="8"/>
      <c r="F982" s="8"/>
      <c r="G982" s="8"/>
    </row>
    <row r="983" spans="1:7" ht="20.149999999999999" customHeight="1" x14ac:dyDescent="0.35">
      <c r="A983" s="58" t="s">
        <v>1126</v>
      </c>
      <c r="B983" s="58"/>
      <c r="C983" s="58"/>
      <c r="D983" s="58"/>
      <c r="E983" s="58"/>
      <c r="F983" s="58"/>
      <c r="G983" s="58"/>
    </row>
    <row r="984" spans="1:7" ht="15" customHeight="1" x14ac:dyDescent="0.35">
      <c r="A984" s="59" t="s">
        <v>701</v>
      </c>
      <c r="B984" s="59"/>
      <c r="C984" s="9" t="s">
        <v>3</v>
      </c>
      <c r="D984" s="9" t="s">
        <v>4</v>
      </c>
      <c r="E984" s="9" t="s">
        <v>702</v>
      </c>
      <c r="F984" s="9" t="s">
        <v>703</v>
      </c>
      <c r="G984" s="9" t="s">
        <v>704</v>
      </c>
    </row>
    <row r="985" spans="1:7" ht="15" customHeight="1" x14ac:dyDescent="0.35">
      <c r="A985" s="10" t="s">
        <v>1127</v>
      </c>
      <c r="B985" s="11" t="s">
        <v>1128</v>
      </c>
      <c r="C985" s="10" t="s">
        <v>20</v>
      </c>
      <c r="D985" s="10" t="s">
        <v>25</v>
      </c>
      <c r="E985" s="12">
        <v>1.01430416</v>
      </c>
      <c r="F985" s="13">
        <v>7.91</v>
      </c>
      <c r="G985" s="13">
        <v>8.02</v>
      </c>
    </row>
    <row r="986" spans="1:7" ht="15" customHeight="1" x14ac:dyDescent="0.35">
      <c r="A986" s="8"/>
      <c r="B986" s="8"/>
      <c r="C986" s="8"/>
      <c r="D986" s="8"/>
      <c r="E986" s="60" t="s">
        <v>714</v>
      </c>
      <c r="F986" s="60"/>
      <c r="G986" s="14">
        <v>8.02</v>
      </c>
    </row>
    <row r="987" spans="1:7" ht="15" customHeight="1" x14ac:dyDescent="0.35">
      <c r="A987" s="59" t="s">
        <v>715</v>
      </c>
      <c r="B987" s="59"/>
      <c r="C987" s="9" t="s">
        <v>3</v>
      </c>
      <c r="D987" s="9" t="s">
        <v>4</v>
      </c>
      <c r="E987" s="9" t="s">
        <v>702</v>
      </c>
      <c r="F987" s="9" t="s">
        <v>703</v>
      </c>
      <c r="G987" s="9" t="s">
        <v>704</v>
      </c>
    </row>
    <row r="988" spans="1:7" ht="15" customHeight="1" x14ac:dyDescent="0.35">
      <c r="A988" s="10" t="s">
        <v>1116</v>
      </c>
      <c r="B988" s="11" t="s">
        <v>1117</v>
      </c>
      <c r="C988" s="10" t="s">
        <v>20</v>
      </c>
      <c r="D988" s="10" t="s">
        <v>718</v>
      </c>
      <c r="E988" s="12">
        <v>0.18948801000000001</v>
      </c>
      <c r="F988" s="13">
        <v>15.79</v>
      </c>
      <c r="G988" s="13">
        <v>2.99</v>
      </c>
    </row>
    <row r="989" spans="1:7" ht="15" customHeight="1" x14ac:dyDescent="0.35">
      <c r="A989" s="10" t="s">
        <v>1118</v>
      </c>
      <c r="B989" s="11" t="s">
        <v>1119</v>
      </c>
      <c r="C989" s="10" t="s">
        <v>20</v>
      </c>
      <c r="D989" s="10" t="s">
        <v>718</v>
      </c>
      <c r="E989" s="12">
        <v>0.18948801000000001</v>
      </c>
      <c r="F989" s="13">
        <v>19.79</v>
      </c>
      <c r="G989" s="13">
        <v>3.74</v>
      </c>
    </row>
    <row r="990" spans="1:7" ht="18" customHeight="1" x14ac:dyDescent="0.35">
      <c r="A990" s="8"/>
      <c r="B990" s="8"/>
      <c r="C990" s="8"/>
      <c r="D990" s="8"/>
      <c r="E990" s="60" t="s">
        <v>721</v>
      </c>
      <c r="F990" s="60"/>
      <c r="G990" s="14">
        <v>6.73</v>
      </c>
    </row>
    <row r="991" spans="1:7" ht="15" customHeight="1" x14ac:dyDescent="0.35">
      <c r="A991" s="8"/>
      <c r="B991" s="8"/>
      <c r="C991" s="8"/>
      <c r="D991" s="8"/>
      <c r="E991" s="61" t="s">
        <v>726</v>
      </c>
      <c r="F991" s="61"/>
      <c r="G991" s="4">
        <v>14.75</v>
      </c>
    </row>
    <row r="992" spans="1:7" ht="10" customHeight="1" x14ac:dyDescent="0.35">
      <c r="A992" s="8"/>
      <c r="B992" s="8"/>
      <c r="C992" s="57"/>
      <c r="D992" s="57"/>
      <c r="E992" s="8"/>
      <c r="F992" s="8"/>
      <c r="G992" s="8"/>
    </row>
    <row r="993" spans="1:7" ht="20.149999999999999" customHeight="1" x14ac:dyDescent="0.35">
      <c r="A993" s="58" t="s">
        <v>1129</v>
      </c>
      <c r="B993" s="58"/>
      <c r="C993" s="58"/>
      <c r="D993" s="58"/>
      <c r="E993" s="58"/>
      <c r="F993" s="58"/>
      <c r="G993" s="58"/>
    </row>
    <row r="994" spans="1:7" ht="15" customHeight="1" x14ac:dyDescent="0.35">
      <c r="A994" s="59" t="s">
        <v>701</v>
      </c>
      <c r="B994" s="59"/>
      <c r="C994" s="9" t="s">
        <v>3</v>
      </c>
      <c r="D994" s="9" t="s">
        <v>4</v>
      </c>
      <c r="E994" s="9" t="s">
        <v>702</v>
      </c>
      <c r="F994" s="9" t="s">
        <v>703</v>
      </c>
      <c r="G994" s="9" t="s">
        <v>704</v>
      </c>
    </row>
    <row r="995" spans="1:7" ht="15" customHeight="1" x14ac:dyDescent="0.35">
      <c r="A995" s="10" t="s">
        <v>1130</v>
      </c>
      <c r="B995" s="11" t="s">
        <v>1131</v>
      </c>
      <c r="C995" s="10" t="s">
        <v>20</v>
      </c>
      <c r="D995" s="10" t="s">
        <v>25</v>
      </c>
      <c r="E995" s="12">
        <v>1.0133936100000001</v>
      </c>
      <c r="F995" s="13">
        <v>5.0599999999999996</v>
      </c>
      <c r="G995" s="13">
        <v>5.12</v>
      </c>
    </row>
    <row r="996" spans="1:7" ht="15" customHeight="1" x14ac:dyDescent="0.35">
      <c r="A996" s="8"/>
      <c r="B996" s="8"/>
      <c r="C996" s="8"/>
      <c r="D996" s="8"/>
      <c r="E996" s="60" t="s">
        <v>714</v>
      </c>
      <c r="F996" s="60"/>
      <c r="G996" s="14">
        <v>5.12</v>
      </c>
    </row>
    <row r="997" spans="1:7" ht="15" customHeight="1" x14ac:dyDescent="0.35">
      <c r="A997" s="59" t="s">
        <v>715</v>
      </c>
      <c r="B997" s="59"/>
      <c r="C997" s="9" t="s">
        <v>3</v>
      </c>
      <c r="D997" s="9" t="s">
        <v>4</v>
      </c>
      <c r="E997" s="9" t="s">
        <v>702</v>
      </c>
      <c r="F997" s="9" t="s">
        <v>703</v>
      </c>
      <c r="G997" s="9" t="s">
        <v>704</v>
      </c>
    </row>
    <row r="998" spans="1:7" ht="15" customHeight="1" x14ac:dyDescent="0.35">
      <c r="A998" s="10" t="s">
        <v>1116</v>
      </c>
      <c r="B998" s="11" t="s">
        <v>1117</v>
      </c>
      <c r="C998" s="10" t="s">
        <v>20</v>
      </c>
      <c r="D998" s="10" t="s">
        <v>718</v>
      </c>
      <c r="E998" s="12">
        <v>0.16596943</v>
      </c>
      <c r="F998" s="13">
        <v>15.79</v>
      </c>
      <c r="G998" s="13">
        <v>2.62</v>
      </c>
    </row>
    <row r="999" spans="1:7" ht="15" customHeight="1" x14ac:dyDescent="0.35">
      <c r="A999" s="10" t="s">
        <v>1118</v>
      </c>
      <c r="B999" s="11" t="s">
        <v>1119</v>
      </c>
      <c r="C999" s="10" t="s">
        <v>20</v>
      </c>
      <c r="D999" s="10" t="s">
        <v>718</v>
      </c>
      <c r="E999" s="12">
        <v>0.16596943</v>
      </c>
      <c r="F999" s="13">
        <v>19.79</v>
      </c>
      <c r="G999" s="13">
        <v>3.28</v>
      </c>
    </row>
    <row r="1000" spans="1:7" ht="18" customHeight="1" x14ac:dyDescent="0.35">
      <c r="A1000" s="8"/>
      <c r="B1000" s="8"/>
      <c r="C1000" s="8"/>
      <c r="D1000" s="8"/>
      <c r="E1000" s="60" t="s">
        <v>721</v>
      </c>
      <c r="F1000" s="60"/>
      <c r="G1000" s="14">
        <v>5.9</v>
      </c>
    </row>
    <row r="1001" spans="1:7" ht="15" customHeight="1" x14ac:dyDescent="0.35">
      <c r="A1001" s="8"/>
      <c r="B1001" s="8"/>
      <c r="C1001" s="8"/>
      <c r="D1001" s="8"/>
      <c r="E1001" s="61" t="s">
        <v>726</v>
      </c>
      <c r="F1001" s="61"/>
      <c r="G1001" s="4">
        <v>11.02</v>
      </c>
    </row>
    <row r="1002" spans="1:7" ht="10" customHeight="1" x14ac:dyDescent="0.35">
      <c r="A1002" s="8"/>
      <c r="B1002" s="8"/>
      <c r="C1002" s="57"/>
      <c r="D1002" s="57"/>
      <c r="E1002" s="8"/>
      <c r="F1002" s="8"/>
      <c r="G1002" s="8"/>
    </row>
    <row r="1003" spans="1:7" ht="20.149999999999999" customHeight="1" x14ac:dyDescent="0.35">
      <c r="A1003" s="58" t="s">
        <v>1132</v>
      </c>
      <c r="B1003" s="58"/>
      <c r="C1003" s="58"/>
      <c r="D1003" s="58"/>
      <c r="E1003" s="58"/>
      <c r="F1003" s="58"/>
      <c r="G1003" s="58"/>
    </row>
    <row r="1004" spans="1:7" ht="15" customHeight="1" x14ac:dyDescent="0.35">
      <c r="A1004" s="59" t="s">
        <v>701</v>
      </c>
      <c r="B1004" s="59"/>
      <c r="C1004" s="9" t="s">
        <v>3</v>
      </c>
      <c r="D1004" s="9" t="s">
        <v>4</v>
      </c>
      <c r="E1004" s="9" t="s">
        <v>702</v>
      </c>
      <c r="F1004" s="9" t="s">
        <v>703</v>
      </c>
      <c r="G1004" s="9" t="s">
        <v>704</v>
      </c>
    </row>
    <row r="1005" spans="1:7" ht="15" customHeight="1" x14ac:dyDescent="0.35">
      <c r="A1005" s="10" t="s">
        <v>1133</v>
      </c>
      <c r="B1005" s="11" t="s">
        <v>1134</v>
      </c>
      <c r="C1005" s="10" t="s">
        <v>20</v>
      </c>
      <c r="D1005" s="10" t="s">
        <v>25</v>
      </c>
      <c r="E1005" s="12">
        <v>1.0127713</v>
      </c>
      <c r="F1005" s="13">
        <v>4.07</v>
      </c>
      <c r="G1005" s="13">
        <v>4.12</v>
      </c>
    </row>
    <row r="1006" spans="1:7" ht="15" customHeight="1" x14ac:dyDescent="0.35">
      <c r="A1006" s="8"/>
      <c r="B1006" s="8"/>
      <c r="C1006" s="8"/>
      <c r="D1006" s="8"/>
      <c r="E1006" s="60" t="s">
        <v>714</v>
      </c>
      <c r="F1006" s="60"/>
      <c r="G1006" s="14">
        <v>4.12</v>
      </c>
    </row>
    <row r="1007" spans="1:7" ht="15" customHeight="1" x14ac:dyDescent="0.35">
      <c r="A1007" s="59" t="s">
        <v>715</v>
      </c>
      <c r="B1007" s="59"/>
      <c r="C1007" s="9" t="s">
        <v>3</v>
      </c>
      <c r="D1007" s="9" t="s">
        <v>4</v>
      </c>
      <c r="E1007" s="9" t="s">
        <v>702</v>
      </c>
      <c r="F1007" s="9" t="s">
        <v>703</v>
      </c>
      <c r="G1007" s="9" t="s">
        <v>704</v>
      </c>
    </row>
    <row r="1008" spans="1:7" ht="15" customHeight="1" x14ac:dyDescent="0.35">
      <c r="A1008" s="10" t="s">
        <v>1116</v>
      </c>
      <c r="B1008" s="11" t="s">
        <v>1117</v>
      </c>
      <c r="C1008" s="10" t="s">
        <v>20</v>
      </c>
      <c r="D1008" s="10" t="s">
        <v>718</v>
      </c>
      <c r="E1008" s="12">
        <v>0.14821118999999999</v>
      </c>
      <c r="F1008" s="13">
        <v>15.79</v>
      </c>
      <c r="G1008" s="13">
        <v>2.34</v>
      </c>
    </row>
    <row r="1009" spans="1:7" ht="15" customHeight="1" x14ac:dyDescent="0.35">
      <c r="A1009" s="10" t="s">
        <v>1118</v>
      </c>
      <c r="B1009" s="11" t="s">
        <v>1119</v>
      </c>
      <c r="C1009" s="10" t="s">
        <v>20</v>
      </c>
      <c r="D1009" s="10" t="s">
        <v>718</v>
      </c>
      <c r="E1009" s="12">
        <v>0.14821118999999999</v>
      </c>
      <c r="F1009" s="13">
        <v>19.79</v>
      </c>
      <c r="G1009" s="13">
        <v>2.93</v>
      </c>
    </row>
    <row r="1010" spans="1:7" ht="18" customHeight="1" x14ac:dyDescent="0.35">
      <c r="A1010" s="8"/>
      <c r="B1010" s="8"/>
      <c r="C1010" s="8"/>
      <c r="D1010" s="8"/>
      <c r="E1010" s="60" t="s">
        <v>721</v>
      </c>
      <c r="F1010" s="60"/>
      <c r="G1010" s="14">
        <v>5.27</v>
      </c>
    </row>
    <row r="1011" spans="1:7" ht="15" customHeight="1" x14ac:dyDescent="0.35">
      <c r="A1011" s="8"/>
      <c r="B1011" s="8"/>
      <c r="C1011" s="8"/>
      <c r="D1011" s="8"/>
      <c r="E1011" s="61" t="s">
        <v>726</v>
      </c>
      <c r="F1011" s="61"/>
      <c r="G1011" s="4">
        <v>9.39</v>
      </c>
    </row>
    <row r="1012" spans="1:7" ht="10" customHeight="1" x14ac:dyDescent="0.35">
      <c r="A1012" s="8"/>
      <c r="B1012" s="8"/>
      <c r="C1012" s="57"/>
      <c r="D1012" s="57"/>
      <c r="E1012" s="8"/>
      <c r="F1012" s="8"/>
      <c r="G1012" s="8"/>
    </row>
    <row r="1013" spans="1:7" ht="20.149999999999999" customHeight="1" x14ac:dyDescent="0.35">
      <c r="A1013" s="58" t="s">
        <v>1135</v>
      </c>
      <c r="B1013" s="58"/>
      <c r="C1013" s="58"/>
      <c r="D1013" s="58"/>
      <c r="E1013" s="58"/>
      <c r="F1013" s="58"/>
      <c r="G1013" s="58"/>
    </row>
    <row r="1014" spans="1:7" ht="15" customHeight="1" x14ac:dyDescent="0.35">
      <c r="A1014" s="59" t="s">
        <v>701</v>
      </c>
      <c r="B1014" s="59"/>
      <c r="C1014" s="9" t="s">
        <v>3</v>
      </c>
      <c r="D1014" s="9" t="s">
        <v>4</v>
      </c>
      <c r="E1014" s="9" t="s">
        <v>702</v>
      </c>
      <c r="F1014" s="9" t="s">
        <v>703</v>
      </c>
      <c r="G1014" s="9" t="s">
        <v>704</v>
      </c>
    </row>
    <row r="1015" spans="1:7" ht="20.149999999999999" customHeight="1" x14ac:dyDescent="0.35">
      <c r="A1015" s="10" t="s">
        <v>1136</v>
      </c>
      <c r="B1015" s="11" t="s">
        <v>1137</v>
      </c>
      <c r="C1015" s="10" t="s">
        <v>20</v>
      </c>
      <c r="D1015" s="10" t="s">
        <v>160</v>
      </c>
      <c r="E1015" s="12">
        <v>1</v>
      </c>
      <c r="F1015" s="13">
        <v>8.24</v>
      </c>
      <c r="G1015" s="13">
        <v>8.24</v>
      </c>
    </row>
    <row r="1016" spans="1:7" ht="15" customHeight="1" x14ac:dyDescent="0.35">
      <c r="A1016" s="8"/>
      <c r="B1016" s="8"/>
      <c r="C1016" s="8"/>
      <c r="D1016" s="8"/>
      <c r="E1016" s="60" t="s">
        <v>714</v>
      </c>
      <c r="F1016" s="60"/>
      <c r="G1016" s="14">
        <v>8.24</v>
      </c>
    </row>
    <row r="1017" spans="1:7" ht="15" customHeight="1" x14ac:dyDescent="0.35">
      <c r="A1017" s="59" t="s">
        <v>715</v>
      </c>
      <c r="B1017" s="59"/>
      <c r="C1017" s="9" t="s">
        <v>3</v>
      </c>
      <c r="D1017" s="9" t="s">
        <v>4</v>
      </c>
      <c r="E1017" s="9" t="s">
        <v>702</v>
      </c>
      <c r="F1017" s="9" t="s">
        <v>703</v>
      </c>
      <c r="G1017" s="9" t="s">
        <v>704</v>
      </c>
    </row>
    <row r="1018" spans="1:7" ht="15" customHeight="1" x14ac:dyDescent="0.35">
      <c r="A1018" s="10" t="s">
        <v>1116</v>
      </c>
      <c r="B1018" s="11" t="s">
        <v>1117</v>
      </c>
      <c r="C1018" s="10" t="s">
        <v>20</v>
      </c>
      <c r="D1018" s="10" t="s">
        <v>718</v>
      </c>
      <c r="E1018" s="12">
        <v>0.36383275999999998</v>
      </c>
      <c r="F1018" s="13">
        <v>15.79</v>
      </c>
      <c r="G1018" s="13">
        <v>5.74</v>
      </c>
    </row>
    <row r="1019" spans="1:7" ht="15" customHeight="1" x14ac:dyDescent="0.35">
      <c r="A1019" s="10" t="s">
        <v>1118</v>
      </c>
      <c r="B1019" s="11" t="s">
        <v>1119</v>
      </c>
      <c r="C1019" s="10" t="s">
        <v>20</v>
      </c>
      <c r="D1019" s="10" t="s">
        <v>718</v>
      </c>
      <c r="E1019" s="12">
        <v>0.36383275999999998</v>
      </c>
      <c r="F1019" s="13">
        <v>19.79</v>
      </c>
      <c r="G1019" s="13">
        <v>7.2</v>
      </c>
    </row>
    <row r="1020" spans="1:7" ht="18" customHeight="1" x14ac:dyDescent="0.35">
      <c r="A1020" s="8"/>
      <c r="B1020" s="8"/>
      <c r="C1020" s="8"/>
      <c r="D1020" s="8"/>
      <c r="E1020" s="60" t="s">
        <v>721</v>
      </c>
      <c r="F1020" s="60"/>
      <c r="G1020" s="14">
        <v>12.94</v>
      </c>
    </row>
    <row r="1021" spans="1:7" ht="15" customHeight="1" x14ac:dyDescent="0.35">
      <c r="A1021" s="8"/>
      <c r="B1021" s="8"/>
      <c r="C1021" s="8"/>
      <c r="D1021" s="8"/>
      <c r="E1021" s="61" t="s">
        <v>726</v>
      </c>
      <c r="F1021" s="61"/>
      <c r="G1021" s="4">
        <v>21.18</v>
      </c>
    </row>
    <row r="1022" spans="1:7" ht="10" customHeight="1" x14ac:dyDescent="0.35">
      <c r="A1022" s="8"/>
      <c r="B1022" s="8"/>
      <c r="C1022" s="57"/>
      <c r="D1022" s="57"/>
      <c r="E1022" s="8"/>
      <c r="F1022" s="8"/>
      <c r="G1022" s="8"/>
    </row>
    <row r="1023" spans="1:7" ht="20.149999999999999" customHeight="1" x14ac:dyDescent="0.35">
      <c r="A1023" s="58" t="s">
        <v>1138</v>
      </c>
      <c r="B1023" s="58"/>
      <c r="C1023" s="58"/>
      <c r="D1023" s="58"/>
      <c r="E1023" s="58"/>
      <c r="F1023" s="58"/>
      <c r="G1023" s="58"/>
    </row>
    <row r="1024" spans="1:7" ht="15" customHeight="1" x14ac:dyDescent="0.35">
      <c r="A1024" s="59" t="s">
        <v>701</v>
      </c>
      <c r="B1024" s="59"/>
      <c r="C1024" s="9" t="s">
        <v>3</v>
      </c>
      <c r="D1024" s="9" t="s">
        <v>4</v>
      </c>
      <c r="E1024" s="9" t="s">
        <v>702</v>
      </c>
      <c r="F1024" s="9" t="s">
        <v>703</v>
      </c>
      <c r="G1024" s="9" t="s">
        <v>704</v>
      </c>
    </row>
    <row r="1025" spans="1:7" ht="20.149999999999999" customHeight="1" x14ac:dyDescent="0.35">
      <c r="A1025" s="10" t="s">
        <v>323</v>
      </c>
      <c r="B1025" s="11" t="s">
        <v>324</v>
      </c>
      <c r="C1025" s="10" t="s">
        <v>20</v>
      </c>
      <c r="D1025" s="10" t="s">
        <v>160</v>
      </c>
      <c r="E1025" s="12">
        <v>1</v>
      </c>
      <c r="F1025" s="13">
        <v>1.63</v>
      </c>
      <c r="G1025" s="13">
        <v>1.63</v>
      </c>
    </row>
    <row r="1026" spans="1:7" ht="15" customHeight="1" x14ac:dyDescent="0.35">
      <c r="A1026" s="8"/>
      <c r="B1026" s="8"/>
      <c r="C1026" s="8"/>
      <c r="D1026" s="8"/>
      <c r="E1026" s="60" t="s">
        <v>714</v>
      </c>
      <c r="F1026" s="60"/>
      <c r="G1026" s="14">
        <v>1.63</v>
      </c>
    </row>
    <row r="1027" spans="1:7" ht="15" customHeight="1" x14ac:dyDescent="0.35">
      <c r="A1027" s="8"/>
      <c r="B1027" s="8"/>
      <c r="C1027" s="8"/>
      <c r="D1027" s="8"/>
      <c r="E1027" s="61" t="s">
        <v>726</v>
      </c>
      <c r="F1027" s="61"/>
      <c r="G1027" s="4">
        <v>1.47</v>
      </c>
    </row>
    <row r="1028" spans="1:7" ht="10" customHeight="1" x14ac:dyDescent="0.35">
      <c r="A1028" s="8"/>
      <c r="B1028" s="8"/>
      <c r="C1028" s="57"/>
      <c r="D1028" s="57"/>
      <c r="E1028" s="8"/>
      <c r="F1028" s="8"/>
      <c r="G1028" s="8"/>
    </row>
    <row r="1029" spans="1:7" ht="20.149999999999999" customHeight="1" x14ac:dyDescent="0.35">
      <c r="A1029" s="58" t="s">
        <v>1139</v>
      </c>
      <c r="B1029" s="58"/>
      <c r="C1029" s="58"/>
      <c r="D1029" s="58"/>
      <c r="E1029" s="58"/>
      <c r="F1029" s="58"/>
      <c r="G1029" s="58"/>
    </row>
    <row r="1030" spans="1:7" ht="15" customHeight="1" x14ac:dyDescent="0.35">
      <c r="A1030" s="59" t="s">
        <v>701</v>
      </c>
      <c r="B1030" s="59"/>
      <c r="C1030" s="9" t="s">
        <v>3</v>
      </c>
      <c r="D1030" s="9" t="s">
        <v>4</v>
      </c>
      <c r="E1030" s="9" t="s">
        <v>702</v>
      </c>
      <c r="F1030" s="9" t="s">
        <v>703</v>
      </c>
      <c r="G1030" s="9" t="s">
        <v>704</v>
      </c>
    </row>
    <row r="1031" spans="1:7" ht="15" customHeight="1" x14ac:dyDescent="0.35">
      <c r="A1031" s="10" t="s">
        <v>326</v>
      </c>
      <c r="B1031" s="11" t="s">
        <v>327</v>
      </c>
      <c r="C1031" s="10" t="s">
        <v>20</v>
      </c>
      <c r="D1031" s="10" t="s">
        <v>160</v>
      </c>
      <c r="E1031" s="12">
        <v>1</v>
      </c>
      <c r="F1031" s="13">
        <v>0.44</v>
      </c>
      <c r="G1031" s="13">
        <v>0.44</v>
      </c>
    </row>
    <row r="1032" spans="1:7" ht="15" customHeight="1" x14ac:dyDescent="0.35">
      <c r="A1032" s="8"/>
      <c r="B1032" s="8"/>
      <c r="C1032" s="8"/>
      <c r="D1032" s="8"/>
      <c r="E1032" s="60" t="s">
        <v>714</v>
      </c>
      <c r="F1032" s="60"/>
      <c r="G1032" s="14">
        <v>0.44</v>
      </c>
    </row>
    <row r="1033" spans="1:7" ht="15" customHeight="1" x14ac:dyDescent="0.35">
      <c r="A1033" s="8"/>
      <c r="B1033" s="8"/>
      <c r="C1033" s="8"/>
      <c r="D1033" s="8"/>
      <c r="E1033" s="61" t="s">
        <v>726</v>
      </c>
      <c r="F1033" s="61"/>
      <c r="G1033" s="4">
        <v>1.6</v>
      </c>
    </row>
    <row r="1034" spans="1:7" ht="10" customHeight="1" x14ac:dyDescent="0.35">
      <c r="A1034" s="8"/>
      <c r="B1034" s="8"/>
      <c r="C1034" s="57"/>
      <c r="D1034" s="57"/>
      <c r="E1034" s="8"/>
      <c r="F1034" s="8"/>
      <c r="G1034" s="8"/>
    </row>
    <row r="1035" spans="1:7" ht="20.149999999999999" customHeight="1" x14ac:dyDescent="0.35">
      <c r="A1035" s="58" t="s">
        <v>1140</v>
      </c>
      <c r="B1035" s="58"/>
      <c r="C1035" s="58"/>
      <c r="D1035" s="58"/>
      <c r="E1035" s="58"/>
      <c r="F1035" s="58"/>
      <c r="G1035" s="58"/>
    </row>
    <row r="1036" spans="1:7" ht="15" customHeight="1" x14ac:dyDescent="0.35">
      <c r="A1036" s="59" t="s">
        <v>701</v>
      </c>
      <c r="B1036" s="59"/>
      <c r="C1036" s="9" t="s">
        <v>3</v>
      </c>
      <c r="D1036" s="9" t="s">
        <v>4</v>
      </c>
      <c r="E1036" s="9" t="s">
        <v>702</v>
      </c>
      <c r="F1036" s="9" t="s">
        <v>703</v>
      </c>
      <c r="G1036" s="9" t="s">
        <v>704</v>
      </c>
    </row>
    <row r="1037" spans="1:7" ht="15" customHeight="1" x14ac:dyDescent="0.35">
      <c r="A1037" s="10" t="s">
        <v>329</v>
      </c>
      <c r="B1037" s="11" t="s">
        <v>1141</v>
      </c>
      <c r="C1037" s="10" t="s">
        <v>20</v>
      </c>
      <c r="D1037" s="10" t="s">
        <v>160</v>
      </c>
      <c r="E1037" s="12">
        <v>1</v>
      </c>
      <c r="F1037" s="13">
        <v>1.85</v>
      </c>
      <c r="G1037" s="13">
        <v>1.85</v>
      </c>
    </row>
    <row r="1038" spans="1:7" ht="15" customHeight="1" x14ac:dyDescent="0.35">
      <c r="A1038" s="8"/>
      <c r="B1038" s="8"/>
      <c r="C1038" s="8"/>
      <c r="D1038" s="8"/>
      <c r="E1038" s="60" t="s">
        <v>714</v>
      </c>
      <c r="F1038" s="60"/>
      <c r="G1038" s="14">
        <v>1.85</v>
      </c>
    </row>
    <row r="1039" spans="1:7" ht="15" customHeight="1" x14ac:dyDescent="0.35">
      <c r="A1039" s="8"/>
      <c r="B1039" s="8"/>
      <c r="C1039" s="8"/>
      <c r="D1039" s="8"/>
      <c r="E1039" s="61" t="s">
        <v>726</v>
      </c>
      <c r="F1039" s="61"/>
      <c r="G1039" s="4">
        <v>3.14</v>
      </c>
    </row>
    <row r="1040" spans="1:7" ht="10" customHeight="1" x14ac:dyDescent="0.35">
      <c r="A1040" s="8"/>
      <c r="B1040" s="8"/>
      <c r="C1040" s="57"/>
      <c r="D1040" s="57"/>
      <c r="E1040" s="8"/>
      <c r="F1040" s="8"/>
      <c r="G1040" s="8"/>
    </row>
    <row r="1041" spans="1:7" ht="20.149999999999999" customHeight="1" x14ac:dyDescent="0.35">
      <c r="A1041" s="58" t="s">
        <v>1142</v>
      </c>
      <c r="B1041" s="58"/>
      <c r="C1041" s="58"/>
      <c r="D1041" s="58"/>
      <c r="E1041" s="58"/>
      <c r="F1041" s="58"/>
      <c r="G1041" s="58"/>
    </row>
    <row r="1042" spans="1:7" ht="15" customHeight="1" x14ac:dyDescent="0.35">
      <c r="A1042" s="59" t="s">
        <v>701</v>
      </c>
      <c r="B1042" s="59"/>
      <c r="C1042" s="9" t="s">
        <v>3</v>
      </c>
      <c r="D1042" s="9" t="s">
        <v>4</v>
      </c>
      <c r="E1042" s="9" t="s">
        <v>702</v>
      </c>
      <c r="F1042" s="9" t="s">
        <v>703</v>
      </c>
      <c r="G1042" s="9" t="s">
        <v>704</v>
      </c>
    </row>
    <row r="1043" spans="1:7" ht="15" customHeight="1" x14ac:dyDescent="0.35">
      <c r="A1043" s="10" t="s">
        <v>332</v>
      </c>
      <c r="B1043" s="11" t="s">
        <v>333</v>
      </c>
      <c r="C1043" s="10" t="s">
        <v>20</v>
      </c>
      <c r="D1043" s="10" t="s">
        <v>160</v>
      </c>
      <c r="E1043" s="12">
        <v>1</v>
      </c>
      <c r="F1043" s="13">
        <v>0.83</v>
      </c>
      <c r="G1043" s="13">
        <v>0.83</v>
      </c>
    </row>
    <row r="1044" spans="1:7" ht="15" customHeight="1" x14ac:dyDescent="0.35">
      <c r="A1044" s="8"/>
      <c r="B1044" s="8"/>
      <c r="C1044" s="8"/>
      <c r="D1044" s="8"/>
      <c r="E1044" s="60" t="s">
        <v>714</v>
      </c>
      <c r="F1044" s="60"/>
      <c r="G1044" s="14">
        <v>0.83</v>
      </c>
    </row>
    <row r="1045" spans="1:7" ht="15" customHeight="1" x14ac:dyDescent="0.35">
      <c r="A1045" s="8"/>
      <c r="B1045" s="8"/>
      <c r="C1045" s="8"/>
      <c r="D1045" s="8"/>
      <c r="E1045" s="61" t="s">
        <v>726</v>
      </c>
      <c r="F1045" s="61"/>
      <c r="G1045" s="4">
        <v>1.86</v>
      </c>
    </row>
    <row r="1046" spans="1:7" ht="10" customHeight="1" x14ac:dyDescent="0.35">
      <c r="A1046" s="8"/>
      <c r="B1046" s="8"/>
      <c r="C1046" s="57"/>
      <c r="D1046" s="57"/>
      <c r="E1046" s="8"/>
      <c r="F1046" s="8"/>
      <c r="G1046" s="8"/>
    </row>
    <row r="1047" spans="1:7" ht="20.149999999999999" customHeight="1" x14ac:dyDescent="0.35">
      <c r="A1047" s="58" t="s">
        <v>1143</v>
      </c>
      <c r="B1047" s="58"/>
      <c r="C1047" s="58"/>
      <c r="D1047" s="58"/>
      <c r="E1047" s="58"/>
      <c r="F1047" s="58"/>
      <c r="G1047" s="58"/>
    </row>
    <row r="1048" spans="1:7" ht="15" customHeight="1" x14ac:dyDescent="0.35">
      <c r="A1048" s="59" t="s">
        <v>701</v>
      </c>
      <c r="B1048" s="59"/>
      <c r="C1048" s="9" t="s">
        <v>3</v>
      </c>
      <c r="D1048" s="9" t="s">
        <v>4</v>
      </c>
      <c r="E1048" s="9" t="s">
        <v>702</v>
      </c>
      <c r="F1048" s="9" t="s">
        <v>703</v>
      </c>
      <c r="G1048" s="9" t="s">
        <v>704</v>
      </c>
    </row>
    <row r="1049" spans="1:7" ht="15" customHeight="1" x14ac:dyDescent="0.35">
      <c r="A1049" s="10" t="s">
        <v>335</v>
      </c>
      <c r="B1049" s="11" t="s">
        <v>336</v>
      </c>
      <c r="C1049" s="10" t="s">
        <v>20</v>
      </c>
      <c r="D1049" s="10" t="s">
        <v>160</v>
      </c>
      <c r="E1049" s="12">
        <v>1</v>
      </c>
      <c r="F1049" s="13">
        <v>0.06</v>
      </c>
      <c r="G1049" s="13">
        <v>0.06</v>
      </c>
    </row>
    <row r="1050" spans="1:7" ht="15" customHeight="1" x14ac:dyDescent="0.35">
      <c r="A1050" s="8"/>
      <c r="B1050" s="8"/>
      <c r="C1050" s="8"/>
      <c r="D1050" s="8"/>
      <c r="E1050" s="60" t="s">
        <v>714</v>
      </c>
      <c r="F1050" s="60"/>
      <c r="G1050" s="14">
        <v>0.06</v>
      </c>
    </row>
    <row r="1051" spans="1:7" ht="15" customHeight="1" x14ac:dyDescent="0.35">
      <c r="A1051" s="8"/>
      <c r="B1051" s="8"/>
      <c r="C1051" s="8"/>
      <c r="D1051" s="8"/>
      <c r="E1051" s="61" t="s">
        <v>726</v>
      </c>
      <c r="F1051" s="61"/>
      <c r="G1051" s="4">
        <v>0.06</v>
      </c>
    </row>
    <row r="1052" spans="1:7" ht="10" customHeight="1" x14ac:dyDescent="0.35">
      <c r="A1052" s="8"/>
      <c r="B1052" s="8"/>
      <c r="C1052" s="57"/>
      <c r="D1052" s="57"/>
      <c r="E1052" s="8"/>
      <c r="F1052" s="8"/>
      <c r="G1052" s="8"/>
    </row>
    <row r="1053" spans="1:7" ht="20.149999999999999" customHeight="1" x14ac:dyDescent="0.35">
      <c r="A1053" s="58" t="s">
        <v>1144</v>
      </c>
      <c r="B1053" s="58"/>
      <c r="C1053" s="58"/>
      <c r="D1053" s="58"/>
      <c r="E1053" s="58"/>
      <c r="F1053" s="58"/>
      <c r="G1053" s="58"/>
    </row>
    <row r="1054" spans="1:7" ht="15" customHeight="1" x14ac:dyDescent="0.35">
      <c r="A1054" s="59" t="s">
        <v>701</v>
      </c>
      <c r="B1054" s="59"/>
      <c r="C1054" s="9" t="s">
        <v>3</v>
      </c>
      <c r="D1054" s="9" t="s">
        <v>4</v>
      </c>
      <c r="E1054" s="9" t="s">
        <v>702</v>
      </c>
      <c r="F1054" s="9" t="s">
        <v>703</v>
      </c>
      <c r="G1054" s="9" t="s">
        <v>704</v>
      </c>
    </row>
    <row r="1055" spans="1:7" ht="15" customHeight="1" x14ac:dyDescent="0.35">
      <c r="A1055" s="10" t="s">
        <v>338</v>
      </c>
      <c r="B1055" s="11" t="s">
        <v>339</v>
      </c>
      <c r="C1055" s="10" t="s">
        <v>20</v>
      </c>
      <c r="D1055" s="10" t="s">
        <v>160</v>
      </c>
      <c r="E1055" s="12">
        <v>1</v>
      </c>
      <c r="F1055" s="13">
        <v>0.1</v>
      </c>
      <c r="G1055" s="13">
        <v>0.1</v>
      </c>
    </row>
    <row r="1056" spans="1:7" ht="15" customHeight="1" x14ac:dyDescent="0.35">
      <c r="A1056" s="8"/>
      <c r="B1056" s="8"/>
      <c r="C1056" s="8"/>
      <c r="D1056" s="8"/>
      <c r="E1056" s="60" t="s">
        <v>714</v>
      </c>
      <c r="F1056" s="60"/>
      <c r="G1056" s="14">
        <v>0.1</v>
      </c>
    </row>
    <row r="1057" spans="1:7" ht="15" customHeight="1" x14ac:dyDescent="0.35">
      <c r="A1057" s="8"/>
      <c r="B1057" s="8"/>
      <c r="C1057" s="8"/>
      <c r="D1057" s="8"/>
      <c r="E1057" s="61" t="s">
        <v>726</v>
      </c>
      <c r="F1057" s="61"/>
      <c r="G1057" s="4">
        <v>0.16</v>
      </c>
    </row>
    <row r="1058" spans="1:7" ht="10" customHeight="1" x14ac:dyDescent="0.35">
      <c r="A1058" s="8"/>
      <c r="B1058" s="8"/>
      <c r="C1058" s="57"/>
      <c r="D1058" s="57"/>
      <c r="E1058" s="8"/>
      <c r="F1058" s="8"/>
      <c r="G1058" s="8"/>
    </row>
    <row r="1059" spans="1:7" ht="20.149999999999999" customHeight="1" x14ac:dyDescent="0.35">
      <c r="A1059" s="58" t="s">
        <v>1145</v>
      </c>
      <c r="B1059" s="58"/>
      <c r="C1059" s="58"/>
      <c r="D1059" s="58"/>
      <c r="E1059" s="58"/>
      <c r="F1059" s="58"/>
      <c r="G1059" s="58"/>
    </row>
    <row r="1060" spans="1:7" ht="15" customHeight="1" x14ac:dyDescent="0.35">
      <c r="A1060" s="59" t="s">
        <v>701</v>
      </c>
      <c r="B1060" s="59"/>
      <c r="C1060" s="9" t="s">
        <v>3</v>
      </c>
      <c r="D1060" s="9" t="s">
        <v>4</v>
      </c>
      <c r="E1060" s="9" t="s">
        <v>702</v>
      </c>
      <c r="F1060" s="9" t="s">
        <v>703</v>
      </c>
      <c r="G1060" s="9" t="s">
        <v>704</v>
      </c>
    </row>
    <row r="1061" spans="1:7" ht="20.149999999999999" customHeight="1" x14ac:dyDescent="0.35">
      <c r="A1061" s="10" t="s">
        <v>1146</v>
      </c>
      <c r="B1061" s="11" t="s">
        <v>1147</v>
      </c>
      <c r="C1061" s="10" t="s">
        <v>20</v>
      </c>
      <c r="D1061" s="10" t="s">
        <v>160</v>
      </c>
      <c r="E1061" s="12">
        <v>1</v>
      </c>
      <c r="F1061" s="13">
        <v>1.63</v>
      </c>
      <c r="G1061" s="13">
        <v>1.63</v>
      </c>
    </row>
    <row r="1062" spans="1:7" ht="15" customHeight="1" x14ac:dyDescent="0.35">
      <c r="A1062" s="8"/>
      <c r="B1062" s="8"/>
      <c r="C1062" s="8"/>
      <c r="D1062" s="8"/>
      <c r="E1062" s="60" t="s">
        <v>714</v>
      </c>
      <c r="F1062" s="60"/>
      <c r="G1062" s="14">
        <v>1.63</v>
      </c>
    </row>
    <row r="1063" spans="1:7" ht="15" customHeight="1" x14ac:dyDescent="0.35">
      <c r="A1063" s="59" t="s">
        <v>715</v>
      </c>
      <c r="B1063" s="59"/>
      <c r="C1063" s="9" t="s">
        <v>3</v>
      </c>
      <c r="D1063" s="9" t="s">
        <v>4</v>
      </c>
      <c r="E1063" s="9" t="s">
        <v>702</v>
      </c>
      <c r="F1063" s="9" t="s">
        <v>703</v>
      </c>
      <c r="G1063" s="9" t="s">
        <v>704</v>
      </c>
    </row>
    <row r="1064" spans="1:7" ht="15" customHeight="1" x14ac:dyDescent="0.35">
      <c r="A1064" s="10" t="s">
        <v>1116</v>
      </c>
      <c r="B1064" s="11" t="s">
        <v>1117</v>
      </c>
      <c r="C1064" s="10" t="s">
        <v>20</v>
      </c>
      <c r="D1064" s="10" t="s">
        <v>718</v>
      </c>
      <c r="E1064" s="12">
        <v>0.23285159999999999</v>
      </c>
      <c r="F1064" s="13">
        <v>15.79</v>
      </c>
      <c r="G1064" s="13">
        <v>3.67</v>
      </c>
    </row>
    <row r="1065" spans="1:7" ht="15" customHeight="1" x14ac:dyDescent="0.35">
      <c r="A1065" s="10" t="s">
        <v>1118</v>
      </c>
      <c r="B1065" s="11" t="s">
        <v>1119</v>
      </c>
      <c r="C1065" s="10" t="s">
        <v>20</v>
      </c>
      <c r="D1065" s="10" t="s">
        <v>718</v>
      </c>
      <c r="E1065" s="12">
        <v>0.23221828999999999</v>
      </c>
      <c r="F1065" s="13">
        <v>19.79</v>
      </c>
      <c r="G1065" s="13">
        <v>4.59</v>
      </c>
    </row>
    <row r="1066" spans="1:7" ht="18" customHeight="1" x14ac:dyDescent="0.35">
      <c r="A1066" s="8"/>
      <c r="B1066" s="8"/>
      <c r="C1066" s="8"/>
      <c r="D1066" s="8"/>
      <c r="E1066" s="60" t="s">
        <v>721</v>
      </c>
      <c r="F1066" s="60"/>
      <c r="G1066" s="14">
        <v>8.26</v>
      </c>
    </row>
    <row r="1067" spans="1:7" ht="15" customHeight="1" x14ac:dyDescent="0.35">
      <c r="A1067" s="8"/>
      <c r="B1067" s="8"/>
      <c r="C1067" s="8"/>
      <c r="D1067" s="8"/>
      <c r="E1067" s="61" t="s">
        <v>726</v>
      </c>
      <c r="F1067" s="61"/>
      <c r="G1067" s="4">
        <v>9.89</v>
      </c>
    </row>
    <row r="1068" spans="1:7" ht="10" customHeight="1" x14ac:dyDescent="0.35">
      <c r="A1068" s="8"/>
      <c r="B1068" s="8"/>
      <c r="C1068" s="57"/>
      <c r="D1068" s="57"/>
      <c r="E1068" s="8"/>
      <c r="F1068" s="8"/>
      <c r="G1068" s="8"/>
    </row>
    <row r="1069" spans="1:7" ht="20.149999999999999" customHeight="1" x14ac:dyDescent="0.35">
      <c r="A1069" s="58" t="s">
        <v>1148</v>
      </c>
      <c r="B1069" s="58"/>
      <c r="C1069" s="58"/>
      <c r="D1069" s="58"/>
      <c r="E1069" s="58"/>
      <c r="F1069" s="58"/>
      <c r="G1069" s="58"/>
    </row>
    <row r="1070" spans="1:7" ht="15" customHeight="1" x14ac:dyDescent="0.35">
      <c r="A1070" s="59" t="s">
        <v>701</v>
      </c>
      <c r="B1070" s="59"/>
      <c r="C1070" s="9" t="s">
        <v>3</v>
      </c>
      <c r="D1070" s="9" t="s">
        <v>4</v>
      </c>
      <c r="E1070" s="9" t="s">
        <v>702</v>
      </c>
      <c r="F1070" s="9" t="s">
        <v>703</v>
      </c>
      <c r="G1070" s="9" t="s">
        <v>704</v>
      </c>
    </row>
    <row r="1071" spans="1:7" ht="20.149999999999999" customHeight="1" x14ac:dyDescent="0.35">
      <c r="A1071" s="10" t="s">
        <v>1149</v>
      </c>
      <c r="B1071" s="11" t="s">
        <v>1150</v>
      </c>
      <c r="C1071" s="10" t="s">
        <v>20</v>
      </c>
      <c r="D1071" s="10" t="s">
        <v>160</v>
      </c>
      <c r="E1071" s="12">
        <v>1</v>
      </c>
      <c r="F1071" s="13">
        <v>1.74</v>
      </c>
      <c r="G1071" s="13">
        <v>1.74</v>
      </c>
    </row>
    <row r="1072" spans="1:7" ht="15" customHeight="1" x14ac:dyDescent="0.35">
      <c r="A1072" s="8"/>
      <c r="B1072" s="8"/>
      <c r="C1072" s="8"/>
      <c r="D1072" s="8"/>
      <c r="E1072" s="60" t="s">
        <v>714</v>
      </c>
      <c r="F1072" s="60"/>
      <c r="G1072" s="14">
        <v>1.74</v>
      </c>
    </row>
    <row r="1073" spans="1:7" ht="15" customHeight="1" x14ac:dyDescent="0.35">
      <c r="A1073" s="59" t="s">
        <v>715</v>
      </c>
      <c r="B1073" s="59"/>
      <c r="C1073" s="9" t="s">
        <v>3</v>
      </c>
      <c r="D1073" s="9" t="s">
        <v>4</v>
      </c>
      <c r="E1073" s="9" t="s">
        <v>702</v>
      </c>
      <c r="F1073" s="9" t="s">
        <v>703</v>
      </c>
      <c r="G1073" s="9" t="s">
        <v>704</v>
      </c>
    </row>
    <row r="1074" spans="1:7" ht="15" customHeight="1" x14ac:dyDescent="0.35">
      <c r="A1074" s="10" t="s">
        <v>1116</v>
      </c>
      <c r="B1074" s="11" t="s">
        <v>1117</v>
      </c>
      <c r="C1074" s="10" t="s">
        <v>20</v>
      </c>
      <c r="D1074" s="10" t="s">
        <v>718</v>
      </c>
      <c r="E1074" s="12">
        <v>0.20937369</v>
      </c>
      <c r="F1074" s="13">
        <v>15.79</v>
      </c>
      <c r="G1074" s="13">
        <v>3.3</v>
      </c>
    </row>
    <row r="1075" spans="1:7" ht="15" customHeight="1" x14ac:dyDescent="0.35">
      <c r="A1075" s="10" t="s">
        <v>1118</v>
      </c>
      <c r="B1075" s="11" t="s">
        <v>1119</v>
      </c>
      <c r="C1075" s="10" t="s">
        <v>20</v>
      </c>
      <c r="D1075" s="10" t="s">
        <v>718</v>
      </c>
      <c r="E1075" s="12">
        <v>0.20874038</v>
      </c>
      <c r="F1075" s="13">
        <v>19.79</v>
      </c>
      <c r="G1075" s="13">
        <v>4.13</v>
      </c>
    </row>
    <row r="1076" spans="1:7" ht="18" customHeight="1" x14ac:dyDescent="0.35">
      <c r="A1076" s="8"/>
      <c r="B1076" s="8"/>
      <c r="C1076" s="8"/>
      <c r="D1076" s="8"/>
      <c r="E1076" s="60" t="s">
        <v>721</v>
      </c>
      <c r="F1076" s="60"/>
      <c r="G1076" s="14">
        <v>7.43</v>
      </c>
    </row>
    <row r="1077" spans="1:7" ht="15" customHeight="1" x14ac:dyDescent="0.35">
      <c r="A1077" s="8"/>
      <c r="B1077" s="8"/>
      <c r="C1077" s="8"/>
      <c r="D1077" s="8"/>
      <c r="E1077" s="61" t="s">
        <v>726</v>
      </c>
      <c r="F1077" s="61"/>
      <c r="G1077" s="4">
        <v>9.17</v>
      </c>
    </row>
    <row r="1078" spans="1:7" ht="10" customHeight="1" x14ac:dyDescent="0.35">
      <c r="A1078" s="8"/>
      <c r="B1078" s="8"/>
      <c r="C1078" s="57"/>
      <c r="D1078" s="57"/>
      <c r="E1078" s="8"/>
      <c r="F1078" s="8"/>
      <c r="G1078" s="8"/>
    </row>
    <row r="1079" spans="1:7" ht="20.149999999999999" customHeight="1" x14ac:dyDescent="0.35">
      <c r="A1079" s="58" t="s">
        <v>1151</v>
      </c>
      <c r="B1079" s="58"/>
      <c r="C1079" s="58"/>
      <c r="D1079" s="58"/>
      <c r="E1079" s="58"/>
      <c r="F1079" s="58"/>
      <c r="G1079" s="58"/>
    </row>
    <row r="1080" spans="1:7" ht="15" customHeight="1" x14ac:dyDescent="0.35">
      <c r="A1080" s="59" t="s">
        <v>701</v>
      </c>
      <c r="B1080" s="59"/>
      <c r="C1080" s="9" t="s">
        <v>3</v>
      </c>
      <c r="D1080" s="9" t="s">
        <v>4</v>
      </c>
      <c r="E1080" s="9" t="s">
        <v>702</v>
      </c>
      <c r="F1080" s="9" t="s">
        <v>703</v>
      </c>
      <c r="G1080" s="9" t="s">
        <v>704</v>
      </c>
    </row>
    <row r="1081" spans="1:7" ht="15" customHeight="1" x14ac:dyDescent="0.35">
      <c r="A1081" s="10" t="s">
        <v>1152</v>
      </c>
      <c r="B1081" s="11" t="s">
        <v>1153</v>
      </c>
      <c r="C1081" s="10" t="s">
        <v>20</v>
      </c>
      <c r="D1081" s="10" t="s">
        <v>160</v>
      </c>
      <c r="E1081" s="12">
        <v>1</v>
      </c>
      <c r="F1081" s="13">
        <v>0.76</v>
      </c>
      <c r="G1081" s="13">
        <v>0.76</v>
      </c>
    </row>
    <row r="1082" spans="1:7" ht="15" customHeight="1" x14ac:dyDescent="0.35">
      <c r="A1082" s="8"/>
      <c r="B1082" s="8"/>
      <c r="C1082" s="8"/>
      <c r="D1082" s="8"/>
      <c r="E1082" s="60" t="s">
        <v>714</v>
      </c>
      <c r="F1082" s="60"/>
      <c r="G1082" s="14">
        <v>0.76</v>
      </c>
    </row>
    <row r="1083" spans="1:7" ht="15" customHeight="1" x14ac:dyDescent="0.35">
      <c r="A1083" s="59" t="s">
        <v>715</v>
      </c>
      <c r="B1083" s="59"/>
      <c r="C1083" s="9" t="s">
        <v>3</v>
      </c>
      <c r="D1083" s="9" t="s">
        <v>4</v>
      </c>
      <c r="E1083" s="9" t="s">
        <v>702</v>
      </c>
      <c r="F1083" s="9" t="s">
        <v>703</v>
      </c>
      <c r="G1083" s="9" t="s">
        <v>704</v>
      </c>
    </row>
    <row r="1084" spans="1:7" ht="15" customHeight="1" x14ac:dyDescent="0.35">
      <c r="A1084" s="10" t="s">
        <v>1116</v>
      </c>
      <c r="B1084" s="11" t="s">
        <v>1117</v>
      </c>
      <c r="C1084" s="10" t="s">
        <v>20</v>
      </c>
      <c r="D1084" s="10" t="s">
        <v>718</v>
      </c>
      <c r="E1084" s="12">
        <v>0.10425864999999999</v>
      </c>
      <c r="F1084" s="13">
        <v>15.79</v>
      </c>
      <c r="G1084" s="13">
        <v>1.64</v>
      </c>
    </row>
    <row r="1085" spans="1:7" ht="15" customHeight="1" x14ac:dyDescent="0.35">
      <c r="A1085" s="10" t="s">
        <v>1118</v>
      </c>
      <c r="B1085" s="11" t="s">
        <v>1119</v>
      </c>
      <c r="C1085" s="10" t="s">
        <v>20</v>
      </c>
      <c r="D1085" s="10" t="s">
        <v>718</v>
      </c>
      <c r="E1085" s="12">
        <v>0.10362534</v>
      </c>
      <c r="F1085" s="13">
        <v>19.79</v>
      </c>
      <c r="G1085" s="13">
        <v>2.0499999999999998</v>
      </c>
    </row>
    <row r="1086" spans="1:7" ht="18" customHeight="1" x14ac:dyDescent="0.35">
      <c r="A1086" s="8"/>
      <c r="B1086" s="8"/>
      <c r="C1086" s="8"/>
      <c r="D1086" s="8"/>
      <c r="E1086" s="60" t="s">
        <v>721</v>
      </c>
      <c r="F1086" s="60"/>
      <c r="G1086" s="14">
        <v>3.69</v>
      </c>
    </row>
    <row r="1087" spans="1:7" ht="15" customHeight="1" x14ac:dyDescent="0.35">
      <c r="A1087" s="8"/>
      <c r="B1087" s="8"/>
      <c r="C1087" s="8"/>
      <c r="D1087" s="8"/>
      <c r="E1087" s="61" t="s">
        <v>726</v>
      </c>
      <c r="F1087" s="61"/>
      <c r="G1087" s="4">
        <v>4.45</v>
      </c>
    </row>
    <row r="1088" spans="1:7" ht="10" customHeight="1" x14ac:dyDescent="0.35">
      <c r="A1088" s="8"/>
      <c r="B1088" s="8"/>
      <c r="C1088" s="57"/>
      <c r="D1088" s="57"/>
      <c r="E1088" s="8"/>
      <c r="F1088" s="8"/>
      <c r="G1088" s="8"/>
    </row>
    <row r="1089" spans="1:7" ht="20.149999999999999" customHeight="1" x14ac:dyDescent="0.35">
      <c r="A1089" s="58" t="s">
        <v>1154</v>
      </c>
      <c r="B1089" s="58"/>
      <c r="C1089" s="58"/>
      <c r="D1089" s="58"/>
      <c r="E1089" s="58"/>
      <c r="F1089" s="58"/>
      <c r="G1089" s="58"/>
    </row>
    <row r="1090" spans="1:7" ht="15" customHeight="1" x14ac:dyDescent="0.35">
      <c r="A1090" s="59" t="s">
        <v>701</v>
      </c>
      <c r="B1090" s="59"/>
      <c r="C1090" s="9" t="s">
        <v>3</v>
      </c>
      <c r="D1090" s="9" t="s">
        <v>4</v>
      </c>
      <c r="E1090" s="9" t="s">
        <v>702</v>
      </c>
      <c r="F1090" s="9" t="s">
        <v>703</v>
      </c>
      <c r="G1090" s="9" t="s">
        <v>704</v>
      </c>
    </row>
    <row r="1091" spans="1:7" ht="15" customHeight="1" x14ac:dyDescent="0.35">
      <c r="A1091" s="10" t="s">
        <v>1155</v>
      </c>
      <c r="B1091" s="11" t="s">
        <v>1156</v>
      </c>
      <c r="C1091" s="10" t="s">
        <v>20</v>
      </c>
      <c r="D1091" s="10" t="s">
        <v>160</v>
      </c>
      <c r="E1091" s="12">
        <v>1</v>
      </c>
      <c r="F1091" s="13">
        <v>1.07</v>
      </c>
      <c r="G1091" s="13">
        <v>1.07</v>
      </c>
    </row>
    <row r="1092" spans="1:7" ht="15" customHeight="1" x14ac:dyDescent="0.35">
      <c r="A1092" s="8"/>
      <c r="B1092" s="8"/>
      <c r="C1092" s="8"/>
      <c r="D1092" s="8"/>
      <c r="E1092" s="60" t="s">
        <v>714</v>
      </c>
      <c r="F1092" s="60"/>
      <c r="G1092" s="14">
        <v>1.07</v>
      </c>
    </row>
    <row r="1093" spans="1:7" ht="15" customHeight="1" x14ac:dyDescent="0.35">
      <c r="A1093" s="59" t="s">
        <v>715</v>
      </c>
      <c r="B1093" s="59"/>
      <c r="C1093" s="9" t="s">
        <v>3</v>
      </c>
      <c r="D1093" s="9" t="s">
        <v>4</v>
      </c>
      <c r="E1093" s="9" t="s">
        <v>702</v>
      </c>
      <c r="F1093" s="9" t="s">
        <v>703</v>
      </c>
      <c r="G1093" s="9" t="s">
        <v>704</v>
      </c>
    </row>
    <row r="1094" spans="1:7" ht="15" customHeight="1" x14ac:dyDescent="0.35">
      <c r="A1094" s="10" t="s">
        <v>1116</v>
      </c>
      <c r="B1094" s="11" t="s">
        <v>1117</v>
      </c>
      <c r="C1094" s="10" t="s">
        <v>20</v>
      </c>
      <c r="D1094" s="10" t="s">
        <v>718</v>
      </c>
      <c r="E1094" s="12">
        <v>0.13535859</v>
      </c>
      <c r="F1094" s="13">
        <v>15.79</v>
      </c>
      <c r="G1094" s="13">
        <v>2.13</v>
      </c>
    </row>
    <row r="1095" spans="1:7" ht="15" customHeight="1" x14ac:dyDescent="0.35">
      <c r="A1095" s="10" t="s">
        <v>1118</v>
      </c>
      <c r="B1095" s="11" t="s">
        <v>1119</v>
      </c>
      <c r="C1095" s="10" t="s">
        <v>20</v>
      </c>
      <c r="D1095" s="10" t="s">
        <v>718</v>
      </c>
      <c r="E1095" s="12">
        <v>0.13472528</v>
      </c>
      <c r="F1095" s="13">
        <v>19.79</v>
      </c>
      <c r="G1095" s="13">
        <v>2.66</v>
      </c>
    </row>
    <row r="1096" spans="1:7" ht="18" customHeight="1" x14ac:dyDescent="0.35">
      <c r="A1096" s="8"/>
      <c r="B1096" s="8"/>
      <c r="C1096" s="8"/>
      <c r="D1096" s="8"/>
      <c r="E1096" s="60" t="s">
        <v>721</v>
      </c>
      <c r="F1096" s="60"/>
      <c r="G1096" s="14">
        <v>4.79</v>
      </c>
    </row>
    <row r="1097" spans="1:7" ht="15" customHeight="1" x14ac:dyDescent="0.35">
      <c r="A1097" s="8"/>
      <c r="B1097" s="8"/>
      <c r="C1097" s="8"/>
      <c r="D1097" s="8"/>
      <c r="E1097" s="61" t="s">
        <v>726</v>
      </c>
      <c r="F1097" s="61"/>
      <c r="G1097" s="4">
        <v>5.86</v>
      </c>
    </row>
    <row r="1098" spans="1:7" ht="10" customHeight="1" x14ac:dyDescent="0.35">
      <c r="A1098" s="8"/>
      <c r="B1098" s="8"/>
      <c r="C1098" s="57"/>
      <c r="D1098" s="57"/>
      <c r="E1098" s="8"/>
      <c r="F1098" s="8"/>
      <c r="G1098" s="8"/>
    </row>
    <row r="1099" spans="1:7" ht="20.149999999999999" customHeight="1" x14ac:dyDescent="0.35">
      <c r="A1099" s="58" t="s">
        <v>1151</v>
      </c>
      <c r="B1099" s="58"/>
      <c r="C1099" s="58"/>
      <c r="D1099" s="58"/>
      <c r="E1099" s="58"/>
      <c r="F1099" s="58"/>
      <c r="G1099" s="58"/>
    </row>
    <row r="1100" spans="1:7" ht="15" customHeight="1" x14ac:dyDescent="0.35">
      <c r="A1100" s="59" t="s">
        <v>701</v>
      </c>
      <c r="B1100" s="59"/>
      <c r="C1100" s="9" t="s">
        <v>3</v>
      </c>
      <c r="D1100" s="9" t="s">
        <v>4</v>
      </c>
      <c r="E1100" s="9" t="s">
        <v>702</v>
      </c>
      <c r="F1100" s="9" t="s">
        <v>703</v>
      </c>
      <c r="G1100" s="9" t="s">
        <v>704</v>
      </c>
    </row>
    <row r="1101" spans="1:7" ht="15" customHeight="1" x14ac:dyDescent="0.35">
      <c r="A1101" s="10" t="s">
        <v>1152</v>
      </c>
      <c r="B1101" s="11" t="s">
        <v>1153</v>
      </c>
      <c r="C1101" s="10" t="s">
        <v>20</v>
      </c>
      <c r="D1101" s="10" t="s">
        <v>160</v>
      </c>
      <c r="E1101" s="12">
        <v>1</v>
      </c>
      <c r="F1101" s="13">
        <v>0.76</v>
      </c>
      <c r="G1101" s="13">
        <v>0.76</v>
      </c>
    </row>
    <row r="1102" spans="1:7" ht="15" customHeight="1" x14ac:dyDescent="0.35">
      <c r="A1102" s="8"/>
      <c r="B1102" s="8"/>
      <c r="C1102" s="8"/>
      <c r="D1102" s="8"/>
      <c r="E1102" s="60" t="s">
        <v>714</v>
      </c>
      <c r="F1102" s="60"/>
      <c r="G1102" s="14">
        <v>0.76</v>
      </c>
    </row>
    <row r="1103" spans="1:7" ht="15" customHeight="1" x14ac:dyDescent="0.35">
      <c r="A1103" s="59" t="s">
        <v>715</v>
      </c>
      <c r="B1103" s="59"/>
      <c r="C1103" s="9" t="s">
        <v>3</v>
      </c>
      <c r="D1103" s="9" t="s">
        <v>4</v>
      </c>
      <c r="E1103" s="9" t="s">
        <v>702</v>
      </c>
      <c r="F1103" s="9" t="s">
        <v>703</v>
      </c>
      <c r="G1103" s="9" t="s">
        <v>704</v>
      </c>
    </row>
    <row r="1104" spans="1:7" ht="15" customHeight="1" x14ac:dyDescent="0.35">
      <c r="A1104" s="10" t="s">
        <v>1116</v>
      </c>
      <c r="B1104" s="11" t="s">
        <v>1117</v>
      </c>
      <c r="C1104" s="10" t="s">
        <v>20</v>
      </c>
      <c r="D1104" s="10" t="s">
        <v>718</v>
      </c>
      <c r="E1104" s="12">
        <v>7.3175779999999996E-2</v>
      </c>
      <c r="F1104" s="13">
        <v>15.79</v>
      </c>
      <c r="G1104" s="13">
        <v>1.1499999999999999</v>
      </c>
    </row>
    <row r="1105" spans="1:7" ht="15" customHeight="1" x14ac:dyDescent="0.35">
      <c r="A1105" s="10" t="s">
        <v>1118</v>
      </c>
      <c r="B1105" s="11" t="s">
        <v>1119</v>
      </c>
      <c r="C1105" s="10" t="s">
        <v>20</v>
      </c>
      <c r="D1105" s="10" t="s">
        <v>718</v>
      </c>
      <c r="E1105" s="12">
        <v>7.4300980000000003E-2</v>
      </c>
      <c r="F1105" s="13">
        <v>19.79</v>
      </c>
      <c r="G1105" s="13">
        <v>1.47</v>
      </c>
    </row>
    <row r="1106" spans="1:7" ht="18" customHeight="1" x14ac:dyDescent="0.35">
      <c r="A1106" s="8"/>
      <c r="B1106" s="8"/>
      <c r="C1106" s="8"/>
      <c r="D1106" s="8"/>
      <c r="E1106" s="60" t="s">
        <v>721</v>
      </c>
      <c r="F1106" s="60"/>
      <c r="G1106" s="14">
        <v>2.62</v>
      </c>
    </row>
    <row r="1107" spans="1:7" ht="15" customHeight="1" x14ac:dyDescent="0.35">
      <c r="A1107" s="8"/>
      <c r="B1107" s="8"/>
      <c r="C1107" s="8"/>
      <c r="D1107" s="8"/>
      <c r="E1107" s="61" t="s">
        <v>726</v>
      </c>
      <c r="F1107" s="61"/>
      <c r="G1107" s="4">
        <v>3.38</v>
      </c>
    </row>
    <row r="1108" spans="1:7" ht="10" customHeight="1" x14ac:dyDescent="0.35">
      <c r="A1108" s="8"/>
      <c r="B1108" s="8"/>
      <c r="C1108" s="57"/>
      <c r="D1108" s="57"/>
      <c r="E1108" s="8"/>
      <c r="F1108" s="8"/>
      <c r="G1108" s="8"/>
    </row>
    <row r="1109" spans="1:7" ht="20.149999999999999" customHeight="1" x14ac:dyDescent="0.35">
      <c r="A1109" s="58" t="s">
        <v>1157</v>
      </c>
      <c r="B1109" s="58"/>
      <c r="C1109" s="58"/>
      <c r="D1109" s="58"/>
      <c r="E1109" s="58"/>
      <c r="F1109" s="58"/>
      <c r="G1109" s="58"/>
    </row>
    <row r="1110" spans="1:7" ht="15" customHeight="1" x14ac:dyDescent="0.35">
      <c r="A1110" s="59" t="s">
        <v>1008</v>
      </c>
      <c r="B1110" s="59"/>
      <c r="C1110" s="9" t="s">
        <v>3</v>
      </c>
      <c r="D1110" s="9" t="s">
        <v>4</v>
      </c>
      <c r="E1110" s="9" t="s">
        <v>702</v>
      </c>
      <c r="F1110" s="9" t="s">
        <v>703</v>
      </c>
      <c r="G1110" s="9" t="s">
        <v>704</v>
      </c>
    </row>
    <row r="1111" spans="1:7" ht="15" customHeight="1" x14ac:dyDescent="0.35">
      <c r="A1111" s="10" t="s">
        <v>1158</v>
      </c>
      <c r="B1111" s="11" t="s">
        <v>1159</v>
      </c>
      <c r="C1111" s="10" t="s">
        <v>226</v>
      </c>
      <c r="D1111" s="10" t="s">
        <v>1011</v>
      </c>
      <c r="E1111" s="12">
        <v>0.16505924999999999</v>
      </c>
      <c r="F1111" s="13">
        <v>3.57</v>
      </c>
      <c r="G1111" s="13">
        <v>0.59</v>
      </c>
    </row>
    <row r="1112" spans="1:7" ht="15" customHeight="1" x14ac:dyDescent="0.35">
      <c r="A1112" s="10" t="s">
        <v>1012</v>
      </c>
      <c r="B1112" s="11" t="s">
        <v>1013</v>
      </c>
      <c r="C1112" s="10" t="s">
        <v>226</v>
      </c>
      <c r="D1112" s="10" t="s">
        <v>1011</v>
      </c>
      <c r="E1112" s="12">
        <v>0.16517322000000001</v>
      </c>
      <c r="F1112" s="13">
        <v>3.72</v>
      </c>
      <c r="G1112" s="13">
        <v>0.61</v>
      </c>
    </row>
    <row r="1113" spans="1:7" ht="15" customHeight="1" x14ac:dyDescent="0.35">
      <c r="A1113" s="8"/>
      <c r="B1113" s="8"/>
      <c r="C1113" s="8"/>
      <c r="D1113" s="8"/>
      <c r="E1113" s="60" t="s">
        <v>1014</v>
      </c>
      <c r="F1113" s="60"/>
      <c r="G1113" s="14">
        <v>1.2</v>
      </c>
    </row>
    <row r="1114" spans="1:7" ht="15" customHeight="1" x14ac:dyDescent="0.35">
      <c r="A1114" s="59" t="s">
        <v>701</v>
      </c>
      <c r="B1114" s="59"/>
      <c r="C1114" s="9" t="s">
        <v>3</v>
      </c>
      <c r="D1114" s="9" t="s">
        <v>4</v>
      </c>
      <c r="E1114" s="9" t="s">
        <v>702</v>
      </c>
      <c r="F1114" s="9" t="s">
        <v>703</v>
      </c>
      <c r="G1114" s="9" t="s">
        <v>704</v>
      </c>
    </row>
    <row r="1115" spans="1:7" ht="15" customHeight="1" x14ac:dyDescent="0.35">
      <c r="A1115" s="10" t="s">
        <v>1160</v>
      </c>
      <c r="B1115" s="11" t="s">
        <v>1161</v>
      </c>
      <c r="C1115" s="10" t="s">
        <v>707</v>
      </c>
      <c r="D1115" s="10" t="s">
        <v>4</v>
      </c>
      <c r="E1115" s="12">
        <v>1.5543231</v>
      </c>
      <c r="F1115" s="13">
        <v>10.220000000000001</v>
      </c>
      <c r="G1115" s="13">
        <v>15.89</v>
      </c>
    </row>
    <row r="1116" spans="1:7" ht="20.149999999999999" customHeight="1" x14ac:dyDescent="0.35">
      <c r="A1116" s="10" t="s">
        <v>1162</v>
      </c>
      <c r="B1116" s="11" t="s">
        <v>1163</v>
      </c>
      <c r="C1116" s="10" t="s">
        <v>226</v>
      </c>
      <c r="D1116" s="10" t="s">
        <v>359</v>
      </c>
      <c r="E1116" s="12">
        <v>2</v>
      </c>
      <c r="F1116" s="13">
        <v>113.87</v>
      </c>
      <c r="G1116" s="13">
        <v>227.74</v>
      </c>
    </row>
    <row r="1117" spans="1:7" ht="15" customHeight="1" x14ac:dyDescent="0.35">
      <c r="A1117" s="8"/>
      <c r="B1117" s="8"/>
      <c r="C1117" s="8"/>
      <c r="D1117" s="8"/>
      <c r="E1117" s="60" t="s">
        <v>714</v>
      </c>
      <c r="F1117" s="60"/>
      <c r="G1117" s="14">
        <v>243.63</v>
      </c>
    </row>
    <row r="1118" spans="1:7" ht="15" customHeight="1" x14ac:dyDescent="0.35">
      <c r="A1118" s="59" t="s">
        <v>1020</v>
      </c>
      <c r="B1118" s="59"/>
      <c r="C1118" s="9" t="s">
        <v>3</v>
      </c>
      <c r="D1118" s="9" t="s">
        <v>4</v>
      </c>
      <c r="E1118" s="9" t="s">
        <v>702</v>
      </c>
      <c r="F1118" s="9" t="s">
        <v>703</v>
      </c>
      <c r="G1118" s="9" t="s">
        <v>704</v>
      </c>
    </row>
    <row r="1119" spans="1:7" ht="15" customHeight="1" x14ac:dyDescent="0.35">
      <c r="A1119" s="10" t="s">
        <v>1164</v>
      </c>
      <c r="B1119" s="11" t="s">
        <v>1165</v>
      </c>
      <c r="C1119" s="10" t="s">
        <v>20</v>
      </c>
      <c r="D1119" s="10" t="s">
        <v>718</v>
      </c>
      <c r="E1119" s="12">
        <v>0.22812218000000001</v>
      </c>
      <c r="F1119" s="13">
        <v>15</v>
      </c>
      <c r="G1119" s="13">
        <v>3.42</v>
      </c>
    </row>
    <row r="1120" spans="1:7" ht="15" customHeight="1" x14ac:dyDescent="0.35">
      <c r="A1120" s="10" t="s">
        <v>1166</v>
      </c>
      <c r="B1120" s="11" t="s">
        <v>1167</v>
      </c>
      <c r="C1120" s="10" t="s">
        <v>20</v>
      </c>
      <c r="D1120" s="10" t="s">
        <v>718</v>
      </c>
      <c r="E1120" s="12">
        <v>0.22700276</v>
      </c>
      <c r="F1120" s="13">
        <v>11.14</v>
      </c>
      <c r="G1120" s="13">
        <v>2.5299999999999998</v>
      </c>
    </row>
    <row r="1121" spans="1:7" ht="15" customHeight="1" x14ac:dyDescent="0.35">
      <c r="A1121" s="8"/>
      <c r="B1121" s="8"/>
      <c r="C1121" s="8"/>
      <c r="D1121" s="8"/>
      <c r="E1121" s="60" t="s">
        <v>1025</v>
      </c>
      <c r="F1121" s="60"/>
      <c r="G1121" s="14">
        <v>5.95</v>
      </c>
    </row>
    <row r="1122" spans="1:7" ht="15" customHeight="1" x14ac:dyDescent="0.35">
      <c r="A1122" s="8"/>
      <c r="B1122" s="8"/>
      <c r="C1122" s="8"/>
      <c r="D1122" s="8"/>
      <c r="E1122" s="61" t="s">
        <v>726</v>
      </c>
      <c r="F1122" s="61"/>
      <c r="G1122" s="4">
        <v>250.78</v>
      </c>
    </row>
    <row r="1123" spans="1:7" ht="10" customHeight="1" x14ac:dyDescent="0.35">
      <c r="A1123" s="8"/>
      <c r="B1123" s="8"/>
      <c r="C1123" s="57"/>
      <c r="D1123" s="57"/>
      <c r="E1123" s="8"/>
      <c r="F1123" s="8"/>
      <c r="G1123" s="8"/>
    </row>
    <row r="1124" spans="1:7" ht="20.149999999999999" customHeight="1" x14ac:dyDescent="0.35">
      <c r="A1124" s="58" t="s">
        <v>1168</v>
      </c>
      <c r="B1124" s="58"/>
      <c r="C1124" s="58"/>
      <c r="D1124" s="58"/>
      <c r="E1124" s="58"/>
      <c r="F1124" s="58"/>
      <c r="G1124" s="58"/>
    </row>
    <row r="1125" spans="1:7" ht="15" customHeight="1" x14ac:dyDescent="0.35">
      <c r="A1125" s="59" t="s">
        <v>1008</v>
      </c>
      <c r="B1125" s="59"/>
      <c r="C1125" s="9" t="s">
        <v>3</v>
      </c>
      <c r="D1125" s="9" t="s">
        <v>4</v>
      </c>
      <c r="E1125" s="9" t="s">
        <v>702</v>
      </c>
      <c r="F1125" s="9" t="s">
        <v>703</v>
      </c>
      <c r="G1125" s="9" t="s">
        <v>704</v>
      </c>
    </row>
    <row r="1126" spans="1:7" ht="15" customHeight="1" x14ac:dyDescent="0.35">
      <c r="A1126" s="10" t="s">
        <v>1158</v>
      </c>
      <c r="B1126" s="11" t="s">
        <v>1159</v>
      </c>
      <c r="C1126" s="10" t="s">
        <v>226</v>
      </c>
      <c r="D1126" s="10" t="s">
        <v>1011</v>
      </c>
      <c r="E1126" s="12">
        <v>0.97531966999999997</v>
      </c>
      <c r="F1126" s="13">
        <v>3.57</v>
      </c>
      <c r="G1126" s="13">
        <v>3.48</v>
      </c>
    </row>
    <row r="1127" spans="1:7" ht="15" customHeight="1" x14ac:dyDescent="0.35">
      <c r="A1127" s="10" t="s">
        <v>1012</v>
      </c>
      <c r="B1127" s="11" t="s">
        <v>1013</v>
      </c>
      <c r="C1127" s="10" t="s">
        <v>226</v>
      </c>
      <c r="D1127" s="10" t="s">
        <v>1011</v>
      </c>
      <c r="E1127" s="12">
        <v>0.97520671999999997</v>
      </c>
      <c r="F1127" s="13">
        <v>3.72</v>
      </c>
      <c r="G1127" s="13">
        <v>3.63</v>
      </c>
    </row>
    <row r="1128" spans="1:7" ht="15" customHeight="1" x14ac:dyDescent="0.35">
      <c r="A1128" s="8"/>
      <c r="B1128" s="8"/>
      <c r="C1128" s="8"/>
      <c r="D1128" s="8"/>
      <c r="E1128" s="60" t="s">
        <v>1014</v>
      </c>
      <c r="F1128" s="60"/>
      <c r="G1128" s="14">
        <v>7.11</v>
      </c>
    </row>
    <row r="1129" spans="1:7" ht="15" customHeight="1" x14ac:dyDescent="0.35">
      <c r="A1129" s="59" t="s">
        <v>701</v>
      </c>
      <c r="B1129" s="59"/>
      <c r="C1129" s="9" t="s">
        <v>3</v>
      </c>
      <c r="D1129" s="9" t="s">
        <v>4</v>
      </c>
      <c r="E1129" s="9" t="s">
        <v>702</v>
      </c>
      <c r="F1129" s="9" t="s">
        <v>703</v>
      </c>
      <c r="G1129" s="9" t="s">
        <v>704</v>
      </c>
    </row>
    <row r="1130" spans="1:7" ht="15" customHeight="1" x14ac:dyDescent="0.35">
      <c r="A1130" s="10" t="s">
        <v>1169</v>
      </c>
      <c r="B1130" s="11" t="s">
        <v>1170</v>
      </c>
      <c r="C1130" s="10" t="s">
        <v>226</v>
      </c>
      <c r="D1130" s="10" t="s">
        <v>359</v>
      </c>
      <c r="E1130" s="12">
        <v>1</v>
      </c>
      <c r="F1130" s="13">
        <v>27.61</v>
      </c>
      <c r="G1130" s="13">
        <v>27.61</v>
      </c>
    </row>
    <row r="1131" spans="1:7" ht="15" customHeight="1" x14ac:dyDescent="0.35">
      <c r="A1131" s="8"/>
      <c r="B1131" s="8"/>
      <c r="C1131" s="8"/>
      <c r="D1131" s="8"/>
      <c r="E1131" s="60" t="s">
        <v>714</v>
      </c>
      <c r="F1131" s="60"/>
      <c r="G1131" s="14">
        <v>27.61</v>
      </c>
    </row>
    <row r="1132" spans="1:7" ht="15" customHeight="1" x14ac:dyDescent="0.35">
      <c r="A1132" s="59" t="s">
        <v>1020</v>
      </c>
      <c r="B1132" s="59"/>
      <c r="C1132" s="9" t="s">
        <v>3</v>
      </c>
      <c r="D1132" s="9" t="s">
        <v>4</v>
      </c>
      <c r="E1132" s="9" t="s">
        <v>702</v>
      </c>
      <c r="F1132" s="9" t="s">
        <v>703</v>
      </c>
      <c r="G1132" s="9" t="s">
        <v>704</v>
      </c>
    </row>
    <row r="1133" spans="1:7" ht="15" customHeight="1" x14ac:dyDescent="0.35">
      <c r="A1133" s="10" t="s">
        <v>1171</v>
      </c>
      <c r="B1133" s="11" t="s">
        <v>1172</v>
      </c>
      <c r="C1133" s="10" t="s">
        <v>226</v>
      </c>
      <c r="D1133" s="10" t="s">
        <v>1011</v>
      </c>
      <c r="E1133" s="12">
        <v>0.97251854999999998</v>
      </c>
      <c r="F1133" s="13">
        <v>16.52</v>
      </c>
      <c r="G1133" s="13">
        <v>16.07</v>
      </c>
    </row>
    <row r="1134" spans="1:7" ht="15" customHeight="1" x14ac:dyDescent="0.35">
      <c r="A1134" s="10" t="s">
        <v>1023</v>
      </c>
      <c r="B1134" s="11" t="s">
        <v>1024</v>
      </c>
      <c r="C1134" s="10" t="s">
        <v>226</v>
      </c>
      <c r="D1134" s="10" t="s">
        <v>1011</v>
      </c>
      <c r="E1134" s="12">
        <v>0.97251854999999998</v>
      </c>
      <c r="F1134" s="13">
        <v>11.65</v>
      </c>
      <c r="G1134" s="13">
        <v>11.33</v>
      </c>
    </row>
    <row r="1135" spans="1:7" ht="15" customHeight="1" x14ac:dyDescent="0.35">
      <c r="A1135" s="8"/>
      <c r="B1135" s="8"/>
      <c r="C1135" s="8"/>
      <c r="D1135" s="8"/>
      <c r="E1135" s="60" t="s">
        <v>1025</v>
      </c>
      <c r="F1135" s="60"/>
      <c r="G1135" s="14">
        <v>27.4</v>
      </c>
    </row>
    <row r="1136" spans="1:7" ht="15" customHeight="1" x14ac:dyDescent="0.35">
      <c r="A1136" s="8"/>
      <c r="B1136" s="8"/>
      <c r="C1136" s="8"/>
      <c r="D1136" s="8"/>
      <c r="E1136" s="61" t="s">
        <v>726</v>
      </c>
      <c r="F1136" s="61"/>
      <c r="G1136" s="4">
        <v>62.12</v>
      </c>
    </row>
    <row r="1137" spans="1:7" ht="10" customHeight="1" x14ac:dyDescent="0.35">
      <c r="A1137" s="8"/>
      <c r="B1137" s="8"/>
      <c r="C1137" s="57"/>
      <c r="D1137" s="57"/>
      <c r="E1137" s="8"/>
      <c r="F1137" s="8"/>
      <c r="G1137" s="8"/>
    </row>
    <row r="1138" spans="1:7" ht="20.149999999999999" customHeight="1" x14ac:dyDescent="0.35">
      <c r="A1138" s="58" t="s">
        <v>1173</v>
      </c>
      <c r="B1138" s="58"/>
      <c r="C1138" s="58"/>
      <c r="D1138" s="58"/>
      <c r="E1138" s="58"/>
      <c r="F1138" s="58"/>
      <c r="G1138" s="58"/>
    </row>
    <row r="1139" spans="1:7" ht="15" customHeight="1" x14ac:dyDescent="0.35">
      <c r="A1139" s="59" t="s">
        <v>1008</v>
      </c>
      <c r="B1139" s="59"/>
      <c r="C1139" s="9" t="s">
        <v>3</v>
      </c>
      <c r="D1139" s="9" t="s">
        <v>4</v>
      </c>
      <c r="E1139" s="9" t="s">
        <v>702</v>
      </c>
      <c r="F1139" s="9" t="s">
        <v>703</v>
      </c>
      <c r="G1139" s="9" t="s">
        <v>704</v>
      </c>
    </row>
    <row r="1140" spans="1:7" ht="15" customHeight="1" x14ac:dyDescent="0.35">
      <c r="A1140" s="10" t="s">
        <v>1158</v>
      </c>
      <c r="B1140" s="11" t="s">
        <v>1159</v>
      </c>
      <c r="C1140" s="10" t="s">
        <v>226</v>
      </c>
      <c r="D1140" s="10" t="s">
        <v>1011</v>
      </c>
      <c r="E1140" s="12">
        <v>9.7416340000000004E-2</v>
      </c>
      <c r="F1140" s="13">
        <v>3.57</v>
      </c>
      <c r="G1140" s="13">
        <v>0.35</v>
      </c>
    </row>
    <row r="1141" spans="1:7" ht="15" customHeight="1" x14ac:dyDescent="0.35">
      <c r="A1141" s="10" t="s">
        <v>1012</v>
      </c>
      <c r="B1141" s="11" t="s">
        <v>1013</v>
      </c>
      <c r="C1141" s="10" t="s">
        <v>226</v>
      </c>
      <c r="D1141" s="10" t="s">
        <v>1011</v>
      </c>
      <c r="E1141" s="12">
        <v>9.8556030000000003E-2</v>
      </c>
      <c r="F1141" s="13">
        <v>3.72</v>
      </c>
      <c r="G1141" s="13">
        <v>0.37</v>
      </c>
    </row>
    <row r="1142" spans="1:7" ht="15" customHeight="1" x14ac:dyDescent="0.35">
      <c r="A1142" s="8"/>
      <c r="B1142" s="8"/>
      <c r="C1142" s="8"/>
      <c r="D1142" s="8"/>
      <c r="E1142" s="60" t="s">
        <v>1014</v>
      </c>
      <c r="F1142" s="60"/>
      <c r="G1142" s="14">
        <v>0.72</v>
      </c>
    </row>
    <row r="1143" spans="1:7" ht="15" customHeight="1" x14ac:dyDescent="0.35">
      <c r="A1143" s="59" t="s">
        <v>701</v>
      </c>
      <c r="B1143" s="59"/>
      <c r="C1143" s="9" t="s">
        <v>3</v>
      </c>
      <c r="D1143" s="9" t="s">
        <v>4</v>
      </c>
      <c r="E1143" s="9" t="s">
        <v>702</v>
      </c>
      <c r="F1143" s="9" t="s">
        <v>703</v>
      </c>
      <c r="G1143" s="9" t="s">
        <v>704</v>
      </c>
    </row>
    <row r="1144" spans="1:7" ht="20.149999999999999" customHeight="1" x14ac:dyDescent="0.35">
      <c r="A1144" s="10" t="s">
        <v>1174</v>
      </c>
      <c r="B1144" s="11" t="s">
        <v>1175</v>
      </c>
      <c r="C1144" s="10" t="s">
        <v>707</v>
      </c>
      <c r="D1144" s="10" t="s">
        <v>369</v>
      </c>
      <c r="E1144" s="12">
        <v>1</v>
      </c>
      <c r="F1144" s="13">
        <v>8.73</v>
      </c>
      <c r="G1144" s="13">
        <v>8.73</v>
      </c>
    </row>
    <row r="1145" spans="1:7" ht="29.15" customHeight="1" x14ac:dyDescent="0.35">
      <c r="A1145" s="10" t="s">
        <v>1176</v>
      </c>
      <c r="B1145" s="11" t="s">
        <v>1177</v>
      </c>
      <c r="C1145" s="10" t="s">
        <v>226</v>
      </c>
      <c r="D1145" s="10" t="s">
        <v>359</v>
      </c>
      <c r="E1145" s="12">
        <v>4</v>
      </c>
      <c r="F1145" s="13">
        <v>58</v>
      </c>
      <c r="G1145" s="13">
        <v>232</v>
      </c>
    </row>
    <row r="1146" spans="1:7" ht="15" customHeight="1" x14ac:dyDescent="0.35">
      <c r="A1146" s="8"/>
      <c r="B1146" s="8"/>
      <c r="C1146" s="8"/>
      <c r="D1146" s="8"/>
      <c r="E1146" s="60" t="s">
        <v>714</v>
      </c>
      <c r="F1146" s="60"/>
      <c r="G1146" s="14">
        <v>240.73</v>
      </c>
    </row>
    <row r="1147" spans="1:7" ht="15" customHeight="1" x14ac:dyDescent="0.35">
      <c r="A1147" s="59" t="s">
        <v>1020</v>
      </c>
      <c r="B1147" s="59"/>
      <c r="C1147" s="9" t="s">
        <v>3</v>
      </c>
      <c r="D1147" s="9" t="s">
        <v>4</v>
      </c>
      <c r="E1147" s="9" t="s">
        <v>702</v>
      </c>
      <c r="F1147" s="9" t="s">
        <v>703</v>
      </c>
      <c r="G1147" s="9" t="s">
        <v>704</v>
      </c>
    </row>
    <row r="1148" spans="1:7" ht="15" customHeight="1" x14ac:dyDescent="0.35">
      <c r="A1148" s="10" t="s">
        <v>1164</v>
      </c>
      <c r="B1148" s="11" t="s">
        <v>1165</v>
      </c>
      <c r="C1148" s="10" t="s">
        <v>20</v>
      </c>
      <c r="D1148" s="10" t="s">
        <v>718</v>
      </c>
      <c r="E1148" s="12">
        <v>0.11721284</v>
      </c>
      <c r="F1148" s="13">
        <v>15</v>
      </c>
      <c r="G1148" s="13">
        <v>1.76</v>
      </c>
    </row>
    <row r="1149" spans="1:7" ht="15" customHeight="1" x14ac:dyDescent="0.35">
      <c r="A1149" s="10" t="s">
        <v>1166</v>
      </c>
      <c r="B1149" s="11" t="s">
        <v>1167</v>
      </c>
      <c r="C1149" s="10" t="s">
        <v>20</v>
      </c>
      <c r="D1149" s="10" t="s">
        <v>718</v>
      </c>
      <c r="E1149" s="12">
        <v>0.12351494</v>
      </c>
      <c r="F1149" s="13">
        <v>11.14</v>
      </c>
      <c r="G1149" s="13">
        <v>1.38</v>
      </c>
    </row>
    <row r="1150" spans="1:7" ht="15" customHeight="1" x14ac:dyDescent="0.35">
      <c r="A1150" s="8"/>
      <c r="B1150" s="8"/>
      <c r="C1150" s="8"/>
      <c r="D1150" s="8"/>
      <c r="E1150" s="60" t="s">
        <v>1025</v>
      </c>
      <c r="F1150" s="60"/>
      <c r="G1150" s="14">
        <v>3.14</v>
      </c>
    </row>
    <row r="1151" spans="1:7" ht="15" customHeight="1" x14ac:dyDescent="0.35">
      <c r="A1151" s="8"/>
      <c r="B1151" s="8"/>
      <c r="C1151" s="8"/>
      <c r="D1151" s="8"/>
      <c r="E1151" s="61" t="s">
        <v>726</v>
      </c>
      <c r="F1151" s="61"/>
      <c r="G1151" s="4">
        <v>244.59</v>
      </c>
    </row>
    <row r="1152" spans="1:7" ht="10" customHeight="1" x14ac:dyDescent="0.35">
      <c r="A1152" s="8"/>
      <c r="B1152" s="8"/>
      <c r="C1152" s="57"/>
      <c r="D1152" s="57"/>
      <c r="E1152" s="8"/>
      <c r="F1152" s="8"/>
      <c r="G1152" s="8"/>
    </row>
    <row r="1153" spans="1:7" ht="20.149999999999999" customHeight="1" x14ac:dyDescent="0.35">
      <c r="A1153" s="58" t="s">
        <v>1178</v>
      </c>
      <c r="B1153" s="58"/>
      <c r="C1153" s="58"/>
      <c r="D1153" s="58"/>
      <c r="E1153" s="58"/>
      <c r="F1153" s="58"/>
      <c r="G1153" s="58"/>
    </row>
    <row r="1154" spans="1:7" ht="15" customHeight="1" x14ac:dyDescent="0.35">
      <c r="A1154" s="59" t="s">
        <v>701</v>
      </c>
      <c r="B1154" s="59"/>
      <c r="C1154" s="9" t="s">
        <v>3</v>
      </c>
      <c r="D1154" s="9" t="s">
        <v>4</v>
      </c>
      <c r="E1154" s="9" t="s">
        <v>702</v>
      </c>
      <c r="F1154" s="9" t="s">
        <v>703</v>
      </c>
      <c r="G1154" s="9" t="s">
        <v>704</v>
      </c>
    </row>
    <row r="1155" spans="1:7" ht="20.149999999999999" customHeight="1" x14ac:dyDescent="0.35">
      <c r="A1155" s="10" t="s">
        <v>1179</v>
      </c>
      <c r="B1155" s="11" t="s">
        <v>1180</v>
      </c>
      <c r="C1155" s="10" t="s">
        <v>20</v>
      </c>
      <c r="D1155" s="10" t="s">
        <v>160</v>
      </c>
      <c r="E1155" s="12">
        <v>1</v>
      </c>
      <c r="F1155" s="13">
        <v>6.56</v>
      </c>
      <c r="G1155" s="13">
        <v>6.56</v>
      </c>
    </row>
    <row r="1156" spans="1:7" ht="15" customHeight="1" x14ac:dyDescent="0.35">
      <c r="A1156" s="10" t="s">
        <v>1181</v>
      </c>
      <c r="B1156" s="11" t="s">
        <v>1182</v>
      </c>
      <c r="C1156" s="10" t="s">
        <v>20</v>
      </c>
      <c r="D1156" s="10" t="s">
        <v>160</v>
      </c>
      <c r="E1156" s="12">
        <v>1</v>
      </c>
      <c r="F1156" s="13">
        <v>2.6</v>
      </c>
      <c r="G1156" s="13">
        <v>2.6</v>
      </c>
    </row>
    <row r="1157" spans="1:7" ht="15" customHeight="1" x14ac:dyDescent="0.35">
      <c r="A1157" s="8"/>
      <c r="B1157" s="8"/>
      <c r="C1157" s="8"/>
      <c r="D1157" s="8"/>
      <c r="E1157" s="60" t="s">
        <v>714</v>
      </c>
      <c r="F1157" s="60"/>
      <c r="G1157" s="14">
        <v>9.16</v>
      </c>
    </row>
    <row r="1158" spans="1:7" ht="15" customHeight="1" x14ac:dyDescent="0.35">
      <c r="A1158" s="59" t="s">
        <v>715</v>
      </c>
      <c r="B1158" s="59"/>
      <c r="C1158" s="9" t="s">
        <v>3</v>
      </c>
      <c r="D1158" s="9" t="s">
        <v>4</v>
      </c>
      <c r="E1158" s="9" t="s">
        <v>702</v>
      </c>
      <c r="F1158" s="9" t="s">
        <v>703</v>
      </c>
      <c r="G1158" s="9" t="s">
        <v>704</v>
      </c>
    </row>
    <row r="1159" spans="1:7" ht="15" customHeight="1" x14ac:dyDescent="0.35">
      <c r="A1159" s="10" t="s">
        <v>1116</v>
      </c>
      <c r="B1159" s="11" t="s">
        <v>1117</v>
      </c>
      <c r="C1159" s="10" t="s">
        <v>20</v>
      </c>
      <c r="D1159" s="10" t="s">
        <v>718</v>
      </c>
      <c r="E1159" s="12">
        <v>5.6671829999999999E-2</v>
      </c>
      <c r="F1159" s="13">
        <v>15.79</v>
      </c>
      <c r="G1159" s="13">
        <v>0.89</v>
      </c>
    </row>
    <row r="1160" spans="1:7" ht="15" customHeight="1" x14ac:dyDescent="0.35">
      <c r="A1160" s="10" t="s">
        <v>1118</v>
      </c>
      <c r="B1160" s="11" t="s">
        <v>1119</v>
      </c>
      <c r="C1160" s="10" t="s">
        <v>20</v>
      </c>
      <c r="D1160" s="10" t="s">
        <v>718</v>
      </c>
      <c r="E1160" s="12">
        <v>0.13642807000000001</v>
      </c>
      <c r="F1160" s="13">
        <v>19.79</v>
      </c>
      <c r="G1160" s="13">
        <v>2.69</v>
      </c>
    </row>
    <row r="1161" spans="1:7" ht="18" customHeight="1" x14ac:dyDescent="0.35">
      <c r="A1161" s="8"/>
      <c r="B1161" s="8"/>
      <c r="C1161" s="8"/>
      <c r="D1161" s="8"/>
      <c r="E1161" s="60" t="s">
        <v>721</v>
      </c>
      <c r="F1161" s="60"/>
      <c r="G1161" s="14">
        <v>3.58</v>
      </c>
    </row>
    <row r="1162" spans="1:7" ht="15" customHeight="1" x14ac:dyDescent="0.35">
      <c r="A1162" s="8"/>
      <c r="B1162" s="8"/>
      <c r="C1162" s="8"/>
      <c r="D1162" s="8"/>
      <c r="E1162" s="61" t="s">
        <v>726</v>
      </c>
      <c r="F1162" s="61"/>
      <c r="G1162" s="4">
        <v>12.74</v>
      </c>
    </row>
    <row r="1163" spans="1:7" ht="10" customHeight="1" x14ac:dyDescent="0.35">
      <c r="A1163" s="8"/>
      <c r="B1163" s="8"/>
      <c r="C1163" s="57"/>
      <c r="D1163" s="57"/>
      <c r="E1163" s="8"/>
      <c r="F1163" s="8"/>
      <c r="G1163" s="8"/>
    </row>
    <row r="1164" spans="1:7" ht="20.149999999999999" customHeight="1" x14ac:dyDescent="0.35">
      <c r="A1164" s="58" t="s">
        <v>1183</v>
      </c>
      <c r="B1164" s="58"/>
      <c r="C1164" s="58"/>
      <c r="D1164" s="58"/>
      <c r="E1164" s="58"/>
      <c r="F1164" s="58"/>
      <c r="G1164" s="58"/>
    </row>
    <row r="1165" spans="1:7" ht="15" customHeight="1" x14ac:dyDescent="0.35">
      <c r="A1165" s="59" t="s">
        <v>722</v>
      </c>
      <c r="B1165" s="59"/>
      <c r="C1165" s="9" t="s">
        <v>3</v>
      </c>
      <c r="D1165" s="9" t="s">
        <v>4</v>
      </c>
      <c r="E1165" s="9" t="s">
        <v>702</v>
      </c>
      <c r="F1165" s="9" t="s">
        <v>703</v>
      </c>
      <c r="G1165" s="9" t="s">
        <v>704</v>
      </c>
    </row>
    <row r="1166" spans="1:7" ht="20.149999999999999" customHeight="1" x14ac:dyDescent="0.35">
      <c r="A1166" s="10" t="s">
        <v>367</v>
      </c>
      <c r="B1166" s="11" t="s">
        <v>368</v>
      </c>
      <c r="C1166" s="10" t="s">
        <v>707</v>
      </c>
      <c r="D1166" s="10" t="s">
        <v>369</v>
      </c>
      <c r="E1166" s="12">
        <v>1</v>
      </c>
      <c r="F1166" s="13">
        <v>0</v>
      </c>
      <c r="G1166" s="13">
        <v>0</v>
      </c>
    </row>
    <row r="1167" spans="1:7" ht="15" customHeight="1" x14ac:dyDescent="0.35">
      <c r="A1167" s="8"/>
      <c r="B1167" s="8"/>
      <c r="C1167" s="8"/>
      <c r="D1167" s="8"/>
      <c r="E1167" s="60" t="s">
        <v>725</v>
      </c>
      <c r="F1167" s="60"/>
      <c r="G1167" s="14">
        <v>0</v>
      </c>
    </row>
    <row r="1168" spans="1:7" ht="15" customHeight="1" x14ac:dyDescent="0.35">
      <c r="A1168" s="8"/>
      <c r="B1168" s="8"/>
      <c r="C1168" s="8"/>
      <c r="D1168" s="8"/>
      <c r="E1168" s="61" t="s">
        <v>726</v>
      </c>
      <c r="F1168" s="61"/>
      <c r="G1168" s="4">
        <v>48.01</v>
      </c>
    </row>
    <row r="1169" spans="1:7" ht="10" customHeight="1" x14ac:dyDescent="0.35">
      <c r="A1169" s="8"/>
      <c r="B1169" s="8"/>
      <c r="C1169" s="57"/>
      <c r="D1169" s="57"/>
      <c r="E1169" s="8"/>
      <c r="F1169" s="8"/>
      <c r="G1169" s="8"/>
    </row>
    <row r="1170" spans="1:7" ht="20.149999999999999" customHeight="1" x14ac:dyDescent="0.35">
      <c r="A1170" s="58" t="s">
        <v>1184</v>
      </c>
      <c r="B1170" s="58"/>
      <c r="C1170" s="58"/>
      <c r="D1170" s="58"/>
      <c r="E1170" s="58"/>
      <c r="F1170" s="58"/>
      <c r="G1170" s="58"/>
    </row>
    <row r="1171" spans="1:7" ht="15" customHeight="1" x14ac:dyDescent="0.35">
      <c r="A1171" s="59" t="s">
        <v>722</v>
      </c>
      <c r="B1171" s="59"/>
      <c r="C1171" s="9" t="s">
        <v>3</v>
      </c>
      <c r="D1171" s="9" t="s">
        <v>4</v>
      </c>
      <c r="E1171" s="9" t="s">
        <v>702</v>
      </c>
      <c r="F1171" s="9" t="s">
        <v>703</v>
      </c>
      <c r="G1171" s="9" t="s">
        <v>704</v>
      </c>
    </row>
    <row r="1172" spans="1:7" ht="29.15" customHeight="1" x14ac:dyDescent="0.35">
      <c r="A1172" s="10" t="s">
        <v>1185</v>
      </c>
      <c r="B1172" s="11" t="s">
        <v>1186</v>
      </c>
      <c r="C1172" s="10" t="s">
        <v>20</v>
      </c>
      <c r="D1172" s="10" t="s">
        <v>160</v>
      </c>
      <c r="E1172" s="12">
        <v>1.06384813</v>
      </c>
      <c r="F1172" s="13">
        <v>5.98</v>
      </c>
      <c r="G1172" s="13">
        <v>6.36</v>
      </c>
    </row>
    <row r="1173" spans="1:7" ht="29.15" customHeight="1" x14ac:dyDescent="0.35">
      <c r="A1173" s="10" t="s">
        <v>1187</v>
      </c>
      <c r="B1173" s="11" t="s">
        <v>1188</v>
      </c>
      <c r="C1173" s="10" t="s">
        <v>20</v>
      </c>
      <c r="D1173" s="10" t="s">
        <v>160</v>
      </c>
      <c r="E1173" s="12">
        <v>1.06384813</v>
      </c>
      <c r="F1173" s="13">
        <v>17.2</v>
      </c>
      <c r="G1173" s="13">
        <v>18.29</v>
      </c>
    </row>
    <row r="1174" spans="1:7" ht="15" customHeight="1" x14ac:dyDescent="0.35">
      <c r="A1174" s="8"/>
      <c r="B1174" s="8"/>
      <c r="C1174" s="8"/>
      <c r="D1174" s="8"/>
      <c r="E1174" s="60" t="s">
        <v>725</v>
      </c>
      <c r="F1174" s="60"/>
      <c r="G1174" s="14">
        <v>24.65</v>
      </c>
    </row>
    <row r="1175" spans="1:7" ht="15" customHeight="1" x14ac:dyDescent="0.35">
      <c r="A1175" s="8"/>
      <c r="B1175" s="8"/>
      <c r="C1175" s="8"/>
      <c r="D1175" s="8"/>
      <c r="E1175" s="61" t="s">
        <v>726</v>
      </c>
      <c r="F1175" s="61"/>
      <c r="G1175" s="4">
        <v>24.65</v>
      </c>
    </row>
    <row r="1176" spans="1:7" ht="10" customHeight="1" x14ac:dyDescent="0.35">
      <c r="A1176" s="8"/>
      <c r="B1176" s="8"/>
      <c r="C1176" s="57"/>
      <c r="D1176" s="57"/>
      <c r="E1176" s="8"/>
      <c r="F1176" s="8"/>
      <c r="G1176" s="8"/>
    </row>
    <row r="1177" spans="1:7" ht="20.149999999999999" customHeight="1" x14ac:dyDescent="0.35">
      <c r="A1177" s="58" t="s">
        <v>1189</v>
      </c>
      <c r="B1177" s="58"/>
      <c r="C1177" s="58"/>
      <c r="D1177" s="58"/>
      <c r="E1177" s="58"/>
      <c r="F1177" s="58"/>
      <c r="G1177" s="58"/>
    </row>
    <row r="1178" spans="1:7" ht="15" customHeight="1" x14ac:dyDescent="0.35">
      <c r="A1178" s="59" t="s">
        <v>722</v>
      </c>
      <c r="B1178" s="59"/>
      <c r="C1178" s="9" t="s">
        <v>3</v>
      </c>
      <c r="D1178" s="9" t="s">
        <v>4</v>
      </c>
      <c r="E1178" s="9" t="s">
        <v>702</v>
      </c>
      <c r="F1178" s="9" t="s">
        <v>703</v>
      </c>
      <c r="G1178" s="9" t="s">
        <v>704</v>
      </c>
    </row>
    <row r="1179" spans="1:7" ht="29.15" customHeight="1" x14ac:dyDescent="0.35">
      <c r="A1179" s="10" t="s">
        <v>1185</v>
      </c>
      <c r="B1179" s="11" t="s">
        <v>1186</v>
      </c>
      <c r="C1179" s="10" t="s">
        <v>20</v>
      </c>
      <c r="D1179" s="10" t="s">
        <v>160</v>
      </c>
      <c r="E1179" s="12">
        <v>1.0738255000000001</v>
      </c>
      <c r="F1179" s="13">
        <v>5.98</v>
      </c>
      <c r="G1179" s="13">
        <v>6.42</v>
      </c>
    </row>
    <row r="1180" spans="1:7" ht="29.15" customHeight="1" x14ac:dyDescent="0.35">
      <c r="A1180" s="10" t="s">
        <v>1190</v>
      </c>
      <c r="B1180" s="11" t="s">
        <v>1191</v>
      </c>
      <c r="C1180" s="10" t="s">
        <v>20</v>
      </c>
      <c r="D1180" s="10" t="s">
        <v>160</v>
      </c>
      <c r="E1180" s="12">
        <v>1.0738255000000001</v>
      </c>
      <c r="F1180" s="13">
        <v>35.74</v>
      </c>
      <c r="G1180" s="13">
        <v>38.369999999999997</v>
      </c>
    </row>
    <row r="1181" spans="1:7" ht="15" customHeight="1" x14ac:dyDescent="0.35">
      <c r="A1181" s="8"/>
      <c r="B1181" s="8"/>
      <c r="C1181" s="8"/>
      <c r="D1181" s="8"/>
      <c r="E1181" s="60" t="s">
        <v>725</v>
      </c>
      <c r="F1181" s="60"/>
      <c r="G1181" s="14">
        <v>44.79</v>
      </c>
    </row>
    <row r="1182" spans="1:7" ht="15" customHeight="1" x14ac:dyDescent="0.35">
      <c r="A1182" s="8"/>
      <c r="B1182" s="8"/>
      <c r="C1182" s="8"/>
      <c r="D1182" s="8"/>
      <c r="E1182" s="61" t="s">
        <v>726</v>
      </c>
      <c r="F1182" s="61"/>
      <c r="G1182" s="4">
        <v>44.79</v>
      </c>
    </row>
    <row r="1183" spans="1:7" ht="10" customHeight="1" x14ac:dyDescent="0.35">
      <c r="A1183" s="8"/>
      <c r="B1183" s="8"/>
      <c r="C1183" s="57"/>
      <c r="D1183" s="57"/>
      <c r="E1183" s="8"/>
      <c r="F1183" s="8"/>
      <c r="G1183" s="8"/>
    </row>
    <row r="1184" spans="1:7" ht="20.149999999999999" customHeight="1" x14ac:dyDescent="0.35">
      <c r="A1184" s="58" t="s">
        <v>1192</v>
      </c>
      <c r="B1184" s="58"/>
      <c r="C1184" s="58"/>
      <c r="D1184" s="58"/>
      <c r="E1184" s="58"/>
      <c r="F1184" s="58"/>
      <c r="G1184" s="58"/>
    </row>
    <row r="1185" spans="1:7" ht="15" customHeight="1" x14ac:dyDescent="0.35">
      <c r="A1185" s="59" t="s">
        <v>701</v>
      </c>
      <c r="B1185" s="59"/>
      <c r="C1185" s="9" t="s">
        <v>3</v>
      </c>
      <c r="D1185" s="9" t="s">
        <v>4</v>
      </c>
      <c r="E1185" s="9" t="s">
        <v>702</v>
      </c>
      <c r="F1185" s="9" t="s">
        <v>703</v>
      </c>
      <c r="G1185" s="9" t="s">
        <v>704</v>
      </c>
    </row>
    <row r="1186" spans="1:7" ht="29.15" customHeight="1" x14ac:dyDescent="0.35">
      <c r="A1186" s="10" t="s">
        <v>1193</v>
      </c>
      <c r="B1186" s="11" t="s">
        <v>1194</v>
      </c>
      <c r="C1186" s="10" t="s">
        <v>20</v>
      </c>
      <c r="D1186" s="10" t="s">
        <v>25</v>
      </c>
      <c r="E1186" s="12">
        <v>1.0805890499999999</v>
      </c>
      <c r="F1186" s="13">
        <v>15.94</v>
      </c>
      <c r="G1186" s="13">
        <v>17.22</v>
      </c>
    </row>
    <row r="1187" spans="1:7" ht="20.149999999999999" customHeight="1" x14ac:dyDescent="0.35">
      <c r="A1187" s="10" t="s">
        <v>1195</v>
      </c>
      <c r="B1187" s="11" t="s">
        <v>1196</v>
      </c>
      <c r="C1187" s="10" t="s">
        <v>20</v>
      </c>
      <c r="D1187" s="10" t="s">
        <v>160</v>
      </c>
      <c r="E1187" s="12">
        <v>8.1678700000000007E-3</v>
      </c>
      <c r="F1187" s="13">
        <v>3.44</v>
      </c>
      <c r="G1187" s="13">
        <v>0.02</v>
      </c>
    </row>
    <row r="1188" spans="1:7" ht="15" customHeight="1" x14ac:dyDescent="0.35">
      <c r="A1188" s="8"/>
      <c r="B1188" s="8"/>
      <c r="C1188" s="8"/>
      <c r="D1188" s="8"/>
      <c r="E1188" s="60" t="s">
        <v>714</v>
      </c>
      <c r="F1188" s="60"/>
      <c r="G1188" s="14">
        <v>17.239999999999998</v>
      </c>
    </row>
    <row r="1189" spans="1:7" ht="15" customHeight="1" x14ac:dyDescent="0.35">
      <c r="A1189" s="59" t="s">
        <v>715</v>
      </c>
      <c r="B1189" s="59"/>
      <c r="C1189" s="9" t="s">
        <v>3</v>
      </c>
      <c r="D1189" s="9" t="s">
        <v>4</v>
      </c>
      <c r="E1189" s="9" t="s">
        <v>702</v>
      </c>
      <c r="F1189" s="9" t="s">
        <v>703</v>
      </c>
      <c r="G1189" s="9" t="s">
        <v>704</v>
      </c>
    </row>
    <row r="1190" spans="1:7" ht="15" customHeight="1" x14ac:dyDescent="0.35">
      <c r="A1190" s="10" t="s">
        <v>1116</v>
      </c>
      <c r="B1190" s="11" t="s">
        <v>1117</v>
      </c>
      <c r="C1190" s="10" t="s">
        <v>20</v>
      </c>
      <c r="D1190" s="10" t="s">
        <v>718</v>
      </c>
      <c r="E1190" s="12">
        <v>0.10214427</v>
      </c>
      <c r="F1190" s="13">
        <v>15.79</v>
      </c>
      <c r="G1190" s="13">
        <v>1.61</v>
      </c>
    </row>
    <row r="1191" spans="1:7" ht="15" customHeight="1" x14ac:dyDescent="0.35">
      <c r="A1191" s="10" t="s">
        <v>1118</v>
      </c>
      <c r="B1191" s="11" t="s">
        <v>1119</v>
      </c>
      <c r="C1191" s="10" t="s">
        <v>20</v>
      </c>
      <c r="D1191" s="10" t="s">
        <v>718</v>
      </c>
      <c r="E1191" s="12">
        <v>0.10214427</v>
      </c>
      <c r="F1191" s="13">
        <v>19.79</v>
      </c>
      <c r="G1191" s="13">
        <v>2.02</v>
      </c>
    </row>
    <row r="1192" spans="1:7" ht="18" customHeight="1" x14ac:dyDescent="0.35">
      <c r="A1192" s="8"/>
      <c r="B1192" s="8"/>
      <c r="C1192" s="8"/>
      <c r="D1192" s="8"/>
      <c r="E1192" s="60" t="s">
        <v>721</v>
      </c>
      <c r="F1192" s="60"/>
      <c r="G1192" s="14">
        <v>3.63</v>
      </c>
    </row>
    <row r="1193" spans="1:7" ht="15" customHeight="1" x14ac:dyDescent="0.35">
      <c r="A1193" s="8"/>
      <c r="B1193" s="8"/>
      <c r="C1193" s="8"/>
      <c r="D1193" s="8"/>
      <c r="E1193" s="61" t="s">
        <v>726</v>
      </c>
      <c r="F1193" s="61"/>
      <c r="G1193" s="4">
        <v>20.87</v>
      </c>
    </row>
    <row r="1194" spans="1:7" ht="10" customHeight="1" x14ac:dyDescent="0.35">
      <c r="A1194" s="8"/>
      <c r="B1194" s="8"/>
      <c r="C1194" s="57"/>
      <c r="D1194" s="57"/>
      <c r="E1194" s="8"/>
      <c r="F1194" s="8"/>
      <c r="G1194" s="8"/>
    </row>
    <row r="1195" spans="1:7" ht="20.149999999999999" customHeight="1" x14ac:dyDescent="0.35">
      <c r="A1195" s="58" t="s">
        <v>1197</v>
      </c>
      <c r="B1195" s="58"/>
      <c r="C1195" s="58"/>
      <c r="D1195" s="58"/>
      <c r="E1195" s="58"/>
      <c r="F1195" s="58"/>
      <c r="G1195" s="58"/>
    </row>
    <row r="1196" spans="1:7" ht="15" customHeight="1" x14ac:dyDescent="0.35">
      <c r="A1196" s="59" t="s">
        <v>701</v>
      </c>
      <c r="B1196" s="59"/>
      <c r="C1196" s="9" t="s">
        <v>3</v>
      </c>
      <c r="D1196" s="9" t="s">
        <v>4</v>
      </c>
      <c r="E1196" s="9" t="s">
        <v>702</v>
      </c>
      <c r="F1196" s="9" t="s">
        <v>703</v>
      </c>
      <c r="G1196" s="9" t="s">
        <v>704</v>
      </c>
    </row>
    <row r="1197" spans="1:7" ht="15" customHeight="1" x14ac:dyDescent="0.35">
      <c r="A1197" s="10" t="s">
        <v>1198</v>
      </c>
      <c r="B1197" s="11" t="s">
        <v>1199</v>
      </c>
      <c r="C1197" s="10" t="s">
        <v>20</v>
      </c>
      <c r="D1197" s="10" t="s">
        <v>160</v>
      </c>
      <c r="E1197" s="12">
        <v>2</v>
      </c>
      <c r="F1197" s="13">
        <v>5.5</v>
      </c>
      <c r="G1197" s="13">
        <v>11</v>
      </c>
    </row>
    <row r="1198" spans="1:7" ht="15" customHeight="1" x14ac:dyDescent="0.35">
      <c r="A1198" s="8"/>
      <c r="B1198" s="8"/>
      <c r="C1198" s="8"/>
      <c r="D1198" s="8"/>
      <c r="E1198" s="60" t="s">
        <v>714</v>
      </c>
      <c r="F1198" s="60"/>
      <c r="G1198" s="14">
        <v>11</v>
      </c>
    </row>
    <row r="1199" spans="1:7" ht="15" customHeight="1" x14ac:dyDescent="0.35">
      <c r="A1199" s="59" t="s">
        <v>715</v>
      </c>
      <c r="B1199" s="59"/>
      <c r="C1199" s="9" t="s">
        <v>3</v>
      </c>
      <c r="D1199" s="9" t="s">
        <v>4</v>
      </c>
      <c r="E1199" s="9" t="s">
        <v>702</v>
      </c>
      <c r="F1199" s="9" t="s">
        <v>703</v>
      </c>
      <c r="G1199" s="9" t="s">
        <v>704</v>
      </c>
    </row>
    <row r="1200" spans="1:7" ht="15" customHeight="1" x14ac:dyDescent="0.35">
      <c r="A1200" s="10" t="s">
        <v>1116</v>
      </c>
      <c r="B1200" s="11" t="s">
        <v>1117</v>
      </c>
      <c r="C1200" s="10" t="s">
        <v>20</v>
      </c>
      <c r="D1200" s="10" t="s">
        <v>718</v>
      </c>
      <c r="E1200" s="12">
        <v>0.43706019000000002</v>
      </c>
      <c r="F1200" s="13">
        <v>15.79</v>
      </c>
      <c r="G1200" s="13">
        <v>6.9</v>
      </c>
    </row>
    <row r="1201" spans="1:7" ht="15" customHeight="1" x14ac:dyDescent="0.35">
      <c r="A1201" s="10" t="s">
        <v>1118</v>
      </c>
      <c r="B1201" s="11" t="s">
        <v>1119</v>
      </c>
      <c r="C1201" s="10" t="s">
        <v>20</v>
      </c>
      <c r="D1201" s="10" t="s">
        <v>718</v>
      </c>
      <c r="E1201" s="12">
        <v>0.43706019000000002</v>
      </c>
      <c r="F1201" s="13">
        <v>19.79</v>
      </c>
      <c r="G1201" s="13">
        <v>8.64</v>
      </c>
    </row>
    <row r="1202" spans="1:7" ht="18" customHeight="1" x14ac:dyDescent="0.35">
      <c r="A1202" s="8"/>
      <c r="B1202" s="8"/>
      <c r="C1202" s="8"/>
      <c r="D1202" s="8"/>
      <c r="E1202" s="60" t="s">
        <v>721</v>
      </c>
      <c r="F1202" s="60"/>
      <c r="G1202" s="14">
        <v>15.54</v>
      </c>
    </row>
    <row r="1203" spans="1:7" ht="15" customHeight="1" x14ac:dyDescent="0.35">
      <c r="A1203" s="8"/>
      <c r="B1203" s="8"/>
      <c r="C1203" s="8"/>
      <c r="D1203" s="8"/>
      <c r="E1203" s="61" t="s">
        <v>726</v>
      </c>
      <c r="F1203" s="61"/>
      <c r="G1203" s="4">
        <v>26.54</v>
      </c>
    </row>
    <row r="1204" spans="1:7" ht="10" customHeight="1" x14ac:dyDescent="0.35">
      <c r="A1204" s="8"/>
      <c r="B1204" s="8"/>
      <c r="C1204" s="57"/>
      <c r="D1204" s="57"/>
      <c r="E1204" s="8"/>
      <c r="F1204" s="8"/>
      <c r="G1204" s="8"/>
    </row>
    <row r="1205" spans="1:7" ht="20.149999999999999" customHeight="1" x14ac:dyDescent="0.35">
      <c r="A1205" s="58" t="s">
        <v>1200</v>
      </c>
      <c r="B1205" s="58"/>
      <c r="C1205" s="58"/>
      <c r="D1205" s="58"/>
      <c r="E1205" s="58"/>
      <c r="F1205" s="58"/>
      <c r="G1205" s="58"/>
    </row>
    <row r="1206" spans="1:7" ht="15" customHeight="1" x14ac:dyDescent="0.35">
      <c r="A1206" s="59" t="s">
        <v>722</v>
      </c>
      <c r="B1206" s="59"/>
      <c r="C1206" s="9" t="s">
        <v>3</v>
      </c>
      <c r="D1206" s="9" t="s">
        <v>4</v>
      </c>
      <c r="E1206" s="9" t="s">
        <v>702</v>
      </c>
      <c r="F1206" s="9" t="s">
        <v>703</v>
      </c>
      <c r="G1206" s="9" t="s">
        <v>704</v>
      </c>
    </row>
    <row r="1207" spans="1:7" ht="20.149999999999999" customHeight="1" x14ac:dyDescent="0.35">
      <c r="A1207" s="10" t="s">
        <v>1201</v>
      </c>
      <c r="B1207" s="11" t="s">
        <v>1202</v>
      </c>
      <c r="C1207" s="10" t="s">
        <v>20</v>
      </c>
      <c r="D1207" s="10" t="s">
        <v>160</v>
      </c>
      <c r="E1207" s="12">
        <v>1.0695139199999999</v>
      </c>
      <c r="F1207" s="13">
        <v>49.98</v>
      </c>
      <c r="G1207" s="13">
        <v>53.45</v>
      </c>
    </row>
    <row r="1208" spans="1:7" ht="29.15" customHeight="1" x14ac:dyDescent="0.35">
      <c r="A1208" s="10" t="s">
        <v>1185</v>
      </c>
      <c r="B1208" s="11" t="s">
        <v>1186</v>
      </c>
      <c r="C1208" s="10" t="s">
        <v>20</v>
      </c>
      <c r="D1208" s="10" t="s">
        <v>160</v>
      </c>
      <c r="E1208" s="12">
        <v>1.0695139199999999</v>
      </c>
      <c r="F1208" s="13">
        <v>5.98</v>
      </c>
      <c r="G1208" s="13">
        <v>6.39</v>
      </c>
    </row>
    <row r="1209" spans="1:7" ht="15" customHeight="1" x14ac:dyDescent="0.35">
      <c r="A1209" s="8"/>
      <c r="B1209" s="8"/>
      <c r="C1209" s="8"/>
      <c r="D1209" s="8"/>
      <c r="E1209" s="60" t="s">
        <v>725</v>
      </c>
      <c r="F1209" s="60"/>
      <c r="G1209" s="14">
        <v>59.84</v>
      </c>
    </row>
    <row r="1210" spans="1:7" ht="15" customHeight="1" x14ac:dyDescent="0.35">
      <c r="A1210" s="8"/>
      <c r="B1210" s="8"/>
      <c r="C1210" s="8"/>
      <c r="D1210" s="8"/>
      <c r="E1210" s="61" t="s">
        <v>726</v>
      </c>
      <c r="F1210" s="61"/>
      <c r="G1210" s="4">
        <v>59.84</v>
      </c>
    </row>
    <row r="1211" spans="1:7" ht="10" customHeight="1" x14ac:dyDescent="0.35">
      <c r="A1211" s="8"/>
      <c r="B1211" s="8"/>
      <c r="C1211" s="57"/>
      <c r="D1211" s="57"/>
      <c r="E1211" s="8"/>
      <c r="F1211" s="8"/>
      <c r="G1211" s="8"/>
    </row>
    <row r="1212" spans="1:7" ht="20.149999999999999" customHeight="1" x14ac:dyDescent="0.35">
      <c r="A1212" s="58" t="s">
        <v>1203</v>
      </c>
      <c r="B1212" s="58"/>
      <c r="C1212" s="58"/>
      <c r="D1212" s="58"/>
      <c r="E1212" s="58"/>
      <c r="F1212" s="58"/>
      <c r="G1212" s="58"/>
    </row>
    <row r="1213" spans="1:7" ht="15" customHeight="1" x14ac:dyDescent="0.35">
      <c r="A1213" s="59" t="s">
        <v>701</v>
      </c>
      <c r="B1213" s="59"/>
      <c r="C1213" s="9" t="s">
        <v>3</v>
      </c>
      <c r="D1213" s="9" t="s">
        <v>4</v>
      </c>
      <c r="E1213" s="9" t="s">
        <v>702</v>
      </c>
      <c r="F1213" s="9" t="s">
        <v>703</v>
      </c>
      <c r="G1213" s="9" t="s">
        <v>704</v>
      </c>
    </row>
    <row r="1214" spans="1:7" ht="29.15" customHeight="1" x14ac:dyDescent="0.35">
      <c r="A1214" s="10" t="s">
        <v>1204</v>
      </c>
      <c r="B1214" s="11" t="s">
        <v>1205</v>
      </c>
      <c r="C1214" s="10" t="s">
        <v>20</v>
      </c>
      <c r="D1214" s="10" t="s">
        <v>160</v>
      </c>
      <c r="E1214" s="12">
        <v>1</v>
      </c>
      <c r="F1214" s="13">
        <v>496.04</v>
      </c>
      <c r="G1214" s="13">
        <v>496.04</v>
      </c>
    </row>
    <row r="1215" spans="1:7" ht="15" customHeight="1" x14ac:dyDescent="0.35">
      <c r="A1215" s="8"/>
      <c r="B1215" s="8"/>
      <c r="C1215" s="8"/>
      <c r="D1215" s="8"/>
      <c r="E1215" s="60" t="s">
        <v>714</v>
      </c>
      <c r="F1215" s="60"/>
      <c r="G1215" s="14">
        <v>496.04</v>
      </c>
    </row>
    <row r="1216" spans="1:7" ht="15" customHeight="1" x14ac:dyDescent="0.35">
      <c r="A1216" s="59" t="s">
        <v>715</v>
      </c>
      <c r="B1216" s="59"/>
      <c r="C1216" s="9" t="s">
        <v>3</v>
      </c>
      <c r="D1216" s="9" t="s">
        <v>4</v>
      </c>
      <c r="E1216" s="9" t="s">
        <v>702</v>
      </c>
      <c r="F1216" s="9" t="s">
        <v>703</v>
      </c>
      <c r="G1216" s="9" t="s">
        <v>704</v>
      </c>
    </row>
    <row r="1217" spans="1:7" ht="15" customHeight="1" x14ac:dyDescent="0.35">
      <c r="A1217" s="10" t="s">
        <v>1116</v>
      </c>
      <c r="B1217" s="11" t="s">
        <v>1117</v>
      </c>
      <c r="C1217" s="10" t="s">
        <v>20</v>
      </c>
      <c r="D1217" s="10" t="s">
        <v>718</v>
      </c>
      <c r="E1217" s="12">
        <v>0.51444266999999999</v>
      </c>
      <c r="F1217" s="13">
        <v>15.79</v>
      </c>
      <c r="G1217" s="13">
        <v>8.1199999999999992</v>
      </c>
    </row>
    <row r="1218" spans="1:7" ht="15" customHeight="1" x14ac:dyDescent="0.35">
      <c r="A1218" s="10" t="s">
        <v>1118</v>
      </c>
      <c r="B1218" s="11" t="s">
        <v>1119</v>
      </c>
      <c r="C1218" s="10" t="s">
        <v>20</v>
      </c>
      <c r="D1218" s="10" t="s">
        <v>718</v>
      </c>
      <c r="E1218" s="12">
        <v>0.51543846999999998</v>
      </c>
      <c r="F1218" s="13">
        <v>19.79</v>
      </c>
      <c r="G1218" s="13">
        <v>10.199999999999999</v>
      </c>
    </row>
    <row r="1219" spans="1:7" ht="18" customHeight="1" x14ac:dyDescent="0.35">
      <c r="A1219" s="8"/>
      <c r="B1219" s="8"/>
      <c r="C1219" s="8"/>
      <c r="D1219" s="8"/>
      <c r="E1219" s="60" t="s">
        <v>721</v>
      </c>
      <c r="F1219" s="60"/>
      <c r="G1219" s="14">
        <v>18.32</v>
      </c>
    </row>
    <row r="1220" spans="1:7" ht="15" customHeight="1" x14ac:dyDescent="0.35">
      <c r="A1220" s="59" t="s">
        <v>722</v>
      </c>
      <c r="B1220" s="59"/>
      <c r="C1220" s="9" t="s">
        <v>3</v>
      </c>
      <c r="D1220" s="9" t="s">
        <v>4</v>
      </c>
      <c r="E1220" s="9" t="s">
        <v>702</v>
      </c>
      <c r="F1220" s="9" t="s">
        <v>703</v>
      </c>
      <c r="G1220" s="9" t="s">
        <v>704</v>
      </c>
    </row>
    <row r="1221" spans="1:7" ht="29.15" customHeight="1" x14ac:dyDescent="0.35">
      <c r="A1221" s="10" t="s">
        <v>1206</v>
      </c>
      <c r="B1221" s="11" t="s">
        <v>1207</v>
      </c>
      <c r="C1221" s="10" t="s">
        <v>20</v>
      </c>
      <c r="D1221" s="10" t="s">
        <v>31</v>
      </c>
      <c r="E1221" s="12">
        <v>1.3838420000000001E-2</v>
      </c>
      <c r="F1221" s="13">
        <v>570.92999999999995</v>
      </c>
      <c r="G1221" s="13">
        <v>7.9</v>
      </c>
    </row>
    <row r="1222" spans="1:7" ht="15" customHeight="1" x14ac:dyDescent="0.35">
      <c r="A1222" s="8"/>
      <c r="B1222" s="8"/>
      <c r="C1222" s="8"/>
      <c r="D1222" s="8"/>
      <c r="E1222" s="60" t="s">
        <v>725</v>
      </c>
      <c r="F1222" s="60"/>
      <c r="G1222" s="14">
        <v>7.9</v>
      </c>
    </row>
    <row r="1223" spans="1:7" ht="15" customHeight="1" x14ac:dyDescent="0.35">
      <c r="A1223" s="8"/>
      <c r="B1223" s="8"/>
      <c r="C1223" s="8"/>
      <c r="D1223" s="8"/>
      <c r="E1223" s="61" t="s">
        <v>726</v>
      </c>
      <c r="F1223" s="61"/>
      <c r="G1223" s="4">
        <v>522.26</v>
      </c>
    </row>
    <row r="1224" spans="1:7" ht="10" customHeight="1" x14ac:dyDescent="0.35">
      <c r="A1224" s="8"/>
      <c r="B1224" s="8"/>
      <c r="C1224" s="57"/>
      <c r="D1224" s="57"/>
      <c r="E1224" s="8"/>
      <c r="F1224" s="8"/>
      <c r="G1224" s="8"/>
    </row>
    <row r="1225" spans="1:7" ht="20.149999999999999" customHeight="1" x14ac:dyDescent="0.35">
      <c r="A1225" s="58" t="s">
        <v>1208</v>
      </c>
      <c r="B1225" s="58"/>
      <c r="C1225" s="58"/>
      <c r="D1225" s="58"/>
      <c r="E1225" s="58"/>
      <c r="F1225" s="58"/>
      <c r="G1225" s="58"/>
    </row>
    <row r="1226" spans="1:7" ht="15" customHeight="1" x14ac:dyDescent="0.35">
      <c r="A1226" s="59" t="s">
        <v>701</v>
      </c>
      <c r="B1226" s="59"/>
      <c r="C1226" s="9" t="s">
        <v>3</v>
      </c>
      <c r="D1226" s="9" t="s">
        <v>4</v>
      </c>
      <c r="E1226" s="9" t="s">
        <v>702</v>
      </c>
      <c r="F1226" s="9" t="s">
        <v>703</v>
      </c>
      <c r="G1226" s="9" t="s">
        <v>704</v>
      </c>
    </row>
    <row r="1227" spans="1:7" ht="20.149999999999999" customHeight="1" x14ac:dyDescent="0.35">
      <c r="A1227" s="10" t="s">
        <v>1209</v>
      </c>
      <c r="B1227" s="11" t="s">
        <v>1210</v>
      </c>
      <c r="C1227" s="10" t="s">
        <v>20</v>
      </c>
      <c r="D1227" s="10" t="s">
        <v>160</v>
      </c>
      <c r="E1227" s="12">
        <v>1</v>
      </c>
      <c r="F1227" s="13">
        <v>30.4</v>
      </c>
      <c r="G1227" s="13">
        <v>30.4</v>
      </c>
    </row>
    <row r="1228" spans="1:7" ht="29.15" customHeight="1" x14ac:dyDescent="0.35">
      <c r="A1228" s="10" t="s">
        <v>1211</v>
      </c>
      <c r="B1228" s="11" t="s">
        <v>1212</v>
      </c>
      <c r="C1228" s="10" t="s">
        <v>20</v>
      </c>
      <c r="D1228" s="10" t="s">
        <v>160</v>
      </c>
      <c r="E1228" s="12">
        <v>2</v>
      </c>
      <c r="F1228" s="13">
        <v>1.1299999999999999</v>
      </c>
      <c r="G1228" s="13">
        <v>2.2599999999999998</v>
      </c>
    </row>
    <row r="1229" spans="1:7" ht="20.149999999999999" customHeight="1" x14ac:dyDescent="0.35">
      <c r="A1229" s="10" t="s">
        <v>1213</v>
      </c>
      <c r="B1229" s="11" t="s">
        <v>1214</v>
      </c>
      <c r="C1229" s="10" t="s">
        <v>20</v>
      </c>
      <c r="D1229" s="10" t="s">
        <v>160</v>
      </c>
      <c r="E1229" s="12">
        <v>1</v>
      </c>
      <c r="F1229" s="13">
        <v>38.54</v>
      </c>
      <c r="G1229" s="13">
        <v>38.54</v>
      </c>
    </row>
    <row r="1230" spans="1:7" ht="29.15" customHeight="1" x14ac:dyDescent="0.35">
      <c r="A1230" s="10" t="s">
        <v>1215</v>
      </c>
      <c r="B1230" s="11" t="s">
        <v>1216</v>
      </c>
      <c r="C1230" s="10" t="s">
        <v>20</v>
      </c>
      <c r="D1230" s="10" t="s">
        <v>160</v>
      </c>
      <c r="E1230" s="12">
        <v>1</v>
      </c>
      <c r="F1230" s="13">
        <v>252.04</v>
      </c>
      <c r="G1230" s="13">
        <v>252.04</v>
      </c>
    </row>
    <row r="1231" spans="1:7" ht="20.149999999999999" customHeight="1" x14ac:dyDescent="0.35">
      <c r="A1231" s="10" t="s">
        <v>1217</v>
      </c>
      <c r="B1231" s="11" t="s">
        <v>1218</v>
      </c>
      <c r="C1231" s="10" t="s">
        <v>20</v>
      </c>
      <c r="D1231" s="10" t="s">
        <v>160</v>
      </c>
      <c r="E1231" s="12">
        <v>1</v>
      </c>
      <c r="F1231" s="13">
        <v>24.41</v>
      </c>
      <c r="G1231" s="13">
        <v>24.41</v>
      </c>
    </row>
    <row r="1232" spans="1:7" ht="20.149999999999999" customHeight="1" x14ac:dyDescent="0.35">
      <c r="A1232" s="10" t="s">
        <v>1219</v>
      </c>
      <c r="B1232" s="11" t="s">
        <v>1220</v>
      </c>
      <c r="C1232" s="10" t="s">
        <v>20</v>
      </c>
      <c r="D1232" s="10" t="s">
        <v>160</v>
      </c>
      <c r="E1232" s="12">
        <v>6.0098159999999998E-2</v>
      </c>
      <c r="F1232" s="13">
        <v>54.38</v>
      </c>
      <c r="G1232" s="13">
        <v>3.26</v>
      </c>
    </row>
    <row r="1233" spans="1:7" ht="20.149999999999999" customHeight="1" x14ac:dyDescent="0.35">
      <c r="A1233" s="10" t="s">
        <v>1221</v>
      </c>
      <c r="B1233" s="11" t="s">
        <v>1222</v>
      </c>
      <c r="C1233" s="10" t="s">
        <v>20</v>
      </c>
      <c r="D1233" s="10" t="s">
        <v>160</v>
      </c>
      <c r="E1233" s="12">
        <v>1</v>
      </c>
      <c r="F1233" s="13">
        <v>4.6500000000000004</v>
      </c>
      <c r="G1233" s="13">
        <v>4.6500000000000004</v>
      </c>
    </row>
    <row r="1234" spans="1:7" ht="29.15" customHeight="1" x14ac:dyDescent="0.35">
      <c r="A1234" s="10" t="s">
        <v>1223</v>
      </c>
      <c r="B1234" s="11" t="s">
        <v>1224</v>
      </c>
      <c r="C1234" s="10" t="s">
        <v>20</v>
      </c>
      <c r="D1234" s="10" t="s">
        <v>160</v>
      </c>
      <c r="E1234" s="12">
        <v>3</v>
      </c>
      <c r="F1234" s="13">
        <v>10.79</v>
      </c>
      <c r="G1234" s="13">
        <v>32.369999999999997</v>
      </c>
    </row>
    <row r="1235" spans="1:7" ht="15" customHeight="1" x14ac:dyDescent="0.35">
      <c r="A1235" s="10" t="s">
        <v>1225</v>
      </c>
      <c r="B1235" s="11" t="s">
        <v>1226</v>
      </c>
      <c r="C1235" s="10" t="s">
        <v>20</v>
      </c>
      <c r="D1235" s="10" t="s">
        <v>160</v>
      </c>
      <c r="E1235" s="12">
        <v>2</v>
      </c>
      <c r="F1235" s="13">
        <v>0.32</v>
      </c>
      <c r="G1235" s="13">
        <v>0.64</v>
      </c>
    </row>
    <row r="1236" spans="1:7" ht="15" customHeight="1" x14ac:dyDescent="0.35">
      <c r="A1236" s="10" t="s">
        <v>1227</v>
      </c>
      <c r="B1236" s="11" t="s">
        <v>1228</v>
      </c>
      <c r="C1236" s="10" t="s">
        <v>20</v>
      </c>
      <c r="D1236" s="10" t="s">
        <v>25</v>
      </c>
      <c r="E1236" s="12">
        <v>0.16667224</v>
      </c>
      <c r="F1236" s="13">
        <v>3.7</v>
      </c>
      <c r="G1236" s="13">
        <v>0.61</v>
      </c>
    </row>
    <row r="1237" spans="1:7" ht="15" customHeight="1" x14ac:dyDescent="0.35">
      <c r="A1237" s="8"/>
      <c r="B1237" s="8"/>
      <c r="C1237" s="8"/>
      <c r="D1237" s="8"/>
      <c r="E1237" s="60" t="s">
        <v>714</v>
      </c>
      <c r="F1237" s="60"/>
      <c r="G1237" s="14">
        <v>389.18</v>
      </c>
    </row>
    <row r="1238" spans="1:7" ht="15" customHeight="1" x14ac:dyDescent="0.35">
      <c r="A1238" s="59" t="s">
        <v>715</v>
      </c>
      <c r="B1238" s="59"/>
      <c r="C1238" s="9" t="s">
        <v>3</v>
      </c>
      <c r="D1238" s="9" t="s">
        <v>4</v>
      </c>
      <c r="E1238" s="9" t="s">
        <v>702</v>
      </c>
      <c r="F1238" s="9" t="s">
        <v>703</v>
      </c>
      <c r="G1238" s="9" t="s">
        <v>704</v>
      </c>
    </row>
    <row r="1239" spans="1:7" ht="15" customHeight="1" x14ac:dyDescent="0.35">
      <c r="A1239" s="10" t="s">
        <v>1116</v>
      </c>
      <c r="B1239" s="11" t="s">
        <v>1117</v>
      </c>
      <c r="C1239" s="10" t="s">
        <v>20</v>
      </c>
      <c r="D1239" s="10" t="s">
        <v>718</v>
      </c>
      <c r="E1239" s="12">
        <v>0.32262331</v>
      </c>
      <c r="F1239" s="13">
        <v>15.79</v>
      </c>
      <c r="G1239" s="13">
        <v>5.09</v>
      </c>
    </row>
    <row r="1240" spans="1:7" ht="15" customHeight="1" x14ac:dyDescent="0.35">
      <c r="A1240" s="10" t="s">
        <v>1118</v>
      </c>
      <c r="B1240" s="11" t="s">
        <v>1119</v>
      </c>
      <c r="C1240" s="10" t="s">
        <v>20</v>
      </c>
      <c r="D1240" s="10" t="s">
        <v>718</v>
      </c>
      <c r="E1240" s="12">
        <v>2.9041088199999998</v>
      </c>
      <c r="F1240" s="13">
        <v>19.79</v>
      </c>
      <c r="G1240" s="13">
        <v>57.47</v>
      </c>
    </row>
    <row r="1241" spans="1:7" ht="18" customHeight="1" x14ac:dyDescent="0.35">
      <c r="A1241" s="8"/>
      <c r="B1241" s="8"/>
      <c r="C1241" s="8"/>
      <c r="D1241" s="8"/>
      <c r="E1241" s="60" t="s">
        <v>721</v>
      </c>
      <c r="F1241" s="60"/>
      <c r="G1241" s="14">
        <v>62.56</v>
      </c>
    </row>
    <row r="1242" spans="1:7" ht="15" customHeight="1" x14ac:dyDescent="0.35">
      <c r="A1242" s="59" t="s">
        <v>722</v>
      </c>
      <c r="B1242" s="59"/>
      <c r="C1242" s="9" t="s">
        <v>3</v>
      </c>
      <c r="D1242" s="9" t="s">
        <v>4</v>
      </c>
      <c r="E1242" s="9" t="s">
        <v>702</v>
      </c>
      <c r="F1242" s="9" t="s">
        <v>703</v>
      </c>
      <c r="G1242" s="9" t="s">
        <v>704</v>
      </c>
    </row>
    <row r="1243" spans="1:7" ht="29.15" customHeight="1" x14ac:dyDescent="0.35">
      <c r="A1243" s="10" t="s">
        <v>1206</v>
      </c>
      <c r="B1243" s="11" t="s">
        <v>1207</v>
      </c>
      <c r="C1243" s="10" t="s">
        <v>20</v>
      </c>
      <c r="D1243" s="10" t="s">
        <v>31</v>
      </c>
      <c r="E1243" s="12">
        <v>1.9359390000000001E-2</v>
      </c>
      <c r="F1243" s="13">
        <v>570.92999999999995</v>
      </c>
      <c r="G1243" s="13">
        <v>11.05</v>
      </c>
    </row>
    <row r="1244" spans="1:7" ht="37" customHeight="1" x14ac:dyDescent="0.35">
      <c r="A1244" s="10" t="s">
        <v>1229</v>
      </c>
      <c r="B1244" s="11" t="s">
        <v>1230</v>
      </c>
      <c r="C1244" s="10" t="s">
        <v>20</v>
      </c>
      <c r="D1244" s="10" t="s">
        <v>160</v>
      </c>
      <c r="E1244" s="12">
        <v>0.99627694</v>
      </c>
      <c r="F1244" s="13">
        <v>462.09</v>
      </c>
      <c r="G1244" s="13">
        <v>460.36</v>
      </c>
    </row>
    <row r="1245" spans="1:7" ht="29.15" customHeight="1" x14ac:dyDescent="0.35">
      <c r="A1245" s="10" t="s">
        <v>1231</v>
      </c>
      <c r="B1245" s="11" t="s">
        <v>1232</v>
      </c>
      <c r="C1245" s="10" t="s">
        <v>20</v>
      </c>
      <c r="D1245" s="10" t="s">
        <v>25</v>
      </c>
      <c r="E1245" s="12">
        <v>22.154055469999999</v>
      </c>
      <c r="F1245" s="13">
        <v>37.96</v>
      </c>
      <c r="G1245" s="13">
        <v>840.96</v>
      </c>
    </row>
    <row r="1246" spans="1:7" ht="20.149999999999999" customHeight="1" x14ac:dyDescent="0.35">
      <c r="A1246" s="10" t="s">
        <v>1233</v>
      </c>
      <c r="B1246" s="11" t="s">
        <v>1234</v>
      </c>
      <c r="C1246" s="10" t="s">
        <v>20</v>
      </c>
      <c r="D1246" s="10" t="s">
        <v>25</v>
      </c>
      <c r="E1246" s="12">
        <v>1.94591856</v>
      </c>
      <c r="F1246" s="13">
        <v>60.93</v>
      </c>
      <c r="G1246" s="13">
        <v>118.56</v>
      </c>
    </row>
    <row r="1247" spans="1:7" ht="29.15" customHeight="1" x14ac:dyDescent="0.35">
      <c r="A1247" s="10" t="s">
        <v>1235</v>
      </c>
      <c r="B1247" s="11" t="s">
        <v>1236</v>
      </c>
      <c r="C1247" s="10" t="s">
        <v>20</v>
      </c>
      <c r="D1247" s="10" t="s">
        <v>160</v>
      </c>
      <c r="E1247" s="12">
        <v>0.99627694</v>
      </c>
      <c r="F1247" s="13">
        <v>15.48</v>
      </c>
      <c r="G1247" s="13">
        <v>15.42</v>
      </c>
    </row>
    <row r="1248" spans="1:7" ht="29.15" customHeight="1" x14ac:dyDescent="0.35">
      <c r="A1248" s="10" t="s">
        <v>1237</v>
      </c>
      <c r="B1248" s="11" t="s">
        <v>1238</v>
      </c>
      <c r="C1248" s="10" t="s">
        <v>20</v>
      </c>
      <c r="D1248" s="10" t="s">
        <v>160</v>
      </c>
      <c r="E1248" s="12">
        <v>0.99627694</v>
      </c>
      <c r="F1248" s="13">
        <v>14.11</v>
      </c>
      <c r="G1248" s="13">
        <v>14.05</v>
      </c>
    </row>
    <row r="1249" spans="1:7" ht="20.149999999999999" customHeight="1" x14ac:dyDescent="0.35">
      <c r="A1249" s="10" t="s">
        <v>1239</v>
      </c>
      <c r="B1249" s="11" t="s">
        <v>1240</v>
      </c>
      <c r="C1249" s="10" t="s">
        <v>20</v>
      </c>
      <c r="D1249" s="10" t="s">
        <v>160</v>
      </c>
      <c r="E1249" s="12">
        <v>0.99627694</v>
      </c>
      <c r="F1249" s="13">
        <v>83.86</v>
      </c>
      <c r="G1249" s="13">
        <v>83.54</v>
      </c>
    </row>
    <row r="1250" spans="1:7" ht="29.15" customHeight="1" x14ac:dyDescent="0.35">
      <c r="A1250" s="10" t="s">
        <v>302</v>
      </c>
      <c r="B1250" s="11" t="s">
        <v>303</v>
      </c>
      <c r="C1250" s="10" t="s">
        <v>20</v>
      </c>
      <c r="D1250" s="10" t="s">
        <v>25</v>
      </c>
      <c r="E1250" s="12">
        <v>6.0378675900000003</v>
      </c>
      <c r="F1250" s="13">
        <v>18.559999999999999</v>
      </c>
      <c r="G1250" s="13">
        <v>112.06</v>
      </c>
    </row>
    <row r="1251" spans="1:7" ht="20.149999999999999" customHeight="1" x14ac:dyDescent="0.35">
      <c r="A1251" s="10" t="s">
        <v>1241</v>
      </c>
      <c r="B1251" s="11" t="s">
        <v>1242</v>
      </c>
      <c r="C1251" s="10" t="s">
        <v>20</v>
      </c>
      <c r="D1251" s="10" t="s">
        <v>160</v>
      </c>
      <c r="E1251" s="12">
        <v>0.99627694</v>
      </c>
      <c r="F1251" s="13">
        <v>77.7</v>
      </c>
      <c r="G1251" s="13">
        <v>77.41</v>
      </c>
    </row>
    <row r="1252" spans="1:7" ht="29.15" customHeight="1" x14ac:dyDescent="0.35">
      <c r="A1252" s="10" t="s">
        <v>1243</v>
      </c>
      <c r="B1252" s="11" t="s">
        <v>1244</v>
      </c>
      <c r="C1252" s="10" t="s">
        <v>20</v>
      </c>
      <c r="D1252" s="10" t="s">
        <v>160</v>
      </c>
      <c r="E1252" s="12">
        <v>0.99627694</v>
      </c>
      <c r="F1252" s="13">
        <v>9.0500000000000007</v>
      </c>
      <c r="G1252" s="13">
        <v>9.01</v>
      </c>
    </row>
    <row r="1253" spans="1:7" ht="15" customHeight="1" x14ac:dyDescent="0.35">
      <c r="A1253" s="8"/>
      <c r="B1253" s="8"/>
      <c r="C1253" s="8"/>
      <c r="D1253" s="8"/>
      <c r="E1253" s="60" t="s">
        <v>725</v>
      </c>
      <c r="F1253" s="60"/>
      <c r="G1253" s="14">
        <v>1742.42</v>
      </c>
    </row>
    <row r="1254" spans="1:7" ht="15" customHeight="1" x14ac:dyDescent="0.35">
      <c r="A1254" s="8"/>
      <c r="B1254" s="8"/>
      <c r="C1254" s="8"/>
      <c r="D1254" s="8"/>
      <c r="E1254" s="61" t="s">
        <v>726</v>
      </c>
      <c r="F1254" s="61"/>
      <c r="G1254" s="4">
        <v>2194.16</v>
      </c>
    </row>
    <row r="1255" spans="1:7" ht="10" customHeight="1" x14ac:dyDescent="0.35">
      <c r="A1255" s="8"/>
      <c r="B1255" s="8"/>
      <c r="C1255" s="57"/>
      <c r="D1255" s="57"/>
      <c r="E1255" s="8"/>
      <c r="F1255" s="8"/>
      <c r="G1255" s="8"/>
    </row>
    <row r="1256" spans="1:7" ht="20.149999999999999" customHeight="1" x14ac:dyDescent="0.35">
      <c r="A1256" s="58" t="s">
        <v>1245</v>
      </c>
      <c r="B1256" s="58"/>
      <c r="C1256" s="58"/>
      <c r="D1256" s="58"/>
      <c r="E1256" s="58"/>
      <c r="F1256" s="58"/>
      <c r="G1256" s="58"/>
    </row>
    <row r="1257" spans="1:7" ht="15" customHeight="1" x14ac:dyDescent="0.35">
      <c r="A1257" s="59" t="s">
        <v>701</v>
      </c>
      <c r="B1257" s="59"/>
      <c r="C1257" s="9" t="s">
        <v>3</v>
      </c>
      <c r="D1257" s="9" t="s">
        <v>4</v>
      </c>
      <c r="E1257" s="9" t="s">
        <v>702</v>
      </c>
      <c r="F1257" s="9" t="s">
        <v>703</v>
      </c>
      <c r="G1257" s="9" t="s">
        <v>704</v>
      </c>
    </row>
    <row r="1258" spans="1:7" ht="29.15" customHeight="1" x14ac:dyDescent="0.35">
      <c r="A1258" s="10" t="s">
        <v>1246</v>
      </c>
      <c r="B1258" s="11" t="s">
        <v>1247</v>
      </c>
      <c r="C1258" s="10" t="s">
        <v>20</v>
      </c>
      <c r="D1258" s="10" t="s">
        <v>25</v>
      </c>
      <c r="E1258" s="12">
        <v>1.01463462</v>
      </c>
      <c r="F1258" s="13">
        <v>24.72</v>
      </c>
      <c r="G1258" s="13">
        <v>25.08</v>
      </c>
    </row>
    <row r="1259" spans="1:7" ht="20.149999999999999" customHeight="1" x14ac:dyDescent="0.35">
      <c r="A1259" s="10" t="s">
        <v>1195</v>
      </c>
      <c r="B1259" s="11" t="s">
        <v>1196</v>
      </c>
      <c r="C1259" s="10" t="s">
        <v>20</v>
      </c>
      <c r="D1259" s="10" t="s">
        <v>160</v>
      </c>
      <c r="E1259" s="12">
        <v>8.9967599999999995E-3</v>
      </c>
      <c r="F1259" s="13">
        <v>3.44</v>
      </c>
      <c r="G1259" s="13">
        <v>0.03</v>
      </c>
    </row>
    <row r="1260" spans="1:7" ht="15" customHeight="1" x14ac:dyDescent="0.35">
      <c r="A1260" s="8"/>
      <c r="B1260" s="8"/>
      <c r="C1260" s="8"/>
      <c r="D1260" s="8"/>
      <c r="E1260" s="60" t="s">
        <v>714</v>
      </c>
      <c r="F1260" s="60"/>
      <c r="G1260" s="14">
        <v>25.11</v>
      </c>
    </row>
    <row r="1261" spans="1:7" ht="15" customHeight="1" x14ac:dyDescent="0.35">
      <c r="A1261" s="59" t="s">
        <v>715</v>
      </c>
      <c r="B1261" s="59"/>
      <c r="C1261" s="9" t="s">
        <v>3</v>
      </c>
      <c r="D1261" s="9" t="s">
        <v>4</v>
      </c>
      <c r="E1261" s="9" t="s">
        <v>702</v>
      </c>
      <c r="F1261" s="9" t="s">
        <v>703</v>
      </c>
      <c r="G1261" s="9" t="s">
        <v>704</v>
      </c>
    </row>
    <row r="1262" spans="1:7" ht="15" customHeight="1" x14ac:dyDescent="0.35">
      <c r="A1262" s="10" t="s">
        <v>1116</v>
      </c>
      <c r="B1262" s="11" t="s">
        <v>1117</v>
      </c>
      <c r="C1262" s="10" t="s">
        <v>20</v>
      </c>
      <c r="D1262" s="10" t="s">
        <v>718</v>
      </c>
      <c r="E1262" s="12">
        <v>5.8867919999999997E-2</v>
      </c>
      <c r="F1262" s="13">
        <v>15.79</v>
      </c>
      <c r="G1262" s="13">
        <v>0.92</v>
      </c>
    </row>
    <row r="1263" spans="1:7" ht="15" customHeight="1" x14ac:dyDescent="0.35">
      <c r="A1263" s="10" t="s">
        <v>1118</v>
      </c>
      <c r="B1263" s="11" t="s">
        <v>1119</v>
      </c>
      <c r="C1263" s="10" t="s">
        <v>20</v>
      </c>
      <c r="D1263" s="10" t="s">
        <v>718</v>
      </c>
      <c r="E1263" s="12">
        <v>5.9501230000000002E-2</v>
      </c>
      <c r="F1263" s="13">
        <v>19.79</v>
      </c>
      <c r="G1263" s="13">
        <v>1.17</v>
      </c>
    </row>
    <row r="1264" spans="1:7" ht="18" customHeight="1" x14ac:dyDescent="0.35">
      <c r="A1264" s="8"/>
      <c r="B1264" s="8"/>
      <c r="C1264" s="8"/>
      <c r="D1264" s="8"/>
      <c r="E1264" s="60" t="s">
        <v>721</v>
      </c>
      <c r="F1264" s="60"/>
      <c r="G1264" s="14">
        <v>2.09</v>
      </c>
    </row>
    <row r="1265" spans="1:7" ht="15" customHeight="1" x14ac:dyDescent="0.35">
      <c r="A1265" s="8"/>
      <c r="B1265" s="8"/>
      <c r="C1265" s="8"/>
      <c r="D1265" s="8"/>
      <c r="E1265" s="61" t="s">
        <v>726</v>
      </c>
      <c r="F1265" s="61"/>
      <c r="G1265" s="4">
        <v>27.2</v>
      </c>
    </row>
    <row r="1266" spans="1:7" ht="10" customHeight="1" x14ac:dyDescent="0.35">
      <c r="A1266" s="8"/>
      <c r="B1266" s="8"/>
      <c r="C1266" s="57"/>
      <c r="D1266" s="57"/>
      <c r="E1266" s="8"/>
      <c r="F1266" s="8"/>
      <c r="G1266" s="8"/>
    </row>
    <row r="1267" spans="1:7" ht="20.149999999999999" customHeight="1" x14ac:dyDescent="0.35">
      <c r="A1267" s="58" t="s">
        <v>1192</v>
      </c>
      <c r="B1267" s="58"/>
      <c r="C1267" s="58"/>
      <c r="D1267" s="58"/>
      <c r="E1267" s="58"/>
      <c r="F1267" s="58"/>
      <c r="G1267" s="58"/>
    </row>
    <row r="1268" spans="1:7" ht="15" customHeight="1" x14ac:dyDescent="0.35">
      <c r="A1268" s="59" t="s">
        <v>701</v>
      </c>
      <c r="B1268" s="59"/>
      <c r="C1268" s="9" t="s">
        <v>3</v>
      </c>
      <c r="D1268" s="9" t="s">
        <v>4</v>
      </c>
      <c r="E1268" s="9" t="s">
        <v>702</v>
      </c>
      <c r="F1268" s="9" t="s">
        <v>703</v>
      </c>
      <c r="G1268" s="9" t="s">
        <v>704</v>
      </c>
    </row>
    <row r="1269" spans="1:7" ht="29.15" customHeight="1" x14ac:dyDescent="0.35">
      <c r="A1269" s="10" t="s">
        <v>1193</v>
      </c>
      <c r="B1269" s="11" t="s">
        <v>1194</v>
      </c>
      <c r="C1269" s="10" t="s">
        <v>20</v>
      </c>
      <c r="D1269" s="10" t="s">
        <v>25</v>
      </c>
      <c r="E1269" s="12">
        <v>1.1889859199999999</v>
      </c>
      <c r="F1269" s="13">
        <v>15.94</v>
      </c>
      <c r="G1269" s="13">
        <v>18.95</v>
      </c>
    </row>
    <row r="1270" spans="1:7" ht="20.149999999999999" customHeight="1" x14ac:dyDescent="0.35">
      <c r="A1270" s="10" t="s">
        <v>1195</v>
      </c>
      <c r="B1270" s="11" t="s">
        <v>1196</v>
      </c>
      <c r="C1270" s="10" t="s">
        <v>20</v>
      </c>
      <c r="D1270" s="10" t="s">
        <v>160</v>
      </c>
      <c r="E1270" s="12">
        <v>8.9923299999999998E-3</v>
      </c>
      <c r="F1270" s="13">
        <v>3.44</v>
      </c>
      <c r="G1270" s="13">
        <v>0.03</v>
      </c>
    </row>
    <row r="1271" spans="1:7" ht="15" customHeight="1" x14ac:dyDescent="0.35">
      <c r="A1271" s="8"/>
      <c r="B1271" s="8"/>
      <c r="C1271" s="8"/>
      <c r="D1271" s="8"/>
      <c r="E1271" s="60" t="s">
        <v>714</v>
      </c>
      <c r="F1271" s="60"/>
      <c r="G1271" s="14">
        <v>18.98</v>
      </c>
    </row>
    <row r="1272" spans="1:7" ht="15" customHeight="1" x14ac:dyDescent="0.35">
      <c r="A1272" s="59" t="s">
        <v>715</v>
      </c>
      <c r="B1272" s="59"/>
      <c r="C1272" s="9" t="s">
        <v>3</v>
      </c>
      <c r="D1272" s="9" t="s">
        <v>4</v>
      </c>
      <c r="E1272" s="9" t="s">
        <v>702</v>
      </c>
      <c r="F1272" s="9" t="s">
        <v>703</v>
      </c>
      <c r="G1272" s="9" t="s">
        <v>704</v>
      </c>
    </row>
    <row r="1273" spans="1:7" ht="15" customHeight="1" x14ac:dyDescent="0.35">
      <c r="A1273" s="10" t="s">
        <v>1116</v>
      </c>
      <c r="B1273" s="11" t="s">
        <v>1117</v>
      </c>
      <c r="C1273" s="10" t="s">
        <v>20</v>
      </c>
      <c r="D1273" s="10" t="s">
        <v>718</v>
      </c>
      <c r="E1273" s="12">
        <v>0.11315703000000001</v>
      </c>
      <c r="F1273" s="13">
        <v>15.79</v>
      </c>
      <c r="G1273" s="13">
        <v>1.78</v>
      </c>
    </row>
    <row r="1274" spans="1:7" ht="15" customHeight="1" x14ac:dyDescent="0.35">
      <c r="A1274" s="10" t="s">
        <v>1118</v>
      </c>
      <c r="B1274" s="11" t="s">
        <v>1119</v>
      </c>
      <c r="C1274" s="10" t="s">
        <v>20</v>
      </c>
      <c r="D1274" s="10" t="s">
        <v>718</v>
      </c>
      <c r="E1274" s="12">
        <v>0.11252371999999999</v>
      </c>
      <c r="F1274" s="13">
        <v>19.79</v>
      </c>
      <c r="G1274" s="13">
        <v>2.2200000000000002</v>
      </c>
    </row>
    <row r="1275" spans="1:7" ht="18" customHeight="1" x14ac:dyDescent="0.35">
      <c r="A1275" s="8"/>
      <c r="B1275" s="8"/>
      <c r="C1275" s="8"/>
      <c r="D1275" s="8"/>
      <c r="E1275" s="60" t="s">
        <v>721</v>
      </c>
      <c r="F1275" s="60"/>
      <c r="G1275" s="14">
        <v>4</v>
      </c>
    </row>
    <row r="1276" spans="1:7" ht="15" customHeight="1" x14ac:dyDescent="0.35">
      <c r="A1276" s="8"/>
      <c r="B1276" s="8"/>
      <c r="C1276" s="8"/>
      <c r="D1276" s="8"/>
      <c r="E1276" s="61" t="s">
        <v>726</v>
      </c>
      <c r="F1276" s="61"/>
      <c r="G1276" s="4">
        <v>22.98</v>
      </c>
    </row>
    <row r="1277" spans="1:7" ht="10" customHeight="1" x14ac:dyDescent="0.35">
      <c r="A1277" s="8"/>
      <c r="B1277" s="8"/>
      <c r="C1277" s="57"/>
      <c r="D1277" s="57"/>
      <c r="E1277" s="8"/>
      <c r="F1277" s="8"/>
      <c r="G1277" s="8"/>
    </row>
    <row r="1278" spans="1:7" ht="20.149999999999999" customHeight="1" x14ac:dyDescent="0.35">
      <c r="A1278" s="58" t="s">
        <v>1248</v>
      </c>
      <c r="B1278" s="58"/>
      <c r="C1278" s="58"/>
      <c r="D1278" s="58"/>
      <c r="E1278" s="58"/>
      <c r="F1278" s="58"/>
      <c r="G1278" s="58"/>
    </row>
    <row r="1279" spans="1:7" ht="15" customHeight="1" x14ac:dyDescent="0.35">
      <c r="A1279" s="59" t="s">
        <v>701</v>
      </c>
      <c r="B1279" s="59"/>
      <c r="C1279" s="9" t="s">
        <v>3</v>
      </c>
      <c r="D1279" s="9" t="s">
        <v>4</v>
      </c>
      <c r="E1279" s="9" t="s">
        <v>702</v>
      </c>
      <c r="F1279" s="9" t="s">
        <v>703</v>
      </c>
      <c r="G1279" s="9" t="s">
        <v>704</v>
      </c>
    </row>
    <row r="1280" spans="1:7" ht="29.15" customHeight="1" x14ac:dyDescent="0.35">
      <c r="A1280" s="10" t="s">
        <v>1249</v>
      </c>
      <c r="B1280" s="11" t="s">
        <v>1250</v>
      </c>
      <c r="C1280" s="10" t="s">
        <v>20</v>
      </c>
      <c r="D1280" s="10" t="s">
        <v>25</v>
      </c>
      <c r="E1280" s="12">
        <v>1.1884645</v>
      </c>
      <c r="F1280" s="13">
        <v>10.5</v>
      </c>
      <c r="G1280" s="13">
        <v>12.47</v>
      </c>
    </row>
    <row r="1281" spans="1:7" ht="20.149999999999999" customHeight="1" x14ac:dyDescent="0.35">
      <c r="A1281" s="10" t="s">
        <v>1195</v>
      </c>
      <c r="B1281" s="11" t="s">
        <v>1196</v>
      </c>
      <c r="C1281" s="10" t="s">
        <v>20</v>
      </c>
      <c r="D1281" s="10" t="s">
        <v>160</v>
      </c>
      <c r="E1281" s="12">
        <v>8.9883800000000007E-3</v>
      </c>
      <c r="F1281" s="13">
        <v>3.44</v>
      </c>
      <c r="G1281" s="13">
        <v>0.03</v>
      </c>
    </row>
    <row r="1282" spans="1:7" ht="15" customHeight="1" x14ac:dyDescent="0.35">
      <c r="A1282" s="8"/>
      <c r="B1282" s="8"/>
      <c r="C1282" s="8"/>
      <c r="D1282" s="8"/>
      <c r="E1282" s="60" t="s">
        <v>714</v>
      </c>
      <c r="F1282" s="60"/>
      <c r="G1282" s="14">
        <v>12.5</v>
      </c>
    </row>
    <row r="1283" spans="1:7" ht="15" customHeight="1" x14ac:dyDescent="0.35">
      <c r="A1283" s="59" t="s">
        <v>715</v>
      </c>
      <c r="B1283" s="59"/>
      <c r="C1283" s="9" t="s">
        <v>3</v>
      </c>
      <c r="D1283" s="9" t="s">
        <v>4</v>
      </c>
      <c r="E1283" s="9" t="s">
        <v>702</v>
      </c>
      <c r="F1283" s="9" t="s">
        <v>703</v>
      </c>
      <c r="G1283" s="9" t="s">
        <v>704</v>
      </c>
    </row>
    <row r="1284" spans="1:7" ht="15" customHeight="1" x14ac:dyDescent="0.35">
      <c r="A1284" s="10" t="s">
        <v>1116</v>
      </c>
      <c r="B1284" s="11" t="s">
        <v>1117</v>
      </c>
      <c r="C1284" s="10" t="s">
        <v>20</v>
      </c>
      <c r="D1284" s="10" t="s">
        <v>718</v>
      </c>
      <c r="E1284" s="12">
        <v>7.5328560000000003E-2</v>
      </c>
      <c r="F1284" s="13">
        <v>15.79</v>
      </c>
      <c r="G1284" s="13">
        <v>1.18</v>
      </c>
    </row>
    <row r="1285" spans="1:7" ht="15" customHeight="1" x14ac:dyDescent="0.35">
      <c r="A1285" s="10" t="s">
        <v>1118</v>
      </c>
      <c r="B1285" s="11" t="s">
        <v>1119</v>
      </c>
      <c r="C1285" s="10" t="s">
        <v>20</v>
      </c>
      <c r="D1285" s="10" t="s">
        <v>718</v>
      </c>
      <c r="E1285" s="12">
        <v>7.5328560000000003E-2</v>
      </c>
      <c r="F1285" s="13">
        <v>19.79</v>
      </c>
      <c r="G1285" s="13">
        <v>1.49</v>
      </c>
    </row>
    <row r="1286" spans="1:7" ht="18" customHeight="1" x14ac:dyDescent="0.35">
      <c r="A1286" s="8"/>
      <c r="B1286" s="8"/>
      <c r="C1286" s="8"/>
      <c r="D1286" s="8"/>
      <c r="E1286" s="60" t="s">
        <v>721</v>
      </c>
      <c r="F1286" s="60"/>
      <c r="G1286" s="14">
        <v>2.67</v>
      </c>
    </row>
    <row r="1287" spans="1:7" ht="15" customHeight="1" x14ac:dyDescent="0.35">
      <c r="A1287" s="8"/>
      <c r="B1287" s="8"/>
      <c r="C1287" s="8"/>
      <c r="D1287" s="8"/>
      <c r="E1287" s="61" t="s">
        <v>726</v>
      </c>
      <c r="F1287" s="61"/>
      <c r="G1287" s="4">
        <v>15.17</v>
      </c>
    </row>
    <row r="1288" spans="1:7" ht="10" customHeight="1" x14ac:dyDescent="0.35">
      <c r="A1288" s="8"/>
      <c r="B1288" s="8"/>
      <c r="C1288" s="57"/>
      <c r="D1288" s="57"/>
      <c r="E1288" s="8"/>
      <c r="F1288" s="8"/>
      <c r="G1288" s="8"/>
    </row>
    <row r="1289" spans="1:7" ht="20.149999999999999" customHeight="1" x14ac:dyDescent="0.35">
      <c r="A1289" s="58" t="s">
        <v>1251</v>
      </c>
      <c r="B1289" s="58"/>
      <c r="C1289" s="58"/>
      <c r="D1289" s="58"/>
      <c r="E1289" s="58"/>
      <c r="F1289" s="58"/>
      <c r="G1289" s="58"/>
    </row>
    <row r="1290" spans="1:7" ht="15" customHeight="1" x14ac:dyDescent="0.35">
      <c r="A1290" s="59" t="s">
        <v>701</v>
      </c>
      <c r="B1290" s="59"/>
      <c r="C1290" s="9" t="s">
        <v>3</v>
      </c>
      <c r="D1290" s="9" t="s">
        <v>4</v>
      </c>
      <c r="E1290" s="9" t="s">
        <v>702</v>
      </c>
      <c r="F1290" s="9" t="s">
        <v>703</v>
      </c>
      <c r="G1290" s="9" t="s">
        <v>704</v>
      </c>
    </row>
    <row r="1291" spans="1:7" ht="29.15" customHeight="1" x14ac:dyDescent="0.35">
      <c r="A1291" s="10" t="s">
        <v>1252</v>
      </c>
      <c r="B1291" s="11" t="s">
        <v>1253</v>
      </c>
      <c r="C1291" s="10" t="s">
        <v>20</v>
      </c>
      <c r="D1291" s="10" t="s">
        <v>25</v>
      </c>
      <c r="E1291" s="12">
        <v>1.1886065400000001</v>
      </c>
      <c r="F1291" s="13">
        <v>5.5</v>
      </c>
      <c r="G1291" s="13">
        <v>6.53</v>
      </c>
    </row>
    <row r="1292" spans="1:7" ht="20.149999999999999" customHeight="1" x14ac:dyDescent="0.35">
      <c r="A1292" s="10" t="s">
        <v>1195</v>
      </c>
      <c r="B1292" s="11" t="s">
        <v>1196</v>
      </c>
      <c r="C1292" s="10" t="s">
        <v>20</v>
      </c>
      <c r="D1292" s="10" t="s">
        <v>160</v>
      </c>
      <c r="E1292" s="12">
        <v>8.9894599999999995E-3</v>
      </c>
      <c r="F1292" s="13">
        <v>3.44</v>
      </c>
      <c r="G1292" s="13">
        <v>0.03</v>
      </c>
    </row>
    <row r="1293" spans="1:7" ht="15" customHeight="1" x14ac:dyDescent="0.35">
      <c r="A1293" s="8"/>
      <c r="B1293" s="8"/>
      <c r="C1293" s="8"/>
      <c r="D1293" s="8"/>
      <c r="E1293" s="60" t="s">
        <v>714</v>
      </c>
      <c r="F1293" s="60"/>
      <c r="G1293" s="14">
        <v>6.56</v>
      </c>
    </row>
    <row r="1294" spans="1:7" ht="15" customHeight="1" x14ac:dyDescent="0.35">
      <c r="A1294" s="59" t="s">
        <v>715</v>
      </c>
      <c r="B1294" s="59"/>
      <c r="C1294" s="9" t="s">
        <v>3</v>
      </c>
      <c r="D1294" s="9" t="s">
        <v>4</v>
      </c>
      <c r="E1294" s="9" t="s">
        <v>702</v>
      </c>
      <c r="F1294" s="9" t="s">
        <v>703</v>
      </c>
      <c r="G1294" s="9" t="s">
        <v>704</v>
      </c>
    </row>
    <row r="1295" spans="1:7" ht="15" customHeight="1" x14ac:dyDescent="0.35">
      <c r="A1295" s="10" t="s">
        <v>1116</v>
      </c>
      <c r="B1295" s="11" t="s">
        <v>1117</v>
      </c>
      <c r="C1295" s="10" t="s">
        <v>20</v>
      </c>
      <c r="D1295" s="10" t="s">
        <v>718</v>
      </c>
      <c r="E1295" s="12">
        <v>5.0796180000000003E-2</v>
      </c>
      <c r="F1295" s="13">
        <v>15.79</v>
      </c>
      <c r="G1295" s="13">
        <v>0.8</v>
      </c>
    </row>
    <row r="1296" spans="1:7" ht="15" customHeight="1" x14ac:dyDescent="0.35">
      <c r="A1296" s="10" t="s">
        <v>1118</v>
      </c>
      <c r="B1296" s="11" t="s">
        <v>1119</v>
      </c>
      <c r="C1296" s="10" t="s">
        <v>20</v>
      </c>
      <c r="D1296" s="10" t="s">
        <v>718</v>
      </c>
      <c r="E1296" s="12">
        <v>5.0796180000000003E-2</v>
      </c>
      <c r="F1296" s="13">
        <v>19.79</v>
      </c>
      <c r="G1296" s="13">
        <v>1</v>
      </c>
    </row>
    <row r="1297" spans="1:7" ht="18" customHeight="1" x14ac:dyDescent="0.35">
      <c r="A1297" s="8"/>
      <c r="B1297" s="8"/>
      <c r="C1297" s="8"/>
      <c r="D1297" s="8"/>
      <c r="E1297" s="60" t="s">
        <v>721</v>
      </c>
      <c r="F1297" s="60"/>
      <c r="G1297" s="14">
        <v>1.8</v>
      </c>
    </row>
    <row r="1298" spans="1:7" ht="15" customHeight="1" x14ac:dyDescent="0.35">
      <c r="A1298" s="8"/>
      <c r="B1298" s="8"/>
      <c r="C1298" s="8"/>
      <c r="D1298" s="8"/>
      <c r="E1298" s="61" t="s">
        <v>726</v>
      </c>
      <c r="F1298" s="61"/>
      <c r="G1298" s="4">
        <v>8.36</v>
      </c>
    </row>
    <row r="1299" spans="1:7" ht="10" customHeight="1" x14ac:dyDescent="0.35">
      <c r="A1299" s="8"/>
      <c r="B1299" s="8"/>
      <c r="C1299" s="57"/>
      <c r="D1299" s="57"/>
      <c r="E1299" s="8"/>
      <c r="F1299" s="8"/>
      <c r="G1299" s="8"/>
    </row>
    <row r="1300" spans="1:7" ht="20.149999999999999" customHeight="1" x14ac:dyDescent="0.35">
      <c r="A1300" s="58" t="s">
        <v>1254</v>
      </c>
      <c r="B1300" s="58"/>
      <c r="C1300" s="58"/>
      <c r="D1300" s="58"/>
      <c r="E1300" s="58"/>
      <c r="F1300" s="58"/>
      <c r="G1300" s="58"/>
    </row>
    <row r="1301" spans="1:7" ht="15" customHeight="1" x14ac:dyDescent="0.35">
      <c r="A1301" s="59" t="s">
        <v>701</v>
      </c>
      <c r="B1301" s="59"/>
      <c r="C1301" s="9" t="s">
        <v>3</v>
      </c>
      <c r="D1301" s="9" t="s">
        <v>4</v>
      </c>
      <c r="E1301" s="9" t="s">
        <v>702</v>
      </c>
      <c r="F1301" s="9" t="s">
        <v>703</v>
      </c>
      <c r="G1301" s="9" t="s">
        <v>704</v>
      </c>
    </row>
    <row r="1302" spans="1:7" ht="29.15" customHeight="1" x14ac:dyDescent="0.35">
      <c r="A1302" s="10" t="s">
        <v>1255</v>
      </c>
      <c r="B1302" s="11" t="s">
        <v>1256</v>
      </c>
      <c r="C1302" s="10" t="s">
        <v>20</v>
      </c>
      <c r="D1302" s="10" t="s">
        <v>25</v>
      </c>
      <c r="E1302" s="12">
        <v>1.1886560399999999</v>
      </c>
      <c r="F1302" s="13">
        <v>3.82</v>
      </c>
      <c r="G1302" s="13">
        <v>4.54</v>
      </c>
    </row>
    <row r="1303" spans="1:7" ht="20.149999999999999" customHeight="1" x14ac:dyDescent="0.35">
      <c r="A1303" s="10" t="s">
        <v>1195</v>
      </c>
      <c r="B1303" s="11" t="s">
        <v>1196</v>
      </c>
      <c r="C1303" s="10" t="s">
        <v>20</v>
      </c>
      <c r="D1303" s="10" t="s">
        <v>160</v>
      </c>
      <c r="E1303" s="12">
        <v>8.9704399999999997E-3</v>
      </c>
      <c r="F1303" s="13">
        <v>3.44</v>
      </c>
      <c r="G1303" s="13">
        <v>0.03</v>
      </c>
    </row>
    <row r="1304" spans="1:7" ht="15" customHeight="1" x14ac:dyDescent="0.35">
      <c r="A1304" s="8"/>
      <c r="B1304" s="8"/>
      <c r="C1304" s="8"/>
      <c r="D1304" s="8"/>
      <c r="E1304" s="60" t="s">
        <v>714</v>
      </c>
      <c r="F1304" s="60"/>
      <c r="G1304" s="14">
        <v>4.57</v>
      </c>
    </row>
    <row r="1305" spans="1:7" ht="15" customHeight="1" x14ac:dyDescent="0.35">
      <c r="A1305" s="59" t="s">
        <v>715</v>
      </c>
      <c r="B1305" s="59"/>
      <c r="C1305" s="9" t="s">
        <v>3</v>
      </c>
      <c r="D1305" s="9" t="s">
        <v>4</v>
      </c>
      <c r="E1305" s="9" t="s">
        <v>702</v>
      </c>
      <c r="F1305" s="9" t="s">
        <v>703</v>
      </c>
      <c r="G1305" s="9" t="s">
        <v>704</v>
      </c>
    </row>
    <row r="1306" spans="1:7" ht="15" customHeight="1" x14ac:dyDescent="0.35">
      <c r="A1306" s="10" t="s">
        <v>1116</v>
      </c>
      <c r="B1306" s="11" t="s">
        <v>1117</v>
      </c>
      <c r="C1306" s="10" t="s">
        <v>20</v>
      </c>
      <c r="D1306" s="10" t="s">
        <v>718</v>
      </c>
      <c r="E1306" s="12">
        <v>3.946417E-2</v>
      </c>
      <c r="F1306" s="13">
        <v>15.79</v>
      </c>
      <c r="G1306" s="13">
        <v>0.62</v>
      </c>
    </row>
    <row r="1307" spans="1:7" ht="15" customHeight="1" x14ac:dyDescent="0.35">
      <c r="A1307" s="10" t="s">
        <v>1118</v>
      </c>
      <c r="B1307" s="11" t="s">
        <v>1119</v>
      </c>
      <c r="C1307" s="10" t="s">
        <v>20</v>
      </c>
      <c r="D1307" s="10" t="s">
        <v>718</v>
      </c>
      <c r="E1307" s="12">
        <v>3.8847090000000001E-2</v>
      </c>
      <c r="F1307" s="13">
        <v>19.79</v>
      </c>
      <c r="G1307" s="13">
        <v>0.76</v>
      </c>
    </row>
    <row r="1308" spans="1:7" ht="18" customHeight="1" x14ac:dyDescent="0.35">
      <c r="A1308" s="8"/>
      <c r="B1308" s="8"/>
      <c r="C1308" s="8"/>
      <c r="D1308" s="8"/>
      <c r="E1308" s="60" t="s">
        <v>721</v>
      </c>
      <c r="F1308" s="60"/>
      <c r="G1308" s="14">
        <v>1.38</v>
      </c>
    </row>
    <row r="1309" spans="1:7" ht="15" customHeight="1" x14ac:dyDescent="0.35">
      <c r="A1309" s="8"/>
      <c r="B1309" s="8"/>
      <c r="C1309" s="8"/>
      <c r="D1309" s="8"/>
      <c r="E1309" s="61" t="s">
        <v>726</v>
      </c>
      <c r="F1309" s="61"/>
      <c r="G1309" s="4">
        <v>5.95</v>
      </c>
    </row>
    <row r="1310" spans="1:7" ht="10" customHeight="1" x14ac:dyDescent="0.35">
      <c r="A1310" s="8"/>
      <c r="B1310" s="8"/>
      <c r="C1310" s="57"/>
      <c r="D1310" s="57"/>
      <c r="E1310" s="8"/>
      <c r="F1310" s="8"/>
      <c r="G1310" s="8"/>
    </row>
    <row r="1311" spans="1:7" ht="20.149999999999999" customHeight="1" x14ac:dyDescent="0.35">
      <c r="A1311" s="58" t="s">
        <v>1257</v>
      </c>
      <c r="B1311" s="58"/>
      <c r="C1311" s="58"/>
      <c r="D1311" s="58"/>
      <c r="E1311" s="58"/>
      <c r="F1311" s="58"/>
      <c r="G1311" s="58"/>
    </row>
    <row r="1312" spans="1:7" ht="15" customHeight="1" x14ac:dyDescent="0.35">
      <c r="A1312" s="59" t="s">
        <v>701</v>
      </c>
      <c r="B1312" s="59"/>
      <c r="C1312" s="9" t="s">
        <v>3</v>
      </c>
      <c r="D1312" s="9" t="s">
        <v>4</v>
      </c>
      <c r="E1312" s="9" t="s">
        <v>702</v>
      </c>
      <c r="F1312" s="9" t="s">
        <v>703</v>
      </c>
      <c r="G1312" s="9" t="s">
        <v>704</v>
      </c>
    </row>
    <row r="1313" spans="1:7" ht="29.15" customHeight="1" x14ac:dyDescent="0.35">
      <c r="A1313" s="10" t="s">
        <v>1258</v>
      </c>
      <c r="B1313" s="11" t="s">
        <v>1259</v>
      </c>
      <c r="C1313" s="10" t="s">
        <v>20</v>
      </c>
      <c r="D1313" s="10" t="s">
        <v>25</v>
      </c>
      <c r="E1313" s="12">
        <v>1.19</v>
      </c>
      <c r="F1313" s="13">
        <v>2.2999999999999998</v>
      </c>
      <c r="G1313" s="13">
        <v>2.73</v>
      </c>
    </row>
    <row r="1314" spans="1:7" ht="20.149999999999999" customHeight="1" x14ac:dyDescent="0.35">
      <c r="A1314" s="10" t="s">
        <v>1195</v>
      </c>
      <c r="B1314" s="11" t="s">
        <v>1196</v>
      </c>
      <c r="C1314" s="10" t="s">
        <v>20</v>
      </c>
      <c r="D1314" s="10" t="s">
        <v>160</v>
      </c>
      <c r="E1314" s="12">
        <v>8.9999999999999993E-3</v>
      </c>
      <c r="F1314" s="13">
        <v>3.44</v>
      </c>
      <c r="G1314" s="13">
        <v>0.03</v>
      </c>
    </row>
    <row r="1315" spans="1:7" ht="15" customHeight="1" x14ac:dyDescent="0.35">
      <c r="A1315" s="8"/>
      <c r="B1315" s="8"/>
      <c r="C1315" s="8"/>
      <c r="D1315" s="8"/>
      <c r="E1315" s="60" t="s">
        <v>714</v>
      </c>
      <c r="F1315" s="60"/>
      <c r="G1315" s="14">
        <v>2.76</v>
      </c>
    </row>
    <row r="1316" spans="1:7" ht="15" customHeight="1" x14ac:dyDescent="0.35">
      <c r="A1316" s="59" t="s">
        <v>715</v>
      </c>
      <c r="B1316" s="59"/>
      <c r="C1316" s="9" t="s">
        <v>3</v>
      </c>
      <c r="D1316" s="9" t="s">
        <v>4</v>
      </c>
      <c r="E1316" s="9" t="s">
        <v>702</v>
      </c>
      <c r="F1316" s="9" t="s">
        <v>703</v>
      </c>
      <c r="G1316" s="9" t="s">
        <v>704</v>
      </c>
    </row>
    <row r="1317" spans="1:7" ht="15" customHeight="1" x14ac:dyDescent="0.35">
      <c r="A1317" s="10" t="s">
        <v>1116</v>
      </c>
      <c r="B1317" s="11" t="s">
        <v>1117</v>
      </c>
      <c r="C1317" s="10" t="s">
        <v>20</v>
      </c>
      <c r="D1317" s="10" t="s">
        <v>718</v>
      </c>
      <c r="E1317" s="12">
        <v>2.9685860000000001E-2</v>
      </c>
      <c r="F1317" s="13">
        <v>15.79</v>
      </c>
      <c r="G1317" s="13">
        <v>0.46</v>
      </c>
    </row>
    <row r="1318" spans="1:7" ht="15" customHeight="1" x14ac:dyDescent="0.35">
      <c r="A1318" s="10" t="s">
        <v>1118</v>
      </c>
      <c r="B1318" s="11" t="s">
        <v>1119</v>
      </c>
      <c r="C1318" s="10" t="s">
        <v>20</v>
      </c>
      <c r="D1318" s="10" t="s">
        <v>718</v>
      </c>
      <c r="E1318" s="12">
        <v>2.9685860000000001E-2</v>
      </c>
      <c r="F1318" s="13">
        <v>19.79</v>
      </c>
      <c r="G1318" s="13">
        <v>0.57999999999999996</v>
      </c>
    </row>
    <row r="1319" spans="1:7" ht="18" customHeight="1" x14ac:dyDescent="0.35">
      <c r="A1319" s="8"/>
      <c r="B1319" s="8"/>
      <c r="C1319" s="8"/>
      <c r="D1319" s="8"/>
      <c r="E1319" s="60" t="s">
        <v>721</v>
      </c>
      <c r="F1319" s="60"/>
      <c r="G1319" s="14">
        <v>1.04</v>
      </c>
    </row>
    <row r="1320" spans="1:7" ht="15" customHeight="1" x14ac:dyDescent="0.35">
      <c r="A1320" s="8"/>
      <c r="B1320" s="8"/>
      <c r="C1320" s="8"/>
      <c r="D1320" s="8"/>
      <c r="E1320" s="61" t="s">
        <v>726</v>
      </c>
      <c r="F1320" s="61"/>
      <c r="G1320" s="4">
        <v>3.8</v>
      </c>
    </row>
    <row r="1321" spans="1:7" ht="10" customHeight="1" x14ac:dyDescent="0.35">
      <c r="A1321" s="8"/>
      <c r="B1321" s="8"/>
      <c r="C1321" s="57"/>
      <c r="D1321" s="57"/>
      <c r="E1321" s="8"/>
      <c r="F1321" s="8"/>
      <c r="G1321" s="8"/>
    </row>
    <row r="1322" spans="1:7" ht="20.149999999999999" customHeight="1" x14ac:dyDescent="0.35">
      <c r="A1322" s="58" t="s">
        <v>1260</v>
      </c>
      <c r="B1322" s="58"/>
      <c r="C1322" s="58"/>
      <c r="D1322" s="58"/>
      <c r="E1322" s="58"/>
      <c r="F1322" s="58"/>
      <c r="G1322" s="58"/>
    </row>
    <row r="1323" spans="1:7" ht="15" customHeight="1" x14ac:dyDescent="0.35">
      <c r="A1323" s="59" t="s">
        <v>701</v>
      </c>
      <c r="B1323" s="59"/>
      <c r="C1323" s="9" t="s">
        <v>3</v>
      </c>
      <c r="D1323" s="9" t="s">
        <v>4</v>
      </c>
      <c r="E1323" s="9" t="s">
        <v>702</v>
      </c>
      <c r="F1323" s="9" t="s">
        <v>703</v>
      </c>
      <c r="G1323" s="9" t="s">
        <v>704</v>
      </c>
    </row>
    <row r="1324" spans="1:7" ht="29.15" customHeight="1" x14ac:dyDescent="0.35">
      <c r="A1324" s="10" t="s">
        <v>1261</v>
      </c>
      <c r="B1324" s="11" t="s">
        <v>1262</v>
      </c>
      <c r="C1324" s="10" t="s">
        <v>20</v>
      </c>
      <c r="D1324" s="10" t="s">
        <v>25</v>
      </c>
      <c r="E1324" s="12">
        <v>1.19</v>
      </c>
      <c r="F1324" s="13">
        <v>1.45</v>
      </c>
      <c r="G1324" s="13">
        <v>1.72</v>
      </c>
    </row>
    <row r="1325" spans="1:7" ht="20.149999999999999" customHeight="1" x14ac:dyDescent="0.35">
      <c r="A1325" s="10" t="s">
        <v>1195</v>
      </c>
      <c r="B1325" s="11" t="s">
        <v>1196</v>
      </c>
      <c r="C1325" s="10" t="s">
        <v>20</v>
      </c>
      <c r="D1325" s="10" t="s">
        <v>160</v>
      </c>
      <c r="E1325" s="12">
        <v>8.9999999999999993E-3</v>
      </c>
      <c r="F1325" s="13">
        <v>3.44</v>
      </c>
      <c r="G1325" s="13">
        <v>0.03</v>
      </c>
    </row>
    <row r="1326" spans="1:7" ht="15" customHeight="1" x14ac:dyDescent="0.35">
      <c r="A1326" s="8"/>
      <c r="B1326" s="8"/>
      <c r="C1326" s="8"/>
      <c r="D1326" s="8"/>
      <c r="E1326" s="60" t="s">
        <v>714</v>
      </c>
      <c r="F1326" s="60"/>
      <c r="G1326" s="14">
        <v>1.75</v>
      </c>
    </row>
    <row r="1327" spans="1:7" ht="15" customHeight="1" x14ac:dyDescent="0.35">
      <c r="A1327" s="59" t="s">
        <v>715</v>
      </c>
      <c r="B1327" s="59"/>
      <c r="C1327" s="9" t="s">
        <v>3</v>
      </c>
      <c r="D1327" s="9" t="s">
        <v>4</v>
      </c>
      <c r="E1327" s="9" t="s">
        <v>702</v>
      </c>
      <c r="F1327" s="9" t="s">
        <v>703</v>
      </c>
      <c r="G1327" s="9" t="s">
        <v>704</v>
      </c>
    </row>
    <row r="1328" spans="1:7" ht="15" customHeight="1" x14ac:dyDescent="0.35">
      <c r="A1328" s="10" t="s">
        <v>1116</v>
      </c>
      <c r="B1328" s="11" t="s">
        <v>1117</v>
      </c>
      <c r="C1328" s="10" t="s">
        <v>20</v>
      </c>
      <c r="D1328" s="10" t="s">
        <v>718</v>
      </c>
      <c r="E1328" s="12">
        <v>2.3274019999999999E-2</v>
      </c>
      <c r="F1328" s="13">
        <v>15.79</v>
      </c>
      <c r="G1328" s="13">
        <v>0.36</v>
      </c>
    </row>
    <row r="1329" spans="1:7" ht="15" customHeight="1" x14ac:dyDescent="0.35">
      <c r="A1329" s="10" t="s">
        <v>1118</v>
      </c>
      <c r="B1329" s="11" t="s">
        <v>1119</v>
      </c>
      <c r="C1329" s="10" t="s">
        <v>20</v>
      </c>
      <c r="D1329" s="10" t="s">
        <v>718</v>
      </c>
      <c r="E1329" s="12">
        <v>2.3907330000000001E-2</v>
      </c>
      <c r="F1329" s="13">
        <v>19.79</v>
      </c>
      <c r="G1329" s="13">
        <v>0.47</v>
      </c>
    </row>
    <row r="1330" spans="1:7" ht="18" customHeight="1" x14ac:dyDescent="0.35">
      <c r="A1330" s="8"/>
      <c r="B1330" s="8"/>
      <c r="C1330" s="8"/>
      <c r="D1330" s="8"/>
      <c r="E1330" s="60" t="s">
        <v>721</v>
      </c>
      <c r="F1330" s="60"/>
      <c r="G1330" s="14">
        <v>0.83</v>
      </c>
    </row>
    <row r="1331" spans="1:7" ht="15" customHeight="1" x14ac:dyDescent="0.35">
      <c r="A1331" s="8"/>
      <c r="B1331" s="8"/>
      <c r="C1331" s="8"/>
      <c r="D1331" s="8"/>
      <c r="E1331" s="61" t="s">
        <v>726</v>
      </c>
      <c r="F1331" s="61"/>
      <c r="G1331" s="4">
        <v>2.58</v>
      </c>
    </row>
    <row r="1332" spans="1:7" ht="10" customHeight="1" x14ac:dyDescent="0.35">
      <c r="A1332" s="8"/>
      <c r="B1332" s="8"/>
      <c r="C1332" s="57"/>
      <c r="D1332" s="57"/>
      <c r="E1332" s="8"/>
      <c r="F1332" s="8"/>
      <c r="G1332" s="8"/>
    </row>
    <row r="1333" spans="1:7" ht="20.149999999999999" customHeight="1" x14ac:dyDescent="0.35">
      <c r="A1333" s="58" t="s">
        <v>1263</v>
      </c>
      <c r="B1333" s="58"/>
      <c r="C1333" s="58"/>
      <c r="D1333" s="58"/>
      <c r="E1333" s="58"/>
      <c r="F1333" s="58"/>
      <c r="G1333" s="58"/>
    </row>
    <row r="1334" spans="1:7" ht="15" customHeight="1" x14ac:dyDescent="0.35">
      <c r="A1334" s="59" t="s">
        <v>701</v>
      </c>
      <c r="B1334" s="59"/>
      <c r="C1334" s="9" t="s">
        <v>3</v>
      </c>
      <c r="D1334" s="9" t="s">
        <v>4</v>
      </c>
      <c r="E1334" s="9" t="s">
        <v>702</v>
      </c>
      <c r="F1334" s="9" t="s">
        <v>703</v>
      </c>
      <c r="G1334" s="9" t="s">
        <v>704</v>
      </c>
    </row>
    <row r="1335" spans="1:7" ht="15" customHeight="1" x14ac:dyDescent="0.35">
      <c r="A1335" s="10" t="s">
        <v>1264</v>
      </c>
      <c r="B1335" s="11" t="s">
        <v>1265</v>
      </c>
      <c r="C1335" s="10" t="s">
        <v>20</v>
      </c>
      <c r="D1335" s="10" t="s">
        <v>160</v>
      </c>
      <c r="E1335" s="12">
        <v>39.170986030000002</v>
      </c>
      <c r="F1335" s="13">
        <v>0.56000000000000005</v>
      </c>
      <c r="G1335" s="13">
        <v>21.93</v>
      </c>
    </row>
    <row r="1336" spans="1:7" ht="15" customHeight="1" x14ac:dyDescent="0.35">
      <c r="A1336" s="8"/>
      <c r="B1336" s="8"/>
      <c r="C1336" s="8"/>
      <c r="D1336" s="8"/>
      <c r="E1336" s="60" t="s">
        <v>714</v>
      </c>
      <c r="F1336" s="60"/>
      <c r="G1336" s="14">
        <v>21.93</v>
      </c>
    </row>
    <row r="1337" spans="1:7" ht="15" customHeight="1" x14ac:dyDescent="0.35">
      <c r="A1337" s="59" t="s">
        <v>715</v>
      </c>
      <c r="B1337" s="59"/>
      <c r="C1337" s="9" t="s">
        <v>3</v>
      </c>
      <c r="D1337" s="9" t="s">
        <v>4</v>
      </c>
      <c r="E1337" s="9" t="s">
        <v>702</v>
      </c>
      <c r="F1337" s="9" t="s">
        <v>703</v>
      </c>
      <c r="G1337" s="9" t="s">
        <v>704</v>
      </c>
    </row>
    <row r="1338" spans="1:7" ht="15" customHeight="1" x14ac:dyDescent="0.35">
      <c r="A1338" s="10" t="s">
        <v>794</v>
      </c>
      <c r="B1338" s="11" t="s">
        <v>795</v>
      </c>
      <c r="C1338" s="10" t="s">
        <v>20</v>
      </c>
      <c r="D1338" s="10" t="s">
        <v>718</v>
      </c>
      <c r="E1338" s="12">
        <v>1.26536235</v>
      </c>
      <c r="F1338" s="13">
        <v>19.57</v>
      </c>
      <c r="G1338" s="13">
        <v>24.76</v>
      </c>
    </row>
    <row r="1339" spans="1:7" ht="15" customHeight="1" x14ac:dyDescent="0.35">
      <c r="A1339" s="10" t="s">
        <v>719</v>
      </c>
      <c r="B1339" s="11" t="s">
        <v>720</v>
      </c>
      <c r="C1339" s="10" t="s">
        <v>20</v>
      </c>
      <c r="D1339" s="10" t="s">
        <v>718</v>
      </c>
      <c r="E1339" s="12">
        <v>0.99415628</v>
      </c>
      <c r="F1339" s="13">
        <v>15.53</v>
      </c>
      <c r="G1339" s="13">
        <v>15.43</v>
      </c>
    </row>
    <row r="1340" spans="1:7" ht="18" customHeight="1" x14ac:dyDescent="0.35">
      <c r="A1340" s="8"/>
      <c r="B1340" s="8"/>
      <c r="C1340" s="8"/>
      <c r="D1340" s="8"/>
      <c r="E1340" s="60" t="s">
        <v>721</v>
      </c>
      <c r="F1340" s="60"/>
      <c r="G1340" s="14">
        <v>40.19</v>
      </c>
    </row>
    <row r="1341" spans="1:7" ht="15" customHeight="1" x14ac:dyDescent="0.35">
      <c r="A1341" s="59" t="s">
        <v>722</v>
      </c>
      <c r="B1341" s="59"/>
      <c r="C1341" s="9" t="s">
        <v>3</v>
      </c>
      <c r="D1341" s="9" t="s">
        <v>4</v>
      </c>
      <c r="E1341" s="9" t="s">
        <v>702</v>
      </c>
      <c r="F1341" s="9" t="s">
        <v>703</v>
      </c>
      <c r="G1341" s="9" t="s">
        <v>704</v>
      </c>
    </row>
    <row r="1342" spans="1:7" ht="29.15" customHeight="1" x14ac:dyDescent="0.35">
      <c r="A1342" s="10" t="s">
        <v>1266</v>
      </c>
      <c r="B1342" s="11" t="s">
        <v>1267</v>
      </c>
      <c r="C1342" s="10" t="s">
        <v>20</v>
      </c>
      <c r="D1342" s="10" t="s">
        <v>31</v>
      </c>
      <c r="E1342" s="12">
        <v>2.772904E-2</v>
      </c>
      <c r="F1342" s="13">
        <v>685.24</v>
      </c>
      <c r="G1342" s="13">
        <v>19</v>
      </c>
    </row>
    <row r="1343" spans="1:7" ht="29.15" customHeight="1" x14ac:dyDescent="0.35">
      <c r="A1343" s="10" t="s">
        <v>1268</v>
      </c>
      <c r="B1343" s="11" t="s">
        <v>1269</v>
      </c>
      <c r="C1343" s="10" t="s">
        <v>20</v>
      </c>
      <c r="D1343" s="10" t="s">
        <v>31</v>
      </c>
      <c r="E1343" s="12">
        <v>3.89004E-3</v>
      </c>
      <c r="F1343" s="13">
        <v>424.67</v>
      </c>
      <c r="G1343" s="13">
        <v>1.65</v>
      </c>
    </row>
    <row r="1344" spans="1:7" ht="20.149999999999999" customHeight="1" x14ac:dyDescent="0.35">
      <c r="A1344" s="10" t="s">
        <v>1270</v>
      </c>
      <c r="B1344" s="11" t="s">
        <v>1271</v>
      </c>
      <c r="C1344" s="10" t="s">
        <v>20</v>
      </c>
      <c r="D1344" s="10" t="s">
        <v>31</v>
      </c>
      <c r="E1344" s="12">
        <v>1.7455330000000002E-2</v>
      </c>
      <c r="F1344" s="13">
        <v>2324.25</v>
      </c>
      <c r="G1344" s="13">
        <v>40.57</v>
      </c>
    </row>
    <row r="1345" spans="1:7" ht="20.149999999999999" customHeight="1" x14ac:dyDescent="0.35">
      <c r="A1345" s="10" t="s">
        <v>1272</v>
      </c>
      <c r="B1345" s="11" t="s">
        <v>1273</v>
      </c>
      <c r="C1345" s="10" t="s">
        <v>20</v>
      </c>
      <c r="D1345" s="10" t="s">
        <v>31</v>
      </c>
      <c r="E1345" s="12">
        <v>3.590811E-2</v>
      </c>
      <c r="F1345" s="13">
        <v>239.97</v>
      </c>
      <c r="G1345" s="13">
        <v>8.61</v>
      </c>
    </row>
    <row r="1346" spans="1:7" ht="15" customHeight="1" x14ac:dyDescent="0.35">
      <c r="A1346" s="8"/>
      <c r="B1346" s="8"/>
      <c r="C1346" s="8"/>
      <c r="D1346" s="8"/>
      <c r="E1346" s="60" t="s">
        <v>725</v>
      </c>
      <c r="F1346" s="60"/>
      <c r="G1346" s="14">
        <v>69.83</v>
      </c>
    </row>
    <row r="1347" spans="1:7" ht="15" customHeight="1" x14ac:dyDescent="0.35">
      <c r="A1347" s="8"/>
      <c r="B1347" s="8"/>
      <c r="C1347" s="8"/>
      <c r="D1347" s="8"/>
      <c r="E1347" s="61" t="s">
        <v>726</v>
      </c>
      <c r="F1347" s="61"/>
      <c r="G1347" s="4">
        <v>131.94999999999999</v>
      </c>
    </row>
    <row r="1348" spans="1:7" ht="10" customHeight="1" x14ac:dyDescent="0.35">
      <c r="A1348" s="8"/>
      <c r="B1348" s="8"/>
      <c r="C1348" s="57"/>
      <c r="D1348" s="57"/>
      <c r="E1348" s="8"/>
      <c r="F1348" s="8"/>
      <c r="G1348" s="8"/>
    </row>
    <row r="1349" spans="1:7" ht="20.149999999999999" customHeight="1" x14ac:dyDescent="0.35">
      <c r="A1349" s="58" t="s">
        <v>1274</v>
      </c>
      <c r="B1349" s="58"/>
      <c r="C1349" s="58"/>
      <c r="D1349" s="58"/>
      <c r="E1349" s="58"/>
      <c r="F1349" s="58"/>
      <c r="G1349" s="58"/>
    </row>
    <row r="1350" spans="1:7" ht="15" customHeight="1" x14ac:dyDescent="0.35">
      <c r="A1350" s="59" t="s">
        <v>701</v>
      </c>
      <c r="B1350" s="59"/>
      <c r="C1350" s="9" t="s">
        <v>3</v>
      </c>
      <c r="D1350" s="9" t="s">
        <v>4</v>
      </c>
      <c r="E1350" s="9" t="s">
        <v>702</v>
      </c>
      <c r="F1350" s="9" t="s">
        <v>703</v>
      </c>
      <c r="G1350" s="9" t="s">
        <v>704</v>
      </c>
    </row>
    <row r="1351" spans="1:7" ht="20.149999999999999" customHeight="1" x14ac:dyDescent="0.35">
      <c r="A1351" s="10" t="s">
        <v>1275</v>
      </c>
      <c r="B1351" s="11" t="s">
        <v>1276</v>
      </c>
      <c r="C1351" s="10" t="s">
        <v>20</v>
      </c>
      <c r="D1351" s="10" t="s">
        <v>160</v>
      </c>
      <c r="E1351" s="12">
        <v>1</v>
      </c>
      <c r="F1351" s="13">
        <v>1.52</v>
      </c>
      <c r="G1351" s="13">
        <v>1.52</v>
      </c>
    </row>
    <row r="1352" spans="1:7" ht="15" customHeight="1" x14ac:dyDescent="0.35">
      <c r="A1352" s="8"/>
      <c r="B1352" s="8"/>
      <c r="C1352" s="8"/>
      <c r="D1352" s="8"/>
      <c r="E1352" s="60" t="s">
        <v>714</v>
      </c>
      <c r="F1352" s="60"/>
      <c r="G1352" s="14">
        <v>1.52</v>
      </c>
    </row>
    <row r="1353" spans="1:7" ht="15" customHeight="1" x14ac:dyDescent="0.35">
      <c r="A1353" s="59" t="s">
        <v>715</v>
      </c>
      <c r="B1353" s="59"/>
      <c r="C1353" s="9" t="s">
        <v>3</v>
      </c>
      <c r="D1353" s="9" t="s">
        <v>4</v>
      </c>
      <c r="E1353" s="9" t="s">
        <v>702</v>
      </c>
      <c r="F1353" s="9" t="s">
        <v>703</v>
      </c>
      <c r="G1353" s="9" t="s">
        <v>704</v>
      </c>
    </row>
    <row r="1354" spans="1:7" ht="15" customHeight="1" x14ac:dyDescent="0.35">
      <c r="A1354" s="10" t="s">
        <v>1116</v>
      </c>
      <c r="B1354" s="11" t="s">
        <v>1117</v>
      </c>
      <c r="C1354" s="10" t="s">
        <v>20</v>
      </c>
      <c r="D1354" s="10" t="s">
        <v>718</v>
      </c>
      <c r="E1354" s="12">
        <v>0.24000698000000001</v>
      </c>
      <c r="F1354" s="13">
        <v>15.79</v>
      </c>
      <c r="G1354" s="13">
        <v>3.78</v>
      </c>
    </row>
    <row r="1355" spans="1:7" ht="15" customHeight="1" x14ac:dyDescent="0.35">
      <c r="A1355" s="10" t="s">
        <v>1118</v>
      </c>
      <c r="B1355" s="11" t="s">
        <v>1119</v>
      </c>
      <c r="C1355" s="10" t="s">
        <v>20</v>
      </c>
      <c r="D1355" s="10" t="s">
        <v>718</v>
      </c>
      <c r="E1355" s="12">
        <v>0.24062796</v>
      </c>
      <c r="F1355" s="13">
        <v>19.79</v>
      </c>
      <c r="G1355" s="13">
        <v>4.76</v>
      </c>
    </row>
    <row r="1356" spans="1:7" ht="18" customHeight="1" x14ac:dyDescent="0.35">
      <c r="A1356" s="8"/>
      <c r="B1356" s="8"/>
      <c r="C1356" s="8"/>
      <c r="D1356" s="8"/>
      <c r="E1356" s="60" t="s">
        <v>721</v>
      </c>
      <c r="F1356" s="60"/>
      <c r="G1356" s="14">
        <v>8.5399999999999991</v>
      </c>
    </row>
    <row r="1357" spans="1:7" ht="15" customHeight="1" x14ac:dyDescent="0.35">
      <c r="A1357" s="59" t="s">
        <v>722</v>
      </c>
      <c r="B1357" s="59"/>
      <c r="C1357" s="9" t="s">
        <v>3</v>
      </c>
      <c r="D1357" s="9" t="s">
        <v>4</v>
      </c>
      <c r="E1357" s="9" t="s">
        <v>702</v>
      </c>
      <c r="F1357" s="9" t="s">
        <v>703</v>
      </c>
      <c r="G1357" s="9" t="s">
        <v>704</v>
      </c>
    </row>
    <row r="1358" spans="1:7" ht="20.149999999999999" customHeight="1" x14ac:dyDescent="0.35">
      <c r="A1358" s="10" t="s">
        <v>945</v>
      </c>
      <c r="B1358" s="11" t="s">
        <v>946</v>
      </c>
      <c r="C1358" s="10" t="s">
        <v>20</v>
      </c>
      <c r="D1358" s="10" t="s">
        <v>31</v>
      </c>
      <c r="E1358" s="12">
        <v>8.7677000000000002E-4</v>
      </c>
      <c r="F1358" s="13">
        <v>581.66999999999996</v>
      </c>
      <c r="G1358" s="13">
        <v>0.5</v>
      </c>
    </row>
    <row r="1359" spans="1:7" ht="15" customHeight="1" x14ac:dyDescent="0.35">
      <c r="A1359" s="8"/>
      <c r="B1359" s="8"/>
      <c r="C1359" s="8"/>
      <c r="D1359" s="8"/>
      <c r="E1359" s="60" t="s">
        <v>725</v>
      </c>
      <c r="F1359" s="60"/>
      <c r="G1359" s="14">
        <v>0.5</v>
      </c>
    </row>
    <row r="1360" spans="1:7" ht="15" customHeight="1" x14ac:dyDescent="0.35">
      <c r="A1360" s="8"/>
      <c r="B1360" s="8"/>
      <c r="C1360" s="8"/>
      <c r="D1360" s="8"/>
      <c r="E1360" s="61" t="s">
        <v>726</v>
      </c>
      <c r="F1360" s="61"/>
      <c r="G1360" s="4">
        <v>10.56</v>
      </c>
    </row>
    <row r="1361" spans="1:7" ht="10" customHeight="1" x14ac:dyDescent="0.35">
      <c r="A1361" s="8"/>
      <c r="B1361" s="8"/>
      <c r="C1361" s="57"/>
      <c r="D1361" s="57"/>
      <c r="E1361" s="8"/>
      <c r="F1361" s="8"/>
      <c r="G1361" s="8"/>
    </row>
    <row r="1362" spans="1:7" ht="20.149999999999999" customHeight="1" x14ac:dyDescent="0.35">
      <c r="A1362" s="58" t="s">
        <v>1277</v>
      </c>
      <c r="B1362" s="58"/>
      <c r="C1362" s="58"/>
      <c r="D1362" s="58"/>
      <c r="E1362" s="58"/>
      <c r="F1362" s="58"/>
      <c r="G1362" s="58"/>
    </row>
    <row r="1363" spans="1:7" ht="15" customHeight="1" x14ac:dyDescent="0.35">
      <c r="A1363" s="59" t="s">
        <v>701</v>
      </c>
      <c r="B1363" s="59"/>
      <c r="C1363" s="9" t="s">
        <v>3</v>
      </c>
      <c r="D1363" s="9" t="s">
        <v>4</v>
      </c>
      <c r="E1363" s="9" t="s">
        <v>702</v>
      </c>
      <c r="F1363" s="9" t="s">
        <v>703</v>
      </c>
      <c r="G1363" s="9" t="s">
        <v>704</v>
      </c>
    </row>
    <row r="1364" spans="1:7" ht="15" customHeight="1" x14ac:dyDescent="0.35">
      <c r="A1364" s="10" t="s">
        <v>1278</v>
      </c>
      <c r="B1364" s="11" t="s">
        <v>1279</v>
      </c>
      <c r="C1364" s="10" t="s">
        <v>20</v>
      </c>
      <c r="D1364" s="10" t="s">
        <v>160</v>
      </c>
      <c r="E1364" s="12">
        <v>1</v>
      </c>
      <c r="F1364" s="13">
        <v>59.14</v>
      </c>
      <c r="G1364" s="13">
        <v>59.14</v>
      </c>
    </row>
    <row r="1365" spans="1:7" ht="20.149999999999999" customHeight="1" x14ac:dyDescent="0.35">
      <c r="A1365" s="10" t="s">
        <v>1280</v>
      </c>
      <c r="B1365" s="11" t="s">
        <v>1281</v>
      </c>
      <c r="C1365" s="10" t="s">
        <v>20</v>
      </c>
      <c r="D1365" s="10" t="s">
        <v>160</v>
      </c>
      <c r="E1365" s="12">
        <v>3</v>
      </c>
      <c r="F1365" s="13">
        <v>0.98</v>
      </c>
      <c r="G1365" s="13">
        <v>2.94</v>
      </c>
    </row>
    <row r="1366" spans="1:7" ht="15" customHeight="1" x14ac:dyDescent="0.35">
      <c r="A1366" s="8"/>
      <c r="B1366" s="8"/>
      <c r="C1366" s="8"/>
      <c r="D1366" s="8"/>
      <c r="E1366" s="60" t="s">
        <v>714</v>
      </c>
      <c r="F1366" s="60"/>
      <c r="G1366" s="14">
        <v>62.08</v>
      </c>
    </row>
    <row r="1367" spans="1:7" ht="15" customHeight="1" x14ac:dyDescent="0.35">
      <c r="A1367" s="59" t="s">
        <v>715</v>
      </c>
      <c r="B1367" s="59"/>
      <c r="C1367" s="9" t="s">
        <v>3</v>
      </c>
      <c r="D1367" s="9" t="s">
        <v>4</v>
      </c>
      <c r="E1367" s="9" t="s">
        <v>702</v>
      </c>
      <c r="F1367" s="9" t="s">
        <v>703</v>
      </c>
      <c r="G1367" s="9" t="s">
        <v>704</v>
      </c>
    </row>
    <row r="1368" spans="1:7" ht="15" customHeight="1" x14ac:dyDescent="0.35">
      <c r="A1368" s="10" t="s">
        <v>1116</v>
      </c>
      <c r="B1368" s="11" t="s">
        <v>1117</v>
      </c>
      <c r="C1368" s="10" t="s">
        <v>20</v>
      </c>
      <c r="D1368" s="10" t="s">
        <v>718</v>
      </c>
      <c r="E1368" s="12">
        <v>0.16789104999999999</v>
      </c>
      <c r="F1368" s="13">
        <v>15.79</v>
      </c>
      <c r="G1368" s="13">
        <v>2.65</v>
      </c>
    </row>
    <row r="1369" spans="1:7" ht="15" customHeight="1" x14ac:dyDescent="0.35">
      <c r="A1369" s="10" t="s">
        <v>1118</v>
      </c>
      <c r="B1369" s="11" t="s">
        <v>1119</v>
      </c>
      <c r="C1369" s="10" t="s">
        <v>20</v>
      </c>
      <c r="D1369" s="10" t="s">
        <v>718</v>
      </c>
      <c r="E1369" s="12">
        <v>0.17409642</v>
      </c>
      <c r="F1369" s="13">
        <v>19.79</v>
      </c>
      <c r="G1369" s="13">
        <v>3.44</v>
      </c>
    </row>
    <row r="1370" spans="1:7" ht="18" customHeight="1" x14ac:dyDescent="0.35">
      <c r="A1370" s="8"/>
      <c r="B1370" s="8"/>
      <c r="C1370" s="8"/>
      <c r="D1370" s="8"/>
      <c r="E1370" s="60" t="s">
        <v>721</v>
      </c>
      <c r="F1370" s="60"/>
      <c r="G1370" s="14">
        <v>6.09</v>
      </c>
    </row>
    <row r="1371" spans="1:7" ht="15" customHeight="1" x14ac:dyDescent="0.35">
      <c r="A1371" s="8"/>
      <c r="B1371" s="8"/>
      <c r="C1371" s="8"/>
      <c r="D1371" s="8"/>
      <c r="E1371" s="61" t="s">
        <v>726</v>
      </c>
      <c r="F1371" s="61"/>
      <c r="G1371" s="4">
        <v>68.17</v>
      </c>
    </row>
    <row r="1372" spans="1:7" ht="10" customHeight="1" x14ac:dyDescent="0.35">
      <c r="A1372" s="8"/>
      <c r="B1372" s="8"/>
      <c r="C1372" s="57"/>
      <c r="D1372" s="57"/>
      <c r="E1372" s="8"/>
      <c r="F1372" s="8"/>
      <c r="G1372" s="8"/>
    </row>
    <row r="1373" spans="1:7" ht="20.149999999999999" customHeight="1" x14ac:dyDescent="0.35">
      <c r="A1373" s="58" t="s">
        <v>1282</v>
      </c>
      <c r="B1373" s="58"/>
      <c r="C1373" s="58"/>
      <c r="D1373" s="58"/>
      <c r="E1373" s="58"/>
      <c r="F1373" s="58"/>
      <c r="G1373" s="58"/>
    </row>
    <row r="1374" spans="1:7" ht="15" customHeight="1" x14ac:dyDescent="0.35">
      <c r="A1374" s="59" t="s">
        <v>701</v>
      </c>
      <c r="B1374" s="59"/>
      <c r="C1374" s="9" t="s">
        <v>3</v>
      </c>
      <c r="D1374" s="9" t="s">
        <v>4</v>
      </c>
      <c r="E1374" s="9" t="s">
        <v>702</v>
      </c>
      <c r="F1374" s="9" t="s">
        <v>703</v>
      </c>
      <c r="G1374" s="9" t="s">
        <v>704</v>
      </c>
    </row>
    <row r="1375" spans="1:7" ht="15" customHeight="1" x14ac:dyDescent="0.35">
      <c r="A1375" s="10" t="s">
        <v>1278</v>
      </c>
      <c r="B1375" s="11" t="s">
        <v>1279</v>
      </c>
      <c r="C1375" s="10" t="s">
        <v>20</v>
      </c>
      <c r="D1375" s="10" t="s">
        <v>160</v>
      </c>
      <c r="E1375" s="12">
        <v>1</v>
      </c>
      <c r="F1375" s="13">
        <v>59.14</v>
      </c>
      <c r="G1375" s="13">
        <v>59.14</v>
      </c>
    </row>
    <row r="1376" spans="1:7" ht="20.149999999999999" customHeight="1" x14ac:dyDescent="0.35">
      <c r="A1376" s="10" t="s">
        <v>1283</v>
      </c>
      <c r="B1376" s="11" t="s">
        <v>1284</v>
      </c>
      <c r="C1376" s="10" t="s">
        <v>20</v>
      </c>
      <c r="D1376" s="10" t="s">
        <v>160</v>
      </c>
      <c r="E1376" s="12">
        <v>3</v>
      </c>
      <c r="F1376" s="13">
        <v>1.18</v>
      </c>
      <c r="G1376" s="13">
        <v>3.54</v>
      </c>
    </row>
    <row r="1377" spans="1:7" ht="15" customHeight="1" x14ac:dyDescent="0.35">
      <c r="A1377" s="8"/>
      <c r="B1377" s="8"/>
      <c r="C1377" s="8"/>
      <c r="D1377" s="8"/>
      <c r="E1377" s="60" t="s">
        <v>714</v>
      </c>
      <c r="F1377" s="60"/>
      <c r="G1377" s="14">
        <v>62.68</v>
      </c>
    </row>
    <row r="1378" spans="1:7" ht="15" customHeight="1" x14ac:dyDescent="0.35">
      <c r="A1378" s="59" t="s">
        <v>715</v>
      </c>
      <c r="B1378" s="59"/>
      <c r="C1378" s="9" t="s">
        <v>3</v>
      </c>
      <c r="D1378" s="9" t="s">
        <v>4</v>
      </c>
      <c r="E1378" s="9" t="s">
        <v>702</v>
      </c>
      <c r="F1378" s="9" t="s">
        <v>703</v>
      </c>
      <c r="G1378" s="9" t="s">
        <v>704</v>
      </c>
    </row>
    <row r="1379" spans="1:7" ht="15" customHeight="1" x14ac:dyDescent="0.35">
      <c r="A1379" s="10" t="s">
        <v>1116</v>
      </c>
      <c r="B1379" s="11" t="s">
        <v>1117</v>
      </c>
      <c r="C1379" s="10" t="s">
        <v>20</v>
      </c>
      <c r="D1379" s="10" t="s">
        <v>718</v>
      </c>
      <c r="E1379" s="12">
        <v>0.24346970000000001</v>
      </c>
      <c r="F1379" s="13">
        <v>15.79</v>
      </c>
      <c r="G1379" s="13">
        <v>3.84</v>
      </c>
    </row>
    <row r="1380" spans="1:7" ht="15" customHeight="1" x14ac:dyDescent="0.35">
      <c r="A1380" s="10" t="s">
        <v>1118</v>
      </c>
      <c r="B1380" s="11" t="s">
        <v>1119</v>
      </c>
      <c r="C1380" s="10" t="s">
        <v>20</v>
      </c>
      <c r="D1380" s="10" t="s">
        <v>718</v>
      </c>
      <c r="E1380" s="12">
        <v>0.24334067000000001</v>
      </c>
      <c r="F1380" s="13">
        <v>19.79</v>
      </c>
      <c r="G1380" s="13">
        <v>4.8099999999999996</v>
      </c>
    </row>
    <row r="1381" spans="1:7" ht="18" customHeight="1" x14ac:dyDescent="0.35">
      <c r="A1381" s="8"/>
      <c r="B1381" s="8"/>
      <c r="C1381" s="8"/>
      <c r="D1381" s="8"/>
      <c r="E1381" s="60" t="s">
        <v>721</v>
      </c>
      <c r="F1381" s="60"/>
      <c r="G1381" s="14">
        <v>8.65</v>
      </c>
    </row>
    <row r="1382" spans="1:7" ht="15" customHeight="1" x14ac:dyDescent="0.35">
      <c r="A1382" s="8"/>
      <c r="B1382" s="8"/>
      <c r="C1382" s="8"/>
      <c r="D1382" s="8"/>
      <c r="E1382" s="61" t="s">
        <v>726</v>
      </c>
      <c r="F1382" s="61"/>
      <c r="G1382" s="4">
        <v>71.33</v>
      </c>
    </row>
    <row r="1383" spans="1:7" ht="10" customHeight="1" x14ac:dyDescent="0.35">
      <c r="A1383" s="8"/>
      <c r="B1383" s="8"/>
      <c r="C1383" s="57"/>
      <c r="D1383" s="57"/>
      <c r="E1383" s="8"/>
      <c r="F1383" s="8"/>
      <c r="G1383" s="8"/>
    </row>
    <row r="1384" spans="1:7" ht="20.149999999999999" customHeight="1" x14ac:dyDescent="0.35">
      <c r="A1384" s="58" t="s">
        <v>1285</v>
      </c>
      <c r="B1384" s="58"/>
      <c r="C1384" s="58"/>
      <c r="D1384" s="58"/>
      <c r="E1384" s="58"/>
      <c r="F1384" s="58"/>
      <c r="G1384" s="58"/>
    </row>
    <row r="1385" spans="1:7" ht="15" customHeight="1" x14ac:dyDescent="0.35">
      <c r="A1385" s="59" t="s">
        <v>1008</v>
      </c>
      <c r="B1385" s="59"/>
      <c r="C1385" s="9" t="s">
        <v>3</v>
      </c>
      <c r="D1385" s="9" t="s">
        <v>4</v>
      </c>
      <c r="E1385" s="9" t="s">
        <v>702</v>
      </c>
      <c r="F1385" s="9" t="s">
        <v>703</v>
      </c>
      <c r="G1385" s="9" t="s">
        <v>704</v>
      </c>
    </row>
    <row r="1386" spans="1:7" ht="15" customHeight="1" x14ac:dyDescent="0.35">
      <c r="A1386" s="10" t="s">
        <v>1158</v>
      </c>
      <c r="B1386" s="11" t="s">
        <v>1159</v>
      </c>
      <c r="C1386" s="10" t="s">
        <v>226</v>
      </c>
      <c r="D1386" s="10" t="s">
        <v>1011</v>
      </c>
      <c r="E1386" s="12">
        <v>0.58793187999999996</v>
      </c>
      <c r="F1386" s="13">
        <v>3.57</v>
      </c>
      <c r="G1386" s="13">
        <v>2.1</v>
      </c>
    </row>
    <row r="1387" spans="1:7" ht="15" customHeight="1" x14ac:dyDescent="0.35">
      <c r="A1387" s="10" t="s">
        <v>1012</v>
      </c>
      <c r="B1387" s="11" t="s">
        <v>1013</v>
      </c>
      <c r="C1387" s="10" t="s">
        <v>226</v>
      </c>
      <c r="D1387" s="10" t="s">
        <v>1011</v>
      </c>
      <c r="E1387" s="12">
        <v>0.58804482999999996</v>
      </c>
      <c r="F1387" s="13">
        <v>3.72</v>
      </c>
      <c r="G1387" s="13">
        <v>2.19</v>
      </c>
    </row>
    <row r="1388" spans="1:7" ht="15" customHeight="1" x14ac:dyDescent="0.35">
      <c r="A1388" s="8"/>
      <c r="B1388" s="8"/>
      <c r="C1388" s="8"/>
      <c r="D1388" s="8"/>
      <c r="E1388" s="60" t="s">
        <v>1014</v>
      </c>
      <c r="F1388" s="60"/>
      <c r="G1388" s="14">
        <v>4.29</v>
      </c>
    </row>
    <row r="1389" spans="1:7" ht="15" customHeight="1" x14ac:dyDescent="0.35">
      <c r="A1389" s="59" t="s">
        <v>701</v>
      </c>
      <c r="B1389" s="59"/>
      <c r="C1389" s="9" t="s">
        <v>3</v>
      </c>
      <c r="D1389" s="9" t="s">
        <v>4</v>
      </c>
      <c r="E1389" s="9" t="s">
        <v>702</v>
      </c>
      <c r="F1389" s="9" t="s">
        <v>703</v>
      </c>
      <c r="G1389" s="9" t="s">
        <v>704</v>
      </c>
    </row>
    <row r="1390" spans="1:7" ht="20.149999999999999" customHeight="1" x14ac:dyDescent="0.35">
      <c r="A1390" s="10" t="s">
        <v>1286</v>
      </c>
      <c r="B1390" s="11" t="s">
        <v>1287</v>
      </c>
      <c r="C1390" s="10" t="s">
        <v>226</v>
      </c>
      <c r="D1390" s="10" t="s">
        <v>359</v>
      </c>
      <c r="E1390" s="12">
        <v>1</v>
      </c>
      <c r="F1390" s="13">
        <v>57.72</v>
      </c>
      <c r="G1390" s="13">
        <v>57.72</v>
      </c>
    </row>
    <row r="1391" spans="1:7" ht="15" customHeight="1" x14ac:dyDescent="0.35">
      <c r="A1391" s="8"/>
      <c r="B1391" s="8"/>
      <c r="C1391" s="8"/>
      <c r="D1391" s="8"/>
      <c r="E1391" s="60" t="s">
        <v>714</v>
      </c>
      <c r="F1391" s="60"/>
      <c r="G1391" s="14">
        <v>57.72</v>
      </c>
    </row>
    <row r="1392" spans="1:7" ht="15" customHeight="1" x14ac:dyDescent="0.35">
      <c r="A1392" s="59" t="s">
        <v>1020</v>
      </c>
      <c r="B1392" s="59"/>
      <c r="C1392" s="9" t="s">
        <v>3</v>
      </c>
      <c r="D1392" s="9" t="s">
        <v>4</v>
      </c>
      <c r="E1392" s="9" t="s">
        <v>702</v>
      </c>
      <c r="F1392" s="9" t="s">
        <v>703</v>
      </c>
      <c r="G1392" s="9" t="s">
        <v>704</v>
      </c>
    </row>
    <row r="1393" spans="1:7" ht="15" customHeight="1" x14ac:dyDescent="0.35">
      <c r="A1393" s="10" t="s">
        <v>1171</v>
      </c>
      <c r="B1393" s="11" t="s">
        <v>1172</v>
      </c>
      <c r="C1393" s="10" t="s">
        <v>226</v>
      </c>
      <c r="D1393" s="10" t="s">
        <v>1011</v>
      </c>
      <c r="E1393" s="12">
        <v>0.59012766999999999</v>
      </c>
      <c r="F1393" s="13">
        <v>16.52</v>
      </c>
      <c r="G1393" s="13">
        <v>9.75</v>
      </c>
    </row>
    <row r="1394" spans="1:7" ht="15" customHeight="1" x14ac:dyDescent="0.35">
      <c r="A1394" s="10" t="s">
        <v>1023</v>
      </c>
      <c r="B1394" s="11" t="s">
        <v>1024</v>
      </c>
      <c r="C1394" s="10" t="s">
        <v>226</v>
      </c>
      <c r="D1394" s="10" t="s">
        <v>1011</v>
      </c>
      <c r="E1394" s="12">
        <v>0.59073299999999995</v>
      </c>
      <c r="F1394" s="13">
        <v>11.65</v>
      </c>
      <c r="G1394" s="13">
        <v>6.88</v>
      </c>
    </row>
    <row r="1395" spans="1:7" ht="15" customHeight="1" x14ac:dyDescent="0.35">
      <c r="A1395" s="8"/>
      <c r="B1395" s="8"/>
      <c r="C1395" s="8"/>
      <c r="D1395" s="8"/>
      <c r="E1395" s="60" t="s">
        <v>1025</v>
      </c>
      <c r="F1395" s="60"/>
      <c r="G1395" s="14">
        <v>16.63</v>
      </c>
    </row>
    <row r="1396" spans="1:7" ht="15" customHeight="1" x14ac:dyDescent="0.35">
      <c r="A1396" s="8"/>
      <c r="B1396" s="8"/>
      <c r="C1396" s="8"/>
      <c r="D1396" s="8"/>
      <c r="E1396" s="61" t="s">
        <v>726</v>
      </c>
      <c r="F1396" s="61"/>
      <c r="G1396" s="4">
        <v>78.64</v>
      </c>
    </row>
    <row r="1397" spans="1:7" ht="10" customHeight="1" x14ac:dyDescent="0.35">
      <c r="A1397" s="8"/>
      <c r="B1397" s="8"/>
      <c r="C1397" s="57"/>
      <c r="D1397" s="57"/>
      <c r="E1397" s="8"/>
      <c r="F1397" s="8"/>
      <c r="G1397" s="8"/>
    </row>
    <row r="1398" spans="1:7" ht="20.149999999999999" customHeight="1" x14ac:dyDescent="0.35">
      <c r="A1398" s="58" t="s">
        <v>1288</v>
      </c>
      <c r="B1398" s="58"/>
      <c r="C1398" s="58"/>
      <c r="D1398" s="58"/>
      <c r="E1398" s="58"/>
      <c r="F1398" s="58"/>
      <c r="G1398" s="58"/>
    </row>
    <row r="1399" spans="1:7" ht="15" customHeight="1" x14ac:dyDescent="0.35">
      <c r="A1399" s="59" t="s">
        <v>701</v>
      </c>
      <c r="B1399" s="59"/>
      <c r="C1399" s="9" t="s">
        <v>3</v>
      </c>
      <c r="D1399" s="9" t="s">
        <v>4</v>
      </c>
      <c r="E1399" s="9" t="s">
        <v>702</v>
      </c>
      <c r="F1399" s="9" t="s">
        <v>703</v>
      </c>
      <c r="G1399" s="9" t="s">
        <v>704</v>
      </c>
    </row>
    <row r="1400" spans="1:7" ht="15" customHeight="1" x14ac:dyDescent="0.35">
      <c r="A1400" s="10" t="s">
        <v>1289</v>
      </c>
      <c r="B1400" s="11" t="s">
        <v>1290</v>
      </c>
      <c r="C1400" s="10" t="s">
        <v>20</v>
      </c>
      <c r="D1400" s="10" t="s">
        <v>160</v>
      </c>
      <c r="E1400" s="12">
        <v>1</v>
      </c>
      <c r="F1400" s="13">
        <v>8.42</v>
      </c>
      <c r="G1400" s="13">
        <v>8.42</v>
      </c>
    </row>
    <row r="1401" spans="1:7" ht="29.15" customHeight="1" x14ac:dyDescent="0.35">
      <c r="A1401" s="10" t="s">
        <v>1291</v>
      </c>
      <c r="B1401" s="11" t="s">
        <v>1292</v>
      </c>
      <c r="C1401" s="10" t="s">
        <v>20</v>
      </c>
      <c r="D1401" s="10" t="s">
        <v>160</v>
      </c>
      <c r="E1401" s="12">
        <v>1</v>
      </c>
      <c r="F1401" s="13">
        <v>0.75</v>
      </c>
      <c r="G1401" s="13">
        <v>0.75</v>
      </c>
    </row>
    <row r="1402" spans="1:7" ht="15" customHeight="1" x14ac:dyDescent="0.35">
      <c r="A1402" s="8"/>
      <c r="B1402" s="8"/>
      <c r="C1402" s="8"/>
      <c r="D1402" s="8"/>
      <c r="E1402" s="60" t="s">
        <v>714</v>
      </c>
      <c r="F1402" s="60"/>
      <c r="G1402" s="14">
        <v>9.17</v>
      </c>
    </row>
    <row r="1403" spans="1:7" ht="15" customHeight="1" x14ac:dyDescent="0.35">
      <c r="A1403" s="59" t="s">
        <v>715</v>
      </c>
      <c r="B1403" s="59"/>
      <c r="C1403" s="9" t="s">
        <v>3</v>
      </c>
      <c r="D1403" s="9" t="s">
        <v>4</v>
      </c>
      <c r="E1403" s="9" t="s">
        <v>702</v>
      </c>
      <c r="F1403" s="9" t="s">
        <v>703</v>
      </c>
      <c r="G1403" s="9" t="s">
        <v>704</v>
      </c>
    </row>
    <row r="1404" spans="1:7" ht="15" customHeight="1" x14ac:dyDescent="0.35">
      <c r="A1404" s="10" t="s">
        <v>1116</v>
      </c>
      <c r="B1404" s="11" t="s">
        <v>1117</v>
      </c>
      <c r="C1404" s="10" t="s">
        <v>20</v>
      </c>
      <c r="D1404" s="10" t="s">
        <v>718</v>
      </c>
      <c r="E1404" s="12">
        <v>2.784876E-2</v>
      </c>
      <c r="F1404" s="13">
        <v>15.79</v>
      </c>
      <c r="G1404" s="13">
        <v>0.43</v>
      </c>
    </row>
    <row r="1405" spans="1:7" ht="15" customHeight="1" x14ac:dyDescent="0.35">
      <c r="A1405" s="10" t="s">
        <v>1118</v>
      </c>
      <c r="B1405" s="11" t="s">
        <v>1119</v>
      </c>
      <c r="C1405" s="10" t="s">
        <v>20</v>
      </c>
      <c r="D1405" s="10" t="s">
        <v>718</v>
      </c>
      <c r="E1405" s="12">
        <v>3.4044039999999998E-2</v>
      </c>
      <c r="F1405" s="13">
        <v>19.79</v>
      </c>
      <c r="G1405" s="13">
        <v>0.67</v>
      </c>
    </row>
    <row r="1406" spans="1:7" ht="18" customHeight="1" x14ac:dyDescent="0.35">
      <c r="A1406" s="8"/>
      <c r="B1406" s="8"/>
      <c r="C1406" s="8"/>
      <c r="D1406" s="8"/>
      <c r="E1406" s="60" t="s">
        <v>721</v>
      </c>
      <c r="F1406" s="60"/>
      <c r="G1406" s="14">
        <v>1.1000000000000001</v>
      </c>
    </row>
    <row r="1407" spans="1:7" ht="15" customHeight="1" x14ac:dyDescent="0.35">
      <c r="A1407" s="8"/>
      <c r="B1407" s="8"/>
      <c r="C1407" s="8"/>
      <c r="D1407" s="8"/>
      <c r="E1407" s="61" t="s">
        <v>726</v>
      </c>
      <c r="F1407" s="61"/>
      <c r="G1407" s="4">
        <v>10.27</v>
      </c>
    </row>
    <row r="1408" spans="1:7" ht="10" customHeight="1" x14ac:dyDescent="0.35">
      <c r="A1408" s="8"/>
      <c r="B1408" s="8"/>
      <c r="C1408" s="57"/>
      <c r="D1408" s="57"/>
      <c r="E1408" s="8"/>
      <c r="F1408" s="8"/>
      <c r="G1408" s="8"/>
    </row>
    <row r="1409" spans="1:7" ht="20.149999999999999" customHeight="1" x14ac:dyDescent="0.35">
      <c r="A1409" s="58" t="s">
        <v>1293</v>
      </c>
      <c r="B1409" s="58"/>
      <c r="C1409" s="58"/>
      <c r="D1409" s="58"/>
      <c r="E1409" s="58"/>
      <c r="F1409" s="58"/>
      <c r="G1409" s="58"/>
    </row>
    <row r="1410" spans="1:7" ht="15" customHeight="1" x14ac:dyDescent="0.35">
      <c r="A1410" s="59" t="s">
        <v>701</v>
      </c>
      <c r="B1410" s="59"/>
      <c r="C1410" s="9" t="s">
        <v>3</v>
      </c>
      <c r="D1410" s="9" t="s">
        <v>4</v>
      </c>
      <c r="E1410" s="9" t="s">
        <v>702</v>
      </c>
      <c r="F1410" s="9" t="s">
        <v>703</v>
      </c>
      <c r="G1410" s="9" t="s">
        <v>704</v>
      </c>
    </row>
    <row r="1411" spans="1:7" ht="15" customHeight="1" x14ac:dyDescent="0.35">
      <c r="A1411" s="10" t="s">
        <v>1289</v>
      </c>
      <c r="B1411" s="11" t="s">
        <v>1290</v>
      </c>
      <c r="C1411" s="10" t="s">
        <v>20</v>
      </c>
      <c r="D1411" s="10" t="s">
        <v>160</v>
      </c>
      <c r="E1411" s="12">
        <v>1</v>
      </c>
      <c r="F1411" s="13">
        <v>8.42</v>
      </c>
      <c r="G1411" s="13">
        <v>8.42</v>
      </c>
    </row>
    <row r="1412" spans="1:7" ht="29.15" customHeight="1" x14ac:dyDescent="0.35">
      <c r="A1412" s="10" t="s">
        <v>1291</v>
      </c>
      <c r="B1412" s="11" t="s">
        <v>1292</v>
      </c>
      <c r="C1412" s="10" t="s">
        <v>20</v>
      </c>
      <c r="D1412" s="10" t="s">
        <v>160</v>
      </c>
      <c r="E1412" s="12">
        <v>1</v>
      </c>
      <c r="F1412" s="13">
        <v>0.75</v>
      </c>
      <c r="G1412" s="13">
        <v>0.75</v>
      </c>
    </row>
    <row r="1413" spans="1:7" ht="15" customHeight="1" x14ac:dyDescent="0.35">
      <c r="A1413" s="8"/>
      <c r="B1413" s="8"/>
      <c r="C1413" s="8"/>
      <c r="D1413" s="8"/>
      <c r="E1413" s="60" t="s">
        <v>714</v>
      </c>
      <c r="F1413" s="60"/>
      <c r="G1413" s="14">
        <v>9.17</v>
      </c>
    </row>
    <row r="1414" spans="1:7" ht="15" customHeight="1" x14ac:dyDescent="0.35">
      <c r="A1414" s="59" t="s">
        <v>715</v>
      </c>
      <c r="B1414" s="59"/>
      <c r="C1414" s="9" t="s">
        <v>3</v>
      </c>
      <c r="D1414" s="9" t="s">
        <v>4</v>
      </c>
      <c r="E1414" s="9" t="s">
        <v>702</v>
      </c>
      <c r="F1414" s="9" t="s">
        <v>703</v>
      </c>
      <c r="G1414" s="9" t="s">
        <v>704</v>
      </c>
    </row>
    <row r="1415" spans="1:7" ht="15" customHeight="1" x14ac:dyDescent="0.35">
      <c r="A1415" s="10" t="s">
        <v>1116</v>
      </c>
      <c r="B1415" s="11" t="s">
        <v>1117</v>
      </c>
      <c r="C1415" s="10" t="s">
        <v>20</v>
      </c>
      <c r="D1415" s="10" t="s">
        <v>718</v>
      </c>
      <c r="E1415" s="12">
        <v>4.25607E-2</v>
      </c>
      <c r="F1415" s="13">
        <v>15.79</v>
      </c>
      <c r="G1415" s="13">
        <v>0.67</v>
      </c>
    </row>
    <row r="1416" spans="1:7" ht="15" customHeight="1" x14ac:dyDescent="0.35">
      <c r="A1416" s="10" t="s">
        <v>1118</v>
      </c>
      <c r="B1416" s="11" t="s">
        <v>1119</v>
      </c>
      <c r="C1416" s="10" t="s">
        <v>20</v>
      </c>
      <c r="D1416" s="10" t="s">
        <v>718</v>
      </c>
      <c r="E1416" s="12">
        <v>4.3429910000000002E-2</v>
      </c>
      <c r="F1416" s="13">
        <v>19.79</v>
      </c>
      <c r="G1416" s="13">
        <v>0.85</v>
      </c>
    </row>
    <row r="1417" spans="1:7" ht="18" customHeight="1" x14ac:dyDescent="0.35">
      <c r="A1417" s="8"/>
      <c r="B1417" s="8"/>
      <c r="C1417" s="8"/>
      <c r="D1417" s="8"/>
      <c r="E1417" s="60" t="s">
        <v>721</v>
      </c>
      <c r="F1417" s="60"/>
      <c r="G1417" s="14">
        <v>1.52</v>
      </c>
    </row>
    <row r="1418" spans="1:7" ht="15" customHeight="1" x14ac:dyDescent="0.35">
      <c r="A1418" s="8"/>
      <c r="B1418" s="8"/>
      <c r="C1418" s="8"/>
      <c r="D1418" s="8"/>
      <c r="E1418" s="61" t="s">
        <v>726</v>
      </c>
      <c r="F1418" s="61"/>
      <c r="G1418" s="4">
        <v>10.69</v>
      </c>
    </row>
    <row r="1419" spans="1:7" ht="10" customHeight="1" x14ac:dyDescent="0.35">
      <c r="A1419" s="8"/>
      <c r="B1419" s="8"/>
      <c r="C1419" s="57"/>
      <c r="D1419" s="57"/>
      <c r="E1419" s="8"/>
      <c r="F1419" s="8"/>
      <c r="G1419" s="8"/>
    </row>
    <row r="1420" spans="1:7" ht="20.149999999999999" customHeight="1" x14ac:dyDescent="0.35">
      <c r="A1420" s="58" t="s">
        <v>1294</v>
      </c>
      <c r="B1420" s="58"/>
      <c r="C1420" s="58"/>
      <c r="D1420" s="58"/>
      <c r="E1420" s="58"/>
      <c r="F1420" s="58"/>
      <c r="G1420" s="58"/>
    </row>
    <row r="1421" spans="1:7" ht="15" customHeight="1" x14ac:dyDescent="0.35">
      <c r="A1421" s="59" t="s">
        <v>701</v>
      </c>
      <c r="B1421" s="59"/>
      <c r="C1421" s="9" t="s">
        <v>3</v>
      </c>
      <c r="D1421" s="9" t="s">
        <v>4</v>
      </c>
      <c r="E1421" s="9" t="s">
        <v>702</v>
      </c>
      <c r="F1421" s="9" t="s">
        <v>703</v>
      </c>
      <c r="G1421" s="9" t="s">
        <v>704</v>
      </c>
    </row>
    <row r="1422" spans="1:7" ht="15" customHeight="1" x14ac:dyDescent="0.35">
      <c r="A1422" s="10" t="s">
        <v>1289</v>
      </c>
      <c r="B1422" s="11" t="s">
        <v>1290</v>
      </c>
      <c r="C1422" s="10" t="s">
        <v>20</v>
      </c>
      <c r="D1422" s="10" t="s">
        <v>160</v>
      </c>
      <c r="E1422" s="12">
        <v>1</v>
      </c>
      <c r="F1422" s="13">
        <v>8.42</v>
      </c>
      <c r="G1422" s="13">
        <v>8.42</v>
      </c>
    </row>
    <row r="1423" spans="1:7" ht="20.149999999999999" customHeight="1" x14ac:dyDescent="0.35">
      <c r="A1423" s="10" t="s">
        <v>1280</v>
      </c>
      <c r="B1423" s="11" t="s">
        <v>1281</v>
      </c>
      <c r="C1423" s="10" t="s">
        <v>20</v>
      </c>
      <c r="D1423" s="10" t="s">
        <v>160</v>
      </c>
      <c r="E1423" s="12">
        <v>1</v>
      </c>
      <c r="F1423" s="13">
        <v>0.98</v>
      </c>
      <c r="G1423" s="13">
        <v>0.98</v>
      </c>
    </row>
    <row r="1424" spans="1:7" ht="15" customHeight="1" x14ac:dyDescent="0.35">
      <c r="A1424" s="8"/>
      <c r="B1424" s="8"/>
      <c r="C1424" s="8"/>
      <c r="D1424" s="8"/>
      <c r="E1424" s="60" t="s">
        <v>714</v>
      </c>
      <c r="F1424" s="60"/>
      <c r="G1424" s="14">
        <v>9.4</v>
      </c>
    </row>
    <row r="1425" spans="1:7" ht="15" customHeight="1" x14ac:dyDescent="0.35">
      <c r="A1425" s="59" t="s">
        <v>715</v>
      </c>
      <c r="B1425" s="59"/>
      <c r="C1425" s="9" t="s">
        <v>3</v>
      </c>
      <c r="D1425" s="9" t="s">
        <v>4</v>
      </c>
      <c r="E1425" s="9" t="s">
        <v>702</v>
      </c>
      <c r="F1425" s="9" t="s">
        <v>703</v>
      </c>
      <c r="G1425" s="9" t="s">
        <v>704</v>
      </c>
    </row>
    <row r="1426" spans="1:7" ht="15" customHeight="1" x14ac:dyDescent="0.35">
      <c r="A1426" s="10" t="s">
        <v>1116</v>
      </c>
      <c r="B1426" s="11" t="s">
        <v>1117</v>
      </c>
      <c r="C1426" s="10" t="s">
        <v>20</v>
      </c>
      <c r="D1426" s="10" t="s">
        <v>718</v>
      </c>
      <c r="E1426" s="12">
        <v>6.1002029999999999E-2</v>
      </c>
      <c r="F1426" s="13">
        <v>15.79</v>
      </c>
      <c r="G1426" s="13">
        <v>0.96</v>
      </c>
    </row>
    <row r="1427" spans="1:7" ht="15" customHeight="1" x14ac:dyDescent="0.35">
      <c r="A1427" s="10" t="s">
        <v>1118</v>
      </c>
      <c r="B1427" s="11" t="s">
        <v>1119</v>
      </c>
      <c r="C1427" s="10" t="s">
        <v>20</v>
      </c>
      <c r="D1427" s="10" t="s">
        <v>718</v>
      </c>
      <c r="E1427" s="12">
        <v>6.1127189999999998E-2</v>
      </c>
      <c r="F1427" s="13">
        <v>19.79</v>
      </c>
      <c r="G1427" s="13">
        <v>1.2</v>
      </c>
    </row>
    <row r="1428" spans="1:7" ht="18" customHeight="1" x14ac:dyDescent="0.35">
      <c r="A1428" s="8"/>
      <c r="B1428" s="8"/>
      <c r="C1428" s="8"/>
      <c r="D1428" s="8"/>
      <c r="E1428" s="60" t="s">
        <v>721</v>
      </c>
      <c r="F1428" s="60"/>
      <c r="G1428" s="14">
        <v>2.16</v>
      </c>
    </row>
    <row r="1429" spans="1:7" ht="15" customHeight="1" x14ac:dyDescent="0.35">
      <c r="A1429" s="8"/>
      <c r="B1429" s="8"/>
      <c r="C1429" s="8"/>
      <c r="D1429" s="8"/>
      <c r="E1429" s="61" t="s">
        <v>726</v>
      </c>
      <c r="F1429" s="61"/>
      <c r="G1429" s="4">
        <v>11.56</v>
      </c>
    </row>
    <row r="1430" spans="1:7" ht="10" customHeight="1" x14ac:dyDescent="0.35">
      <c r="A1430" s="8"/>
      <c r="B1430" s="8"/>
      <c r="C1430" s="57"/>
      <c r="D1430" s="57"/>
      <c r="E1430" s="8"/>
      <c r="F1430" s="8"/>
      <c r="G1430" s="8"/>
    </row>
    <row r="1431" spans="1:7" ht="20.149999999999999" customHeight="1" x14ac:dyDescent="0.35">
      <c r="A1431" s="58" t="s">
        <v>1295</v>
      </c>
      <c r="B1431" s="58"/>
      <c r="C1431" s="58"/>
      <c r="D1431" s="58"/>
      <c r="E1431" s="58"/>
      <c r="F1431" s="58"/>
      <c r="G1431" s="58"/>
    </row>
    <row r="1432" spans="1:7" ht="15" customHeight="1" x14ac:dyDescent="0.35">
      <c r="A1432" s="59" t="s">
        <v>701</v>
      </c>
      <c r="B1432" s="59"/>
      <c r="C1432" s="9" t="s">
        <v>3</v>
      </c>
      <c r="D1432" s="9" t="s">
        <v>4</v>
      </c>
      <c r="E1432" s="9" t="s">
        <v>702</v>
      </c>
      <c r="F1432" s="9" t="s">
        <v>703</v>
      </c>
      <c r="G1432" s="9" t="s">
        <v>704</v>
      </c>
    </row>
    <row r="1433" spans="1:7" ht="15" customHeight="1" x14ac:dyDescent="0.35">
      <c r="A1433" s="10" t="s">
        <v>1296</v>
      </c>
      <c r="B1433" s="11" t="s">
        <v>1297</v>
      </c>
      <c r="C1433" s="10" t="s">
        <v>20</v>
      </c>
      <c r="D1433" s="10" t="s">
        <v>160</v>
      </c>
      <c r="E1433" s="12">
        <v>7.7543849999999998E-2</v>
      </c>
      <c r="F1433" s="13">
        <v>1.75</v>
      </c>
      <c r="G1433" s="13">
        <v>0.13</v>
      </c>
    </row>
    <row r="1434" spans="1:7" ht="15" customHeight="1" x14ac:dyDescent="0.35">
      <c r="A1434" s="10" t="s">
        <v>1298</v>
      </c>
      <c r="B1434" s="11" t="s">
        <v>1299</v>
      </c>
      <c r="C1434" s="10" t="s">
        <v>20</v>
      </c>
      <c r="D1434" s="10" t="s">
        <v>25</v>
      </c>
      <c r="E1434" s="12">
        <v>1.06107985</v>
      </c>
      <c r="F1434" s="13">
        <v>3.86</v>
      </c>
      <c r="G1434" s="13">
        <v>4.09</v>
      </c>
    </row>
    <row r="1435" spans="1:7" ht="15" customHeight="1" x14ac:dyDescent="0.35">
      <c r="A1435" s="8"/>
      <c r="B1435" s="8"/>
      <c r="C1435" s="8"/>
      <c r="D1435" s="8"/>
      <c r="E1435" s="60" t="s">
        <v>714</v>
      </c>
      <c r="F1435" s="60"/>
      <c r="G1435" s="14">
        <v>4.22</v>
      </c>
    </row>
    <row r="1436" spans="1:7" ht="15" customHeight="1" x14ac:dyDescent="0.35">
      <c r="A1436" s="59" t="s">
        <v>715</v>
      </c>
      <c r="B1436" s="59"/>
      <c r="C1436" s="9" t="s">
        <v>3</v>
      </c>
      <c r="D1436" s="9" t="s">
        <v>4</v>
      </c>
      <c r="E1436" s="9" t="s">
        <v>702</v>
      </c>
      <c r="F1436" s="9" t="s">
        <v>703</v>
      </c>
      <c r="G1436" s="9" t="s">
        <v>704</v>
      </c>
    </row>
    <row r="1437" spans="1:7" ht="20.149999999999999" customHeight="1" x14ac:dyDescent="0.35">
      <c r="A1437" s="10" t="s">
        <v>1300</v>
      </c>
      <c r="B1437" s="11" t="s">
        <v>1301</v>
      </c>
      <c r="C1437" s="10" t="s">
        <v>20</v>
      </c>
      <c r="D1437" s="10" t="s">
        <v>718</v>
      </c>
      <c r="E1437" s="12">
        <v>0.32597600999999998</v>
      </c>
      <c r="F1437" s="13">
        <v>15.03</v>
      </c>
      <c r="G1437" s="13">
        <v>4.8899999999999997</v>
      </c>
    </row>
    <row r="1438" spans="1:7" ht="20.149999999999999" customHeight="1" x14ac:dyDescent="0.35">
      <c r="A1438" s="10" t="s">
        <v>1302</v>
      </c>
      <c r="B1438" s="11" t="s">
        <v>1303</v>
      </c>
      <c r="C1438" s="10" t="s">
        <v>20</v>
      </c>
      <c r="D1438" s="10" t="s">
        <v>718</v>
      </c>
      <c r="E1438" s="12">
        <v>0.32597600999999998</v>
      </c>
      <c r="F1438" s="13">
        <v>18.96</v>
      </c>
      <c r="G1438" s="13">
        <v>6.18</v>
      </c>
    </row>
    <row r="1439" spans="1:7" ht="18" customHeight="1" x14ac:dyDescent="0.35">
      <c r="A1439" s="8"/>
      <c r="B1439" s="8"/>
      <c r="C1439" s="8"/>
      <c r="D1439" s="8"/>
      <c r="E1439" s="60" t="s">
        <v>721</v>
      </c>
      <c r="F1439" s="60"/>
      <c r="G1439" s="14">
        <v>11.07</v>
      </c>
    </row>
    <row r="1440" spans="1:7" ht="15" customHeight="1" x14ac:dyDescent="0.35">
      <c r="A1440" s="8"/>
      <c r="B1440" s="8"/>
      <c r="C1440" s="8"/>
      <c r="D1440" s="8"/>
      <c r="E1440" s="61" t="s">
        <v>726</v>
      </c>
      <c r="F1440" s="61"/>
      <c r="G1440" s="4">
        <v>15.29</v>
      </c>
    </row>
    <row r="1441" spans="1:7" ht="10" customHeight="1" x14ac:dyDescent="0.35">
      <c r="A1441" s="8"/>
      <c r="B1441" s="8"/>
      <c r="C1441" s="57"/>
      <c r="D1441" s="57"/>
      <c r="E1441" s="8"/>
      <c r="F1441" s="8"/>
      <c r="G1441" s="8"/>
    </row>
    <row r="1442" spans="1:7" ht="20.149999999999999" customHeight="1" x14ac:dyDescent="0.35">
      <c r="A1442" s="58" t="s">
        <v>1304</v>
      </c>
      <c r="B1442" s="58"/>
      <c r="C1442" s="58"/>
      <c r="D1442" s="58"/>
      <c r="E1442" s="58"/>
      <c r="F1442" s="58"/>
      <c r="G1442" s="58"/>
    </row>
    <row r="1443" spans="1:7" ht="15" customHeight="1" x14ac:dyDescent="0.35">
      <c r="A1443" s="59" t="s">
        <v>701</v>
      </c>
      <c r="B1443" s="59"/>
      <c r="C1443" s="9" t="s">
        <v>3</v>
      </c>
      <c r="D1443" s="9" t="s">
        <v>4</v>
      </c>
      <c r="E1443" s="9" t="s">
        <v>702</v>
      </c>
      <c r="F1443" s="9" t="s">
        <v>703</v>
      </c>
      <c r="G1443" s="9" t="s">
        <v>704</v>
      </c>
    </row>
    <row r="1444" spans="1:7" ht="15" customHeight="1" x14ac:dyDescent="0.35">
      <c r="A1444" s="10" t="s">
        <v>1296</v>
      </c>
      <c r="B1444" s="11" t="s">
        <v>1297</v>
      </c>
      <c r="C1444" s="10" t="s">
        <v>20</v>
      </c>
      <c r="D1444" s="10" t="s">
        <v>160</v>
      </c>
      <c r="E1444" s="12">
        <v>3.5896549999999999E-2</v>
      </c>
      <c r="F1444" s="13">
        <v>1.75</v>
      </c>
      <c r="G1444" s="13">
        <v>0.06</v>
      </c>
    </row>
    <row r="1445" spans="1:7" ht="15" customHeight="1" x14ac:dyDescent="0.35">
      <c r="A1445" s="10" t="s">
        <v>1305</v>
      </c>
      <c r="B1445" s="11" t="s">
        <v>1306</v>
      </c>
      <c r="C1445" s="10" t="s">
        <v>20</v>
      </c>
      <c r="D1445" s="10" t="s">
        <v>25</v>
      </c>
      <c r="E1445" s="12">
        <v>1.0180068099999999</v>
      </c>
      <c r="F1445" s="13">
        <v>4.95</v>
      </c>
      <c r="G1445" s="13">
        <v>5.03</v>
      </c>
    </row>
    <row r="1446" spans="1:7" ht="15" customHeight="1" x14ac:dyDescent="0.35">
      <c r="A1446" s="8"/>
      <c r="B1446" s="8"/>
      <c r="C1446" s="8"/>
      <c r="D1446" s="8"/>
      <c r="E1446" s="60" t="s">
        <v>714</v>
      </c>
      <c r="F1446" s="60"/>
      <c r="G1446" s="14">
        <v>5.09</v>
      </c>
    </row>
    <row r="1447" spans="1:7" ht="15" customHeight="1" x14ac:dyDescent="0.35">
      <c r="A1447" s="59" t="s">
        <v>715</v>
      </c>
      <c r="B1447" s="59"/>
      <c r="C1447" s="9" t="s">
        <v>3</v>
      </c>
      <c r="D1447" s="9" t="s">
        <v>4</v>
      </c>
      <c r="E1447" s="9" t="s">
        <v>702</v>
      </c>
      <c r="F1447" s="9" t="s">
        <v>703</v>
      </c>
      <c r="G1447" s="9" t="s">
        <v>704</v>
      </c>
    </row>
    <row r="1448" spans="1:7" ht="20.149999999999999" customHeight="1" x14ac:dyDescent="0.35">
      <c r="A1448" s="10" t="s">
        <v>1300</v>
      </c>
      <c r="B1448" s="11" t="s">
        <v>1301</v>
      </c>
      <c r="C1448" s="10" t="s">
        <v>20</v>
      </c>
      <c r="D1448" s="10" t="s">
        <v>718</v>
      </c>
      <c r="E1448" s="12">
        <v>0.15118880000000001</v>
      </c>
      <c r="F1448" s="13">
        <v>15.03</v>
      </c>
      <c r="G1448" s="13">
        <v>2.27</v>
      </c>
    </row>
    <row r="1449" spans="1:7" ht="20.149999999999999" customHeight="1" x14ac:dyDescent="0.35">
      <c r="A1449" s="10" t="s">
        <v>1302</v>
      </c>
      <c r="B1449" s="11" t="s">
        <v>1303</v>
      </c>
      <c r="C1449" s="10" t="s">
        <v>20</v>
      </c>
      <c r="D1449" s="10" t="s">
        <v>718</v>
      </c>
      <c r="E1449" s="12">
        <v>0.15052346999999999</v>
      </c>
      <c r="F1449" s="13">
        <v>18.96</v>
      </c>
      <c r="G1449" s="13">
        <v>2.85</v>
      </c>
    </row>
    <row r="1450" spans="1:7" ht="18" customHeight="1" x14ac:dyDescent="0.35">
      <c r="A1450" s="8"/>
      <c r="B1450" s="8"/>
      <c r="C1450" s="8"/>
      <c r="D1450" s="8"/>
      <c r="E1450" s="60" t="s">
        <v>721</v>
      </c>
      <c r="F1450" s="60"/>
      <c r="G1450" s="14">
        <v>5.12</v>
      </c>
    </row>
    <row r="1451" spans="1:7" ht="15" customHeight="1" x14ac:dyDescent="0.35">
      <c r="A1451" s="8"/>
      <c r="B1451" s="8"/>
      <c r="C1451" s="8"/>
      <c r="D1451" s="8"/>
      <c r="E1451" s="61" t="s">
        <v>726</v>
      </c>
      <c r="F1451" s="61"/>
      <c r="G1451" s="4">
        <v>10.210000000000001</v>
      </c>
    </row>
    <row r="1452" spans="1:7" ht="10" customHeight="1" x14ac:dyDescent="0.35">
      <c r="A1452" s="8"/>
      <c r="B1452" s="8"/>
      <c r="C1452" s="57"/>
      <c r="D1452" s="57"/>
      <c r="E1452" s="8"/>
      <c r="F1452" s="8"/>
      <c r="G1452" s="8"/>
    </row>
    <row r="1453" spans="1:7" ht="20.149999999999999" customHeight="1" x14ac:dyDescent="0.35">
      <c r="A1453" s="58" t="s">
        <v>1307</v>
      </c>
      <c r="B1453" s="58"/>
      <c r="C1453" s="58"/>
      <c r="D1453" s="58"/>
      <c r="E1453" s="58"/>
      <c r="F1453" s="58"/>
      <c r="G1453" s="58"/>
    </row>
    <row r="1454" spans="1:7" ht="15" customHeight="1" x14ac:dyDescent="0.35">
      <c r="A1454" s="59" t="s">
        <v>701</v>
      </c>
      <c r="B1454" s="59"/>
      <c r="C1454" s="9" t="s">
        <v>3</v>
      </c>
      <c r="D1454" s="9" t="s">
        <v>4</v>
      </c>
      <c r="E1454" s="9" t="s">
        <v>702</v>
      </c>
      <c r="F1454" s="9" t="s">
        <v>703</v>
      </c>
      <c r="G1454" s="9" t="s">
        <v>704</v>
      </c>
    </row>
    <row r="1455" spans="1:7" ht="15" customHeight="1" x14ac:dyDescent="0.35">
      <c r="A1455" s="10" t="s">
        <v>1296</v>
      </c>
      <c r="B1455" s="11" t="s">
        <v>1297</v>
      </c>
      <c r="C1455" s="10" t="s">
        <v>20</v>
      </c>
      <c r="D1455" s="10" t="s">
        <v>160</v>
      </c>
      <c r="E1455" s="12">
        <v>4.1580680000000002E-2</v>
      </c>
      <c r="F1455" s="13">
        <v>1.75</v>
      </c>
      <c r="G1455" s="13">
        <v>7.0000000000000007E-2</v>
      </c>
    </row>
    <row r="1456" spans="1:7" ht="15" customHeight="1" x14ac:dyDescent="0.35">
      <c r="A1456" s="10" t="s">
        <v>1308</v>
      </c>
      <c r="B1456" s="11" t="s">
        <v>1309</v>
      </c>
      <c r="C1456" s="10" t="s">
        <v>20</v>
      </c>
      <c r="D1456" s="10" t="s">
        <v>25</v>
      </c>
      <c r="E1456" s="12">
        <v>0.98935629999999997</v>
      </c>
      <c r="F1456" s="13">
        <v>11.11</v>
      </c>
      <c r="G1456" s="13">
        <v>10.99</v>
      </c>
    </row>
    <row r="1457" spans="1:7" ht="15" customHeight="1" x14ac:dyDescent="0.35">
      <c r="A1457" s="8"/>
      <c r="B1457" s="8"/>
      <c r="C1457" s="8"/>
      <c r="D1457" s="8"/>
      <c r="E1457" s="60" t="s">
        <v>714</v>
      </c>
      <c r="F1457" s="60"/>
      <c r="G1457" s="14">
        <v>11.06</v>
      </c>
    </row>
    <row r="1458" spans="1:7" ht="15" customHeight="1" x14ac:dyDescent="0.35">
      <c r="A1458" s="59" t="s">
        <v>715</v>
      </c>
      <c r="B1458" s="59"/>
      <c r="C1458" s="9" t="s">
        <v>3</v>
      </c>
      <c r="D1458" s="9" t="s">
        <v>4</v>
      </c>
      <c r="E1458" s="9" t="s">
        <v>702</v>
      </c>
      <c r="F1458" s="9" t="s">
        <v>703</v>
      </c>
      <c r="G1458" s="9" t="s">
        <v>704</v>
      </c>
    </row>
    <row r="1459" spans="1:7" ht="20.149999999999999" customHeight="1" x14ac:dyDescent="0.35">
      <c r="A1459" s="10" t="s">
        <v>1300</v>
      </c>
      <c r="B1459" s="11" t="s">
        <v>1301</v>
      </c>
      <c r="C1459" s="10" t="s">
        <v>20</v>
      </c>
      <c r="D1459" s="10" t="s">
        <v>718</v>
      </c>
      <c r="E1459" s="12">
        <v>0.17443459</v>
      </c>
      <c r="F1459" s="13">
        <v>15.03</v>
      </c>
      <c r="G1459" s="13">
        <v>2.62</v>
      </c>
    </row>
    <row r="1460" spans="1:7" ht="20.149999999999999" customHeight="1" x14ac:dyDescent="0.35">
      <c r="A1460" s="10" t="s">
        <v>1302</v>
      </c>
      <c r="B1460" s="11" t="s">
        <v>1303</v>
      </c>
      <c r="C1460" s="10" t="s">
        <v>20</v>
      </c>
      <c r="D1460" s="10" t="s">
        <v>718</v>
      </c>
      <c r="E1460" s="12">
        <v>0.17443459</v>
      </c>
      <c r="F1460" s="13">
        <v>18.96</v>
      </c>
      <c r="G1460" s="13">
        <v>3.3</v>
      </c>
    </row>
    <row r="1461" spans="1:7" ht="18" customHeight="1" x14ac:dyDescent="0.35">
      <c r="A1461" s="8"/>
      <c r="B1461" s="8"/>
      <c r="C1461" s="8"/>
      <c r="D1461" s="8"/>
      <c r="E1461" s="60" t="s">
        <v>721</v>
      </c>
      <c r="F1461" s="60"/>
      <c r="G1461" s="14">
        <v>5.92</v>
      </c>
    </row>
    <row r="1462" spans="1:7" ht="15" customHeight="1" x14ac:dyDescent="0.35">
      <c r="A1462" s="8"/>
      <c r="B1462" s="8"/>
      <c r="C1462" s="8"/>
      <c r="D1462" s="8"/>
      <c r="E1462" s="61" t="s">
        <v>726</v>
      </c>
      <c r="F1462" s="61"/>
      <c r="G1462" s="4">
        <v>16.98</v>
      </c>
    </row>
    <row r="1463" spans="1:7" ht="10" customHeight="1" x14ac:dyDescent="0.35">
      <c r="A1463" s="8"/>
      <c r="B1463" s="8"/>
      <c r="C1463" s="57"/>
      <c r="D1463" s="57"/>
      <c r="E1463" s="8"/>
      <c r="F1463" s="8"/>
      <c r="G1463" s="8"/>
    </row>
    <row r="1464" spans="1:7" ht="20.149999999999999" customHeight="1" x14ac:dyDescent="0.35">
      <c r="A1464" s="58" t="s">
        <v>1310</v>
      </c>
      <c r="B1464" s="58"/>
      <c r="C1464" s="58"/>
      <c r="D1464" s="58"/>
      <c r="E1464" s="58"/>
      <c r="F1464" s="58"/>
      <c r="G1464" s="58"/>
    </row>
    <row r="1465" spans="1:7" ht="15" customHeight="1" x14ac:dyDescent="0.35">
      <c r="A1465" s="59" t="s">
        <v>701</v>
      </c>
      <c r="B1465" s="59"/>
      <c r="C1465" s="9" t="s">
        <v>3</v>
      </c>
      <c r="D1465" s="9" t="s">
        <v>4</v>
      </c>
      <c r="E1465" s="9" t="s">
        <v>702</v>
      </c>
      <c r="F1465" s="9" t="s">
        <v>703</v>
      </c>
      <c r="G1465" s="9" t="s">
        <v>704</v>
      </c>
    </row>
    <row r="1466" spans="1:7" ht="15" customHeight="1" x14ac:dyDescent="0.35">
      <c r="A1466" s="10" t="s">
        <v>1296</v>
      </c>
      <c r="B1466" s="11" t="s">
        <v>1297</v>
      </c>
      <c r="C1466" s="10" t="s">
        <v>20</v>
      </c>
      <c r="D1466" s="10" t="s">
        <v>160</v>
      </c>
      <c r="E1466" s="12">
        <v>6.5386200000000002E-3</v>
      </c>
      <c r="F1466" s="13">
        <v>1.75</v>
      </c>
      <c r="G1466" s="13">
        <v>0.01</v>
      </c>
    </row>
    <row r="1467" spans="1:7" ht="15" customHeight="1" x14ac:dyDescent="0.35">
      <c r="A1467" s="10" t="s">
        <v>1311</v>
      </c>
      <c r="B1467" s="11" t="s">
        <v>1312</v>
      </c>
      <c r="C1467" s="10" t="s">
        <v>20</v>
      </c>
      <c r="D1467" s="10" t="s">
        <v>25</v>
      </c>
      <c r="E1467" s="12">
        <v>1.04014742</v>
      </c>
      <c r="F1467" s="13">
        <v>16.18</v>
      </c>
      <c r="G1467" s="13">
        <v>16.82</v>
      </c>
    </row>
    <row r="1468" spans="1:7" ht="15" customHeight="1" x14ac:dyDescent="0.35">
      <c r="A1468" s="8"/>
      <c r="B1468" s="8"/>
      <c r="C1468" s="8"/>
      <c r="D1468" s="8"/>
      <c r="E1468" s="60" t="s">
        <v>714</v>
      </c>
      <c r="F1468" s="60"/>
      <c r="G1468" s="14">
        <v>16.829999999999998</v>
      </c>
    </row>
    <row r="1469" spans="1:7" ht="15" customHeight="1" x14ac:dyDescent="0.35">
      <c r="A1469" s="59" t="s">
        <v>715</v>
      </c>
      <c r="B1469" s="59"/>
      <c r="C1469" s="9" t="s">
        <v>3</v>
      </c>
      <c r="D1469" s="9" t="s">
        <v>4</v>
      </c>
      <c r="E1469" s="9" t="s">
        <v>702</v>
      </c>
      <c r="F1469" s="9" t="s">
        <v>703</v>
      </c>
      <c r="G1469" s="9" t="s">
        <v>704</v>
      </c>
    </row>
    <row r="1470" spans="1:7" ht="20.149999999999999" customHeight="1" x14ac:dyDescent="0.35">
      <c r="A1470" s="10" t="s">
        <v>1300</v>
      </c>
      <c r="B1470" s="11" t="s">
        <v>1301</v>
      </c>
      <c r="C1470" s="10" t="s">
        <v>20</v>
      </c>
      <c r="D1470" s="10" t="s">
        <v>718</v>
      </c>
      <c r="E1470" s="12">
        <v>2.7345379999999999E-2</v>
      </c>
      <c r="F1470" s="13">
        <v>15.03</v>
      </c>
      <c r="G1470" s="13">
        <v>0.41</v>
      </c>
    </row>
    <row r="1471" spans="1:7" ht="20.149999999999999" customHeight="1" x14ac:dyDescent="0.35">
      <c r="A1471" s="10" t="s">
        <v>1302</v>
      </c>
      <c r="B1471" s="11" t="s">
        <v>1303</v>
      </c>
      <c r="C1471" s="10" t="s">
        <v>20</v>
      </c>
      <c r="D1471" s="10" t="s">
        <v>718</v>
      </c>
      <c r="E1471" s="12">
        <v>2.7345379999999999E-2</v>
      </c>
      <c r="F1471" s="13">
        <v>18.96</v>
      </c>
      <c r="G1471" s="13">
        <v>0.51</v>
      </c>
    </row>
    <row r="1472" spans="1:7" ht="18" customHeight="1" x14ac:dyDescent="0.35">
      <c r="A1472" s="8"/>
      <c r="B1472" s="8"/>
      <c r="C1472" s="8"/>
      <c r="D1472" s="8"/>
      <c r="E1472" s="60" t="s">
        <v>721</v>
      </c>
      <c r="F1472" s="60"/>
      <c r="G1472" s="14">
        <v>0.92</v>
      </c>
    </row>
    <row r="1473" spans="1:7" ht="15" customHeight="1" x14ac:dyDescent="0.35">
      <c r="A1473" s="8"/>
      <c r="B1473" s="8"/>
      <c r="C1473" s="8"/>
      <c r="D1473" s="8"/>
      <c r="E1473" s="61" t="s">
        <v>726</v>
      </c>
      <c r="F1473" s="61"/>
      <c r="G1473" s="4">
        <v>17.75</v>
      </c>
    </row>
    <row r="1474" spans="1:7" ht="10" customHeight="1" x14ac:dyDescent="0.35">
      <c r="A1474" s="8"/>
      <c r="B1474" s="8"/>
      <c r="C1474" s="57"/>
      <c r="D1474" s="57"/>
      <c r="E1474" s="8"/>
      <c r="F1474" s="8"/>
      <c r="G1474" s="8"/>
    </row>
    <row r="1475" spans="1:7" ht="20.149999999999999" customHeight="1" x14ac:dyDescent="0.35">
      <c r="A1475" s="58" t="s">
        <v>1313</v>
      </c>
      <c r="B1475" s="58"/>
      <c r="C1475" s="58"/>
      <c r="D1475" s="58"/>
      <c r="E1475" s="58"/>
      <c r="F1475" s="58"/>
      <c r="G1475" s="58"/>
    </row>
    <row r="1476" spans="1:7" ht="15" customHeight="1" x14ac:dyDescent="0.35">
      <c r="A1476" s="59" t="s">
        <v>701</v>
      </c>
      <c r="B1476" s="59"/>
      <c r="C1476" s="9" t="s">
        <v>3</v>
      </c>
      <c r="D1476" s="9" t="s">
        <v>4</v>
      </c>
      <c r="E1476" s="9" t="s">
        <v>702</v>
      </c>
      <c r="F1476" s="9" t="s">
        <v>703</v>
      </c>
      <c r="G1476" s="9" t="s">
        <v>704</v>
      </c>
    </row>
    <row r="1477" spans="1:7" ht="15" customHeight="1" x14ac:dyDescent="0.35">
      <c r="A1477" s="10" t="s">
        <v>1296</v>
      </c>
      <c r="B1477" s="11" t="s">
        <v>1297</v>
      </c>
      <c r="C1477" s="10" t="s">
        <v>20</v>
      </c>
      <c r="D1477" s="10" t="s">
        <v>160</v>
      </c>
      <c r="E1477" s="12">
        <v>7.6114199999999998E-3</v>
      </c>
      <c r="F1477" s="13">
        <v>1.75</v>
      </c>
      <c r="G1477" s="13">
        <v>0.01</v>
      </c>
    </row>
    <row r="1478" spans="1:7" ht="15" customHeight="1" x14ac:dyDescent="0.35">
      <c r="A1478" s="10" t="s">
        <v>1314</v>
      </c>
      <c r="B1478" s="11" t="s">
        <v>1315</v>
      </c>
      <c r="C1478" s="10" t="s">
        <v>20</v>
      </c>
      <c r="D1478" s="10" t="s">
        <v>25</v>
      </c>
      <c r="E1478" s="12">
        <v>0.99833399</v>
      </c>
      <c r="F1478" s="13">
        <v>18.53</v>
      </c>
      <c r="G1478" s="13">
        <v>18.489999999999998</v>
      </c>
    </row>
    <row r="1479" spans="1:7" ht="15" customHeight="1" x14ac:dyDescent="0.35">
      <c r="A1479" s="8"/>
      <c r="B1479" s="8"/>
      <c r="C1479" s="8"/>
      <c r="D1479" s="8"/>
      <c r="E1479" s="60" t="s">
        <v>714</v>
      </c>
      <c r="F1479" s="60"/>
      <c r="G1479" s="14">
        <v>18.5</v>
      </c>
    </row>
    <row r="1480" spans="1:7" ht="15" customHeight="1" x14ac:dyDescent="0.35">
      <c r="A1480" s="59" t="s">
        <v>715</v>
      </c>
      <c r="B1480" s="59"/>
      <c r="C1480" s="9" t="s">
        <v>3</v>
      </c>
      <c r="D1480" s="9" t="s">
        <v>4</v>
      </c>
      <c r="E1480" s="9" t="s">
        <v>702</v>
      </c>
      <c r="F1480" s="9" t="s">
        <v>703</v>
      </c>
      <c r="G1480" s="9" t="s">
        <v>704</v>
      </c>
    </row>
    <row r="1481" spans="1:7" ht="20.149999999999999" customHeight="1" x14ac:dyDescent="0.35">
      <c r="A1481" s="10" t="s">
        <v>1300</v>
      </c>
      <c r="B1481" s="11" t="s">
        <v>1301</v>
      </c>
      <c r="C1481" s="10" t="s">
        <v>20</v>
      </c>
      <c r="D1481" s="10" t="s">
        <v>718</v>
      </c>
      <c r="E1481" s="12">
        <v>3.1753789999999997E-2</v>
      </c>
      <c r="F1481" s="13">
        <v>15.03</v>
      </c>
      <c r="G1481" s="13">
        <v>0.47</v>
      </c>
    </row>
    <row r="1482" spans="1:7" ht="20.149999999999999" customHeight="1" x14ac:dyDescent="0.35">
      <c r="A1482" s="10" t="s">
        <v>1302</v>
      </c>
      <c r="B1482" s="11" t="s">
        <v>1303</v>
      </c>
      <c r="C1482" s="10" t="s">
        <v>20</v>
      </c>
      <c r="D1482" s="10" t="s">
        <v>718</v>
      </c>
      <c r="E1482" s="12">
        <v>3.1753789999999997E-2</v>
      </c>
      <c r="F1482" s="13">
        <v>18.96</v>
      </c>
      <c r="G1482" s="13">
        <v>0.6</v>
      </c>
    </row>
    <row r="1483" spans="1:7" ht="18" customHeight="1" x14ac:dyDescent="0.35">
      <c r="A1483" s="8"/>
      <c r="B1483" s="8"/>
      <c r="C1483" s="8"/>
      <c r="D1483" s="8"/>
      <c r="E1483" s="60" t="s">
        <v>721</v>
      </c>
      <c r="F1483" s="60"/>
      <c r="G1483" s="14">
        <v>1.07</v>
      </c>
    </row>
    <row r="1484" spans="1:7" ht="15" customHeight="1" x14ac:dyDescent="0.35">
      <c r="A1484" s="8"/>
      <c r="B1484" s="8"/>
      <c r="C1484" s="8"/>
      <c r="D1484" s="8"/>
      <c r="E1484" s="61" t="s">
        <v>726</v>
      </c>
      <c r="F1484" s="61"/>
      <c r="G1484" s="4">
        <v>19.57</v>
      </c>
    </row>
    <row r="1485" spans="1:7" ht="10" customHeight="1" x14ac:dyDescent="0.35">
      <c r="A1485" s="8"/>
      <c r="B1485" s="8"/>
      <c r="C1485" s="57"/>
      <c r="D1485" s="57"/>
      <c r="E1485" s="8"/>
      <c r="F1485" s="8"/>
      <c r="G1485" s="8"/>
    </row>
    <row r="1486" spans="1:7" ht="20.149999999999999" customHeight="1" x14ac:dyDescent="0.35">
      <c r="A1486" s="58" t="s">
        <v>1316</v>
      </c>
      <c r="B1486" s="58"/>
      <c r="C1486" s="58"/>
      <c r="D1486" s="58"/>
      <c r="E1486" s="58"/>
      <c r="F1486" s="58"/>
      <c r="G1486" s="58"/>
    </row>
    <row r="1487" spans="1:7" ht="15" customHeight="1" x14ac:dyDescent="0.35">
      <c r="A1487" s="59" t="s">
        <v>701</v>
      </c>
      <c r="B1487" s="59"/>
      <c r="C1487" s="9" t="s">
        <v>3</v>
      </c>
      <c r="D1487" s="9" t="s">
        <v>4</v>
      </c>
      <c r="E1487" s="9" t="s">
        <v>702</v>
      </c>
      <c r="F1487" s="9" t="s">
        <v>703</v>
      </c>
      <c r="G1487" s="9" t="s">
        <v>704</v>
      </c>
    </row>
    <row r="1488" spans="1:7" ht="20.149999999999999" customHeight="1" x14ac:dyDescent="0.35">
      <c r="A1488" s="10" t="s">
        <v>1317</v>
      </c>
      <c r="B1488" s="11" t="s">
        <v>1318</v>
      </c>
      <c r="C1488" s="10" t="s">
        <v>20</v>
      </c>
      <c r="D1488" s="10" t="s">
        <v>160</v>
      </c>
      <c r="E1488" s="12">
        <v>1</v>
      </c>
      <c r="F1488" s="13">
        <v>17.260000000000002</v>
      </c>
      <c r="G1488" s="13">
        <v>17.260000000000002</v>
      </c>
    </row>
    <row r="1489" spans="1:7" ht="15" customHeight="1" x14ac:dyDescent="0.35">
      <c r="A1489" s="8"/>
      <c r="B1489" s="8"/>
      <c r="C1489" s="8"/>
      <c r="D1489" s="8"/>
      <c r="E1489" s="60" t="s">
        <v>714</v>
      </c>
      <c r="F1489" s="60"/>
      <c r="G1489" s="14">
        <v>17.260000000000002</v>
      </c>
    </row>
    <row r="1490" spans="1:7" ht="15" customHeight="1" x14ac:dyDescent="0.35">
      <c r="A1490" s="59" t="s">
        <v>715</v>
      </c>
      <c r="B1490" s="59"/>
      <c r="C1490" s="9" t="s">
        <v>3</v>
      </c>
      <c r="D1490" s="9" t="s">
        <v>4</v>
      </c>
      <c r="E1490" s="9" t="s">
        <v>702</v>
      </c>
      <c r="F1490" s="9" t="s">
        <v>703</v>
      </c>
      <c r="G1490" s="9" t="s">
        <v>704</v>
      </c>
    </row>
    <row r="1491" spans="1:7" ht="15" customHeight="1" x14ac:dyDescent="0.35">
      <c r="A1491" s="10" t="s">
        <v>1319</v>
      </c>
      <c r="B1491" s="11" t="s">
        <v>1320</v>
      </c>
      <c r="C1491" s="10" t="s">
        <v>20</v>
      </c>
      <c r="D1491" s="10" t="s">
        <v>718</v>
      </c>
      <c r="E1491" s="12">
        <v>0.21147557</v>
      </c>
      <c r="F1491" s="13">
        <v>16.29</v>
      </c>
      <c r="G1491" s="13">
        <v>3.44</v>
      </c>
    </row>
    <row r="1492" spans="1:7" ht="15" customHeight="1" x14ac:dyDescent="0.35">
      <c r="A1492" s="10" t="s">
        <v>719</v>
      </c>
      <c r="B1492" s="11" t="s">
        <v>720</v>
      </c>
      <c r="C1492" s="10" t="s">
        <v>20</v>
      </c>
      <c r="D1492" s="10" t="s">
        <v>718</v>
      </c>
      <c r="E1492" s="12">
        <v>6.7217470000000001E-2</v>
      </c>
      <c r="F1492" s="13">
        <v>15.53</v>
      </c>
      <c r="G1492" s="13">
        <v>1.04</v>
      </c>
    </row>
    <row r="1493" spans="1:7" ht="18" customHeight="1" x14ac:dyDescent="0.35">
      <c r="A1493" s="8"/>
      <c r="B1493" s="8"/>
      <c r="C1493" s="8"/>
      <c r="D1493" s="8"/>
      <c r="E1493" s="60" t="s">
        <v>721</v>
      </c>
      <c r="F1493" s="60"/>
      <c r="G1493" s="14">
        <v>4.4800000000000004</v>
      </c>
    </row>
    <row r="1494" spans="1:7" ht="15" customHeight="1" x14ac:dyDescent="0.35">
      <c r="A1494" s="8"/>
      <c r="B1494" s="8"/>
      <c r="C1494" s="8"/>
      <c r="D1494" s="8"/>
      <c r="E1494" s="61" t="s">
        <v>726</v>
      </c>
      <c r="F1494" s="61"/>
      <c r="G1494" s="4">
        <v>21.74</v>
      </c>
    </row>
    <row r="1495" spans="1:7" ht="10" customHeight="1" x14ac:dyDescent="0.35">
      <c r="A1495" s="8"/>
      <c r="B1495" s="8"/>
      <c r="C1495" s="57"/>
      <c r="D1495" s="57"/>
      <c r="E1495" s="8"/>
      <c r="F1495" s="8"/>
      <c r="G1495" s="8"/>
    </row>
    <row r="1496" spans="1:7" ht="20.149999999999999" customHeight="1" x14ac:dyDescent="0.35">
      <c r="A1496" s="58" t="s">
        <v>1321</v>
      </c>
      <c r="B1496" s="58"/>
      <c r="C1496" s="58"/>
      <c r="D1496" s="58"/>
      <c r="E1496" s="58"/>
      <c r="F1496" s="58"/>
      <c r="G1496" s="58"/>
    </row>
    <row r="1497" spans="1:7" ht="15" customHeight="1" x14ac:dyDescent="0.35">
      <c r="A1497" s="59" t="s">
        <v>701</v>
      </c>
      <c r="B1497" s="59"/>
      <c r="C1497" s="9" t="s">
        <v>3</v>
      </c>
      <c r="D1497" s="9" t="s">
        <v>4</v>
      </c>
      <c r="E1497" s="9" t="s">
        <v>702</v>
      </c>
      <c r="F1497" s="9" t="s">
        <v>703</v>
      </c>
      <c r="G1497" s="9" t="s">
        <v>704</v>
      </c>
    </row>
    <row r="1498" spans="1:7" ht="15" customHeight="1" x14ac:dyDescent="0.35">
      <c r="A1498" s="10" t="s">
        <v>1322</v>
      </c>
      <c r="B1498" s="11" t="s">
        <v>1323</v>
      </c>
      <c r="C1498" s="10" t="s">
        <v>20</v>
      </c>
      <c r="D1498" s="10" t="s">
        <v>160</v>
      </c>
      <c r="E1498" s="12">
        <v>6.9184600000000004E-3</v>
      </c>
      <c r="F1498" s="13">
        <v>50.97</v>
      </c>
      <c r="G1498" s="13">
        <v>0.35</v>
      </c>
    </row>
    <row r="1499" spans="1:7" ht="20.149999999999999" customHeight="1" x14ac:dyDescent="0.35">
      <c r="A1499" s="10" t="s">
        <v>1324</v>
      </c>
      <c r="B1499" s="11" t="s">
        <v>1325</v>
      </c>
      <c r="C1499" s="10" t="s">
        <v>20</v>
      </c>
      <c r="D1499" s="10" t="s">
        <v>160</v>
      </c>
      <c r="E1499" s="12">
        <v>1</v>
      </c>
      <c r="F1499" s="13">
        <v>0.97</v>
      </c>
      <c r="G1499" s="13">
        <v>0.97</v>
      </c>
    </row>
    <row r="1500" spans="1:7" ht="15" customHeight="1" x14ac:dyDescent="0.35">
      <c r="A1500" s="10" t="s">
        <v>1296</v>
      </c>
      <c r="B1500" s="11" t="s">
        <v>1297</v>
      </c>
      <c r="C1500" s="10" t="s">
        <v>20</v>
      </c>
      <c r="D1500" s="10" t="s">
        <v>160</v>
      </c>
      <c r="E1500" s="12">
        <v>3.293579E-2</v>
      </c>
      <c r="F1500" s="13">
        <v>1.75</v>
      </c>
      <c r="G1500" s="13">
        <v>0.05</v>
      </c>
    </row>
    <row r="1501" spans="1:7" ht="20.149999999999999" customHeight="1" x14ac:dyDescent="0.35">
      <c r="A1501" s="10" t="s">
        <v>1326</v>
      </c>
      <c r="B1501" s="11" t="s">
        <v>1327</v>
      </c>
      <c r="C1501" s="10" t="s">
        <v>20</v>
      </c>
      <c r="D1501" s="10" t="s">
        <v>160</v>
      </c>
      <c r="E1501" s="12">
        <v>7.7954499999999998E-3</v>
      </c>
      <c r="F1501" s="13">
        <v>57.75</v>
      </c>
      <c r="G1501" s="13">
        <v>0.45</v>
      </c>
    </row>
    <row r="1502" spans="1:7" ht="15" customHeight="1" x14ac:dyDescent="0.35">
      <c r="A1502" s="8"/>
      <c r="B1502" s="8"/>
      <c r="C1502" s="8"/>
      <c r="D1502" s="8"/>
      <c r="E1502" s="60" t="s">
        <v>714</v>
      </c>
      <c r="F1502" s="60"/>
      <c r="G1502" s="14">
        <v>1.82</v>
      </c>
    </row>
    <row r="1503" spans="1:7" ht="15" customHeight="1" x14ac:dyDescent="0.35">
      <c r="A1503" s="59" t="s">
        <v>715</v>
      </c>
      <c r="B1503" s="59"/>
      <c r="C1503" s="9" t="s">
        <v>3</v>
      </c>
      <c r="D1503" s="9" t="s">
        <v>4</v>
      </c>
      <c r="E1503" s="9" t="s">
        <v>702</v>
      </c>
      <c r="F1503" s="9" t="s">
        <v>703</v>
      </c>
      <c r="G1503" s="9" t="s">
        <v>704</v>
      </c>
    </row>
    <row r="1504" spans="1:7" ht="20.149999999999999" customHeight="1" x14ac:dyDescent="0.35">
      <c r="A1504" s="10" t="s">
        <v>1300</v>
      </c>
      <c r="B1504" s="11" t="s">
        <v>1301</v>
      </c>
      <c r="C1504" s="10" t="s">
        <v>20</v>
      </c>
      <c r="D1504" s="10" t="s">
        <v>718</v>
      </c>
      <c r="E1504" s="12">
        <v>0.14482528</v>
      </c>
      <c r="F1504" s="13">
        <v>15.03</v>
      </c>
      <c r="G1504" s="13">
        <v>2.17</v>
      </c>
    </row>
    <row r="1505" spans="1:7" ht="20.149999999999999" customHeight="1" x14ac:dyDescent="0.35">
      <c r="A1505" s="10" t="s">
        <v>1302</v>
      </c>
      <c r="B1505" s="11" t="s">
        <v>1303</v>
      </c>
      <c r="C1505" s="10" t="s">
        <v>20</v>
      </c>
      <c r="D1505" s="10" t="s">
        <v>718</v>
      </c>
      <c r="E1505" s="12">
        <v>0.14415995000000001</v>
      </c>
      <c r="F1505" s="13">
        <v>18.96</v>
      </c>
      <c r="G1505" s="13">
        <v>2.73</v>
      </c>
    </row>
    <row r="1506" spans="1:7" ht="18" customHeight="1" x14ac:dyDescent="0.35">
      <c r="A1506" s="8"/>
      <c r="B1506" s="8"/>
      <c r="C1506" s="8"/>
      <c r="D1506" s="8"/>
      <c r="E1506" s="60" t="s">
        <v>721</v>
      </c>
      <c r="F1506" s="60"/>
      <c r="G1506" s="14">
        <v>4.9000000000000004</v>
      </c>
    </row>
    <row r="1507" spans="1:7" ht="15" customHeight="1" x14ac:dyDescent="0.35">
      <c r="A1507" s="8"/>
      <c r="B1507" s="8"/>
      <c r="C1507" s="8"/>
      <c r="D1507" s="8"/>
      <c r="E1507" s="61" t="s">
        <v>726</v>
      </c>
      <c r="F1507" s="61"/>
      <c r="G1507" s="4">
        <v>6.72</v>
      </c>
    </row>
    <row r="1508" spans="1:7" ht="10" customHeight="1" x14ac:dyDescent="0.35">
      <c r="A1508" s="8"/>
      <c r="B1508" s="8"/>
      <c r="C1508" s="57"/>
      <c r="D1508" s="57"/>
      <c r="E1508" s="8"/>
      <c r="F1508" s="8"/>
      <c r="G1508" s="8"/>
    </row>
    <row r="1509" spans="1:7" ht="20.149999999999999" customHeight="1" x14ac:dyDescent="0.35">
      <c r="A1509" s="58" t="s">
        <v>1328</v>
      </c>
      <c r="B1509" s="58"/>
      <c r="C1509" s="58"/>
      <c r="D1509" s="58"/>
      <c r="E1509" s="58"/>
      <c r="F1509" s="58"/>
      <c r="G1509" s="58"/>
    </row>
    <row r="1510" spans="1:7" ht="15" customHeight="1" x14ac:dyDescent="0.35">
      <c r="A1510" s="59" t="s">
        <v>701</v>
      </c>
      <c r="B1510" s="59"/>
      <c r="C1510" s="9" t="s">
        <v>3</v>
      </c>
      <c r="D1510" s="9" t="s">
        <v>4</v>
      </c>
      <c r="E1510" s="9" t="s">
        <v>702</v>
      </c>
      <c r="F1510" s="9" t="s">
        <v>703</v>
      </c>
      <c r="G1510" s="9" t="s">
        <v>704</v>
      </c>
    </row>
    <row r="1511" spans="1:7" ht="15" customHeight="1" x14ac:dyDescent="0.35">
      <c r="A1511" s="10" t="s">
        <v>1322</v>
      </c>
      <c r="B1511" s="11" t="s">
        <v>1323</v>
      </c>
      <c r="C1511" s="10" t="s">
        <v>20</v>
      </c>
      <c r="D1511" s="10" t="s">
        <v>160</v>
      </c>
      <c r="E1511" s="12">
        <v>5.3608500000000003E-3</v>
      </c>
      <c r="F1511" s="13">
        <v>50.97</v>
      </c>
      <c r="G1511" s="13">
        <v>0.27</v>
      </c>
    </row>
    <row r="1512" spans="1:7" ht="20.149999999999999" customHeight="1" x14ac:dyDescent="0.35">
      <c r="A1512" s="10" t="s">
        <v>1329</v>
      </c>
      <c r="B1512" s="11" t="s">
        <v>1330</v>
      </c>
      <c r="C1512" s="10" t="s">
        <v>20</v>
      </c>
      <c r="D1512" s="10" t="s">
        <v>160</v>
      </c>
      <c r="E1512" s="12">
        <v>1</v>
      </c>
      <c r="F1512" s="13">
        <v>9.66</v>
      </c>
      <c r="G1512" s="13">
        <v>9.66</v>
      </c>
    </row>
    <row r="1513" spans="1:7" ht="15" customHeight="1" x14ac:dyDescent="0.35">
      <c r="A1513" s="10" t="s">
        <v>1296</v>
      </c>
      <c r="B1513" s="11" t="s">
        <v>1297</v>
      </c>
      <c r="C1513" s="10" t="s">
        <v>20</v>
      </c>
      <c r="D1513" s="10" t="s">
        <v>160</v>
      </c>
      <c r="E1513" s="12">
        <v>3.071134E-2</v>
      </c>
      <c r="F1513" s="13">
        <v>1.75</v>
      </c>
      <c r="G1513" s="13">
        <v>0.05</v>
      </c>
    </row>
    <row r="1514" spans="1:7" ht="20.149999999999999" customHeight="1" x14ac:dyDescent="0.35">
      <c r="A1514" s="10" t="s">
        <v>1326</v>
      </c>
      <c r="B1514" s="11" t="s">
        <v>1327</v>
      </c>
      <c r="C1514" s="10" t="s">
        <v>20</v>
      </c>
      <c r="D1514" s="10" t="s">
        <v>160</v>
      </c>
      <c r="E1514" s="12">
        <v>6.36033E-3</v>
      </c>
      <c r="F1514" s="13">
        <v>57.75</v>
      </c>
      <c r="G1514" s="13">
        <v>0.36</v>
      </c>
    </row>
    <row r="1515" spans="1:7" ht="15" customHeight="1" x14ac:dyDescent="0.35">
      <c r="A1515" s="8"/>
      <c r="B1515" s="8"/>
      <c r="C1515" s="8"/>
      <c r="D1515" s="8"/>
      <c r="E1515" s="60" t="s">
        <v>714</v>
      </c>
      <c r="F1515" s="60"/>
      <c r="G1515" s="14">
        <v>10.34</v>
      </c>
    </row>
    <row r="1516" spans="1:7" ht="15" customHeight="1" x14ac:dyDescent="0.35">
      <c r="A1516" s="59" t="s">
        <v>715</v>
      </c>
      <c r="B1516" s="59"/>
      <c r="C1516" s="9" t="s">
        <v>3</v>
      </c>
      <c r="D1516" s="9" t="s">
        <v>4</v>
      </c>
      <c r="E1516" s="9" t="s">
        <v>702</v>
      </c>
      <c r="F1516" s="9" t="s">
        <v>703</v>
      </c>
      <c r="G1516" s="9" t="s">
        <v>704</v>
      </c>
    </row>
    <row r="1517" spans="1:7" ht="20.149999999999999" customHeight="1" x14ac:dyDescent="0.35">
      <c r="A1517" s="10" t="s">
        <v>1300</v>
      </c>
      <c r="B1517" s="11" t="s">
        <v>1301</v>
      </c>
      <c r="C1517" s="10" t="s">
        <v>20</v>
      </c>
      <c r="D1517" s="10" t="s">
        <v>718</v>
      </c>
      <c r="E1517" s="12">
        <v>0.12513843999999999</v>
      </c>
      <c r="F1517" s="13">
        <v>15.03</v>
      </c>
      <c r="G1517" s="13">
        <v>1.88</v>
      </c>
    </row>
    <row r="1518" spans="1:7" ht="20.149999999999999" customHeight="1" x14ac:dyDescent="0.35">
      <c r="A1518" s="10" t="s">
        <v>1302</v>
      </c>
      <c r="B1518" s="11" t="s">
        <v>1303</v>
      </c>
      <c r="C1518" s="10" t="s">
        <v>20</v>
      </c>
      <c r="D1518" s="10" t="s">
        <v>718</v>
      </c>
      <c r="E1518" s="12">
        <v>0.12578892</v>
      </c>
      <c r="F1518" s="13">
        <v>18.96</v>
      </c>
      <c r="G1518" s="13">
        <v>2.38</v>
      </c>
    </row>
    <row r="1519" spans="1:7" ht="18" customHeight="1" x14ac:dyDescent="0.35">
      <c r="A1519" s="8"/>
      <c r="B1519" s="8"/>
      <c r="C1519" s="8"/>
      <c r="D1519" s="8"/>
      <c r="E1519" s="60" t="s">
        <v>721</v>
      </c>
      <c r="F1519" s="60"/>
      <c r="G1519" s="14">
        <v>4.26</v>
      </c>
    </row>
    <row r="1520" spans="1:7" ht="15" customHeight="1" x14ac:dyDescent="0.35">
      <c r="A1520" s="8"/>
      <c r="B1520" s="8"/>
      <c r="C1520" s="8"/>
      <c r="D1520" s="8"/>
      <c r="E1520" s="61" t="s">
        <v>726</v>
      </c>
      <c r="F1520" s="61"/>
      <c r="G1520" s="4">
        <v>14.6</v>
      </c>
    </row>
    <row r="1521" spans="1:7" ht="10" customHeight="1" x14ac:dyDescent="0.35">
      <c r="A1521" s="8"/>
      <c r="B1521" s="8"/>
      <c r="C1521" s="57"/>
      <c r="D1521" s="57"/>
      <c r="E1521" s="8"/>
      <c r="F1521" s="8"/>
      <c r="G1521" s="8"/>
    </row>
    <row r="1522" spans="1:7" ht="20.149999999999999" customHeight="1" x14ac:dyDescent="0.35">
      <c r="A1522" s="58" t="s">
        <v>1331</v>
      </c>
      <c r="B1522" s="58"/>
      <c r="C1522" s="58"/>
      <c r="D1522" s="58"/>
      <c r="E1522" s="58"/>
      <c r="F1522" s="58"/>
      <c r="G1522" s="58"/>
    </row>
    <row r="1523" spans="1:7" ht="15" customHeight="1" x14ac:dyDescent="0.35">
      <c r="A1523" s="59" t="s">
        <v>701</v>
      </c>
      <c r="B1523" s="59"/>
      <c r="C1523" s="9" t="s">
        <v>3</v>
      </c>
      <c r="D1523" s="9" t="s">
        <v>4</v>
      </c>
      <c r="E1523" s="9" t="s">
        <v>702</v>
      </c>
      <c r="F1523" s="9" t="s">
        <v>703</v>
      </c>
      <c r="G1523" s="9" t="s">
        <v>704</v>
      </c>
    </row>
    <row r="1524" spans="1:7" ht="15" customHeight="1" x14ac:dyDescent="0.35">
      <c r="A1524" s="10" t="s">
        <v>1322</v>
      </c>
      <c r="B1524" s="11" t="s">
        <v>1323</v>
      </c>
      <c r="C1524" s="10" t="s">
        <v>20</v>
      </c>
      <c r="D1524" s="10" t="s">
        <v>160</v>
      </c>
      <c r="E1524" s="12">
        <v>3.5565800000000002E-3</v>
      </c>
      <c r="F1524" s="13">
        <v>50.97</v>
      </c>
      <c r="G1524" s="13">
        <v>0.18</v>
      </c>
    </row>
    <row r="1525" spans="1:7" ht="20.149999999999999" customHeight="1" x14ac:dyDescent="0.35">
      <c r="A1525" s="10" t="s">
        <v>1332</v>
      </c>
      <c r="B1525" s="11" t="s">
        <v>1333</v>
      </c>
      <c r="C1525" s="10" t="s">
        <v>20</v>
      </c>
      <c r="D1525" s="10" t="s">
        <v>160</v>
      </c>
      <c r="E1525" s="12">
        <v>1</v>
      </c>
      <c r="F1525" s="13">
        <v>8.14</v>
      </c>
      <c r="G1525" s="13">
        <v>8.14</v>
      </c>
    </row>
    <row r="1526" spans="1:7" ht="15" customHeight="1" x14ac:dyDescent="0.35">
      <c r="A1526" s="10" t="s">
        <v>1296</v>
      </c>
      <c r="B1526" s="11" t="s">
        <v>1297</v>
      </c>
      <c r="C1526" s="10" t="s">
        <v>20</v>
      </c>
      <c r="D1526" s="10" t="s">
        <v>160</v>
      </c>
      <c r="E1526" s="12">
        <v>1.3401939999999999E-2</v>
      </c>
      <c r="F1526" s="13">
        <v>1.75</v>
      </c>
      <c r="G1526" s="13">
        <v>0.02</v>
      </c>
    </row>
    <row r="1527" spans="1:7" ht="20.149999999999999" customHeight="1" x14ac:dyDescent="0.35">
      <c r="A1527" s="10" t="s">
        <v>1326</v>
      </c>
      <c r="B1527" s="11" t="s">
        <v>1327</v>
      </c>
      <c r="C1527" s="10" t="s">
        <v>20</v>
      </c>
      <c r="D1527" s="10" t="s">
        <v>160</v>
      </c>
      <c r="E1527" s="12">
        <v>4.21967E-3</v>
      </c>
      <c r="F1527" s="13">
        <v>57.75</v>
      </c>
      <c r="G1527" s="13">
        <v>0.24</v>
      </c>
    </row>
    <row r="1528" spans="1:7" ht="15" customHeight="1" x14ac:dyDescent="0.35">
      <c r="A1528" s="8"/>
      <c r="B1528" s="8"/>
      <c r="C1528" s="8"/>
      <c r="D1528" s="8"/>
      <c r="E1528" s="60" t="s">
        <v>714</v>
      </c>
      <c r="F1528" s="60"/>
      <c r="G1528" s="14">
        <v>8.58</v>
      </c>
    </row>
    <row r="1529" spans="1:7" ht="15" customHeight="1" x14ac:dyDescent="0.35">
      <c r="A1529" s="59" t="s">
        <v>715</v>
      </c>
      <c r="B1529" s="59"/>
      <c r="C1529" s="9" t="s">
        <v>3</v>
      </c>
      <c r="D1529" s="9" t="s">
        <v>4</v>
      </c>
      <c r="E1529" s="9" t="s">
        <v>702</v>
      </c>
      <c r="F1529" s="9" t="s">
        <v>703</v>
      </c>
      <c r="G1529" s="9" t="s">
        <v>704</v>
      </c>
    </row>
    <row r="1530" spans="1:7" ht="20.149999999999999" customHeight="1" x14ac:dyDescent="0.35">
      <c r="A1530" s="10" t="s">
        <v>1300</v>
      </c>
      <c r="B1530" s="11" t="s">
        <v>1301</v>
      </c>
      <c r="C1530" s="10" t="s">
        <v>20</v>
      </c>
      <c r="D1530" s="10" t="s">
        <v>718</v>
      </c>
      <c r="E1530" s="12">
        <v>7.6593949999999994E-2</v>
      </c>
      <c r="F1530" s="13">
        <v>15.03</v>
      </c>
      <c r="G1530" s="13">
        <v>1.1499999999999999</v>
      </c>
    </row>
    <row r="1531" spans="1:7" ht="20.149999999999999" customHeight="1" x14ac:dyDescent="0.35">
      <c r="A1531" s="10" t="s">
        <v>1302</v>
      </c>
      <c r="B1531" s="11" t="s">
        <v>1303</v>
      </c>
      <c r="C1531" s="10" t="s">
        <v>20</v>
      </c>
      <c r="D1531" s="10" t="s">
        <v>718</v>
      </c>
      <c r="E1531" s="12">
        <v>7.620122E-2</v>
      </c>
      <c r="F1531" s="13">
        <v>18.96</v>
      </c>
      <c r="G1531" s="13">
        <v>1.44</v>
      </c>
    </row>
    <row r="1532" spans="1:7" ht="18" customHeight="1" x14ac:dyDescent="0.35">
      <c r="A1532" s="8"/>
      <c r="B1532" s="8"/>
      <c r="C1532" s="8"/>
      <c r="D1532" s="8"/>
      <c r="E1532" s="60" t="s">
        <v>721</v>
      </c>
      <c r="F1532" s="60"/>
      <c r="G1532" s="14">
        <v>2.59</v>
      </c>
    </row>
    <row r="1533" spans="1:7" ht="15" customHeight="1" x14ac:dyDescent="0.35">
      <c r="A1533" s="8"/>
      <c r="B1533" s="8"/>
      <c r="C1533" s="8"/>
      <c r="D1533" s="8"/>
      <c r="E1533" s="61" t="s">
        <v>726</v>
      </c>
      <c r="F1533" s="61"/>
      <c r="G1533" s="4">
        <v>11.17</v>
      </c>
    </row>
    <row r="1534" spans="1:7" ht="10" customHeight="1" x14ac:dyDescent="0.35">
      <c r="A1534" s="8"/>
      <c r="B1534" s="8"/>
      <c r="C1534" s="57"/>
      <c r="D1534" s="57"/>
      <c r="E1534" s="8"/>
      <c r="F1534" s="8"/>
      <c r="G1534" s="8"/>
    </row>
    <row r="1535" spans="1:7" ht="20.149999999999999" customHeight="1" x14ac:dyDescent="0.35">
      <c r="A1535" s="58" t="s">
        <v>1334</v>
      </c>
      <c r="B1535" s="58"/>
      <c r="C1535" s="58"/>
      <c r="D1535" s="58"/>
      <c r="E1535" s="58"/>
      <c r="F1535" s="58"/>
      <c r="G1535" s="58"/>
    </row>
    <row r="1536" spans="1:7" ht="15" customHeight="1" x14ac:dyDescent="0.35">
      <c r="A1536" s="59" t="s">
        <v>701</v>
      </c>
      <c r="B1536" s="59"/>
      <c r="C1536" s="9" t="s">
        <v>3</v>
      </c>
      <c r="D1536" s="9" t="s">
        <v>4</v>
      </c>
      <c r="E1536" s="9" t="s">
        <v>702</v>
      </c>
      <c r="F1536" s="9" t="s">
        <v>703</v>
      </c>
      <c r="G1536" s="9" t="s">
        <v>704</v>
      </c>
    </row>
    <row r="1537" spans="1:7" ht="15" customHeight="1" x14ac:dyDescent="0.35">
      <c r="A1537" s="10" t="s">
        <v>1322</v>
      </c>
      <c r="B1537" s="11" t="s">
        <v>1323</v>
      </c>
      <c r="C1537" s="10" t="s">
        <v>20</v>
      </c>
      <c r="D1537" s="10" t="s">
        <v>160</v>
      </c>
      <c r="E1537" s="12">
        <v>6.9137299999999999E-3</v>
      </c>
      <c r="F1537" s="13">
        <v>50.97</v>
      </c>
      <c r="G1537" s="13">
        <v>0.35</v>
      </c>
    </row>
    <row r="1538" spans="1:7" ht="20.149999999999999" customHeight="1" x14ac:dyDescent="0.35">
      <c r="A1538" s="10" t="s">
        <v>1324</v>
      </c>
      <c r="B1538" s="11" t="s">
        <v>1325</v>
      </c>
      <c r="C1538" s="10" t="s">
        <v>20</v>
      </c>
      <c r="D1538" s="10" t="s">
        <v>160</v>
      </c>
      <c r="E1538" s="12">
        <v>1</v>
      </c>
      <c r="F1538" s="13">
        <v>0.97</v>
      </c>
      <c r="G1538" s="13">
        <v>0.97</v>
      </c>
    </row>
    <row r="1539" spans="1:7" ht="15" customHeight="1" x14ac:dyDescent="0.35">
      <c r="A1539" s="10" t="s">
        <v>1296</v>
      </c>
      <c r="B1539" s="11" t="s">
        <v>1297</v>
      </c>
      <c r="C1539" s="10" t="s">
        <v>20</v>
      </c>
      <c r="D1539" s="10" t="s">
        <v>160</v>
      </c>
      <c r="E1539" s="12">
        <v>2.940771E-2</v>
      </c>
      <c r="F1539" s="13">
        <v>1.75</v>
      </c>
      <c r="G1539" s="13">
        <v>0.05</v>
      </c>
    </row>
    <row r="1540" spans="1:7" ht="20.149999999999999" customHeight="1" x14ac:dyDescent="0.35">
      <c r="A1540" s="10" t="s">
        <v>1326</v>
      </c>
      <c r="B1540" s="11" t="s">
        <v>1327</v>
      </c>
      <c r="C1540" s="10" t="s">
        <v>20</v>
      </c>
      <c r="D1540" s="10" t="s">
        <v>160</v>
      </c>
      <c r="E1540" s="12">
        <v>7.7901200000000002E-3</v>
      </c>
      <c r="F1540" s="13">
        <v>57.75</v>
      </c>
      <c r="G1540" s="13">
        <v>0.44</v>
      </c>
    </row>
    <row r="1541" spans="1:7" ht="15" customHeight="1" x14ac:dyDescent="0.35">
      <c r="A1541" s="8"/>
      <c r="B1541" s="8"/>
      <c r="C1541" s="8"/>
      <c r="D1541" s="8"/>
      <c r="E1541" s="60" t="s">
        <v>714</v>
      </c>
      <c r="F1541" s="60"/>
      <c r="G1541" s="14">
        <v>1.81</v>
      </c>
    </row>
    <row r="1542" spans="1:7" ht="15" customHeight="1" x14ac:dyDescent="0.35">
      <c r="A1542" s="59" t="s">
        <v>715</v>
      </c>
      <c r="B1542" s="59"/>
      <c r="C1542" s="9" t="s">
        <v>3</v>
      </c>
      <c r="D1542" s="9" t="s">
        <v>4</v>
      </c>
      <c r="E1542" s="9" t="s">
        <v>702</v>
      </c>
      <c r="F1542" s="9" t="s">
        <v>703</v>
      </c>
      <c r="G1542" s="9" t="s">
        <v>704</v>
      </c>
    </row>
    <row r="1543" spans="1:7" ht="20.149999999999999" customHeight="1" x14ac:dyDescent="0.35">
      <c r="A1543" s="10" t="s">
        <v>1300</v>
      </c>
      <c r="B1543" s="11" t="s">
        <v>1301</v>
      </c>
      <c r="C1543" s="10" t="s">
        <v>20</v>
      </c>
      <c r="D1543" s="10" t="s">
        <v>718</v>
      </c>
      <c r="E1543" s="12">
        <v>0.12812622000000001</v>
      </c>
      <c r="F1543" s="13">
        <v>15.03</v>
      </c>
      <c r="G1543" s="13">
        <v>1.92</v>
      </c>
    </row>
    <row r="1544" spans="1:7" ht="20.149999999999999" customHeight="1" x14ac:dyDescent="0.35">
      <c r="A1544" s="10" t="s">
        <v>1302</v>
      </c>
      <c r="B1544" s="11" t="s">
        <v>1303</v>
      </c>
      <c r="C1544" s="10" t="s">
        <v>20</v>
      </c>
      <c r="D1544" s="10" t="s">
        <v>718</v>
      </c>
      <c r="E1544" s="12">
        <v>0.12930106</v>
      </c>
      <c r="F1544" s="13">
        <v>18.96</v>
      </c>
      <c r="G1544" s="13">
        <v>2.4500000000000002</v>
      </c>
    </row>
    <row r="1545" spans="1:7" ht="18" customHeight="1" x14ac:dyDescent="0.35">
      <c r="A1545" s="8"/>
      <c r="B1545" s="8"/>
      <c r="C1545" s="8"/>
      <c r="D1545" s="8"/>
      <c r="E1545" s="60" t="s">
        <v>721</v>
      </c>
      <c r="F1545" s="60"/>
      <c r="G1545" s="14">
        <v>4.37</v>
      </c>
    </row>
    <row r="1546" spans="1:7" ht="15" customHeight="1" x14ac:dyDescent="0.35">
      <c r="A1546" s="8"/>
      <c r="B1546" s="8"/>
      <c r="C1546" s="8"/>
      <c r="D1546" s="8"/>
      <c r="E1546" s="61" t="s">
        <v>726</v>
      </c>
      <c r="F1546" s="61"/>
      <c r="G1546" s="4">
        <v>6.18</v>
      </c>
    </row>
    <row r="1547" spans="1:7" ht="10" customHeight="1" x14ac:dyDescent="0.35">
      <c r="A1547" s="8"/>
      <c r="B1547" s="8"/>
      <c r="C1547" s="57"/>
      <c r="D1547" s="57"/>
      <c r="E1547" s="8"/>
      <c r="F1547" s="8"/>
      <c r="G1547" s="8"/>
    </row>
    <row r="1548" spans="1:7" ht="20.149999999999999" customHeight="1" x14ac:dyDescent="0.35">
      <c r="A1548" s="58" t="s">
        <v>1335</v>
      </c>
      <c r="B1548" s="58"/>
      <c r="C1548" s="58"/>
      <c r="D1548" s="58"/>
      <c r="E1548" s="58"/>
      <c r="F1548" s="58"/>
      <c r="G1548" s="58"/>
    </row>
    <row r="1549" spans="1:7" ht="15" customHeight="1" x14ac:dyDescent="0.35">
      <c r="A1549" s="59" t="s">
        <v>701</v>
      </c>
      <c r="B1549" s="59"/>
      <c r="C1549" s="9" t="s">
        <v>3</v>
      </c>
      <c r="D1549" s="9" t="s">
        <v>4</v>
      </c>
      <c r="E1549" s="9" t="s">
        <v>702</v>
      </c>
      <c r="F1549" s="9" t="s">
        <v>703</v>
      </c>
      <c r="G1549" s="9" t="s">
        <v>704</v>
      </c>
    </row>
    <row r="1550" spans="1:7" ht="15" customHeight="1" x14ac:dyDescent="0.35">
      <c r="A1550" s="10" t="s">
        <v>1322</v>
      </c>
      <c r="B1550" s="11" t="s">
        <v>1323</v>
      </c>
      <c r="C1550" s="10" t="s">
        <v>20</v>
      </c>
      <c r="D1550" s="10" t="s">
        <v>160</v>
      </c>
      <c r="E1550" s="12">
        <v>1.1951089999999999E-2</v>
      </c>
      <c r="F1550" s="13">
        <v>50.97</v>
      </c>
      <c r="G1550" s="13">
        <v>0.6</v>
      </c>
    </row>
    <row r="1551" spans="1:7" ht="20.149999999999999" customHeight="1" x14ac:dyDescent="0.35">
      <c r="A1551" s="10" t="s">
        <v>1336</v>
      </c>
      <c r="B1551" s="11" t="s">
        <v>1337</v>
      </c>
      <c r="C1551" s="10" t="s">
        <v>20</v>
      </c>
      <c r="D1551" s="10" t="s">
        <v>160</v>
      </c>
      <c r="E1551" s="12">
        <v>1</v>
      </c>
      <c r="F1551" s="13">
        <v>7.48</v>
      </c>
      <c r="G1551" s="13">
        <v>7.48</v>
      </c>
    </row>
    <row r="1552" spans="1:7" ht="15" customHeight="1" x14ac:dyDescent="0.35">
      <c r="A1552" s="10" t="s">
        <v>1296</v>
      </c>
      <c r="B1552" s="11" t="s">
        <v>1297</v>
      </c>
      <c r="C1552" s="10" t="s">
        <v>20</v>
      </c>
      <c r="D1552" s="10" t="s">
        <v>160</v>
      </c>
      <c r="E1552" s="12">
        <v>1.3761870000000001E-2</v>
      </c>
      <c r="F1552" s="13">
        <v>1.75</v>
      </c>
      <c r="G1552" s="13">
        <v>0.02</v>
      </c>
    </row>
    <row r="1553" spans="1:7" ht="20.149999999999999" customHeight="1" x14ac:dyDescent="0.35">
      <c r="A1553" s="10" t="s">
        <v>1326</v>
      </c>
      <c r="B1553" s="11" t="s">
        <v>1327</v>
      </c>
      <c r="C1553" s="10" t="s">
        <v>20</v>
      </c>
      <c r="D1553" s="10" t="s">
        <v>160</v>
      </c>
      <c r="E1553" s="12">
        <v>1.5934790000000001E-2</v>
      </c>
      <c r="F1553" s="13">
        <v>57.75</v>
      </c>
      <c r="G1553" s="13">
        <v>0.92</v>
      </c>
    </row>
    <row r="1554" spans="1:7" ht="15" customHeight="1" x14ac:dyDescent="0.35">
      <c r="A1554" s="8"/>
      <c r="B1554" s="8"/>
      <c r="C1554" s="8"/>
      <c r="D1554" s="8"/>
      <c r="E1554" s="60" t="s">
        <v>714</v>
      </c>
      <c r="F1554" s="60"/>
      <c r="G1554" s="14">
        <v>9.02</v>
      </c>
    </row>
    <row r="1555" spans="1:7" ht="15" customHeight="1" x14ac:dyDescent="0.35">
      <c r="A1555" s="59" t="s">
        <v>715</v>
      </c>
      <c r="B1555" s="59"/>
      <c r="C1555" s="9" t="s">
        <v>3</v>
      </c>
      <c r="D1555" s="9" t="s">
        <v>4</v>
      </c>
      <c r="E1555" s="9" t="s">
        <v>702</v>
      </c>
      <c r="F1555" s="9" t="s">
        <v>703</v>
      </c>
      <c r="G1555" s="9" t="s">
        <v>704</v>
      </c>
    </row>
    <row r="1556" spans="1:7" ht="20.149999999999999" customHeight="1" x14ac:dyDescent="0.35">
      <c r="A1556" s="10" t="s">
        <v>1300</v>
      </c>
      <c r="B1556" s="11" t="s">
        <v>1301</v>
      </c>
      <c r="C1556" s="10" t="s">
        <v>20</v>
      </c>
      <c r="D1556" s="10" t="s">
        <v>718</v>
      </c>
      <c r="E1556" s="12">
        <v>8.9353870000000002E-2</v>
      </c>
      <c r="F1556" s="13">
        <v>15.03</v>
      </c>
      <c r="G1556" s="13">
        <v>1.34</v>
      </c>
    </row>
    <row r="1557" spans="1:7" ht="20.149999999999999" customHeight="1" x14ac:dyDescent="0.35">
      <c r="A1557" s="10" t="s">
        <v>1302</v>
      </c>
      <c r="B1557" s="11" t="s">
        <v>1303</v>
      </c>
      <c r="C1557" s="10" t="s">
        <v>20</v>
      </c>
      <c r="D1557" s="10" t="s">
        <v>718</v>
      </c>
      <c r="E1557" s="12">
        <v>9.0004340000000002E-2</v>
      </c>
      <c r="F1557" s="13">
        <v>18.96</v>
      </c>
      <c r="G1557" s="13">
        <v>1.7</v>
      </c>
    </row>
    <row r="1558" spans="1:7" ht="18" customHeight="1" x14ac:dyDescent="0.35">
      <c r="A1558" s="8"/>
      <c r="B1558" s="8"/>
      <c r="C1558" s="8"/>
      <c r="D1558" s="8"/>
      <c r="E1558" s="60" t="s">
        <v>721</v>
      </c>
      <c r="F1558" s="60"/>
      <c r="G1558" s="14">
        <v>3.04</v>
      </c>
    </row>
    <row r="1559" spans="1:7" ht="15" customHeight="1" x14ac:dyDescent="0.35">
      <c r="A1559" s="8"/>
      <c r="B1559" s="8"/>
      <c r="C1559" s="8"/>
      <c r="D1559" s="8"/>
      <c r="E1559" s="61" t="s">
        <v>726</v>
      </c>
      <c r="F1559" s="61"/>
      <c r="G1559" s="4">
        <v>12.06</v>
      </c>
    </row>
    <row r="1560" spans="1:7" ht="10" customHeight="1" x14ac:dyDescent="0.35">
      <c r="A1560" s="8"/>
      <c r="B1560" s="8"/>
      <c r="C1560" s="57"/>
      <c r="D1560" s="57"/>
      <c r="E1560" s="8"/>
      <c r="F1560" s="8"/>
      <c r="G1560" s="8"/>
    </row>
    <row r="1561" spans="1:7" ht="20.149999999999999" customHeight="1" x14ac:dyDescent="0.35">
      <c r="A1561" s="58" t="s">
        <v>1338</v>
      </c>
      <c r="B1561" s="58"/>
      <c r="C1561" s="58"/>
      <c r="D1561" s="58"/>
      <c r="E1561" s="58"/>
      <c r="F1561" s="58"/>
      <c r="G1561" s="58"/>
    </row>
    <row r="1562" spans="1:7" ht="15" customHeight="1" x14ac:dyDescent="0.35">
      <c r="A1562" s="59" t="s">
        <v>701</v>
      </c>
      <c r="B1562" s="59"/>
      <c r="C1562" s="9" t="s">
        <v>3</v>
      </c>
      <c r="D1562" s="9" t="s">
        <v>4</v>
      </c>
      <c r="E1562" s="9" t="s">
        <v>702</v>
      </c>
      <c r="F1562" s="9" t="s">
        <v>703</v>
      </c>
      <c r="G1562" s="9" t="s">
        <v>704</v>
      </c>
    </row>
    <row r="1563" spans="1:7" ht="15" customHeight="1" x14ac:dyDescent="0.35">
      <c r="A1563" s="10" t="s">
        <v>1322</v>
      </c>
      <c r="B1563" s="11" t="s">
        <v>1323</v>
      </c>
      <c r="C1563" s="10" t="s">
        <v>20</v>
      </c>
      <c r="D1563" s="10" t="s">
        <v>160</v>
      </c>
      <c r="E1563" s="12">
        <v>6.1601800000000003E-3</v>
      </c>
      <c r="F1563" s="13">
        <v>50.97</v>
      </c>
      <c r="G1563" s="13">
        <v>0.31</v>
      </c>
    </row>
    <row r="1564" spans="1:7" ht="20.149999999999999" customHeight="1" x14ac:dyDescent="0.35">
      <c r="A1564" s="10" t="s">
        <v>1339</v>
      </c>
      <c r="B1564" s="11" t="s">
        <v>1340</v>
      </c>
      <c r="C1564" s="10" t="s">
        <v>20</v>
      </c>
      <c r="D1564" s="10" t="s">
        <v>160</v>
      </c>
      <c r="E1564" s="12">
        <v>1</v>
      </c>
      <c r="F1564" s="13">
        <v>4.0999999999999996</v>
      </c>
      <c r="G1564" s="13">
        <v>4.0999999999999996</v>
      </c>
    </row>
    <row r="1565" spans="1:7" ht="15" customHeight="1" x14ac:dyDescent="0.35">
      <c r="A1565" s="10" t="s">
        <v>1296</v>
      </c>
      <c r="B1565" s="11" t="s">
        <v>1297</v>
      </c>
      <c r="C1565" s="10" t="s">
        <v>20</v>
      </c>
      <c r="D1565" s="10" t="s">
        <v>160</v>
      </c>
      <c r="E1565" s="12">
        <v>2.620248E-2</v>
      </c>
      <c r="F1565" s="13">
        <v>1.75</v>
      </c>
      <c r="G1565" s="13">
        <v>0.04</v>
      </c>
    </row>
    <row r="1566" spans="1:7" ht="20.149999999999999" customHeight="1" x14ac:dyDescent="0.35">
      <c r="A1566" s="10" t="s">
        <v>1326</v>
      </c>
      <c r="B1566" s="11" t="s">
        <v>1327</v>
      </c>
      <c r="C1566" s="10" t="s">
        <v>20</v>
      </c>
      <c r="D1566" s="10" t="s">
        <v>160</v>
      </c>
      <c r="E1566" s="12">
        <v>6.9410499999999998E-3</v>
      </c>
      <c r="F1566" s="13">
        <v>57.75</v>
      </c>
      <c r="G1566" s="13">
        <v>0.4</v>
      </c>
    </row>
    <row r="1567" spans="1:7" ht="15" customHeight="1" x14ac:dyDescent="0.35">
      <c r="A1567" s="8"/>
      <c r="B1567" s="8"/>
      <c r="C1567" s="8"/>
      <c r="D1567" s="8"/>
      <c r="E1567" s="60" t="s">
        <v>714</v>
      </c>
      <c r="F1567" s="60"/>
      <c r="G1567" s="14">
        <v>4.8499999999999996</v>
      </c>
    </row>
    <row r="1568" spans="1:7" ht="15" customHeight="1" x14ac:dyDescent="0.35">
      <c r="A1568" s="59" t="s">
        <v>715</v>
      </c>
      <c r="B1568" s="59"/>
      <c r="C1568" s="9" t="s">
        <v>3</v>
      </c>
      <c r="D1568" s="9" t="s">
        <v>4</v>
      </c>
      <c r="E1568" s="9" t="s">
        <v>702</v>
      </c>
      <c r="F1568" s="9" t="s">
        <v>703</v>
      </c>
      <c r="G1568" s="9" t="s">
        <v>704</v>
      </c>
    </row>
    <row r="1569" spans="1:7" ht="20.149999999999999" customHeight="1" x14ac:dyDescent="0.35">
      <c r="A1569" s="10" t="s">
        <v>1300</v>
      </c>
      <c r="B1569" s="11" t="s">
        <v>1301</v>
      </c>
      <c r="C1569" s="10" t="s">
        <v>20</v>
      </c>
      <c r="D1569" s="10" t="s">
        <v>718</v>
      </c>
      <c r="E1569" s="12">
        <v>0.11455542000000001</v>
      </c>
      <c r="F1569" s="13">
        <v>15.03</v>
      </c>
      <c r="G1569" s="13">
        <v>1.72</v>
      </c>
    </row>
    <row r="1570" spans="1:7" ht="20.149999999999999" customHeight="1" x14ac:dyDescent="0.35">
      <c r="A1570" s="10" t="s">
        <v>1302</v>
      </c>
      <c r="B1570" s="11" t="s">
        <v>1303</v>
      </c>
      <c r="C1570" s="10" t="s">
        <v>20</v>
      </c>
      <c r="D1570" s="10" t="s">
        <v>718</v>
      </c>
      <c r="E1570" s="12">
        <v>0.11520548</v>
      </c>
      <c r="F1570" s="13">
        <v>18.96</v>
      </c>
      <c r="G1570" s="13">
        <v>2.1800000000000002</v>
      </c>
    </row>
    <row r="1571" spans="1:7" ht="18" customHeight="1" x14ac:dyDescent="0.35">
      <c r="A1571" s="8"/>
      <c r="B1571" s="8"/>
      <c r="C1571" s="8"/>
      <c r="D1571" s="8"/>
      <c r="E1571" s="60" t="s">
        <v>721</v>
      </c>
      <c r="F1571" s="60"/>
      <c r="G1571" s="14">
        <v>3.9</v>
      </c>
    </row>
    <row r="1572" spans="1:7" ht="15" customHeight="1" x14ac:dyDescent="0.35">
      <c r="A1572" s="8"/>
      <c r="B1572" s="8"/>
      <c r="C1572" s="8"/>
      <c r="D1572" s="8"/>
      <c r="E1572" s="61" t="s">
        <v>726</v>
      </c>
      <c r="F1572" s="61"/>
      <c r="G1572" s="4">
        <v>8.75</v>
      </c>
    </row>
    <row r="1573" spans="1:7" ht="10" customHeight="1" x14ac:dyDescent="0.35">
      <c r="A1573" s="8"/>
      <c r="B1573" s="8"/>
      <c r="C1573" s="57"/>
      <c r="D1573" s="57"/>
      <c r="E1573" s="8"/>
      <c r="F1573" s="8"/>
      <c r="G1573" s="8"/>
    </row>
    <row r="1574" spans="1:7" ht="20.149999999999999" customHeight="1" x14ac:dyDescent="0.35">
      <c r="A1574" s="58" t="s">
        <v>1341</v>
      </c>
      <c r="B1574" s="58"/>
      <c r="C1574" s="58"/>
      <c r="D1574" s="58"/>
      <c r="E1574" s="58"/>
      <c r="F1574" s="58"/>
      <c r="G1574" s="58"/>
    </row>
    <row r="1575" spans="1:7" ht="15" customHeight="1" x14ac:dyDescent="0.35">
      <c r="A1575" s="59" t="s">
        <v>701</v>
      </c>
      <c r="B1575" s="59"/>
      <c r="C1575" s="9" t="s">
        <v>3</v>
      </c>
      <c r="D1575" s="9" t="s">
        <v>4</v>
      </c>
      <c r="E1575" s="9" t="s">
        <v>702</v>
      </c>
      <c r="F1575" s="9" t="s">
        <v>703</v>
      </c>
      <c r="G1575" s="9" t="s">
        <v>704</v>
      </c>
    </row>
    <row r="1576" spans="1:7" ht="15" customHeight="1" x14ac:dyDescent="0.35">
      <c r="A1576" s="10" t="s">
        <v>1322</v>
      </c>
      <c r="B1576" s="11" t="s">
        <v>1323</v>
      </c>
      <c r="C1576" s="10" t="s">
        <v>20</v>
      </c>
      <c r="D1576" s="10" t="s">
        <v>160</v>
      </c>
      <c r="E1576" s="12">
        <v>9.4000000000000004E-3</v>
      </c>
      <c r="F1576" s="13">
        <v>50.97</v>
      </c>
      <c r="G1576" s="13">
        <v>0.47</v>
      </c>
    </row>
    <row r="1577" spans="1:7" ht="15" customHeight="1" x14ac:dyDescent="0.35">
      <c r="A1577" s="10" t="s">
        <v>1296</v>
      </c>
      <c r="B1577" s="11" t="s">
        <v>1297</v>
      </c>
      <c r="C1577" s="10" t="s">
        <v>20</v>
      </c>
      <c r="D1577" s="10" t="s">
        <v>160</v>
      </c>
      <c r="E1577" s="12">
        <v>3.5999999999999997E-2</v>
      </c>
      <c r="F1577" s="13">
        <v>1.75</v>
      </c>
      <c r="G1577" s="13">
        <v>0.06</v>
      </c>
    </row>
    <row r="1578" spans="1:7" ht="20.149999999999999" customHeight="1" x14ac:dyDescent="0.35">
      <c r="A1578" s="10" t="s">
        <v>1342</v>
      </c>
      <c r="B1578" s="11" t="s">
        <v>1343</v>
      </c>
      <c r="C1578" s="10" t="s">
        <v>20</v>
      </c>
      <c r="D1578" s="10" t="s">
        <v>160</v>
      </c>
      <c r="E1578" s="12">
        <v>1</v>
      </c>
      <c r="F1578" s="13">
        <v>32.549999999999997</v>
      </c>
      <c r="G1578" s="13">
        <v>32.549999999999997</v>
      </c>
    </row>
    <row r="1579" spans="1:7" ht="20.149999999999999" customHeight="1" x14ac:dyDescent="0.35">
      <c r="A1579" s="10" t="s">
        <v>1326</v>
      </c>
      <c r="B1579" s="11" t="s">
        <v>1327</v>
      </c>
      <c r="C1579" s="10" t="s">
        <v>20</v>
      </c>
      <c r="D1579" s="10" t="s">
        <v>160</v>
      </c>
      <c r="E1579" s="12">
        <v>1.0999999999999999E-2</v>
      </c>
      <c r="F1579" s="13">
        <v>57.75</v>
      </c>
      <c r="G1579" s="13">
        <v>0.63</v>
      </c>
    </row>
    <row r="1580" spans="1:7" ht="15" customHeight="1" x14ac:dyDescent="0.35">
      <c r="A1580" s="8"/>
      <c r="B1580" s="8"/>
      <c r="C1580" s="8"/>
      <c r="D1580" s="8"/>
      <c r="E1580" s="60" t="s">
        <v>714</v>
      </c>
      <c r="F1580" s="60"/>
      <c r="G1580" s="14">
        <v>33.71</v>
      </c>
    </row>
    <row r="1581" spans="1:7" ht="15" customHeight="1" x14ac:dyDescent="0.35">
      <c r="A1581" s="59" t="s">
        <v>715</v>
      </c>
      <c r="B1581" s="59"/>
      <c r="C1581" s="9" t="s">
        <v>3</v>
      </c>
      <c r="D1581" s="9" t="s">
        <v>4</v>
      </c>
      <c r="E1581" s="9" t="s">
        <v>702</v>
      </c>
      <c r="F1581" s="9" t="s">
        <v>703</v>
      </c>
      <c r="G1581" s="9" t="s">
        <v>704</v>
      </c>
    </row>
    <row r="1582" spans="1:7" ht="20.149999999999999" customHeight="1" x14ac:dyDescent="0.35">
      <c r="A1582" s="10" t="s">
        <v>1300</v>
      </c>
      <c r="B1582" s="11" t="s">
        <v>1301</v>
      </c>
      <c r="C1582" s="10" t="s">
        <v>20</v>
      </c>
      <c r="D1582" s="10" t="s">
        <v>718</v>
      </c>
      <c r="E1582" s="12">
        <v>0.1081</v>
      </c>
      <c r="F1582" s="13">
        <v>15.03</v>
      </c>
      <c r="G1582" s="13">
        <v>1.62</v>
      </c>
    </row>
    <row r="1583" spans="1:7" ht="20.149999999999999" customHeight="1" x14ac:dyDescent="0.35">
      <c r="A1583" s="10" t="s">
        <v>1302</v>
      </c>
      <c r="B1583" s="11" t="s">
        <v>1303</v>
      </c>
      <c r="C1583" s="10" t="s">
        <v>20</v>
      </c>
      <c r="D1583" s="10" t="s">
        <v>718</v>
      </c>
      <c r="E1583" s="12">
        <v>0.1081</v>
      </c>
      <c r="F1583" s="13">
        <v>18.96</v>
      </c>
      <c r="G1583" s="13">
        <v>2.04</v>
      </c>
    </row>
    <row r="1584" spans="1:7" ht="18" customHeight="1" x14ac:dyDescent="0.35">
      <c r="A1584" s="8"/>
      <c r="B1584" s="8"/>
      <c r="C1584" s="8"/>
      <c r="D1584" s="8"/>
      <c r="E1584" s="60" t="s">
        <v>721</v>
      </c>
      <c r="F1584" s="60"/>
      <c r="G1584" s="14">
        <v>3.66</v>
      </c>
    </row>
    <row r="1585" spans="1:7" ht="15" customHeight="1" x14ac:dyDescent="0.35">
      <c r="A1585" s="8"/>
      <c r="B1585" s="8"/>
      <c r="C1585" s="8"/>
      <c r="D1585" s="8"/>
      <c r="E1585" s="61" t="s">
        <v>726</v>
      </c>
      <c r="F1585" s="61"/>
      <c r="G1585" s="4">
        <v>29.72</v>
      </c>
    </row>
    <row r="1586" spans="1:7" ht="10" customHeight="1" x14ac:dyDescent="0.35">
      <c r="A1586" s="8"/>
      <c r="B1586" s="8"/>
      <c r="C1586" s="57"/>
      <c r="D1586" s="57"/>
      <c r="E1586" s="8"/>
      <c r="F1586" s="8"/>
      <c r="G1586" s="8"/>
    </row>
    <row r="1587" spans="1:7" ht="20.149999999999999" customHeight="1" x14ac:dyDescent="0.35">
      <c r="A1587" s="58" t="s">
        <v>1344</v>
      </c>
      <c r="B1587" s="58"/>
      <c r="C1587" s="58"/>
      <c r="D1587" s="58"/>
      <c r="E1587" s="58"/>
      <c r="F1587" s="58"/>
      <c r="G1587" s="58"/>
    </row>
    <row r="1588" spans="1:7" ht="15" customHeight="1" x14ac:dyDescent="0.35">
      <c r="A1588" s="59" t="s">
        <v>701</v>
      </c>
      <c r="B1588" s="59"/>
      <c r="C1588" s="9" t="s">
        <v>3</v>
      </c>
      <c r="D1588" s="9" t="s">
        <v>4</v>
      </c>
      <c r="E1588" s="9" t="s">
        <v>702</v>
      </c>
      <c r="F1588" s="9" t="s">
        <v>703</v>
      </c>
      <c r="G1588" s="9" t="s">
        <v>704</v>
      </c>
    </row>
    <row r="1589" spans="1:7" ht="15" customHeight="1" x14ac:dyDescent="0.35">
      <c r="A1589" s="10" t="s">
        <v>1322</v>
      </c>
      <c r="B1589" s="11" t="s">
        <v>1323</v>
      </c>
      <c r="C1589" s="10" t="s">
        <v>20</v>
      </c>
      <c r="D1589" s="10" t="s">
        <v>160</v>
      </c>
      <c r="E1589" s="12">
        <v>7.7702500000000002E-3</v>
      </c>
      <c r="F1589" s="13">
        <v>50.97</v>
      </c>
      <c r="G1589" s="13">
        <v>0.39</v>
      </c>
    </row>
    <row r="1590" spans="1:7" ht="15" customHeight="1" x14ac:dyDescent="0.35">
      <c r="A1590" s="10" t="s">
        <v>1296</v>
      </c>
      <c r="B1590" s="11" t="s">
        <v>1297</v>
      </c>
      <c r="C1590" s="10" t="s">
        <v>20</v>
      </c>
      <c r="D1590" s="10" t="s">
        <v>160</v>
      </c>
      <c r="E1590" s="12">
        <v>4.2577360000000002E-2</v>
      </c>
      <c r="F1590" s="13">
        <v>1.75</v>
      </c>
      <c r="G1590" s="13">
        <v>7.0000000000000007E-2</v>
      </c>
    </row>
    <row r="1591" spans="1:7" ht="20.149999999999999" customHeight="1" x14ac:dyDescent="0.35">
      <c r="A1591" s="10" t="s">
        <v>1345</v>
      </c>
      <c r="B1591" s="11" t="s">
        <v>1346</v>
      </c>
      <c r="C1591" s="10" t="s">
        <v>20</v>
      </c>
      <c r="D1591" s="10" t="s">
        <v>160</v>
      </c>
      <c r="E1591" s="12">
        <v>1</v>
      </c>
      <c r="F1591" s="13">
        <v>13.61</v>
      </c>
      <c r="G1591" s="13">
        <v>13.61</v>
      </c>
    </row>
    <row r="1592" spans="1:7" ht="20.149999999999999" customHeight="1" x14ac:dyDescent="0.35">
      <c r="A1592" s="10" t="s">
        <v>1326</v>
      </c>
      <c r="B1592" s="11" t="s">
        <v>1327</v>
      </c>
      <c r="C1592" s="10" t="s">
        <v>20</v>
      </c>
      <c r="D1592" s="10" t="s">
        <v>160</v>
      </c>
      <c r="E1592" s="12">
        <v>8.9248999999999995E-3</v>
      </c>
      <c r="F1592" s="13">
        <v>57.75</v>
      </c>
      <c r="G1592" s="13">
        <v>0.51</v>
      </c>
    </row>
    <row r="1593" spans="1:7" ht="15" customHeight="1" x14ac:dyDescent="0.35">
      <c r="A1593" s="8"/>
      <c r="B1593" s="8"/>
      <c r="C1593" s="8"/>
      <c r="D1593" s="8"/>
      <c r="E1593" s="60" t="s">
        <v>714</v>
      </c>
      <c r="F1593" s="60"/>
      <c r="G1593" s="14">
        <v>14.58</v>
      </c>
    </row>
    <row r="1594" spans="1:7" ht="15" customHeight="1" x14ac:dyDescent="0.35">
      <c r="A1594" s="59" t="s">
        <v>715</v>
      </c>
      <c r="B1594" s="59"/>
      <c r="C1594" s="9" t="s">
        <v>3</v>
      </c>
      <c r="D1594" s="9" t="s">
        <v>4</v>
      </c>
      <c r="E1594" s="9" t="s">
        <v>702</v>
      </c>
      <c r="F1594" s="9" t="s">
        <v>703</v>
      </c>
      <c r="G1594" s="9" t="s">
        <v>704</v>
      </c>
    </row>
    <row r="1595" spans="1:7" ht="20.149999999999999" customHeight="1" x14ac:dyDescent="0.35">
      <c r="A1595" s="10" t="s">
        <v>1300</v>
      </c>
      <c r="B1595" s="11" t="s">
        <v>1301</v>
      </c>
      <c r="C1595" s="10" t="s">
        <v>20</v>
      </c>
      <c r="D1595" s="10" t="s">
        <v>718</v>
      </c>
      <c r="E1595" s="12">
        <v>0.10983175000000001</v>
      </c>
      <c r="F1595" s="13">
        <v>15.03</v>
      </c>
      <c r="G1595" s="13">
        <v>1.65</v>
      </c>
    </row>
    <row r="1596" spans="1:7" ht="20.149999999999999" customHeight="1" x14ac:dyDescent="0.35">
      <c r="A1596" s="10" t="s">
        <v>1302</v>
      </c>
      <c r="B1596" s="11" t="s">
        <v>1303</v>
      </c>
      <c r="C1596" s="10" t="s">
        <v>20</v>
      </c>
      <c r="D1596" s="10" t="s">
        <v>718</v>
      </c>
      <c r="E1596" s="12">
        <v>0.10903143</v>
      </c>
      <c r="F1596" s="13">
        <v>18.96</v>
      </c>
      <c r="G1596" s="13">
        <v>2.06</v>
      </c>
    </row>
    <row r="1597" spans="1:7" ht="18" customHeight="1" x14ac:dyDescent="0.35">
      <c r="A1597" s="8"/>
      <c r="B1597" s="8"/>
      <c r="C1597" s="8"/>
      <c r="D1597" s="8"/>
      <c r="E1597" s="60" t="s">
        <v>721</v>
      </c>
      <c r="F1597" s="60"/>
      <c r="G1597" s="14">
        <v>3.71</v>
      </c>
    </row>
    <row r="1598" spans="1:7" ht="15" customHeight="1" x14ac:dyDescent="0.35">
      <c r="A1598" s="8"/>
      <c r="B1598" s="8"/>
      <c r="C1598" s="8"/>
      <c r="D1598" s="8"/>
      <c r="E1598" s="61" t="s">
        <v>726</v>
      </c>
      <c r="F1598" s="61"/>
      <c r="G1598" s="4">
        <v>18.29</v>
      </c>
    </row>
    <row r="1599" spans="1:7" ht="10" customHeight="1" x14ac:dyDescent="0.35">
      <c r="A1599" s="8"/>
      <c r="B1599" s="8"/>
      <c r="C1599" s="57"/>
      <c r="D1599" s="57"/>
      <c r="E1599" s="8"/>
      <c r="F1599" s="8"/>
      <c r="G1599" s="8"/>
    </row>
    <row r="1600" spans="1:7" ht="20.149999999999999" customHeight="1" x14ac:dyDescent="0.35">
      <c r="A1600" s="58" t="s">
        <v>1347</v>
      </c>
      <c r="B1600" s="58"/>
      <c r="C1600" s="58"/>
      <c r="D1600" s="58"/>
      <c r="E1600" s="58"/>
      <c r="F1600" s="58"/>
      <c r="G1600" s="58"/>
    </row>
    <row r="1601" spans="1:7" ht="15" customHeight="1" x14ac:dyDescent="0.35">
      <c r="A1601" s="59" t="s">
        <v>701</v>
      </c>
      <c r="B1601" s="59"/>
      <c r="C1601" s="9" t="s">
        <v>3</v>
      </c>
      <c r="D1601" s="9" t="s">
        <v>4</v>
      </c>
      <c r="E1601" s="9" t="s">
        <v>702</v>
      </c>
      <c r="F1601" s="9" t="s">
        <v>703</v>
      </c>
      <c r="G1601" s="9" t="s">
        <v>704</v>
      </c>
    </row>
    <row r="1602" spans="1:7" ht="15" customHeight="1" x14ac:dyDescent="0.35">
      <c r="A1602" s="10" t="s">
        <v>1348</v>
      </c>
      <c r="B1602" s="11" t="s">
        <v>1349</v>
      </c>
      <c r="C1602" s="10" t="s">
        <v>20</v>
      </c>
      <c r="D1602" s="10" t="s">
        <v>160</v>
      </c>
      <c r="E1602" s="12">
        <v>0.27598087999999998</v>
      </c>
      <c r="F1602" s="13">
        <v>26.14</v>
      </c>
      <c r="G1602" s="13">
        <v>7.21</v>
      </c>
    </row>
    <row r="1603" spans="1:7" ht="20.149999999999999" customHeight="1" x14ac:dyDescent="0.35">
      <c r="A1603" s="10" t="s">
        <v>1350</v>
      </c>
      <c r="B1603" s="11" t="s">
        <v>1351</v>
      </c>
      <c r="C1603" s="10" t="s">
        <v>20</v>
      </c>
      <c r="D1603" s="10" t="s">
        <v>160</v>
      </c>
      <c r="E1603" s="12">
        <v>1</v>
      </c>
      <c r="F1603" s="13">
        <v>19.62</v>
      </c>
      <c r="G1603" s="13">
        <v>19.62</v>
      </c>
    </row>
    <row r="1604" spans="1:7" ht="15" customHeight="1" x14ac:dyDescent="0.35">
      <c r="A1604" s="8"/>
      <c r="B1604" s="8"/>
      <c r="C1604" s="8"/>
      <c r="D1604" s="8"/>
      <c r="E1604" s="60" t="s">
        <v>714</v>
      </c>
      <c r="F1604" s="60"/>
      <c r="G1604" s="14">
        <v>26.83</v>
      </c>
    </row>
    <row r="1605" spans="1:7" ht="15" customHeight="1" x14ac:dyDescent="0.35">
      <c r="A1605" s="59" t="s">
        <v>715</v>
      </c>
      <c r="B1605" s="59"/>
      <c r="C1605" s="9" t="s">
        <v>3</v>
      </c>
      <c r="D1605" s="9" t="s">
        <v>4</v>
      </c>
      <c r="E1605" s="9" t="s">
        <v>702</v>
      </c>
      <c r="F1605" s="9" t="s">
        <v>703</v>
      </c>
      <c r="G1605" s="9" t="s">
        <v>704</v>
      </c>
    </row>
    <row r="1606" spans="1:7" ht="20.149999999999999" customHeight="1" x14ac:dyDescent="0.35">
      <c r="A1606" s="10" t="s">
        <v>1300</v>
      </c>
      <c r="B1606" s="11" t="s">
        <v>1301</v>
      </c>
      <c r="C1606" s="10" t="s">
        <v>20</v>
      </c>
      <c r="D1606" s="10" t="s">
        <v>718</v>
      </c>
      <c r="E1606" s="12">
        <v>0.24199472</v>
      </c>
      <c r="F1606" s="13">
        <v>15.03</v>
      </c>
      <c r="G1606" s="13">
        <v>3.63</v>
      </c>
    </row>
    <row r="1607" spans="1:7" ht="20.149999999999999" customHeight="1" x14ac:dyDescent="0.35">
      <c r="A1607" s="10" t="s">
        <v>1302</v>
      </c>
      <c r="B1607" s="11" t="s">
        <v>1303</v>
      </c>
      <c r="C1607" s="10" t="s">
        <v>20</v>
      </c>
      <c r="D1607" s="10" t="s">
        <v>718</v>
      </c>
      <c r="E1607" s="12">
        <v>0.24054232</v>
      </c>
      <c r="F1607" s="13">
        <v>18.96</v>
      </c>
      <c r="G1607" s="13">
        <v>4.5599999999999996</v>
      </c>
    </row>
    <row r="1608" spans="1:7" ht="18" customHeight="1" x14ac:dyDescent="0.35">
      <c r="A1608" s="8"/>
      <c r="B1608" s="8"/>
      <c r="C1608" s="8"/>
      <c r="D1608" s="8"/>
      <c r="E1608" s="60" t="s">
        <v>721</v>
      </c>
      <c r="F1608" s="60"/>
      <c r="G1608" s="14">
        <v>8.19</v>
      </c>
    </row>
    <row r="1609" spans="1:7" ht="15" customHeight="1" x14ac:dyDescent="0.35">
      <c r="A1609" s="8"/>
      <c r="B1609" s="8"/>
      <c r="C1609" s="8"/>
      <c r="D1609" s="8"/>
      <c r="E1609" s="61" t="s">
        <v>726</v>
      </c>
      <c r="F1609" s="61"/>
      <c r="G1609" s="4">
        <v>35.020000000000003</v>
      </c>
    </row>
    <row r="1610" spans="1:7" ht="10" customHeight="1" x14ac:dyDescent="0.35">
      <c r="A1610" s="8"/>
      <c r="B1610" s="8"/>
      <c r="C1610" s="57"/>
      <c r="D1610" s="57"/>
      <c r="E1610" s="8"/>
      <c r="F1610" s="8"/>
      <c r="G1610" s="8"/>
    </row>
    <row r="1611" spans="1:7" ht="20.149999999999999" customHeight="1" x14ac:dyDescent="0.35">
      <c r="A1611" s="58" t="s">
        <v>1352</v>
      </c>
      <c r="B1611" s="58"/>
      <c r="C1611" s="58"/>
      <c r="D1611" s="58"/>
      <c r="E1611" s="58"/>
      <c r="F1611" s="58"/>
      <c r="G1611" s="58"/>
    </row>
    <row r="1612" spans="1:7" ht="15" customHeight="1" x14ac:dyDescent="0.35">
      <c r="A1612" s="59" t="s">
        <v>701</v>
      </c>
      <c r="B1612" s="59"/>
      <c r="C1612" s="9" t="s">
        <v>3</v>
      </c>
      <c r="D1612" s="9" t="s">
        <v>4</v>
      </c>
      <c r="E1612" s="9" t="s">
        <v>702</v>
      </c>
      <c r="F1612" s="9" t="s">
        <v>703</v>
      </c>
      <c r="G1612" s="9" t="s">
        <v>704</v>
      </c>
    </row>
    <row r="1613" spans="1:7" ht="20.149999999999999" customHeight="1" x14ac:dyDescent="0.35">
      <c r="A1613" s="10" t="s">
        <v>1353</v>
      </c>
      <c r="B1613" s="11" t="s">
        <v>1354</v>
      </c>
      <c r="C1613" s="10" t="s">
        <v>20</v>
      </c>
      <c r="D1613" s="10" t="s">
        <v>160</v>
      </c>
      <c r="E1613" s="12">
        <v>1</v>
      </c>
      <c r="F1613" s="13">
        <v>32.47</v>
      </c>
      <c r="G1613" s="13">
        <v>32.47</v>
      </c>
    </row>
    <row r="1614" spans="1:7" ht="15" customHeight="1" x14ac:dyDescent="0.35">
      <c r="A1614" s="10" t="s">
        <v>1296</v>
      </c>
      <c r="B1614" s="11" t="s">
        <v>1297</v>
      </c>
      <c r="C1614" s="10" t="s">
        <v>20</v>
      </c>
      <c r="D1614" s="10" t="s">
        <v>160</v>
      </c>
      <c r="E1614" s="12">
        <v>7.2884930000000001E-2</v>
      </c>
      <c r="F1614" s="13">
        <v>1.75</v>
      </c>
      <c r="G1614" s="13">
        <v>0.12</v>
      </c>
    </row>
    <row r="1615" spans="1:7" ht="20.149999999999999" customHeight="1" x14ac:dyDescent="0.35">
      <c r="A1615" s="10" t="s">
        <v>1355</v>
      </c>
      <c r="B1615" s="11" t="s">
        <v>1356</v>
      </c>
      <c r="C1615" s="10" t="s">
        <v>20</v>
      </c>
      <c r="D1615" s="10" t="s">
        <v>160</v>
      </c>
      <c r="E1615" s="12">
        <v>3.3315799999999998E-3</v>
      </c>
      <c r="F1615" s="13">
        <v>49.75</v>
      </c>
      <c r="G1615" s="13">
        <v>0.16</v>
      </c>
    </row>
    <row r="1616" spans="1:7" ht="20.149999999999999" customHeight="1" x14ac:dyDescent="0.35">
      <c r="A1616" s="10" t="s">
        <v>1357</v>
      </c>
      <c r="B1616" s="11" t="s">
        <v>1358</v>
      </c>
      <c r="C1616" s="10" t="s">
        <v>20</v>
      </c>
      <c r="D1616" s="10" t="s">
        <v>160</v>
      </c>
      <c r="E1616" s="12">
        <v>1.3326350000000001E-2</v>
      </c>
      <c r="F1616" s="13">
        <v>271.39</v>
      </c>
      <c r="G1616" s="13">
        <v>3.61</v>
      </c>
    </row>
    <row r="1617" spans="1:7" ht="15" customHeight="1" x14ac:dyDescent="0.35">
      <c r="A1617" s="8"/>
      <c r="B1617" s="8"/>
      <c r="C1617" s="8"/>
      <c r="D1617" s="8"/>
      <c r="E1617" s="60" t="s">
        <v>714</v>
      </c>
      <c r="F1617" s="60"/>
      <c r="G1617" s="14">
        <v>36.36</v>
      </c>
    </row>
    <row r="1618" spans="1:7" ht="15" customHeight="1" x14ac:dyDescent="0.35">
      <c r="A1618" s="59" t="s">
        <v>715</v>
      </c>
      <c r="B1618" s="59"/>
      <c r="C1618" s="9" t="s">
        <v>3</v>
      </c>
      <c r="D1618" s="9" t="s">
        <v>4</v>
      </c>
      <c r="E1618" s="9" t="s">
        <v>702</v>
      </c>
      <c r="F1618" s="9" t="s">
        <v>703</v>
      </c>
      <c r="G1618" s="9" t="s">
        <v>704</v>
      </c>
    </row>
    <row r="1619" spans="1:7" ht="20.149999999999999" customHeight="1" x14ac:dyDescent="0.35">
      <c r="A1619" s="10" t="s">
        <v>1300</v>
      </c>
      <c r="B1619" s="11" t="s">
        <v>1301</v>
      </c>
      <c r="C1619" s="10" t="s">
        <v>20</v>
      </c>
      <c r="D1619" s="10" t="s">
        <v>718</v>
      </c>
      <c r="E1619" s="12">
        <v>0.10841123</v>
      </c>
      <c r="F1619" s="13">
        <v>15.03</v>
      </c>
      <c r="G1619" s="13">
        <v>1.62</v>
      </c>
    </row>
    <row r="1620" spans="1:7" ht="20.149999999999999" customHeight="1" x14ac:dyDescent="0.35">
      <c r="A1620" s="10" t="s">
        <v>1302</v>
      </c>
      <c r="B1620" s="11" t="s">
        <v>1303</v>
      </c>
      <c r="C1620" s="10" t="s">
        <v>20</v>
      </c>
      <c r="D1620" s="10" t="s">
        <v>718</v>
      </c>
      <c r="E1620" s="12">
        <v>0.10709386</v>
      </c>
      <c r="F1620" s="13">
        <v>18.96</v>
      </c>
      <c r="G1620" s="13">
        <v>2.0299999999999998</v>
      </c>
    </row>
    <row r="1621" spans="1:7" ht="18" customHeight="1" x14ac:dyDescent="0.35">
      <c r="A1621" s="8"/>
      <c r="B1621" s="8"/>
      <c r="C1621" s="8"/>
      <c r="D1621" s="8"/>
      <c r="E1621" s="60" t="s">
        <v>721</v>
      </c>
      <c r="F1621" s="60"/>
      <c r="G1621" s="14">
        <v>3.65</v>
      </c>
    </row>
    <row r="1622" spans="1:7" ht="15" customHeight="1" x14ac:dyDescent="0.35">
      <c r="A1622" s="8"/>
      <c r="B1622" s="8"/>
      <c r="C1622" s="8"/>
      <c r="D1622" s="8"/>
      <c r="E1622" s="61" t="s">
        <v>726</v>
      </c>
      <c r="F1622" s="61"/>
      <c r="G1622" s="4">
        <v>40.01</v>
      </c>
    </row>
    <row r="1623" spans="1:7" ht="10" customHeight="1" x14ac:dyDescent="0.35">
      <c r="A1623" s="8"/>
      <c r="B1623" s="8"/>
      <c r="C1623" s="57"/>
      <c r="D1623" s="57"/>
      <c r="E1623" s="8"/>
      <c r="F1623" s="8"/>
      <c r="G1623" s="8"/>
    </row>
    <row r="1624" spans="1:7" ht="20.149999999999999" customHeight="1" x14ac:dyDescent="0.35">
      <c r="A1624" s="58" t="s">
        <v>1359</v>
      </c>
      <c r="B1624" s="58"/>
      <c r="C1624" s="58"/>
      <c r="D1624" s="58"/>
      <c r="E1624" s="58"/>
      <c r="F1624" s="58"/>
      <c r="G1624" s="58"/>
    </row>
    <row r="1625" spans="1:7" ht="15" customHeight="1" x14ac:dyDescent="0.35">
      <c r="A1625" s="59" t="s">
        <v>701</v>
      </c>
      <c r="B1625" s="59"/>
      <c r="C1625" s="9" t="s">
        <v>3</v>
      </c>
      <c r="D1625" s="9" t="s">
        <v>4</v>
      </c>
      <c r="E1625" s="9" t="s">
        <v>702</v>
      </c>
      <c r="F1625" s="9" t="s">
        <v>703</v>
      </c>
      <c r="G1625" s="9" t="s">
        <v>704</v>
      </c>
    </row>
    <row r="1626" spans="1:7" ht="20.149999999999999" customHeight="1" x14ac:dyDescent="0.35">
      <c r="A1626" s="10" t="s">
        <v>1360</v>
      </c>
      <c r="B1626" s="11" t="s">
        <v>1361</v>
      </c>
      <c r="C1626" s="10" t="s">
        <v>20</v>
      </c>
      <c r="D1626" s="10" t="s">
        <v>160</v>
      </c>
      <c r="E1626" s="12">
        <v>1</v>
      </c>
      <c r="F1626" s="13">
        <v>45.79</v>
      </c>
      <c r="G1626" s="13">
        <v>45.79</v>
      </c>
    </row>
    <row r="1627" spans="1:7" ht="15" customHeight="1" x14ac:dyDescent="0.35">
      <c r="A1627" s="10" t="s">
        <v>1296</v>
      </c>
      <c r="B1627" s="11" t="s">
        <v>1297</v>
      </c>
      <c r="C1627" s="10" t="s">
        <v>20</v>
      </c>
      <c r="D1627" s="10" t="s">
        <v>160</v>
      </c>
      <c r="E1627" s="12">
        <v>9.7007650000000001E-2</v>
      </c>
      <c r="F1627" s="13">
        <v>1.75</v>
      </c>
      <c r="G1627" s="13">
        <v>0.16</v>
      </c>
    </row>
    <row r="1628" spans="1:7" ht="20.149999999999999" customHeight="1" x14ac:dyDescent="0.35">
      <c r="A1628" s="10" t="s">
        <v>1355</v>
      </c>
      <c r="B1628" s="11" t="s">
        <v>1356</v>
      </c>
      <c r="C1628" s="10" t="s">
        <v>20</v>
      </c>
      <c r="D1628" s="10" t="s">
        <v>160</v>
      </c>
      <c r="E1628" s="12">
        <v>5.3294700000000002E-3</v>
      </c>
      <c r="F1628" s="13">
        <v>49.75</v>
      </c>
      <c r="G1628" s="13">
        <v>0.26</v>
      </c>
    </row>
    <row r="1629" spans="1:7" ht="20.149999999999999" customHeight="1" x14ac:dyDescent="0.35">
      <c r="A1629" s="10" t="s">
        <v>1357</v>
      </c>
      <c r="B1629" s="11" t="s">
        <v>1358</v>
      </c>
      <c r="C1629" s="10" t="s">
        <v>20</v>
      </c>
      <c r="D1629" s="10" t="s">
        <v>160</v>
      </c>
      <c r="E1629" s="12">
        <v>2.1317909999999999E-2</v>
      </c>
      <c r="F1629" s="13">
        <v>271.39</v>
      </c>
      <c r="G1629" s="13">
        <v>5.78</v>
      </c>
    </row>
    <row r="1630" spans="1:7" ht="15" customHeight="1" x14ac:dyDescent="0.35">
      <c r="A1630" s="8"/>
      <c r="B1630" s="8"/>
      <c r="C1630" s="8"/>
      <c r="D1630" s="8"/>
      <c r="E1630" s="60" t="s">
        <v>714</v>
      </c>
      <c r="F1630" s="60"/>
      <c r="G1630" s="14">
        <v>51.99</v>
      </c>
    </row>
    <row r="1631" spans="1:7" ht="15" customHeight="1" x14ac:dyDescent="0.35">
      <c r="A1631" s="59" t="s">
        <v>715</v>
      </c>
      <c r="B1631" s="59"/>
      <c r="C1631" s="9" t="s">
        <v>3</v>
      </c>
      <c r="D1631" s="9" t="s">
        <v>4</v>
      </c>
      <c r="E1631" s="9" t="s">
        <v>702</v>
      </c>
      <c r="F1631" s="9" t="s">
        <v>703</v>
      </c>
      <c r="G1631" s="9" t="s">
        <v>704</v>
      </c>
    </row>
    <row r="1632" spans="1:7" ht="20.149999999999999" customHeight="1" x14ac:dyDescent="0.35">
      <c r="A1632" s="10" t="s">
        <v>1300</v>
      </c>
      <c r="B1632" s="11" t="s">
        <v>1301</v>
      </c>
      <c r="C1632" s="10" t="s">
        <v>20</v>
      </c>
      <c r="D1632" s="10" t="s">
        <v>718</v>
      </c>
      <c r="E1632" s="12">
        <v>0.13576479999999999</v>
      </c>
      <c r="F1632" s="13">
        <v>15.03</v>
      </c>
      <c r="G1632" s="13">
        <v>2.04</v>
      </c>
    </row>
    <row r="1633" spans="1:7" ht="20.149999999999999" customHeight="1" x14ac:dyDescent="0.35">
      <c r="A1633" s="10" t="s">
        <v>1302</v>
      </c>
      <c r="B1633" s="11" t="s">
        <v>1303</v>
      </c>
      <c r="C1633" s="10" t="s">
        <v>20</v>
      </c>
      <c r="D1633" s="10" t="s">
        <v>718</v>
      </c>
      <c r="E1633" s="12">
        <v>0.13549168</v>
      </c>
      <c r="F1633" s="13">
        <v>18.96</v>
      </c>
      <c r="G1633" s="13">
        <v>2.56</v>
      </c>
    </row>
    <row r="1634" spans="1:7" ht="18" customHeight="1" x14ac:dyDescent="0.35">
      <c r="A1634" s="8"/>
      <c r="B1634" s="8"/>
      <c r="C1634" s="8"/>
      <c r="D1634" s="8"/>
      <c r="E1634" s="60" t="s">
        <v>721</v>
      </c>
      <c r="F1634" s="60"/>
      <c r="G1634" s="14">
        <v>4.5999999999999996</v>
      </c>
    </row>
    <row r="1635" spans="1:7" ht="15" customHeight="1" x14ac:dyDescent="0.35">
      <c r="A1635" s="8"/>
      <c r="B1635" s="8"/>
      <c r="C1635" s="8"/>
      <c r="D1635" s="8"/>
      <c r="E1635" s="61" t="s">
        <v>726</v>
      </c>
      <c r="F1635" s="61"/>
      <c r="G1635" s="4">
        <v>56.59</v>
      </c>
    </row>
    <row r="1636" spans="1:7" ht="10" customHeight="1" x14ac:dyDescent="0.35">
      <c r="A1636" s="8"/>
      <c r="B1636" s="8"/>
      <c r="C1636" s="57"/>
      <c r="D1636" s="57"/>
      <c r="E1636" s="8"/>
      <c r="F1636" s="8"/>
      <c r="G1636" s="8"/>
    </row>
    <row r="1637" spans="1:7" ht="20.149999999999999" customHeight="1" x14ac:dyDescent="0.35">
      <c r="A1637" s="58" t="s">
        <v>1362</v>
      </c>
      <c r="B1637" s="58"/>
      <c r="C1637" s="58"/>
      <c r="D1637" s="58"/>
      <c r="E1637" s="58"/>
      <c r="F1637" s="58"/>
      <c r="G1637" s="58"/>
    </row>
    <row r="1638" spans="1:7" ht="15" customHeight="1" x14ac:dyDescent="0.35">
      <c r="A1638" s="59" t="s">
        <v>701</v>
      </c>
      <c r="B1638" s="59"/>
      <c r="C1638" s="9" t="s">
        <v>3</v>
      </c>
      <c r="D1638" s="9" t="s">
        <v>4</v>
      </c>
      <c r="E1638" s="9" t="s">
        <v>702</v>
      </c>
      <c r="F1638" s="9" t="s">
        <v>703</v>
      </c>
      <c r="G1638" s="9" t="s">
        <v>704</v>
      </c>
    </row>
    <row r="1639" spans="1:7" ht="20.149999999999999" customHeight="1" x14ac:dyDescent="0.35">
      <c r="A1639" s="10" t="s">
        <v>1363</v>
      </c>
      <c r="B1639" s="11" t="s">
        <v>1364</v>
      </c>
      <c r="C1639" s="10" t="s">
        <v>20</v>
      </c>
      <c r="D1639" s="10" t="s">
        <v>160</v>
      </c>
      <c r="E1639" s="12">
        <v>1</v>
      </c>
      <c r="F1639" s="13">
        <v>142.72</v>
      </c>
      <c r="G1639" s="13">
        <v>142.72</v>
      </c>
    </row>
    <row r="1640" spans="1:7" ht="15" customHeight="1" x14ac:dyDescent="0.35">
      <c r="A1640" s="10" t="s">
        <v>1296</v>
      </c>
      <c r="B1640" s="11" t="s">
        <v>1297</v>
      </c>
      <c r="C1640" s="10" t="s">
        <v>20</v>
      </c>
      <c r="D1640" s="10" t="s">
        <v>160</v>
      </c>
      <c r="E1640" s="12">
        <v>0.13096367</v>
      </c>
      <c r="F1640" s="13">
        <v>1.75</v>
      </c>
      <c r="G1640" s="13">
        <v>0.22</v>
      </c>
    </row>
    <row r="1641" spans="1:7" ht="20.149999999999999" customHeight="1" x14ac:dyDescent="0.35">
      <c r="A1641" s="10" t="s">
        <v>1355</v>
      </c>
      <c r="B1641" s="11" t="s">
        <v>1356</v>
      </c>
      <c r="C1641" s="10" t="s">
        <v>20</v>
      </c>
      <c r="D1641" s="10" t="s">
        <v>160</v>
      </c>
      <c r="E1641" s="12">
        <v>7.0360199999999996E-3</v>
      </c>
      <c r="F1641" s="13">
        <v>49.75</v>
      </c>
      <c r="G1641" s="13">
        <v>0.35</v>
      </c>
    </row>
    <row r="1642" spans="1:7" ht="20.149999999999999" customHeight="1" x14ac:dyDescent="0.35">
      <c r="A1642" s="10" t="s">
        <v>1357</v>
      </c>
      <c r="B1642" s="11" t="s">
        <v>1358</v>
      </c>
      <c r="C1642" s="10" t="s">
        <v>20</v>
      </c>
      <c r="D1642" s="10" t="s">
        <v>160</v>
      </c>
      <c r="E1642" s="12">
        <v>2.888841E-2</v>
      </c>
      <c r="F1642" s="13">
        <v>271.39</v>
      </c>
      <c r="G1642" s="13">
        <v>7.84</v>
      </c>
    </row>
    <row r="1643" spans="1:7" ht="15" customHeight="1" x14ac:dyDescent="0.35">
      <c r="A1643" s="8"/>
      <c r="B1643" s="8"/>
      <c r="C1643" s="8"/>
      <c r="D1643" s="8"/>
      <c r="E1643" s="60" t="s">
        <v>714</v>
      </c>
      <c r="F1643" s="60"/>
      <c r="G1643" s="14">
        <v>151.13</v>
      </c>
    </row>
    <row r="1644" spans="1:7" ht="15" customHeight="1" x14ac:dyDescent="0.35">
      <c r="A1644" s="59" t="s">
        <v>715</v>
      </c>
      <c r="B1644" s="59"/>
      <c r="C1644" s="9" t="s">
        <v>3</v>
      </c>
      <c r="D1644" s="9" t="s">
        <v>4</v>
      </c>
      <c r="E1644" s="9" t="s">
        <v>702</v>
      </c>
      <c r="F1644" s="9" t="s">
        <v>703</v>
      </c>
      <c r="G1644" s="9" t="s">
        <v>704</v>
      </c>
    </row>
    <row r="1645" spans="1:7" ht="20.149999999999999" customHeight="1" x14ac:dyDescent="0.35">
      <c r="A1645" s="10" t="s">
        <v>1300</v>
      </c>
      <c r="B1645" s="11" t="s">
        <v>1301</v>
      </c>
      <c r="C1645" s="10" t="s">
        <v>20</v>
      </c>
      <c r="D1645" s="10" t="s">
        <v>718</v>
      </c>
      <c r="E1645" s="12">
        <v>0.17741947999999999</v>
      </c>
      <c r="F1645" s="13">
        <v>15.03</v>
      </c>
      <c r="G1645" s="13">
        <v>2.66</v>
      </c>
    </row>
    <row r="1646" spans="1:7" ht="20.149999999999999" customHeight="1" x14ac:dyDescent="0.35">
      <c r="A1646" s="10" t="s">
        <v>1302</v>
      </c>
      <c r="B1646" s="11" t="s">
        <v>1303</v>
      </c>
      <c r="C1646" s="10" t="s">
        <v>20</v>
      </c>
      <c r="D1646" s="10" t="s">
        <v>718</v>
      </c>
      <c r="E1646" s="12">
        <v>0.17714922</v>
      </c>
      <c r="F1646" s="13">
        <v>18.96</v>
      </c>
      <c r="G1646" s="13">
        <v>3.35</v>
      </c>
    </row>
    <row r="1647" spans="1:7" ht="18" customHeight="1" x14ac:dyDescent="0.35">
      <c r="A1647" s="8"/>
      <c r="B1647" s="8"/>
      <c r="C1647" s="8"/>
      <c r="D1647" s="8"/>
      <c r="E1647" s="60" t="s">
        <v>721</v>
      </c>
      <c r="F1647" s="60"/>
      <c r="G1647" s="14">
        <v>6.01</v>
      </c>
    </row>
    <row r="1648" spans="1:7" ht="15" customHeight="1" x14ac:dyDescent="0.35">
      <c r="A1648" s="8"/>
      <c r="B1648" s="8"/>
      <c r="C1648" s="8"/>
      <c r="D1648" s="8"/>
      <c r="E1648" s="61" t="s">
        <v>726</v>
      </c>
      <c r="F1648" s="61"/>
      <c r="G1648" s="4">
        <v>157.13999999999999</v>
      </c>
    </row>
    <row r="1649" spans="1:7" ht="10" customHeight="1" x14ac:dyDescent="0.35">
      <c r="A1649" s="8"/>
      <c r="B1649" s="8"/>
      <c r="C1649" s="57"/>
      <c r="D1649" s="57"/>
      <c r="E1649" s="8"/>
      <c r="F1649" s="8"/>
      <c r="G1649" s="8"/>
    </row>
    <row r="1650" spans="1:7" ht="20.149999999999999" customHeight="1" x14ac:dyDescent="0.35">
      <c r="A1650" s="58" t="s">
        <v>1365</v>
      </c>
      <c r="B1650" s="58"/>
      <c r="C1650" s="58"/>
      <c r="D1650" s="58"/>
      <c r="E1650" s="58"/>
      <c r="F1650" s="58"/>
      <c r="G1650" s="58"/>
    </row>
    <row r="1651" spans="1:7" ht="15" customHeight="1" x14ac:dyDescent="0.35">
      <c r="A1651" s="59" t="s">
        <v>701</v>
      </c>
      <c r="B1651" s="59"/>
      <c r="C1651" s="9" t="s">
        <v>3</v>
      </c>
      <c r="D1651" s="9" t="s">
        <v>4</v>
      </c>
      <c r="E1651" s="9" t="s">
        <v>702</v>
      </c>
      <c r="F1651" s="9" t="s">
        <v>703</v>
      </c>
      <c r="G1651" s="9" t="s">
        <v>704</v>
      </c>
    </row>
    <row r="1652" spans="1:7" ht="15" customHeight="1" x14ac:dyDescent="0.35">
      <c r="A1652" s="10" t="s">
        <v>1322</v>
      </c>
      <c r="B1652" s="11" t="s">
        <v>1323</v>
      </c>
      <c r="C1652" s="10" t="s">
        <v>20</v>
      </c>
      <c r="D1652" s="10" t="s">
        <v>160</v>
      </c>
      <c r="E1652" s="12">
        <v>1.01723E-2</v>
      </c>
      <c r="F1652" s="13">
        <v>50.97</v>
      </c>
      <c r="G1652" s="13">
        <v>0.51</v>
      </c>
    </row>
    <row r="1653" spans="1:7" ht="15" customHeight="1" x14ac:dyDescent="0.35">
      <c r="A1653" s="10" t="s">
        <v>1296</v>
      </c>
      <c r="B1653" s="11" t="s">
        <v>1297</v>
      </c>
      <c r="C1653" s="10" t="s">
        <v>20</v>
      </c>
      <c r="D1653" s="10" t="s">
        <v>160</v>
      </c>
      <c r="E1653" s="12">
        <v>4.3472190000000001E-2</v>
      </c>
      <c r="F1653" s="13">
        <v>1.75</v>
      </c>
      <c r="G1653" s="13">
        <v>7.0000000000000007E-2</v>
      </c>
    </row>
    <row r="1654" spans="1:7" ht="20.149999999999999" customHeight="1" x14ac:dyDescent="0.35">
      <c r="A1654" s="10" t="s">
        <v>1326</v>
      </c>
      <c r="B1654" s="11" t="s">
        <v>1327</v>
      </c>
      <c r="C1654" s="10" t="s">
        <v>20</v>
      </c>
      <c r="D1654" s="10" t="s">
        <v>160</v>
      </c>
      <c r="E1654" s="12">
        <v>1.151581E-2</v>
      </c>
      <c r="F1654" s="13">
        <v>57.75</v>
      </c>
      <c r="G1654" s="13">
        <v>0.66</v>
      </c>
    </row>
    <row r="1655" spans="1:7" ht="20.149999999999999" customHeight="1" x14ac:dyDescent="0.35">
      <c r="A1655" s="10" t="s">
        <v>1366</v>
      </c>
      <c r="B1655" s="11" t="s">
        <v>1367</v>
      </c>
      <c r="C1655" s="10" t="s">
        <v>20</v>
      </c>
      <c r="D1655" s="10" t="s">
        <v>160</v>
      </c>
      <c r="E1655" s="12">
        <v>1</v>
      </c>
      <c r="F1655" s="13">
        <v>1.66</v>
      </c>
      <c r="G1655" s="13">
        <v>1.66</v>
      </c>
    </row>
    <row r="1656" spans="1:7" ht="15" customHeight="1" x14ac:dyDescent="0.35">
      <c r="A1656" s="8"/>
      <c r="B1656" s="8"/>
      <c r="C1656" s="8"/>
      <c r="D1656" s="8"/>
      <c r="E1656" s="60" t="s">
        <v>714</v>
      </c>
      <c r="F1656" s="60"/>
      <c r="G1656" s="14">
        <v>2.9</v>
      </c>
    </row>
    <row r="1657" spans="1:7" ht="15" customHeight="1" x14ac:dyDescent="0.35">
      <c r="A1657" s="59" t="s">
        <v>715</v>
      </c>
      <c r="B1657" s="59"/>
      <c r="C1657" s="9" t="s">
        <v>3</v>
      </c>
      <c r="D1657" s="9" t="s">
        <v>4</v>
      </c>
      <c r="E1657" s="9" t="s">
        <v>702</v>
      </c>
      <c r="F1657" s="9" t="s">
        <v>703</v>
      </c>
      <c r="G1657" s="9" t="s">
        <v>704</v>
      </c>
    </row>
    <row r="1658" spans="1:7" ht="20.149999999999999" customHeight="1" x14ac:dyDescent="0.35">
      <c r="A1658" s="10" t="s">
        <v>1300</v>
      </c>
      <c r="B1658" s="11" t="s">
        <v>1301</v>
      </c>
      <c r="C1658" s="10" t="s">
        <v>20</v>
      </c>
      <c r="D1658" s="10" t="s">
        <v>718</v>
      </c>
      <c r="E1658" s="12">
        <v>0.17001499</v>
      </c>
      <c r="F1658" s="13">
        <v>15.03</v>
      </c>
      <c r="G1658" s="13">
        <v>2.5499999999999998</v>
      </c>
    </row>
    <row r="1659" spans="1:7" ht="20.149999999999999" customHeight="1" x14ac:dyDescent="0.35">
      <c r="A1659" s="10" t="s">
        <v>1302</v>
      </c>
      <c r="B1659" s="11" t="s">
        <v>1303</v>
      </c>
      <c r="C1659" s="10" t="s">
        <v>20</v>
      </c>
      <c r="D1659" s="10" t="s">
        <v>718</v>
      </c>
      <c r="E1659" s="12">
        <v>0.17001499</v>
      </c>
      <c r="F1659" s="13">
        <v>18.96</v>
      </c>
      <c r="G1659" s="13">
        <v>3.22</v>
      </c>
    </row>
    <row r="1660" spans="1:7" ht="18" customHeight="1" x14ac:dyDescent="0.35">
      <c r="A1660" s="8"/>
      <c r="B1660" s="8"/>
      <c r="C1660" s="8"/>
      <c r="D1660" s="8"/>
      <c r="E1660" s="60" t="s">
        <v>721</v>
      </c>
      <c r="F1660" s="60"/>
      <c r="G1660" s="14">
        <v>5.77</v>
      </c>
    </row>
    <row r="1661" spans="1:7" ht="15" customHeight="1" x14ac:dyDescent="0.35">
      <c r="A1661" s="8"/>
      <c r="B1661" s="8"/>
      <c r="C1661" s="8"/>
      <c r="D1661" s="8"/>
      <c r="E1661" s="61" t="s">
        <v>726</v>
      </c>
      <c r="F1661" s="61"/>
      <c r="G1661" s="4">
        <v>8.67</v>
      </c>
    </row>
    <row r="1662" spans="1:7" ht="10" customHeight="1" x14ac:dyDescent="0.35">
      <c r="A1662" s="8"/>
      <c r="B1662" s="8"/>
      <c r="C1662" s="57"/>
      <c r="D1662" s="57"/>
      <c r="E1662" s="8"/>
      <c r="F1662" s="8"/>
      <c r="G1662" s="8"/>
    </row>
    <row r="1663" spans="1:7" ht="20.149999999999999" customHeight="1" x14ac:dyDescent="0.35">
      <c r="A1663" s="58" t="s">
        <v>1368</v>
      </c>
      <c r="B1663" s="58"/>
      <c r="C1663" s="58"/>
      <c r="D1663" s="58"/>
      <c r="E1663" s="58"/>
      <c r="F1663" s="58"/>
      <c r="G1663" s="58"/>
    </row>
    <row r="1664" spans="1:7" ht="15" customHeight="1" x14ac:dyDescent="0.35">
      <c r="A1664" s="59" t="s">
        <v>701</v>
      </c>
      <c r="B1664" s="59"/>
      <c r="C1664" s="9" t="s">
        <v>3</v>
      </c>
      <c r="D1664" s="9" t="s">
        <v>4</v>
      </c>
      <c r="E1664" s="9" t="s">
        <v>702</v>
      </c>
      <c r="F1664" s="9" t="s">
        <v>703</v>
      </c>
      <c r="G1664" s="9" t="s">
        <v>704</v>
      </c>
    </row>
    <row r="1665" spans="1:7" ht="15" customHeight="1" x14ac:dyDescent="0.35">
      <c r="A1665" s="10" t="s">
        <v>1322</v>
      </c>
      <c r="B1665" s="11" t="s">
        <v>1323</v>
      </c>
      <c r="C1665" s="10" t="s">
        <v>20</v>
      </c>
      <c r="D1665" s="10" t="s">
        <v>160</v>
      </c>
      <c r="E1665" s="12">
        <v>1.802579E-2</v>
      </c>
      <c r="F1665" s="13">
        <v>50.97</v>
      </c>
      <c r="G1665" s="13">
        <v>0.91</v>
      </c>
    </row>
    <row r="1666" spans="1:7" ht="15" customHeight="1" x14ac:dyDescent="0.35">
      <c r="A1666" s="10" t="s">
        <v>1296</v>
      </c>
      <c r="B1666" s="11" t="s">
        <v>1297</v>
      </c>
      <c r="C1666" s="10" t="s">
        <v>20</v>
      </c>
      <c r="D1666" s="10" t="s">
        <v>160</v>
      </c>
      <c r="E1666" s="12">
        <v>2.079899E-2</v>
      </c>
      <c r="F1666" s="13">
        <v>1.75</v>
      </c>
      <c r="G1666" s="13">
        <v>0.03</v>
      </c>
    </row>
    <row r="1667" spans="1:7" ht="20.149999999999999" customHeight="1" x14ac:dyDescent="0.35">
      <c r="A1667" s="10" t="s">
        <v>1326</v>
      </c>
      <c r="B1667" s="11" t="s">
        <v>1327</v>
      </c>
      <c r="C1667" s="10" t="s">
        <v>20</v>
      </c>
      <c r="D1667" s="10" t="s">
        <v>160</v>
      </c>
      <c r="E1667" s="12">
        <v>2.408304E-2</v>
      </c>
      <c r="F1667" s="13">
        <v>57.75</v>
      </c>
      <c r="G1667" s="13">
        <v>1.39</v>
      </c>
    </row>
    <row r="1668" spans="1:7" ht="20.149999999999999" customHeight="1" x14ac:dyDescent="0.35">
      <c r="A1668" s="10" t="s">
        <v>1369</v>
      </c>
      <c r="B1668" s="11" t="s">
        <v>1370</v>
      </c>
      <c r="C1668" s="10" t="s">
        <v>20</v>
      </c>
      <c r="D1668" s="10" t="s">
        <v>160</v>
      </c>
      <c r="E1668" s="12">
        <v>1</v>
      </c>
      <c r="F1668" s="13">
        <v>13.47</v>
      </c>
      <c r="G1668" s="13">
        <v>13.47</v>
      </c>
    </row>
    <row r="1669" spans="1:7" ht="15" customHeight="1" x14ac:dyDescent="0.35">
      <c r="A1669" s="8"/>
      <c r="B1669" s="8"/>
      <c r="C1669" s="8"/>
      <c r="D1669" s="8"/>
      <c r="E1669" s="60" t="s">
        <v>714</v>
      </c>
      <c r="F1669" s="60"/>
      <c r="G1669" s="14">
        <v>15.8</v>
      </c>
    </row>
    <row r="1670" spans="1:7" ht="15" customHeight="1" x14ac:dyDescent="0.35">
      <c r="A1670" s="59" t="s">
        <v>715</v>
      </c>
      <c r="B1670" s="59"/>
      <c r="C1670" s="9" t="s">
        <v>3</v>
      </c>
      <c r="D1670" s="9" t="s">
        <v>4</v>
      </c>
      <c r="E1670" s="9" t="s">
        <v>702</v>
      </c>
      <c r="F1670" s="9" t="s">
        <v>703</v>
      </c>
      <c r="G1670" s="9" t="s">
        <v>704</v>
      </c>
    </row>
    <row r="1671" spans="1:7" ht="20.149999999999999" customHeight="1" x14ac:dyDescent="0.35">
      <c r="A1671" s="10" t="s">
        <v>1300</v>
      </c>
      <c r="B1671" s="11" t="s">
        <v>1301</v>
      </c>
      <c r="C1671" s="10" t="s">
        <v>20</v>
      </c>
      <c r="D1671" s="10" t="s">
        <v>718</v>
      </c>
      <c r="E1671" s="12">
        <v>0.12025328</v>
      </c>
      <c r="F1671" s="13">
        <v>15.03</v>
      </c>
      <c r="G1671" s="13">
        <v>1.8</v>
      </c>
    </row>
    <row r="1672" spans="1:7" ht="20.149999999999999" customHeight="1" x14ac:dyDescent="0.35">
      <c r="A1672" s="10" t="s">
        <v>1302</v>
      </c>
      <c r="B1672" s="11" t="s">
        <v>1303</v>
      </c>
      <c r="C1672" s="10" t="s">
        <v>20</v>
      </c>
      <c r="D1672" s="10" t="s">
        <v>718</v>
      </c>
      <c r="E1672" s="12">
        <v>0.11986073</v>
      </c>
      <c r="F1672" s="13">
        <v>18.96</v>
      </c>
      <c r="G1672" s="13">
        <v>2.27</v>
      </c>
    </row>
    <row r="1673" spans="1:7" ht="18" customHeight="1" x14ac:dyDescent="0.35">
      <c r="A1673" s="8"/>
      <c r="B1673" s="8"/>
      <c r="C1673" s="8"/>
      <c r="D1673" s="8"/>
      <c r="E1673" s="60" t="s">
        <v>721</v>
      </c>
      <c r="F1673" s="60"/>
      <c r="G1673" s="14">
        <v>4.07</v>
      </c>
    </row>
    <row r="1674" spans="1:7" ht="15" customHeight="1" x14ac:dyDescent="0.35">
      <c r="A1674" s="8"/>
      <c r="B1674" s="8"/>
      <c r="C1674" s="8"/>
      <c r="D1674" s="8"/>
      <c r="E1674" s="61" t="s">
        <v>726</v>
      </c>
      <c r="F1674" s="61"/>
      <c r="G1674" s="4">
        <v>19.87</v>
      </c>
    </row>
    <row r="1675" spans="1:7" ht="10" customHeight="1" x14ac:dyDescent="0.35">
      <c r="A1675" s="8"/>
      <c r="B1675" s="8"/>
      <c r="C1675" s="57"/>
      <c r="D1675" s="57"/>
      <c r="E1675" s="8"/>
      <c r="F1675" s="8"/>
      <c r="G1675" s="8"/>
    </row>
    <row r="1676" spans="1:7" ht="20.149999999999999" customHeight="1" x14ac:dyDescent="0.35">
      <c r="A1676" s="58" t="s">
        <v>1371</v>
      </c>
      <c r="B1676" s="58"/>
      <c r="C1676" s="58"/>
      <c r="D1676" s="58"/>
      <c r="E1676" s="58"/>
      <c r="F1676" s="58"/>
      <c r="G1676" s="58"/>
    </row>
    <row r="1677" spans="1:7" ht="15" customHeight="1" x14ac:dyDescent="0.35">
      <c r="A1677" s="59" t="s">
        <v>701</v>
      </c>
      <c r="B1677" s="59"/>
      <c r="C1677" s="9" t="s">
        <v>3</v>
      </c>
      <c r="D1677" s="9" t="s">
        <v>4</v>
      </c>
      <c r="E1677" s="9" t="s">
        <v>702</v>
      </c>
      <c r="F1677" s="9" t="s">
        <v>703</v>
      </c>
      <c r="G1677" s="9" t="s">
        <v>704</v>
      </c>
    </row>
    <row r="1678" spans="1:7" ht="15" customHeight="1" x14ac:dyDescent="0.35">
      <c r="A1678" s="10" t="s">
        <v>1322</v>
      </c>
      <c r="B1678" s="11" t="s">
        <v>1323</v>
      </c>
      <c r="C1678" s="10" t="s">
        <v>20</v>
      </c>
      <c r="D1678" s="10" t="s">
        <v>160</v>
      </c>
      <c r="E1678" s="12">
        <v>1.7942059999999999E-2</v>
      </c>
      <c r="F1678" s="13">
        <v>50.97</v>
      </c>
      <c r="G1678" s="13">
        <v>0.91</v>
      </c>
    </row>
    <row r="1679" spans="1:7" ht="15" customHeight="1" x14ac:dyDescent="0.35">
      <c r="A1679" s="10" t="s">
        <v>1296</v>
      </c>
      <c r="B1679" s="11" t="s">
        <v>1297</v>
      </c>
      <c r="C1679" s="10" t="s">
        <v>20</v>
      </c>
      <c r="D1679" s="10" t="s">
        <v>160</v>
      </c>
      <c r="E1679" s="12">
        <v>1.878838E-2</v>
      </c>
      <c r="F1679" s="13">
        <v>1.75</v>
      </c>
      <c r="G1679" s="13">
        <v>0.03</v>
      </c>
    </row>
    <row r="1680" spans="1:7" ht="20.149999999999999" customHeight="1" x14ac:dyDescent="0.35">
      <c r="A1680" s="10" t="s">
        <v>1326</v>
      </c>
      <c r="B1680" s="11" t="s">
        <v>1327</v>
      </c>
      <c r="C1680" s="10" t="s">
        <v>20</v>
      </c>
      <c r="D1680" s="10" t="s">
        <v>160</v>
      </c>
      <c r="E1680" s="12">
        <v>2.5389709999999999E-2</v>
      </c>
      <c r="F1680" s="13">
        <v>57.75</v>
      </c>
      <c r="G1680" s="13">
        <v>1.46</v>
      </c>
    </row>
    <row r="1681" spans="1:7" ht="20.149999999999999" customHeight="1" x14ac:dyDescent="0.35">
      <c r="A1681" s="10" t="s">
        <v>1372</v>
      </c>
      <c r="B1681" s="11" t="s">
        <v>1373</v>
      </c>
      <c r="C1681" s="10" t="s">
        <v>20</v>
      </c>
      <c r="D1681" s="10" t="s">
        <v>160</v>
      </c>
      <c r="E1681" s="12">
        <v>1</v>
      </c>
      <c r="F1681" s="13">
        <v>40.130000000000003</v>
      </c>
      <c r="G1681" s="13">
        <v>40.130000000000003</v>
      </c>
    </row>
    <row r="1682" spans="1:7" ht="15" customHeight="1" x14ac:dyDescent="0.35">
      <c r="A1682" s="8"/>
      <c r="B1682" s="8"/>
      <c r="C1682" s="8"/>
      <c r="D1682" s="8"/>
      <c r="E1682" s="60" t="s">
        <v>714</v>
      </c>
      <c r="F1682" s="60"/>
      <c r="G1682" s="14">
        <v>42.53</v>
      </c>
    </row>
    <row r="1683" spans="1:7" ht="15" customHeight="1" x14ac:dyDescent="0.35">
      <c r="A1683" s="59" t="s">
        <v>715</v>
      </c>
      <c r="B1683" s="59"/>
      <c r="C1683" s="9" t="s">
        <v>3</v>
      </c>
      <c r="D1683" s="9" t="s">
        <v>4</v>
      </c>
      <c r="E1683" s="9" t="s">
        <v>702</v>
      </c>
      <c r="F1683" s="9" t="s">
        <v>703</v>
      </c>
      <c r="G1683" s="9" t="s">
        <v>704</v>
      </c>
    </row>
    <row r="1684" spans="1:7" ht="20.149999999999999" customHeight="1" x14ac:dyDescent="0.35">
      <c r="A1684" s="10" t="s">
        <v>1300</v>
      </c>
      <c r="B1684" s="11" t="s">
        <v>1301</v>
      </c>
      <c r="C1684" s="10" t="s">
        <v>20</v>
      </c>
      <c r="D1684" s="10" t="s">
        <v>718</v>
      </c>
      <c r="E1684" s="12">
        <v>0.10987441000000001</v>
      </c>
      <c r="F1684" s="13">
        <v>15.03</v>
      </c>
      <c r="G1684" s="13">
        <v>1.65</v>
      </c>
    </row>
    <row r="1685" spans="1:7" ht="20.149999999999999" customHeight="1" x14ac:dyDescent="0.35">
      <c r="A1685" s="10" t="s">
        <v>1302</v>
      </c>
      <c r="B1685" s="11" t="s">
        <v>1303</v>
      </c>
      <c r="C1685" s="10" t="s">
        <v>20</v>
      </c>
      <c r="D1685" s="10" t="s">
        <v>718</v>
      </c>
      <c r="E1685" s="12">
        <v>0.11000949</v>
      </c>
      <c r="F1685" s="13">
        <v>18.96</v>
      </c>
      <c r="G1685" s="13">
        <v>2.08</v>
      </c>
    </row>
    <row r="1686" spans="1:7" ht="18" customHeight="1" x14ac:dyDescent="0.35">
      <c r="A1686" s="8"/>
      <c r="B1686" s="8"/>
      <c r="C1686" s="8"/>
      <c r="D1686" s="8"/>
      <c r="E1686" s="60" t="s">
        <v>721</v>
      </c>
      <c r="F1686" s="60"/>
      <c r="G1686" s="14">
        <v>3.73</v>
      </c>
    </row>
    <row r="1687" spans="1:7" ht="15" customHeight="1" x14ac:dyDescent="0.35">
      <c r="A1687" s="8"/>
      <c r="B1687" s="8"/>
      <c r="C1687" s="8"/>
      <c r="D1687" s="8"/>
      <c r="E1687" s="61" t="s">
        <v>726</v>
      </c>
      <c r="F1687" s="61"/>
      <c r="G1687" s="4">
        <v>46.26</v>
      </c>
    </row>
    <row r="1688" spans="1:7" ht="10" customHeight="1" x14ac:dyDescent="0.35">
      <c r="A1688" s="8"/>
      <c r="B1688" s="8"/>
      <c r="C1688" s="57"/>
      <c r="D1688" s="57"/>
      <c r="E1688" s="8"/>
      <c r="F1688" s="8"/>
      <c r="G1688" s="8"/>
    </row>
    <row r="1689" spans="1:7" ht="20.149999999999999" customHeight="1" x14ac:dyDescent="0.35">
      <c r="A1689" s="58" t="s">
        <v>1374</v>
      </c>
      <c r="B1689" s="58"/>
      <c r="C1689" s="58"/>
      <c r="D1689" s="58"/>
      <c r="E1689" s="58"/>
      <c r="F1689" s="58"/>
      <c r="G1689" s="58"/>
    </row>
    <row r="1690" spans="1:7" ht="15" customHeight="1" x14ac:dyDescent="0.35">
      <c r="A1690" s="59" t="s">
        <v>701</v>
      </c>
      <c r="B1690" s="59"/>
      <c r="C1690" s="9" t="s">
        <v>3</v>
      </c>
      <c r="D1690" s="9" t="s">
        <v>4</v>
      </c>
      <c r="E1690" s="9" t="s">
        <v>702</v>
      </c>
      <c r="F1690" s="9" t="s">
        <v>703</v>
      </c>
      <c r="G1690" s="9" t="s">
        <v>704</v>
      </c>
    </row>
    <row r="1691" spans="1:7" ht="15" customHeight="1" x14ac:dyDescent="0.35">
      <c r="A1691" s="10" t="s">
        <v>1322</v>
      </c>
      <c r="B1691" s="11" t="s">
        <v>1323</v>
      </c>
      <c r="C1691" s="10" t="s">
        <v>20</v>
      </c>
      <c r="D1691" s="10" t="s">
        <v>160</v>
      </c>
      <c r="E1691" s="12">
        <v>1.0193539999999999E-2</v>
      </c>
      <c r="F1691" s="13">
        <v>50.97</v>
      </c>
      <c r="G1691" s="13">
        <v>0.51</v>
      </c>
    </row>
    <row r="1692" spans="1:7" ht="15" customHeight="1" x14ac:dyDescent="0.35">
      <c r="A1692" s="10" t="s">
        <v>1296</v>
      </c>
      <c r="B1692" s="11" t="s">
        <v>1297</v>
      </c>
      <c r="C1692" s="10" t="s">
        <v>20</v>
      </c>
      <c r="D1692" s="10" t="s">
        <v>160</v>
      </c>
      <c r="E1692" s="12">
        <v>4.8755899999999998E-2</v>
      </c>
      <c r="F1692" s="13">
        <v>1.75</v>
      </c>
      <c r="G1692" s="13">
        <v>0.08</v>
      </c>
    </row>
    <row r="1693" spans="1:7" ht="20.149999999999999" customHeight="1" x14ac:dyDescent="0.35">
      <c r="A1693" s="10" t="s">
        <v>1326</v>
      </c>
      <c r="B1693" s="11" t="s">
        <v>1327</v>
      </c>
      <c r="C1693" s="10" t="s">
        <v>20</v>
      </c>
      <c r="D1693" s="10" t="s">
        <v>160</v>
      </c>
      <c r="E1693" s="12">
        <v>1.1539850000000001E-2</v>
      </c>
      <c r="F1693" s="13">
        <v>57.75</v>
      </c>
      <c r="G1693" s="13">
        <v>0.66</v>
      </c>
    </row>
    <row r="1694" spans="1:7" ht="20.149999999999999" customHeight="1" x14ac:dyDescent="0.35">
      <c r="A1694" s="10" t="s">
        <v>1366</v>
      </c>
      <c r="B1694" s="11" t="s">
        <v>1367</v>
      </c>
      <c r="C1694" s="10" t="s">
        <v>20</v>
      </c>
      <c r="D1694" s="10" t="s">
        <v>160</v>
      </c>
      <c r="E1694" s="12">
        <v>1</v>
      </c>
      <c r="F1694" s="13">
        <v>1.66</v>
      </c>
      <c r="G1694" s="13">
        <v>1.66</v>
      </c>
    </row>
    <row r="1695" spans="1:7" ht="15" customHeight="1" x14ac:dyDescent="0.35">
      <c r="A1695" s="8"/>
      <c r="B1695" s="8"/>
      <c r="C1695" s="8"/>
      <c r="D1695" s="8"/>
      <c r="E1695" s="60" t="s">
        <v>714</v>
      </c>
      <c r="F1695" s="60"/>
      <c r="G1695" s="14">
        <v>2.91</v>
      </c>
    </row>
    <row r="1696" spans="1:7" ht="15" customHeight="1" x14ac:dyDescent="0.35">
      <c r="A1696" s="59" t="s">
        <v>715</v>
      </c>
      <c r="B1696" s="59"/>
      <c r="C1696" s="9" t="s">
        <v>3</v>
      </c>
      <c r="D1696" s="9" t="s">
        <v>4</v>
      </c>
      <c r="E1696" s="9" t="s">
        <v>702</v>
      </c>
      <c r="F1696" s="9" t="s">
        <v>703</v>
      </c>
      <c r="G1696" s="9" t="s">
        <v>704</v>
      </c>
    </row>
    <row r="1697" spans="1:7" ht="20.149999999999999" customHeight="1" x14ac:dyDescent="0.35">
      <c r="A1697" s="10" t="s">
        <v>1300</v>
      </c>
      <c r="B1697" s="11" t="s">
        <v>1301</v>
      </c>
      <c r="C1697" s="10" t="s">
        <v>20</v>
      </c>
      <c r="D1697" s="10" t="s">
        <v>718</v>
      </c>
      <c r="E1697" s="12">
        <v>0.19048366</v>
      </c>
      <c r="F1697" s="13">
        <v>15.03</v>
      </c>
      <c r="G1697" s="13">
        <v>2.86</v>
      </c>
    </row>
    <row r="1698" spans="1:7" ht="20.149999999999999" customHeight="1" x14ac:dyDescent="0.35">
      <c r="A1698" s="10" t="s">
        <v>1302</v>
      </c>
      <c r="B1698" s="11" t="s">
        <v>1303</v>
      </c>
      <c r="C1698" s="10" t="s">
        <v>20</v>
      </c>
      <c r="D1698" s="10" t="s">
        <v>718</v>
      </c>
      <c r="E1698" s="12">
        <v>0.19113637</v>
      </c>
      <c r="F1698" s="13">
        <v>18.96</v>
      </c>
      <c r="G1698" s="13">
        <v>3.62</v>
      </c>
    </row>
    <row r="1699" spans="1:7" ht="18" customHeight="1" x14ac:dyDescent="0.35">
      <c r="A1699" s="8"/>
      <c r="B1699" s="8"/>
      <c r="C1699" s="8"/>
      <c r="D1699" s="8"/>
      <c r="E1699" s="60" t="s">
        <v>721</v>
      </c>
      <c r="F1699" s="60"/>
      <c r="G1699" s="14">
        <v>6.48</v>
      </c>
    </row>
    <row r="1700" spans="1:7" ht="15" customHeight="1" x14ac:dyDescent="0.35">
      <c r="A1700" s="8"/>
      <c r="B1700" s="8"/>
      <c r="C1700" s="8"/>
      <c r="D1700" s="8"/>
      <c r="E1700" s="61" t="s">
        <v>726</v>
      </c>
      <c r="F1700" s="61"/>
      <c r="G1700" s="4">
        <v>9.39</v>
      </c>
    </row>
    <row r="1701" spans="1:7" ht="10" customHeight="1" x14ac:dyDescent="0.35">
      <c r="A1701" s="8"/>
      <c r="B1701" s="8"/>
      <c r="C1701" s="57"/>
      <c r="D1701" s="57"/>
      <c r="E1701" s="8"/>
      <c r="F1701" s="8"/>
      <c r="G1701" s="8"/>
    </row>
    <row r="1702" spans="1:7" ht="20.149999999999999" customHeight="1" x14ac:dyDescent="0.35">
      <c r="A1702" s="58" t="s">
        <v>1375</v>
      </c>
      <c r="B1702" s="58"/>
      <c r="C1702" s="58"/>
      <c r="D1702" s="58"/>
      <c r="E1702" s="58"/>
      <c r="F1702" s="58"/>
      <c r="G1702" s="58"/>
    </row>
    <row r="1703" spans="1:7" ht="15" customHeight="1" x14ac:dyDescent="0.35">
      <c r="A1703" s="59" t="s">
        <v>701</v>
      </c>
      <c r="B1703" s="59"/>
      <c r="C1703" s="9" t="s">
        <v>3</v>
      </c>
      <c r="D1703" s="9" t="s">
        <v>4</v>
      </c>
      <c r="E1703" s="9" t="s">
        <v>702</v>
      </c>
      <c r="F1703" s="9" t="s">
        <v>703</v>
      </c>
      <c r="G1703" s="9" t="s">
        <v>704</v>
      </c>
    </row>
    <row r="1704" spans="1:7" ht="15" customHeight="1" x14ac:dyDescent="0.35">
      <c r="A1704" s="10" t="s">
        <v>1322</v>
      </c>
      <c r="B1704" s="11" t="s">
        <v>1323</v>
      </c>
      <c r="C1704" s="10" t="s">
        <v>20</v>
      </c>
      <c r="D1704" s="10" t="s">
        <v>160</v>
      </c>
      <c r="E1704" s="12">
        <v>1.2286750000000001E-2</v>
      </c>
      <c r="F1704" s="13">
        <v>50.97</v>
      </c>
      <c r="G1704" s="13">
        <v>0.62</v>
      </c>
    </row>
    <row r="1705" spans="1:7" ht="15" customHeight="1" x14ac:dyDescent="0.35">
      <c r="A1705" s="10" t="s">
        <v>1296</v>
      </c>
      <c r="B1705" s="11" t="s">
        <v>1297</v>
      </c>
      <c r="C1705" s="10" t="s">
        <v>20</v>
      </c>
      <c r="D1705" s="10" t="s">
        <v>160</v>
      </c>
      <c r="E1705" s="12">
        <v>5.2719769999999999E-2</v>
      </c>
      <c r="F1705" s="13">
        <v>1.75</v>
      </c>
      <c r="G1705" s="13">
        <v>0.09</v>
      </c>
    </row>
    <row r="1706" spans="1:7" ht="20.149999999999999" customHeight="1" x14ac:dyDescent="0.35">
      <c r="A1706" s="10" t="s">
        <v>1326</v>
      </c>
      <c r="B1706" s="11" t="s">
        <v>1327</v>
      </c>
      <c r="C1706" s="10" t="s">
        <v>20</v>
      </c>
      <c r="D1706" s="10" t="s">
        <v>160</v>
      </c>
      <c r="E1706" s="12">
        <v>1.437811E-2</v>
      </c>
      <c r="F1706" s="13">
        <v>57.75</v>
      </c>
      <c r="G1706" s="13">
        <v>0.83</v>
      </c>
    </row>
    <row r="1707" spans="1:7" ht="20.149999999999999" customHeight="1" x14ac:dyDescent="0.35">
      <c r="A1707" s="10" t="s">
        <v>1376</v>
      </c>
      <c r="B1707" s="11" t="s">
        <v>1377</v>
      </c>
      <c r="C1707" s="10" t="s">
        <v>20</v>
      </c>
      <c r="D1707" s="10" t="s">
        <v>160</v>
      </c>
      <c r="E1707" s="12">
        <v>1</v>
      </c>
      <c r="F1707" s="13">
        <v>5.51</v>
      </c>
      <c r="G1707" s="13">
        <v>5.51</v>
      </c>
    </row>
    <row r="1708" spans="1:7" ht="15" customHeight="1" x14ac:dyDescent="0.35">
      <c r="A1708" s="8"/>
      <c r="B1708" s="8"/>
      <c r="C1708" s="8"/>
      <c r="D1708" s="8"/>
      <c r="E1708" s="60" t="s">
        <v>714</v>
      </c>
      <c r="F1708" s="60"/>
      <c r="G1708" s="14">
        <v>7.05</v>
      </c>
    </row>
    <row r="1709" spans="1:7" ht="15" customHeight="1" x14ac:dyDescent="0.35">
      <c r="A1709" s="59" t="s">
        <v>715</v>
      </c>
      <c r="B1709" s="59"/>
      <c r="C1709" s="9" t="s">
        <v>3</v>
      </c>
      <c r="D1709" s="9" t="s">
        <v>4</v>
      </c>
      <c r="E1709" s="9" t="s">
        <v>702</v>
      </c>
      <c r="F1709" s="9" t="s">
        <v>703</v>
      </c>
      <c r="G1709" s="9" t="s">
        <v>704</v>
      </c>
    </row>
    <row r="1710" spans="1:7" ht="20.149999999999999" customHeight="1" x14ac:dyDescent="0.35">
      <c r="A1710" s="10" t="s">
        <v>1300</v>
      </c>
      <c r="B1710" s="11" t="s">
        <v>1301</v>
      </c>
      <c r="C1710" s="10" t="s">
        <v>20</v>
      </c>
      <c r="D1710" s="10" t="s">
        <v>718</v>
      </c>
      <c r="E1710" s="12">
        <v>0.20585192999999999</v>
      </c>
      <c r="F1710" s="13">
        <v>15.03</v>
      </c>
      <c r="G1710" s="13">
        <v>3.09</v>
      </c>
    </row>
    <row r="1711" spans="1:7" ht="20.149999999999999" customHeight="1" x14ac:dyDescent="0.35">
      <c r="A1711" s="10" t="s">
        <v>1302</v>
      </c>
      <c r="B1711" s="11" t="s">
        <v>1303</v>
      </c>
      <c r="C1711" s="10" t="s">
        <v>20</v>
      </c>
      <c r="D1711" s="10" t="s">
        <v>718</v>
      </c>
      <c r="E1711" s="12">
        <v>0.20585192999999999</v>
      </c>
      <c r="F1711" s="13">
        <v>18.96</v>
      </c>
      <c r="G1711" s="13">
        <v>3.9</v>
      </c>
    </row>
    <row r="1712" spans="1:7" ht="18" customHeight="1" x14ac:dyDescent="0.35">
      <c r="A1712" s="8"/>
      <c r="B1712" s="8"/>
      <c r="C1712" s="8"/>
      <c r="D1712" s="8"/>
      <c r="E1712" s="60" t="s">
        <v>721</v>
      </c>
      <c r="F1712" s="60"/>
      <c r="G1712" s="14">
        <v>6.99</v>
      </c>
    </row>
    <row r="1713" spans="1:7" ht="15" customHeight="1" x14ac:dyDescent="0.35">
      <c r="A1713" s="8"/>
      <c r="B1713" s="8"/>
      <c r="C1713" s="8"/>
      <c r="D1713" s="8"/>
      <c r="E1713" s="61" t="s">
        <v>726</v>
      </c>
      <c r="F1713" s="61"/>
      <c r="G1713" s="4">
        <v>14.04</v>
      </c>
    </row>
    <row r="1714" spans="1:7" ht="10" customHeight="1" x14ac:dyDescent="0.35">
      <c r="A1714" s="8"/>
      <c r="B1714" s="8"/>
      <c r="C1714" s="57"/>
      <c r="D1714" s="57"/>
      <c r="E1714" s="8"/>
      <c r="F1714" s="8"/>
      <c r="G1714" s="8"/>
    </row>
    <row r="1715" spans="1:7" ht="20.149999999999999" customHeight="1" x14ac:dyDescent="0.35">
      <c r="A1715" s="58" t="s">
        <v>1378</v>
      </c>
      <c r="B1715" s="58"/>
      <c r="C1715" s="58"/>
      <c r="D1715" s="58"/>
      <c r="E1715" s="58"/>
      <c r="F1715" s="58"/>
      <c r="G1715" s="58"/>
    </row>
    <row r="1716" spans="1:7" ht="15" customHeight="1" x14ac:dyDescent="0.35">
      <c r="A1716" s="59" t="s">
        <v>701</v>
      </c>
      <c r="B1716" s="59"/>
      <c r="C1716" s="9" t="s">
        <v>3</v>
      </c>
      <c r="D1716" s="9" t="s">
        <v>4</v>
      </c>
      <c r="E1716" s="9" t="s">
        <v>702</v>
      </c>
      <c r="F1716" s="9" t="s">
        <v>703</v>
      </c>
      <c r="G1716" s="9" t="s">
        <v>704</v>
      </c>
    </row>
    <row r="1717" spans="1:7" ht="15" customHeight="1" x14ac:dyDescent="0.35">
      <c r="A1717" s="10" t="s">
        <v>1322</v>
      </c>
      <c r="B1717" s="11" t="s">
        <v>1323</v>
      </c>
      <c r="C1717" s="10" t="s">
        <v>20</v>
      </c>
      <c r="D1717" s="10" t="s">
        <v>160</v>
      </c>
      <c r="E1717" s="12">
        <v>8.7844099999999994E-3</v>
      </c>
      <c r="F1717" s="13">
        <v>50.97</v>
      </c>
      <c r="G1717" s="13">
        <v>0.44</v>
      </c>
    </row>
    <row r="1718" spans="1:7" ht="15" customHeight="1" x14ac:dyDescent="0.35">
      <c r="A1718" s="10" t="s">
        <v>1296</v>
      </c>
      <c r="B1718" s="11" t="s">
        <v>1297</v>
      </c>
      <c r="C1718" s="10" t="s">
        <v>20</v>
      </c>
      <c r="D1718" s="10" t="s">
        <v>160</v>
      </c>
      <c r="E1718" s="12">
        <v>4.3123469999999997E-2</v>
      </c>
      <c r="F1718" s="13">
        <v>1.75</v>
      </c>
      <c r="G1718" s="13">
        <v>7.0000000000000007E-2</v>
      </c>
    </row>
    <row r="1719" spans="1:7" ht="20.149999999999999" customHeight="1" x14ac:dyDescent="0.35">
      <c r="A1719" s="10" t="s">
        <v>1326</v>
      </c>
      <c r="B1719" s="11" t="s">
        <v>1327</v>
      </c>
      <c r="C1719" s="10" t="s">
        <v>20</v>
      </c>
      <c r="D1719" s="10" t="s">
        <v>160</v>
      </c>
      <c r="E1719" s="12">
        <v>1.048139E-2</v>
      </c>
      <c r="F1719" s="13">
        <v>57.75</v>
      </c>
      <c r="G1719" s="13">
        <v>0.6</v>
      </c>
    </row>
    <row r="1720" spans="1:7" ht="20.149999999999999" customHeight="1" x14ac:dyDescent="0.35">
      <c r="A1720" s="10" t="s">
        <v>1379</v>
      </c>
      <c r="B1720" s="11" t="s">
        <v>1380</v>
      </c>
      <c r="C1720" s="10" t="s">
        <v>20</v>
      </c>
      <c r="D1720" s="10" t="s">
        <v>160</v>
      </c>
      <c r="E1720" s="12">
        <v>1</v>
      </c>
      <c r="F1720" s="13">
        <v>4.34</v>
      </c>
      <c r="G1720" s="13">
        <v>4.34</v>
      </c>
    </row>
    <row r="1721" spans="1:7" ht="15" customHeight="1" x14ac:dyDescent="0.35">
      <c r="A1721" s="8"/>
      <c r="B1721" s="8"/>
      <c r="C1721" s="8"/>
      <c r="D1721" s="8"/>
      <c r="E1721" s="60" t="s">
        <v>714</v>
      </c>
      <c r="F1721" s="60"/>
      <c r="G1721" s="14">
        <v>5.45</v>
      </c>
    </row>
    <row r="1722" spans="1:7" ht="15" customHeight="1" x14ac:dyDescent="0.35">
      <c r="A1722" s="59" t="s">
        <v>715</v>
      </c>
      <c r="B1722" s="59"/>
      <c r="C1722" s="9" t="s">
        <v>3</v>
      </c>
      <c r="D1722" s="9" t="s">
        <v>4</v>
      </c>
      <c r="E1722" s="9" t="s">
        <v>702</v>
      </c>
      <c r="F1722" s="9" t="s">
        <v>703</v>
      </c>
      <c r="G1722" s="9" t="s">
        <v>704</v>
      </c>
    </row>
    <row r="1723" spans="1:7" ht="20.149999999999999" customHeight="1" x14ac:dyDescent="0.35">
      <c r="A1723" s="10" t="s">
        <v>1300</v>
      </c>
      <c r="B1723" s="11" t="s">
        <v>1301</v>
      </c>
      <c r="C1723" s="10" t="s">
        <v>20</v>
      </c>
      <c r="D1723" s="10" t="s">
        <v>718</v>
      </c>
      <c r="E1723" s="12">
        <v>0.16395797000000001</v>
      </c>
      <c r="F1723" s="13">
        <v>15.03</v>
      </c>
      <c r="G1723" s="13">
        <v>2.46</v>
      </c>
    </row>
    <row r="1724" spans="1:7" ht="20.149999999999999" customHeight="1" x14ac:dyDescent="0.35">
      <c r="A1724" s="10" t="s">
        <v>1302</v>
      </c>
      <c r="B1724" s="11" t="s">
        <v>1303</v>
      </c>
      <c r="C1724" s="10" t="s">
        <v>20</v>
      </c>
      <c r="D1724" s="10" t="s">
        <v>718</v>
      </c>
      <c r="E1724" s="12">
        <v>0.16513534999999999</v>
      </c>
      <c r="F1724" s="13">
        <v>18.96</v>
      </c>
      <c r="G1724" s="13">
        <v>3.13</v>
      </c>
    </row>
    <row r="1725" spans="1:7" ht="18" customHeight="1" x14ac:dyDescent="0.35">
      <c r="A1725" s="8"/>
      <c r="B1725" s="8"/>
      <c r="C1725" s="8"/>
      <c r="D1725" s="8"/>
      <c r="E1725" s="60" t="s">
        <v>721</v>
      </c>
      <c r="F1725" s="60"/>
      <c r="G1725" s="14">
        <v>5.59</v>
      </c>
    </row>
    <row r="1726" spans="1:7" ht="15" customHeight="1" x14ac:dyDescent="0.35">
      <c r="A1726" s="8"/>
      <c r="B1726" s="8"/>
      <c r="C1726" s="8"/>
      <c r="D1726" s="8"/>
      <c r="E1726" s="61" t="s">
        <v>726</v>
      </c>
      <c r="F1726" s="61"/>
      <c r="G1726" s="4">
        <v>11.04</v>
      </c>
    </row>
    <row r="1727" spans="1:7" ht="10" customHeight="1" x14ac:dyDescent="0.35">
      <c r="A1727" s="8"/>
      <c r="B1727" s="8"/>
      <c r="C1727" s="57"/>
      <c r="D1727" s="57"/>
      <c r="E1727" s="8"/>
      <c r="F1727" s="8"/>
      <c r="G1727" s="8"/>
    </row>
    <row r="1728" spans="1:7" ht="20.149999999999999" customHeight="1" x14ac:dyDescent="0.35">
      <c r="A1728" s="58" t="s">
        <v>1381</v>
      </c>
      <c r="B1728" s="58"/>
      <c r="C1728" s="58"/>
      <c r="D1728" s="58"/>
      <c r="E1728" s="58"/>
      <c r="F1728" s="58"/>
      <c r="G1728" s="58"/>
    </row>
    <row r="1729" spans="1:7" ht="15" customHeight="1" x14ac:dyDescent="0.35">
      <c r="A1729" s="59" t="s">
        <v>701</v>
      </c>
      <c r="B1729" s="59"/>
      <c r="C1729" s="9" t="s">
        <v>3</v>
      </c>
      <c r="D1729" s="9" t="s">
        <v>4</v>
      </c>
      <c r="E1729" s="9" t="s">
        <v>702</v>
      </c>
      <c r="F1729" s="9" t="s">
        <v>703</v>
      </c>
      <c r="G1729" s="9" t="s">
        <v>704</v>
      </c>
    </row>
    <row r="1730" spans="1:7" ht="15" customHeight="1" x14ac:dyDescent="0.35">
      <c r="A1730" s="10" t="s">
        <v>1322</v>
      </c>
      <c r="B1730" s="11" t="s">
        <v>1323</v>
      </c>
      <c r="C1730" s="10" t="s">
        <v>20</v>
      </c>
      <c r="D1730" s="10" t="s">
        <v>160</v>
      </c>
      <c r="E1730" s="12">
        <v>1.6966430000000001E-2</v>
      </c>
      <c r="F1730" s="13">
        <v>50.97</v>
      </c>
      <c r="G1730" s="13">
        <v>0.86</v>
      </c>
    </row>
    <row r="1731" spans="1:7" ht="15" customHeight="1" x14ac:dyDescent="0.35">
      <c r="A1731" s="10" t="s">
        <v>1296</v>
      </c>
      <c r="B1731" s="11" t="s">
        <v>1297</v>
      </c>
      <c r="C1731" s="10" t="s">
        <v>20</v>
      </c>
      <c r="D1731" s="10" t="s">
        <v>160</v>
      </c>
      <c r="E1731" s="12">
        <v>1.7935059999999999E-2</v>
      </c>
      <c r="F1731" s="13">
        <v>1.75</v>
      </c>
      <c r="G1731" s="13">
        <v>0.03</v>
      </c>
    </row>
    <row r="1732" spans="1:7" ht="20.149999999999999" customHeight="1" x14ac:dyDescent="0.35">
      <c r="A1732" s="10" t="s">
        <v>1326</v>
      </c>
      <c r="B1732" s="11" t="s">
        <v>1327</v>
      </c>
      <c r="C1732" s="10" t="s">
        <v>20</v>
      </c>
      <c r="D1732" s="10" t="s">
        <v>160</v>
      </c>
      <c r="E1732" s="12">
        <v>2.1520350000000001E-2</v>
      </c>
      <c r="F1732" s="13">
        <v>57.75</v>
      </c>
      <c r="G1732" s="13">
        <v>1.24</v>
      </c>
    </row>
    <row r="1733" spans="1:7" ht="20.149999999999999" customHeight="1" x14ac:dyDescent="0.35">
      <c r="A1733" s="10" t="s">
        <v>1382</v>
      </c>
      <c r="B1733" s="11" t="s">
        <v>1383</v>
      </c>
      <c r="C1733" s="10" t="s">
        <v>20</v>
      </c>
      <c r="D1733" s="10" t="s">
        <v>160</v>
      </c>
      <c r="E1733" s="12">
        <v>1</v>
      </c>
      <c r="F1733" s="13">
        <v>11.91</v>
      </c>
      <c r="G1733" s="13">
        <v>11.91</v>
      </c>
    </row>
    <row r="1734" spans="1:7" ht="15" customHeight="1" x14ac:dyDescent="0.35">
      <c r="A1734" s="8"/>
      <c r="B1734" s="8"/>
      <c r="C1734" s="8"/>
      <c r="D1734" s="8"/>
      <c r="E1734" s="60" t="s">
        <v>714</v>
      </c>
      <c r="F1734" s="60"/>
      <c r="G1734" s="14">
        <v>14.04</v>
      </c>
    </row>
    <row r="1735" spans="1:7" ht="15" customHeight="1" x14ac:dyDescent="0.35">
      <c r="A1735" s="59" t="s">
        <v>715</v>
      </c>
      <c r="B1735" s="59"/>
      <c r="C1735" s="9" t="s">
        <v>3</v>
      </c>
      <c r="D1735" s="9" t="s">
        <v>4</v>
      </c>
      <c r="E1735" s="9" t="s">
        <v>702</v>
      </c>
      <c r="F1735" s="9" t="s">
        <v>703</v>
      </c>
      <c r="G1735" s="9" t="s">
        <v>704</v>
      </c>
    </row>
    <row r="1736" spans="1:7" ht="20.149999999999999" customHeight="1" x14ac:dyDescent="0.35">
      <c r="A1736" s="10" t="s">
        <v>1300</v>
      </c>
      <c r="B1736" s="11" t="s">
        <v>1301</v>
      </c>
      <c r="C1736" s="10" t="s">
        <v>20</v>
      </c>
      <c r="D1736" s="10" t="s">
        <v>718</v>
      </c>
      <c r="E1736" s="12">
        <v>0.12365853</v>
      </c>
      <c r="F1736" s="13">
        <v>15.03</v>
      </c>
      <c r="G1736" s="13">
        <v>1.85</v>
      </c>
    </row>
    <row r="1737" spans="1:7" ht="20.149999999999999" customHeight="1" x14ac:dyDescent="0.35">
      <c r="A1737" s="10" t="s">
        <v>1302</v>
      </c>
      <c r="B1737" s="11" t="s">
        <v>1303</v>
      </c>
      <c r="C1737" s="10" t="s">
        <v>20</v>
      </c>
      <c r="D1737" s="10" t="s">
        <v>718</v>
      </c>
      <c r="E1737" s="12">
        <v>0.12379345999999999</v>
      </c>
      <c r="F1737" s="13">
        <v>18.96</v>
      </c>
      <c r="G1737" s="13">
        <v>2.34</v>
      </c>
    </row>
    <row r="1738" spans="1:7" ht="18" customHeight="1" x14ac:dyDescent="0.35">
      <c r="A1738" s="8"/>
      <c r="B1738" s="8"/>
      <c r="C1738" s="8"/>
      <c r="D1738" s="8"/>
      <c r="E1738" s="60" t="s">
        <v>721</v>
      </c>
      <c r="F1738" s="60"/>
      <c r="G1738" s="14">
        <v>4.1900000000000004</v>
      </c>
    </row>
    <row r="1739" spans="1:7" ht="15" customHeight="1" x14ac:dyDescent="0.35">
      <c r="A1739" s="8"/>
      <c r="B1739" s="8"/>
      <c r="C1739" s="8"/>
      <c r="D1739" s="8"/>
      <c r="E1739" s="61" t="s">
        <v>726</v>
      </c>
      <c r="F1739" s="61"/>
      <c r="G1739" s="4">
        <v>18.23</v>
      </c>
    </row>
    <row r="1740" spans="1:7" ht="10" customHeight="1" x14ac:dyDescent="0.35">
      <c r="A1740" s="8"/>
      <c r="B1740" s="8"/>
      <c r="C1740" s="57"/>
      <c r="D1740" s="57"/>
      <c r="E1740" s="8"/>
      <c r="F1740" s="8"/>
      <c r="G1740" s="8"/>
    </row>
    <row r="1741" spans="1:7" ht="20.149999999999999" customHeight="1" x14ac:dyDescent="0.35">
      <c r="A1741" s="58" t="s">
        <v>1384</v>
      </c>
      <c r="B1741" s="58"/>
      <c r="C1741" s="58"/>
      <c r="D1741" s="58"/>
      <c r="E1741" s="58"/>
      <c r="F1741" s="58"/>
      <c r="G1741" s="58"/>
    </row>
    <row r="1742" spans="1:7" ht="15" customHeight="1" x14ac:dyDescent="0.35">
      <c r="A1742" s="59" t="s">
        <v>701</v>
      </c>
      <c r="B1742" s="59"/>
      <c r="C1742" s="9" t="s">
        <v>3</v>
      </c>
      <c r="D1742" s="9" t="s">
        <v>4</v>
      </c>
      <c r="E1742" s="9" t="s">
        <v>702</v>
      </c>
      <c r="F1742" s="9" t="s">
        <v>703</v>
      </c>
      <c r="G1742" s="9" t="s">
        <v>704</v>
      </c>
    </row>
    <row r="1743" spans="1:7" ht="20.149999999999999" customHeight="1" x14ac:dyDescent="0.35">
      <c r="A1743" s="10" t="s">
        <v>1385</v>
      </c>
      <c r="B1743" s="11" t="s">
        <v>1386</v>
      </c>
      <c r="C1743" s="10" t="s">
        <v>20</v>
      </c>
      <c r="D1743" s="10" t="s">
        <v>160</v>
      </c>
      <c r="E1743" s="12">
        <v>1</v>
      </c>
      <c r="F1743" s="13">
        <v>5.9</v>
      </c>
      <c r="G1743" s="13">
        <v>5.9</v>
      </c>
    </row>
    <row r="1744" spans="1:7" ht="15" customHeight="1" x14ac:dyDescent="0.35">
      <c r="A1744" s="10" t="s">
        <v>1387</v>
      </c>
      <c r="B1744" s="11" t="s">
        <v>1388</v>
      </c>
      <c r="C1744" s="10" t="s">
        <v>20</v>
      </c>
      <c r="D1744" s="10" t="s">
        <v>160</v>
      </c>
      <c r="E1744" s="12">
        <v>1.7492779999999999E-2</v>
      </c>
      <c r="F1744" s="13">
        <v>2.44</v>
      </c>
      <c r="G1744" s="13">
        <v>0.04</v>
      </c>
    </row>
    <row r="1745" spans="1:7" ht="15" customHeight="1" x14ac:dyDescent="0.35">
      <c r="A1745" s="8"/>
      <c r="B1745" s="8"/>
      <c r="C1745" s="8"/>
      <c r="D1745" s="8"/>
      <c r="E1745" s="60" t="s">
        <v>714</v>
      </c>
      <c r="F1745" s="60"/>
      <c r="G1745" s="14">
        <v>5.94</v>
      </c>
    </row>
    <row r="1746" spans="1:7" ht="15" customHeight="1" x14ac:dyDescent="0.35">
      <c r="A1746" s="59" t="s">
        <v>715</v>
      </c>
      <c r="B1746" s="59"/>
      <c r="C1746" s="9" t="s">
        <v>3</v>
      </c>
      <c r="D1746" s="9" t="s">
        <v>4</v>
      </c>
      <c r="E1746" s="9" t="s">
        <v>702</v>
      </c>
      <c r="F1746" s="9" t="s">
        <v>703</v>
      </c>
      <c r="G1746" s="9" t="s">
        <v>704</v>
      </c>
    </row>
    <row r="1747" spans="1:7" ht="20.149999999999999" customHeight="1" x14ac:dyDescent="0.35">
      <c r="A1747" s="10" t="s">
        <v>1302</v>
      </c>
      <c r="B1747" s="11" t="s">
        <v>1303</v>
      </c>
      <c r="C1747" s="10" t="s">
        <v>20</v>
      </c>
      <c r="D1747" s="10" t="s">
        <v>718</v>
      </c>
      <c r="E1747" s="12">
        <v>0.12430585</v>
      </c>
      <c r="F1747" s="13">
        <v>18.96</v>
      </c>
      <c r="G1747" s="13">
        <v>2.35</v>
      </c>
    </row>
    <row r="1748" spans="1:7" ht="15" customHeight="1" x14ac:dyDescent="0.35">
      <c r="A1748" s="10" t="s">
        <v>719</v>
      </c>
      <c r="B1748" s="11" t="s">
        <v>720</v>
      </c>
      <c r="C1748" s="10" t="s">
        <v>20</v>
      </c>
      <c r="D1748" s="10" t="s">
        <v>718</v>
      </c>
      <c r="E1748" s="12">
        <v>3.8573660000000003E-2</v>
      </c>
      <c r="F1748" s="13">
        <v>15.53</v>
      </c>
      <c r="G1748" s="13">
        <v>0.59</v>
      </c>
    </row>
    <row r="1749" spans="1:7" ht="18" customHeight="1" x14ac:dyDescent="0.35">
      <c r="A1749" s="8"/>
      <c r="B1749" s="8"/>
      <c r="C1749" s="8"/>
      <c r="D1749" s="8"/>
      <c r="E1749" s="60" t="s">
        <v>721</v>
      </c>
      <c r="F1749" s="60"/>
      <c r="G1749" s="14">
        <v>2.94</v>
      </c>
    </row>
    <row r="1750" spans="1:7" ht="15" customHeight="1" x14ac:dyDescent="0.35">
      <c r="A1750" s="8"/>
      <c r="B1750" s="8"/>
      <c r="C1750" s="8"/>
      <c r="D1750" s="8"/>
      <c r="E1750" s="61" t="s">
        <v>726</v>
      </c>
      <c r="F1750" s="61"/>
      <c r="G1750" s="4">
        <v>8.8800000000000008</v>
      </c>
    </row>
    <row r="1751" spans="1:7" ht="10" customHeight="1" x14ac:dyDescent="0.35">
      <c r="A1751" s="8"/>
      <c r="B1751" s="8"/>
      <c r="C1751" s="57"/>
      <c r="D1751" s="57"/>
      <c r="E1751" s="8"/>
      <c r="F1751" s="8"/>
      <c r="G1751" s="8"/>
    </row>
    <row r="1752" spans="1:7" ht="20.149999999999999" customHeight="1" x14ac:dyDescent="0.35">
      <c r="A1752" s="58" t="s">
        <v>1389</v>
      </c>
      <c r="B1752" s="58"/>
      <c r="C1752" s="58"/>
      <c r="D1752" s="58"/>
      <c r="E1752" s="58"/>
      <c r="F1752" s="58"/>
      <c r="G1752" s="58"/>
    </row>
    <row r="1753" spans="1:7" ht="15" customHeight="1" x14ac:dyDescent="0.35">
      <c r="A1753" s="59" t="s">
        <v>701</v>
      </c>
      <c r="B1753" s="59"/>
      <c r="C1753" s="9" t="s">
        <v>3</v>
      </c>
      <c r="D1753" s="9" t="s">
        <v>4</v>
      </c>
      <c r="E1753" s="9" t="s">
        <v>702</v>
      </c>
      <c r="F1753" s="9" t="s">
        <v>703</v>
      </c>
      <c r="G1753" s="9" t="s">
        <v>704</v>
      </c>
    </row>
    <row r="1754" spans="1:7" ht="20.149999999999999" customHeight="1" x14ac:dyDescent="0.35">
      <c r="A1754" s="10" t="s">
        <v>1390</v>
      </c>
      <c r="B1754" s="11" t="s">
        <v>1391</v>
      </c>
      <c r="C1754" s="10" t="s">
        <v>20</v>
      </c>
      <c r="D1754" s="10" t="s">
        <v>160</v>
      </c>
      <c r="E1754" s="12">
        <v>1</v>
      </c>
      <c r="F1754" s="13">
        <v>1.17</v>
      </c>
      <c r="G1754" s="13">
        <v>1.17</v>
      </c>
    </row>
    <row r="1755" spans="1:7" ht="15" customHeight="1" x14ac:dyDescent="0.35">
      <c r="A1755" s="10" t="s">
        <v>1322</v>
      </c>
      <c r="B1755" s="11" t="s">
        <v>1323</v>
      </c>
      <c r="C1755" s="10" t="s">
        <v>20</v>
      </c>
      <c r="D1755" s="10" t="s">
        <v>160</v>
      </c>
      <c r="E1755" s="12">
        <v>5.6178699999999996E-3</v>
      </c>
      <c r="F1755" s="13">
        <v>50.97</v>
      </c>
      <c r="G1755" s="13">
        <v>0.28000000000000003</v>
      </c>
    </row>
    <row r="1756" spans="1:7" ht="15" customHeight="1" x14ac:dyDescent="0.35">
      <c r="A1756" s="10" t="s">
        <v>1296</v>
      </c>
      <c r="B1756" s="11" t="s">
        <v>1297</v>
      </c>
      <c r="C1756" s="10" t="s">
        <v>20</v>
      </c>
      <c r="D1756" s="10" t="s">
        <v>160</v>
      </c>
      <c r="E1756" s="12">
        <v>2.675634E-2</v>
      </c>
      <c r="F1756" s="13">
        <v>1.75</v>
      </c>
      <c r="G1756" s="13">
        <v>0.04</v>
      </c>
    </row>
    <row r="1757" spans="1:7" ht="20.149999999999999" customHeight="1" x14ac:dyDescent="0.35">
      <c r="A1757" s="10" t="s">
        <v>1326</v>
      </c>
      <c r="B1757" s="11" t="s">
        <v>1327</v>
      </c>
      <c r="C1757" s="10" t="s">
        <v>20</v>
      </c>
      <c r="D1757" s="10" t="s">
        <v>160</v>
      </c>
      <c r="E1757" s="12">
        <v>6.66528E-3</v>
      </c>
      <c r="F1757" s="13">
        <v>57.75</v>
      </c>
      <c r="G1757" s="13">
        <v>0.38</v>
      </c>
    </row>
    <row r="1758" spans="1:7" ht="15" customHeight="1" x14ac:dyDescent="0.35">
      <c r="A1758" s="8"/>
      <c r="B1758" s="8"/>
      <c r="C1758" s="8"/>
      <c r="D1758" s="8"/>
      <c r="E1758" s="60" t="s">
        <v>714</v>
      </c>
      <c r="F1758" s="60"/>
      <c r="G1758" s="14">
        <v>1.87</v>
      </c>
    </row>
    <row r="1759" spans="1:7" ht="15" customHeight="1" x14ac:dyDescent="0.35">
      <c r="A1759" s="59" t="s">
        <v>715</v>
      </c>
      <c r="B1759" s="59"/>
      <c r="C1759" s="9" t="s">
        <v>3</v>
      </c>
      <c r="D1759" s="9" t="s">
        <v>4</v>
      </c>
      <c r="E1759" s="9" t="s">
        <v>702</v>
      </c>
      <c r="F1759" s="9" t="s">
        <v>703</v>
      </c>
      <c r="G1759" s="9" t="s">
        <v>704</v>
      </c>
    </row>
    <row r="1760" spans="1:7" ht="20.149999999999999" customHeight="1" x14ac:dyDescent="0.35">
      <c r="A1760" s="10" t="s">
        <v>1300</v>
      </c>
      <c r="B1760" s="11" t="s">
        <v>1301</v>
      </c>
      <c r="C1760" s="10" t="s">
        <v>20</v>
      </c>
      <c r="D1760" s="10" t="s">
        <v>718</v>
      </c>
      <c r="E1760" s="12">
        <v>7.8717380000000003E-2</v>
      </c>
      <c r="F1760" s="13">
        <v>15.03</v>
      </c>
      <c r="G1760" s="13">
        <v>1.18</v>
      </c>
    </row>
    <row r="1761" spans="1:7" ht="20.149999999999999" customHeight="1" x14ac:dyDescent="0.35">
      <c r="A1761" s="10" t="s">
        <v>1302</v>
      </c>
      <c r="B1761" s="11" t="s">
        <v>1303</v>
      </c>
      <c r="C1761" s="10" t="s">
        <v>20</v>
      </c>
      <c r="D1761" s="10" t="s">
        <v>718</v>
      </c>
      <c r="E1761" s="12">
        <v>7.8717380000000003E-2</v>
      </c>
      <c r="F1761" s="13">
        <v>18.96</v>
      </c>
      <c r="G1761" s="13">
        <v>1.49</v>
      </c>
    </row>
    <row r="1762" spans="1:7" ht="18" customHeight="1" x14ac:dyDescent="0.35">
      <c r="A1762" s="8"/>
      <c r="B1762" s="8"/>
      <c r="C1762" s="8"/>
      <c r="D1762" s="8"/>
      <c r="E1762" s="60" t="s">
        <v>721</v>
      </c>
      <c r="F1762" s="60"/>
      <c r="G1762" s="14">
        <v>2.67</v>
      </c>
    </row>
    <row r="1763" spans="1:7" ht="15" customHeight="1" x14ac:dyDescent="0.35">
      <c r="A1763" s="8"/>
      <c r="B1763" s="8"/>
      <c r="C1763" s="8"/>
      <c r="D1763" s="8"/>
      <c r="E1763" s="61" t="s">
        <v>726</v>
      </c>
      <c r="F1763" s="61"/>
      <c r="G1763" s="4">
        <v>4.54</v>
      </c>
    </row>
    <row r="1764" spans="1:7" ht="10" customHeight="1" x14ac:dyDescent="0.35">
      <c r="A1764" s="8"/>
      <c r="B1764" s="8"/>
      <c r="C1764" s="57"/>
      <c r="D1764" s="57"/>
      <c r="E1764" s="8"/>
      <c r="F1764" s="8"/>
      <c r="G1764" s="8"/>
    </row>
    <row r="1765" spans="1:7" ht="20.149999999999999" customHeight="1" x14ac:dyDescent="0.35">
      <c r="A1765" s="58" t="s">
        <v>1392</v>
      </c>
      <c r="B1765" s="58"/>
      <c r="C1765" s="58"/>
      <c r="D1765" s="58"/>
      <c r="E1765" s="58"/>
      <c r="F1765" s="58"/>
      <c r="G1765" s="58"/>
    </row>
    <row r="1766" spans="1:7" ht="15" customHeight="1" x14ac:dyDescent="0.35">
      <c r="A1766" s="59" t="s">
        <v>701</v>
      </c>
      <c r="B1766" s="59"/>
      <c r="C1766" s="9" t="s">
        <v>3</v>
      </c>
      <c r="D1766" s="9" t="s">
        <v>4</v>
      </c>
      <c r="E1766" s="9" t="s">
        <v>702</v>
      </c>
      <c r="F1766" s="9" t="s">
        <v>703</v>
      </c>
      <c r="G1766" s="9" t="s">
        <v>704</v>
      </c>
    </row>
    <row r="1767" spans="1:7" ht="20.149999999999999" customHeight="1" x14ac:dyDescent="0.35">
      <c r="A1767" s="10" t="s">
        <v>1393</v>
      </c>
      <c r="B1767" s="11" t="s">
        <v>1394</v>
      </c>
      <c r="C1767" s="10" t="s">
        <v>20</v>
      </c>
      <c r="D1767" s="10" t="s">
        <v>160</v>
      </c>
      <c r="E1767" s="12">
        <v>1</v>
      </c>
      <c r="F1767" s="13">
        <v>2.4300000000000002</v>
      </c>
      <c r="G1767" s="13">
        <v>2.4300000000000002</v>
      </c>
    </row>
    <row r="1768" spans="1:7" ht="15" customHeight="1" x14ac:dyDescent="0.35">
      <c r="A1768" s="10" t="s">
        <v>1322</v>
      </c>
      <c r="B1768" s="11" t="s">
        <v>1323</v>
      </c>
      <c r="C1768" s="10" t="s">
        <v>20</v>
      </c>
      <c r="D1768" s="10" t="s">
        <v>160</v>
      </c>
      <c r="E1768" s="12">
        <v>7.4480299999999996E-3</v>
      </c>
      <c r="F1768" s="13">
        <v>50.97</v>
      </c>
      <c r="G1768" s="13">
        <v>0.37</v>
      </c>
    </row>
    <row r="1769" spans="1:7" ht="15" customHeight="1" x14ac:dyDescent="0.35">
      <c r="A1769" s="10" t="s">
        <v>1296</v>
      </c>
      <c r="B1769" s="11" t="s">
        <v>1297</v>
      </c>
      <c r="C1769" s="10" t="s">
        <v>20</v>
      </c>
      <c r="D1769" s="10" t="s">
        <v>160</v>
      </c>
      <c r="E1769" s="12">
        <v>3.006462E-2</v>
      </c>
      <c r="F1769" s="13">
        <v>1.75</v>
      </c>
      <c r="G1769" s="13">
        <v>0.05</v>
      </c>
    </row>
    <row r="1770" spans="1:7" ht="20.149999999999999" customHeight="1" x14ac:dyDescent="0.35">
      <c r="A1770" s="10" t="s">
        <v>1326</v>
      </c>
      <c r="B1770" s="11" t="s">
        <v>1327</v>
      </c>
      <c r="C1770" s="10" t="s">
        <v>20</v>
      </c>
      <c r="D1770" s="10" t="s">
        <v>160</v>
      </c>
      <c r="E1770" s="12">
        <v>8.6288200000000006E-3</v>
      </c>
      <c r="F1770" s="13">
        <v>57.75</v>
      </c>
      <c r="G1770" s="13">
        <v>0.49</v>
      </c>
    </row>
    <row r="1771" spans="1:7" ht="15" customHeight="1" x14ac:dyDescent="0.35">
      <c r="A1771" s="8"/>
      <c r="B1771" s="8"/>
      <c r="C1771" s="8"/>
      <c r="D1771" s="8"/>
      <c r="E1771" s="60" t="s">
        <v>714</v>
      </c>
      <c r="F1771" s="60"/>
      <c r="G1771" s="14">
        <v>3.34</v>
      </c>
    </row>
    <row r="1772" spans="1:7" ht="15" customHeight="1" x14ac:dyDescent="0.35">
      <c r="A1772" s="59" t="s">
        <v>715</v>
      </c>
      <c r="B1772" s="59"/>
      <c r="C1772" s="9" t="s">
        <v>3</v>
      </c>
      <c r="D1772" s="9" t="s">
        <v>4</v>
      </c>
      <c r="E1772" s="9" t="s">
        <v>702</v>
      </c>
      <c r="F1772" s="9" t="s">
        <v>703</v>
      </c>
      <c r="G1772" s="9" t="s">
        <v>704</v>
      </c>
    </row>
    <row r="1773" spans="1:7" ht="20.149999999999999" customHeight="1" x14ac:dyDescent="0.35">
      <c r="A1773" s="10" t="s">
        <v>1300</v>
      </c>
      <c r="B1773" s="11" t="s">
        <v>1301</v>
      </c>
      <c r="C1773" s="10" t="s">
        <v>20</v>
      </c>
      <c r="D1773" s="10" t="s">
        <v>718</v>
      </c>
      <c r="E1773" s="12">
        <v>8.9012240000000006E-2</v>
      </c>
      <c r="F1773" s="13">
        <v>15.03</v>
      </c>
      <c r="G1773" s="13">
        <v>1.33</v>
      </c>
    </row>
    <row r="1774" spans="1:7" ht="20.149999999999999" customHeight="1" x14ac:dyDescent="0.35">
      <c r="A1774" s="10" t="s">
        <v>1302</v>
      </c>
      <c r="B1774" s="11" t="s">
        <v>1303</v>
      </c>
      <c r="C1774" s="10" t="s">
        <v>20</v>
      </c>
      <c r="D1774" s="10" t="s">
        <v>718</v>
      </c>
      <c r="E1774" s="12">
        <v>8.8346910000000001E-2</v>
      </c>
      <c r="F1774" s="13">
        <v>18.96</v>
      </c>
      <c r="G1774" s="13">
        <v>1.67</v>
      </c>
    </row>
    <row r="1775" spans="1:7" ht="18" customHeight="1" x14ac:dyDescent="0.35">
      <c r="A1775" s="8"/>
      <c r="B1775" s="8"/>
      <c r="C1775" s="8"/>
      <c r="D1775" s="8"/>
      <c r="E1775" s="60" t="s">
        <v>721</v>
      </c>
      <c r="F1775" s="60"/>
      <c r="G1775" s="14">
        <v>3</v>
      </c>
    </row>
    <row r="1776" spans="1:7" ht="15" customHeight="1" x14ac:dyDescent="0.35">
      <c r="A1776" s="8"/>
      <c r="B1776" s="8"/>
      <c r="C1776" s="8"/>
      <c r="D1776" s="8"/>
      <c r="E1776" s="61" t="s">
        <v>726</v>
      </c>
      <c r="F1776" s="61"/>
      <c r="G1776" s="4">
        <v>6.34</v>
      </c>
    </row>
    <row r="1777" spans="1:7" ht="10" customHeight="1" x14ac:dyDescent="0.35">
      <c r="A1777" s="8"/>
      <c r="B1777" s="8"/>
      <c r="C1777" s="57"/>
      <c r="D1777" s="57"/>
      <c r="E1777" s="8"/>
      <c r="F1777" s="8"/>
      <c r="G1777" s="8"/>
    </row>
    <row r="1778" spans="1:7" ht="20.149999999999999" customHeight="1" x14ac:dyDescent="0.35">
      <c r="A1778" s="58" t="s">
        <v>1395</v>
      </c>
      <c r="B1778" s="58"/>
      <c r="C1778" s="58"/>
      <c r="D1778" s="58"/>
      <c r="E1778" s="58"/>
      <c r="F1778" s="58"/>
      <c r="G1778" s="58"/>
    </row>
    <row r="1779" spans="1:7" ht="15" customHeight="1" x14ac:dyDescent="0.35">
      <c r="A1779" s="59" t="s">
        <v>701</v>
      </c>
      <c r="B1779" s="59"/>
      <c r="C1779" s="9" t="s">
        <v>3</v>
      </c>
      <c r="D1779" s="9" t="s">
        <v>4</v>
      </c>
      <c r="E1779" s="9" t="s">
        <v>702</v>
      </c>
      <c r="F1779" s="9" t="s">
        <v>703</v>
      </c>
      <c r="G1779" s="9" t="s">
        <v>704</v>
      </c>
    </row>
    <row r="1780" spans="1:7" ht="20.149999999999999" customHeight="1" x14ac:dyDescent="0.35">
      <c r="A1780" s="10" t="s">
        <v>1396</v>
      </c>
      <c r="B1780" s="11" t="s">
        <v>1397</v>
      </c>
      <c r="C1780" s="10" t="s">
        <v>20</v>
      </c>
      <c r="D1780" s="10" t="s">
        <v>160</v>
      </c>
      <c r="E1780" s="12">
        <v>1</v>
      </c>
      <c r="F1780" s="13">
        <v>15.98</v>
      </c>
      <c r="G1780" s="13">
        <v>15.98</v>
      </c>
    </row>
    <row r="1781" spans="1:7" ht="15" customHeight="1" x14ac:dyDescent="0.35">
      <c r="A1781" s="10" t="s">
        <v>1322</v>
      </c>
      <c r="B1781" s="11" t="s">
        <v>1323</v>
      </c>
      <c r="C1781" s="10" t="s">
        <v>20</v>
      </c>
      <c r="D1781" s="10" t="s">
        <v>160</v>
      </c>
      <c r="E1781" s="12">
        <v>8.0436899999999992E-3</v>
      </c>
      <c r="F1781" s="13">
        <v>50.97</v>
      </c>
      <c r="G1781" s="13">
        <v>0.4</v>
      </c>
    </row>
    <row r="1782" spans="1:7" ht="15" customHeight="1" x14ac:dyDescent="0.35">
      <c r="A1782" s="10" t="s">
        <v>1296</v>
      </c>
      <c r="B1782" s="11" t="s">
        <v>1297</v>
      </c>
      <c r="C1782" s="10" t="s">
        <v>20</v>
      </c>
      <c r="D1782" s="10" t="s">
        <v>160</v>
      </c>
      <c r="E1782" s="12">
        <v>8.8138299999999999E-3</v>
      </c>
      <c r="F1782" s="13">
        <v>1.75</v>
      </c>
      <c r="G1782" s="13">
        <v>0.01</v>
      </c>
    </row>
    <row r="1783" spans="1:7" ht="20.149999999999999" customHeight="1" x14ac:dyDescent="0.35">
      <c r="A1783" s="10" t="s">
        <v>1326</v>
      </c>
      <c r="B1783" s="11" t="s">
        <v>1327</v>
      </c>
      <c r="C1783" s="10" t="s">
        <v>20</v>
      </c>
      <c r="D1783" s="10" t="s">
        <v>160</v>
      </c>
      <c r="E1783" s="12">
        <v>1.112426E-2</v>
      </c>
      <c r="F1783" s="13">
        <v>57.75</v>
      </c>
      <c r="G1783" s="13">
        <v>0.64</v>
      </c>
    </row>
    <row r="1784" spans="1:7" ht="15" customHeight="1" x14ac:dyDescent="0.35">
      <c r="A1784" s="8"/>
      <c r="B1784" s="8"/>
      <c r="C1784" s="8"/>
      <c r="D1784" s="8"/>
      <c r="E1784" s="60" t="s">
        <v>714</v>
      </c>
      <c r="F1784" s="60"/>
      <c r="G1784" s="14">
        <v>17.03</v>
      </c>
    </row>
    <row r="1785" spans="1:7" ht="15" customHeight="1" x14ac:dyDescent="0.35">
      <c r="A1785" s="59" t="s">
        <v>715</v>
      </c>
      <c r="B1785" s="59"/>
      <c r="C1785" s="9" t="s">
        <v>3</v>
      </c>
      <c r="D1785" s="9" t="s">
        <v>4</v>
      </c>
      <c r="E1785" s="9" t="s">
        <v>702</v>
      </c>
      <c r="F1785" s="9" t="s">
        <v>703</v>
      </c>
      <c r="G1785" s="9" t="s">
        <v>704</v>
      </c>
    </row>
    <row r="1786" spans="1:7" ht="20.149999999999999" customHeight="1" x14ac:dyDescent="0.35">
      <c r="A1786" s="10" t="s">
        <v>1300</v>
      </c>
      <c r="B1786" s="11" t="s">
        <v>1301</v>
      </c>
      <c r="C1786" s="10" t="s">
        <v>20</v>
      </c>
      <c r="D1786" s="10" t="s">
        <v>718</v>
      </c>
      <c r="E1786" s="12">
        <v>3.8029920000000002E-2</v>
      </c>
      <c r="F1786" s="13">
        <v>15.03</v>
      </c>
      <c r="G1786" s="13">
        <v>0.56999999999999995</v>
      </c>
    </row>
    <row r="1787" spans="1:7" ht="20.149999999999999" customHeight="1" x14ac:dyDescent="0.35">
      <c r="A1787" s="10" t="s">
        <v>1302</v>
      </c>
      <c r="B1787" s="11" t="s">
        <v>1303</v>
      </c>
      <c r="C1787" s="10" t="s">
        <v>20</v>
      </c>
      <c r="D1787" s="10" t="s">
        <v>718</v>
      </c>
      <c r="E1787" s="12">
        <v>3.8164860000000002E-2</v>
      </c>
      <c r="F1787" s="13">
        <v>18.96</v>
      </c>
      <c r="G1787" s="13">
        <v>0.72</v>
      </c>
    </row>
    <row r="1788" spans="1:7" ht="18" customHeight="1" x14ac:dyDescent="0.35">
      <c r="A1788" s="8"/>
      <c r="B1788" s="8"/>
      <c r="C1788" s="8"/>
      <c r="D1788" s="8"/>
      <c r="E1788" s="60" t="s">
        <v>721</v>
      </c>
      <c r="F1788" s="60"/>
      <c r="G1788" s="14">
        <v>1.29</v>
      </c>
    </row>
    <row r="1789" spans="1:7" ht="15" customHeight="1" x14ac:dyDescent="0.35">
      <c r="A1789" s="8"/>
      <c r="B1789" s="8"/>
      <c r="C1789" s="8"/>
      <c r="D1789" s="8"/>
      <c r="E1789" s="61" t="s">
        <v>726</v>
      </c>
      <c r="F1789" s="61"/>
      <c r="G1789" s="4">
        <v>18.32</v>
      </c>
    </row>
    <row r="1790" spans="1:7" ht="10" customHeight="1" x14ac:dyDescent="0.35">
      <c r="A1790" s="8"/>
      <c r="B1790" s="8"/>
      <c r="C1790" s="57"/>
      <c r="D1790" s="57"/>
      <c r="E1790" s="8"/>
      <c r="F1790" s="8"/>
      <c r="G1790" s="8"/>
    </row>
    <row r="1791" spans="1:7" ht="20.149999999999999" customHeight="1" x14ac:dyDescent="0.35">
      <c r="A1791" s="58" t="s">
        <v>1398</v>
      </c>
      <c r="B1791" s="58"/>
      <c r="C1791" s="58"/>
      <c r="D1791" s="58"/>
      <c r="E1791" s="58"/>
      <c r="F1791" s="58"/>
      <c r="G1791" s="58"/>
    </row>
    <row r="1792" spans="1:7" ht="15" customHeight="1" x14ac:dyDescent="0.35">
      <c r="A1792" s="59" t="s">
        <v>701</v>
      </c>
      <c r="B1792" s="59"/>
      <c r="C1792" s="9" t="s">
        <v>3</v>
      </c>
      <c r="D1792" s="9" t="s">
        <v>4</v>
      </c>
      <c r="E1792" s="9" t="s">
        <v>702</v>
      </c>
      <c r="F1792" s="9" t="s">
        <v>703</v>
      </c>
      <c r="G1792" s="9" t="s">
        <v>704</v>
      </c>
    </row>
    <row r="1793" spans="1:7" ht="20.149999999999999" customHeight="1" x14ac:dyDescent="0.35">
      <c r="A1793" s="10" t="s">
        <v>1399</v>
      </c>
      <c r="B1793" s="11" t="s">
        <v>1400</v>
      </c>
      <c r="C1793" s="10" t="s">
        <v>20</v>
      </c>
      <c r="D1793" s="10" t="s">
        <v>160</v>
      </c>
      <c r="E1793" s="12">
        <v>1</v>
      </c>
      <c r="F1793" s="13">
        <v>14.86</v>
      </c>
      <c r="G1793" s="13">
        <v>14.86</v>
      </c>
    </row>
    <row r="1794" spans="1:7" ht="15" customHeight="1" x14ac:dyDescent="0.35">
      <c r="A1794" s="10" t="s">
        <v>1401</v>
      </c>
      <c r="B1794" s="11" t="s">
        <v>1402</v>
      </c>
      <c r="C1794" s="10" t="s">
        <v>20</v>
      </c>
      <c r="D1794" s="10" t="s">
        <v>160</v>
      </c>
      <c r="E1794" s="12">
        <v>3.9710509999999997E-2</v>
      </c>
      <c r="F1794" s="13">
        <v>16.63</v>
      </c>
      <c r="G1794" s="13">
        <v>0.66</v>
      </c>
    </row>
    <row r="1795" spans="1:7" ht="15" customHeight="1" x14ac:dyDescent="0.35">
      <c r="A1795" s="10" t="s">
        <v>1296</v>
      </c>
      <c r="B1795" s="11" t="s">
        <v>1297</v>
      </c>
      <c r="C1795" s="10" t="s">
        <v>20</v>
      </c>
      <c r="D1795" s="10" t="s">
        <v>160</v>
      </c>
      <c r="E1795" s="12">
        <v>1.2085800000000001E-2</v>
      </c>
      <c r="F1795" s="13">
        <v>1.75</v>
      </c>
      <c r="G1795" s="13">
        <v>0.02</v>
      </c>
    </row>
    <row r="1796" spans="1:7" ht="20.149999999999999" customHeight="1" x14ac:dyDescent="0.35">
      <c r="A1796" s="10" t="s">
        <v>1326</v>
      </c>
      <c r="B1796" s="11" t="s">
        <v>1327</v>
      </c>
      <c r="C1796" s="10" t="s">
        <v>20</v>
      </c>
      <c r="D1796" s="10" t="s">
        <v>160</v>
      </c>
      <c r="E1796" s="12">
        <v>9.4959899999999993E-3</v>
      </c>
      <c r="F1796" s="13">
        <v>57.75</v>
      </c>
      <c r="G1796" s="13">
        <v>0.54</v>
      </c>
    </row>
    <row r="1797" spans="1:7" ht="15" customHeight="1" x14ac:dyDescent="0.35">
      <c r="A1797" s="8"/>
      <c r="B1797" s="8"/>
      <c r="C1797" s="8"/>
      <c r="D1797" s="8"/>
      <c r="E1797" s="60" t="s">
        <v>714</v>
      </c>
      <c r="F1797" s="60"/>
      <c r="G1797" s="14">
        <v>16.079999999999998</v>
      </c>
    </row>
    <row r="1798" spans="1:7" ht="15" customHeight="1" x14ac:dyDescent="0.35">
      <c r="A1798" s="59" t="s">
        <v>715</v>
      </c>
      <c r="B1798" s="59"/>
      <c r="C1798" s="9" t="s">
        <v>3</v>
      </c>
      <c r="D1798" s="9" t="s">
        <v>4</v>
      </c>
      <c r="E1798" s="9" t="s">
        <v>702</v>
      </c>
      <c r="F1798" s="9" t="s">
        <v>703</v>
      </c>
      <c r="G1798" s="9" t="s">
        <v>704</v>
      </c>
    </row>
    <row r="1799" spans="1:7" ht="20.149999999999999" customHeight="1" x14ac:dyDescent="0.35">
      <c r="A1799" s="10" t="s">
        <v>1300</v>
      </c>
      <c r="B1799" s="11" t="s">
        <v>1301</v>
      </c>
      <c r="C1799" s="10" t="s">
        <v>20</v>
      </c>
      <c r="D1799" s="10" t="s">
        <v>718</v>
      </c>
      <c r="E1799" s="12">
        <v>0.11423799</v>
      </c>
      <c r="F1799" s="13">
        <v>15.03</v>
      </c>
      <c r="G1799" s="13">
        <v>1.71</v>
      </c>
    </row>
    <row r="1800" spans="1:7" ht="20.149999999999999" customHeight="1" x14ac:dyDescent="0.35">
      <c r="A1800" s="10" t="s">
        <v>1302</v>
      </c>
      <c r="B1800" s="11" t="s">
        <v>1303</v>
      </c>
      <c r="C1800" s="10" t="s">
        <v>20</v>
      </c>
      <c r="D1800" s="10" t="s">
        <v>718</v>
      </c>
      <c r="E1800" s="12">
        <v>0.11488906</v>
      </c>
      <c r="F1800" s="13">
        <v>18.96</v>
      </c>
      <c r="G1800" s="13">
        <v>2.17</v>
      </c>
    </row>
    <row r="1801" spans="1:7" ht="18" customHeight="1" x14ac:dyDescent="0.35">
      <c r="A1801" s="8"/>
      <c r="B1801" s="8"/>
      <c r="C1801" s="8"/>
      <c r="D1801" s="8"/>
      <c r="E1801" s="60" t="s">
        <v>721</v>
      </c>
      <c r="F1801" s="60"/>
      <c r="G1801" s="14">
        <v>3.88</v>
      </c>
    </row>
    <row r="1802" spans="1:7" ht="15" customHeight="1" x14ac:dyDescent="0.35">
      <c r="A1802" s="8"/>
      <c r="B1802" s="8"/>
      <c r="C1802" s="8"/>
      <c r="D1802" s="8"/>
      <c r="E1802" s="61" t="s">
        <v>726</v>
      </c>
      <c r="F1802" s="61"/>
      <c r="G1802" s="4">
        <v>19.96</v>
      </c>
    </row>
    <row r="1803" spans="1:7" ht="10" customHeight="1" x14ac:dyDescent="0.35">
      <c r="A1803" s="8"/>
      <c r="B1803" s="8"/>
      <c r="C1803" s="57"/>
      <c r="D1803" s="57"/>
      <c r="E1803" s="8"/>
      <c r="F1803" s="8"/>
      <c r="G1803" s="8"/>
    </row>
    <row r="1804" spans="1:7" ht="20.149999999999999" customHeight="1" x14ac:dyDescent="0.35">
      <c r="A1804" s="58" t="s">
        <v>1403</v>
      </c>
      <c r="B1804" s="58"/>
      <c r="C1804" s="58"/>
      <c r="D1804" s="58"/>
      <c r="E1804" s="58"/>
      <c r="F1804" s="58"/>
      <c r="G1804" s="58"/>
    </row>
    <row r="1805" spans="1:7" ht="15" customHeight="1" x14ac:dyDescent="0.35">
      <c r="A1805" s="59" t="s">
        <v>701</v>
      </c>
      <c r="B1805" s="59"/>
      <c r="C1805" s="9" t="s">
        <v>3</v>
      </c>
      <c r="D1805" s="9" t="s">
        <v>4</v>
      </c>
      <c r="E1805" s="9" t="s">
        <v>702</v>
      </c>
      <c r="F1805" s="9" t="s">
        <v>703</v>
      </c>
      <c r="G1805" s="9" t="s">
        <v>704</v>
      </c>
    </row>
    <row r="1806" spans="1:7" ht="20.149999999999999" customHeight="1" x14ac:dyDescent="0.35">
      <c r="A1806" s="10" t="s">
        <v>1404</v>
      </c>
      <c r="B1806" s="11" t="s">
        <v>1405</v>
      </c>
      <c r="C1806" s="10" t="s">
        <v>20</v>
      </c>
      <c r="D1806" s="10" t="s">
        <v>160</v>
      </c>
      <c r="E1806" s="12">
        <v>1</v>
      </c>
      <c r="F1806" s="13">
        <v>43.99</v>
      </c>
      <c r="G1806" s="13">
        <v>43.99</v>
      </c>
    </row>
    <row r="1807" spans="1:7" ht="15" customHeight="1" x14ac:dyDescent="0.35">
      <c r="A1807" s="10" t="s">
        <v>1401</v>
      </c>
      <c r="B1807" s="11" t="s">
        <v>1402</v>
      </c>
      <c r="C1807" s="10" t="s">
        <v>20</v>
      </c>
      <c r="D1807" s="10" t="s">
        <v>160</v>
      </c>
      <c r="E1807" s="12">
        <v>0.32632138999999999</v>
      </c>
      <c r="F1807" s="13">
        <v>16.63</v>
      </c>
      <c r="G1807" s="13">
        <v>5.42</v>
      </c>
    </row>
    <row r="1808" spans="1:7" ht="15" customHeight="1" x14ac:dyDescent="0.35">
      <c r="A1808" s="10" t="s">
        <v>1296</v>
      </c>
      <c r="B1808" s="11" t="s">
        <v>1297</v>
      </c>
      <c r="C1808" s="10" t="s">
        <v>20</v>
      </c>
      <c r="D1808" s="10" t="s">
        <v>160</v>
      </c>
      <c r="E1808" s="12">
        <v>3.0222559999999999E-2</v>
      </c>
      <c r="F1808" s="13">
        <v>1.75</v>
      </c>
      <c r="G1808" s="13">
        <v>0.05</v>
      </c>
    </row>
    <row r="1809" spans="1:7" ht="20.149999999999999" customHeight="1" x14ac:dyDescent="0.35">
      <c r="A1809" s="10" t="s">
        <v>1326</v>
      </c>
      <c r="B1809" s="11" t="s">
        <v>1327</v>
      </c>
      <c r="C1809" s="10" t="s">
        <v>20</v>
      </c>
      <c r="D1809" s="10" t="s">
        <v>160</v>
      </c>
      <c r="E1809" s="12">
        <v>8.7479329999999994E-2</v>
      </c>
      <c r="F1809" s="13">
        <v>57.75</v>
      </c>
      <c r="G1809" s="13">
        <v>5.05</v>
      </c>
    </row>
    <row r="1810" spans="1:7" ht="15" customHeight="1" x14ac:dyDescent="0.35">
      <c r="A1810" s="8"/>
      <c r="B1810" s="8"/>
      <c r="C1810" s="8"/>
      <c r="D1810" s="8"/>
      <c r="E1810" s="60" t="s">
        <v>714</v>
      </c>
      <c r="F1810" s="60"/>
      <c r="G1810" s="14">
        <v>54.51</v>
      </c>
    </row>
    <row r="1811" spans="1:7" ht="15" customHeight="1" x14ac:dyDescent="0.35">
      <c r="A1811" s="59" t="s">
        <v>715</v>
      </c>
      <c r="B1811" s="59"/>
      <c r="C1811" s="9" t="s">
        <v>3</v>
      </c>
      <c r="D1811" s="9" t="s">
        <v>4</v>
      </c>
      <c r="E1811" s="9" t="s">
        <v>702</v>
      </c>
      <c r="F1811" s="9" t="s">
        <v>703</v>
      </c>
      <c r="G1811" s="9" t="s">
        <v>704</v>
      </c>
    </row>
    <row r="1812" spans="1:7" ht="20.149999999999999" customHeight="1" x14ac:dyDescent="0.35">
      <c r="A1812" s="10" t="s">
        <v>1300</v>
      </c>
      <c r="B1812" s="11" t="s">
        <v>1301</v>
      </c>
      <c r="C1812" s="10" t="s">
        <v>20</v>
      </c>
      <c r="D1812" s="10" t="s">
        <v>718</v>
      </c>
      <c r="E1812" s="12">
        <v>0.29833833999999998</v>
      </c>
      <c r="F1812" s="13">
        <v>15.03</v>
      </c>
      <c r="G1812" s="13">
        <v>4.4800000000000004</v>
      </c>
    </row>
    <row r="1813" spans="1:7" ht="20.149999999999999" customHeight="1" x14ac:dyDescent="0.35">
      <c r="A1813" s="10" t="s">
        <v>1302</v>
      </c>
      <c r="B1813" s="11" t="s">
        <v>1303</v>
      </c>
      <c r="C1813" s="10" t="s">
        <v>20</v>
      </c>
      <c r="D1813" s="10" t="s">
        <v>718</v>
      </c>
      <c r="E1813" s="12">
        <v>0.29820324999999998</v>
      </c>
      <c r="F1813" s="13">
        <v>18.96</v>
      </c>
      <c r="G1813" s="13">
        <v>5.65</v>
      </c>
    </row>
    <row r="1814" spans="1:7" ht="18" customHeight="1" x14ac:dyDescent="0.35">
      <c r="A1814" s="8"/>
      <c r="B1814" s="8"/>
      <c r="C1814" s="8"/>
      <c r="D1814" s="8"/>
      <c r="E1814" s="60" t="s">
        <v>721</v>
      </c>
      <c r="F1814" s="60"/>
      <c r="G1814" s="14">
        <v>10.130000000000001</v>
      </c>
    </row>
    <row r="1815" spans="1:7" ht="15" customHeight="1" x14ac:dyDescent="0.35">
      <c r="A1815" s="8"/>
      <c r="B1815" s="8"/>
      <c r="C1815" s="8"/>
      <c r="D1815" s="8"/>
      <c r="E1815" s="61" t="s">
        <v>726</v>
      </c>
      <c r="F1815" s="61"/>
      <c r="G1815" s="4">
        <v>64.64</v>
      </c>
    </row>
    <row r="1816" spans="1:7" ht="10" customHeight="1" x14ac:dyDescent="0.35">
      <c r="A1816" s="8"/>
      <c r="B1816" s="8"/>
      <c r="C1816" s="57"/>
      <c r="D1816" s="57"/>
      <c r="E1816" s="8"/>
      <c r="F1816" s="8"/>
      <c r="G1816" s="8"/>
    </row>
    <row r="1817" spans="1:7" ht="20.149999999999999" customHeight="1" x14ac:dyDescent="0.35">
      <c r="A1817" s="58" t="s">
        <v>1406</v>
      </c>
      <c r="B1817" s="58"/>
      <c r="C1817" s="58"/>
      <c r="D1817" s="58"/>
      <c r="E1817" s="58"/>
      <c r="F1817" s="58"/>
      <c r="G1817" s="58"/>
    </row>
    <row r="1818" spans="1:7" ht="15" customHeight="1" x14ac:dyDescent="0.35">
      <c r="A1818" s="59" t="s">
        <v>701</v>
      </c>
      <c r="B1818" s="59"/>
      <c r="C1818" s="9" t="s">
        <v>3</v>
      </c>
      <c r="D1818" s="9" t="s">
        <v>4</v>
      </c>
      <c r="E1818" s="9" t="s">
        <v>702</v>
      </c>
      <c r="F1818" s="9" t="s">
        <v>703</v>
      </c>
      <c r="G1818" s="9" t="s">
        <v>704</v>
      </c>
    </row>
    <row r="1819" spans="1:7" ht="15" customHeight="1" x14ac:dyDescent="0.35">
      <c r="A1819" s="10" t="s">
        <v>1407</v>
      </c>
      <c r="B1819" s="11" t="s">
        <v>1408</v>
      </c>
      <c r="C1819" s="10" t="s">
        <v>20</v>
      </c>
      <c r="D1819" s="10" t="s">
        <v>160</v>
      </c>
      <c r="E1819" s="12">
        <v>1.379232E-2</v>
      </c>
      <c r="F1819" s="13">
        <v>9</v>
      </c>
      <c r="G1819" s="13">
        <v>0.12</v>
      </c>
    </row>
    <row r="1820" spans="1:7" ht="20.149999999999999" customHeight="1" x14ac:dyDescent="0.35">
      <c r="A1820" s="10" t="s">
        <v>1409</v>
      </c>
      <c r="B1820" s="11" t="s">
        <v>1410</v>
      </c>
      <c r="C1820" s="10" t="s">
        <v>20</v>
      </c>
      <c r="D1820" s="10" t="s">
        <v>160</v>
      </c>
      <c r="E1820" s="12">
        <v>1</v>
      </c>
      <c r="F1820" s="13">
        <v>10.93</v>
      </c>
      <c r="G1820" s="13">
        <v>10.93</v>
      </c>
    </row>
    <row r="1821" spans="1:7" ht="15" customHeight="1" x14ac:dyDescent="0.35">
      <c r="A1821" s="8"/>
      <c r="B1821" s="8"/>
      <c r="C1821" s="8"/>
      <c r="D1821" s="8"/>
      <c r="E1821" s="60" t="s">
        <v>714</v>
      </c>
      <c r="F1821" s="60"/>
      <c r="G1821" s="14">
        <v>11.05</v>
      </c>
    </row>
    <row r="1822" spans="1:7" ht="15" customHeight="1" x14ac:dyDescent="0.35">
      <c r="A1822" s="59" t="s">
        <v>715</v>
      </c>
      <c r="B1822" s="59"/>
      <c r="C1822" s="9" t="s">
        <v>3</v>
      </c>
      <c r="D1822" s="9" t="s">
        <v>4</v>
      </c>
      <c r="E1822" s="9" t="s">
        <v>702</v>
      </c>
      <c r="F1822" s="9" t="s">
        <v>703</v>
      </c>
      <c r="G1822" s="9" t="s">
        <v>704</v>
      </c>
    </row>
    <row r="1823" spans="1:7" ht="20.149999999999999" customHeight="1" x14ac:dyDescent="0.35">
      <c r="A1823" s="10" t="s">
        <v>1300</v>
      </c>
      <c r="B1823" s="11" t="s">
        <v>1301</v>
      </c>
      <c r="C1823" s="10" t="s">
        <v>20</v>
      </c>
      <c r="D1823" s="10" t="s">
        <v>718</v>
      </c>
      <c r="E1823" s="12">
        <v>0.13046463999999999</v>
      </c>
      <c r="F1823" s="13">
        <v>15.03</v>
      </c>
      <c r="G1823" s="13">
        <v>1.96</v>
      </c>
    </row>
    <row r="1824" spans="1:7" ht="20.149999999999999" customHeight="1" x14ac:dyDescent="0.35">
      <c r="A1824" s="10" t="s">
        <v>1302</v>
      </c>
      <c r="B1824" s="11" t="s">
        <v>1303</v>
      </c>
      <c r="C1824" s="10" t="s">
        <v>20</v>
      </c>
      <c r="D1824" s="10" t="s">
        <v>718</v>
      </c>
      <c r="E1824" s="12">
        <v>0.12967904</v>
      </c>
      <c r="F1824" s="13">
        <v>18.96</v>
      </c>
      <c r="G1824" s="13">
        <v>2.4500000000000002</v>
      </c>
    </row>
    <row r="1825" spans="1:7" ht="18" customHeight="1" x14ac:dyDescent="0.35">
      <c r="A1825" s="8"/>
      <c r="B1825" s="8"/>
      <c r="C1825" s="8"/>
      <c r="D1825" s="8"/>
      <c r="E1825" s="60" t="s">
        <v>721</v>
      </c>
      <c r="F1825" s="60"/>
      <c r="G1825" s="14">
        <v>4.41</v>
      </c>
    </row>
    <row r="1826" spans="1:7" ht="15" customHeight="1" x14ac:dyDescent="0.35">
      <c r="A1826" s="8"/>
      <c r="B1826" s="8"/>
      <c r="C1826" s="8"/>
      <c r="D1826" s="8"/>
      <c r="E1826" s="61" t="s">
        <v>726</v>
      </c>
      <c r="F1826" s="61"/>
      <c r="G1826" s="4">
        <v>15.46</v>
      </c>
    </row>
    <row r="1827" spans="1:7" ht="10" customHeight="1" x14ac:dyDescent="0.35">
      <c r="A1827" s="8"/>
      <c r="B1827" s="8"/>
      <c r="C1827" s="57"/>
      <c r="D1827" s="57"/>
      <c r="E1827" s="8"/>
      <c r="F1827" s="8"/>
      <c r="G1827" s="8"/>
    </row>
    <row r="1828" spans="1:7" ht="20.149999999999999" customHeight="1" x14ac:dyDescent="0.35">
      <c r="A1828" s="58" t="s">
        <v>1411</v>
      </c>
      <c r="B1828" s="58"/>
      <c r="C1828" s="58"/>
      <c r="D1828" s="58"/>
      <c r="E1828" s="58"/>
      <c r="F1828" s="58"/>
      <c r="G1828" s="58"/>
    </row>
    <row r="1829" spans="1:7" ht="15" customHeight="1" x14ac:dyDescent="0.35">
      <c r="A1829" s="59" t="s">
        <v>701</v>
      </c>
      <c r="B1829" s="59"/>
      <c r="C1829" s="9" t="s">
        <v>3</v>
      </c>
      <c r="D1829" s="9" t="s">
        <v>4</v>
      </c>
      <c r="E1829" s="9" t="s">
        <v>702</v>
      </c>
      <c r="F1829" s="9" t="s">
        <v>703</v>
      </c>
      <c r="G1829" s="9" t="s">
        <v>704</v>
      </c>
    </row>
    <row r="1830" spans="1:7" ht="15" customHeight="1" x14ac:dyDescent="0.35">
      <c r="A1830" s="10" t="s">
        <v>1407</v>
      </c>
      <c r="B1830" s="11" t="s">
        <v>1408</v>
      </c>
      <c r="C1830" s="10" t="s">
        <v>20</v>
      </c>
      <c r="D1830" s="10" t="s">
        <v>160</v>
      </c>
      <c r="E1830" s="12">
        <v>3.2253099999999999E-3</v>
      </c>
      <c r="F1830" s="13">
        <v>9</v>
      </c>
      <c r="G1830" s="13">
        <v>0.02</v>
      </c>
    </row>
    <row r="1831" spans="1:7" ht="20.149999999999999" customHeight="1" x14ac:dyDescent="0.35">
      <c r="A1831" s="10" t="s">
        <v>1412</v>
      </c>
      <c r="B1831" s="11" t="s">
        <v>1413</v>
      </c>
      <c r="C1831" s="10" t="s">
        <v>20</v>
      </c>
      <c r="D1831" s="10" t="s">
        <v>160</v>
      </c>
      <c r="E1831" s="12">
        <v>1</v>
      </c>
      <c r="F1831" s="13">
        <v>56.43</v>
      </c>
      <c r="G1831" s="13">
        <v>56.43</v>
      </c>
    </row>
    <row r="1832" spans="1:7" ht="15" customHeight="1" x14ac:dyDescent="0.35">
      <c r="A1832" s="8"/>
      <c r="B1832" s="8"/>
      <c r="C1832" s="8"/>
      <c r="D1832" s="8"/>
      <c r="E1832" s="60" t="s">
        <v>714</v>
      </c>
      <c r="F1832" s="60"/>
      <c r="G1832" s="14">
        <v>56.45</v>
      </c>
    </row>
    <row r="1833" spans="1:7" ht="15" customHeight="1" x14ac:dyDescent="0.35">
      <c r="A1833" s="59" t="s">
        <v>715</v>
      </c>
      <c r="B1833" s="59"/>
      <c r="C1833" s="9" t="s">
        <v>3</v>
      </c>
      <c r="D1833" s="9" t="s">
        <v>4</v>
      </c>
      <c r="E1833" s="9" t="s">
        <v>702</v>
      </c>
      <c r="F1833" s="9" t="s">
        <v>703</v>
      </c>
      <c r="G1833" s="9" t="s">
        <v>704</v>
      </c>
    </row>
    <row r="1834" spans="1:7" ht="20.149999999999999" customHeight="1" x14ac:dyDescent="0.35">
      <c r="A1834" s="10" t="s">
        <v>1300</v>
      </c>
      <c r="B1834" s="11" t="s">
        <v>1301</v>
      </c>
      <c r="C1834" s="10" t="s">
        <v>20</v>
      </c>
      <c r="D1834" s="10" t="s">
        <v>718</v>
      </c>
      <c r="E1834" s="12">
        <v>2.9029389999999999E-2</v>
      </c>
      <c r="F1834" s="13">
        <v>15.03</v>
      </c>
      <c r="G1834" s="13">
        <v>0.43</v>
      </c>
    </row>
    <row r="1835" spans="1:7" ht="20.149999999999999" customHeight="1" x14ac:dyDescent="0.35">
      <c r="A1835" s="10" t="s">
        <v>1302</v>
      </c>
      <c r="B1835" s="11" t="s">
        <v>1303</v>
      </c>
      <c r="C1835" s="10" t="s">
        <v>20</v>
      </c>
      <c r="D1835" s="10" t="s">
        <v>718</v>
      </c>
      <c r="E1835" s="12">
        <v>3.5030850000000002E-2</v>
      </c>
      <c r="F1835" s="13">
        <v>18.96</v>
      </c>
      <c r="G1835" s="13">
        <v>0.66</v>
      </c>
    </row>
    <row r="1836" spans="1:7" ht="18" customHeight="1" x14ac:dyDescent="0.35">
      <c r="A1836" s="8"/>
      <c r="B1836" s="8"/>
      <c r="C1836" s="8"/>
      <c r="D1836" s="8"/>
      <c r="E1836" s="60" t="s">
        <v>721</v>
      </c>
      <c r="F1836" s="60"/>
      <c r="G1836" s="14">
        <v>1.0900000000000001</v>
      </c>
    </row>
    <row r="1837" spans="1:7" ht="15" customHeight="1" x14ac:dyDescent="0.35">
      <c r="A1837" s="8"/>
      <c r="B1837" s="8"/>
      <c r="C1837" s="8"/>
      <c r="D1837" s="8"/>
      <c r="E1837" s="61" t="s">
        <v>726</v>
      </c>
      <c r="F1837" s="61"/>
      <c r="G1837" s="4">
        <v>57.54</v>
      </c>
    </row>
    <row r="1838" spans="1:7" ht="10" customHeight="1" x14ac:dyDescent="0.35">
      <c r="A1838" s="8"/>
      <c r="B1838" s="8"/>
      <c r="C1838" s="57"/>
      <c r="D1838" s="57"/>
      <c r="E1838" s="8"/>
      <c r="F1838" s="8"/>
      <c r="G1838" s="8"/>
    </row>
    <row r="1839" spans="1:7" ht="20.149999999999999" customHeight="1" x14ac:dyDescent="0.35">
      <c r="A1839" s="58" t="s">
        <v>1414</v>
      </c>
      <c r="B1839" s="58"/>
      <c r="C1839" s="58"/>
      <c r="D1839" s="58"/>
      <c r="E1839" s="58"/>
      <c r="F1839" s="58"/>
      <c r="G1839" s="58"/>
    </row>
    <row r="1840" spans="1:7" ht="15" customHeight="1" x14ac:dyDescent="0.35">
      <c r="A1840" s="59" t="s">
        <v>701</v>
      </c>
      <c r="B1840" s="59"/>
      <c r="C1840" s="9" t="s">
        <v>3</v>
      </c>
      <c r="D1840" s="9" t="s">
        <v>4</v>
      </c>
      <c r="E1840" s="9" t="s">
        <v>702</v>
      </c>
      <c r="F1840" s="9" t="s">
        <v>703</v>
      </c>
      <c r="G1840" s="9" t="s">
        <v>704</v>
      </c>
    </row>
    <row r="1841" spans="1:7" ht="15" customHeight="1" x14ac:dyDescent="0.35">
      <c r="A1841" s="10" t="s">
        <v>1407</v>
      </c>
      <c r="B1841" s="11" t="s">
        <v>1408</v>
      </c>
      <c r="C1841" s="10" t="s">
        <v>20</v>
      </c>
      <c r="D1841" s="10" t="s">
        <v>160</v>
      </c>
      <c r="E1841" s="12">
        <v>3.5581200000000001E-3</v>
      </c>
      <c r="F1841" s="13">
        <v>9</v>
      </c>
      <c r="G1841" s="13">
        <v>0.03</v>
      </c>
    </row>
    <row r="1842" spans="1:7" ht="20.149999999999999" customHeight="1" x14ac:dyDescent="0.35">
      <c r="A1842" s="10" t="s">
        <v>1415</v>
      </c>
      <c r="B1842" s="11" t="s">
        <v>1416</v>
      </c>
      <c r="C1842" s="10" t="s">
        <v>20</v>
      </c>
      <c r="D1842" s="10" t="s">
        <v>160</v>
      </c>
      <c r="E1842" s="12">
        <v>1</v>
      </c>
      <c r="F1842" s="13">
        <v>135.24</v>
      </c>
      <c r="G1842" s="13">
        <v>135.24</v>
      </c>
    </row>
    <row r="1843" spans="1:7" ht="15" customHeight="1" x14ac:dyDescent="0.35">
      <c r="A1843" s="8"/>
      <c r="B1843" s="8"/>
      <c r="C1843" s="8"/>
      <c r="D1843" s="8"/>
      <c r="E1843" s="60" t="s">
        <v>714</v>
      </c>
      <c r="F1843" s="60"/>
      <c r="G1843" s="14">
        <v>135.27000000000001</v>
      </c>
    </row>
    <row r="1844" spans="1:7" ht="15" customHeight="1" x14ac:dyDescent="0.35">
      <c r="A1844" s="59" t="s">
        <v>715</v>
      </c>
      <c r="B1844" s="59"/>
      <c r="C1844" s="9" t="s">
        <v>3</v>
      </c>
      <c r="D1844" s="9" t="s">
        <v>4</v>
      </c>
      <c r="E1844" s="9" t="s">
        <v>702</v>
      </c>
      <c r="F1844" s="9" t="s">
        <v>703</v>
      </c>
      <c r="G1844" s="9" t="s">
        <v>704</v>
      </c>
    </row>
    <row r="1845" spans="1:7" ht="20.149999999999999" customHeight="1" x14ac:dyDescent="0.35">
      <c r="A1845" s="10" t="s">
        <v>1300</v>
      </c>
      <c r="B1845" s="11" t="s">
        <v>1301</v>
      </c>
      <c r="C1845" s="10" t="s">
        <v>20</v>
      </c>
      <c r="D1845" s="10" t="s">
        <v>718</v>
      </c>
      <c r="E1845" s="12">
        <v>5.7956639999999997E-2</v>
      </c>
      <c r="F1845" s="13">
        <v>15.03</v>
      </c>
      <c r="G1845" s="13">
        <v>0.87</v>
      </c>
    </row>
    <row r="1846" spans="1:7" ht="20.149999999999999" customHeight="1" x14ac:dyDescent="0.35">
      <c r="A1846" s="10" t="s">
        <v>1302</v>
      </c>
      <c r="B1846" s="11" t="s">
        <v>1303</v>
      </c>
      <c r="C1846" s="10" t="s">
        <v>20</v>
      </c>
      <c r="D1846" s="10" t="s">
        <v>718</v>
      </c>
      <c r="E1846" s="12">
        <v>6.3431899999999999E-2</v>
      </c>
      <c r="F1846" s="13">
        <v>18.96</v>
      </c>
      <c r="G1846" s="13">
        <v>1.2</v>
      </c>
    </row>
    <row r="1847" spans="1:7" ht="18" customHeight="1" x14ac:dyDescent="0.35">
      <c r="A1847" s="8"/>
      <c r="B1847" s="8"/>
      <c r="C1847" s="8"/>
      <c r="D1847" s="8"/>
      <c r="E1847" s="60" t="s">
        <v>721</v>
      </c>
      <c r="F1847" s="60"/>
      <c r="G1847" s="14">
        <v>2.0699999999999998</v>
      </c>
    </row>
    <row r="1848" spans="1:7" ht="15" customHeight="1" x14ac:dyDescent="0.35">
      <c r="A1848" s="8"/>
      <c r="B1848" s="8"/>
      <c r="C1848" s="8"/>
      <c r="D1848" s="8"/>
      <c r="E1848" s="61" t="s">
        <v>726</v>
      </c>
      <c r="F1848" s="61"/>
      <c r="G1848" s="4">
        <v>137.34</v>
      </c>
    </row>
    <row r="1849" spans="1:7" ht="10" customHeight="1" x14ac:dyDescent="0.35">
      <c r="A1849" s="8"/>
      <c r="B1849" s="8"/>
      <c r="C1849" s="57"/>
      <c r="D1849" s="57"/>
      <c r="E1849" s="8"/>
      <c r="F1849" s="8"/>
      <c r="G1849" s="8"/>
    </row>
    <row r="1850" spans="1:7" ht="20.149999999999999" customHeight="1" x14ac:dyDescent="0.35">
      <c r="A1850" s="58" t="s">
        <v>1417</v>
      </c>
      <c r="B1850" s="58"/>
      <c r="C1850" s="58"/>
      <c r="D1850" s="58"/>
      <c r="E1850" s="58"/>
      <c r="F1850" s="58"/>
      <c r="G1850" s="58"/>
    </row>
    <row r="1851" spans="1:7" ht="15" customHeight="1" x14ac:dyDescent="0.35">
      <c r="A1851" s="59" t="s">
        <v>701</v>
      </c>
      <c r="B1851" s="59"/>
      <c r="C1851" s="9" t="s">
        <v>3</v>
      </c>
      <c r="D1851" s="9" t="s">
        <v>4</v>
      </c>
      <c r="E1851" s="9" t="s">
        <v>702</v>
      </c>
      <c r="F1851" s="9" t="s">
        <v>703</v>
      </c>
      <c r="G1851" s="9" t="s">
        <v>704</v>
      </c>
    </row>
    <row r="1852" spans="1:7" ht="15" customHeight="1" x14ac:dyDescent="0.35">
      <c r="A1852" s="10" t="s">
        <v>1407</v>
      </c>
      <c r="B1852" s="11" t="s">
        <v>1408</v>
      </c>
      <c r="C1852" s="10" t="s">
        <v>20</v>
      </c>
      <c r="D1852" s="10" t="s">
        <v>160</v>
      </c>
      <c r="E1852" s="12">
        <v>1.2441100000000001E-3</v>
      </c>
      <c r="F1852" s="13">
        <v>9</v>
      </c>
      <c r="G1852" s="13">
        <v>0.01</v>
      </c>
    </row>
    <row r="1853" spans="1:7" ht="20.149999999999999" customHeight="1" x14ac:dyDescent="0.35">
      <c r="A1853" s="10" t="s">
        <v>1418</v>
      </c>
      <c r="B1853" s="11" t="s">
        <v>1419</v>
      </c>
      <c r="C1853" s="10" t="s">
        <v>20</v>
      </c>
      <c r="D1853" s="10" t="s">
        <v>160</v>
      </c>
      <c r="E1853" s="12">
        <v>1</v>
      </c>
      <c r="F1853" s="13">
        <v>106.77</v>
      </c>
      <c r="G1853" s="13">
        <v>106.77</v>
      </c>
    </row>
    <row r="1854" spans="1:7" ht="15" customHeight="1" x14ac:dyDescent="0.35">
      <c r="A1854" s="8"/>
      <c r="B1854" s="8"/>
      <c r="C1854" s="8"/>
      <c r="D1854" s="8"/>
      <c r="E1854" s="60" t="s">
        <v>714</v>
      </c>
      <c r="F1854" s="60"/>
      <c r="G1854" s="14">
        <v>106.78</v>
      </c>
    </row>
    <row r="1855" spans="1:7" ht="15" customHeight="1" x14ac:dyDescent="0.35">
      <c r="A1855" s="59" t="s">
        <v>715</v>
      </c>
      <c r="B1855" s="59"/>
      <c r="C1855" s="9" t="s">
        <v>3</v>
      </c>
      <c r="D1855" s="9" t="s">
        <v>4</v>
      </c>
      <c r="E1855" s="9" t="s">
        <v>702</v>
      </c>
      <c r="F1855" s="9" t="s">
        <v>703</v>
      </c>
      <c r="G1855" s="9" t="s">
        <v>704</v>
      </c>
    </row>
    <row r="1856" spans="1:7" ht="20.149999999999999" customHeight="1" x14ac:dyDescent="0.35">
      <c r="A1856" s="10" t="s">
        <v>1300</v>
      </c>
      <c r="B1856" s="11" t="s">
        <v>1301</v>
      </c>
      <c r="C1856" s="10" t="s">
        <v>20</v>
      </c>
      <c r="D1856" s="10" t="s">
        <v>718</v>
      </c>
      <c r="E1856" s="12">
        <v>3.777461E-2</v>
      </c>
      <c r="F1856" s="13">
        <v>15.03</v>
      </c>
      <c r="G1856" s="13">
        <v>0.56000000000000005</v>
      </c>
    </row>
    <row r="1857" spans="1:7" ht="20.149999999999999" customHeight="1" x14ac:dyDescent="0.35">
      <c r="A1857" s="10" t="s">
        <v>1302</v>
      </c>
      <c r="B1857" s="11" t="s">
        <v>1303</v>
      </c>
      <c r="C1857" s="10" t="s">
        <v>20</v>
      </c>
      <c r="D1857" s="10" t="s">
        <v>718</v>
      </c>
      <c r="E1857" s="12">
        <v>3.8733499999999997E-2</v>
      </c>
      <c r="F1857" s="13">
        <v>18.96</v>
      </c>
      <c r="G1857" s="13">
        <v>0.73</v>
      </c>
    </row>
    <row r="1858" spans="1:7" ht="18" customHeight="1" x14ac:dyDescent="0.35">
      <c r="A1858" s="8"/>
      <c r="B1858" s="8"/>
      <c r="C1858" s="8"/>
      <c r="D1858" s="8"/>
      <c r="E1858" s="60" t="s">
        <v>721</v>
      </c>
      <c r="F1858" s="60"/>
      <c r="G1858" s="14">
        <v>1.29</v>
      </c>
    </row>
    <row r="1859" spans="1:7" ht="15" customHeight="1" x14ac:dyDescent="0.35">
      <c r="A1859" s="8"/>
      <c r="B1859" s="8"/>
      <c r="C1859" s="8"/>
      <c r="D1859" s="8"/>
      <c r="E1859" s="61" t="s">
        <v>726</v>
      </c>
      <c r="F1859" s="61"/>
      <c r="G1859" s="4">
        <v>108.07</v>
      </c>
    </row>
    <row r="1860" spans="1:7" ht="10" customHeight="1" x14ac:dyDescent="0.35">
      <c r="A1860" s="8"/>
      <c r="B1860" s="8"/>
      <c r="C1860" s="57"/>
      <c r="D1860" s="57"/>
      <c r="E1860" s="8"/>
      <c r="F1860" s="8"/>
      <c r="G1860" s="8"/>
    </row>
    <row r="1861" spans="1:7" ht="20.149999999999999" customHeight="1" x14ac:dyDescent="0.35">
      <c r="A1861" s="58" t="s">
        <v>1420</v>
      </c>
      <c r="B1861" s="58"/>
      <c r="C1861" s="58"/>
      <c r="D1861" s="58"/>
      <c r="E1861" s="58"/>
      <c r="F1861" s="58"/>
      <c r="G1861" s="58"/>
    </row>
    <row r="1862" spans="1:7" ht="15" customHeight="1" x14ac:dyDescent="0.35">
      <c r="A1862" s="59" t="s">
        <v>701</v>
      </c>
      <c r="B1862" s="59"/>
      <c r="C1862" s="9" t="s">
        <v>3</v>
      </c>
      <c r="D1862" s="9" t="s">
        <v>4</v>
      </c>
      <c r="E1862" s="9" t="s">
        <v>702</v>
      </c>
      <c r="F1862" s="9" t="s">
        <v>703</v>
      </c>
      <c r="G1862" s="9" t="s">
        <v>704</v>
      </c>
    </row>
    <row r="1863" spans="1:7" ht="15" customHeight="1" x14ac:dyDescent="0.35">
      <c r="A1863" s="10" t="s">
        <v>1407</v>
      </c>
      <c r="B1863" s="11" t="s">
        <v>1408</v>
      </c>
      <c r="C1863" s="10" t="s">
        <v>20</v>
      </c>
      <c r="D1863" s="10" t="s">
        <v>160</v>
      </c>
      <c r="E1863" s="12">
        <v>3.9204000000000002E-4</v>
      </c>
      <c r="F1863" s="13">
        <v>9</v>
      </c>
      <c r="G1863" s="13">
        <v>0</v>
      </c>
    </row>
    <row r="1864" spans="1:7" ht="20.149999999999999" customHeight="1" x14ac:dyDescent="0.35">
      <c r="A1864" s="10" t="s">
        <v>1421</v>
      </c>
      <c r="B1864" s="11" t="s">
        <v>1422</v>
      </c>
      <c r="C1864" s="10" t="s">
        <v>20</v>
      </c>
      <c r="D1864" s="10" t="s">
        <v>160</v>
      </c>
      <c r="E1864" s="12">
        <v>1</v>
      </c>
      <c r="F1864" s="13">
        <v>82.26</v>
      </c>
      <c r="G1864" s="13">
        <v>82.26</v>
      </c>
    </row>
    <row r="1865" spans="1:7" ht="15" customHeight="1" x14ac:dyDescent="0.35">
      <c r="A1865" s="8"/>
      <c r="B1865" s="8"/>
      <c r="C1865" s="8"/>
      <c r="D1865" s="8"/>
      <c r="E1865" s="60" t="s">
        <v>714</v>
      </c>
      <c r="F1865" s="60"/>
      <c r="G1865" s="14">
        <v>82.26</v>
      </c>
    </row>
    <row r="1866" spans="1:7" ht="15" customHeight="1" x14ac:dyDescent="0.35">
      <c r="A1866" s="59" t="s">
        <v>715</v>
      </c>
      <c r="B1866" s="59"/>
      <c r="C1866" s="9" t="s">
        <v>3</v>
      </c>
      <c r="D1866" s="9" t="s">
        <v>4</v>
      </c>
      <c r="E1866" s="9" t="s">
        <v>702</v>
      </c>
      <c r="F1866" s="9" t="s">
        <v>703</v>
      </c>
      <c r="G1866" s="9" t="s">
        <v>704</v>
      </c>
    </row>
    <row r="1867" spans="1:7" ht="20.149999999999999" customHeight="1" x14ac:dyDescent="0.35">
      <c r="A1867" s="10" t="s">
        <v>1300</v>
      </c>
      <c r="B1867" s="11" t="s">
        <v>1301</v>
      </c>
      <c r="C1867" s="10" t="s">
        <v>20</v>
      </c>
      <c r="D1867" s="10" t="s">
        <v>718</v>
      </c>
      <c r="E1867" s="12">
        <v>5.060771E-2</v>
      </c>
      <c r="F1867" s="13">
        <v>15.03</v>
      </c>
      <c r="G1867" s="13">
        <v>0.76</v>
      </c>
    </row>
    <row r="1868" spans="1:7" ht="20.149999999999999" customHeight="1" x14ac:dyDescent="0.35">
      <c r="A1868" s="10" t="s">
        <v>1302</v>
      </c>
      <c r="B1868" s="11" t="s">
        <v>1303</v>
      </c>
      <c r="C1868" s="10" t="s">
        <v>20</v>
      </c>
      <c r="D1868" s="10" t="s">
        <v>718</v>
      </c>
      <c r="E1868" s="12">
        <v>5.101311E-2</v>
      </c>
      <c r="F1868" s="13">
        <v>18.96</v>
      </c>
      <c r="G1868" s="13">
        <v>0.96</v>
      </c>
    </row>
    <row r="1869" spans="1:7" ht="18" customHeight="1" x14ac:dyDescent="0.35">
      <c r="A1869" s="8"/>
      <c r="B1869" s="8"/>
      <c r="C1869" s="8"/>
      <c r="D1869" s="8"/>
      <c r="E1869" s="60" t="s">
        <v>721</v>
      </c>
      <c r="F1869" s="60"/>
      <c r="G1869" s="14">
        <v>1.72</v>
      </c>
    </row>
    <row r="1870" spans="1:7" ht="15" customHeight="1" x14ac:dyDescent="0.35">
      <c r="A1870" s="8"/>
      <c r="B1870" s="8"/>
      <c r="C1870" s="8"/>
      <c r="D1870" s="8"/>
      <c r="E1870" s="61" t="s">
        <v>726</v>
      </c>
      <c r="F1870" s="61"/>
      <c r="G1870" s="4">
        <v>83.98</v>
      </c>
    </row>
    <row r="1871" spans="1:7" ht="10" customHeight="1" x14ac:dyDescent="0.35">
      <c r="A1871" s="8"/>
      <c r="B1871" s="8"/>
      <c r="C1871" s="57"/>
      <c r="D1871" s="57"/>
      <c r="E1871" s="8"/>
      <c r="F1871" s="8"/>
      <c r="G1871" s="8"/>
    </row>
    <row r="1872" spans="1:7" ht="20.149999999999999" customHeight="1" x14ac:dyDescent="0.35">
      <c r="A1872" s="58" t="s">
        <v>1423</v>
      </c>
      <c r="B1872" s="58"/>
      <c r="C1872" s="58"/>
      <c r="D1872" s="58"/>
      <c r="E1872" s="58"/>
      <c r="F1872" s="58"/>
      <c r="G1872" s="58"/>
    </row>
    <row r="1873" spans="1:7" ht="15" customHeight="1" x14ac:dyDescent="0.35">
      <c r="A1873" s="59" t="s">
        <v>761</v>
      </c>
      <c r="B1873" s="59"/>
      <c r="C1873" s="9" t="s">
        <v>3</v>
      </c>
      <c r="D1873" s="9" t="s">
        <v>4</v>
      </c>
      <c r="E1873" s="9" t="s">
        <v>702</v>
      </c>
      <c r="F1873" s="9" t="s">
        <v>703</v>
      </c>
      <c r="G1873" s="9" t="s">
        <v>704</v>
      </c>
    </row>
    <row r="1874" spans="1:7" ht="29.15" customHeight="1" x14ac:dyDescent="0.35">
      <c r="A1874" s="10" t="s">
        <v>1424</v>
      </c>
      <c r="B1874" s="11" t="s">
        <v>1425</v>
      </c>
      <c r="C1874" s="10" t="s">
        <v>20</v>
      </c>
      <c r="D1874" s="10" t="s">
        <v>764</v>
      </c>
      <c r="E1874" s="12">
        <v>3.44854941</v>
      </c>
      <c r="F1874" s="13">
        <v>159.52000000000001</v>
      </c>
      <c r="G1874" s="13">
        <v>550.11</v>
      </c>
    </row>
    <row r="1875" spans="1:7" ht="29.15" customHeight="1" x14ac:dyDescent="0.35">
      <c r="A1875" s="10" t="s">
        <v>1426</v>
      </c>
      <c r="B1875" s="11" t="s">
        <v>1427</v>
      </c>
      <c r="C1875" s="10" t="s">
        <v>20</v>
      </c>
      <c r="D1875" s="10" t="s">
        <v>767</v>
      </c>
      <c r="E1875" s="12">
        <v>0.38472163999999998</v>
      </c>
      <c r="F1875" s="13">
        <v>343.4</v>
      </c>
      <c r="G1875" s="13">
        <v>132.11000000000001</v>
      </c>
    </row>
    <row r="1876" spans="1:7" ht="15" customHeight="1" x14ac:dyDescent="0.35">
      <c r="A1876" s="8"/>
      <c r="B1876" s="8"/>
      <c r="C1876" s="8"/>
      <c r="D1876" s="8"/>
      <c r="E1876" s="60" t="s">
        <v>768</v>
      </c>
      <c r="F1876" s="60"/>
      <c r="G1876" s="14">
        <v>682.22</v>
      </c>
    </row>
    <row r="1877" spans="1:7" ht="15" customHeight="1" x14ac:dyDescent="0.35">
      <c r="A1877" s="59" t="s">
        <v>701</v>
      </c>
      <c r="B1877" s="59"/>
      <c r="C1877" s="9" t="s">
        <v>3</v>
      </c>
      <c r="D1877" s="9" t="s">
        <v>4</v>
      </c>
      <c r="E1877" s="9" t="s">
        <v>702</v>
      </c>
      <c r="F1877" s="9" t="s">
        <v>703</v>
      </c>
      <c r="G1877" s="9" t="s">
        <v>704</v>
      </c>
    </row>
    <row r="1878" spans="1:7" ht="15" customHeight="1" x14ac:dyDescent="0.35">
      <c r="A1878" s="10" t="s">
        <v>1428</v>
      </c>
      <c r="B1878" s="11" t="s">
        <v>1429</v>
      </c>
      <c r="C1878" s="10" t="s">
        <v>20</v>
      </c>
      <c r="D1878" s="10" t="s">
        <v>160</v>
      </c>
      <c r="E1878" s="12">
        <v>1</v>
      </c>
      <c r="F1878" s="13">
        <v>2873.41</v>
      </c>
      <c r="G1878" s="13">
        <v>2873.41</v>
      </c>
    </row>
    <row r="1879" spans="1:7" ht="15" customHeight="1" x14ac:dyDescent="0.35">
      <c r="A1879" s="8"/>
      <c r="B1879" s="8"/>
      <c r="C1879" s="8"/>
      <c r="D1879" s="8"/>
      <c r="E1879" s="60" t="s">
        <v>714</v>
      </c>
      <c r="F1879" s="60"/>
      <c r="G1879" s="14">
        <v>2873.41</v>
      </c>
    </row>
    <row r="1880" spans="1:7" ht="15" customHeight="1" x14ac:dyDescent="0.35">
      <c r="A1880" s="59" t="s">
        <v>715</v>
      </c>
      <c r="B1880" s="59"/>
      <c r="C1880" s="9" t="s">
        <v>3</v>
      </c>
      <c r="D1880" s="9" t="s">
        <v>4</v>
      </c>
      <c r="E1880" s="9" t="s">
        <v>702</v>
      </c>
      <c r="F1880" s="9" t="s">
        <v>703</v>
      </c>
      <c r="G1880" s="9" t="s">
        <v>704</v>
      </c>
    </row>
    <row r="1881" spans="1:7" ht="20.149999999999999" customHeight="1" x14ac:dyDescent="0.35">
      <c r="A1881" s="10" t="s">
        <v>1300</v>
      </c>
      <c r="B1881" s="11" t="s">
        <v>1301</v>
      </c>
      <c r="C1881" s="10" t="s">
        <v>20</v>
      </c>
      <c r="D1881" s="10" t="s">
        <v>718</v>
      </c>
      <c r="E1881" s="12">
        <v>2.1665841499999998</v>
      </c>
      <c r="F1881" s="13">
        <v>15.03</v>
      </c>
      <c r="G1881" s="13">
        <v>32.56</v>
      </c>
    </row>
    <row r="1882" spans="1:7" ht="20.149999999999999" customHeight="1" x14ac:dyDescent="0.35">
      <c r="A1882" s="10" t="s">
        <v>1302</v>
      </c>
      <c r="B1882" s="11" t="s">
        <v>1303</v>
      </c>
      <c r="C1882" s="10" t="s">
        <v>20</v>
      </c>
      <c r="D1882" s="10" t="s">
        <v>718</v>
      </c>
      <c r="E1882" s="12">
        <v>2.16564588</v>
      </c>
      <c r="F1882" s="13">
        <v>18.96</v>
      </c>
      <c r="G1882" s="13">
        <v>41.06</v>
      </c>
    </row>
    <row r="1883" spans="1:7" ht="18" customHeight="1" x14ac:dyDescent="0.35">
      <c r="A1883" s="8"/>
      <c r="B1883" s="8"/>
      <c r="C1883" s="8"/>
      <c r="D1883" s="8"/>
      <c r="E1883" s="60" t="s">
        <v>721</v>
      </c>
      <c r="F1883" s="60"/>
      <c r="G1883" s="14">
        <v>73.62</v>
      </c>
    </row>
    <row r="1884" spans="1:7" ht="15" customHeight="1" x14ac:dyDescent="0.35">
      <c r="A1884" s="8"/>
      <c r="B1884" s="8"/>
      <c r="C1884" s="8"/>
      <c r="D1884" s="8"/>
      <c r="E1884" s="61" t="s">
        <v>726</v>
      </c>
      <c r="F1884" s="61"/>
      <c r="G1884" s="4">
        <v>3629.25</v>
      </c>
    </row>
    <row r="1885" spans="1:7" ht="10" customHeight="1" x14ac:dyDescent="0.35">
      <c r="A1885" s="8"/>
      <c r="B1885" s="8"/>
      <c r="C1885" s="57"/>
      <c r="D1885" s="57"/>
      <c r="E1885" s="8"/>
      <c r="F1885" s="8"/>
      <c r="G1885" s="8"/>
    </row>
    <row r="1886" spans="1:7" ht="20.149999999999999" customHeight="1" x14ac:dyDescent="0.35">
      <c r="A1886" s="58" t="s">
        <v>1430</v>
      </c>
      <c r="B1886" s="58"/>
      <c r="C1886" s="58"/>
      <c r="D1886" s="58"/>
      <c r="E1886" s="58"/>
      <c r="F1886" s="58"/>
      <c r="G1886" s="58"/>
    </row>
    <row r="1887" spans="1:7" ht="15" customHeight="1" x14ac:dyDescent="0.35">
      <c r="A1887" s="59" t="s">
        <v>761</v>
      </c>
      <c r="B1887" s="59"/>
      <c r="C1887" s="9" t="s">
        <v>3</v>
      </c>
      <c r="D1887" s="9" t="s">
        <v>4</v>
      </c>
      <c r="E1887" s="9" t="s">
        <v>702</v>
      </c>
      <c r="F1887" s="9" t="s">
        <v>703</v>
      </c>
      <c r="G1887" s="9" t="s">
        <v>704</v>
      </c>
    </row>
    <row r="1888" spans="1:7" ht="29.15" customHeight="1" x14ac:dyDescent="0.35">
      <c r="A1888" s="10" t="s">
        <v>1424</v>
      </c>
      <c r="B1888" s="11" t="s">
        <v>1425</v>
      </c>
      <c r="C1888" s="10" t="s">
        <v>20</v>
      </c>
      <c r="D1888" s="10" t="s">
        <v>764</v>
      </c>
      <c r="E1888" s="12">
        <v>4.8623423299999997</v>
      </c>
      <c r="F1888" s="13">
        <v>159.52000000000001</v>
      </c>
      <c r="G1888" s="13">
        <v>775.64</v>
      </c>
    </row>
    <row r="1889" spans="1:7" ht="29.15" customHeight="1" x14ac:dyDescent="0.35">
      <c r="A1889" s="10" t="s">
        <v>1426</v>
      </c>
      <c r="B1889" s="11" t="s">
        <v>1427</v>
      </c>
      <c r="C1889" s="10" t="s">
        <v>20</v>
      </c>
      <c r="D1889" s="10" t="s">
        <v>767</v>
      </c>
      <c r="E1889" s="12">
        <v>0.54240235000000003</v>
      </c>
      <c r="F1889" s="13">
        <v>343.4</v>
      </c>
      <c r="G1889" s="13">
        <v>186.26</v>
      </c>
    </row>
    <row r="1890" spans="1:7" ht="15" customHeight="1" x14ac:dyDescent="0.35">
      <c r="A1890" s="8"/>
      <c r="B1890" s="8"/>
      <c r="C1890" s="8"/>
      <c r="D1890" s="8"/>
      <c r="E1890" s="60" t="s">
        <v>768</v>
      </c>
      <c r="F1890" s="60"/>
      <c r="G1890" s="14">
        <v>961.9</v>
      </c>
    </row>
    <row r="1891" spans="1:7" ht="15" customHeight="1" x14ac:dyDescent="0.35">
      <c r="A1891" s="59" t="s">
        <v>701</v>
      </c>
      <c r="B1891" s="59"/>
      <c r="C1891" s="9" t="s">
        <v>3</v>
      </c>
      <c r="D1891" s="9" t="s">
        <v>4</v>
      </c>
      <c r="E1891" s="9" t="s">
        <v>702</v>
      </c>
      <c r="F1891" s="9" t="s">
        <v>703</v>
      </c>
      <c r="G1891" s="9" t="s">
        <v>704</v>
      </c>
    </row>
    <row r="1892" spans="1:7" ht="15" customHeight="1" x14ac:dyDescent="0.35">
      <c r="A1892" s="10" t="s">
        <v>1431</v>
      </c>
      <c r="B1892" s="11" t="s">
        <v>1432</v>
      </c>
      <c r="C1892" s="10" t="s">
        <v>20</v>
      </c>
      <c r="D1892" s="10" t="s">
        <v>160</v>
      </c>
      <c r="E1892" s="12">
        <v>1</v>
      </c>
      <c r="F1892" s="13">
        <v>5958.25</v>
      </c>
      <c r="G1892" s="13">
        <v>5958.25</v>
      </c>
    </row>
    <row r="1893" spans="1:7" ht="15" customHeight="1" x14ac:dyDescent="0.35">
      <c r="A1893" s="8"/>
      <c r="B1893" s="8"/>
      <c r="C1893" s="8"/>
      <c r="D1893" s="8"/>
      <c r="E1893" s="60" t="s">
        <v>714</v>
      </c>
      <c r="F1893" s="60"/>
      <c r="G1893" s="14">
        <v>5958.25</v>
      </c>
    </row>
    <row r="1894" spans="1:7" ht="15" customHeight="1" x14ac:dyDescent="0.35">
      <c r="A1894" s="59" t="s">
        <v>715</v>
      </c>
      <c r="B1894" s="59"/>
      <c r="C1894" s="9" t="s">
        <v>3</v>
      </c>
      <c r="D1894" s="9" t="s">
        <v>4</v>
      </c>
      <c r="E1894" s="9" t="s">
        <v>702</v>
      </c>
      <c r="F1894" s="9" t="s">
        <v>703</v>
      </c>
      <c r="G1894" s="9" t="s">
        <v>704</v>
      </c>
    </row>
    <row r="1895" spans="1:7" ht="20.149999999999999" customHeight="1" x14ac:dyDescent="0.35">
      <c r="A1895" s="10" t="s">
        <v>1300</v>
      </c>
      <c r="B1895" s="11" t="s">
        <v>1301</v>
      </c>
      <c r="C1895" s="10" t="s">
        <v>20</v>
      </c>
      <c r="D1895" s="10" t="s">
        <v>718</v>
      </c>
      <c r="E1895" s="12">
        <v>3.0536586099999998</v>
      </c>
      <c r="F1895" s="13">
        <v>15.03</v>
      </c>
      <c r="G1895" s="13">
        <v>45.89</v>
      </c>
    </row>
    <row r="1896" spans="1:7" ht="20.149999999999999" customHeight="1" x14ac:dyDescent="0.35">
      <c r="A1896" s="10" t="s">
        <v>1302</v>
      </c>
      <c r="B1896" s="11" t="s">
        <v>1303</v>
      </c>
      <c r="C1896" s="10" t="s">
        <v>20</v>
      </c>
      <c r="D1896" s="10" t="s">
        <v>718</v>
      </c>
      <c r="E1896" s="12">
        <v>3.05324587</v>
      </c>
      <c r="F1896" s="13">
        <v>18.96</v>
      </c>
      <c r="G1896" s="13">
        <v>57.88</v>
      </c>
    </row>
    <row r="1897" spans="1:7" ht="18" customHeight="1" x14ac:dyDescent="0.35">
      <c r="A1897" s="8"/>
      <c r="B1897" s="8"/>
      <c r="C1897" s="8"/>
      <c r="D1897" s="8"/>
      <c r="E1897" s="60" t="s">
        <v>721</v>
      </c>
      <c r="F1897" s="60"/>
      <c r="G1897" s="14">
        <v>103.77</v>
      </c>
    </row>
    <row r="1898" spans="1:7" ht="15" customHeight="1" x14ac:dyDescent="0.35">
      <c r="A1898" s="8"/>
      <c r="B1898" s="8"/>
      <c r="C1898" s="8"/>
      <c r="D1898" s="8"/>
      <c r="E1898" s="61" t="s">
        <v>726</v>
      </c>
      <c r="F1898" s="61"/>
      <c r="G1898" s="4">
        <v>7023.92</v>
      </c>
    </row>
    <row r="1899" spans="1:7" ht="10" customHeight="1" x14ac:dyDescent="0.35">
      <c r="A1899" s="8"/>
      <c r="B1899" s="8"/>
      <c r="C1899" s="57"/>
      <c r="D1899" s="57"/>
      <c r="E1899" s="8"/>
      <c r="F1899" s="8"/>
      <c r="G1899" s="8"/>
    </row>
    <row r="1900" spans="1:7" ht="20.149999999999999" customHeight="1" x14ac:dyDescent="0.35">
      <c r="A1900" s="58" t="s">
        <v>1433</v>
      </c>
      <c r="B1900" s="58"/>
      <c r="C1900" s="58"/>
      <c r="D1900" s="58"/>
      <c r="E1900" s="58"/>
      <c r="F1900" s="58"/>
      <c r="G1900" s="58"/>
    </row>
    <row r="1901" spans="1:7" ht="15" customHeight="1" x14ac:dyDescent="0.35">
      <c r="A1901" s="59" t="s">
        <v>701</v>
      </c>
      <c r="B1901" s="59"/>
      <c r="C1901" s="9" t="s">
        <v>3</v>
      </c>
      <c r="D1901" s="9" t="s">
        <v>4</v>
      </c>
      <c r="E1901" s="9" t="s">
        <v>702</v>
      </c>
      <c r="F1901" s="9" t="s">
        <v>703</v>
      </c>
      <c r="G1901" s="9" t="s">
        <v>704</v>
      </c>
    </row>
    <row r="1902" spans="1:7" ht="15" customHeight="1" x14ac:dyDescent="0.35">
      <c r="A1902" s="10" t="s">
        <v>1296</v>
      </c>
      <c r="B1902" s="11" t="s">
        <v>1297</v>
      </c>
      <c r="C1902" s="10" t="s">
        <v>20</v>
      </c>
      <c r="D1902" s="10" t="s">
        <v>160</v>
      </c>
      <c r="E1902" s="12">
        <v>1.749999E-2</v>
      </c>
      <c r="F1902" s="13">
        <v>1.75</v>
      </c>
      <c r="G1902" s="13">
        <v>0.03</v>
      </c>
    </row>
    <row r="1903" spans="1:7" ht="20.149999999999999" customHeight="1" x14ac:dyDescent="0.35">
      <c r="A1903" s="10" t="s">
        <v>1434</v>
      </c>
      <c r="B1903" s="11" t="s">
        <v>1435</v>
      </c>
      <c r="C1903" s="10" t="s">
        <v>20</v>
      </c>
      <c r="D1903" s="10" t="s">
        <v>25</v>
      </c>
      <c r="E1903" s="12">
        <v>1.13089745</v>
      </c>
      <c r="F1903" s="13">
        <v>5.89</v>
      </c>
      <c r="G1903" s="13">
        <v>6.66</v>
      </c>
    </row>
    <row r="1904" spans="1:7" ht="15" customHeight="1" x14ac:dyDescent="0.35">
      <c r="A1904" s="8"/>
      <c r="B1904" s="8"/>
      <c r="C1904" s="8"/>
      <c r="D1904" s="8"/>
      <c r="E1904" s="60" t="s">
        <v>714</v>
      </c>
      <c r="F1904" s="60"/>
      <c r="G1904" s="14">
        <v>6.69</v>
      </c>
    </row>
    <row r="1905" spans="1:7" ht="15" customHeight="1" x14ac:dyDescent="0.35">
      <c r="A1905" s="59" t="s">
        <v>715</v>
      </c>
      <c r="B1905" s="59"/>
      <c r="C1905" s="9" t="s">
        <v>3</v>
      </c>
      <c r="D1905" s="9" t="s">
        <v>4</v>
      </c>
      <c r="E1905" s="9" t="s">
        <v>702</v>
      </c>
      <c r="F1905" s="9" t="s">
        <v>703</v>
      </c>
      <c r="G1905" s="9" t="s">
        <v>704</v>
      </c>
    </row>
    <row r="1906" spans="1:7" ht="20.149999999999999" customHeight="1" x14ac:dyDescent="0.35">
      <c r="A1906" s="10" t="s">
        <v>1300</v>
      </c>
      <c r="B1906" s="11" t="s">
        <v>1301</v>
      </c>
      <c r="C1906" s="10" t="s">
        <v>20</v>
      </c>
      <c r="D1906" s="10" t="s">
        <v>718</v>
      </c>
      <c r="E1906" s="12">
        <v>0.30803818999999999</v>
      </c>
      <c r="F1906" s="13">
        <v>15.03</v>
      </c>
      <c r="G1906" s="13">
        <v>4.62</v>
      </c>
    </row>
    <row r="1907" spans="1:7" ht="20.149999999999999" customHeight="1" x14ac:dyDescent="0.35">
      <c r="A1907" s="10" t="s">
        <v>1302</v>
      </c>
      <c r="B1907" s="11" t="s">
        <v>1303</v>
      </c>
      <c r="C1907" s="10" t="s">
        <v>20</v>
      </c>
      <c r="D1907" s="10" t="s">
        <v>718</v>
      </c>
      <c r="E1907" s="12">
        <v>0.30803818999999999</v>
      </c>
      <c r="F1907" s="13">
        <v>18.96</v>
      </c>
      <c r="G1907" s="13">
        <v>5.84</v>
      </c>
    </row>
    <row r="1908" spans="1:7" ht="18" customHeight="1" x14ac:dyDescent="0.35">
      <c r="A1908" s="8"/>
      <c r="B1908" s="8"/>
      <c r="C1908" s="8"/>
      <c r="D1908" s="8"/>
      <c r="E1908" s="60" t="s">
        <v>721</v>
      </c>
      <c r="F1908" s="60"/>
      <c r="G1908" s="14">
        <v>10.46</v>
      </c>
    </row>
    <row r="1909" spans="1:7" ht="15" customHeight="1" x14ac:dyDescent="0.35">
      <c r="A1909" s="8"/>
      <c r="B1909" s="8"/>
      <c r="C1909" s="8"/>
      <c r="D1909" s="8"/>
      <c r="E1909" s="61" t="s">
        <v>726</v>
      </c>
      <c r="F1909" s="61"/>
      <c r="G1909" s="4">
        <v>17.149999999999999</v>
      </c>
    </row>
    <row r="1910" spans="1:7" ht="10" customHeight="1" x14ac:dyDescent="0.35">
      <c r="A1910" s="8"/>
      <c r="B1910" s="8"/>
      <c r="C1910" s="57"/>
      <c r="D1910" s="57"/>
      <c r="E1910" s="8"/>
      <c r="F1910" s="8"/>
      <c r="G1910" s="8"/>
    </row>
    <row r="1911" spans="1:7" ht="20.149999999999999" customHeight="1" x14ac:dyDescent="0.35">
      <c r="A1911" s="58" t="s">
        <v>1436</v>
      </c>
      <c r="B1911" s="58"/>
      <c r="C1911" s="58"/>
      <c r="D1911" s="58"/>
      <c r="E1911" s="58"/>
      <c r="F1911" s="58"/>
      <c r="G1911" s="58"/>
    </row>
    <row r="1912" spans="1:7" ht="15" customHeight="1" x14ac:dyDescent="0.35">
      <c r="A1912" s="59" t="s">
        <v>701</v>
      </c>
      <c r="B1912" s="59"/>
      <c r="C1912" s="9" t="s">
        <v>3</v>
      </c>
      <c r="D1912" s="9" t="s">
        <v>4</v>
      </c>
      <c r="E1912" s="9" t="s">
        <v>702</v>
      </c>
      <c r="F1912" s="9" t="s">
        <v>703</v>
      </c>
      <c r="G1912" s="9" t="s">
        <v>704</v>
      </c>
    </row>
    <row r="1913" spans="1:7" ht="15" customHeight="1" x14ac:dyDescent="0.35">
      <c r="A1913" s="10" t="s">
        <v>1296</v>
      </c>
      <c r="B1913" s="11" t="s">
        <v>1297</v>
      </c>
      <c r="C1913" s="10" t="s">
        <v>20</v>
      </c>
      <c r="D1913" s="10" t="s">
        <v>160</v>
      </c>
      <c r="E1913" s="12">
        <v>1.9140219999999999E-2</v>
      </c>
      <c r="F1913" s="13">
        <v>1.75</v>
      </c>
      <c r="G1913" s="13">
        <v>0.03</v>
      </c>
    </row>
    <row r="1914" spans="1:7" ht="20.149999999999999" customHeight="1" x14ac:dyDescent="0.35">
      <c r="A1914" s="10" t="s">
        <v>1437</v>
      </c>
      <c r="B1914" s="11" t="s">
        <v>1438</v>
      </c>
      <c r="C1914" s="10" t="s">
        <v>20</v>
      </c>
      <c r="D1914" s="10" t="s">
        <v>25</v>
      </c>
      <c r="E1914" s="12">
        <v>1.1407355800000001</v>
      </c>
      <c r="F1914" s="13">
        <v>10.029999999999999</v>
      </c>
      <c r="G1914" s="13">
        <v>11.44</v>
      </c>
    </row>
    <row r="1915" spans="1:7" ht="15" customHeight="1" x14ac:dyDescent="0.35">
      <c r="A1915" s="8"/>
      <c r="B1915" s="8"/>
      <c r="C1915" s="8"/>
      <c r="D1915" s="8"/>
      <c r="E1915" s="60" t="s">
        <v>714</v>
      </c>
      <c r="F1915" s="60"/>
      <c r="G1915" s="14">
        <v>11.47</v>
      </c>
    </row>
    <row r="1916" spans="1:7" ht="15" customHeight="1" x14ac:dyDescent="0.35">
      <c r="A1916" s="59" t="s">
        <v>715</v>
      </c>
      <c r="B1916" s="59"/>
      <c r="C1916" s="9" t="s">
        <v>3</v>
      </c>
      <c r="D1916" s="9" t="s">
        <v>4</v>
      </c>
      <c r="E1916" s="9" t="s">
        <v>702</v>
      </c>
      <c r="F1916" s="9" t="s">
        <v>703</v>
      </c>
      <c r="G1916" s="9" t="s">
        <v>704</v>
      </c>
    </row>
    <row r="1917" spans="1:7" ht="20.149999999999999" customHeight="1" x14ac:dyDescent="0.35">
      <c r="A1917" s="10" t="s">
        <v>1300</v>
      </c>
      <c r="B1917" s="11" t="s">
        <v>1301</v>
      </c>
      <c r="C1917" s="10" t="s">
        <v>20</v>
      </c>
      <c r="D1917" s="10" t="s">
        <v>718</v>
      </c>
      <c r="E1917" s="12">
        <v>0.33683427999999999</v>
      </c>
      <c r="F1917" s="13">
        <v>15.03</v>
      </c>
      <c r="G1917" s="13">
        <v>5.0599999999999996</v>
      </c>
    </row>
    <row r="1918" spans="1:7" ht="20.149999999999999" customHeight="1" x14ac:dyDescent="0.35">
      <c r="A1918" s="10" t="s">
        <v>1302</v>
      </c>
      <c r="B1918" s="11" t="s">
        <v>1303</v>
      </c>
      <c r="C1918" s="10" t="s">
        <v>20</v>
      </c>
      <c r="D1918" s="10" t="s">
        <v>718</v>
      </c>
      <c r="E1918" s="12">
        <v>0.33683427999999999</v>
      </c>
      <c r="F1918" s="13">
        <v>18.96</v>
      </c>
      <c r="G1918" s="13">
        <v>6.38</v>
      </c>
    </row>
    <row r="1919" spans="1:7" ht="18" customHeight="1" x14ac:dyDescent="0.35">
      <c r="A1919" s="8"/>
      <c r="B1919" s="8"/>
      <c r="C1919" s="8"/>
      <c r="D1919" s="8"/>
      <c r="E1919" s="60" t="s">
        <v>721</v>
      </c>
      <c r="F1919" s="60"/>
      <c r="G1919" s="14">
        <v>11.44</v>
      </c>
    </row>
    <row r="1920" spans="1:7" ht="15" customHeight="1" x14ac:dyDescent="0.35">
      <c r="A1920" s="8"/>
      <c r="B1920" s="8"/>
      <c r="C1920" s="8"/>
      <c r="D1920" s="8"/>
      <c r="E1920" s="61" t="s">
        <v>726</v>
      </c>
      <c r="F1920" s="61"/>
      <c r="G1920" s="4">
        <v>22.91</v>
      </c>
    </row>
    <row r="1921" spans="1:7" ht="10" customHeight="1" x14ac:dyDescent="0.35">
      <c r="A1921" s="8"/>
      <c r="B1921" s="8"/>
      <c r="C1921" s="57"/>
      <c r="D1921" s="57"/>
      <c r="E1921" s="8"/>
      <c r="F1921" s="8"/>
      <c r="G1921" s="8"/>
    </row>
    <row r="1922" spans="1:7" ht="20.149999999999999" customHeight="1" x14ac:dyDescent="0.35">
      <c r="A1922" s="58" t="s">
        <v>1439</v>
      </c>
      <c r="B1922" s="58"/>
      <c r="C1922" s="58"/>
      <c r="D1922" s="58"/>
      <c r="E1922" s="58"/>
      <c r="F1922" s="58"/>
      <c r="G1922" s="58"/>
    </row>
    <row r="1923" spans="1:7" ht="15" customHeight="1" x14ac:dyDescent="0.35">
      <c r="A1923" s="59" t="s">
        <v>701</v>
      </c>
      <c r="B1923" s="59"/>
      <c r="C1923" s="9" t="s">
        <v>3</v>
      </c>
      <c r="D1923" s="9" t="s">
        <v>4</v>
      </c>
      <c r="E1923" s="9" t="s">
        <v>702</v>
      </c>
      <c r="F1923" s="9" t="s">
        <v>703</v>
      </c>
      <c r="G1923" s="9" t="s">
        <v>704</v>
      </c>
    </row>
    <row r="1924" spans="1:7" ht="15" customHeight="1" x14ac:dyDescent="0.35">
      <c r="A1924" s="10" t="s">
        <v>1296</v>
      </c>
      <c r="B1924" s="11" t="s">
        <v>1297</v>
      </c>
      <c r="C1924" s="10" t="s">
        <v>20</v>
      </c>
      <c r="D1924" s="10" t="s">
        <v>160</v>
      </c>
      <c r="E1924" s="12">
        <v>2.185322E-2</v>
      </c>
      <c r="F1924" s="13">
        <v>1.75</v>
      </c>
      <c r="G1924" s="13">
        <v>0.03</v>
      </c>
    </row>
    <row r="1925" spans="1:7" ht="20.149999999999999" customHeight="1" x14ac:dyDescent="0.35">
      <c r="A1925" s="10" t="s">
        <v>1440</v>
      </c>
      <c r="B1925" s="11" t="s">
        <v>1441</v>
      </c>
      <c r="C1925" s="10" t="s">
        <v>20</v>
      </c>
      <c r="D1925" s="10" t="s">
        <v>25</v>
      </c>
      <c r="E1925" s="12">
        <v>1.0874039099999999</v>
      </c>
      <c r="F1925" s="13">
        <v>14.47</v>
      </c>
      <c r="G1925" s="13">
        <v>15.73</v>
      </c>
    </row>
    <row r="1926" spans="1:7" ht="15" customHeight="1" x14ac:dyDescent="0.35">
      <c r="A1926" s="8"/>
      <c r="B1926" s="8"/>
      <c r="C1926" s="8"/>
      <c r="D1926" s="8"/>
      <c r="E1926" s="60" t="s">
        <v>714</v>
      </c>
      <c r="F1926" s="60"/>
      <c r="G1926" s="14">
        <v>15.76</v>
      </c>
    </row>
    <row r="1927" spans="1:7" ht="15" customHeight="1" x14ac:dyDescent="0.35">
      <c r="A1927" s="59" t="s">
        <v>715</v>
      </c>
      <c r="B1927" s="59"/>
      <c r="C1927" s="9" t="s">
        <v>3</v>
      </c>
      <c r="D1927" s="9" t="s">
        <v>4</v>
      </c>
      <c r="E1927" s="9" t="s">
        <v>702</v>
      </c>
      <c r="F1927" s="9" t="s">
        <v>703</v>
      </c>
      <c r="G1927" s="9" t="s">
        <v>704</v>
      </c>
    </row>
    <row r="1928" spans="1:7" ht="20.149999999999999" customHeight="1" x14ac:dyDescent="0.35">
      <c r="A1928" s="10" t="s">
        <v>1300</v>
      </c>
      <c r="B1928" s="11" t="s">
        <v>1301</v>
      </c>
      <c r="C1928" s="10" t="s">
        <v>20</v>
      </c>
      <c r="D1928" s="10" t="s">
        <v>718</v>
      </c>
      <c r="E1928" s="12">
        <v>0.38525426000000002</v>
      </c>
      <c r="F1928" s="13">
        <v>15.03</v>
      </c>
      <c r="G1928" s="13">
        <v>5.79</v>
      </c>
    </row>
    <row r="1929" spans="1:7" ht="20.149999999999999" customHeight="1" x14ac:dyDescent="0.35">
      <c r="A1929" s="10" t="s">
        <v>1302</v>
      </c>
      <c r="B1929" s="11" t="s">
        <v>1303</v>
      </c>
      <c r="C1929" s="10" t="s">
        <v>20</v>
      </c>
      <c r="D1929" s="10" t="s">
        <v>718</v>
      </c>
      <c r="E1929" s="12">
        <v>0.38525426000000002</v>
      </c>
      <c r="F1929" s="13">
        <v>18.96</v>
      </c>
      <c r="G1929" s="13">
        <v>7.3</v>
      </c>
    </row>
    <row r="1930" spans="1:7" ht="18" customHeight="1" x14ac:dyDescent="0.35">
      <c r="A1930" s="8"/>
      <c r="B1930" s="8"/>
      <c r="C1930" s="8"/>
      <c r="D1930" s="8"/>
      <c r="E1930" s="60" t="s">
        <v>721</v>
      </c>
      <c r="F1930" s="60"/>
      <c r="G1930" s="14">
        <v>13.09</v>
      </c>
    </row>
    <row r="1931" spans="1:7" ht="15" customHeight="1" x14ac:dyDescent="0.35">
      <c r="A1931" s="8"/>
      <c r="B1931" s="8"/>
      <c r="C1931" s="8"/>
      <c r="D1931" s="8"/>
      <c r="E1931" s="61" t="s">
        <v>726</v>
      </c>
      <c r="F1931" s="61"/>
      <c r="G1931" s="4">
        <v>28.85</v>
      </c>
    </row>
    <row r="1932" spans="1:7" ht="10" customHeight="1" x14ac:dyDescent="0.35">
      <c r="A1932" s="8"/>
      <c r="B1932" s="8"/>
      <c r="C1932" s="57"/>
      <c r="D1932" s="57"/>
      <c r="E1932" s="8"/>
      <c r="F1932" s="8"/>
      <c r="G1932" s="8"/>
    </row>
    <row r="1933" spans="1:7" ht="20.149999999999999" customHeight="1" x14ac:dyDescent="0.35">
      <c r="A1933" s="58" t="s">
        <v>1442</v>
      </c>
      <c r="B1933" s="58"/>
      <c r="C1933" s="58"/>
      <c r="D1933" s="58"/>
      <c r="E1933" s="58"/>
      <c r="F1933" s="58"/>
      <c r="G1933" s="58"/>
    </row>
    <row r="1934" spans="1:7" ht="15" customHeight="1" x14ac:dyDescent="0.35">
      <c r="A1934" s="59" t="s">
        <v>701</v>
      </c>
      <c r="B1934" s="59"/>
      <c r="C1934" s="9" t="s">
        <v>3</v>
      </c>
      <c r="D1934" s="9" t="s">
        <v>4</v>
      </c>
      <c r="E1934" s="9" t="s">
        <v>702</v>
      </c>
      <c r="F1934" s="9" t="s">
        <v>703</v>
      </c>
      <c r="G1934" s="9" t="s">
        <v>704</v>
      </c>
    </row>
    <row r="1935" spans="1:7" ht="20.149999999999999" customHeight="1" x14ac:dyDescent="0.35">
      <c r="A1935" s="10" t="s">
        <v>1443</v>
      </c>
      <c r="B1935" s="11" t="s">
        <v>1444</v>
      </c>
      <c r="C1935" s="10" t="s">
        <v>20</v>
      </c>
      <c r="D1935" s="10" t="s">
        <v>160</v>
      </c>
      <c r="E1935" s="12">
        <v>0.16653924000000001</v>
      </c>
      <c r="F1935" s="13">
        <v>3.79</v>
      </c>
      <c r="G1935" s="13">
        <v>0.63</v>
      </c>
    </row>
    <row r="1936" spans="1:7" ht="29.15" customHeight="1" x14ac:dyDescent="0.35">
      <c r="A1936" s="10" t="s">
        <v>1445</v>
      </c>
      <c r="B1936" s="11" t="s">
        <v>1446</v>
      </c>
      <c r="C1936" s="10" t="s">
        <v>20</v>
      </c>
      <c r="D1936" s="10" t="s">
        <v>160</v>
      </c>
      <c r="E1936" s="12">
        <v>1.0409949999999999E-2</v>
      </c>
      <c r="F1936" s="13">
        <v>21.03</v>
      </c>
      <c r="G1936" s="13">
        <v>0.21</v>
      </c>
    </row>
    <row r="1937" spans="1:7" ht="20.149999999999999" customHeight="1" x14ac:dyDescent="0.35">
      <c r="A1937" s="10" t="s">
        <v>1447</v>
      </c>
      <c r="B1937" s="11" t="s">
        <v>1448</v>
      </c>
      <c r="C1937" s="10" t="s">
        <v>20</v>
      </c>
      <c r="D1937" s="10" t="s">
        <v>25</v>
      </c>
      <c r="E1937" s="12">
        <v>1.04898745</v>
      </c>
      <c r="F1937" s="13">
        <v>16.34</v>
      </c>
      <c r="G1937" s="13">
        <v>17.14</v>
      </c>
    </row>
    <row r="1938" spans="1:7" ht="15" customHeight="1" x14ac:dyDescent="0.35">
      <c r="A1938" s="8"/>
      <c r="B1938" s="8"/>
      <c r="C1938" s="8"/>
      <c r="D1938" s="8"/>
      <c r="E1938" s="60" t="s">
        <v>714</v>
      </c>
      <c r="F1938" s="60"/>
      <c r="G1938" s="14">
        <v>17.98</v>
      </c>
    </row>
    <row r="1939" spans="1:7" ht="15" customHeight="1" x14ac:dyDescent="0.35">
      <c r="A1939" s="59" t="s">
        <v>715</v>
      </c>
      <c r="B1939" s="59"/>
      <c r="C1939" s="9" t="s">
        <v>3</v>
      </c>
      <c r="D1939" s="9" t="s">
        <v>4</v>
      </c>
      <c r="E1939" s="9" t="s">
        <v>702</v>
      </c>
      <c r="F1939" s="9" t="s">
        <v>703</v>
      </c>
      <c r="G1939" s="9" t="s">
        <v>704</v>
      </c>
    </row>
    <row r="1940" spans="1:7" ht="15" customHeight="1" x14ac:dyDescent="0.35">
      <c r="A1940" s="10" t="s">
        <v>1319</v>
      </c>
      <c r="B1940" s="11" t="s">
        <v>1320</v>
      </c>
      <c r="C1940" s="10" t="s">
        <v>20</v>
      </c>
      <c r="D1940" s="10" t="s">
        <v>718</v>
      </c>
      <c r="E1940" s="12">
        <v>7.3619379999999998E-2</v>
      </c>
      <c r="F1940" s="13">
        <v>16.29</v>
      </c>
      <c r="G1940" s="13">
        <v>1.19</v>
      </c>
    </row>
    <row r="1941" spans="1:7" ht="15" customHeight="1" x14ac:dyDescent="0.35">
      <c r="A1941" s="10" t="s">
        <v>719</v>
      </c>
      <c r="B1941" s="11" t="s">
        <v>720</v>
      </c>
      <c r="C1941" s="10" t="s">
        <v>20</v>
      </c>
      <c r="D1941" s="10" t="s">
        <v>718</v>
      </c>
      <c r="E1941" s="12">
        <v>7.3619379999999998E-2</v>
      </c>
      <c r="F1941" s="13">
        <v>15.53</v>
      </c>
      <c r="G1941" s="13">
        <v>1.1399999999999999</v>
      </c>
    </row>
    <row r="1942" spans="1:7" ht="18" customHeight="1" x14ac:dyDescent="0.35">
      <c r="A1942" s="8"/>
      <c r="B1942" s="8"/>
      <c r="C1942" s="8"/>
      <c r="D1942" s="8"/>
      <c r="E1942" s="60" t="s">
        <v>721</v>
      </c>
      <c r="F1942" s="60"/>
      <c r="G1942" s="14">
        <v>2.33</v>
      </c>
    </row>
    <row r="1943" spans="1:7" ht="15" customHeight="1" x14ac:dyDescent="0.35">
      <c r="A1943" s="8"/>
      <c r="B1943" s="8"/>
      <c r="C1943" s="8"/>
      <c r="D1943" s="8"/>
      <c r="E1943" s="61" t="s">
        <v>726</v>
      </c>
      <c r="F1943" s="61"/>
      <c r="G1943" s="4">
        <v>20.309999999999999</v>
      </c>
    </row>
    <row r="1944" spans="1:7" ht="10" customHeight="1" x14ac:dyDescent="0.35">
      <c r="A1944" s="8"/>
      <c r="B1944" s="8"/>
      <c r="C1944" s="57"/>
      <c r="D1944" s="57"/>
      <c r="E1944" s="8"/>
      <c r="F1944" s="8"/>
      <c r="G1944" s="8"/>
    </row>
    <row r="1945" spans="1:7" ht="20.149999999999999" customHeight="1" x14ac:dyDescent="0.35">
      <c r="A1945" s="58" t="s">
        <v>1449</v>
      </c>
      <c r="B1945" s="58"/>
      <c r="C1945" s="58"/>
      <c r="D1945" s="58"/>
      <c r="E1945" s="58"/>
      <c r="F1945" s="58"/>
      <c r="G1945" s="58"/>
    </row>
    <row r="1946" spans="1:7" ht="15" customHeight="1" x14ac:dyDescent="0.35">
      <c r="A1946" s="59" t="s">
        <v>701</v>
      </c>
      <c r="B1946" s="59"/>
      <c r="C1946" s="9" t="s">
        <v>3</v>
      </c>
      <c r="D1946" s="9" t="s">
        <v>4</v>
      </c>
      <c r="E1946" s="9" t="s">
        <v>702</v>
      </c>
      <c r="F1946" s="9" t="s">
        <v>703</v>
      </c>
      <c r="G1946" s="9" t="s">
        <v>704</v>
      </c>
    </row>
    <row r="1947" spans="1:7" ht="15" customHeight="1" x14ac:dyDescent="0.35">
      <c r="A1947" s="10" t="s">
        <v>1401</v>
      </c>
      <c r="B1947" s="11" t="s">
        <v>1402</v>
      </c>
      <c r="C1947" s="10" t="s">
        <v>20</v>
      </c>
      <c r="D1947" s="10" t="s">
        <v>160</v>
      </c>
      <c r="E1947" s="12">
        <v>0.28899999999999998</v>
      </c>
      <c r="F1947" s="13">
        <v>16.63</v>
      </c>
      <c r="G1947" s="13">
        <v>4.8</v>
      </c>
    </row>
    <row r="1948" spans="1:7" ht="20.149999999999999" customHeight="1" x14ac:dyDescent="0.35">
      <c r="A1948" s="10" t="s">
        <v>1450</v>
      </c>
      <c r="B1948" s="11" t="s">
        <v>1451</v>
      </c>
      <c r="C1948" s="10" t="s">
        <v>20</v>
      </c>
      <c r="D1948" s="10" t="s">
        <v>160</v>
      </c>
      <c r="E1948" s="12">
        <v>1</v>
      </c>
      <c r="F1948" s="13">
        <v>240.31</v>
      </c>
      <c r="G1948" s="13">
        <v>240.31</v>
      </c>
    </row>
    <row r="1949" spans="1:7" ht="15" customHeight="1" x14ac:dyDescent="0.35">
      <c r="A1949" s="10" t="s">
        <v>1296</v>
      </c>
      <c r="B1949" s="11" t="s">
        <v>1297</v>
      </c>
      <c r="C1949" s="10" t="s">
        <v>20</v>
      </c>
      <c r="D1949" s="10" t="s">
        <v>160</v>
      </c>
      <c r="E1949" s="12">
        <v>4.8000000000000001E-2</v>
      </c>
      <c r="F1949" s="13">
        <v>1.75</v>
      </c>
      <c r="G1949" s="13">
        <v>0.08</v>
      </c>
    </row>
    <row r="1950" spans="1:7" ht="20.149999999999999" customHeight="1" x14ac:dyDescent="0.35">
      <c r="A1950" s="10" t="s">
        <v>1326</v>
      </c>
      <c r="B1950" s="11" t="s">
        <v>1327</v>
      </c>
      <c r="C1950" s="10" t="s">
        <v>20</v>
      </c>
      <c r="D1950" s="10" t="s">
        <v>160</v>
      </c>
      <c r="E1950" s="12">
        <v>7.5999999999999998E-2</v>
      </c>
      <c r="F1950" s="13">
        <v>57.75</v>
      </c>
      <c r="G1950" s="13">
        <v>4.38</v>
      </c>
    </row>
    <row r="1951" spans="1:7" ht="15" customHeight="1" x14ac:dyDescent="0.35">
      <c r="A1951" s="8"/>
      <c r="B1951" s="8"/>
      <c r="C1951" s="8"/>
      <c r="D1951" s="8"/>
      <c r="E1951" s="60" t="s">
        <v>714</v>
      </c>
      <c r="F1951" s="60"/>
      <c r="G1951" s="14">
        <v>249.57</v>
      </c>
    </row>
    <row r="1952" spans="1:7" ht="15" customHeight="1" x14ac:dyDescent="0.35">
      <c r="A1952" s="59" t="s">
        <v>715</v>
      </c>
      <c r="B1952" s="59"/>
      <c r="C1952" s="9" t="s">
        <v>3</v>
      </c>
      <c r="D1952" s="9" t="s">
        <v>4</v>
      </c>
      <c r="E1952" s="9" t="s">
        <v>702</v>
      </c>
      <c r="F1952" s="9" t="s">
        <v>703</v>
      </c>
      <c r="G1952" s="9" t="s">
        <v>704</v>
      </c>
    </row>
    <row r="1953" spans="1:7" ht="20.149999999999999" customHeight="1" x14ac:dyDescent="0.35">
      <c r="A1953" s="10" t="s">
        <v>1300</v>
      </c>
      <c r="B1953" s="11" t="s">
        <v>1301</v>
      </c>
      <c r="C1953" s="10" t="s">
        <v>20</v>
      </c>
      <c r="D1953" s="10" t="s">
        <v>718</v>
      </c>
      <c r="E1953" s="12">
        <v>0.48499999999999999</v>
      </c>
      <c r="F1953" s="13">
        <v>15.03</v>
      </c>
      <c r="G1953" s="13">
        <v>7.28</v>
      </c>
    </row>
    <row r="1954" spans="1:7" ht="20.149999999999999" customHeight="1" x14ac:dyDescent="0.35">
      <c r="A1954" s="10" t="s">
        <v>1302</v>
      </c>
      <c r="B1954" s="11" t="s">
        <v>1303</v>
      </c>
      <c r="C1954" s="10" t="s">
        <v>20</v>
      </c>
      <c r="D1954" s="10" t="s">
        <v>718</v>
      </c>
      <c r="E1954" s="12">
        <v>0.48499999999999999</v>
      </c>
      <c r="F1954" s="13">
        <v>18.96</v>
      </c>
      <c r="G1954" s="13">
        <v>9.19</v>
      </c>
    </row>
    <row r="1955" spans="1:7" ht="18" customHeight="1" x14ac:dyDescent="0.35">
      <c r="A1955" s="8"/>
      <c r="B1955" s="8"/>
      <c r="C1955" s="8"/>
      <c r="D1955" s="8"/>
      <c r="E1955" s="60" t="s">
        <v>721</v>
      </c>
      <c r="F1955" s="60"/>
      <c r="G1955" s="14">
        <v>16.47</v>
      </c>
    </row>
    <row r="1956" spans="1:7" ht="15" customHeight="1" x14ac:dyDescent="0.35">
      <c r="A1956" s="8"/>
      <c r="B1956" s="8"/>
      <c r="C1956" s="8"/>
      <c r="D1956" s="8"/>
      <c r="E1956" s="61" t="s">
        <v>726</v>
      </c>
      <c r="F1956" s="61"/>
      <c r="G1956" s="4">
        <v>234.76</v>
      </c>
    </row>
    <row r="1957" spans="1:7" ht="10" customHeight="1" x14ac:dyDescent="0.35">
      <c r="A1957" s="8"/>
      <c r="B1957" s="8"/>
      <c r="C1957" s="57"/>
      <c r="D1957" s="57"/>
      <c r="E1957" s="8"/>
      <c r="F1957" s="8"/>
      <c r="G1957" s="8"/>
    </row>
    <row r="1958" spans="1:7" ht="20.149999999999999" customHeight="1" x14ac:dyDescent="0.35">
      <c r="A1958" s="58" t="s">
        <v>1452</v>
      </c>
      <c r="B1958" s="58"/>
      <c r="C1958" s="58"/>
      <c r="D1958" s="58"/>
      <c r="E1958" s="58"/>
      <c r="F1958" s="58"/>
      <c r="G1958" s="58"/>
    </row>
    <row r="1959" spans="1:7" ht="15" customHeight="1" x14ac:dyDescent="0.35">
      <c r="A1959" s="59" t="s">
        <v>701</v>
      </c>
      <c r="B1959" s="59"/>
      <c r="C1959" s="9" t="s">
        <v>3</v>
      </c>
      <c r="D1959" s="9" t="s">
        <v>4</v>
      </c>
      <c r="E1959" s="9" t="s">
        <v>702</v>
      </c>
      <c r="F1959" s="9" t="s">
        <v>703</v>
      </c>
      <c r="G1959" s="9" t="s">
        <v>704</v>
      </c>
    </row>
    <row r="1960" spans="1:7" ht="15" customHeight="1" x14ac:dyDescent="0.35">
      <c r="A1960" s="10" t="s">
        <v>1401</v>
      </c>
      <c r="B1960" s="11" t="s">
        <v>1402</v>
      </c>
      <c r="C1960" s="10" t="s">
        <v>20</v>
      </c>
      <c r="D1960" s="10" t="s">
        <v>160</v>
      </c>
      <c r="E1960" s="12">
        <v>2.402162E-2</v>
      </c>
      <c r="F1960" s="13">
        <v>16.63</v>
      </c>
      <c r="G1960" s="13">
        <v>0.39</v>
      </c>
    </row>
    <row r="1961" spans="1:7" ht="20.149999999999999" customHeight="1" x14ac:dyDescent="0.35">
      <c r="A1961" s="10" t="s">
        <v>1453</v>
      </c>
      <c r="B1961" s="11" t="s">
        <v>1454</v>
      </c>
      <c r="C1961" s="10" t="s">
        <v>20</v>
      </c>
      <c r="D1961" s="10" t="s">
        <v>160</v>
      </c>
      <c r="E1961" s="12">
        <v>1</v>
      </c>
      <c r="F1961" s="13">
        <v>20.16</v>
      </c>
      <c r="G1961" s="13">
        <v>20.16</v>
      </c>
    </row>
    <row r="1962" spans="1:7" ht="15" customHeight="1" x14ac:dyDescent="0.35">
      <c r="A1962" s="10" t="s">
        <v>1296</v>
      </c>
      <c r="B1962" s="11" t="s">
        <v>1297</v>
      </c>
      <c r="C1962" s="10" t="s">
        <v>20</v>
      </c>
      <c r="D1962" s="10" t="s">
        <v>160</v>
      </c>
      <c r="E1962" s="12">
        <v>5.7516499999999996E-3</v>
      </c>
      <c r="F1962" s="13">
        <v>1.75</v>
      </c>
      <c r="G1962" s="13">
        <v>0.01</v>
      </c>
    </row>
    <row r="1963" spans="1:7" ht="20.149999999999999" customHeight="1" x14ac:dyDescent="0.35">
      <c r="A1963" s="10" t="s">
        <v>1326</v>
      </c>
      <c r="B1963" s="11" t="s">
        <v>1327</v>
      </c>
      <c r="C1963" s="10" t="s">
        <v>20</v>
      </c>
      <c r="D1963" s="10" t="s">
        <v>160</v>
      </c>
      <c r="E1963" s="12">
        <v>6.08999E-3</v>
      </c>
      <c r="F1963" s="13">
        <v>57.75</v>
      </c>
      <c r="G1963" s="13">
        <v>0.35</v>
      </c>
    </row>
    <row r="1964" spans="1:7" ht="15" customHeight="1" x14ac:dyDescent="0.35">
      <c r="A1964" s="8"/>
      <c r="B1964" s="8"/>
      <c r="C1964" s="8"/>
      <c r="D1964" s="8"/>
      <c r="E1964" s="60" t="s">
        <v>714</v>
      </c>
      <c r="F1964" s="60"/>
      <c r="G1964" s="14">
        <v>20.91</v>
      </c>
    </row>
    <row r="1965" spans="1:7" ht="15" customHeight="1" x14ac:dyDescent="0.35">
      <c r="A1965" s="59" t="s">
        <v>715</v>
      </c>
      <c r="B1965" s="59"/>
      <c r="C1965" s="9" t="s">
        <v>3</v>
      </c>
      <c r="D1965" s="9" t="s">
        <v>4</v>
      </c>
      <c r="E1965" s="9" t="s">
        <v>702</v>
      </c>
      <c r="F1965" s="9" t="s">
        <v>703</v>
      </c>
      <c r="G1965" s="9" t="s">
        <v>704</v>
      </c>
    </row>
    <row r="1966" spans="1:7" ht="20.149999999999999" customHeight="1" x14ac:dyDescent="0.35">
      <c r="A1966" s="10" t="s">
        <v>1300</v>
      </c>
      <c r="B1966" s="11" t="s">
        <v>1301</v>
      </c>
      <c r="C1966" s="10" t="s">
        <v>20</v>
      </c>
      <c r="D1966" s="10" t="s">
        <v>718</v>
      </c>
      <c r="E1966" s="12">
        <v>5.5287099999999999E-2</v>
      </c>
      <c r="F1966" s="13">
        <v>15.03</v>
      </c>
      <c r="G1966" s="13">
        <v>0.83</v>
      </c>
    </row>
    <row r="1967" spans="1:7" ht="20.149999999999999" customHeight="1" x14ac:dyDescent="0.35">
      <c r="A1967" s="10" t="s">
        <v>1302</v>
      </c>
      <c r="B1967" s="11" t="s">
        <v>1303</v>
      </c>
      <c r="C1967" s="10" t="s">
        <v>20</v>
      </c>
      <c r="D1967" s="10" t="s">
        <v>718</v>
      </c>
      <c r="E1967" s="12">
        <v>5.5559940000000002E-2</v>
      </c>
      <c r="F1967" s="13">
        <v>18.96</v>
      </c>
      <c r="G1967" s="13">
        <v>1.05</v>
      </c>
    </row>
    <row r="1968" spans="1:7" ht="18" customHeight="1" x14ac:dyDescent="0.35">
      <c r="A1968" s="8"/>
      <c r="B1968" s="8"/>
      <c r="C1968" s="8"/>
      <c r="D1968" s="8"/>
      <c r="E1968" s="60" t="s">
        <v>721</v>
      </c>
      <c r="F1968" s="60"/>
      <c r="G1968" s="14">
        <v>1.88</v>
      </c>
    </row>
    <row r="1969" spans="1:7" ht="15" customHeight="1" x14ac:dyDescent="0.35">
      <c r="A1969" s="8"/>
      <c r="B1969" s="8"/>
      <c r="C1969" s="8"/>
      <c r="D1969" s="8"/>
      <c r="E1969" s="61" t="s">
        <v>726</v>
      </c>
      <c r="F1969" s="61"/>
      <c r="G1969" s="4">
        <v>22.79</v>
      </c>
    </row>
    <row r="1970" spans="1:7" ht="10" customHeight="1" x14ac:dyDescent="0.35">
      <c r="A1970" s="8"/>
      <c r="B1970" s="8"/>
      <c r="C1970" s="57"/>
      <c r="D1970" s="57"/>
      <c r="E1970" s="8"/>
      <c r="F1970" s="8"/>
      <c r="G1970" s="8"/>
    </row>
    <row r="1971" spans="1:7" ht="20.149999999999999" customHeight="1" x14ac:dyDescent="0.35">
      <c r="A1971" s="58" t="s">
        <v>1455</v>
      </c>
      <c r="B1971" s="58"/>
      <c r="C1971" s="58"/>
      <c r="D1971" s="58"/>
      <c r="E1971" s="58"/>
      <c r="F1971" s="58"/>
      <c r="G1971" s="58"/>
    </row>
    <row r="1972" spans="1:7" ht="15" customHeight="1" x14ac:dyDescent="0.35">
      <c r="A1972" s="59" t="s">
        <v>701</v>
      </c>
      <c r="B1972" s="59"/>
      <c r="C1972" s="9" t="s">
        <v>3</v>
      </c>
      <c r="D1972" s="9" t="s">
        <v>4</v>
      </c>
      <c r="E1972" s="9" t="s">
        <v>702</v>
      </c>
      <c r="F1972" s="9" t="s">
        <v>703</v>
      </c>
      <c r="G1972" s="9" t="s">
        <v>704</v>
      </c>
    </row>
    <row r="1973" spans="1:7" ht="15" customHeight="1" x14ac:dyDescent="0.35">
      <c r="A1973" s="10" t="s">
        <v>572</v>
      </c>
      <c r="B1973" s="11" t="s">
        <v>573</v>
      </c>
      <c r="C1973" s="10" t="s">
        <v>20</v>
      </c>
      <c r="D1973" s="10" t="s">
        <v>160</v>
      </c>
      <c r="E1973" s="12">
        <v>1</v>
      </c>
      <c r="F1973" s="13">
        <v>5.75</v>
      </c>
      <c r="G1973" s="13">
        <v>5.75</v>
      </c>
    </row>
    <row r="1974" spans="1:7" ht="15" customHeight="1" x14ac:dyDescent="0.35">
      <c r="A1974" s="8"/>
      <c r="B1974" s="8"/>
      <c r="C1974" s="8"/>
      <c r="D1974" s="8"/>
      <c r="E1974" s="60" t="s">
        <v>714</v>
      </c>
      <c r="F1974" s="60"/>
      <c r="G1974" s="14">
        <v>5.75</v>
      </c>
    </row>
    <row r="1975" spans="1:7" ht="15" customHeight="1" x14ac:dyDescent="0.35">
      <c r="A1975" s="8"/>
      <c r="B1975" s="8"/>
      <c r="C1975" s="8"/>
      <c r="D1975" s="8"/>
      <c r="E1975" s="61" t="s">
        <v>726</v>
      </c>
      <c r="F1975" s="61"/>
      <c r="G1975" s="4">
        <v>14.65</v>
      </c>
    </row>
    <row r="1976" spans="1:7" ht="10" customHeight="1" x14ac:dyDescent="0.35">
      <c r="A1976" s="8"/>
      <c r="B1976" s="8"/>
      <c r="C1976" s="57"/>
      <c r="D1976" s="57"/>
      <c r="E1976" s="8"/>
      <c r="F1976" s="8"/>
      <c r="G1976" s="8"/>
    </row>
    <row r="1977" spans="1:7" ht="20.149999999999999" customHeight="1" x14ac:dyDescent="0.35">
      <c r="A1977" s="58" t="s">
        <v>1456</v>
      </c>
      <c r="B1977" s="58"/>
      <c r="C1977" s="58"/>
      <c r="D1977" s="58"/>
      <c r="E1977" s="58"/>
      <c r="F1977" s="58"/>
      <c r="G1977" s="58"/>
    </row>
    <row r="1978" spans="1:7" ht="15" customHeight="1" x14ac:dyDescent="0.35">
      <c r="A1978" s="59" t="s">
        <v>701</v>
      </c>
      <c r="B1978" s="59"/>
      <c r="C1978" s="9" t="s">
        <v>3</v>
      </c>
      <c r="D1978" s="9" t="s">
        <v>4</v>
      </c>
      <c r="E1978" s="9" t="s">
        <v>702</v>
      </c>
      <c r="F1978" s="9" t="s">
        <v>703</v>
      </c>
      <c r="G1978" s="9" t="s">
        <v>704</v>
      </c>
    </row>
    <row r="1979" spans="1:7" ht="15" customHeight="1" x14ac:dyDescent="0.35">
      <c r="A1979" s="10" t="s">
        <v>1322</v>
      </c>
      <c r="B1979" s="11" t="s">
        <v>1323</v>
      </c>
      <c r="C1979" s="10" t="s">
        <v>20</v>
      </c>
      <c r="D1979" s="10" t="s">
        <v>160</v>
      </c>
      <c r="E1979" s="12">
        <v>1.111415E-2</v>
      </c>
      <c r="F1979" s="13">
        <v>50.97</v>
      </c>
      <c r="G1979" s="13">
        <v>0.56000000000000005</v>
      </c>
    </row>
    <row r="1980" spans="1:7" ht="15" customHeight="1" x14ac:dyDescent="0.35">
      <c r="A1980" s="10" t="s">
        <v>1457</v>
      </c>
      <c r="B1980" s="11" t="s">
        <v>1458</v>
      </c>
      <c r="C1980" s="10" t="s">
        <v>20</v>
      </c>
      <c r="D1980" s="10" t="s">
        <v>160</v>
      </c>
      <c r="E1980" s="12">
        <v>1</v>
      </c>
      <c r="F1980" s="13">
        <v>4.8</v>
      </c>
      <c r="G1980" s="13">
        <v>4.8</v>
      </c>
    </row>
    <row r="1981" spans="1:7" ht="15" customHeight="1" x14ac:dyDescent="0.35">
      <c r="A1981" s="10" t="s">
        <v>1296</v>
      </c>
      <c r="B1981" s="11" t="s">
        <v>1297</v>
      </c>
      <c r="C1981" s="10" t="s">
        <v>20</v>
      </c>
      <c r="D1981" s="10" t="s">
        <v>160</v>
      </c>
      <c r="E1981" s="12">
        <v>7.9707500000000004E-3</v>
      </c>
      <c r="F1981" s="13">
        <v>1.75</v>
      </c>
      <c r="G1981" s="13">
        <v>0.01</v>
      </c>
    </row>
    <row r="1982" spans="1:7" ht="20.149999999999999" customHeight="1" x14ac:dyDescent="0.35">
      <c r="A1982" s="10" t="s">
        <v>1326</v>
      </c>
      <c r="B1982" s="11" t="s">
        <v>1327</v>
      </c>
      <c r="C1982" s="10" t="s">
        <v>20</v>
      </c>
      <c r="D1982" s="10" t="s">
        <v>160</v>
      </c>
      <c r="E1982" s="12">
        <v>1.683962E-2</v>
      </c>
      <c r="F1982" s="13">
        <v>57.75</v>
      </c>
      <c r="G1982" s="13">
        <v>0.97</v>
      </c>
    </row>
    <row r="1983" spans="1:7" ht="15" customHeight="1" x14ac:dyDescent="0.35">
      <c r="A1983" s="8"/>
      <c r="B1983" s="8"/>
      <c r="C1983" s="8"/>
      <c r="D1983" s="8"/>
      <c r="E1983" s="60" t="s">
        <v>714</v>
      </c>
      <c r="F1983" s="60"/>
      <c r="G1983" s="14">
        <v>6.34</v>
      </c>
    </row>
    <row r="1984" spans="1:7" ht="15" customHeight="1" x14ac:dyDescent="0.35">
      <c r="A1984" s="59" t="s">
        <v>715</v>
      </c>
      <c r="B1984" s="59"/>
      <c r="C1984" s="9" t="s">
        <v>3</v>
      </c>
      <c r="D1984" s="9" t="s">
        <v>4</v>
      </c>
      <c r="E1984" s="9" t="s">
        <v>702</v>
      </c>
      <c r="F1984" s="9" t="s">
        <v>703</v>
      </c>
      <c r="G1984" s="9" t="s">
        <v>704</v>
      </c>
    </row>
    <row r="1985" spans="1:7" ht="20.149999999999999" customHeight="1" x14ac:dyDescent="0.35">
      <c r="A1985" s="10" t="s">
        <v>1300</v>
      </c>
      <c r="B1985" s="11" t="s">
        <v>1301</v>
      </c>
      <c r="C1985" s="10" t="s">
        <v>20</v>
      </c>
      <c r="D1985" s="10" t="s">
        <v>718</v>
      </c>
      <c r="E1985" s="12">
        <v>0.14071737000000001</v>
      </c>
      <c r="F1985" s="13">
        <v>15.03</v>
      </c>
      <c r="G1985" s="13">
        <v>2.11</v>
      </c>
    </row>
    <row r="1986" spans="1:7" ht="20.149999999999999" customHeight="1" x14ac:dyDescent="0.35">
      <c r="A1986" s="10" t="s">
        <v>1302</v>
      </c>
      <c r="B1986" s="11" t="s">
        <v>1303</v>
      </c>
      <c r="C1986" s="10" t="s">
        <v>20</v>
      </c>
      <c r="D1986" s="10" t="s">
        <v>718</v>
      </c>
      <c r="E1986" s="12">
        <v>0.13940152</v>
      </c>
      <c r="F1986" s="13">
        <v>18.96</v>
      </c>
      <c r="G1986" s="13">
        <v>2.64</v>
      </c>
    </row>
    <row r="1987" spans="1:7" ht="18" customHeight="1" x14ac:dyDescent="0.35">
      <c r="A1987" s="8"/>
      <c r="B1987" s="8"/>
      <c r="C1987" s="8"/>
      <c r="D1987" s="8"/>
      <c r="E1987" s="60" t="s">
        <v>721</v>
      </c>
      <c r="F1987" s="60"/>
      <c r="G1987" s="14">
        <v>4.75</v>
      </c>
    </row>
    <row r="1988" spans="1:7" ht="15" customHeight="1" x14ac:dyDescent="0.35">
      <c r="A1988" s="8"/>
      <c r="B1988" s="8"/>
      <c r="C1988" s="8"/>
      <c r="D1988" s="8"/>
      <c r="E1988" s="61" t="s">
        <v>726</v>
      </c>
      <c r="F1988" s="61"/>
      <c r="G1988" s="4">
        <v>11.09</v>
      </c>
    </row>
    <row r="1989" spans="1:7" ht="10" customHeight="1" x14ac:dyDescent="0.35">
      <c r="A1989" s="8"/>
      <c r="B1989" s="8"/>
      <c r="C1989" s="57"/>
      <c r="D1989" s="57"/>
      <c r="E1989" s="8"/>
      <c r="F1989" s="8"/>
      <c r="G1989" s="8"/>
    </row>
    <row r="1990" spans="1:7" ht="20.149999999999999" customHeight="1" x14ac:dyDescent="0.35">
      <c r="A1990" s="58" t="s">
        <v>1459</v>
      </c>
      <c r="B1990" s="58"/>
      <c r="C1990" s="58"/>
      <c r="D1990" s="58"/>
      <c r="E1990" s="58"/>
      <c r="F1990" s="58"/>
      <c r="G1990" s="58"/>
    </row>
    <row r="1991" spans="1:7" ht="15" customHeight="1" x14ac:dyDescent="0.35">
      <c r="A1991" s="59" t="s">
        <v>701</v>
      </c>
      <c r="B1991" s="59"/>
      <c r="C1991" s="9" t="s">
        <v>3</v>
      </c>
      <c r="D1991" s="9" t="s">
        <v>4</v>
      </c>
      <c r="E1991" s="9" t="s">
        <v>702</v>
      </c>
      <c r="F1991" s="9" t="s">
        <v>703</v>
      </c>
      <c r="G1991" s="9" t="s">
        <v>704</v>
      </c>
    </row>
    <row r="1992" spans="1:7" ht="15" customHeight="1" x14ac:dyDescent="0.35">
      <c r="A1992" s="10" t="s">
        <v>1322</v>
      </c>
      <c r="B1992" s="11" t="s">
        <v>1323</v>
      </c>
      <c r="C1992" s="10" t="s">
        <v>20</v>
      </c>
      <c r="D1992" s="10" t="s">
        <v>160</v>
      </c>
      <c r="E1992" s="12">
        <v>1.235703E-2</v>
      </c>
      <c r="F1992" s="13">
        <v>50.97</v>
      </c>
      <c r="G1992" s="13">
        <v>0.62</v>
      </c>
    </row>
    <row r="1993" spans="1:7" ht="20.149999999999999" customHeight="1" x14ac:dyDescent="0.35">
      <c r="A1993" s="10" t="s">
        <v>1460</v>
      </c>
      <c r="B1993" s="11" t="s">
        <v>1461</v>
      </c>
      <c r="C1993" s="10" t="s">
        <v>20</v>
      </c>
      <c r="D1993" s="10" t="s">
        <v>160</v>
      </c>
      <c r="E1993" s="12">
        <v>1</v>
      </c>
      <c r="F1993" s="13">
        <v>1.17</v>
      </c>
      <c r="G1993" s="13">
        <v>1.17</v>
      </c>
    </row>
    <row r="1994" spans="1:7" ht="15" customHeight="1" x14ac:dyDescent="0.35">
      <c r="A1994" s="10" t="s">
        <v>1296</v>
      </c>
      <c r="B1994" s="11" t="s">
        <v>1297</v>
      </c>
      <c r="C1994" s="10" t="s">
        <v>20</v>
      </c>
      <c r="D1994" s="10" t="s">
        <v>160</v>
      </c>
      <c r="E1994" s="12">
        <v>8.8621099999999994E-3</v>
      </c>
      <c r="F1994" s="13">
        <v>1.75</v>
      </c>
      <c r="G1994" s="13">
        <v>0.01</v>
      </c>
    </row>
    <row r="1995" spans="1:7" ht="20.149999999999999" customHeight="1" x14ac:dyDescent="0.35">
      <c r="A1995" s="10" t="s">
        <v>1326</v>
      </c>
      <c r="B1995" s="11" t="s">
        <v>1327</v>
      </c>
      <c r="C1995" s="10" t="s">
        <v>20</v>
      </c>
      <c r="D1995" s="10" t="s">
        <v>160</v>
      </c>
      <c r="E1995" s="12">
        <v>1.8722780000000001E-2</v>
      </c>
      <c r="F1995" s="13">
        <v>57.75</v>
      </c>
      <c r="G1995" s="13">
        <v>1.08</v>
      </c>
    </row>
    <row r="1996" spans="1:7" ht="15" customHeight="1" x14ac:dyDescent="0.35">
      <c r="A1996" s="8"/>
      <c r="B1996" s="8"/>
      <c r="C1996" s="8"/>
      <c r="D1996" s="8"/>
      <c r="E1996" s="60" t="s">
        <v>714</v>
      </c>
      <c r="F1996" s="60"/>
      <c r="G1996" s="14">
        <v>2.88</v>
      </c>
    </row>
    <row r="1997" spans="1:7" ht="15" customHeight="1" x14ac:dyDescent="0.35">
      <c r="A1997" s="59" t="s">
        <v>715</v>
      </c>
      <c r="B1997" s="59"/>
      <c r="C1997" s="9" t="s">
        <v>3</v>
      </c>
      <c r="D1997" s="9" t="s">
        <v>4</v>
      </c>
      <c r="E1997" s="9" t="s">
        <v>702</v>
      </c>
      <c r="F1997" s="9" t="s">
        <v>703</v>
      </c>
      <c r="G1997" s="9" t="s">
        <v>704</v>
      </c>
    </row>
    <row r="1998" spans="1:7" ht="20.149999999999999" customHeight="1" x14ac:dyDescent="0.35">
      <c r="A1998" s="10" t="s">
        <v>1300</v>
      </c>
      <c r="B1998" s="11" t="s">
        <v>1301</v>
      </c>
      <c r="C1998" s="10" t="s">
        <v>20</v>
      </c>
      <c r="D1998" s="10" t="s">
        <v>718</v>
      </c>
      <c r="E1998" s="12">
        <v>0.15525485999999999</v>
      </c>
      <c r="F1998" s="13">
        <v>15.03</v>
      </c>
      <c r="G1998" s="13">
        <v>2.33</v>
      </c>
    </row>
    <row r="1999" spans="1:7" ht="20.149999999999999" customHeight="1" x14ac:dyDescent="0.35">
      <c r="A1999" s="10" t="s">
        <v>1302</v>
      </c>
      <c r="B1999" s="11" t="s">
        <v>1303</v>
      </c>
      <c r="C1999" s="10" t="s">
        <v>20</v>
      </c>
      <c r="D1999" s="10" t="s">
        <v>718</v>
      </c>
      <c r="E1999" s="12">
        <v>0.15525485999999999</v>
      </c>
      <c r="F1999" s="13">
        <v>18.96</v>
      </c>
      <c r="G1999" s="13">
        <v>2.94</v>
      </c>
    </row>
    <row r="2000" spans="1:7" ht="18" customHeight="1" x14ac:dyDescent="0.35">
      <c r="A2000" s="8"/>
      <c r="B2000" s="8"/>
      <c r="C2000" s="8"/>
      <c r="D2000" s="8"/>
      <c r="E2000" s="60" t="s">
        <v>721</v>
      </c>
      <c r="F2000" s="60"/>
      <c r="G2000" s="14">
        <v>5.27</v>
      </c>
    </row>
    <row r="2001" spans="1:7" ht="15" customHeight="1" x14ac:dyDescent="0.35">
      <c r="A2001" s="8"/>
      <c r="B2001" s="8"/>
      <c r="C2001" s="8"/>
      <c r="D2001" s="8"/>
      <c r="E2001" s="61" t="s">
        <v>726</v>
      </c>
      <c r="F2001" s="61"/>
      <c r="G2001" s="4">
        <v>8.15</v>
      </c>
    </row>
    <row r="2002" spans="1:7" ht="10" customHeight="1" x14ac:dyDescent="0.35">
      <c r="A2002" s="8"/>
      <c r="B2002" s="8"/>
      <c r="C2002" s="57"/>
      <c r="D2002" s="57"/>
      <c r="E2002" s="8"/>
      <c r="F2002" s="8"/>
      <c r="G2002" s="8"/>
    </row>
    <row r="2003" spans="1:7" ht="20.149999999999999" customHeight="1" x14ac:dyDescent="0.35">
      <c r="A2003" s="58" t="s">
        <v>1462</v>
      </c>
      <c r="B2003" s="58"/>
      <c r="C2003" s="58"/>
      <c r="D2003" s="58"/>
      <c r="E2003" s="58"/>
      <c r="F2003" s="58"/>
      <c r="G2003" s="58"/>
    </row>
    <row r="2004" spans="1:7" ht="15" customHeight="1" x14ac:dyDescent="0.35">
      <c r="A2004" s="59" t="s">
        <v>701</v>
      </c>
      <c r="B2004" s="59"/>
      <c r="C2004" s="9" t="s">
        <v>3</v>
      </c>
      <c r="D2004" s="9" t="s">
        <v>4</v>
      </c>
      <c r="E2004" s="9" t="s">
        <v>702</v>
      </c>
      <c r="F2004" s="9" t="s">
        <v>703</v>
      </c>
      <c r="G2004" s="9" t="s">
        <v>704</v>
      </c>
    </row>
    <row r="2005" spans="1:7" ht="20.149999999999999" customHeight="1" x14ac:dyDescent="0.35">
      <c r="A2005" s="10" t="s">
        <v>1463</v>
      </c>
      <c r="B2005" s="11" t="s">
        <v>1464</v>
      </c>
      <c r="C2005" s="10" t="s">
        <v>20</v>
      </c>
      <c r="D2005" s="10" t="s">
        <v>160</v>
      </c>
      <c r="E2005" s="12">
        <v>2</v>
      </c>
      <c r="F2005" s="13">
        <v>3.43</v>
      </c>
      <c r="G2005" s="13">
        <v>6.86</v>
      </c>
    </row>
    <row r="2006" spans="1:7" ht="20.149999999999999" customHeight="1" x14ac:dyDescent="0.35">
      <c r="A2006" s="10" t="s">
        <v>1465</v>
      </c>
      <c r="B2006" s="11" t="s">
        <v>1466</v>
      </c>
      <c r="C2006" s="10" t="s">
        <v>20</v>
      </c>
      <c r="D2006" s="10" t="s">
        <v>160</v>
      </c>
      <c r="E2006" s="12">
        <v>1</v>
      </c>
      <c r="F2006" s="13">
        <v>9.2899999999999991</v>
      </c>
      <c r="G2006" s="13">
        <v>9.2899999999999991</v>
      </c>
    </row>
    <row r="2007" spans="1:7" ht="29.15" customHeight="1" x14ac:dyDescent="0.35">
      <c r="A2007" s="10" t="s">
        <v>1445</v>
      </c>
      <c r="B2007" s="11" t="s">
        <v>1446</v>
      </c>
      <c r="C2007" s="10" t="s">
        <v>20</v>
      </c>
      <c r="D2007" s="10" t="s">
        <v>160</v>
      </c>
      <c r="E2007" s="12">
        <v>0.11254815</v>
      </c>
      <c r="F2007" s="13">
        <v>21.03</v>
      </c>
      <c r="G2007" s="13">
        <v>2.36</v>
      </c>
    </row>
    <row r="2008" spans="1:7" ht="15" customHeight="1" x14ac:dyDescent="0.35">
      <c r="A2008" s="8"/>
      <c r="B2008" s="8"/>
      <c r="C2008" s="8"/>
      <c r="D2008" s="8"/>
      <c r="E2008" s="60" t="s">
        <v>714</v>
      </c>
      <c r="F2008" s="60"/>
      <c r="G2008" s="14">
        <v>18.510000000000002</v>
      </c>
    </row>
    <row r="2009" spans="1:7" ht="15" customHeight="1" x14ac:dyDescent="0.35">
      <c r="A2009" s="59" t="s">
        <v>715</v>
      </c>
      <c r="B2009" s="59"/>
      <c r="C2009" s="9" t="s">
        <v>3</v>
      </c>
      <c r="D2009" s="9" t="s">
        <v>4</v>
      </c>
      <c r="E2009" s="9" t="s">
        <v>702</v>
      </c>
      <c r="F2009" s="9" t="s">
        <v>703</v>
      </c>
      <c r="G2009" s="9" t="s">
        <v>704</v>
      </c>
    </row>
    <row r="2010" spans="1:7" ht="20.149999999999999" customHeight="1" x14ac:dyDescent="0.35">
      <c r="A2010" s="10" t="s">
        <v>1300</v>
      </c>
      <c r="B2010" s="11" t="s">
        <v>1301</v>
      </c>
      <c r="C2010" s="10" t="s">
        <v>20</v>
      </c>
      <c r="D2010" s="10" t="s">
        <v>718</v>
      </c>
      <c r="E2010" s="12">
        <v>0.1846534</v>
      </c>
      <c r="F2010" s="13">
        <v>15.03</v>
      </c>
      <c r="G2010" s="13">
        <v>2.77</v>
      </c>
    </row>
    <row r="2011" spans="1:7" ht="20.149999999999999" customHeight="1" x14ac:dyDescent="0.35">
      <c r="A2011" s="10" t="s">
        <v>1302</v>
      </c>
      <c r="B2011" s="11" t="s">
        <v>1303</v>
      </c>
      <c r="C2011" s="10" t="s">
        <v>20</v>
      </c>
      <c r="D2011" s="10" t="s">
        <v>718</v>
      </c>
      <c r="E2011" s="12">
        <v>0.18478840999999999</v>
      </c>
      <c r="F2011" s="13">
        <v>18.96</v>
      </c>
      <c r="G2011" s="13">
        <v>3.5</v>
      </c>
    </row>
    <row r="2012" spans="1:7" ht="18" customHeight="1" x14ac:dyDescent="0.35">
      <c r="A2012" s="8"/>
      <c r="B2012" s="8"/>
      <c r="C2012" s="8"/>
      <c r="D2012" s="8"/>
      <c r="E2012" s="60" t="s">
        <v>721</v>
      </c>
      <c r="F2012" s="60"/>
      <c r="G2012" s="14">
        <v>6.27</v>
      </c>
    </row>
    <row r="2013" spans="1:7" ht="15" customHeight="1" x14ac:dyDescent="0.35">
      <c r="A2013" s="8"/>
      <c r="B2013" s="8"/>
      <c r="C2013" s="8"/>
      <c r="D2013" s="8"/>
      <c r="E2013" s="61" t="s">
        <v>726</v>
      </c>
      <c r="F2013" s="61"/>
      <c r="G2013" s="4">
        <v>24.78</v>
      </c>
    </row>
    <row r="2014" spans="1:7" ht="10" customHeight="1" x14ac:dyDescent="0.35">
      <c r="A2014" s="8"/>
      <c r="B2014" s="8"/>
      <c r="C2014" s="57"/>
      <c r="D2014" s="57"/>
      <c r="E2014" s="8"/>
      <c r="F2014" s="8"/>
      <c r="G2014" s="8"/>
    </row>
    <row r="2015" spans="1:7" ht="20.149999999999999" customHeight="1" x14ac:dyDescent="0.35">
      <c r="A2015" s="58" t="s">
        <v>1467</v>
      </c>
      <c r="B2015" s="58"/>
      <c r="C2015" s="58"/>
      <c r="D2015" s="58"/>
      <c r="E2015" s="58"/>
      <c r="F2015" s="58"/>
      <c r="G2015" s="58"/>
    </row>
    <row r="2016" spans="1:7" ht="15" customHeight="1" x14ac:dyDescent="0.35">
      <c r="A2016" s="59" t="s">
        <v>701</v>
      </c>
      <c r="B2016" s="59"/>
      <c r="C2016" s="9" t="s">
        <v>3</v>
      </c>
      <c r="D2016" s="9" t="s">
        <v>4</v>
      </c>
      <c r="E2016" s="9" t="s">
        <v>702</v>
      </c>
      <c r="F2016" s="9" t="s">
        <v>703</v>
      </c>
      <c r="G2016" s="9" t="s">
        <v>704</v>
      </c>
    </row>
    <row r="2017" spans="1:7" ht="20.149999999999999" customHeight="1" x14ac:dyDescent="0.35">
      <c r="A2017" s="10" t="s">
        <v>1468</v>
      </c>
      <c r="B2017" s="11" t="s">
        <v>1469</v>
      </c>
      <c r="C2017" s="10" t="s">
        <v>20</v>
      </c>
      <c r="D2017" s="10" t="s">
        <v>160</v>
      </c>
      <c r="E2017" s="12">
        <v>2</v>
      </c>
      <c r="F2017" s="13">
        <v>1.94</v>
      </c>
      <c r="G2017" s="13">
        <v>3.88</v>
      </c>
    </row>
    <row r="2018" spans="1:7" ht="20.149999999999999" customHeight="1" x14ac:dyDescent="0.35">
      <c r="A2018" s="10" t="s">
        <v>1470</v>
      </c>
      <c r="B2018" s="11" t="s">
        <v>1471</v>
      </c>
      <c r="C2018" s="10" t="s">
        <v>20</v>
      </c>
      <c r="D2018" s="10" t="s">
        <v>160</v>
      </c>
      <c r="E2018" s="12">
        <v>1</v>
      </c>
      <c r="F2018" s="13">
        <v>2.81</v>
      </c>
      <c r="G2018" s="13">
        <v>2.81</v>
      </c>
    </row>
    <row r="2019" spans="1:7" ht="29.15" customHeight="1" x14ac:dyDescent="0.35">
      <c r="A2019" s="10" t="s">
        <v>1445</v>
      </c>
      <c r="B2019" s="11" t="s">
        <v>1446</v>
      </c>
      <c r="C2019" s="10" t="s">
        <v>20</v>
      </c>
      <c r="D2019" s="10" t="s">
        <v>160</v>
      </c>
      <c r="E2019" s="12">
        <v>6.2466170000000001E-2</v>
      </c>
      <c r="F2019" s="13">
        <v>21.03</v>
      </c>
      <c r="G2019" s="13">
        <v>1.31</v>
      </c>
    </row>
    <row r="2020" spans="1:7" ht="15" customHeight="1" x14ac:dyDescent="0.35">
      <c r="A2020" s="8"/>
      <c r="B2020" s="8"/>
      <c r="C2020" s="8"/>
      <c r="D2020" s="8"/>
      <c r="E2020" s="60" t="s">
        <v>714</v>
      </c>
      <c r="F2020" s="60"/>
      <c r="G2020" s="14">
        <v>8</v>
      </c>
    </row>
    <row r="2021" spans="1:7" ht="15" customHeight="1" x14ac:dyDescent="0.35">
      <c r="A2021" s="59" t="s">
        <v>715</v>
      </c>
      <c r="B2021" s="59"/>
      <c r="C2021" s="9" t="s">
        <v>3</v>
      </c>
      <c r="D2021" s="9" t="s">
        <v>4</v>
      </c>
      <c r="E2021" s="9" t="s">
        <v>702</v>
      </c>
      <c r="F2021" s="9" t="s">
        <v>703</v>
      </c>
      <c r="G2021" s="9" t="s">
        <v>704</v>
      </c>
    </row>
    <row r="2022" spans="1:7" ht="20.149999999999999" customHeight="1" x14ac:dyDescent="0.35">
      <c r="A2022" s="10" t="s">
        <v>1300</v>
      </c>
      <c r="B2022" s="11" t="s">
        <v>1301</v>
      </c>
      <c r="C2022" s="10" t="s">
        <v>20</v>
      </c>
      <c r="D2022" s="10" t="s">
        <v>718</v>
      </c>
      <c r="E2022" s="12">
        <v>4.332366E-2</v>
      </c>
      <c r="F2022" s="13">
        <v>15.03</v>
      </c>
      <c r="G2022" s="13">
        <v>0.65</v>
      </c>
    </row>
    <row r="2023" spans="1:7" ht="20.149999999999999" customHeight="1" x14ac:dyDescent="0.35">
      <c r="A2023" s="10" t="s">
        <v>1302</v>
      </c>
      <c r="B2023" s="11" t="s">
        <v>1303</v>
      </c>
      <c r="C2023" s="10" t="s">
        <v>20</v>
      </c>
      <c r="D2023" s="10" t="s">
        <v>718</v>
      </c>
      <c r="E2023" s="12">
        <v>4.1871409999999998E-2</v>
      </c>
      <c r="F2023" s="13">
        <v>18.96</v>
      </c>
      <c r="G2023" s="13">
        <v>0.79</v>
      </c>
    </row>
    <row r="2024" spans="1:7" ht="18" customHeight="1" x14ac:dyDescent="0.35">
      <c r="A2024" s="8"/>
      <c r="B2024" s="8"/>
      <c r="C2024" s="8"/>
      <c r="D2024" s="8"/>
      <c r="E2024" s="60" t="s">
        <v>721</v>
      </c>
      <c r="F2024" s="60"/>
      <c r="G2024" s="14">
        <v>1.44</v>
      </c>
    </row>
    <row r="2025" spans="1:7" ht="15" customHeight="1" x14ac:dyDescent="0.35">
      <c r="A2025" s="8"/>
      <c r="B2025" s="8"/>
      <c r="C2025" s="8"/>
      <c r="D2025" s="8"/>
      <c r="E2025" s="61" t="s">
        <v>726</v>
      </c>
      <c r="F2025" s="61"/>
      <c r="G2025" s="4">
        <v>9.44</v>
      </c>
    </row>
    <row r="2026" spans="1:7" ht="10" customHeight="1" x14ac:dyDescent="0.35">
      <c r="A2026" s="8"/>
      <c r="B2026" s="8"/>
      <c r="C2026" s="57"/>
      <c r="D2026" s="57"/>
      <c r="E2026" s="8"/>
      <c r="F2026" s="8"/>
      <c r="G2026" s="8"/>
    </row>
    <row r="2027" spans="1:7" ht="20.149999999999999" customHeight="1" x14ac:dyDescent="0.35">
      <c r="A2027" s="58" t="s">
        <v>1472</v>
      </c>
      <c r="B2027" s="58"/>
      <c r="C2027" s="58"/>
      <c r="D2027" s="58"/>
      <c r="E2027" s="58"/>
      <c r="F2027" s="58"/>
      <c r="G2027" s="58"/>
    </row>
    <row r="2028" spans="1:7" ht="15" customHeight="1" x14ac:dyDescent="0.35">
      <c r="A2028" s="59" t="s">
        <v>701</v>
      </c>
      <c r="B2028" s="59"/>
      <c r="C2028" s="9" t="s">
        <v>3</v>
      </c>
      <c r="D2028" s="9" t="s">
        <v>4</v>
      </c>
      <c r="E2028" s="9" t="s">
        <v>702</v>
      </c>
      <c r="F2028" s="9" t="s">
        <v>703</v>
      </c>
      <c r="G2028" s="9" t="s">
        <v>704</v>
      </c>
    </row>
    <row r="2029" spans="1:7" ht="15" customHeight="1" x14ac:dyDescent="0.35">
      <c r="A2029" s="10" t="s">
        <v>1322</v>
      </c>
      <c r="B2029" s="11" t="s">
        <v>1323</v>
      </c>
      <c r="C2029" s="10" t="s">
        <v>20</v>
      </c>
      <c r="D2029" s="10" t="s">
        <v>160</v>
      </c>
      <c r="E2029" s="12">
        <v>2.52571E-3</v>
      </c>
      <c r="F2029" s="13">
        <v>50.97</v>
      </c>
      <c r="G2029" s="13">
        <v>0.12</v>
      </c>
    </row>
    <row r="2030" spans="1:7" ht="20.149999999999999" customHeight="1" x14ac:dyDescent="0.35">
      <c r="A2030" s="10" t="s">
        <v>1473</v>
      </c>
      <c r="B2030" s="11" t="s">
        <v>1474</v>
      </c>
      <c r="C2030" s="10" t="s">
        <v>20</v>
      </c>
      <c r="D2030" s="10" t="s">
        <v>160</v>
      </c>
      <c r="E2030" s="12">
        <v>1</v>
      </c>
      <c r="F2030" s="13">
        <v>6.59</v>
      </c>
      <c r="G2030" s="13">
        <v>6.59</v>
      </c>
    </row>
    <row r="2031" spans="1:7" ht="15" customHeight="1" x14ac:dyDescent="0.35">
      <c r="A2031" s="10" t="s">
        <v>1296</v>
      </c>
      <c r="B2031" s="11" t="s">
        <v>1297</v>
      </c>
      <c r="C2031" s="10" t="s">
        <v>20</v>
      </c>
      <c r="D2031" s="10" t="s">
        <v>160</v>
      </c>
      <c r="E2031" s="12">
        <v>6.6331899999999997E-3</v>
      </c>
      <c r="F2031" s="13">
        <v>1.75</v>
      </c>
      <c r="G2031" s="13">
        <v>0.01</v>
      </c>
    </row>
    <row r="2032" spans="1:7" ht="20.149999999999999" customHeight="1" x14ac:dyDescent="0.35">
      <c r="A2032" s="10" t="s">
        <v>1326</v>
      </c>
      <c r="B2032" s="11" t="s">
        <v>1327</v>
      </c>
      <c r="C2032" s="10" t="s">
        <v>20</v>
      </c>
      <c r="D2032" s="10" t="s">
        <v>160</v>
      </c>
      <c r="E2032" s="12">
        <v>3.8268400000000002E-3</v>
      </c>
      <c r="F2032" s="13">
        <v>57.75</v>
      </c>
      <c r="G2032" s="13">
        <v>0.22</v>
      </c>
    </row>
    <row r="2033" spans="1:7" ht="15" customHeight="1" x14ac:dyDescent="0.35">
      <c r="A2033" s="8"/>
      <c r="B2033" s="8"/>
      <c r="C2033" s="8"/>
      <c r="D2033" s="8"/>
      <c r="E2033" s="60" t="s">
        <v>714</v>
      </c>
      <c r="F2033" s="60"/>
      <c r="G2033" s="14">
        <v>6.94</v>
      </c>
    </row>
    <row r="2034" spans="1:7" ht="15" customHeight="1" x14ac:dyDescent="0.35">
      <c r="A2034" s="59" t="s">
        <v>715</v>
      </c>
      <c r="B2034" s="59"/>
      <c r="C2034" s="9" t="s">
        <v>3</v>
      </c>
      <c r="D2034" s="9" t="s">
        <v>4</v>
      </c>
      <c r="E2034" s="9" t="s">
        <v>702</v>
      </c>
      <c r="F2034" s="9" t="s">
        <v>703</v>
      </c>
      <c r="G2034" s="9" t="s">
        <v>704</v>
      </c>
    </row>
    <row r="2035" spans="1:7" ht="20.149999999999999" customHeight="1" x14ac:dyDescent="0.35">
      <c r="A2035" s="10" t="s">
        <v>1300</v>
      </c>
      <c r="B2035" s="11" t="s">
        <v>1301</v>
      </c>
      <c r="C2035" s="10" t="s">
        <v>20</v>
      </c>
      <c r="D2035" s="10" t="s">
        <v>718</v>
      </c>
      <c r="E2035" s="12">
        <v>1.1191359999999999E-2</v>
      </c>
      <c r="F2035" s="13">
        <v>15.03</v>
      </c>
      <c r="G2035" s="13">
        <v>0.16</v>
      </c>
    </row>
    <row r="2036" spans="1:7" ht="20.149999999999999" customHeight="1" x14ac:dyDescent="0.35">
      <c r="A2036" s="10" t="s">
        <v>1302</v>
      </c>
      <c r="B2036" s="11" t="s">
        <v>1303</v>
      </c>
      <c r="C2036" s="10" t="s">
        <v>20</v>
      </c>
      <c r="D2036" s="10" t="s">
        <v>718</v>
      </c>
      <c r="E2036" s="12">
        <v>1.132612E-2</v>
      </c>
      <c r="F2036" s="13">
        <v>18.96</v>
      </c>
      <c r="G2036" s="13">
        <v>0.21</v>
      </c>
    </row>
    <row r="2037" spans="1:7" ht="18" customHeight="1" x14ac:dyDescent="0.35">
      <c r="A2037" s="8"/>
      <c r="B2037" s="8"/>
      <c r="C2037" s="8"/>
      <c r="D2037" s="8"/>
      <c r="E2037" s="60" t="s">
        <v>721</v>
      </c>
      <c r="F2037" s="60"/>
      <c r="G2037" s="14">
        <v>0.37</v>
      </c>
    </row>
    <row r="2038" spans="1:7" ht="15" customHeight="1" x14ac:dyDescent="0.35">
      <c r="A2038" s="8"/>
      <c r="B2038" s="8"/>
      <c r="C2038" s="8"/>
      <c r="D2038" s="8"/>
      <c r="E2038" s="61" t="s">
        <v>726</v>
      </c>
      <c r="F2038" s="61"/>
      <c r="G2038" s="4">
        <v>7.31</v>
      </c>
    </row>
    <row r="2039" spans="1:7" ht="10" customHeight="1" x14ac:dyDescent="0.35">
      <c r="A2039" s="8"/>
      <c r="B2039" s="8"/>
      <c r="C2039" s="57"/>
      <c r="D2039" s="57"/>
      <c r="E2039" s="8"/>
      <c r="F2039" s="8"/>
      <c r="G2039" s="8"/>
    </row>
    <row r="2040" spans="1:7" ht="20.149999999999999" customHeight="1" x14ac:dyDescent="0.35">
      <c r="A2040" s="58" t="s">
        <v>1475</v>
      </c>
      <c r="B2040" s="58"/>
      <c r="C2040" s="58"/>
      <c r="D2040" s="58"/>
      <c r="E2040" s="58"/>
      <c r="F2040" s="58"/>
      <c r="G2040" s="58"/>
    </row>
    <row r="2041" spans="1:7" ht="15" customHeight="1" x14ac:dyDescent="0.35">
      <c r="A2041" s="59" t="s">
        <v>701</v>
      </c>
      <c r="B2041" s="59"/>
      <c r="C2041" s="9" t="s">
        <v>3</v>
      </c>
      <c r="D2041" s="9" t="s">
        <v>4</v>
      </c>
      <c r="E2041" s="9" t="s">
        <v>702</v>
      </c>
      <c r="F2041" s="9" t="s">
        <v>703</v>
      </c>
      <c r="G2041" s="9" t="s">
        <v>704</v>
      </c>
    </row>
    <row r="2042" spans="1:7" ht="20.149999999999999" customHeight="1" x14ac:dyDescent="0.35">
      <c r="A2042" s="10" t="s">
        <v>1463</v>
      </c>
      <c r="B2042" s="11" t="s">
        <v>1464</v>
      </c>
      <c r="C2042" s="10" t="s">
        <v>20</v>
      </c>
      <c r="D2042" s="10" t="s">
        <v>160</v>
      </c>
      <c r="E2042" s="12">
        <v>3</v>
      </c>
      <c r="F2042" s="13">
        <v>3.43</v>
      </c>
      <c r="G2042" s="13">
        <v>10.29</v>
      </c>
    </row>
    <row r="2043" spans="1:7" ht="20.149999999999999" customHeight="1" x14ac:dyDescent="0.35">
      <c r="A2043" s="10" t="s">
        <v>1476</v>
      </c>
      <c r="B2043" s="11" t="s">
        <v>1477</v>
      </c>
      <c r="C2043" s="10" t="s">
        <v>20</v>
      </c>
      <c r="D2043" s="10" t="s">
        <v>160</v>
      </c>
      <c r="E2043" s="12">
        <v>1</v>
      </c>
      <c r="F2043" s="13">
        <v>24.17</v>
      </c>
      <c r="G2043" s="13">
        <v>24.17</v>
      </c>
    </row>
    <row r="2044" spans="1:7" ht="29.15" customHeight="1" x14ac:dyDescent="0.35">
      <c r="A2044" s="10" t="s">
        <v>1445</v>
      </c>
      <c r="B2044" s="11" t="s">
        <v>1446</v>
      </c>
      <c r="C2044" s="10" t="s">
        <v>20</v>
      </c>
      <c r="D2044" s="10" t="s">
        <v>160</v>
      </c>
      <c r="E2044" s="12">
        <v>0.20303288</v>
      </c>
      <c r="F2044" s="13">
        <v>21.03</v>
      </c>
      <c r="G2044" s="13">
        <v>4.26</v>
      </c>
    </row>
    <row r="2045" spans="1:7" ht="15" customHeight="1" x14ac:dyDescent="0.35">
      <c r="A2045" s="8"/>
      <c r="B2045" s="8"/>
      <c r="C2045" s="8"/>
      <c r="D2045" s="8"/>
      <c r="E2045" s="60" t="s">
        <v>714</v>
      </c>
      <c r="F2045" s="60"/>
      <c r="G2045" s="14">
        <v>38.72</v>
      </c>
    </row>
    <row r="2046" spans="1:7" ht="15" customHeight="1" x14ac:dyDescent="0.35">
      <c r="A2046" s="59" t="s">
        <v>715</v>
      </c>
      <c r="B2046" s="59"/>
      <c r="C2046" s="9" t="s">
        <v>3</v>
      </c>
      <c r="D2046" s="9" t="s">
        <v>4</v>
      </c>
      <c r="E2046" s="9" t="s">
        <v>702</v>
      </c>
      <c r="F2046" s="9" t="s">
        <v>703</v>
      </c>
      <c r="G2046" s="9" t="s">
        <v>704</v>
      </c>
    </row>
    <row r="2047" spans="1:7" ht="20.149999999999999" customHeight="1" x14ac:dyDescent="0.35">
      <c r="A2047" s="10" t="s">
        <v>1300</v>
      </c>
      <c r="B2047" s="11" t="s">
        <v>1301</v>
      </c>
      <c r="C2047" s="10" t="s">
        <v>20</v>
      </c>
      <c r="D2047" s="10" t="s">
        <v>718</v>
      </c>
      <c r="E2047" s="12">
        <v>0.29675215999999999</v>
      </c>
      <c r="F2047" s="13">
        <v>15.03</v>
      </c>
      <c r="G2047" s="13">
        <v>4.46</v>
      </c>
    </row>
    <row r="2048" spans="1:7" ht="20.149999999999999" customHeight="1" x14ac:dyDescent="0.35">
      <c r="A2048" s="10" t="s">
        <v>1302</v>
      </c>
      <c r="B2048" s="11" t="s">
        <v>1303</v>
      </c>
      <c r="C2048" s="10" t="s">
        <v>20</v>
      </c>
      <c r="D2048" s="10" t="s">
        <v>718</v>
      </c>
      <c r="E2048" s="12">
        <v>0.29661704999999999</v>
      </c>
      <c r="F2048" s="13">
        <v>18.96</v>
      </c>
      <c r="G2048" s="13">
        <v>5.62</v>
      </c>
    </row>
    <row r="2049" spans="1:7" ht="18" customHeight="1" x14ac:dyDescent="0.35">
      <c r="A2049" s="8"/>
      <c r="B2049" s="8"/>
      <c r="C2049" s="8"/>
      <c r="D2049" s="8"/>
      <c r="E2049" s="60" t="s">
        <v>721</v>
      </c>
      <c r="F2049" s="60"/>
      <c r="G2049" s="14">
        <v>10.08</v>
      </c>
    </row>
    <row r="2050" spans="1:7" ht="15" customHeight="1" x14ac:dyDescent="0.35">
      <c r="A2050" s="8"/>
      <c r="B2050" s="8"/>
      <c r="C2050" s="8"/>
      <c r="D2050" s="8"/>
      <c r="E2050" s="61" t="s">
        <v>726</v>
      </c>
      <c r="F2050" s="61"/>
      <c r="G2050" s="4">
        <v>48.8</v>
      </c>
    </row>
    <row r="2051" spans="1:7" ht="10" customHeight="1" x14ac:dyDescent="0.35">
      <c r="A2051" s="8"/>
      <c r="B2051" s="8"/>
      <c r="C2051" s="57"/>
      <c r="D2051" s="57"/>
      <c r="E2051" s="8"/>
      <c r="F2051" s="8"/>
      <c r="G2051" s="8"/>
    </row>
    <row r="2052" spans="1:7" ht="20.149999999999999" customHeight="1" x14ac:dyDescent="0.35">
      <c r="A2052" s="58" t="s">
        <v>1478</v>
      </c>
      <c r="B2052" s="58"/>
      <c r="C2052" s="58"/>
      <c r="D2052" s="58"/>
      <c r="E2052" s="58"/>
      <c r="F2052" s="58"/>
      <c r="G2052" s="58"/>
    </row>
    <row r="2053" spans="1:7" ht="15" customHeight="1" x14ac:dyDescent="0.35">
      <c r="A2053" s="59" t="s">
        <v>701</v>
      </c>
      <c r="B2053" s="59"/>
      <c r="C2053" s="9" t="s">
        <v>3</v>
      </c>
      <c r="D2053" s="9" t="s">
        <v>4</v>
      </c>
      <c r="E2053" s="9" t="s">
        <v>702</v>
      </c>
      <c r="F2053" s="9" t="s">
        <v>703</v>
      </c>
      <c r="G2053" s="9" t="s">
        <v>704</v>
      </c>
    </row>
    <row r="2054" spans="1:7" ht="20.149999999999999" customHeight="1" x14ac:dyDescent="0.35">
      <c r="A2054" s="10" t="s">
        <v>1468</v>
      </c>
      <c r="B2054" s="11" t="s">
        <v>1469</v>
      </c>
      <c r="C2054" s="10" t="s">
        <v>20</v>
      </c>
      <c r="D2054" s="10" t="s">
        <v>160</v>
      </c>
      <c r="E2054" s="12">
        <v>3</v>
      </c>
      <c r="F2054" s="13">
        <v>1.94</v>
      </c>
      <c r="G2054" s="13">
        <v>5.82</v>
      </c>
    </row>
    <row r="2055" spans="1:7" ht="20.149999999999999" customHeight="1" x14ac:dyDescent="0.35">
      <c r="A2055" s="10" t="s">
        <v>1479</v>
      </c>
      <c r="B2055" s="11" t="s">
        <v>1480</v>
      </c>
      <c r="C2055" s="10" t="s">
        <v>20</v>
      </c>
      <c r="D2055" s="10" t="s">
        <v>160</v>
      </c>
      <c r="E2055" s="12">
        <v>1</v>
      </c>
      <c r="F2055" s="13">
        <v>9.89</v>
      </c>
      <c r="G2055" s="13">
        <v>9.89</v>
      </c>
    </row>
    <row r="2056" spans="1:7" ht="29.15" customHeight="1" x14ac:dyDescent="0.35">
      <c r="A2056" s="10" t="s">
        <v>1445</v>
      </c>
      <c r="B2056" s="11" t="s">
        <v>1446</v>
      </c>
      <c r="C2056" s="10" t="s">
        <v>20</v>
      </c>
      <c r="D2056" s="10" t="s">
        <v>160</v>
      </c>
      <c r="E2056" s="12">
        <v>9.7489069999999997E-2</v>
      </c>
      <c r="F2056" s="13">
        <v>21.03</v>
      </c>
      <c r="G2056" s="13">
        <v>2.0499999999999998</v>
      </c>
    </row>
    <row r="2057" spans="1:7" ht="15" customHeight="1" x14ac:dyDescent="0.35">
      <c r="A2057" s="8"/>
      <c r="B2057" s="8"/>
      <c r="C2057" s="8"/>
      <c r="D2057" s="8"/>
      <c r="E2057" s="60" t="s">
        <v>714</v>
      </c>
      <c r="F2057" s="60"/>
      <c r="G2057" s="14">
        <v>17.760000000000002</v>
      </c>
    </row>
    <row r="2058" spans="1:7" ht="15" customHeight="1" x14ac:dyDescent="0.35">
      <c r="A2058" s="59" t="s">
        <v>715</v>
      </c>
      <c r="B2058" s="59"/>
      <c r="C2058" s="9" t="s">
        <v>3</v>
      </c>
      <c r="D2058" s="9" t="s">
        <v>4</v>
      </c>
      <c r="E2058" s="9" t="s">
        <v>702</v>
      </c>
      <c r="F2058" s="9" t="s">
        <v>703</v>
      </c>
      <c r="G2058" s="9" t="s">
        <v>704</v>
      </c>
    </row>
    <row r="2059" spans="1:7" ht="20.149999999999999" customHeight="1" x14ac:dyDescent="0.35">
      <c r="A2059" s="10" t="s">
        <v>1300</v>
      </c>
      <c r="B2059" s="11" t="s">
        <v>1301</v>
      </c>
      <c r="C2059" s="10" t="s">
        <v>20</v>
      </c>
      <c r="D2059" s="10" t="s">
        <v>718</v>
      </c>
      <c r="E2059" s="12">
        <v>5.8934899999999998E-2</v>
      </c>
      <c r="F2059" s="13">
        <v>15.03</v>
      </c>
      <c r="G2059" s="13">
        <v>0.88</v>
      </c>
    </row>
    <row r="2060" spans="1:7" ht="20.149999999999999" customHeight="1" x14ac:dyDescent="0.35">
      <c r="A2060" s="10" t="s">
        <v>1302</v>
      </c>
      <c r="B2060" s="11" t="s">
        <v>1303</v>
      </c>
      <c r="C2060" s="10" t="s">
        <v>20</v>
      </c>
      <c r="D2060" s="10" t="s">
        <v>718</v>
      </c>
      <c r="E2060" s="12">
        <v>5.8664719999999997E-2</v>
      </c>
      <c r="F2060" s="13">
        <v>18.96</v>
      </c>
      <c r="G2060" s="13">
        <v>1.1100000000000001</v>
      </c>
    </row>
    <row r="2061" spans="1:7" ht="18" customHeight="1" x14ac:dyDescent="0.35">
      <c r="A2061" s="8"/>
      <c r="B2061" s="8"/>
      <c r="C2061" s="8"/>
      <c r="D2061" s="8"/>
      <c r="E2061" s="60" t="s">
        <v>721</v>
      </c>
      <c r="F2061" s="60"/>
      <c r="G2061" s="14">
        <v>1.99</v>
      </c>
    </row>
    <row r="2062" spans="1:7" ht="15" customHeight="1" x14ac:dyDescent="0.35">
      <c r="A2062" s="8"/>
      <c r="B2062" s="8"/>
      <c r="C2062" s="8"/>
      <c r="D2062" s="8"/>
      <c r="E2062" s="61" t="s">
        <v>726</v>
      </c>
      <c r="F2062" s="61"/>
      <c r="G2062" s="4">
        <v>19.75</v>
      </c>
    </row>
    <row r="2063" spans="1:7" ht="10" customHeight="1" x14ac:dyDescent="0.35">
      <c r="A2063" s="8"/>
      <c r="B2063" s="8"/>
      <c r="C2063" s="57"/>
      <c r="D2063" s="57"/>
      <c r="E2063" s="8"/>
      <c r="F2063" s="8"/>
      <c r="G2063" s="8"/>
    </row>
    <row r="2064" spans="1:7" ht="20.149999999999999" customHeight="1" x14ac:dyDescent="0.35">
      <c r="A2064" s="58" t="s">
        <v>1481</v>
      </c>
      <c r="B2064" s="58"/>
      <c r="C2064" s="58"/>
      <c r="D2064" s="58"/>
      <c r="E2064" s="58"/>
      <c r="F2064" s="58"/>
      <c r="G2064" s="58"/>
    </row>
    <row r="2065" spans="1:7" ht="15" customHeight="1" x14ac:dyDescent="0.35">
      <c r="A2065" s="59" t="s">
        <v>701</v>
      </c>
      <c r="B2065" s="59"/>
      <c r="C2065" s="9" t="s">
        <v>3</v>
      </c>
      <c r="D2065" s="9" t="s">
        <v>4</v>
      </c>
      <c r="E2065" s="9" t="s">
        <v>702</v>
      </c>
      <c r="F2065" s="9" t="s">
        <v>703</v>
      </c>
      <c r="G2065" s="9" t="s">
        <v>704</v>
      </c>
    </row>
    <row r="2066" spans="1:7" ht="20.149999999999999" customHeight="1" x14ac:dyDescent="0.35">
      <c r="A2066" s="10" t="s">
        <v>1468</v>
      </c>
      <c r="B2066" s="11" t="s">
        <v>1469</v>
      </c>
      <c r="C2066" s="10" t="s">
        <v>20</v>
      </c>
      <c r="D2066" s="10" t="s">
        <v>160</v>
      </c>
      <c r="E2066" s="12">
        <v>3</v>
      </c>
      <c r="F2066" s="13">
        <v>1.94</v>
      </c>
      <c r="G2066" s="13">
        <v>5.82</v>
      </c>
    </row>
    <row r="2067" spans="1:7" ht="29.15" customHeight="1" x14ac:dyDescent="0.35">
      <c r="A2067" s="10" t="s">
        <v>1445</v>
      </c>
      <c r="B2067" s="11" t="s">
        <v>1446</v>
      </c>
      <c r="C2067" s="10" t="s">
        <v>20</v>
      </c>
      <c r="D2067" s="10" t="s">
        <v>160</v>
      </c>
      <c r="E2067" s="12">
        <v>7.7710420000000002E-2</v>
      </c>
      <c r="F2067" s="13">
        <v>21.03</v>
      </c>
      <c r="G2067" s="13">
        <v>1.63</v>
      </c>
    </row>
    <row r="2068" spans="1:7" ht="20.149999999999999" customHeight="1" x14ac:dyDescent="0.35">
      <c r="A2068" s="10" t="s">
        <v>1482</v>
      </c>
      <c r="B2068" s="11" t="s">
        <v>1483</v>
      </c>
      <c r="C2068" s="10" t="s">
        <v>20</v>
      </c>
      <c r="D2068" s="10" t="s">
        <v>160</v>
      </c>
      <c r="E2068" s="12">
        <v>1</v>
      </c>
      <c r="F2068" s="13">
        <v>7.92</v>
      </c>
      <c r="G2068" s="13">
        <v>7.92</v>
      </c>
    </row>
    <row r="2069" spans="1:7" ht="15" customHeight="1" x14ac:dyDescent="0.35">
      <c r="A2069" s="8"/>
      <c r="B2069" s="8"/>
      <c r="C2069" s="8"/>
      <c r="D2069" s="8"/>
      <c r="E2069" s="60" t="s">
        <v>714</v>
      </c>
      <c r="F2069" s="60"/>
      <c r="G2069" s="14">
        <v>15.37</v>
      </c>
    </row>
    <row r="2070" spans="1:7" ht="15" customHeight="1" x14ac:dyDescent="0.35">
      <c r="A2070" s="59" t="s">
        <v>715</v>
      </c>
      <c r="B2070" s="59"/>
      <c r="C2070" s="9" t="s">
        <v>3</v>
      </c>
      <c r="D2070" s="9" t="s">
        <v>4</v>
      </c>
      <c r="E2070" s="9" t="s">
        <v>702</v>
      </c>
      <c r="F2070" s="9" t="s">
        <v>703</v>
      </c>
      <c r="G2070" s="9" t="s">
        <v>704</v>
      </c>
    </row>
    <row r="2071" spans="1:7" ht="20.149999999999999" customHeight="1" x14ac:dyDescent="0.35">
      <c r="A2071" s="10" t="s">
        <v>1300</v>
      </c>
      <c r="B2071" s="11" t="s">
        <v>1301</v>
      </c>
      <c r="C2071" s="10" t="s">
        <v>20</v>
      </c>
      <c r="D2071" s="10" t="s">
        <v>718</v>
      </c>
      <c r="E2071" s="12">
        <v>0.18793971000000001</v>
      </c>
      <c r="F2071" s="13">
        <v>15.03</v>
      </c>
      <c r="G2071" s="13">
        <v>2.82</v>
      </c>
    </row>
    <row r="2072" spans="1:7" ht="20.149999999999999" customHeight="1" x14ac:dyDescent="0.35">
      <c r="A2072" s="10" t="s">
        <v>1302</v>
      </c>
      <c r="B2072" s="11" t="s">
        <v>1303</v>
      </c>
      <c r="C2072" s="10" t="s">
        <v>20</v>
      </c>
      <c r="D2072" s="10" t="s">
        <v>718</v>
      </c>
      <c r="E2072" s="12">
        <v>0.18662275</v>
      </c>
      <c r="F2072" s="13">
        <v>18.96</v>
      </c>
      <c r="G2072" s="13">
        <v>3.53</v>
      </c>
    </row>
    <row r="2073" spans="1:7" ht="18" customHeight="1" x14ac:dyDescent="0.35">
      <c r="A2073" s="8"/>
      <c r="B2073" s="8"/>
      <c r="C2073" s="8"/>
      <c r="D2073" s="8"/>
      <c r="E2073" s="60" t="s">
        <v>721</v>
      </c>
      <c r="F2073" s="60"/>
      <c r="G2073" s="14">
        <v>6.35</v>
      </c>
    </row>
    <row r="2074" spans="1:7" ht="15" customHeight="1" x14ac:dyDescent="0.35">
      <c r="A2074" s="8"/>
      <c r="B2074" s="8"/>
      <c r="C2074" s="8"/>
      <c r="D2074" s="8"/>
      <c r="E2074" s="61" t="s">
        <v>726</v>
      </c>
      <c r="F2074" s="61"/>
      <c r="G2074" s="4">
        <v>21.72</v>
      </c>
    </row>
    <row r="2075" spans="1:7" ht="10" customHeight="1" x14ac:dyDescent="0.35">
      <c r="A2075" s="8"/>
      <c r="B2075" s="8"/>
      <c r="C2075" s="57"/>
      <c r="D2075" s="57"/>
      <c r="E2075" s="8"/>
      <c r="F2075" s="8"/>
      <c r="G2075" s="8"/>
    </row>
    <row r="2076" spans="1:7" ht="20.149999999999999" customHeight="1" x14ac:dyDescent="0.35">
      <c r="A2076" s="58" t="s">
        <v>1484</v>
      </c>
      <c r="B2076" s="58"/>
      <c r="C2076" s="58"/>
      <c r="D2076" s="58"/>
      <c r="E2076" s="58"/>
      <c r="F2076" s="58"/>
      <c r="G2076" s="58"/>
    </row>
    <row r="2077" spans="1:7" ht="15" customHeight="1" x14ac:dyDescent="0.35">
      <c r="A2077" s="59" t="s">
        <v>701</v>
      </c>
      <c r="B2077" s="59"/>
      <c r="C2077" s="9" t="s">
        <v>3</v>
      </c>
      <c r="D2077" s="9" t="s">
        <v>4</v>
      </c>
      <c r="E2077" s="9" t="s">
        <v>702</v>
      </c>
      <c r="F2077" s="9" t="s">
        <v>703</v>
      </c>
      <c r="G2077" s="9" t="s">
        <v>704</v>
      </c>
    </row>
    <row r="2078" spans="1:7" ht="15" customHeight="1" x14ac:dyDescent="0.35">
      <c r="A2078" s="10" t="s">
        <v>1322</v>
      </c>
      <c r="B2078" s="11" t="s">
        <v>1323</v>
      </c>
      <c r="C2078" s="10" t="s">
        <v>20</v>
      </c>
      <c r="D2078" s="10" t="s">
        <v>160</v>
      </c>
      <c r="E2078" s="12">
        <v>2.698472E-2</v>
      </c>
      <c r="F2078" s="13">
        <v>50.97</v>
      </c>
      <c r="G2078" s="13">
        <v>1.37</v>
      </c>
    </row>
    <row r="2079" spans="1:7" ht="20.149999999999999" customHeight="1" x14ac:dyDescent="0.35">
      <c r="A2079" s="10" t="s">
        <v>1485</v>
      </c>
      <c r="B2079" s="11" t="s">
        <v>1486</v>
      </c>
      <c r="C2079" s="10" t="s">
        <v>20</v>
      </c>
      <c r="D2079" s="10" t="s">
        <v>160</v>
      </c>
      <c r="E2079" s="12">
        <v>1</v>
      </c>
      <c r="F2079" s="13">
        <v>21.19</v>
      </c>
      <c r="G2079" s="13">
        <v>21.19</v>
      </c>
    </row>
    <row r="2080" spans="1:7" ht="15" customHeight="1" x14ac:dyDescent="0.35">
      <c r="A2080" s="10" t="s">
        <v>1296</v>
      </c>
      <c r="B2080" s="11" t="s">
        <v>1297</v>
      </c>
      <c r="C2080" s="10" t="s">
        <v>20</v>
      </c>
      <c r="D2080" s="10" t="s">
        <v>160</v>
      </c>
      <c r="E2080" s="12">
        <v>1.423167E-2</v>
      </c>
      <c r="F2080" s="13">
        <v>1.75</v>
      </c>
      <c r="G2080" s="13">
        <v>0.02</v>
      </c>
    </row>
    <row r="2081" spans="1:7" ht="20.149999999999999" customHeight="1" x14ac:dyDescent="0.35">
      <c r="A2081" s="10" t="s">
        <v>1326</v>
      </c>
      <c r="B2081" s="11" t="s">
        <v>1327</v>
      </c>
      <c r="C2081" s="10" t="s">
        <v>20</v>
      </c>
      <c r="D2081" s="10" t="s">
        <v>160</v>
      </c>
      <c r="E2081" s="12">
        <v>4.0492220000000002E-2</v>
      </c>
      <c r="F2081" s="13">
        <v>57.75</v>
      </c>
      <c r="G2081" s="13">
        <v>2.33</v>
      </c>
    </row>
    <row r="2082" spans="1:7" ht="15" customHeight="1" x14ac:dyDescent="0.35">
      <c r="A2082" s="8"/>
      <c r="B2082" s="8"/>
      <c r="C2082" s="8"/>
      <c r="D2082" s="8"/>
      <c r="E2082" s="60" t="s">
        <v>714</v>
      </c>
      <c r="F2082" s="60"/>
      <c r="G2082" s="14">
        <v>24.91</v>
      </c>
    </row>
    <row r="2083" spans="1:7" ht="15" customHeight="1" x14ac:dyDescent="0.35">
      <c r="A2083" s="59" t="s">
        <v>715</v>
      </c>
      <c r="B2083" s="59"/>
      <c r="C2083" s="9" t="s">
        <v>3</v>
      </c>
      <c r="D2083" s="9" t="s">
        <v>4</v>
      </c>
      <c r="E2083" s="9" t="s">
        <v>702</v>
      </c>
      <c r="F2083" s="9" t="s">
        <v>703</v>
      </c>
      <c r="G2083" s="9" t="s">
        <v>704</v>
      </c>
    </row>
    <row r="2084" spans="1:7" ht="20.149999999999999" customHeight="1" x14ac:dyDescent="0.35">
      <c r="A2084" s="10" t="s">
        <v>1300</v>
      </c>
      <c r="B2084" s="11" t="s">
        <v>1301</v>
      </c>
      <c r="C2084" s="10" t="s">
        <v>20</v>
      </c>
      <c r="D2084" s="10" t="s">
        <v>718</v>
      </c>
      <c r="E2084" s="12">
        <v>0.36009944999999999</v>
      </c>
      <c r="F2084" s="13">
        <v>15.03</v>
      </c>
      <c r="G2084" s="13">
        <v>5.41</v>
      </c>
    </row>
    <row r="2085" spans="1:7" ht="20.149999999999999" customHeight="1" x14ac:dyDescent="0.35">
      <c r="A2085" s="10" t="s">
        <v>1302</v>
      </c>
      <c r="B2085" s="11" t="s">
        <v>1303</v>
      </c>
      <c r="C2085" s="10" t="s">
        <v>20</v>
      </c>
      <c r="D2085" s="10" t="s">
        <v>718</v>
      </c>
      <c r="E2085" s="12">
        <v>0.36023446999999997</v>
      </c>
      <c r="F2085" s="13">
        <v>18.96</v>
      </c>
      <c r="G2085" s="13">
        <v>6.83</v>
      </c>
    </row>
    <row r="2086" spans="1:7" ht="18" customHeight="1" x14ac:dyDescent="0.35">
      <c r="A2086" s="8"/>
      <c r="B2086" s="8"/>
      <c r="C2086" s="8"/>
      <c r="D2086" s="8"/>
      <c r="E2086" s="60" t="s">
        <v>721</v>
      </c>
      <c r="F2086" s="60"/>
      <c r="G2086" s="14">
        <v>12.24</v>
      </c>
    </row>
    <row r="2087" spans="1:7" ht="15" customHeight="1" x14ac:dyDescent="0.35">
      <c r="A2087" s="8"/>
      <c r="B2087" s="8"/>
      <c r="C2087" s="8"/>
      <c r="D2087" s="8"/>
      <c r="E2087" s="61" t="s">
        <v>726</v>
      </c>
      <c r="F2087" s="61"/>
      <c r="G2087" s="4">
        <v>37.15</v>
      </c>
    </row>
    <row r="2088" spans="1:7" ht="10" customHeight="1" x14ac:dyDescent="0.35">
      <c r="A2088" s="8"/>
      <c r="B2088" s="8"/>
      <c r="C2088" s="57"/>
      <c r="D2088" s="57"/>
      <c r="E2088" s="8"/>
      <c r="F2088" s="8"/>
      <c r="G2088" s="8"/>
    </row>
    <row r="2089" spans="1:7" ht="20.149999999999999" customHeight="1" x14ac:dyDescent="0.35">
      <c r="A2089" s="58" t="s">
        <v>1487</v>
      </c>
      <c r="B2089" s="58"/>
      <c r="C2089" s="58"/>
      <c r="D2089" s="58"/>
      <c r="E2089" s="58"/>
      <c r="F2089" s="58"/>
      <c r="G2089" s="58"/>
    </row>
    <row r="2090" spans="1:7" ht="15" customHeight="1" x14ac:dyDescent="0.35">
      <c r="A2090" s="59" t="s">
        <v>701</v>
      </c>
      <c r="B2090" s="59"/>
      <c r="C2090" s="9" t="s">
        <v>3</v>
      </c>
      <c r="D2090" s="9" t="s">
        <v>4</v>
      </c>
      <c r="E2090" s="9" t="s">
        <v>702</v>
      </c>
      <c r="F2090" s="9" t="s">
        <v>703</v>
      </c>
      <c r="G2090" s="9" t="s">
        <v>704</v>
      </c>
    </row>
    <row r="2091" spans="1:7" ht="15" customHeight="1" x14ac:dyDescent="0.35">
      <c r="A2091" s="10" t="s">
        <v>1387</v>
      </c>
      <c r="B2091" s="11" t="s">
        <v>1388</v>
      </c>
      <c r="C2091" s="10" t="s">
        <v>20</v>
      </c>
      <c r="D2091" s="10" t="s">
        <v>160</v>
      </c>
      <c r="E2091" s="12">
        <v>1.139709E-2</v>
      </c>
      <c r="F2091" s="13">
        <v>2.44</v>
      </c>
      <c r="G2091" s="13">
        <v>0.02</v>
      </c>
    </row>
    <row r="2092" spans="1:7" ht="15" customHeight="1" x14ac:dyDescent="0.35">
      <c r="A2092" s="10" t="s">
        <v>1488</v>
      </c>
      <c r="B2092" s="11" t="s">
        <v>1489</v>
      </c>
      <c r="C2092" s="10" t="s">
        <v>20</v>
      </c>
      <c r="D2092" s="10" t="s">
        <v>160</v>
      </c>
      <c r="E2092" s="12">
        <v>1</v>
      </c>
      <c r="F2092" s="13">
        <v>18.75</v>
      </c>
      <c r="G2092" s="13">
        <v>18.75</v>
      </c>
    </row>
    <row r="2093" spans="1:7" ht="15" customHeight="1" x14ac:dyDescent="0.35">
      <c r="A2093" s="8"/>
      <c r="B2093" s="8"/>
      <c r="C2093" s="8"/>
      <c r="D2093" s="8"/>
      <c r="E2093" s="60" t="s">
        <v>714</v>
      </c>
      <c r="F2093" s="60"/>
      <c r="G2093" s="14">
        <v>18.77</v>
      </c>
    </row>
    <row r="2094" spans="1:7" ht="15" customHeight="1" x14ac:dyDescent="0.35">
      <c r="A2094" s="59" t="s">
        <v>715</v>
      </c>
      <c r="B2094" s="59"/>
      <c r="C2094" s="9" t="s">
        <v>3</v>
      </c>
      <c r="D2094" s="9" t="s">
        <v>4</v>
      </c>
      <c r="E2094" s="9" t="s">
        <v>702</v>
      </c>
      <c r="F2094" s="9" t="s">
        <v>703</v>
      </c>
      <c r="G2094" s="9" t="s">
        <v>704</v>
      </c>
    </row>
    <row r="2095" spans="1:7" ht="20.149999999999999" customHeight="1" x14ac:dyDescent="0.35">
      <c r="A2095" s="10" t="s">
        <v>1302</v>
      </c>
      <c r="B2095" s="11" t="s">
        <v>1303</v>
      </c>
      <c r="C2095" s="10" t="s">
        <v>20</v>
      </c>
      <c r="D2095" s="10" t="s">
        <v>718</v>
      </c>
      <c r="E2095" s="12">
        <v>5.9327100000000001E-2</v>
      </c>
      <c r="F2095" s="13">
        <v>18.96</v>
      </c>
      <c r="G2095" s="13">
        <v>1.1200000000000001</v>
      </c>
    </row>
    <row r="2096" spans="1:7" ht="15" customHeight="1" x14ac:dyDescent="0.35">
      <c r="A2096" s="10" t="s">
        <v>719</v>
      </c>
      <c r="B2096" s="11" t="s">
        <v>720</v>
      </c>
      <c r="C2096" s="10" t="s">
        <v>20</v>
      </c>
      <c r="D2096" s="10" t="s">
        <v>718</v>
      </c>
      <c r="E2096" s="12">
        <v>1.74448E-2</v>
      </c>
      <c r="F2096" s="13">
        <v>15.53</v>
      </c>
      <c r="G2096" s="13">
        <v>0.27</v>
      </c>
    </row>
    <row r="2097" spans="1:7" ht="18" customHeight="1" x14ac:dyDescent="0.35">
      <c r="A2097" s="8"/>
      <c r="B2097" s="8"/>
      <c r="C2097" s="8"/>
      <c r="D2097" s="8"/>
      <c r="E2097" s="60" t="s">
        <v>721</v>
      </c>
      <c r="F2097" s="60"/>
      <c r="G2097" s="14">
        <v>1.39</v>
      </c>
    </row>
    <row r="2098" spans="1:7" ht="15" customHeight="1" x14ac:dyDescent="0.35">
      <c r="A2098" s="8"/>
      <c r="B2098" s="8"/>
      <c r="C2098" s="8"/>
      <c r="D2098" s="8"/>
      <c r="E2098" s="61" t="s">
        <v>726</v>
      </c>
      <c r="F2098" s="61"/>
      <c r="G2098" s="4">
        <v>20.16</v>
      </c>
    </row>
    <row r="2099" spans="1:7" ht="10" customHeight="1" x14ac:dyDescent="0.35">
      <c r="A2099" s="8"/>
      <c r="B2099" s="8"/>
      <c r="C2099" s="57"/>
      <c r="D2099" s="57"/>
      <c r="E2099" s="8"/>
      <c r="F2099" s="8"/>
      <c r="G2099" s="8"/>
    </row>
    <row r="2100" spans="1:7" ht="20.149999999999999" customHeight="1" x14ac:dyDescent="0.35">
      <c r="A2100" s="58" t="s">
        <v>1490</v>
      </c>
      <c r="B2100" s="58"/>
      <c r="C2100" s="58"/>
      <c r="D2100" s="58"/>
      <c r="E2100" s="58"/>
      <c r="F2100" s="58"/>
      <c r="G2100" s="58"/>
    </row>
    <row r="2101" spans="1:7" ht="15" customHeight="1" x14ac:dyDescent="0.35">
      <c r="A2101" s="59" t="s">
        <v>701</v>
      </c>
      <c r="B2101" s="59"/>
      <c r="C2101" s="9" t="s">
        <v>3</v>
      </c>
      <c r="D2101" s="9" t="s">
        <v>4</v>
      </c>
      <c r="E2101" s="9" t="s">
        <v>702</v>
      </c>
      <c r="F2101" s="9" t="s">
        <v>703</v>
      </c>
      <c r="G2101" s="9" t="s">
        <v>704</v>
      </c>
    </row>
    <row r="2102" spans="1:7" ht="15" customHeight="1" x14ac:dyDescent="0.35">
      <c r="A2102" s="10" t="s">
        <v>1491</v>
      </c>
      <c r="B2102" s="11" t="s">
        <v>1492</v>
      </c>
      <c r="C2102" s="10" t="s">
        <v>226</v>
      </c>
      <c r="D2102" s="10" t="s">
        <v>359</v>
      </c>
      <c r="E2102" s="12">
        <v>2.040842E-2</v>
      </c>
      <c r="F2102" s="13">
        <v>2.94</v>
      </c>
      <c r="G2102" s="13">
        <v>0.06</v>
      </c>
    </row>
    <row r="2103" spans="1:7" ht="15" customHeight="1" x14ac:dyDescent="0.35">
      <c r="A2103" s="10" t="s">
        <v>1493</v>
      </c>
      <c r="B2103" s="11" t="s">
        <v>1494</v>
      </c>
      <c r="C2103" s="10" t="s">
        <v>226</v>
      </c>
      <c r="D2103" s="10" t="s">
        <v>359</v>
      </c>
      <c r="E2103" s="12">
        <v>1</v>
      </c>
      <c r="F2103" s="13">
        <v>16.75</v>
      </c>
      <c r="G2103" s="13">
        <v>16.75</v>
      </c>
    </row>
    <row r="2104" spans="1:7" ht="15" customHeight="1" x14ac:dyDescent="0.35">
      <c r="A2104" s="8"/>
      <c r="B2104" s="8"/>
      <c r="C2104" s="8"/>
      <c r="D2104" s="8"/>
      <c r="E2104" s="60" t="s">
        <v>714</v>
      </c>
      <c r="F2104" s="60"/>
      <c r="G2104" s="14">
        <v>16.809999999999999</v>
      </c>
    </row>
    <row r="2105" spans="1:7" ht="15" customHeight="1" x14ac:dyDescent="0.35">
      <c r="A2105" s="59" t="s">
        <v>715</v>
      </c>
      <c r="B2105" s="59"/>
      <c r="C2105" s="9" t="s">
        <v>3</v>
      </c>
      <c r="D2105" s="9" t="s">
        <v>4</v>
      </c>
      <c r="E2105" s="9" t="s">
        <v>702</v>
      </c>
      <c r="F2105" s="9" t="s">
        <v>703</v>
      </c>
      <c r="G2105" s="9" t="s">
        <v>704</v>
      </c>
    </row>
    <row r="2106" spans="1:7" ht="15" customHeight="1" x14ac:dyDescent="0.35">
      <c r="A2106" s="10" t="s">
        <v>1495</v>
      </c>
      <c r="B2106" s="11" t="s">
        <v>1496</v>
      </c>
      <c r="C2106" s="10" t="s">
        <v>226</v>
      </c>
      <c r="D2106" s="10" t="s">
        <v>1011</v>
      </c>
      <c r="E2106" s="12">
        <v>7.4672859999999994E-2</v>
      </c>
      <c r="F2106" s="13">
        <v>21.74</v>
      </c>
      <c r="G2106" s="13">
        <v>1.62</v>
      </c>
    </row>
    <row r="2107" spans="1:7" ht="15" customHeight="1" x14ac:dyDescent="0.35">
      <c r="A2107" s="10" t="s">
        <v>1497</v>
      </c>
      <c r="B2107" s="11" t="s">
        <v>1498</v>
      </c>
      <c r="C2107" s="10" t="s">
        <v>226</v>
      </c>
      <c r="D2107" s="10" t="s">
        <v>1011</v>
      </c>
      <c r="E2107" s="12">
        <v>2.2526310000000001E-2</v>
      </c>
      <c r="F2107" s="13">
        <v>17.3</v>
      </c>
      <c r="G2107" s="13">
        <v>0.39</v>
      </c>
    </row>
    <row r="2108" spans="1:7" ht="18" customHeight="1" x14ac:dyDescent="0.35">
      <c r="A2108" s="8"/>
      <c r="B2108" s="8"/>
      <c r="C2108" s="8"/>
      <c r="D2108" s="8"/>
      <c r="E2108" s="60" t="s">
        <v>721</v>
      </c>
      <c r="F2108" s="60"/>
      <c r="G2108" s="14">
        <v>2.0099999999999998</v>
      </c>
    </row>
    <row r="2109" spans="1:7" ht="15" customHeight="1" x14ac:dyDescent="0.35">
      <c r="A2109" s="8"/>
      <c r="B2109" s="8"/>
      <c r="C2109" s="8"/>
      <c r="D2109" s="8"/>
      <c r="E2109" s="61" t="s">
        <v>726</v>
      </c>
      <c r="F2109" s="61"/>
      <c r="G2109" s="4">
        <v>18.82</v>
      </c>
    </row>
    <row r="2110" spans="1:7" ht="10" customHeight="1" x14ac:dyDescent="0.35">
      <c r="A2110" s="8"/>
      <c r="B2110" s="8"/>
      <c r="C2110" s="57"/>
      <c r="D2110" s="57"/>
      <c r="E2110" s="8"/>
      <c r="F2110" s="8"/>
      <c r="G2110" s="8"/>
    </row>
    <row r="2111" spans="1:7" ht="20.149999999999999" customHeight="1" x14ac:dyDescent="0.35">
      <c r="A2111" s="58" t="s">
        <v>1499</v>
      </c>
      <c r="B2111" s="58"/>
      <c r="C2111" s="58"/>
      <c r="D2111" s="58"/>
      <c r="E2111" s="58"/>
      <c r="F2111" s="58"/>
      <c r="G2111" s="58"/>
    </row>
    <row r="2112" spans="1:7" ht="15" customHeight="1" x14ac:dyDescent="0.35">
      <c r="A2112" s="59" t="s">
        <v>701</v>
      </c>
      <c r="B2112" s="59"/>
      <c r="C2112" s="9" t="s">
        <v>3</v>
      </c>
      <c r="D2112" s="9" t="s">
        <v>4</v>
      </c>
      <c r="E2112" s="9" t="s">
        <v>702</v>
      </c>
      <c r="F2112" s="9" t="s">
        <v>703</v>
      </c>
      <c r="G2112" s="9" t="s">
        <v>704</v>
      </c>
    </row>
    <row r="2113" spans="1:7" ht="15" customHeight="1" x14ac:dyDescent="0.35">
      <c r="A2113" s="10" t="s">
        <v>1387</v>
      </c>
      <c r="B2113" s="11" t="s">
        <v>1388</v>
      </c>
      <c r="C2113" s="10" t="s">
        <v>20</v>
      </c>
      <c r="D2113" s="10" t="s">
        <v>160</v>
      </c>
      <c r="E2113" s="12">
        <v>1.4348720000000001E-2</v>
      </c>
      <c r="F2113" s="13">
        <v>2.44</v>
      </c>
      <c r="G2113" s="13">
        <v>0.03</v>
      </c>
    </row>
    <row r="2114" spans="1:7" ht="20.149999999999999" customHeight="1" x14ac:dyDescent="0.35">
      <c r="A2114" s="10" t="s">
        <v>1500</v>
      </c>
      <c r="B2114" s="11" t="s">
        <v>1501</v>
      </c>
      <c r="C2114" s="10" t="s">
        <v>20</v>
      </c>
      <c r="D2114" s="10" t="s">
        <v>160</v>
      </c>
      <c r="E2114" s="12">
        <v>1</v>
      </c>
      <c r="F2114" s="13">
        <v>9.75</v>
      </c>
      <c r="G2114" s="13">
        <v>9.75</v>
      </c>
    </row>
    <row r="2115" spans="1:7" ht="15" customHeight="1" x14ac:dyDescent="0.35">
      <c r="A2115" s="8"/>
      <c r="B2115" s="8"/>
      <c r="C2115" s="8"/>
      <c r="D2115" s="8"/>
      <c r="E2115" s="60" t="s">
        <v>714</v>
      </c>
      <c r="F2115" s="60"/>
      <c r="G2115" s="14">
        <v>9.7799999999999994</v>
      </c>
    </row>
    <row r="2116" spans="1:7" ht="15" customHeight="1" x14ac:dyDescent="0.35">
      <c r="A2116" s="59" t="s">
        <v>715</v>
      </c>
      <c r="B2116" s="59"/>
      <c r="C2116" s="9" t="s">
        <v>3</v>
      </c>
      <c r="D2116" s="9" t="s">
        <v>4</v>
      </c>
      <c r="E2116" s="9" t="s">
        <v>702</v>
      </c>
      <c r="F2116" s="9" t="s">
        <v>703</v>
      </c>
      <c r="G2116" s="9" t="s">
        <v>704</v>
      </c>
    </row>
    <row r="2117" spans="1:7" ht="20.149999999999999" customHeight="1" x14ac:dyDescent="0.35">
      <c r="A2117" s="10" t="s">
        <v>1302</v>
      </c>
      <c r="B2117" s="11" t="s">
        <v>1303</v>
      </c>
      <c r="C2117" s="10" t="s">
        <v>20</v>
      </c>
      <c r="D2117" s="10" t="s">
        <v>718</v>
      </c>
      <c r="E2117" s="12">
        <v>4.4693120000000003E-2</v>
      </c>
      <c r="F2117" s="13">
        <v>18.96</v>
      </c>
      <c r="G2117" s="13">
        <v>0.84</v>
      </c>
    </row>
    <row r="2118" spans="1:7" ht="15" customHeight="1" x14ac:dyDescent="0.35">
      <c r="A2118" s="10" t="s">
        <v>719</v>
      </c>
      <c r="B2118" s="11" t="s">
        <v>720</v>
      </c>
      <c r="C2118" s="10" t="s">
        <v>20</v>
      </c>
      <c r="D2118" s="10" t="s">
        <v>718</v>
      </c>
      <c r="E2118" s="12">
        <v>1.3764E-2</v>
      </c>
      <c r="F2118" s="13">
        <v>15.53</v>
      </c>
      <c r="G2118" s="13">
        <v>0.21</v>
      </c>
    </row>
    <row r="2119" spans="1:7" ht="18" customHeight="1" x14ac:dyDescent="0.35">
      <c r="A2119" s="8"/>
      <c r="B2119" s="8"/>
      <c r="C2119" s="8"/>
      <c r="D2119" s="8"/>
      <c r="E2119" s="60" t="s">
        <v>721</v>
      </c>
      <c r="F2119" s="60"/>
      <c r="G2119" s="14">
        <v>1.05</v>
      </c>
    </row>
    <row r="2120" spans="1:7" ht="15" customHeight="1" x14ac:dyDescent="0.35">
      <c r="A2120" s="8"/>
      <c r="B2120" s="8"/>
      <c r="C2120" s="8"/>
      <c r="D2120" s="8"/>
      <c r="E2120" s="61" t="s">
        <v>726</v>
      </c>
      <c r="F2120" s="61"/>
      <c r="G2120" s="4">
        <v>10.83</v>
      </c>
    </row>
    <row r="2121" spans="1:7" ht="10" customHeight="1" x14ac:dyDescent="0.35">
      <c r="A2121" s="8"/>
      <c r="B2121" s="8"/>
      <c r="C2121" s="57"/>
      <c r="D2121" s="57"/>
      <c r="E2121" s="8"/>
      <c r="F2121" s="8"/>
      <c r="G2121" s="8"/>
    </row>
    <row r="2122" spans="1:7" ht="20.149999999999999" customHeight="1" x14ac:dyDescent="0.35">
      <c r="A2122" s="58" t="s">
        <v>1502</v>
      </c>
      <c r="B2122" s="58"/>
      <c r="C2122" s="58"/>
      <c r="D2122" s="58"/>
      <c r="E2122" s="58"/>
      <c r="F2122" s="58"/>
      <c r="G2122" s="58"/>
    </row>
    <row r="2123" spans="1:7" ht="15" customHeight="1" x14ac:dyDescent="0.35">
      <c r="A2123" s="59" t="s">
        <v>701</v>
      </c>
      <c r="B2123" s="59"/>
      <c r="C2123" s="9" t="s">
        <v>3</v>
      </c>
      <c r="D2123" s="9" t="s">
        <v>4</v>
      </c>
      <c r="E2123" s="9" t="s">
        <v>702</v>
      </c>
      <c r="F2123" s="9" t="s">
        <v>703</v>
      </c>
      <c r="G2123" s="9" t="s">
        <v>704</v>
      </c>
    </row>
    <row r="2124" spans="1:7" ht="15" customHeight="1" x14ac:dyDescent="0.35">
      <c r="A2124" s="10" t="s">
        <v>1387</v>
      </c>
      <c r="B2124" s="11" t="s">
        <v>1388</v>
      </c>
      <c r="C2124" s="10" t="s">
        <v>20</v>
      </c>
      <c r="D2124" s="10" t="s">
        <v>160</v>
      </c>
      <c r="E2124" s="12">
        <v>2.6717379999999999E-2</v>
      </c>
      <c r="F2124" s="13">
        <v>2.44</v>
      </c>
      <c r="G2124" s="13">
        <v>0.06</v>
      </c>
    </row>
    <row r="2125" spans="1:7" ht="20.149999999999999" customHeight="1" x14ac:dyDescent="0.35">
      <c r="A2125" s="10" t="s">
        <v>1503</v>
      </c>
      <c r="B2125" s="11" t="s">
        <v>1504</v>
      </c>
      <c r="C2125" s="10" t="s">
        <v>20</v>
      </c>
      <c r="D2125" s="10" t="s">
        <v>160</v>
      </c>
      <c r="E2125" s="12">
        <v>1</v>
      </c>
      <c r="F2125" s="13">
        <v>5.73</v>
      </c>
      <c r="G2125" s="13">
        <v>5.73</v>
      </c>
    </row>
    <row r="2126" spans="1:7" ht="15" customHeight="1" x14ac:dyDescent="0.35">
      <c r="A2126" s="8"/>
      <c r="B2126" s="8"/>
      <c r="C2126" s="8"/>
      <c r="D2126" s="8"/>
      <c r="E2126" s="60" t="s">
        <v>714</v>
      </c>
      <c r="F2126" s="60"/>
      <c r="G2126" s="14">
        <v>5.79</v>
      </c>
    </row>
    <row r="2127" spans="1:7" ht="15" customHeight="1" x14ac:dyDescent="0.35">
      <c r="A2127" s="59" t="s">
        <v>715</v>
      </c>
      <c r="B2127" s="59"/>
      <c r="C2127" s="9" t="s">
        <v>3</v>
      </c>
      <c r="D2127" s="9" t="s">
        <v>4</v>
      </c>
      <c r="E2127" s="9" t="s">
        <v>702</v>
      </c>
      <c r="F2127" s="9" t="s">
        <v>703</v>
      </c>
      <c r="G2127" s="9" t="s">
        <v>704</v>
      </c>
    </row>
    <row r="2128" spans="1:7" ht="20.149999999999999" customHeight="1" x14ac:dyDescent="0.35">
      <c r="A2128" s="10" t="s">
        <v>1302</v>
      </c>
      <c r="B2128" s="11" t="s">
        <v>1303</v>
      </c>
      <c r="C2128" s="10" t="s">
        <v>20</v>
      </c>
      <c r="D2128" s="10" t="s">
        <v>718</v>
      </c>
      <c r="E2128" s="12">
        <v>9.6563720000000006E-2</v>
      </c>
      <c r="F2128" s="13">
        <v>18.96</v>
      </c>
      <c r="G2128" s="13">
        <v>1.83</v>
      </c>
    </row>
    <row r="2129" spans="1:7" ht="15" customHeight="1" x14ac:dyDescent="0.35">
      <c r="A2129" s="10" t="s">
        <v>719</v>
      </c>
      <c r="B2129" s="11" t="s">
        <v>720</v>
      </c>
      <c r="C2129" s="10" t="s">
        <v>20</v>
      </c>
      <c r="D2129" s="10" t="s">
        <v>718</v>
      </c>
      <c r="E2129" s="12">
        <v>3.0573940000000001E-2</v>
      </c>
      <c r="F2129" s="13">
        <v>15.53</v>
      </c>
      <c r="G2129" s="13">
        <v>0.47</v>
      </c>
    </row>
    <row r="2130" spans="1:7" ht="18" customHeight="1" x14ac:dyDescent="0.35">
      <c r="A2130" s="8"/>
      <c r="B2130" s="8"/>
      <c r="C2130" s="8"/>
      <c r="D2130" s="8"/>
      <c r="E2130" s="60" t="s">
        <v>721</v>
      </c>
      <c r="F2130" s="60"/>
      <c r="G2130" s="14">
        <v>2.2999999999999998</v>
      </c>
    </row>
    <row r="2131" spans="1:7" ht="15" customHeight="1" x14ac:dyDescent="0.35">
      <c r="A2131" s="8"/>
      <c r="B2131" s="8"/>
      <c r="C2131" s="8"/>
      <c r="D2131" s="8"/>
      <c r="E2131" s="61" t="s">
        <v>726</v>
      </c>
      <c r="F2131" s="61"/>
      <c r="G2131" s="4">
        <v>8.09</v>
      </c>
    </row>
    <row r="2132" spans="1:7" ht="10" customHeight="1" x14ac:dyDescent="0.35">
      <c r="A2132" s="8"/>
      <c r="B2132" s="8"/>
      <c r="C2132" s="57"/>
      <c r="D2132" s="57"/>
      <c r="E2132" s="8"/>
      <c r="F2132" s="8"/>
      <c r="G2132" s="8"/>
    </row>
    <row r="2133" spans="1:7" ht="20.149999999999999" customHeight="1" x14ac:dyDescent="0.35">
      <c r="A2133" s="58" t="s">
        <v>1505</v>
      </c>
      <c r="B2133" s="58"/>
      <c r="C2133" s="58"/>
      <c r="D2133" s="58"/>
      <c r="E2133" s="58"/>
      <c r="F2133" s="58"/>
      <c r="G2133" s="58"/>
    </row>
    <row r="2134" spans="1:7" ht="15" customHeight="1" x14ac:dyDescent="0.35">
      <c r="A2134" s="59" t="s">
        <v>701</v>
      </c>
      <c r="B2134" s="59"/>
      <c r="C2134" s="9" t="s">
        <v>3</v>
      </c>
      <c r="D2134" s="9" t="s">
        <v>4</v>
      </c>
      <c r="E2134" s="9" t="s">
        <v>702</v>
      </c>
      <c r="F2134" s="9" t="s">
        <v>703</v>
      </c>
      <c r="G2134" s="9" t="s">
        <v>704</v>
      </c>
    </row>
    <row r="2135" spans="1:7" ht="15" customHeight="1" x14ac:dyDescent="0.35">
      <c r="A2135" s="10" t="s">
        <v>1387</v>
      </c>
      <c r="B2135" s="11" t="s">
        <v>1388</v>
      </c>
      <c r="C2135" s="10" t="s">
        <v>20</v>
      </c>
      <c r="D2135" s="10" t="s">
        <v>160</v>
      </c>
      <c r="E2135" s="12">
        <v>4.384598E-2</v>
      </c>
      <c r="F2135" s="13">
        <v>2.44</v>
      </c>
      <c r="G2135" s="13">
        <v>0.1</v>
      </c>
    </row>
    <row r="2136" spans="1:7" ht="20.149999999999999" customHeight="1" x14ac:dyDescent="0.35">
      <c r="A2136" s="10" t="s">
        <v>1506</v>
      </c>
      <c r="B2136" s="11" t="s">
        <v>1507</v>
      </c>
      <c r="C2136" s="10" t="s">
        <v>20</v>
      </c>
      <c r="D2136" s="10" t="s">
        <v>160</v>
      </c>
      <c r="E2136" s="12">
        <v>1</v>
      </c>
      <c r="F2136" s="13">
        <v>43.57</v>
      </c>
      <c r="G2136" s="13">
        <v>43.57</v>
      </c>
    </row>
    <row r="2137" spans="1:7" ht="15" customHeight="1" x14ac:dyDescent="0.35">
      <c r="A2137" s="8"/>
      <c r="B2137" s="8"/>
      <c r="C2137" s="8"/>
      <c r="D2137" s="8"/>
      <c r="E2137" s="60" t="s">
        <v>714</v>
      </c>
      <c r="F2137" s="60"/>
      <c r="G2137" s="14">
        <v>43.67</v>
      </c>
    </row>
    <row r="2138" spans="1:7" ht="15" customHeight="1" x14ac:dyDescent="0.35">
      <c r="A2138" s="59" t="s">
        <v>715</v>
      </c>
      <c r="B2138" s="59"/>
      <c r="C2138" s="9" t="s">
        <v>3</v>
      </c>
      <c r="D2138" s="9" t="s">
        <v>4</v>
      </c>
      <c r="E2138" s="9" t="s">
        <v>702</v>
      </c>
      <c r="F2138" s="9" t="s">
        <v>703</v>
      </c>
      <c r="G2138" s="9" t="s">
        <v>704</v>
      </c>
    </row>
    <row r="2139" spans="1:7" ht="20.149999999999999" customHeight="1" x14ac:dyDescent="0.35">
      <c r="A2139" s="10" t="s">
        <v>1302</v>
      </c>
      <c r="B2139" s="11" t="s">
        <v>1303</v>
      </c>
      <c r="C2139" s="10" t="s">
        <v>20</v>
      </c>
      <c r="D2139" s="10" t="s">
        <v>718</v>
      </c>
      <c r="E2139" s="12">
        <v>0.16889599999999999</v>
      </c>
      <c r="F2139" s="13">
        <v>18.96</v>
      </c>
      <c r="G2139" s="13">
        <v>3.2</v>
      </c>
    </row>
    <row r="2140" spans="1:7" ht="15" customHeight="1" x14ac:dyDescent="0.35">
      <c r="A2140" s="10" t="s">
        <v>719</v>
      </c>
      <c r="B2140" s="11" t="s">
        <v>720</v>
      </c>
      <c r="C2140" s="10" t="s">
        <v>20</v>
      </c>
      <c r="D2140" s="10" t="s">
        <v>718</v>
      </c>
      <c r="E2140" s="12">
        <v>5.2890630000000001E-2</v>
      </c>
      <c r="F2140" s="13">
        <v>15.53</v>
      </c>
      <c r="G2140" s="13">
        <v>0.82</v>
      </c>
    </row>
    <row r="2141" spans="1:7" ht="18" customHeight="1" x14ac:dyDescent="0.35">
      <c r="A2141" s="8"/>
      <c r="B2141" s="8"/>
      <c r="C2141" s="8"/>
      <c r="D2141" s="8"/>
      <c r="E2141" s="60" t="s">
        <v>721</v>
      </c>
      <c r="F2141" s="60"/>
      <c r="G2141" s="14">
        <v>4.0199999999999996</v>
      </c>
    </row>
    <row r="2142" spans="1:7" ht="15" customHeight="1" x14ac:dyDescent="0.35">
      <c r="A2142" s="8"/>
      <c r="B2142" s="8"/>
      <c r="C2142" s="8"/>
      <c r="D2142" s="8"/>
      <c r="E2142" s="61" t="s">
        <v>726</v>
      </c>
      <c r="F2142" s="61"/>
      <c r="G2142" s="4">
        <v>47.69</v>
      </c>
    </row>
    <row r="2143" spans="1:7" ht="10" customHeight="1" x14ac:dyDescent="0.35">
      <c r="A2143" s="8"/>
      <c r="B2143" s="8"/>
      <c r="C2143" s="57"/>
      <c r="D2143" s="57"/>
      <c r="E2143" s="8"/>
      <c r="F2143" s="8"/>
      <c r="G2143" s="8"/>
    </row>
    <row r="2144" spans="1:7" ht="20.149999999999999" customHeight="1" x14ac:dyDescent="0.35">
      <c r="A2144" s="58" t="s">
        <v>1508</v>
      </c>
      <c r="B2144" s="58"/>
      <c r="C2144" s="58"/>
      <c r="D2144" s="58"/>
      <c r="E2144" s="58"/>
      <c r="F2144" s="58"/>
      <c r="G2144" s="58"/>
    </row>
    <row r="2145" spans="1:7" ht="15" customHeight="1" x14ac:dyDescent="0.35">
      <c r="A2145" s="59" t="s">
        <v>701</v>
      </c>
      <c r="B2145" s="59"/>
      <c r="C2145" s="9" t="s">
        <v>3</v>
      </c>
      <c r="D2145" s="9" t="s">
        <v>4</v>
      </c>
      <c r="E2145" s="9" t="s">
        <v>702</v>
      </c>
      <c r="F2145" s="9" t="s">
        <v>703</v>
      </c>
      <c r="G2145" s="9" t="s">
        <v>704</v>
      </c>
    </row>
    <row r="2146" spans="1:7" ht="20.149999999999999" customHeight="1" x14ac:dyDescent="0.35">
      <c r="A2146" s="10" t="s">
        <v>1213</v>
      </c>
      <c r="B2146" s="11" t="s">
        <v>1214</v>
      </c>
      <c r="C2146" s="10" t="s">
        <v>20</v>
      </c>
      <c r="D2146" s="10" t="s">
        <v>160</v>
      </c>
      <c r="E2146" s="12">
        <v>1</v>
      </c>
      <c r="F2146" s="13">
        <v>38.54</v>
      </c>
      <c r="G2146" s="13">
        <v>38.54</v>
      </c>
    </row>
    <row r="2147" spans="1:7" ht="15" customHeight="1" x14ac:dyDescent="0.35">
      <c r="A2147" s="8"/>
      <c r="B2147" s="8"/>
      <c r="C2147" s="8"/>
      <c r="D2147" s="8"/>
      <c r="E2147" s="60" t="s">
        <v>714</v>
      </c>
      <c r="F2147" s="60"/>
      <c r="G2147" s="14">
        <v>38.54</v>
      </c>
    </row>
    <row r="2148" spans="1:7" ht="15" customHeight="1" x14ac:dyDescent="0.35">
      <c r="A2148" s="59" t="s">
        <v>715</v>
      </c>
      <c r="B2148" s="59"/>
      <c r="C2148" s="9" t="s">
        <v>3</v>
      </c>
      <c r="D2148" s="9" t="s">
        <v>4</v>
      </c>
      <c r="E2148" s="9" t="s">
        <v>702</v>
      </c>
      <c r="F2148" s="9" t="s">
        <v>703</v>
      </c>
      <c r="G2148" s="9" t="s">
        <v>704</v>
      </c>
    </row>
    <row r="2149" spans="1:7" ht="15" customHeight="1" x14ac:dyDescent="0.35">
      <c r="A2149" s="10" t="s">
        <v>794</v>
      </c>
      <c r="B2149" s="11" t="s">
        <v>795</v>
      </c>
      <c r="C2149" s="10" t="s">
        <v>20</v>
      </c>
      <c r="D2149" s="10" t="s">
        <v>718</v>
      </c>
      <c r="E2149" s="12">
        <v>9.100482E-2</v>
      </c>
      <c r="F2149" s="13">
        <v>19.57</v>
      </c>
      <c r="G2149" s="13">
        <v>1.78</v>
      </c>
    </row>
    <row r="2150" spans="1:7" ht="15" customHeight="1" x14ac:dyDescent="0.35">
      <c r="A2150" s="10" t="s">
        <v>719</v>
      </c>
      <c r="B2150" s="11" t="s">
        <v>720</v>
      </c>
      <c r="C2150" s="10" t="s">
        <v>20</v>
      </c>
      <c r="D2150" s="10" t="s">
        <v>718</v>
      </c>
      <c r="E2150" s="12">
        <v>7.1308689999999994E-2</v>
      </c>
      <c r="F2150" s="13">
        <v>15.53</v>
      </c>
      <c r="G2150" s="13">
        <v>1.1000000000000001</v>
      </c>
    </row>
    <row r="2151" spans="1:7" ht="18" customHeight="1" x14ac:dyDescent="0.35">
      <c r="A2151" s="8"/>
      <c r="B2151" s="8"/>
      <c r="C2151" s="8"/>
      <c r="D2151" s="8"/>
      <c r="E2151" s="60" t="s">
        <v>721</v>
      </c>
      <c r="F2151" s="60"/>
      <c r="G2151" s="14">
        <v>2.88</v>
      </c>
    </row>
    <row r="2152" spans="1:7" ht="15" customHeight="1" x14ac:dyDescent="0.35">
      <c r="A2152" s="59" t="s">
        <v>722</v>
      </c>
      <c r="B2152" s="59"/>
      <c r="C2152" s="9" t="s">
        <v>3</v>
      </c>
      <c r="D2152" s="9" t="s">
        <v>4</v>
      </c>
      <c r="E2152" s="9" t="s">
        <v>702</v>
      </c>
      <c r="F2152" s="9" t="s">
        <v>703</v>
      </c>
      <c r="G2152" s="9" t="s">
        <v>704</v>
      </c>
    </row>
    <row r="2153" spans="1:7" ht="20.149999999999999" customHeight="1" x14ac:dyDescent="0.35">
      <c r="A2153" s="10" t="s">
        <v>1509</v>
      </c>
      <c r="B2153" s="11" t="s">
        <v>1510</v>
      </c>
      <c r="C2153" s="10" t="s">
        <v>20</v>
      </c>
      <c r="D2153" s="10" t="s">
        <v>31</v>
      </c>
      <c r="E2153" s="12">
        <v>9.2284299999999993E-3</v>
      </c>
      <c r="F2153" s="13">
        <v>208.33</v>
      </c>
      <c r="G2153" s="13">
        <v>1.92</v>
      </c>
    </row>
    <row r="2154" spans="1:7" ht="15" customHeight="1" x14ac:dyDescent="0.35">
      <c r="A2154" s="8"/>
      <c r="B2154" s="8"/>
      <c r="C2154" s="8"/>
      <c r="D2154" s="8"/>
      <c r="E2154" s="60" t="s">
        <v>725</v>
      </c>
      <c r="F2154" s="60"/>
      <c r="G2154" s="14">
        <v>1.92</v>
      </c>
    </row>
    <row r="2155" spans="1:7" ht="15" customHeight="1" x14ac:dyDescent="0.35">
      <c r="A2155" s="8"/>
      <c r="B2155" s="8"/>
      <c r="C2155" s="8"/>
      <c r="D2155" s="8"/>
      <c r="E2155" s="61" t="s">
        <v>726</v>
      </c>
      <c r="F2155" s="61"/>
      <c r="G2155" s="4">
        <v>43.34</v>
      </c>
    </row>
    <row r="2156" spans="1:7" ht="10" customHeight="1" x14ac:dyDescent="0.35">
      <c r="A2156" s="8"/>
      <c r="B2156" s="8"/>
      <c r="C2156" s="57"/>
      <c r="D2156" s="57"/>
      <c r="E2156" s="8"/>
      <c r="F2156" s="8"/>
      <c r="G2156" s="8"/>
    </row>
    <row r="2157" spans="1:7" ht="20.149999999999999" customHeight="1" x14ac:dyDescent="0.35">
      <c r="A2157" s="58" t="s">
        <v>1511</v>
      </c>
      <c r="B2157" s="58"/>
      <c r="C2157" s="58"/>
      <c r="D2157" s="58"/>
      <c r="E2157" s="58"/>
      <c r="F2157" s="58"/>
      <c r="G2157" s="58"/>
    </row>
    <row r="2158" spans="1:7" ht="15" customHeight="1" x14ac:dyDescent="0.35">
      <c r="A2158" s="59" t="s">
        <v>701</v>
      </c>
      <c r="B2158" s="59"/>
      <c r="C2158" s="9" t="s">
        <v>3</v>
      </c>
      <c r="D2158" s="9" t="s">
        <v>4</v>
      </c>
      <c r="E2158" s="9" t="s">
        <v>702</v>
      </c>
      <c r="F2158" s="9" t="s">
        <v>703</v>
      </c>
      <c r="G2158" s="9" t="s">
        <v>704</v>
      </c>
    </row>
    <row r="2159" spans="1:7" ht="20.149999999999999" customHeight="1" x14ac:dyDescent="0.35">
      <c r="A2159" s="10" t="s">
        <v>1512</v>
      </c>
      <c r="B2159" s="11" t="s">
        <v>1513</v>
      </c>
      <c r="C2159" s="10" t="s">
        <v>20</v>
      </c>
      <c r="D2159" s="10" t="s">
        <v>160</v>
      </c>
      <c r="E2159" s="12">
        <v>16.158999999999999</v>
      </c>
      <c r="F2159" s="13">
        <v>2.63</v>
      </c>
      <c r="G2159" s="13">
        <v>42.49</v>
      </c>
    </row>
    <row r="2160" spans="1:7" ht="20.149999999999999" customHeight="1" x14ac:dyDescent="0.35">
      <c r="A2160" s="10" t="s">
        <v>801</v>
      </c>
      <c r="B2160" s="11" t="s">
        <v>802</v>
      </c>
      <c r="C2160" s="10" t="s">
        <v>20</v>
      </c>
      <c r="D2160" s="10" t="s">
        <v>777</v>
      </c>
      <c r="E2160" s="12">
        <v>2.7000000000000001E-3</v>
      </c>
      <c r="F2160" s="13">
        <v>8.5</v>
      </c>
      <c r="G2160" s="13">
        <v>0.02</v>
      </c>
    </row>
    <row r="2161" spans="1:7" ht="20.149999999999999" customHeight="1" x14ac:dyDescent="0.35">
      <c r="A2161" s="10" t="s">
        <v>708</v>
      </c>
      <c r="B2161" s="11" t="s">
        <v>709</v>
      </c>
      <c r="C2161" s="10" t="s">
        <v>20</v>
      </c>
      <c r="D2161" s="10" t="s">
        <v>25</v>
      </c>
      <c r="E2161" s="12">
        <v>5.9200000000000003E-2</v>
      </c>
      <c r="F2161" s="13">
        <v>13.34</v>
      </c>
      <c r="G2161" s="13">
        <v>0.78</v>
      </c>
    </row>
    <row r="2162" spans="1:7" ht="15" customHeight="1" x14ac:dyDescent="0.35">
      <c r="A2162" s="10" t="s">
        <v>1514</v>
      </c>
      <c r="B2162" s="11" t="s">
        <v>1515</v>
      </c>
      <c r="C2162" s="10" t="s">
        <v>20</v>
      </c>
      <c r="D2162" s="10" t="s">
        <v>56</v>
      </c>
      <c r="E2162" s="12">
        <v>6.1999999999999998E-3</v>
      </c>
      <c r="F2162" s="13">
        <v>25.4</v>
      </c>
      <c r="G2162" s="13">
        <v>0.15</v>
      </c>
    </row>
    <row r="2163" spans="1:7" ht="20.149999999999999" customHeight="1" x14ac:dyDescent="0.35">
      <c r="A2163" s="10" t="s">
        <v>811</v>
      </c>
      <c r="B2163" s="11" t="s">
        <v>812</v>
      </c>
      <c r="C2163" s="10" t="s">
        <v>20</v>
      </c>
      <c r="D2163" s="10" t="s">
        <v>25</v>
      </c>
      <c r="E2163" s="12">
        <v>7.0400000000000004E-2</v>
      </c>
      <c r="F2163" s="13">
        <v>4.66</v>
      </c>
      <c r="G2163" s="13">
        <v>0.32</v>
      </c>
    </row>
    <row r="2164" spans="1:7" ht="20.149999999999999" customHeight="1" x14ac:dyDescent="0.35">
      <c r="A2164" s="10" t="s">
        <v>889</v>
      </c>
      <c r="B2164" s="11" t="s">
        <v>890</v>
      </c>
      <c r="C2164" s="10" t="s">
        <v>20</v>
      </c>
      <c r="D2164" s="10" t="s">
        <v>25</v>
      </c>
      <c r="E2164" s="12">
        <v>0.2208</v>
      </c>
      <c r="F2164" s="13">
        <v>14.53</v>
      </c>
      <c r="G2164" s="13">
        <v>3.2</v>
      </c>
    </row>
    <row r="2165" spans="1:7" ht="15" customHeight="1" x14ac:dyDescent="0.35">
      <c r="A2165" s="8"/>
      <c r="B2165" s="8"/>
      <c r="C2165" s="8"/>
      <c r="D2165" s="8"/>
      <c r="E2165" s="60" t="s">
        <v>714</v>
      </c>
      <c r="F2165" s="60"/>
      <c r="G2165" s="14">
        <v>46.96</v>
      </c>
    </row>
    <row r="2166" spans="1:7" ht="15" customHeight="1" x14ac:dyDescent="0.35">
      <c r="A2166" s="59" t="s">
        <v>715</v>
      </c>
      <c r="B2166" s="59"/>
      <c r="C2166" s="9" t="s">
        <v>3</v>
      </c>
      <c r="D2166" s="9" t="s">
        <v>4</v>
      </c>
      <c r="E2166" s="9" t="s">
        <v>702</v>
      </c>
      <c r="F2166" s="9" t="s">
        <v>703</v>
      </c>
      <c r="G2166" s="9" t="s">
        <v>704</v>
      </c>
    </row>
    <row r="2167" spans="1:7" ht="15" customHeight="1" x14ac:dyDescent="0.35">
      <c r="A2167" s="10" t="s">
        <v>794</v>
      </c>
      <c r="B2167" s="11" t="s">
        <v>795</v>
      </c>
      <c r="C2167" s="10" t="s">
        <v>20</v>
      </c>
      <c r="D2167" s="10" t="s">
        <v>718</v>
      </c>
      <c r="E2167" s="12">
        <v>2.58776085</v>
      </c>
      <c r="F2167" s="13">
        <v>19.57</v>
      </c>
      <c r="G2167" s="13">
        <v>50.64</v>
      </c>
    </row>
    <row r="2168" spans="1:7" ht="15" customHeight="1" x14ac:dyDescent="0.35">
      <c r="A2168" s="10" t="s">
        <v>719</v>
      </c>
      <c r="B2168" s="11" t="s">
        <v>720</v>
      </c>
      <c r="C2168" s="10" t="s">
        <v>20</v>
      </c>
      <c r="D2168" s="10" t="s">
        <v>718</v>
      </c>
      <c r="E2168" s="12">
        <v>2.0332406700000001</v>
      </c>
      <c r="F2168" s="13">
        <v>15.53</v>
      </c>
      <c r="G2168" s="13">
        <v>31.57</v>
      </c>
    </row>
    <row r="2169" spans="1:7" ht="18" customHeight="1" x14ac:dyDescent="0.35">
      <c r="A2169" s="8"/>
      <c r="B2169" s="8"/>
      <c r="C2169" s="8"/>
      <c r="D2169" s="8"/>
      <c r="E2169" s="60" t="s">
        <v>721</v>
      </c>
      <c r="F2169" s="60"/>
      <c r="G2169" s="14">
        <v>82.21</v>
      </c>
    </row>
    <row r="2170" spans="1:7" ht="15" customHeight="1" x14ac:dyDescent="0.35">
      <c r="A2170" s="59" t="s">
        <v>722</v>
      </c>
      <c r="B2170" s="59"/>
      <c r="C2170" s="9" t="s">
        <v>3</v>
      </c>
      <c r="D2170" s="9" t="s">
        <v>4</v>
      </c>
      <c r="E2170" s="9" t="s">
        <v>702</v>
      </c>
      <c r="F2170" s="9" t="s">
        <v>703</v>
      </c>
      <c r="G2170" s="9" t="s">
        <v>704</v>
      </c>
    </row>
    <row r="2171" spans="1:7" ht="29.15" customHeight="1" x14ac:dyDescent="0.35">
      <c r="A2171" s="10" t="s">
        <v>1266</v>
      </c>
      <c r="B2171" s="11" t="s">
        <v>1267</v>
      </c>
      <c r="C2171" s="10" t="s">
        <v>20</v>
      </c>
      <c r="D2171" s="10" t="s">
        <v>31</v>
      </c>
      <c r="E2171" s="12">
        <v>5.1558050000000001E-2</v>
      </c>
      <c r="F2171" s="13">
        <v>685.24</v>
      </c>
      <c r="G2171" s="13">
        <v>35.32</v>
      </c>
    </row>
    <row r="2172" spans="1:7" ht="29.15" customHeight="1" x14ac:dyDescent="0.35">
      <c r="A2172" s="10" t="s">
        <v>1268</v>
      </c>
      <c r="B2172" s="11" t="s">
        <v>1269</v>
      </c>
      <c r="C2172" s="10" t="s">
        <v>20</v>
      </c>
      <c r="D2172" s="10" t="s">
        <v>31</v>
      </c>
      <c r="E2172" s="12">
        <v>1.1336850000000001E-2</v>
      </c>
      <c r="F2172" s="13">
        <v>424.67</v>
      </c>
      <c r="G2172" s="13">
        <v>4.8099999999999996</v>
      </c>
    </row>
    <row r="2173" spans="1:7" ht="29.15" customHeight="1" x14ac:dyDescent="0.35">
      <c r="A2173" s="10" t="s">
        <v>880</v>
      </c>
      <c r="B2173" s="11" t="s">
        <v>881</v>
      </c>
      <c r="C2173" s="10" t="s">
        <v>20</v>
      </c>
      <c r="D2173" s="10" t="s">
        <v>31</v>
      </c>
      <c r="E2173" s="12">
        <v>2.1983639999999999E-2</v>
      </c>
      <c r="F2173" s="13">
        <v>422.25</v>
      </c>
      <c r="G2173" s="13">
        <v>9.2799999999999994</v>
      </c>
    </row>
    <row r="2174" spans="1:7" ht="29.15" customHeight="1" x14ac:dyDescent="0.35">
      <c r="A2174" s="10" t="s">
        <v>1516</v>
      </c>
      <c r="B2174" s="11" t="s">
        <v>1517</v>
      </c>
      <c r="C2174" s="10" t="s">
        <v>20</v>
      </c>
      <c r="D2174" s="10" t="s">
        <v>31</v>
      </c>
      <c r="E2174" s="12">
        <v>1.301274E-2</v>
      </c>
      <c r="F2174" s="13">
        <v>2656.61</v>
      </c>
      <c r="G2174" s="13">
        <v>34.56</v>
      </c>
    </row>
    <row r="2175" spans="1:7" ht="20.149999999999999" customHeight="1" x14ac:dyDescent="0.35">
      <c r="A2175" s="10" t="s">
        <v>1518</v>
      </c>
      <c r="B2175" s="11" t="s">
        <v>1519</v>
      </c>
      <c r="C2175" s="10" t="s">
        <v>20</v>
      </c>
      <c r="D2175" s="10" t="s">
        <v>21</v>
      </c>
      <c r="E2175" s="12">
        <v>0.34503477999999999</v>
      </c>
      <c r="F2175" s="13">
        <v>4.51</v>
      </c>
      <c r="G2175" s="13">
        <v>1.55</v>
      </c>
    </row>
    <row r="2176" spans="1:7" ht="15" customHeight="1" x14ac:dyDescent="0.35">
      <c r="A2176" s="8"/>
      <c r="B2176" s="8"/>
      <c r="C2176" s="8"/>
      <c r="D2176" s="8"/>
      <c r="E2176" s="60" t="s">
        <v>725</v>
      </c>
      <c r="F2176" s="60"/>
      <c r="G2176" s="14">
        <v>85.52</v>
      </c>
    </row>
    <row r="2177" spans="1:7" ht="15" customHeight="1" x14ac:dyDescent="0.35">
      <c r="A2177" s="8"/>
      <c r="B2177" s="8"/>
      <c r="C2177" s="8"/>
      <c r="D2177" s="8"/>
      <c r="E2177" s="61" t="s">
        <v>726</v>
      </c>
      <c r="F2177" s="61"/>
      <c r="G2177" s="4">
        <v>214.69</v>
      </c>
    </row>
    <row r="2178" spans="1:7" ht="10" customHeight="1" x14ac:dyDescent="0.35">
      <c r="A2178" s="8"/>
      <c r="B2178" s="8"/>
      <c r="C2178" s="57"/>
      <c r="D2178" s="57"/>
      <c r="E2178" s="8"/>
      <c r="F2178" s="8"/>
      <c r="G2178" s="8"/>
    </row>
    <row r="2179" spans="1:7" ht="20.149999999999999" customHeight="1" x14ac:dyDescent="0.35">
      <c r="A2179" s="58" t="s">
        <v>1520</v>
      </c>
      <c r="B2179" s="58"/>
      <c r="C2179" s="58"/>
      <c r="D2179" s="58"/>
      <c r="E2179" s="58"/>
      <c r="F2179" s="58"/>
      <c r="G2179" s="58"/>
    </row>
    <row r="2180" spans="1:7" ht="15" customHeight="1" x14ac:dyDescent="0.35">
      <c r="A2180" s="59" t="s">
        <v>701</v>
      </c>
      <c r="B2180" s="59"/>
      <c r="C2180" s="9" t="s">
        <v>3</v>
      </c>
      <c r="D2180" s="9" t="s">
        <v>4</v>
      </c>
      <c r="E2180" s="9" t="s">
        <v>702</v>
      </c>
      <c r="F2180" s="9" t="s">
        <v>703</v>
      </c>
      <c r="G2180" s="9" t="s">
        <v>704</v>
      </c>
    </row>
    <row r="2181" spans="1:7" ht="20.149999999999999" customHeight="1" x14ac:dyDescent="0.35">
      <c r="A2181" s="10" t="s">
        <v>1521</v>
      </c>
      <c r="B2181" s="11" t="s">
        <v>1522</v>
      </c>
      <c r="C2181" s="10" t="s">
        <v>20</v>
      </c>
      <c r="D2181" s="10" t="s">
        <v>160</v>
      </c>
      <c r="E2181" s="12">
        <v>1</v>
      </c>
      <c r="F2181" s="13">
        <v>10.19</v>
      </c>
      <c r="G2181" s="13">
        <v>10.19</v>
      </c>
    </row>
    <row r="2182" spans="1:7" ht="20.149999999999999" customHeight="1" x14ac:dyDescent="0.35">
      <c r="A2182" s="10" t="s">
        <v>1523</v>
      </c>
      <c r="B2182" s="11" t="s">
        <v>1524</v>
      </c>
      <c r="C2182" s="10" t="s">
        <v>20</v>
      </c>
      <c r="D2182" s="10" t="s">
        <v>160</v>
      </c>
      <c r="E2182" s="12">
        <v>1</v>
      </c>
      <c r="F2182" s="13">
        <v>598.12</v>
      </c>
      <c r="G2182" s="13">
        <v>598.12</v>
      </c>
    </row>
    <row r="2183" spans="1:7" ht="29.15" customHeight="1" x14ac:dyDescent="0.35">
      <c r="A2183" s="10" t="s">
        <v>1525</v>
      </c>
      <c r="B2183" s="11" t="s">
        <v>1526</v>
      </c>
      <c r="C2183" s="10" t="s">
        <v>20</v>
      </c>
      <c r="D2183" s="10" t="s">
        <v>160</v>
      </c>
      <c r="E2183" s="12">
        <v>2</v>
      </c>
      <c r="F2183" s="13">
        <v>23.92</v>
      </c>
      <c r="G2183" s="13">
        <v>47.84</v>
      </c>
    </row>
    <row r="2184" spans="1:7" ht="15" customHeight="1" x14ac:dyDescent="0.35">
      <c r="A2184" s="10" t="s">
        <v>1527</v>
      </c>
      <c r="B2184" s="11" t="s">
        <v>1528</v>
      </c>
      <c r="C2184" s="10" t="s">
        <v>20</v>
      </c>
      <c r="D2184" s="10" t="s">
        <v>56</v>
      </c>
      <c r="E2184" s="12">
        <v>8.8533299999999995E-2</v>
      </c>
      <c r="F2184" s="13">
        <v>90.9</v>
      </c>
      <c r="G2184" s="13">
        <v>8.0399999999999991</v>
      </c>
    </row>
    <row r="2185" spans="1:7" ht="15" customHeight="1" x14ac:dyDescent="0.35">
      <c r="A2185" s="8"/>
      <c r="B2185" s="8"/>
      <c r="C2185" s="8"/>
      <c r="D2185" s="8"/>
      <c r="E2185" s="60" t="s">
        <v>714</v>
      </c>
      <c r="F2185" s="60"/>
      <c r="G2185" s="14">
        <v>664.19</v>
      </c>
    </row>
    <row r="2186" spans="1:7" ht="15" customHeight="1" x14ac:dyDescent="0.35">
      <c r="A2186" s="59" t="s">
        <v>715</v>
      </c>
      <c r="B2186" s="59"/>
      <c r="C2186" s="9" t="s">
        <v>3</v>
      </c>
      <c r="D2186" s="9" t="s">
        <v>4</v>
      </c>
      <c r="E2186" s="9" t="s">
        <v>702</v>
      </c>
      <c r="F2186" s="9" t="s">
        <v>703</v>
      </c>
      <c r="G2186" s="9" t="s">
        <v>704</v>
      </c>
    </row>
    <row r="2187" spans="1:7" ht="20.149999999999999" customHeight="1" x14ac:dyDescent="0.35">
      <c r="A2187" s="10" t="s">
        <v>1302</v>
      </c>
      <c r="B2187" s="11" t="s">
        <v>1303</v>
      </c>
      <c r="C2187" s="10" t="s">
        <v>20</v>
      </c>
      <c r="D2187" s="10" t="s">
        <v>718</v>
      </c>
      <c r="E2187" s="12">
        <v>1.1404436899999999</v>
      </c>
      <c r="F2187" s="13">
        <v>18.96</v>
      </c>
      <c r="G2187" s="13">
        <v>21.62</v>
      </c>
    </row>
    <row r="2188" spans="1:7" ht="15" customHeight="1" x14ac:dyDescent="0.35">
      <c r="A2188" s="10" t="s">
        <v>719</v>
      </c>
      <c r="B2188" s="11" t="s">
        <v>720</v>
      </c>
      <c r="C2188" s="10" t="s">
        <v>20</v>
      </c>
      <c r="D2188" s="10" t="s">
        <v>718</v>
      </c>
      <c r="E2188" s="12">
        <v>0.54797929999999995</v>
      </c>
      <c r="F2188" s="13">
        <v>15.53</v>
      </c>
      <c r="G2188" s="13">
        <v>8.51</v>
      </c>
    </row>
    <row r="2189" spans="1:7" ht="18" customHeight="1" x14ac:dyDescent="0.35">
      <c r="A2189" s="8"/>
      <c r="B2189" s="8"/>
      <c r="C2189" s="8"/>
      <c r="D2189" s="8"/>
      <c r="E2189" s="60" t="s">
        <v>721</v>
      </c>
      <c r="F2189" s="60"/>
      <c r="G2189" s="14">
        <v>30.13</v>
      </c>
    </row>
    <row r="2190" spans="1:7" ht="15" customHeight="1" x14ac:dyDescent="0.35">
      <c r="A2190" s="8"/>
      <c r="B2190" s="8"/>
      <c r="C2190" s="8"/>
      <c r="D2190" s="8"/>
      <c r="E2190" s="61" t="s">
        <v>726</v>
      </c>
      <c r="F2190" s="61"/>
      <c r="G2190" s="4">
        <v>694.32</v>
      </c>
    </row>
    <row r="2191" spans="1:7" ht="10" customHeight="1" x14ac:dyDescent="0.35">
      <c r="A2191" s="8"/>
      <c r="B2191" s="8"/>
      <c r="C2191" s="57"/>
      <c r="D2191" s="57"/>
      <c r="E2191" s="8"/>
      <c r="F2191" s="8"/>
      <c r="G2191" s="8"/>
    </row>
    <row r="2192" spans="1:7" ht="20.149999999999999" customHeight="1" x14ac:dyDescent="0.35">
      <c r="A2192" s="58" t="s">
        <v>1529</v>
      </c>
      <c r="B2192" s="58"/>
      <c r="C2192" s="58"/>
      <c r="D2192" s="58"/>
      <c r="E2192" s="58"/>
      <c r="F2192" s="58"/>
      <c r="G2192" s="58"/>
    </row>
    <row r="2193" spans="1:7" ht="15" customHeight="1" x14ac:dyDescent="0.35">
      <c r="A2193" s="59" t="s">
        <v>701</v>
      </c>
      <c r="B2193" s="59"/>
      <c r="C2193" s="9" t="s">
        <v>3</v>
      </c>
      <c r="D2193" s="9" t="s">
        <v>4</v>
      </c>
      <c r="E2193" s="9" t="s">
        <v>702</v>
      </c>
      <c r="F2193" s="9" t="s">
        <v>703</v>
      </c>
      <c r="G2193" s="9" t="s">
        <v>704</v>
      </c>
    </row>
    <row r="2194" spans="1:7" ht="15" customHeight="1" x14ac:dyDescent="0.35">
      <c r="A2194" s="10" t="s">
        <v>1407</v>
      </c>
      <c r="B2194" s="11" t="s">
        <v>1408</v>
      </c>
      <c r="C2194" s="10" t="s">
        <v>20</v>
      </c>
      <c r="D2194" s="10" t="s">
        <v>160</v>
      </c>
      <c r="E2194" s="12">
        <v>1.3361629999999999E-2</v>
      </c>
      <c r="F2194" s="13">
        <v>9</v>
      </c>
      <c r="G2194" s="13">
        <v>0.12</v>
      </c>
    </row>
    <row r="2195" spans="1:7" ht="20.149999999999999" customHeight="1" x14ac:dyDescent="0.35">
      <c r="A2195" s="10" t="s">
        <v>1530</v>
      </c>
      <c r="B2195" s="11" t="s">
        <v>1531</v>
      </c>
      <c r="C2195" s="10" t="s">
        <v>20</v>
      </c>
      <c r="D2195" s="10" t="s">
        <v>160</v>
      </c>
      <c r="E2195" s="12">
        <v>1</v>
      </c>
      <c r="F2195" s="13">
        <v>226.26</v>
      </c>
      <c r="G2195" s="13">
        <v>226.26</v>
      </c>
    </row>
    <row r="2196" spans="1:7" ht="15" customHeight="1" x14ac:dyDescent="0.35">
      <c r="A2196" s="8"/>
      <c r="B2196" s="8"/>
      <c r="C2196" s="8"/>
      <c r="D2196" s="8"/>
      <c r="E2196" s="60" t="s">
        <v>714</v>
      </c>
      <c r="F2196" s="60"/>
      <c r="G2196" s="14">
        <v>226.38</v>
      </c>
    </row>
    <row r="2197" spans="1:7" ht="15" customHeight="1" x14ac:dyDescent="0.35">
      <c r="A2197" s="59" t="s">
        <v>715</v>
      </c>
      <c r="B2197" s="59"/>
      <c r="C2197" s="9" t="s">
        <v>3</v>
      </c>
      <c r="D2197" s="9" t="s">
        <v>4</v>
      </c>
      <c r="E2197" s="9" t="s">
        <v>702</v>
      </c>
      <c r="F2197" s="9" t="s">
        <v>703</v>
      </c>
      <c r="G2197" s="9" t="s">
        <v>704</v>
      </c>
    </row>
    <row r="2198" spans="1:7" ht="20.149999999999999" customHeight="1" x14ac:dyDescent="0.35">
      <c r="A2198" s="10" t="s">
        <v>1300</v>
      </c>
      <c r="B2198" s="11" t="s">
        <v>1301</v>
      </c>
      <c r="C2198" s="10" t="s">
        <v>20</v>
      </c>
      <c r="D2198" s="10" t="s">
        <v>718</v>
      </c>
      <c r="E2198" s="12">
        <v>0.77632880000000004</v>
      </c>
      <c r="F2198" s="13">
        <v>15.03</v>
      </c>
      <c r="G2198" s="13">
        <v>11.66</v>
      </c>
    </row>
    <row r="2199" spans="1:7" ht="20.149999999999999" customHeight="1" x14ac:dyDescent="0.35">
      <c r="A2199" s="10" t="s">
        <v>1302</v>
      </c>
      <c r="B2199" s="11" t="s">
        <v>1303</v>
      </c>
      <c r="C2199" s="10" t="s">
        <v>20</v>
      </c>
      <c r="D2199" s="10" t="s">
        <v>718</v>
      </c>
      <c r="E2199" s="12">
        <v>0.77673420000000004</v>
      </c>
      <c r="F2199" s="13">
        <v>18.96</v>
      </c>
      <c r="G2199" s="13">
        <v>14.72</v>
      </c>
    </row>
    <row r="2200" spans="1:7" ht="18" customHeight="1" x14ac:dyDescent="0.35">
      <c r="A2200" s="8"/>
      <c r="B2200" s="8"/>
      <c r="C2200" s="8"/>
      <c r="D2200" s="8"/>
      <c r="E2200" s="60" t="s">
        <v>721</v>
      </c>
      <c r="F2200" s="60"/>
      <c r="G2200" s="14">
        <v>26.38</v>
      </c>
    </row>
    <row r="2201" spans="1:7" ht="15" customHeight="1" x14ac:dyDescent="0.35">
      <c r="A2201" s="8"/>
      <c r="B2201" s="8"/>
      <c r="C2201" s="8"/>
      <c r="D2201" s="8"/>
      <c r="E2201" s="61" t="s">
        <v>726</v>
      </c>
      <c r="F2201" s="61"/>
      <c r="G2201" s="4">
        <v>252.76</v>
      </c>
    </row>
    <row r="2202" spans="1:7" ht="10" customHeight="1" x14ac:dyDescent="0.35">
      <c r="A2202" s="8"/>
      <c r="B2202" s="8"/>
      <c r="C2202" s="57"/>
      <c r="D2202" s="57"/>
      <c r="E2202" s="8"/>
      <c r="F2202" s="8"/>
      <c r="G2202" s="8"/>
    </row>
    <row r="2203" spans="1:7" ht="27" customHeight="1" x14ac:dyDescent="0.35">
      <c r="A2203" s="58" t="s">
        <v>1532</v>
      </c>
      <c r="B2203" s="58"/>
      <c r="C2203" s="58"/>
      <c r="D2203" s="58"/>
      <c r="E2203" s="58"/>
      <c r="F2203" s="58"/>
      <c r="G2203" s="58"/>
    </row>
    <row r="2204" spans="1:7" ht="15" customHeight="1" x14ac:dyDescent="0.35">
      <c r="A2204" s="59" t="s">
        <v>722</v>
      </c>
      <c r="B2204" s="59"/>
      <c r="C2204" s="9" t="s">
        <v>3</v>
      </c>
      <c r="D2204" s="9" t="s">
        <v>4</v>
      </c>
      <c r="E2204" s="9" t="s">
        <v>702</v>
      </c>
      <c r="F2204" s="9" t="s">
        <v>703</v>
      </c>
      <c r="G2204" s="9" t="s">
        <v>704</v>
      </c>
    </row>
    <row r="2205" spans="1:7" ht="20.149999999999999" customHeight="1" x14ac:dyDescent="0.35">
      <c r="A2205" s="10" t="s">
        <v>1533</v>
      </c>
      <c r="B2205" s="11" t="s">
        <v>1534</v>
      </c>
      <c r="C2205" s="10" t="s">
        <v>20</v>
      </c>
      <c r="D2205" s="10" t="s">
        <v>160</v>
      </c>
      <c r="E2205" s="12">
        <v>0.97854211000000002</v>
      </c>
      <c r="F2205" s="13">
        <v>38.450000000000003</v>
      </c>
      <c r="G2205" s="13">
        <v>37.619999999999997</v>
      </c>
    </row>
    <row r="2206" spans="1:7" ht="29.15" customHeight="1" x14ac:dyDescent="0.35">
      <c r="A2206" s="10" t="s">
        <v>1535</v>
      </c>
      <c r="B2206" s="11" t="s">
        <v>1536</v>
      </c>
      <c r="C2206" s="10" t="s">
        <v>20</v>
      </c>
      <c r="D2206" s="10" t="s">
        <v>160</v>
      </c>
      <c r="E2206" s="12">
        <v>0.97854211000000002</v>
      </c>
      <c r="F2206" s="13">
        <v>321.89999999999998</v>
      </c>
      <c r="G2206" s="13">
        <v>314.99</v>
      </c>
    </row>
    <row r="2207" spans="1:7" ht="20.149999999999999" customHeight="1" x14ac:dyDescent="0.35">
      <c r="A2207" s="10" t="s">
        <v>1537</v>
      </c>
      <c r="B2207" s="11" t="s">
        <v>1538</v>
      </c>
      <c r="C2207" s="10" t="s">
        <v>20</v>
      </c>
      <c r="D2207" s="10" t="s">
        <v>160</v>
      </c>
      <c r="E2207" s="12">
        <v>0.97854211000000002</v>
      </c>
      <c r="F2207" s="13">
        <v>145.11000000000001</v>
      </c>
      <c r="G2207" s="13">
        <v>141.99</v>
      </c>
    </row>
    <row r="2208" spans="1:7" ht="20.149999999999999" customHeight="1" x14ac:dyDescent="0.35">
      <c r="A2208" s="10" t="s">
        <v>1539</v>
      </c>
      <c r="B2208" s="11" t="s">
        <v>1540</v>
      </c>
      <c r="C2208" s="10" t="s">
        <v>20</v>
      </c>
      <c r="D2208" s="10" t="s">
        <v>160</v>
      </c>
      <c r="E2208" s="12">
        <v>0.97854211000000002</v>
      </c>
      <c r="F2208" s="13">
        <v>119.2</v>
      </c>
      <c r="G2208" s="13">
        <v>116.64</v>
      </c>
    </row>
    <row r="2209" spans="1:7" ht="29.15" customHeight="1" x14ac:dyDescent="0.35">
      <c r="A2209" s="10" t="s">
        <v>614</v>
      </c>
      <c r="B2209" s="11" t="s">
        <v>615</v>
      </c>
      <c r="C2209" s="10" t="s">
        <v>20</v>
      </c>
      <c r="D2209" s="10" t="s">
        <v>160</v>
      </c>
      <c r="E2209" s="12">
        <v>0.97854211000000002</v>
      </c>
      <c r="F2209" s="13">
        <v>47.82</v>
      </c>
      <c r="G2209" s="13">
        <v>46.79</v>
      </c>
    </row>
    <row r="2210" spans="1:7" ht="15" customHeight="1" x14ac:dyDescent="0.35">
      <c r="A2210" s="8"/>
      <c r="B2210" s="8"/>
      <c r="C2210" s="8"/>
      <c r="D2210" s="8"/>
      <c r="E2210" s="60" t="s">
        <v>725</v>
      </c>
      <c r="F2210" s="60"/>
      <c r="G2210" s="14">
        <v>658.03</v>
      </c>
    </row>
    <row r="2211" spans="1:7" ht="15" customHeight="1" x14ac:dyDescent="0.35">
      <c r="A2211" s="8"/>
      <c r="B2211" s="8"/>
      <c r="C2211" s="8"/>
      <c r="D2211" s="8"/>
      <c r="E2211" s="61" t="s">
        <v>726</v>
      </c>
      <c r="F2211" s="61"/>
      <c r="G2211" s="4">
        <v>658.03</v>
      </c>
    </row>
    <row r="2212" spans="1:7" ht="10" customHeight="1" x14ac:dyDescent="0.35">
      <c r="A2212" s="8"/>
      <c r="B2212" s="8"/>
      <c r="C2212" s="57"/>
      <c r="D2212" s="57"/>
      <c r="E2212" s="8"/>
      <c r="F2212" s="8"/>
      <c r="G2212" s="8"/>
    </row>
    <row r="2213" spans="1:7" ht="20.149999999999999" customHeight="1" x14ac:dyDescent="0.35">
      <c r="A2213" s="58" t="s">
        <v>1541</v>
      </c>
      <c r="B2213" s="58"/>
      <c r="C2213" s="58"/>
      <c r="D2213" s="58"/>
      <c r="E2213" s="58"/>
      <c r="F2213" s="58"/>
      <c r="G2213" s="58"/>
    </row>
    <row r="2214" spans="1:7" ht="15" customHeight="1" x14ac:dyDescent="0.35">
      <c r="A2214" s="59" t="s">
        <v>701</v>
      </c>
      <c r="B2214" s="59"/>
      <c r="C2214" s="9" t="s">
        <v>3</v>
      </c>
      <c r="D2214" s="9" t="s">
        <v>4</v>
      </c>
      <c r="E2214" s="9" t="s">
        <v>702</v>
      </c>
      <c r="F2214" s="9" t="s">
        <v>703</v>
      </c>
      <c r="G2214" s="9" t="s">
        <v>704</v>
      </c>
    </row>
    <row r="2215" spans="1:7" ht="15" customHeight="1" x14ac:dyDescent="0.35">
      <c r="A2215" s="10" t="s">
        <v>1387</v>
      </c>
      <c r="B2215" s="11" t="s">
        <v>1388</v>
      </c>
      <c r="C2215" s="10" t="s">
        <v>20</v>
      </c>
      <c r="D2215" s="10" t="s">
        <v>160</v>
      </c>
      <c r="E2215" s="12">
        <v>2.1000000000000001E-2</v>
      </c>
      <c r="F2215" s="13">
        <v>2.44</v>
      </c>
      <c r="G2215" s="13">
        <v>0.05</v>
      </c>
    </row>
    <row r="2216" spans="1:7" ht="20.149999999999999" customHeight="1" x14ac:dyDescent="0.35">
      <c r="A2216" s="10" t="s">
        <v>1542</v>
      </c>
      <c r="B2216" s="11" t="s">
        <v>1543</v>
      </c>
      <c r="C2216" s="10" t="s">
        <v>20</v>
      </c>
      <c r="D2216" s="10" t="s">
        <v>160</v>
      </c>
      <c r="E2216" s="12">
        <v>1</v>
      </c>
      <c r="F2216" s="13">
        <v>59.78</v>
      </c>
      <c r="G2216" s="13">
        <v>59.78</v>
      </c>
    </row>
    <row r="2217" spans="1:7" ht="15" customHeight="1" x14ac:dyDescent="0.35">
      <c r="A2217" s="8"/>
      <c r="B2217" s="8"/>
      <c r="C2217" s="8"/>
      <c r="D2217" s="8"/>
      <c r="E2217" s="60" t="s">
        <v>714</v>
      </c>
      <c r="F2217" s="60"/>
      <c r="G2217" s="14">
        <v>59.83</v>
      </c>
    </row>
    <row r="2218" spans="1:7" ht="15" customHeight="1" x14ac:dyDescent="0.35">
      <c r="A2218" s="59" t="s">
        <v>715</v>
      </c>
      <c r="B2218" s="59"/>
      <c r="C2218" s="9" t="s">
        <v>3</v>
      </c>
      <c r="D2218" s="9" t="s">
        <v>4</v>
      </c>
      <c r="E2218" s="9" t="s">
        <v>702</v>
      </c>
      <c r="F2218" s="9" t="s">
        <v>703</v>
      </c>
      <c r="G2218" s="9" t="s">
        <v>704</v>
      </c>
    </row>
    <row r="2219" spans="1:7" ht="20.149999999999999" customHeight="1" x14ac:dyDescent="0.35">
      <c r="A2219" s="10" t="s">
        <v>1302</v>
      </c>
      <c r="B2219" s="11" t="s">
        <v>1303</v>
      </c>
      <c r="C2219" s="10" t="s">
        <v>20</v>
      </c>
      <c r="D2219" s="10" t="s">
        <v>718</v>
      </c>
      <c r="E2219" s="12">
        <v>9.6000000000000002E-2</v>
      </c>
      <c r="F2219" s="13">
        <v>18.96</v>
      </c>
      <c r="G2219" s="13">
        <v>1.82</v>
      </c>
    </row>
    <row r="2220" spans="1:7" ht="15" customHeight="1" x14ac:dyDescent="0.35">
      <c r="A2220" s="10" t="s">
        <v>719</v>
      </c>
      <c r="B2220" s="11" t="s">
        <v>720</v>
      </c>
      <c r="C2220" s="10" t="s">
        <v>20</v>
      </c>
      <c r="D2220" s="10" t="s">
        <v>718</v>
      </c>
      <c r="E2220" s="12">
        <v>3.0300000000000001E-2</v>
      </c>
      <c r="F2220" s="13">
        <v>15.53</v>
      </c>
      <c r="G2220" s="13">
        <v>0.47</v>
      </c>
    </row>
    <row r="2221" spans="1:7" ht="18" customHeight="1" x14ac:dyDescent="0.35">
      <c r="A2221" s="8"/>
      <c r="B2221" s="8"/>
      <c r="C2221" s="8"/>
      <c r="D2221" s="8"/>
      <c r="E2221" s="60" t="s">
        <v>721</v>
      </c>
      <c r="F2221" s="60"/>
      <c r="G2221" s="14">
        <v>2.29</v>
      </c>
    </row>
    <row r="2222" spans="1:7" ht="15" customHeight="1" x14ac:dyDescent="0.35">
      <c r="A2222" s="8"/>
      <c r="B2222" s="8"/>
      <c r="C2222" s="8"/>
      <c r="D2222" s="8"/>
      <c r="E2222" s="61" t="s">
        <v>726</v>
      </c>
      <c r="F2222" s="61"/>
      <c r="G2222" s="4">
        <v>54.17</v>
      </c>
    </row>
    <row r="2223" spans="1:7" ht="10" customHeight="1" x14ac:dyDescent="0.35">
      <c r="A2223" s="8"/>
      <c r="B2223" s="8"/>
      <c r="C2223" s="57"/>
      <c r="D2223" s="57"/>
      <c r="E2223" s="8"/>
      <c r="F2223" s="8"/>
      <c r="G2223" s="8"/>
    </row>
    <row r="2224" spans="1:7" ht="20.149999999999999" customHeight="1" x14ac:dyDescent="0.35">
      <c r="A2224" s="58" t="s">
        <v>1544</v>
      </c>
      <c r="B2224" s="58"/>
      <c r="C2224" s="58"/>
      <c r="D2224" s="58"/>
      <c r="E2224" s="58"/>
      <c r="F2224" s="58"/>
      <c r="G2224" s="58"/>
    </row>
    <row r="2225" spans="1:7" ht="15" customHeight="1" x14ac:dyDescent="0.35">
      <c r="A2225" s="59" t="s">
        <v>701</v>
      </c>
      <c r="B2225" s="59"/>
      <c r="C2225" s="9" t="s">
        <v>3</v>
      </c>
      <c r="D2225" s="9" t="s">
        <v>4</v>
      </c>
      <c r="E2225" s="9" t="s">
        <v>702</v>
      </c>
      <c r="F2225" s="9" t="s">
        <v>703</v>
      </c>
      <c r="G2225" s="9" t="s">
        <v>704</v>
      </c>
    </row>
    <row r="2226" spans="1:7" ht="15" customHeight="1" x14ac:dyDescent="0.35">
      <c r="A2226" s="10" t="s">
        <v>1545</v>
      </c>
      <c r="B2226" s="11" t="s">
        <v>1546</v>
      </c>
      <c r="C2226" s="10" t="s">
        <v>20</v>
      </c>
      <c r="D2226" s="10" t="s">
        <v>160</v>
      </c>
      <c r="E2226" s="12">
        <v>1</v>
      </c>
      <c r="F2226" s="13">
        <v>17.59</v>
      </c>
      <c r="G2226" s="13">
        <v>17.59</v>
      </c>
    </row>
    <row r="2227" spans="1:7" ht="15" customHeight="1" x14ac:dyDescent="0.35">
      <c r="A2227" s="8"/>
      <c r="B2227" s="8"/>
      <c r="C2227" s="8"/>
      <c r="D2227" s="8"/>
      <c r="E2227" s="60" t="s">
        <v>714</v>
      </c>
      <c r="F2227" s="60"/>
      <c r="G2227" s="14">
        <v>17.59</v>
      </c>
    </row>
    <row r="2228" spans="1:7" ht="15" customHeight="1" x14ac:dyDescent="0.35">
      <c r="A2228" s="59" t="s">
        <v>715</v>
      </c>
      <c r="B2228" s="59"/>
      <c r="C2228" s="9" t="s">
        <v>3</v>
      </c>
      <c r="D2228" s="9" t="s">
        <v>4</v>
      </c>
      <c r="E2228" s="9" t="s">
        <v>702</v>
      </c>
      <c r="F2228" s="9" t="s">
        <v>703</v>
      </c>
      <c r="G2228" s="9" t="s">
        <v>704</v>
      </c>
    </row>
    <row r="2229" spans="1:7" ht="20.149999999999999" customHeight="1" x14ac:dyDescent="0.35">
      <c r="A2229" s="10" t="s">
        <v>1302</v>
      </c>
      <c r="B2229" s="11" t="s">
        <v>1303</v>
      </c>
      <c r="C2229" s="10" t="s">
        <v>20</v>
      </c>
      <c r="D2229" s="10" t="s">
        <v>718</v>
      </c>
      <c r="E2229" s="12">
        <v>0.30619351</v>
      </c>
      <c r="F2229" s="13">
        <v>18.96</v>
      </c>
      <c r="G2229" s="13">
        <v>5.8</v>
      </c>
    </row>
    <row r="2230" spans="1:7" ht="15" customHeight="1" x14ac:dyDescent="0.35">
      <c r="A2230" s="10" t="s">
        <v>719</v>
      </c>
      <c r="B2230" s="11" t="s">
        <v>720</v>
      </c>
      <c r="C2230" s="10" t="s">
        <v>20</v>
      </c>
      <c r="D2230" s="10" t="s">
        <v>718</v>
      </c>
      <c r="E2230" s="12">
        <v>9.6142850000000002E-2</v>
      </c>
      <c r="F2230" s="13">
        <v>15.53</v>
      </c>
      <c r="G2230" s="13">
        <v>1.49</v>
      </c>
    </row>
    <row r="2231" spans="1:7" ht="18" customHeight="1" x14ac:dyDescent="0.35">
      <c r="A2231" s="8"/>
      <c r="B2231" s="8"/>
      <c r="C2231" s="8"/>
      <c r="D2231" s="8"/>
      <c r="E2231" s="60" t="s">
        <v>721</v>
      </c>
      <c r="F2231" s="60"/>
      <c r="G2231" s="14">
        <v>7.29</v>
      </c>
    </row>
    <row r="2232" spans="1:7" ht="15" customHeight="1" x14ac:dyDescent="0.35">
      <c r="A2232" s="8"/>
      <c r="B2232" s="8"/>
      <c r="C2232" s="8"/>
      <c r="D2232" s="8"/>
      <c r="E2232" s="61" t="s">
        <v>726</v>
      </c>
      <c r="F2232" s="61"/>
      <c r="G2232" s="4">
        <v>24.88</v>
      </c>
    </row>
    <row r="2233" spans="1:7" ht="10" customHeight="1" x14ac:dyDescent="0.35">
      <c r="A2233" s="8"/>
      <c r="B2233" s="8"/>
      <c r="C2233" s="57"/>
      <c r="D2233" s="57"/>
      <c r="E2233" s="8"/>
      <c r="F2233" s="8"/>
      <c r="G2233" s="8"/>
    </row>
    <row r="2234" spans="1:7" ht="20.149999999999999" customHeight="1" x14ac:dyDescent="0.35">
      <c r="A2234" s="58" t="s">
        <v>1547</v>
      </c>
      <c r="B2234" s="58"/>
      <c r="C2234" s="58"/>
      <c r="D2234" s="58"/>
      <c r="E2234" s="58"/>
      <c r="F2234" s="58"/>
      <c r="G2234" s="58"/>
    </row>
    <row r="2235" spans="1:7" ht="15" customHeight="1" x14ac:dyDescent="0.35">
      <c r="A2235" s="59" t="s">
        <v>701</v>
      </c>
      <c r="B2235" s="59"/>
      <c r="C2235" s="9" t="s">
        <v>3</v>
      </c>
      <c r="D2235" s="9" t="s">
        <v>4</v>
      </c>
      <c r="E2235" s="9" t="s">
        <v>702</v>
      </c>
      <c r="F2235" s="9" t="s">
        <v>703</v>
      </c>
      <c r="G2235" s="9" t="s">
        <v>704</v>
      </c>
    </row>
    <row r="2236" spans="1:7" ht="20.149999999999999" customHeight="1" x14ac:dyDescent="0.35">
      <c r="A2236" s="10" t="s">
        <v>1548</v>
      </c>
      <c r="B2236" s="11" t="s">
        <v>1549</v>
      </c>
      <c r="C2236" s="10" t="s">
        <v>20</v>
      </c>
      <c r="D2236" s="10" t="s">
        <v>160</v>
      </c>
      <c r="E2236" s="12">
        <v>1</v>
      </c>
      <c r="F2236" s="13">
        <v>173.43</v>
      </c>
      <c r="G2236" s="13">
        <v>173.43</v>
      </c>
    </row>
    <row r="2237" spans="1:7" ht="29.15" customHeight="1" x14ac:dyDescent="0.35">
      <c r="A2237" s="10" t="s">
        <v>1550</v>
      </c>
      <c r="B2237" s="11" t="s">
        <v>1551</v>
      </c>
      <c r="C2237" s="10" t="s">
        <v>20</v>
      </c>
      <c r="D2237" s="10" t="s">
        <v>160</v>
      </c>
      <c r="E2237" s="12">
        <v>6</v>
      </c>
      <c r="F2237" s="13">
        <v>17.739999999999998</v>
      </c>
      <c r="G2237" s="13">
        <v>106.44</v>
      </c>
    </row>
    <row r="2238" spans="1:7" ht="15" customHeight="1" x14ac:dyDescent="0.35">
      <c r="A2238" s="8"/>
      <c r="B2238" s="8"/>
      <c r="C2238" s="8"/>
      <c r="D2238" s="8"/>
      <c r="E2238" s="60" t="s">
        <v>714</v>
      </c>
      <c r="F2238" s="60"/>
      <c r="G2238" s="14">
        <v>279.87</v>
      </c>
    </row>
    <row r="2239" spans="1:7" ht="15" customHeight="1" x14ac:dyDescent="0.35">
      <c r="A2239" s="59" t="s">
        <v>715</v>
      </c>
      <c r="B2239" s="59"/>
      <c r="C2239" s="9" t="s">
        <v>3</v>
      </c>
      <c r="D2239" s="9" t="s">
        <v>4</v>
      </c>
      <c r="E2239" s="9" t="s">
        <v>702</v>
      </c>
      <c r="F2239" s="9" t="s">
        <v>703</v>
      </c>
      <c r="G2239" s="9" t="s">
        <v>704</v>
      </c>
    </row>
    <row r="2240" spans="1:7" ht="20.149999999999999" customHeight="1" x14ac:dyDescent="0.35">
      <c r="A2240" s="10" t="s">
        <v>1302</v>
      </c>
      <c r="B2240" s="11" t="s">
        <v>1303</v>
      </c>
      <c r="C2240" s="10" t="s">
        <v>20</v>
      </c>
      <c r="D2240" s="10" t="s">
        <v>718</v>
      </c>
      <c r="E2240" s="12">
        <v>1.0316988199999999</v>
      </c>
      <c r="F2240" s="13">
        <v>18.96</v>
      </c>
      <c r="G2240" s="13">
        <v>19.559999999999999</v>
      </c>
    </row>
    <row r="2241" spans="1:7" ht="15" customHeight="1" x14ac:dyDescent="0.35">
      <c r="A2241" s="10" t="s">
        <v>719</v>
      </c>
      <c r="B2241" s="11" t="s">
        <v>720</v>
      </c>
      <c r="C2241" s="10" t="s">
        <v>20</v>
      </c>
      <c r="D2241" s="10" t="s">
        <v>718</v>
      </c>
      <c r="E2241" s="12">
        <v>0.32448055999999997</v>
      </c>
      <c r="F2241" s="13">
        <v>15.53</v>
      </c>
      <c r="G2241" s="13">
        <v>5.03</v>
      </c>
    </row>
    <row r="2242" spans="1:7" ht="18" customHeight="1" x14ac:dyDescent="0.35">
      <c r="A2242" s="8"/>
      <c r="B2242" s="8"/>
      <c r="C2242" s="8"/>
      <c r="D2242" s="8"/>
      <c r="E2242" s="60" t="s">
        <v>721</v>
      </c>
      <c r="F2242" s="60"/>
      <c r="G2242" s="14">
        <v>24.59</v>
      </c>
    </row>
    <row r="2243" spans="1:7" ht="15" customHeight="1" x14ac:dyDescent="0.35">
      <c r="A2243" s="8"/>
      <c r="B2243" s="8"/>
      <c r="C2243" s="8"/>
      <c r="D2243" s="8"/>
      <c r="E2243" s="61" t="s">
        <v>726</v>
      </c>
      <c r="F2243" s="61"/>
      <c r="G2243" s="4">
        <v>304.45999999999998</v>
      </c>
    </row>
    <row r="2244" spans="1:7" ht="10" customHeight="1" x14ac:dyDescent="0.35">
      <c r="A2244" s="8"/>
      <c r="B2244" s="8"/>
      <c r="C2244" s="57"/>
      <c r="D2244" s="57"/>
      <c r="E2244" s="8"/>
      <c r="F2244" s="8"/>
      <c r="G2244" s="8"/>
    </row>
    <row r="2245" spans="1:7" ht="20.149999999999999" customHeight="1" x14ac:dyDescent="0.35">
      <c r="A2245" s="58" t="s">
        <v>1552</v>
      </c>
      <c r="B2245" s="58"/>
      <c r="C2245" s="58"/>
      <c r="D2245" s="58"/>
      <c r="E2245" s="58"/>
      <c r="F2245" s="58"/>
      <c r="G2245" s="58"/>
    </row>
    <row r="2246" spans="1:7" ht="15" customHeight="1" x14ac:dyDescent="0.35">
      <c r="A2246" s="59" t="s">
        <v>701</v>
      </c>
      <c r="B2246" s="59"/>
      <c r="C2246" s="9" t="s">
        <v>3</v>
      </c>
      <c r="D2246" s="9" t="s">
        <v>4</v>
      </c>
      <c r="E2246" s="9" t="s">
        <v>702</v>
      </c>
      <c r="F2246" s="9" t="s">
        <v>703</v>
      </c>
      <c r="G2246" s="9" t="s">
        <v>704</v>
      </c>
    </row>
    <row r="2247" spans="1:7" ht="20.149999999999999" customHeight="1" x14ac:dyDescent="0.35">
      <c r="A2247" s="10" t="s">
        <v>1521</v>
      </c>
      <c r="B2247" s="11" t="s">
        <v>1522</v>
      </c>
      <c r="C2247" s="10" t="s">
        <v>20</v>
      </c>
      <c r="D2247" s="10" t="s">
        <v>160</v>
      </c>
      <c r="E2247" s="12">
        <v>1</v>
      </c>
      <c r="F2247" s="13">
        <v>10.19</v>
      </c>
      <c r="G2247" s="13">
        <v>10.19</v>
      </c>
    </row>
    <row r="2248" spans="1:7" ht="20.149999999999999" customHeight="1" x14ac:dyDescent="0.35">
      <c r="A2248" s="10" t="s">
        <v>1553</v>
      </c>
      <c r="B2248" s="11" t="s">
        <v>1554</v>
      </c>
      <c r="C2248" s="10" t="s">
        <v>20</v>
      </c>
      <c r="D2248" s="10" t="s">
        <v>160</v>
      </c>
      <c r="E2248" s="12">
        <v>1</v>
      </c>
      <c r="F2248" s="13">
        <v>421.25</v>
      </c>
      <c r="G2248" s="13">
        <v>421.25</v>
      </c>
    </row>
    <row r="2249" spans="1:7" ht="29.15" customHeight="1" x14ac:dyDescent="0.35">
      <c r="A2249" s="10" t="s">
        <v>1525</v>
      </c>
      <c r="B2249" s="11" t="s">
        <v>1526</v>
      </c>
      <c r="C2249" s="10" t="s">
        <v>20</v>
      </c>
      <c r="D2249" s="10" t="s">
        <v>160</v>
      </c>
      <c r="E2249" s="12">
        <v>2</v>
      </c>
      <c r="F2249" s="13">
        <v>23.92</v>
      </c>
      <c r="G2249" s="13">
        <v>47.84</v>
      </c>
    </row>
    <row r="2250" spans="1:7" ht="15" customHeight="1" x14ac:dyDescent="0.35">
      <c r="A2250" s="10" t="s">
        <v>1527</v>
      </c>
      <c r="B2250" s="11" t="s">
        <v>1528</v>
      </c>
      <c r="C2250" s="10" t="s">
        <v>20</v>
      </c>
      <c r="D2250" s="10" t="s">
        <v>56</v>
      </c>
      <c r="E2250" s="12">
        <v>8.9116769999999998E-2</v>
      </c>
      <c r="F2250" s="13">
        <v>90.9</v>
      </c>
      <c r="G2250" s="13">
        <v>8.1</v>
      </c>
    </row>
    <row r="2251" spans="1:7" ht="15" customHeight="1" x14ac:dyDescent="0.35">
      <c r="A2251" s="8"/>
      <c r="B2251" s="8"/>
      <c r="C2251" s="8"/>
      <c r="D2251" s="8"/>
      <c r="E2251" s="60" t="s">
        <v>714</v>
      </c>
      <c r="F2251" s="60"/>
      <c r="G2251" s="14">
        <v>487.38</v>
      </c>
    </row>
    <row r="2252" spans="1:7" ht="15" customHeight="1" x14ac:dyDescent="0.35">
      <c r="A2252" s="59" t="s">
        <v>715</v>
      </c>
      <c r="B2252" s="59"/>
      <c r="C2252" s="9" t="s">
        <v>3</v>
      </c>
      <c r="D2252" s="9" t="s">
        <v>4</v>
      </c>
      <c r="E2252" s="9" t="s">
        <v>702</v>
      </c>
      <c r="F2252" s="9" t="s">
        <v>703</v>
      </c>
      <c r="G2252" s="9" t="s">
        <v>704</v>
      </c>
    </row>
    <row r="2253" spans="1:7" ht="20.149999999999999" customHeight="1" x14ac:dyDescent="0.35">
      <c r="A2253" s="10" t="s">
        <v>1302</v>
      </c>
      <c r="B2253" s="11" t="s">
        <v>1303</v>
      </c>
      <c r="C2253" s="10" t="s">
        <v>20</v>
      </c>
      <c r="D2253" s="10" t="s">
        <v>718</v>
      </c>
      <c r="E2253" s="12">
        <v>0.49741195999999999</v>
      </c>
      <c r="F2253" s="13">
        <v>18.96</v>
      </c>
      <c r="G2253" s="13">
        <v>9.43</v>
      </c>
    </row>
    <row r="2254" spans="1:7" ht="15" customHeight="1" x14ac:dyDescent="0.35">
      <c r="A2254" s="10" t="s">
        <v>719</v>
      </c>
      <c r="B2254" s="11" t="s">
        <v>720</v>
      </c>
      <c r="C2254" s="10" t="s">
        <v>20</v>
      </c>
      <c r="D2254" s="10" t="s">
        <v>718</v>
      </c>
      <c r="E2254" s="12">
        <v>0.35276834000000001</v>
      </c>
      <c r="F2254" s="13">
        <v>15.53</v>
      </c>
      <c r="G2254" s="13">
        <v>5.47</v>
      </c>
    </row>
    <row r="2255" spans="1:7" ht="18" customHeight="1" x14ac:dyDescent="0.35">
      <c r="A2255" s="8"/>
      <c r="B2255" s="8"/>
      <c r="C2255" s="8"/>
      <c r="D2255" s="8"/>
      <c r="E2255" s="60" t="s">
        <v>721</v>
      </c>
      <c r="F2255" s="60"/>
      <c r="G2255" s="14">
        <v>14.9</v>
      </c>
    </row>
    <row r="2256" spans="1:7" ht="15" customHeight="1" x14ac:dyDescent="0.35">
      <c r="A2256" s="8"/>
      <c r="B2256" s="8"/>
      <c r="C2256" s="8"/>
      <c r="D2256" s="8"/>
      <c r="E2256" s="61" t="s">
        <v>726</v>
      </c>
      <c r="F2256" s="61"/>
      <c r="G2256" s="4">
        <v>502.28</v>
      </c>
    </row>
    <row r="2257" spans="1:7" ht="10" customHeight="1" x14ac:dyDescent="0.35">
      <c r="A2257" s="8"/>
      <c r="B2257" s="8"/>
      <c r="C2257" s="57"/>
      <c r="D2257" s="57"/>
      <c r="E2257" s="8"/>
      <c r="F2257" s="8"/>
      <c r="G2257" s="8"/>
    </row>
    <row r="2258" spans="1:7" ht="20.149999999999999" customHeight="1" x14ac:dyDescent="0.35">
      <c r="A2258" s="58" t="s">
        <v>1555</v>
      </c>
      <c r="B2258" s="58"/>
      <c r="C2258" s="58"/>
      <c r="D2258" s="58"/>
      <c r="E2258" s="58"/>
      <c r="F2258" s="58"/>
      <c r="G2258" s="58"/>
    </row>
    <row r="2259" spans="1:7" ht="15" customHeight="1" x14ac:dyDescent="0.35">
      <c r="A2259" s="59" t="s">
        <v>722</v>
      </c>
      <c r="B2259" s="59"/>
      <c r="C2259" s="9" t="s">
        <v>3</v>
      </c>
      <c r="D2259" s="9" t="s">
        <v>4</v>
      </c>
      <c r="E2259" s="9" t="s">
        <v>702</v>
      </c>
      <c r="F2259" s="9" t="s">
        <v>703</v>
      </c>
      <c r="G2259" s="9" t="s">
        <v>704</v>
      </c>
    </row>
    <row r="2260" spans="1:7" ht="20.149999999999999" customHeight="1" x14ac:dyDescent="0.35">
      <c r="A2260" s="10" t="s">
        <v>1556</v>
      </c>
      <c r="B2260" s="11" t="s">
        <v>1557</v>
      </c>
      <c r="C2260" s="10" t="s">
        <v>20</v>
      </c>
      <c r="D2260" s="10" t="s">
        <v>160</v>
      </c>
      <c r="E2260" s="12">
        <v>0.99770890000000001</v>
      </c>
      <c r="F2260" s="13">
        <v>130.06</v>
      </c>
      <c r="G2260" s="13">
        <v>129.76</v>
      </c>
    </row>
    <row r="2261" spans="1:7" ht="20.149999999999999" customHeight="1" x14ac:dyDescent="0.35">
      <c r="A2261" s="10" t="s">
        <v>1537</v>
      </c>
      <c r="B2261" s="11" t="s">
        <v>1538</v>
      </c>
      <c r="C2261" s="10" t="s">
        <v>20</v>
      </c>
      <c r="D2261" s="10" t="s">
        <v>160</v>
      </c>
      <c r="E2261" s="12">
        <v>0.99770890000000001</v>
      </c>
      <c r="F2261" s="13">
        <v>145.11000000000001</v>
      </c>
      <c r="G2261" s="13">
        <v>144.77000000000001</v>
      </c>
    </row>
    <row r="2262" spans="1:7" ht="29.15" customHeight="1" x14ac:dyDescent="0.35">
      <c r="A2262" s="10" t="s">
        <v>614</v>
      </c>
      <c r="B2262" s="11" t="s">
        <v>615</v>
      </c>
      <c r="C2262" s="10" t="s">
        <v>20</v>
      </c>
      <c r="D2262" s="10" t="s">
        <v>160</v>
      </c>
      <c r="E2262" s="12">
        <v>0.99770890000000001</v>
      </c>
      <c r="F2262" s="13">
        <v>47.82</v>
      </c>
      <c r="G2262" s="13">
        <v>47.71</v>
      </c>
    </row>
    <row r="2263" spans="1:7" ht="15" customHeight="1" x14ac:dyDescent="0.35">
      <c r="A2263" s="8"/>
      <c r="B2263" s="8"/>
      <c r="C2263" s="8"/>
      <c r="D2263" s="8"/>
      <c r="E2263" s="60" t="s">
        <v>725</v>
      </c>
      <c r="F2263" s="60"/>
      <c r="G2263" s="14">
        <v>322.24</v>
      </c>
    </row>
    <row r="2264" spans="1:7" ht="15" customHeight="1" x14ac:dyDescent="0.35">
      <c r="A2264" s="8"/>
      <c r="B2264" s="8"/>
      <c r="C2264" s="8"/>
      <c r="D2264" s="8"/>
      <c r="E2264" s="61" t="s">
        <v>726</v>
      </c>
      <c r="F2264" s="61"/>
      <c r="G2264" s="4">
        <v>322.24</v>
      </c>
    </row>
    <row r="2265" spans="1:7" ht="10" customHeight="1" x14ac:dyDescent="0.35">
      <c r="A2265" s="8"/>
      <c r="B2265" s="8"/>
      <c r="C2265" s="57"/>
      <c r="D2265" s="57"/>
      <c r="E2265" s="8"/>
      <c r="F2265" s="8"/>
      <c r="G2265" s="8"/>
    </row>
    <row r="2266" spans="1:7" ht="20.149999999999999" customHeight="1" x14ac:dyDescent="0.35">
      <c r="A2266" s="58" t="s">
        <v>1558</v>
      </c>
      <c r="B2266" s="58"/>
      <c r="C2266" s="58"/>
      <c r="D2266" s="58"/>
      <c r="E2266" s="58"/>
      <c r="F2266" s="58"/>
      <c r="G2266" s="58"/>
    </row>
    <row r="2267" spans="1:7" ht="15" customHeight="1" x14ac:dyDescent="0.35">
      <c r="A2267" s="59" t="s">
        <v>701</v>
      </c>
      <c r="B2267" s="59"/>
      <c r="C2267" s="9" t="s">
        <v>3</v>
      </c>
      <c r="D2267" s="9" t="s">
        <v>4</v>
      </c>
      <c r="E2267" s="9" t="s">
        <v>702</v>
      </c>
      <c r="F2267" s="9" t="s">
        <v>703</v>
      </c>
      <c r="G2267" s="9" t="s">
        <v>704</v>
      </c>
    </row>
    <row r="2268" spans="1:7" ht="20.149999999999999" customHeight="1" x14ac:dyDescent="0.35">
      <c r="A2268" s="10" t="s">
        <v>1559</v>
      </c>
      <c r="B2268" s="11" t="s">
        <v>1560</v>
      </c>
      <c r="C2268" s="10" t="s">
        <v>20</v>
      </c>
      <c r="D2268" s="10" t="s">
        <v>160</v>
      </c>
      <c r="E2268" s="12">
        <v>1</v>
      </c>
      <c r="F2268" s="13">
        <v>91.22</v>
      </c>
      <c r="G2268" s="13">
        <v>91.22</v>
      </c>
    </row>
    <row r="2269" spans="1:7" ht="15" customHeight="1" x14ac:dyDescent="0.35">
      <c r="A2269" s="10" t="s">
        <v>1387</v>
      </c>
      <c r="B2269" s="11" t="s">
        <v>1388</v>
      </c>
      <c r="C2269" s="10" t="s">
        <v>20</v>
      </c>
      <c r="D2269" s="10" t="s">
        <v>160</v>
      </c>
      <c r="E2269" s="12">
        <v>1.9984100000000001E-2</v>
      </c>
      <c r="F2269" s="13">
        <v>2.44</v>
      </c>
      <c r="G2269" s="13">
        <v>0.04</v>
      </c>
    </row>
    <row r="2270" spans="1:7" ht="15" customHeight="1" x14ac:dyDescent="0.35">
      <c r="A2270" s="8"/>
      <c r="B2270" s="8"/>
      <c r="C2270" s="8"/>
      <c r="D2270" s="8"/>
      <c r="E2270" s="60" t="s">
        <v>714</v>
      </c>
      <c r="F2270" s="60"/>
      <c r="G2270" s="14">
        <v>91.26</v>
      </c>
    </row>
    <row r="2271" spans="1:7" ht="15" customHeight="1" x14ac:dyDescent="0.35">
      <c r="A2271" s="59" t="s">
        <v>715</v>
      </c>
      <c r="B2271" s="59"/>
      <c r="C2271" s="9" t="s">
        <v>3</v>
      </c>
      <c r="D2271" s="9" t="s">
        <v>4</v>
      </c>
      <c r="E2271" s="9" t="s">
        <v>702</v>
      </c>
      <c r="F2271" s="9" t="s">
        <v>703</v>
      </c>
      <c r="G2271" s="9" t="s">
        <v>704</v>
      </c>
    </row>
    <row r="2272" spans="1:7" ht="20.149999999999999" customHeight="1" x14ac:dyDescent="0.35">
      <c r="A2272" s="10" t="s">
        <v>1302</v>
      </c>
      <c r="B2272" s="11" t="s">
        <v>1303</v>
      </c>
      <c r="C2272" s="10" t="s">
        <v>20</v>
      </c>
      <c r="D2272" s="10" t="s">
        <v>718</v>
      </c>
      <c r="E2272" s="12">
        <v>0.41129915</v>
      </c>
      <c r="F2272" s="13">
        <v>18.96</v>
      </c>
      <c r="G2272" s="13">
        <v>7.79</v>
      </c>
    </row>
    <row r="2273" spans="1:7" ht="15" customHeight="1" x14ac:dyDescent="0.35">
      <c r="A2273" s="10" t="s">
        <v>719</v>
      </c>
      <c r="B2273" s="11" t="s">
        <v>720</v>
      </c>
      <c r="C2273" s="10" t="s">
        <v>20</v>
      </c>
      <c r="D2273" s="10" t="s">
        <v>718</v>
      </c>
      <c r="E2273" s="12">
        <v>0.13054627999999999</v>
      </c>
      <c r="F2273" s="13">
        <v>15.53</v>
      </c>
      <c r="G2273" s="13">
        <v>2.02</v>
      </c>
    </row>
    <row r="2274" spans="1:7" ht="18" customHeight="1" x14ac:dyDescent="0.35">
      <c r="A2274" s="8"/>
      <c r="B2274" s="8"/>
      <c r="C2274" s="8"/>
      <c r="D2274" s="8"/>
      <c r="E2274" s="60" t="s">
        <v>721</v>
      </c>
      <c r="F2274" s="60"/>
      <c r="G2274" s="14">
        <v>9.81</v>
      </c>
    </row>
    <row r="2275" spans="1:7" ht="15" customHeight="1" x14ac:dyDescent="0.35">
      <c r="A2275" s="8"/>
      <c r="B2275" s="8"/>
      <c r="C2275" s="8"/>
      <c r="D2275" s="8"/>
      <c r="E2275" s="61" t="s">
        <v>726</v>
      </c>
      <c r="F2275" s="61"/>
      <c r="G2275" s="4">
        <v>101.07</v>
      </c>
    </row>
    <row r="2276" spans="1:7" ht="10" customHeight="1" x14ac:dyDescent="0.35">
      <c r="A2276" s="8"/>
      <c r="B2276" s="8"/>
      <c r="C2276" s="57"/>
      <c r="D2276" s="57"/>
      <c r="E2276" s="8"/>
      <c r="F2276" s="8"/>
      <c r="G2276" s="8"/>
    </row>
    <row r="2277" spans="1:7" ht="20.149999999999999" customHeight="1" x14ac:dyDescent="0.35">
      <c r="A2277" s="58" t="s">
        <v>1561</v>
      </c>
      <c r="B2277" s="58"/>
      <c r="C2277" s="58"/>
      <c r="D2277" s="58"/>
      <c r="E2277" s="58"/>
      <c r="F2277" s="58"/>
      <c r="G2277" s="58"/>
    </row>
    <row r="2278" spans="1:7" ht="15" customHeight="1" x14ac:dyDescent="0.35">
      <c r="A2278" s="59" t="s">
        <v>701</v>
      </c>
      <c r="B2278" s="59"/>
      <c r="C2278" s="9" t="s">
        <v>3</v>
      </c>
      <c r="D2278" s="9" t="s">
        <v>4</v>
      </c>
      <c r="E2278" s="9" t="s">
        <v>702</v>
      </c>
      <c r="F2278" s="9" t="s">
        <v>703</v>
      </c>
      <c r="G2278" s="9" t="s">
        <v>704</v>
      </c>
    </row>
    <row r="2279" spans="1:7" ht="20.149999999999999" customHeight="1" x14ac:dyDescent="0.35">
      <c r="A2279" s="10" t="s">
        <v>1562</v>
      </c>
      <c r="B2279" s="11" t="s">
        <v>1563</v>
      </c>
      <c r="C2279" s="10" t="s">
        <v>20</v>
      </c>
      <c r="D2279" s="10" t="s">
        <v>56</v>
      </c>
      <c r="E2279" s="12">
        <v>0.24444368</v>
      </c>
      <c r="F2279" s="13">
        <v>34.49</v>
      </c>
      <c r="G2279" s="13">
        <v>8.43</v>
      </c>
    </row>
    <row r="2280" spans="1:7" ht="29.15" customHeight="1" x14ac:dyDescent="0.35">
      <c r="A2280" s="10" t="s">
        <v>1564</v>
      </c>
      <c r="B2280" s="11" t="s">
        <v>1565</v>
      </c>
      <c r="C2280" s="10" t="s">
        <v>20</v>
      </c>
      <c r="D2280" s="10" t="s">
        <v>21</v>
      </c>
      <c r="E2280" s="12">
        <v>0.99854445999999997</v>
      </c>
      <c r="F2280" s="13">
        <v>399.39</v>
      </c>
      <c r="G2280" s="13">
        <v>398.81</v>
      </c>
    </row>
    <row r="2281" spans="1:7" ht="15" customHeight="1" x14ac:dyDescent="0.35">
      <c r="A2281" s="8"/>
      <c r="B2281" s="8"/>
      <c r="C2281" s="8"/>
      <c r="D2281" s="8"/>
      <c r="E2281" s="60" t="s">
        <v>714</v>
      </c>
      <c r="F2281" s="60"/>
      <c r="G2281" s="14">
        <v>407.24</v>
      </c>
    </row>
    <row r="2282" spans="1:7" ht="15" customHeight="1" x14ac:dyDescent="0.35">
      <c r="A2282" s="59" t="s">
        <v>715</v>
      </c>
      <c r="B2282" s="59"/>
      <c r="C2282" s="9" t="s">
        <v>3</v>
      </c>
      <c r="D2282" s="9" t="s">
        <v>4</v>
      </c>
      <c r="E2282" s="9" t="s">
        <v>702</v>
      </c>
      <c r="F2282" s="9" t="s">
        <v>703</v>
      </c>
      <c r="G2282" s="9" t="s">
        <v>704</v>
      </c>
    </row>
    <row r="2283" spans="1:7" ht="15" customHeight="1" x14ac:dyDescent="0.35">
      <c r="A2283" s="10" t="s">
        <v>794</v>
      </c>
      <c r="B2283" s="11" t="s">
        <v>795</v>
      </c>
      <c r="C2283" s="10" t="s">
        <v>20</v>
      </c>
      <c r="D2283" s="10" t="s">
        <v>718</v>
      </c>
      <c r="E2283" s="12">
        <v>0.63607192999999995</v>
      </c>
      <c r="F2283" s="13">
        <v>19.57</v>
      </c>
      <c r="G2283" s="13">
        <v>12.45</v>
      </c>
    </row>
    <row r="2284" spans="1:7" ht="15" customHeight="1" x14ac:dyDescent="0.35">
      <c r="A2284" s="10" t="s">
        <v>719</v>
      </c>
      <c r="B2284" s="11" t="s">
        <v>720</v>
      </c>
      <c r="C2284" s="10" t="s">
        <v>20</v>
      </c>
      <c r="D2284" s="10" t="s">
        <v>718</v>
      </c>
      <c r="E2284" s="12">
        <v>1.1155723</v>
      </c>
      <c r="F2284" s="13">
        <v>15.53</v>
      </c>
      <c r="G2284" s="13">
        <v>17.32</v>
      </c>
    </row>
    <row r="2285" spans="1:7" ht="18" customHeight="1" x14ac:dyDescent="0.35">
      <c r="A2285" s="8"/>
      <c r="B2285" s="8"/>
      <c r="C2285" s="8"/>
      <c r="D2285" s="8"/>
      <c r="E2285" s="60" t="s">
        <v>721</v>
      </c>
      <c r="F2285" s="60"/>
      <c r="G2285" s="14">
        <v>29.77</v>
      </c>
    </row>
    <row r="2286" spans="1:7" ht="15" customHeight="1" x14ac:dyDescent="0.35">
      <c r="A2286" s="8"/>
      <c r="B2286" s="8"/>
      <c r="C2286" s="8"/>
      <c r="D2286" s="8"/>
      <c r="E2286" s="61" t="s">
        <v>726</v>
      </c>
      <c r="F2286" s="61"/>
      <c r="G2286" s="4">
        <v>437.01</v>
      </c>
    </row>
    <row r="2287" spans="1:7" ht="10" customHeight="1" x14ac:dyDescent="0.35">
      <c r="A2287" s="8"/>
      <c r="B2287" s="8"/>
      <c r="C2287" s="57"/>
      <c r="D2287" s="57"/>
      <c r="E2287" s="8"/>
      <c r="F2287" s="8"/>
      <c r="G2287" s="8"/>
    </row>
    <row r="2288" spans="1:7" ht="20.149999999999999" customHeight="1" x14ac:dyDescent="0.35">
      <c r="A2288" s="58" t="s">
        <v>1566</v>
      </c>
      <c r="B2288" s="58"/>
      <c r="C2288" s="58"/>
      <c r="D2288" s="58"/>
      <c r="E2288" s="58"/>
      <c r="F2288" s="58"/>
      <c r="G2288" s="58"/>
    </row>
    <row r="2289" spans="1:7" ht="15" customHeight="1" x14ac:dyDescent="0.35">
      <c r="A2289" s="59" t="s">
        <v>701</v>
      </c>
      <c r="B2289" s="59"/>
      <c r="C2289" s="9" t="s">
        <v>3</v>
      </c>
      <c r="D2289" s="9" t="s">
        <v>4</v>
      </c>
      <c r="E2289" s="9" t="s">
        <v>702</v>
      </c>
      <c r="F2289" s="9" t="s">
        <v>703</v>
      </c>
      <c r="G2289" s="9" t="s">
        <v>704</v>
      </c>
    </row>
    <row r="2290" spans="1:7" ht="20.149999999999999" customHeight="1" x14ac:dyDescent="0.35">
      <c r="A2290" s="10" t="s">
        <v>1567</v>
      </c>
      <c r="B2290" s="11" t="s">
        <v>1568</v>
      </c>
      <c r="C2290" s="10" t="s">
        <v>20</v>
      </c>
      <c r="D2290" s="10" t="s">
        <v>160</v>
      </c>
      <c r="E2290" s="12">
        <v>1</v>
      </c>
      <c r="F2290" s="13">
        <v>9.11</v>
      </c>
      <c r="G2290" s="13">
        <v>9.11</v>
      </c>
    </row>
    <row r="2291" spans="1:7" ht="15" customHeight="1" x14ac:dyDescent="0.35">
      <c r="A2291" s="8"/>
      <c r="B2291" s="8"/>
      <c r="C2291" s="8"/>
      <c r="D2291" s="8"/>
      <c r="E2291" s="60" t="s">
        <v>714</v>
      </c>
      <c r="F2291" s="60"/>
      <c r="G2291" s="14">
        <v>9.11</v>
      </c>
    </row>
    <row r="2292" spans="1:7" ht="15" customHeight="1" x14ac:dyDescent="0.35">
      <c r="A2292" s="59" t="s">
        <v>722</v>
      </c>
      <c r="B2292" s="59"/>
      <c r="C2292" s="9" t="s">
        <v>3</v>
      </c>
      <c r="D2292" s="9" t="s">
        <v>4</v>
      </c>
      <c r="E2292" s="9" t="s">
        <v>702</v>
      </c>
      <c r="F2292" s="9" t="s">
        <v>703</v>
      </c>
      <c r="G2292" s="9" t="s">
        <v>704</v>
      </c>
    </row>
    <row r="2293" spans="1:7" ht="20.149999999999999" customHeight="1" x14ac:dyDescent="0.35">
      <c r="A2293" s="10" t="s">
        <v>1569</v>
      </c>
      <c r="B2293" s="11" t="s">
        <v>1570</v>
      </c>
      <c r="C2293" s="10" t="s">
        <v>20</v>
      </c>
      <c r="D2293" s="10" t="s">
        <v>160</v>
      </c>
      <c r="E2293" s="12">
        <v>1.00124959</v>
      </c>
      <c r="F2293" s="13">
        <v>270.98</v>
      </c>
      <c r="G2293" s="13">
        <v>271.31</v>
      </c>
    </row>
    <row r="2294" spans="1:7" ht="15" customHeight="1" x14ac:dyDescent="0.35">
      <c r="A2294" s="8"/>
      <c r="B2294" s="8"/>
      <c r="C2294" s="8"/>
      <c r="D2294" s="8"/>
      <c r="E2294" s="60" t="s">
        <v>725</v>
      </c>
      <c r="F2294" s="60"/>
      <c r="G2294" s="14">
        <v>271.31</v>
      </c>
    </row>
    <row r="2295" spans="1:7" ht="15" customHeight="1" x14ac:dyDescent="0.35">
      <c r="A2295" s="8"/>
      <c r="B2295" s="8"/>
      <c r="C2295" s="8"/>
      <c r="D2295" s="8"/>
      <c r="E2295" s="61" t="s">
        <v>726</v>
      </c>
      <c r="F2295" s="61"/>
      <c r="G2295" s="4">
        <v>280.42</v>
      </c>
    </row>
    <row r="2296" spans="1:7" ht="10" customHeight="1" x14ac:dyDescent="0.35">
      <c r="A2296" s="8"/>
      <c r="B2296" s="8"/>
      <c r="C2296" s="57"/>
      <c r="D2296" s="57"/>
      <c r="E2296" s="8"/>
      <c r="F2296" s="8"/>
      <c r="G2296" s="8"/>
    </row>
    <row r="2297" spans="1:7" ht="20.149999999999999" customHeight="1" x14ac:dyDescent="0.35">
      <c r="A2297" s="58" t="s">
        <v>1561</v>
      </c>
      <c r="B2297" s="58"/>
      <c r="C2297" s="58"/>
      <c r="D2297" s="58"/>
      <c r="E2297" s="58"/>
      <c r="F2297" s="58"/>
      <c r="G2297" s="58"/>
    </row>
    <row r="2298" spans="1:7" ht="15" customHeight="1" x14ac:dyDescent="0.35">
      <c r="A2298" s="59" t="s">
        <v>701</v>
      </c>
      <c r="B2298" s="59"/>
      <c r="C2298" s="9" t="s">
        <v>3</v>
      </c>
      <c r="D2298" s="9" t="s">
        <v>4</v>
      </c>
      <c r="E2298" s="9" t="s">
        <v>702</v>
      </c>
      <c r="F2298" s="9" t="s">
        <v>703</v>
      </c>
      <c r="G2298" s="9" t="s">
        <v>704</v>
      </c>
    </row>
    <row r="2299" spans="1:7" ht="20.149999999999999" customHeight="1" x14ac:dyDescent="0.35">
      <c r="A2299" s="10" t="s">
        <v>1562</v>
      </c>
      <c r="B2299" s="11" t="s">
        <v>1563</v>
      </c>
      <c r="C2299" s="10" t="s">
        <v>20</v>
      </c>
      <c r="D2299" s="10" t="s">
        <v>56</v>
      </c>
      <c r="E2299" s="12">
        <v>0.24443819999999999</v>
      </c>
      <c r="F2299" s="13">
        <v>34.49</v>
      </c>
      <c r="G2299" s="13">
        <v>8.43</v>
      </c>
    </row>
    <row r="2300" spans="1:7" ht="29.15" customHeight="1" x14ac:dyDescent="0.35">
      <c r="A2300" s="10" t="s">
        <v>1564</v>
      </c>
      <c r="B2300" s="11" t="s">
        <v>1565</v>
      </c>
      <c r="C2300" s="10" t="s">
        <v>20</v>
      </c>
      <c r="D2300" s="10" t="s">
        <v>21</v>
      </c>
      <c r="E2300" s="12">
        <v>0.99852207000000004</v>
      </c>
      <c r="F2300" s="13">
        <v>399.39</v>
      </c>
      <c r="G2300" s="13">
        <v>398.8</v>
      </c>
    </row>
    <row r="2301" spans="1:7" ht="15" customHeight="1" x14ac:dyDescent="0.35">
      <c r="A2301" s="8"/>
      <c r="B2301" s="8"/>
      <c r="C2301" s="8"/>
      <c r="D2301" s="8"/>
      <c r="E2301" s="60" t="s">
        <v>714</v>
      </c>
      <c r="F2301" s="60"/>
      <c r="G2301" s="14">
        <v>407.23</v>
      </c>
    </row>
    <row r="2302" spans="1:7" ht="15" customHeight="1" x14ac:dyDescent="0.35">
      <c r="A2302" s="59" t="s">
        <v>715</v>
      </c>
      <c r="B2302" s="59"/>
      <c r="C2302" s="9" t="s">
        <v>3</v>
      </c>
      <c r="D2302" s="9" t="s">
        <v>4</v>
      </c>
      <c r="E2302" s="9" t="s">
        <v>702</v>
      </c>
      <c r="F2302" s="9" t="s">
        <v>703</v>
      </c>
      <c r="G2302" s="9" t="s">
        <v>704</v>
      </c>
    </row>
    <row r="2303" spans="1:7" ht="15" customHeight="1" x14ac:dyDescent="0.35">
      <c r="A2303" s="10" t="s">
        <v>794</v>
      </c>
      <c r="B2303" s="11" t="s">
        <v>795</v>
      </c>
      <c r="C2303" s="10" t="s">
        <v>20</v>
      </c>
      <c r="D2303" s="10" t="s">
        <v>718</v>
      </c>
      <c r="E2303" s="12">
        <v>0.63605738000000001</v>
      </c>
      <c r="F2303" s="13">
        <v>19.57</v>
      </c>
      <c r="G2303" s="13">
        <v>12.45</v>
      </c>
    </row>
    <row r="2304" spans="1:7" ht="15" customHeight="1" x14ac:dyDescent="0.35">
      <c r="A2304" s="10" t="s">
        <v>719</v>
      </c>
      <c r="B2304" s="11" t="s">
        <v>720</v>
      </c>
      <c r="C2304" s="10" t="s">
        <v>20</v>
      </c>
      <c r="D2304" s="10" t="s">
        <v>718</v>
      </c>
      <c r="E2304" s="12">
        <v>1.1155467699999999</v>
      </c>
      <c r="F2304" s="13">
        <v>15.53</v>
      </c>
      <c r="G2304" s="13">
        <v>17.32</v>
      </c>
    </row>
    <row r="2305" spans="1:7" ht="18" customHeight="1" x14ac:dyDescent="0.35">
      <c r="A2305" s="8"/>
      <c r="B2305" s="8"/>
      <c r="C2305" s="8"/>
      <c r="D2305" s="8"/>
      <c r="E2305" s="60" t="s">
        <v>721</v>
      </c>
      <c r="F2305" s="60"/>
      <c r="G2305" s="14">
        <v>29.77</v>
      </c>
    </row>
    <row r="2306" spans="1:7" ht="15" customHeight="1" x14ac:dyDescent="0.35">
      <c r="A2306" s="8"/>
      <c r="B2306" s="8"/>
      <c r="C2306" s="8"/>
      <c r="D2306" s="8"/>
      <c r="E2306" s="61" t="s">
        <v>726</v>
      </c>
      <c r="F2306" s="61"/>
      <c r="G2306" s="4">
        <v>437</v>
      </c>
    </row>
    <row r="2307" spans="1:7" ht="10" customHeight="1" x14ac:dyDescent="0.35">
      <c r="A2307" s="8"/>
      <c r="B2307" s="8"/>
      <c r="C2307" s="57"/>
      <c r="D2307" s="57"/>
      <c r="E2307" s="8"/>
      <c r="F2307" s="8"/>
      <c r="G2307" s="8"/>
    </row>
    <row r="2308" spans="1:7" ht="20.149999999999999" customHeight="1" x14ac:dyDescent="0.35">
      <c r="A2308" s="58" t="s">
        <v>1571</v>
      </c>
      <c r="B2308" s="58"/>
      <c r="C2308" s="58"/>
      <c r="D2308" s="58"/>
      <c r="E2308" s="58"/>
      <c r="F2308" s="58"/>
      <c r="G2308" s="58"/>
    </row>
    <row r="2309" spans="1:7" ht="15" customHeight="1" x14ac:dyDescent="0.35">
      <c r="A2309" s="59" t="s">
        <v>722</v>
      </c>
      <c r="B2309" s="59"/>
      <c r="C2309" s="9" t="s">
        <v>3</v>
      </c>
      <c r="D2309" s="9" t="s">
        <v>4</v>
      </c>
      <c r="E2309" s="9" t="s">
        <v>702</v>
      </c>
      <c r="F2309" s="9" t="s">
        <v>703</v>
      </c>
      <c r="G2309" s="9" t="s">
        <v>704</v>
      </c>
    </row>
    <row r="2310" spans="1:7" ht="20.149999999999999" customHeight="1" x14ac:dyDescent="0.35">
      <c r="A2310" s="10" t="s">
        <v>1537</v>
      </c>
      <c r="B2310" s="11" t="s">
        <v>1538</v>
      </c>
      <c r="C2310" s="10" t="s">
        <v>20</v>
      </c>
      <c r="D2310" s="10" t="s">
        <v>160</v>
      </c>
      <c r="E2310" s="12">
        <v>0.98697617999999998</v>
      </c>
      <c r="F2310" s="13">
        <v>145.11000000000001</v>
      </c>
      <c r="G2310" s="13">
        <v>143.22</v>
      </c>
    </row>
    <row r="2311" spans="1:7" ht="20.149999999999999" customHeight="1" x14ac:dyDescent="0.35">
      <c r="A2311" s="10" t="s">
        <v>1572</v>
      </c>
      <c r="B2311" s="11" t="s">
        <v>1573</v>
      </c>
      <c r="C2311" s="10" t="s">
        <v>20</v>
      </c>
      <c r="D2311" s="10" t="s">
        <v>160</v>
      </c>
      <c r="E2311" s="12">
        <v>0.98697617999999998</v>
      </c>
      <c r="F2311" s="13">
        <v>459.58</v>
      </c>
      <c r="G2311" s="13">
        <v>453.59</v>
      </c>
    </row>
    <row r="2312" spans="1:7" ht="20.149999999999999" customHeight="1" x14ac:dyDescent="0.35">
      <c r="A2312" s="10" t="s">
        <v>1574</v>
      </c>
      <c r="B2312" s="11" t="s">
        <v>1575</v>
      </c>
      <c r="C2312" s="10" t="s">
        <v>20</v>
      </c>
      <c r="D2312" s="10" t="s">
        <v>160</v>
      </c>
      <c r="E2312" s="12">
        <v>0.98697617999999998</v>
      </c>
      <c r="F2312" s="13">
        <v>81.53</v>
      </c>
      <c r="G2312" s="13">
        <v>80.459999999999994</v>
      </c>
    </row>
    <row r="2313" spans="1:7" ht="29.15" customHeight="1" x14ac:dyDescent="0.35">
      <c r="A2313" s="10" t="s">
        <v>614</v>
      </c>
      <c r="B2313" s="11" t="s">
        <v>615</v>
      </c>
      <c r="C2313" s="10" t="s">
        <v>20</v>
      </c>
      <c r="D2313" s="10" t="s">
        <v>160</v>
      </c>
      <c r="E2313" s="12">
        <v>0.98697617999999998</v>
      </c>
      <c r="F2313" s="13">
        <v>47.82</v>
      </c>
      <c r="G2313" s="13">
        <v>47.19</v>
      </c>
    </row>
    <row r="2314" spans="1:7" ht="15" customHeight="1" x14ac:dyDescent="0.35">
      <c r="A2314" s="8"/>
      <c r="B2314" s="8"/>
      <c r="C2314" s="8"/>
      <c r="D2314" s="8"/>
      <c r="E2314" s="60" t="s">
        <v>725</v>
      </c>
      <c r="F2314" s="60"/>
      <c r="G2314" s="14">
        <v>724.46</v>
      </c>
    </row>
    <row r="2315" spans="1:7" ht="15" customHeight="1" x14ac:dyDescent="0.35">
      <c r="A2315" s="8"/>
      <c r="B2315" s="8"/>
      <c r="C2315" s="8"/>
      <c r="D2315" s="8"/>
      <c r="E2315" s="61" t="s">
        <v>726</v>
      </c>
      <c r="F2315" s="61"/>
      <c r="G2315" s="4">
        <v>724.46</v>
      </c>
    </row>
    <row r="2316" spans="1:7" ht="10" customHeight="1" x14ac:dyDescent="0.35">
      <c r="A2316" s="8"/>
      <c r="B2316" s="8"/>
      <c r="C2316" s="57"/>
      <c r="D2316" s="57"/>
      <c r="E2316" s="8"/>
      <c r="F2316" s="8"/>
      <c r="G2316" s="8"/>
    </row>
    <row r="2317" spans="1:7" ht="20.149999999999999" customHeight="1" x14ac:dyDescent="0.35">
      <c r="A2317" s="58" t="s">
        <v>1576</v>
      </c>
      <c r="B2317" s="58"/>
      <c r="C2317" s="58"/>
      <c r="D2317" s="58"/>
      <c r="E2317" s="58"/>
      <c r="F2317" s="58"/>
      <c r="G2317" s="58"/>
    </row>
    <row r="2318" spans="1:7" ht="15" customHeight="1" x14ac:dyDescent="0.35">
      <c r="A2318" s="59" t="s">
        <v>701</v>
      </c>
      <c r="B2318" s="59"/>
      <c r="C2318" s="9" t="s">
        <v>3</v>
      </c>
      <c r="D2318" s="9" t="s">
        <v>4</v>
      </c>
      <c r="E2318" s="9" t="s">
        <v>702</v>
      </c>
      <c r="F2318" s="9" t="s">
        <v>703</v>
      </c>
      <c r="G2318" s="9" t="s">
        <v>704</v>
      </c>
    </row>
    <row r="2319" spans="1:7" ht="15" customHeight="1" x14ac:dyDescent="0.35">
      <c r="A2319" s="10" t="s">
        <v>1387</v>
      </c>
      <c r="B2319" s="11" t="s">
        <v>1388</v>
      </c>
      <c r="C2319" s="10" t="s">
        <v>20</v>
      </c>
      <c r="D2319" s="10" t="s">
        <v>160</v>
      </c>
      <c r="E2319" s="12">
        <v>2.1000000000000001E-2</v>
      </c>
      <c r="F2319" s="13">
        <v>2.44</v>
      </c>
      <c r="G2319" s="13">
        <v>0.05</v>
      </c>
    </row>
    <row r="2320" spans="1:7" ht="29.15" customHeight="1" x14ac:dyDescent="0.35">
      <c r="A2320" s="10" t="s">
        <v>1577</v>
      </c>
      <c r="B2320" s="11" t="s">
        <v>1578</v>
      </c>
      <c r="C2320" s="10" t="s">
        <v>20</v>
      </c>
      <c r="D2320" s="10" t="s">
        <v>160</v>
      </c>
      <c r="E2320" s="12">
        <v>1</v>
      </c>
      <c r="F2320" s="13">
        <v>41.58</v>
      </c>
      <c r="G2320" s="13">
        <v>41.58</v>
      </c>
    </row>
    <row r="2321" spans="1:7" ht="15" customHeight="1" x14ac:dyDescent="0.35">
      <c r="A2321" s="8"/>
      <c r="B2321" s="8"/>
      <c r="C2321" s="8"/>
      <c r="D2321" s="8"/>
      <c r="E2321" s="60" t="s">
        <v>714</v>
      </c>
      <c r="F2321" s="60"/>
      <c r="G2321" s="14">
        <v>41.63</v>
      </c>
    </row>
    <row r="2322" spans="1:7" ht="15" customHeight="1" x14ac:dyDescent="0.35">
      <c r="A2322" s="59" t="s">
        <v>715</v>
      </c>
      <c r="B2322" s="59"/>
      <c r="C2322" s="9" t="s">
        <v>3</v>
      </c>
      <c r="D2322" s="9" t="s">
        <v>4</v>
      </c>
      <c r="E2322" s="9" t="s">
        <v>702</v>
      </c>
      <c r="F2322" s="9" t="s">
        <v>703</v>
      </c>
      <c r="G2322" s="9" t="s">
        <v>704</v>
      </c>
    </row>
    <row r="2323" spans="1:7" ht="20.149999999999999" customHeight="1" x14ac:dyDescent="0.35">
      <c r="A2323" s="10" t="s">
        <v>1302</v>
      </c>
      <c r="B2323" s="11" t="s">
        <v>1303</v>
      </c>
      <c r="C2323" s="10" t="s">
        <v>20</v>
      </c>
      <c r="D2323" s="10" t="s">
        <v>718</v>
      </c>
      <c r="E2323" s="12">
        <v>0.1525</v>
      </c>
      <c r="F2323" s="13">
        <v>18.96</v>
      </c>
      <c r="G2323" s="13">
        <v>2.89</v>
      </c>
    </row>
    <row r="2324" spans="1:7" ht="15" customHeight="1" x14ac:dyDescent="0.35">
      <c r="A2324" s="10" t="s">
        <v>719</v>
      </c>
      <c r="B2324" s="11" t="s">
        <v>720</v>
      </c>
      <c r="C2324" s="10" t="s">
        <v>20</v>
      </c>
      <c r="D2324" s="10" t="s">
        <v>718</v>
      </c>
      <c r="E2324" s="12">
        <v>4.8099999999999997E-2</v>
      </c>
      <c r="F2324" s="13">
        <v>15.53</v>
      </c>
      <c r="G2324" s="13">
        <v>0.74</v>
      </c>
    </row>
    <row r="2325" spans="1:7" ht="18" customHeight="1" x14ac:dyDescent="0.35">
      <c r="A2325" s="8"/>
      <c r="B2325" s="8"/>
      <c r="C2325" s="8"/>
      <c r="D2325" s="8"/>
      <c r="E2325" s="60" t="s">
        <v>721</v>
      </c>
      <c r="F2325" s="60"/>
      <c r="G2325" s="14">
        <v>3.63</v>
      </c>
    </row>
    <row r="2326" spans="1:7" ht="15" customHeight="1" x14ac:dyDescent="0.35">
      <c r="A2326" s="8"/>
      <c r="B2326" s="8"/>
      <c r="C2326" s="8"/>
      <c r="D2326" s="8"/>
      <c r="E2326" s="61" t="s">
        <v>726</v>
      </c>
      <c r="F2326" s="61"/>
      <c r="G2326" s="4">
        <v>39.659999999999997</v>
      </c>
    </row>
    <row r="2327" spans="1:7" ht="10" customHeight="1" x14ac:dyDescent="0.35">
      <c r="A2327" s="8"/>
      <c r="B2327" s="8"/>
      <c r="C2327" s="57"/>
      <c r="D2327" s="57"/>
      <c r="E2327" s="8"/>
      <c r="F2327" s="8"/>
      <c r="G2327" s="8"/>
    </row>
    <row r="2328" spans="1:7" ht="20.149999999999999" customHeight="1" x14ac:dyDescent="0.35">
      <c r="A2328" s="58" t="s">
        <v>1579</v>
      </c>
      <c r="B2328" s="58"/>
      <c r="C2328" s="58"/>
      <c r="D2328" s="58"/>
      <c r="E2328" s="58"/>
      <c r="F2328" s="58"/>
      <c r="G2328" s="58"/>
    </row>
    <row r="2329" spans="1:7" ht="15" customHeight="1" x14ac:dyDescent="0.35">
      <c r="A2329" s="59" t="s">
        <v>701</v>
      </c>
      <c r="B2329" s="59"/>
      <c r="C2329" s="9" t="s">
        <v>3</v>
      </c>
      <c r="D2329" s="9" t="s">
        <v>4</v>
      </c>
      <c r="E2329" s="9" t="s">
        <v>702</v>
      </c>
      <c r="F2329" s="9" t="s">
        <v>703</v>
      </c>
      <c r="G2329" s="9" t="s">
        <v>704</v>
      </c>
    </row>
    <row r="2330" spans="1:7" ht="29.15" customHeight="1" x14ac:dyDescent="0.35">
      <c r="A2330" s="10" t="s">
        <v>1580</v>
      </c>
      <c r="B2330" s="11" t="s">
        <v>1581</v>
      </c>
      <c r="C2330" s="10" t="s">
        <v>20</v>
      </c>
      <c r="D2330" s="10" t="s">
        <v>160</v>
      </c>
      <c r="E2330" s="12">
        <v>2</v>
      </c>
      <c r="F2330" s="13">
        <v>0.68</v>
      </c>
      <c r="G2330" s="13">
        <v>1.36</v>
      </c>
    </row>
    <row r="2331" spans="1:7" ht="20.149999999999999" customHeight="1" x14ac:dyDescent="0.35">
      <c r="A2331" s="10" t="s">
        <v>1582</v>
      </c>
      <c r="B2331" s="11" t="s">
        <v>1583</v>
      </c>
      <c r="C2331" s="10" t="s">
        <v>20</v>
      </c>
      <c r="D2331" s="10" t="s">
        <v>160</v>
      </c>
      <c r="E2331" s="12">
        <v>1</v>
      </c>
      <c r="F2331" s="13">
        <v>298.89999999999998</v>
      </c>
      <c r="G2331" s="13">
        <v>298.89999999999998</v>
      </c>
    </row>
    <row r="2332" spans="1:7" ht="15" customHeight="1" x14ac:dyDescent="0.35">
      <c r="A2332" s="8"/>
      <c r="B2332" s="8"/>
      <c r="C2332" s="8"/>
      <c r="D2332" s="8"/>
      <c r="E2332" s="60" t="s">
        <v>714</v>
      </c>
      <c r="F2332" s="60"/>
      <c r="G2332" s="14">
        <v>300.26</v>
      </c>
    </row>
    <row r="2333" spans="1:7" ht="15" customHeight="1" x14ac:dyDescent="0.35">
      <c r="A2333" s="59" t="s">
        <v>715</v>
      </c>
      <c r="B2333" s="59"/>
      <c r="C2333" s="9" t="s">
        <v>3</v>
      </c>
      <c r="D2333" s="9" t="s">
        <v>4</v>
      </c>
      <c r="E2333" s="9" t="s">
        <v>702</v>
      </c>
      <c r="F2333" s="9" t="s">
        <v>703</v>
      </c>
      <c r="G2333" s="9" t="s">
        <v>704</v>
      </c>
    </row>
    <row r="2334" spans="1:7" ht="20.149999999999999" customHeight="1" x14ac:dyDescent="0.35">
      <c r="A2334" s="10" t="s">
        <v>1300</v>
      </c>
      <c r="B2334" s="11" t="s">
        <v>1301</v>
      </c>
      <c r="C2334" s="10" t="s">
        <v>20</v>
      </c>
      <c r="D2334" s="10" t="s">
        <v>718</v>
      </c>
      <c r="E2334" s="12">
        <v>0.59210320999999999</v>
      </c>
      <c r="F2334" s="13">
        <v>15.03</v>
      </c>
      <c r="G2334" s="13">
        <v>8.89</v>
      </c>
    </row>
    <row r="2335" spans="1:7" ht="20.149999999999999" customHeight="1" x14ac:dyDescent="0.35">
      <c r="A2335" s="10" t="s">
        <v>1302</v>
      </c>
      <c r="B2335" s="11" t="s">
        <v>1303</v>
      </c>
      <c r="C2335" s="10" t="s">
        <v>20</v>
      </c>
      <c r="D2335" s="10" t="s">
        <v>718</v>
      </c>
      <c r="E2335" s="12">
        <v>0.58408302000000001</v>
      </c>
      <c r="F2335" s="13">
        <v>18.96</v>
      </c>
      <c r="G2335" s="13">
        <v>11.07</v>
      </c>
    </row>
    <row r="2336" spans="1:7" ht="18" customHeight="1" x14ac:dyDescent="0.35">
      <c r="A2336" s="8"/>
      <c r="B2336" s="8"/>
      <c r="C2336" s="8"/>
      <c r="D2336" s="8"/>
      <c r="E2336" s="60" t="s">
        <v>721</v>
      </c>
      <c r="F2336" s="60"/>
      <c r="G2336" s="14">
        <v>19.96</v>
      </c>
    </row>
    <row r="2337" spans="1:7" ht="15" customHeight="1" x14ac:dyDescent="0.35">
      <c r="A2337" s="8"/>
      <c r="B2337" s="8"/>
      <c r="C2337" s="8"/>
      <c r="D2337" s="8"/>
      <c r="E2337" s="61" t="s">
        <v>726</v>
      </c>
      <c r="F2337" s="61"/>
      <c r="G2337" s="4">
        <v>320.22000000000003</v>
      </c>
    </row>
    <row r="2338" spans="1:7" ht="10" customHeight="1" x14ac:dyDescent="0.35">
      <c r="A2338" s="8"/>
      <c r="B2338" s="8"/>
      <c r="C2338" s="57"/>
      <c r="D2338" s="57"/>
      <c r="E2338" s="8"/>
      <c r="F2338" s="8"/>
      <c r="G2338" s="8"/>
    </row>
    <row r="2339" spans="1:7" ht="20.149999999999999" customHeight="1" x14ac:dyDescent="0.35">
      <c r="A2339" s="58" t="s">
        <v>1584</v>
      </c>
      <c r="B2339" s="58"/>
      <c r="C2339" s="58"/>
      <c r="D2339" s="58"/>
      <c r="E2339" s="58"/>
      <c r="F2339" s="58"/>
      <c r="G2339" s="58"/>
    </row>
    <row r="2340" spans="1:7" ht="15" customHeight="1" x14ac:dyDescent="0.35">
      <c r="A2340" s="59" t="s">
        <v>701</v>
      </c>
      <c r="B2340" s="59"/>
      <c r="C2340" s="9" t="s">
        <v>3</v>
      </c>
      <c r="D2340" s="9" t="s">
        <v>4</v>
      </c>
      <c r="E2340" s="9" t="s">
        <v>702</v>
      </c>
      <c r="F2340" s="9" t="s">
        <v>703</v>
      </c>
      <c r="G2340" s="9" t="s">
        <v>704</v>
      </c>
    </row>
    <row r="2341" spans="1:7" ht="29.15" customHeight="1" x14ac:dyDescent="0.35">
      <c r="A2341" s="10" t="s">
        <v>1580</v>
      </c>
      <c r="B2341" s="11" t="s">
        <v>1581</v>
      </c>
      <c r="C2341" s="10" t="s">
        <v>20</v>
      </c>
      <c r="D2341" s="10" t="s">
        <v>160</v>
      </c>
      <c r="E2341" s="12">
        <v>2</v>
      </c>
      <c r="F2341" s="13">
        <v>0.68</v>
      </c>
      <c r="G2341" s="13">
        <v>1.36</v>
      </c>
    </row>
    <row r="2342" spans="1:7" ht="20.149999999999999" customHeight="1" x14ac:dyDescent="0.35">
      <c r="A2342" s="10" t="s">
        <v>1585</v>
      </c>
      <c r="B2342" s="11" t="s">
        <v>1586</v>
      </c>
      <c r="C2342" s="10" t="s">
        <v>20</v>
      </c>
      <c r="D2342" s="10" t="s">
        <v>160</v>
      </c>
      <c r="E2342" s="12">
        <v>1</v>
      </c>
      <c r="F2342" s="13">
        <v>261.52999999999997</v>
      </c>
      <c r="G2342" s="13">
        <v>261.52999999999997</v>
      </c>
    </row>
    <row r="2343" spans="1:7" ht="15" customHeight="1" x14ac:dyDescent="0.35">
      <c r="A2343" s="8"/>
      <c r="B2343" s="8"/>
      <c r="C2343" s="8"/>
      <c r="D2343" s="8"/>
      <c r="E2343" s="60" t="s">
        <v>714</v>
      </c>
      <c r="F2343" s="60"/>
      <c r="G2343" s="14">
        <v>262.89</v>
      </c>
    </row>
    <row r="2344" spans="1:7" ht="15" customHeight="1" x14ac:dyDescent="0.35">
      <c r="A2344" s="59" t="s">
        <v>715</v>
      </c>
      <c r="B2344" s="59"/>
      <c r="C2344" s="9" t="s">
        <v>3</v>
      </c>
      <c r="D2344" s="9" t="s">
        <v>4</v>
      </c>
      <c r="E2344" s="9" t="s">
        <v>702</v>
      </c>
      <c r="F2344" s="9" t="s">
        <v>703</v>
      </c>
      <c r="G2344" s="9" t="s">
        <v>704</v>
      </c>
    </row>
    <row r="2345" spans="1:7" ht="20.149999999999999" customHeight="1" x14ac:dyDescent="0.35">
      <c r="A2345" s="10" t="s">
        <v>1300</v>
      </c>
      <c r="B2345" s="11" t="s">
        <v>1301</v>
      </c>
      <c r="C2345" s="10" t="s">
        <v>20</v>
      </c>
      <c r="D2345" s="10" t="s">
        <v>718</v>
      </c>
      <c r="E2345" s="12">
        <v>0.57337724000000001</v>
      </c>
      <c r="F2345" s="13">
        <v>15.03</v>
      </c>
      <c r="G2345" s="13">
        <v>8.61</v>
      </c>
    </row>
    <row r="2346" spans="1:7" ht="20.149999999999999" customHeight="1" x14ac:dyDescent="0.35">
      <c r="A2346" s="10" t="s">
        <v>1302</v>
      </c>
      <c r="B2346" s="11" t="s">
        <v>1303</v>
      </c>
      <c r="C2346" s="10" t="s">
        <v>20</v>
      </c>
      <c r="D2346" s="10" t="s">
        <v>718</v>
      </c>
      <c r="E2346" s="12">
        <v>0.56658695999999997</v>
      </c>
      <c r="F2346" s="13">
        <v>18.96</v>
      </c>
      <c r="G2346" s="13">
        <v>10.74</v>
      </c>
    </row>
    <row r="2347" spans="1:7" ht="18" customHeight="1" x14ac:dyDescent="0.35">
      <c r="A2347" s="8"/>
      <c r="B2347" s="8"/>
      <c r="C2347" s="8"/>
      <c r="D2347" s="8"/>
      <c r="E2347" s="60" t="s">
        <v>721</v>
      </c>
      <c r="F2347" s="60"/>
      <c r="G2347" s="14">
        <v>19.350000000000001</v>
      </c>
    </row>
    <row r="2348" spans="1:7" ht="15" customHeight="1" x14ac:dyDescent="0.35">
      <c r="A2348" s="8"/>
      <c r="B2348" s="8"/>
      <c r="C2348" s="8"/>
      <c r="D2348" s="8"/>
      <c r="E2348" s="61" t="s">
        <v>726</v>
      </c>
      <c r="F2348" s="61"/>
      <c r="G2348" s="4">
        <v>282.24</v>
      </c>
    </row>
    <row r="2349" spans="1:7" ht="10" customHeight="1" x14ac:dyDescent="0.35">
      <c r="A2349" s="8"/>
      <c r="B2349" s="8"/>
      <c r="C2349" s="57"/>
      <c r="D2349" s="57"/>
      <c r="E2349" s="8"/>
      <c r="F2349" s="8"/>
      <c r="G2349" s="8"/>
    </row>
    <row r="2350" spans="1:7" ht="20.149999999999999" customHeight="1" x14ac:dyDescent="0.35">
      <c r="A2350" s="58" t="s">
        <v>1587</v>
      </c>
      <c r="B2350" s="58"/>
      <c r="C2350" s="58"/>
      <c r="D2350" s="58"/>
      <c r="E2350" s="58"/>
      <c r="F2350" s="58"/>
      <c r="G2350" s="58"/>
    </row>
    <row r="2351" spans="1:7" ht="15" customHeight="1" x14ac:dyDescent="0.35">
      <c r="A2351" s="59" t="s">
        <v>701</v>
      </c>
      <c r="B2351" s="59"/>
      <c r="C2351" s="9" t="s">
        <v>3</v>
      </c>
      <c r="D2351" s="9" t="s">
        <v>4</v>
      </c>
      <c r="E2351" s="9" t="s">
        <v>702</v>
      </c>
      <c r="F2351" s="9" t="s">
        <v>703</v>
      </c>
      <c r="G2351" s="9" t="s">
        <v>704</v>
      </c>
    </row>
    <row r="2352" spans="1:7" ht="15" customHeight="1" x14ac:dyDescent="0.35">
      <c r="A2352" s="10" t="s">
        <v>1588</v>
      </c>
      <c r="B2352" s="11" t="s">
        <v>1589</v>
      </c>
      <c r="C2352" s="10" t="s">
        <v>20</v>
      </c>
      <c r="D2352" s="10" t="s">
        <v>777</v>
      </c>
      <c r="E2352" s="12">
        <v>7.4603080000000002E-2</v>
      </c>
      <c r="F2352" s="13">
        <v>37.93</v>
      </c>
      <c r="G2352" s="13">
        <v>2.82</v>
      </c>
    </row>
    <row r="2353" spans="1:7" ht="15" customHeight="1" x14ac:dyDescent="0.35">
      <c r="A2353" s="10" t="s">
        <v>1104</v>
      </c>
      <c r="B2353" s="11" t="s">
        <v>1105</v>
      </c>
      <c r="C2353" s="10" t="s">
        <v>20</v>
      </c>
      <c r="D2353" s="10" t="s">
        <v>160</v>
      </c>
      <c r="E2353" s="12">
        <v>1.1656730000000001E-2</v>
      </c>
      <c r="F2353" s="13">
        <v>7.18</v>
      </c>
      <c r="G2353" s="13">
        <v>0.08</v>
      </c>
    </row>
    <row r="2354" spans="1:7" ht="15" customHeight="1" x14ac:dyDescent="0.35">
      <c r="A2354" s="10" t="s">
        <v>1590</v>
      </c>
      <c r="B2354" s="11" t="s">
        <v>1591</v>
      </c>
      <c r="C2354" s="10" t="s">
        <v>20</v>
      </c>
      <c r="D2354" s="10" t="s">
        <v>777</v>
      </c>
      <c r="E2354" s="12">
        <v>0.23499971</v>
      </c>
      <c r="F2354" s="13">
        <v>91.24</v>
      </c>
      <c r="G2354" s="13">
        <v>21.44</v>
      </c>
    </row>
    <row r="2355" spans="1:7" ht="15" customHeight="1" x14ac:dyDescent="0.35">
      <c r="A2355" s="10" t="s">
        <v>1592</v>
      </c>
      <c r="B2355" s="11" t="s">
        <v>1593</v>
      </c>
      <c r="C2355" s="10" t="s">
        <v>20</v>
      </c>
      <c r="D2355" s="10" t="s">
        <v>777</v>
      </c>
      <c r="E2355" s="12">
        <v>0.37518502999999997</v>
      </c>
      <c r="F2355" s="13">
        <v>60.59</v>
      </c>
      <c r="G2355" s="13">
        <v>22.73</v>
      </c>
    </row>
    <row r="2356" spans="1:7" ht="15" customHeight="1" x14ac:dyDescent="0.35">
      <c r="A2356" s="8"/>
      <c r="B2356" s="8"/>
      <c r="C2356" s="8"/>
      <c r="D2356" s="8"/>
      <c r="E2356" s="60" t="s">
        <v>714</v>
      </c>
      <c r="F2356" s="60"/>
      <c r="G2356" s="14">
        <v>47.07</v>
      </c>
    </row>
    <row r="2357" spans="1:7" ht="15" customHeight="1" x14ac:dyDescent="0.35">
      <c r="A2357" s="59" t="s">
        <v>715</v>
      </c>
      <c r="B2357" s="59"/>
      <c r="C2357" s="9" t="s">
        <v>3</v>
      </c>
      <c r="D2357" s="9" t="s">
        <v>4</v>
      </c>
      <c r="E2357" s="9" t="s">
        <v>702</v>
      </c>
      <c r="F2357" s="9" t="s">
        <v>703</v>
      </c>
      <c r="G2357" s="9" t="s">
        <v>704</v>
      </c>
    </row>
    <row r="2358" spans="1:7" ht="15" customHeight="1" x14ac:dyDescent="0.35">
      <c r="A2358" s="10" t="s">
        <v>1096</v>
      </c>
      <c r="B2358" s="11" t="s">
        <v>1097</v>
      </c>
      <c r="C2358" s="10" t="s">
        <v>20</v>
      </c>
      <c r="D2358" s="10" t="s">
        <v>718</v>
      </c>
      <c r="E2358" s="12">
        <v>0.31394955000000002</v>
      </c>
      <c r="F2358" s="13">
        <v>20.65</v>
      </c>
      <c r="G2358" s="13">
        <v>6.48</v>
      </c>
    </row>
    <row r="2359" spans="1:7" ht="15" customHeight="1" x14ac:dyDescent="0.35">
      <c r="A2359" s="10" t="s">
        <v>719</v>
      </c>
      <c r="B2359" s="11" t="s">
        <v>720</v>
      </c>
      <c r="C2359" s="10" t="s">
        <v>20</v>
      </c>
      <c r="D2359" s="10" t="s">
        <v>718</v>
      </c>
      <c r="E2359" s="12">
        <v>0.13128798999999999</v>
      </c>
      <c r="F2359" s="13">
        <v>15.53</v>
      </c>
      <c r="G2359" s="13">
        <v>2.0299999999999998</v>
      </c>
    </row>
    <row r="2360" spans="1:7" ht="18" customHeight="1" x14ac:dyDescent="0.35">
      <c r="A2360" s="8"/>
      <c r="B2360" s="8"/>
      <c r="C2360" s="8"/>
      <c r="D2360" s="8"/>
      <c r="E2360" s="60" t="s">
        <v>721</v>
      </c>
      <c r="F2360" s="60"/>
      <c r="G2360" s="14">
        <v>8.51</v>
      </c>
    </row>
    <row r="2361" spans="1:7" ht="15" customHeight="1" x14ac:dyDescent="0.35">
      <c r="A2361" s="8"/>
      <c r="B2361" s="8"/>
      <c r="C2361" s="8"/>
      <c r="D2361" s="8"/>
      <c r="E2361" s="61" t="s">
        <v>726</v>
      </c>
      <c r="F2361" s="61"/>
      <c r="G2361" s="4">
        <v>55.58</v>
      </c>
    </row>
    <row r="2362" spans="1:7" ht="10" customHeight="1" x14ac:dyDescent="0.35">
      <c r="A2362" s="8"/>
      <c r="B2362" s="8"/>
      <c r="C2362" s="57"/>
      <c r="D2362" s="57"/>
      <c r="E2362" s="8"/>
      <c r="F2362" s="8"/>
      <c r="G2362" s="8"/>
    </row>
    <row r="2363" spans="1:7" ht="20.149999999999999" customHeight="1" x14ac:dyDescent="0.35">
      <c r="A2363" s="58" t="s">
        <v>1594</v>
      </c>
      <c r="B2363" s="58"/>
      <c r="C2363" s="58"/>
      <c r="D2363" s="58"/>
      <c r="E2363" s="58"/>
      <c r="F2363" s="58"/>
      <c r="G2363" s="58"/>
    </row>
    <row r="2364" spans="1:7" ht="15" customHeight="1" x14ac:dyDescent="0.35">
      <c r="A2364" s="59" t="s">
        <v>715</v>
      </c>
      <c r="B2364" s="59"/>
      <c r="C2364" s="9" t="s">
        <v>3</v>
      </c>
      <c r="D2364" s="9" t="s">
        <v>4</v>
      </c>
      <c r="E2364" s="9" t="s">
        <v>702</v>
      </c>
      <c r="F2364" s="9" t="s">
        <v>703</v>
      </c>
      <c r="G2364" s="9" t="s">
        <v>704</v>
      </c>
    </row>
    <row r="2365" spans="1:7" ht="15" customHeight="1" x14ac:dyDescent="0.35">
      <c r="A2365" s="10" t="s">
        <v>719</v>
      </c>
      <c r="B2365" s="11" t="s">
        <v>720</v>
      </c>
      <c r="C2365" s="10" t="s">
        <v>20</v>
      </c>
      <c r="D2365" s="10" t="s">
        <v>718</v>
      </c>
      <c r="E2365" s="12">
        <v>0.16033483000000001</v>
      </c>
      <c r="F2365" s="13">
        <v>15.53</v>
      </c>
      <c r="G2365" s="13">
        <v>2.48</v>
      </c>
    </row>
    <row r="2366" spans="1:7" ht="18" customHeight="1" x14ac:dyDescent="0.35">
      <c r="A2366" s="8"/>
      <c r="B2366" s="8"/>
      <c r="C2366" s="8"/>
      <c r="D2366" s="8"/>
      <c r="E2366" s="60" t="s">
        <v>721</v>
      </c>
      <c r="F2366" s="60"/>
      <c r="G2366" s="14">
        <v>2.48</v>
      </c>
    </row>
    <row r="2367" spans="1:7" ht="15" customHeight="1" x14ac:dyDescent="0.35">
      <c r="A2367" s="8"/>
      <c r="B2367" s="8"/>
      <c r="C2367" s="8"/>
      <c r="D2367" s="8"/>
      <c r="E2367" s="61" t="s">
        <v>726</v>
      </c>
      <c r="F2367" s="61"/>
      <c r="G2367" s="4">
        <v>2.48</v>
      </c>
    </row>
  </sheetData>
  <mergeCells count="1440">
    <mergeCell ref="E47:F47"/>
    <mergeCell ref="E48:F48"/>
    <mergeCell ref="C49:D49"/>
    <mergeCell ref="A50:G50"/>
    <mergeCell ref="A51:B51"/>
    <mergeCell ref="C18:D18"/>
    <mergeCell ref="A19:G19"/>
    <mergeCell ref="A20:B20"/>
    <mergeCell ref="E22:F22"/>
    <mergeCell ref="A23:B23"/>
    <mergeCell ref="A10:B10"/>
    <mergeCell ref="E13:F13"/>
    <mergeCell ref="A14:B14"/>
    <mergeCell ref="E16:F16"/>
    <mergeCell ref="E17:F17"/>
    <mergeCell ref="A1:G1"/>
    <mergeCell ref="C2:D2"/>
    <mergeCell ref="A3:G3"/>
    <mergeCell ref="A4:B4"/>
    <mergeCell ref="E9:F9"/>
    <mergeCell ref="E82:F82"/>
    <mergeCell ref="E83:F83"/>
    <mergeCell ref="C84:D84"/>
    <mergeCell ref="A85:G85"/>
    <mergeCell ref="A86:B86"/>
    <mergeCell ref="A73:B73"/>
    <mergeCell ref="E76:F76"/>
    <mergeCell ref="A77:B77"/>
    <mergeCell ref="E79:F79"/>
    <mergeCell ref="A80:B80"/>
    <mergeCell ref="A66:B66"/>
    <mergeCell ref="E69:F69"/>
    <mergeCell ref="E70:F70"/>
    <mergeCell ref="C71:D71"/>
    <mergeCell ref="A72:G72"/>
    <mergeCell ref="E54:F54"/>
    <mergeCell ref="A55:B55"/>
    <mergeCell ref="E61:F61"/>
    <mergeCell ref="A62:B62"/>
    <mergeCell ref="E65:F65"/>
    <mergeCell ref="E108:F108"/>
    <mergeCell ref="C109:D109"/>
    <mergeCell ref="A110:G110"/>
    <mergeCell ref="A111:B111"/>
    <mergeCell ref="E114:F114"/>
    <mergeCell ref="E102:F102"/>
    <mergeCell ref="C103:D103"/>
    <mergeCell ref="A104:G104"/>
    <mergeCell ref="A105:B105"/>
    <mergeCell ref="E107:F107"/>
    <mergeCell ref="E95:F95"/>
    <mergeCell ref="A96:B96"/>
    <mergeCell ref="E98:F98"/>
    <mergeCell ref="A99:B99"/>
    <mergeCell ref="E101:F101"/>
    <mergeCell ref="E88:F88"/>
    <mergeCell ref="E89:F89"/>
    <mergeCell ref="C90:D90"/>
    <mergeCell ref="A91:G91"/>
    <mergeCell ref="A92:B92"/>
    <mergeCell ref="E145:F145"/>
    <mergeCell ref="A146:B146"/>
    <mergeCell ref="E150:F150"/>
    <mergeCell ref="A151:B151"/>
    <mergeCell ref="E154:F154"/>
    <mergeCell ref="E138:F138"/>
    <mergeCell ref="E139:F139"/>
    <mergeCell ref="C140:D140"/>
    <mergeCell ref="A141:G141"/>
    <mergeCell ref="A142:B142"/>
    <mergeCell ref="A121:B121"/>
    <mergeCell ref="E124:F124"/>
    <mergeCell ref="A125:B125"/>
    <mergeCell ref="E134:F134"/>
    <mergeCell ref="A135:B135"/>
    <mergeCell ref="A115:B115"/>
    <mergeCell ref="E117:F117"/>
    <mergeCell ref="E118:F118"/>
    <mergeCell ref="C119:D119"/>
    <mergeCell ref="A120:G120"/>
    <mergeCell ref="E180:F180"/>
    <mergeCell ref="E181:F181"/>
    <mergeCell ref="C182:D182"/>
    <mergeCell ref="A183:G183"/>
    <mergeCell ref="A184:B184"/>
    <mergeCell ref="A170:B170"/>
    <mergeCell ref="E173:F173"/>
    <mergeCell ref="A174:B174"/>
    <mergeCell ref="E177:F177"/>
    <mergeCell ref="A178:B178"/>
    <mergeCell ref="A162:B162"/>
    <mergeCell ref="E166:F166"/>
    <mergeCell ref="E167:F167"/>
    <mergeCell ref="C168:D168"/>
    <mergeCell ref="A169:G169"/>
    <mergeCell ref="E155:F155"/>
    <mergeCell ref="C156:D156"/>
    <mergeCell ref="A157:G157"/>
    <mergeCell ref="A158:B158"/>
    <mergeCell ref="E161:F161"/>
    <mergeCell ref="C210:D210"/>
    <mergeCell ref="A211:G211"/>
    <mergeCell ref="A212:B212"/>
    <mergeCell ref="E215:F215"/>
    <mergeCell ref="A216:B216"/>
    <mergeCell ref="A202:B202"/>
    <mergeCell ref="E205:F205"/>
    <mergeCell ref="A206:B206"/>
    <mergeCell ref="E208:F208"/>
    <mergeCell ref="E209:F209"/>
    <mergeCell ref="E195:F195"/>
    <mergeCell ref="C196:D196"/>
    <mergeCell ref="A197:G197"/>
    <mergeCell ref="A198:B198"/>
    <mergeCell ref="E201:F201"/>
    <mergeCell ref="E187:F187"/>
    <mergeCell ref="A188:B188"/>
    <mergeCell ref="E191:F191"/>
    <mergeCell ref="A192:B192"/>
    <mergeCell ref="E194:F194"/>
    <mergeCell ref="A240:B240"/>
    <mergeCell ref="E243:F243"/>
    <mergeCell ref="A244:B244"/>
    <mergeCell ref="E246:F246"/>
    <mergeCell ref="E247:F247"/>
    <mergeCell ref="A234:B234"/>
    <mergeCell ref="E236:F236"/>
    <mergeCell ref="E237:F237"/>
    <mergeCell ref="C238:D238"/>
    <mergeCell ref="A239:G239"/>
    <mergeCell ref="A225:G225"/>
    <mergeCell ref="A226:B226"/>
    <mergeCell ref="E229:F229"/>
    <mergeCell ref="A230:B230"/>
    <mergeCell ref="E233:F233"/>
    <mergeCell ref="E219:F219"/>
    <mergeCell ref="A220:B220"/>
    <mergeCell ref="E222:F222"/>
    <mergeCell ref="E223:F223"/>
    <mergeCell ref="C224:D224"/>
    <mergeCell ref="A279:B279"/>
    <mergeCell ref="E282:F282"/>
    <mergeCell ref="A283:B283"/>
    <mergeCell ref="E285:F285"/>
    <mergeCell ref="E286:F286"/>
    <mergeCell ref="A269:G269"/>
    <mergeCell ref="A270:B270"/>
    <mergeCell ref="E274:F274"/>
    <mergeCell ref="A275:B275"/>
    <mergeCell ref="E278:F278"/>
    <mergeCell ref="E262:F262"/>
    <mergeCell ref="A263:B263"/>
    <mergeCell ref="E266:F266"/>
    <mergeCell ref="E267:F267"/>
    <mergeCell ref="C268:D268"/>
    <mergeCell ref="C248:D248"/>
    <mergeCell ref="A249:G249"/>
    <mergeCell ref="A250:B250"/>
    <mergeCell ref="E253:F253"/>
    <mergeCell ref="A254:B254"/>
    <mergeCell ref="A311:B311"/>
    <mergeCell ref="E313:F313"/>
    <mergeCell ref="E314:F314"/>
    <mergeCell ref="C315:D315"/>
    <mergeCell ref="A316:G316"/>
    <mergeCell ref="A302:G302"/>
    <mergeCell ref="A303:B303"/>
    <mergeCell ref="E306:F306"/>
    <mergeCell ref="A307:B307"/>
    <mergeCell ref="E310:F310"/>
    <mergeCell ref="E296:F296"/>
    <mergeCell ref="A297:B297"/>
    <mergeCell ref="E299:F299"/>
    <mergeCell ref="E300:F300"/>
    <mergeCell ref="C301:D301"/>
    <mergeCell ref="C287:D287"/>
    <mergeCell ref="A288:G288"/>
    <mergeCell ref="A289:B289"/>
    <mergeCell ref="E292:F292"/>
    <mergeCell ref="A293:B293"/>
    <mergeCell ref="E342:F342"/>
    <mergeCell ref="C343:D343"/>
    <mergeCell ref="A344:G344"/>
    <mergeCell ref="A345:B345"/>
    <mergeCell ref="E348:F348"/>
    <mergeCell ref="E334:F334"/>
    <mergeCell ref="A335:B335"/>
    <mergeCell ref="E338:F338"/>
    <mergeCell ref="A339:B339"/>
    <mergeCell ref="E341:F341"/>
    <mergeCell ref="E327:F327"/>
    <mergeCell ref="E328:F328"/>
    <mergeCell ref="C329:D329"/>
    <mergeCell ref="A330:G330"/>
    <mergeCell ref="A331:B331"/>
    <mergeCell ref="A317:B317"/>
    <mergeCell ref="E320:F320"/>
    <mergeCell ref="A321:B321"/>
    <mergeCell ref="E324:F324"/>
    <mergeCell ref="A325:B325"/>
    <mergeCell ref="A375:G375"/>
    <mergeCell ref="A376:B376"/>
    <mergeCell ref="E379:F379"/>
    <mergeCell ref="A380:B380"/>
    <mergeCell ref="E383:F383"/>
    <mergeCell ref="E369:F369"/>
    <mergeCell ref="A370:B370"/>
    <mergeCell ref="E372:F372"/>
    <mergeCell ref="E373:F373"/>
    <mergeCell ref="C374:D374"/>
    <mergeCell ref="C360:D360"/>
    <mergeCell ref="A361:G361"/>
    <mergeCell ref="A362:B362"/>
    <mergeCell ref="E365:F365"/>
    <mergeCell ref="A366:B366"/>
    <mergeCell ref="A349:B349"/>
    <mergeCell ref="E354:F354"/>
    <mergeCell ref="A355:B355"/>
    <mergeCell ref="E358:F358"/>
    <mergeCell ref="E359:F359"/>
    <mergeCell ref="E410:F410"/>
    <mergeCell ref="A411:B411"/>
    <mergeCell ref="E414:F414"/>
    <mergeCell ref="A415:B415"/>
    <mergeCell ref="E420:F420"/>
    <mergeCell ref="E403:F403"/>
    <mergeCell ref="E404:F404"/>
    <mergeCell ref="C405:D405"/>
    <mergeCell ref="A406:G406"/>
    <mergeCell ref="A407:B407"/>
    <mergeCell ref="A390:B390"/>
    <mergeCell ref="E393:F393"/>
    <mergeCell ref="A394:B394"/>
    <mergeCell ref="E397:F397"/>
    <mergeCell ref="A398:B398"/>
    <mergeCell ref="A384:B384"/>
    <mergeCell ref="E386:F386"/>
    <mergeCell ref="E387:F387"/>
    <mergeCell ref="C388:D388"/>
    <mergeCell ref="A389:G389"/>
    <mergeCell ref="E449:F449"/>
    <mergeCell ref="A450:B450"/>
    <mergeCell ref="E454:F454"/>
    <mergeCell ref="E455:F455"/>
    <mergeCell ref="C456:D456"/>
    <mergeCell ref="C439:D439"/>
    <mergeCell ref="A440:G440"/>
    <mergeCell ref="A441:B441"/>
    <mergeCell ref="E445:F445"/>
    <mergeCell ref="A446:B446"/>
    <mergeCell ref="A428:B428"/>
    <mergeCell ref="E431:F431"/>
    <mergeCell ref="A432:B432"/>
    <mergeCell ref="E437:F437"/>
    <mergeCell ref="E438:F438"/>
    <mergeCell ref="E421:F421"/>
    <mergeCell ref="C422:D422"/>
    <mergeCell ref="A423:G423"/>
    <mergeCell ref="A424:B424"/>
    <mergeCell ref="E427:F427"/>
    <mergeCell ref="E482:F482"/>
    <mergeCell ref="E483:F483"/>
    <mergeCell ref="C484:D484"/>
    <mergeCell ref="A485:G485"/>
    <mergeCell ref="A486:B486"/>
    <mergeCell ref="A471:B471"/>
    <mergeCell ref="E475:F475"/>
    <mergeCell ref="A476:B476"/>
    <mergeCell ref="E479:F479"/>
    <mergeCell ref="A480:B480"/>
    <mergeCell ref="A465:B465"/>
    <mergeCell ref="E467:F467"/>
    <mergeCell ref="E468:F468"/>
    <mergeCell ref="C469:D469"/>
    <mergeCell ref="A470:G470"/>
    <mergeCell ref="A457:G457"/>
    <mergeCell ref="A458:B458"/>
    <mergeCell ref="E460:F460"/>
    <mergeCell ref="A461:B461"/>
    <mergeCell ref="E464:F464"/>
    <mergeCell ref="A512:B512"/>
    <mergeCell ref="E515:F515"/>
    <mergeCell ref="E516:F516"/>
    <mergeCell ref="C517:D517"/>
    <mergeCell ref="A518:G518"/>
    <mergeCell ref="E505:F505"/>
    <mergeCell ref="C506:D506"/>
    <mergeCell ref="A507:G507"/>
    <mergeCell ref="A508:B508"/>
    <mergeCell ref="E511:F511"/>
    <mergeCell ref="E499:F499"/>
    <mergeCell ref="C500:D500"/>
    <mergeCell ref="A501:G501"/>
    <mergeCell ref="A502:B502"/>
    <mergeCell ref="E504:F504"/>
    <mergeCell ref="E489:F489"/>
    <mergeCell ref="A490:B490"/>
    <mergeCell ref="E494:F494"/>
    <mergeCell ref="A495:B495"/>
    <mergeCell ref="E498:F498"/>
    <mergeCell ref="E544:F544"/>
    <mergeCell ref="A545:B545"/>
    <mergeCell ref="E548:F548"/>
    <mergeCell ref="A549:B549"/>
    <mergeCell ref="E551:F551"/>
    <mergeCell ref="E538:F538"/>
    <mergeCell ref="E539:F539"/>
    <mergeCell ref="C540:D540"/>
    <mergeCell ref="A541:G541"/>
    <mergeCell ref="A542:B542"/>
    <mergeCell ref="C528:D528"/>
    <mergeCell ref="A529:G529"/>
    <mergeCell ref="A530:B530"/>
    <mergeCell ref="E534:F534"/>
    <mergeCell ref="A535:B535"/>
    <mergeCell ref="A519:B519"/>
    <mergeCell ref="E522:F522"/>
    <mergeCell ref="A523:B523"/>
    <mergeCell ref="E526:F526"/>
    <mergeCell ref="E527:F527"/>
    <mergeCell ref="E576:F576"/>
    <mergeCell ref="E577:F577"/>
    <mergeCell ref="C578:D578"/>
    <mergeCell ref="A579:G579"/>
    <mergeCell ref="A580:B580"/>
    <mergeCell ref="C566:D566"/>
    <mergeCell ref="A567:G567"/>
    <mergeCell ref="A568:B568"/>
    <mergeCell ref="E572:F572"/>
    <mergeCell ref="A573:B573"/>
    <mergeCell ref="A558:B558"/>
    <mergeCell ref="E561:F561"/>
    <mergeCell ref="A562:B562"/>
    <mergeCell ref="E564:F564"/>
    <mergeCell ref="E565:F565"/>
    <mergeCell ref="E552:F552"/>
    <mergeCell ref="C553:D553"/>
    <mergeCell ref="A554:G554"/>
    <mergeCell ref="A555:B555"/>
    <mergeCell ref="E557:F557"/>
    <mergeCell ref="E607:F607"/>
    <mergeCell ref="E608:F608"/>
    <mergeCell ref="C609:D609"/>
    <mergeCell ref="A610:G610"/>
    <mergeCell ref="A611:B611"/>
    <mergeCell ref="A598:B598"/>
    <mergeCell ref="E600:F600"/>
    <mergeCell ref="A601:B601"/>
    <mergeCell ref="E604:F604"/>
    <mergeCell ref="A605:B605"/>
    <mergeCell ref="E591:F591"/>
    <mergeCell ref="C592:D592"/>
    <mergeCell ref="A593:G593"/>
    <mergeCell ref="A594:B594"/>
    <mergeCell ref="E597:F597"/>
    <mergeCell ref="E583:F583"/>
    <mergeCell ref="A584:B584"/>
    <mergeCell ref="E586:F586"/>
    <mergeCell ref="A587:B587"/>
    <mergeCell ref="E590:F590"/>
    <mergeCell ref="A641:B641"/>
    <mergeCell ref="E643:F643"/>
    <mergeCell ref="A644:B644"/>
    <mergeCell ref="E647:F647"/>
    <mergeCell ref="E648:F648"/>
    <mergeCell ref="A634:B634"/>
    <mergeCell ref="E637:F637"/>
    <mergeCell ref="E638:F638"/>
    <mergeCell ref="C639:D639"/>
    <mergeCell ref="A640:G640"/>
    <mergeCell ref="E626:F626"/>
    <mergeCell ref="C627:D627"/>
    <mergeCell ref="A628:G628"/>
    <mergeCell ref="A629:B629"/>
    <mergeCell ref="E633:F633"/>
    <mergeCell ref="E614:F614"/>
    <mergeCell ref="A615:B615"/>
    <mergeCell ref="E621:F621"/>
    <mergeCell ref="A622:B622"/>
    <mergeCell ref="E625:F625"/>
    <mergeCell ref="A670:G670"/>
    <mergeCell ref="A671:B671"/>
    <mergeCell ref="E674:F674"/>
    <mergeCell ref="A675:B675"/>
    <mergeCell ref="E677:F677"/>
    <mergeCell ref="E664:F664"/>
    <mergeCell ref="A665:B665"/>
    <mergeCell ref="E667:F667"/>
    <mergeCell ref="E668:F668"/>
    <mergeCell ref="C669:D669"/>
    <mergeCell ref="E657:F657"/>
    <mergeCell ref="E658:F658"/>
    <mergeCell ref="C659:D659"/>
    <mergeCell ref="A660:G660"/>
    <mergeCell ref="A661:B661"/>
    <mergeCell ref="C649:D649"/>
    <mergeCell ref="A650:G650"/>
    <mergeCell ref="A651:B651"/>
    <mergeCell ref="E654:F654"/>
    <mergeCell ref="A655:B655"/>
    <mergeCell ref="C699:D699"/>
    <mergeCell ref="A700:G700"/>
    <mergeCell ref="A701:B701"/>
    <mergeCell ref="E704:F704"/>
    <mergeCell ref="A705:B705"/>
    <mergeCell ref="A691:B691"/>
    <mergeCell ref="E694:F694"/>
    <mergeCell ref="A695:B695"/>
    <mergeCell ref="E697:F697"/>
    <mergeCell ref="E698:F698"/>
    <mergeCell ref="A685:B685"/>
    <mergeCell ref="E687:F687"/>
    <mergeCell ref="E688:F688"/>
    <mergeCell ref="C689:D689"/>
    <mergeCell ref="A690:G690"/>
    <mergeCell ref="E678:F678"/>
    <mergeCell ref="C679:D679"/>
    <mergeCell ref="A680:G680"/>
    <mergeCell ref="A681:B681"/>
    <mergeCell ref="E684:F684"/>
    <mergeCell ref="A729:B729"/>
    <mergeCell ref="E733:F733"/>
    <mergeCell ref="A734:B734"/>
    <mergeCell ref="E737:F737"/>
    <mergeCell ref="E738:F738"/>
    <mergeCell ref="A723:B723"/>
    <mergeCell ref="E725:F725"/>
    <mergeCell ref="E726:F726"/>
    <mergeCell ref="C727:D727"/>
    <mergeCell ref="A728:G728"/>
    <mergeCell ref="E714:F714"/>
    <mergeCell ref="A715:B715"/>
    <mergeCell ref="E718:F718"/>
    <mergeCell ref="A719:B719"/>
    <mergeCell ref="E722:F722"/>
    <mergeCell ref="E707:F707"/>
    <mergeCell ref="E708:F708"/>
    <mergeCell ref="C709:D709"/>
    <mergeCell ref="A710:G710"/>
    <mergeCell ref="A711:B711"/>
    <mergeCell ref="A761:B761"/>
    <mergeCell ref="E763:F763"/>
    <mergeCell ref="E764:F764"/>
    <mergeCell ref="C765:D765"/>
    <mergeCell ref="A766:G766"/>
    <mergeCell ref="A753:G753"/>
    <mergeCell ref="A754:B754"/>
    <mergeCell ref="E756:F756"/>
    <mergeCell ref="A757:B757"/>
    <mergeCell ref="E760:F760"/>
    <mergeCell ref="E747:F747"/>
    <mergeCell ref="A748:B748"/>
    <mergeCell ref="E750:F750"/>
    <mergeCell ref="E751:F751"/>
    <mergeCell ref="C752:D752"/>
    <mergeCell ref="C739:D739"/>
    <mergeCell ref="A740:G740"/>
    <mergeCell ref="A741:B741"/>
    <mergeCell ref="E743:F743"/>
    <mergeCell ref="A744:B744"/>
    <mergeCell ref="E791:F791"/>
    <mergeCell ref="A792:B792"/>
    <mergeCell ref="E794:F794"/>
    <mergeCell ref="E795:F795"/>
    <mergeCell ref="C796:D796"/>
    <mergeCell ref="E784:F784"/>
    <mergeCell ref="E785:F785"/>
    <mergeCell ref="C786:D786"/>
    <mergeCell ref="A787:G787"/>
    <mergeCell ref="A788:B788"/>
    <mergeCell ref="C774:D774"/>
    <mergeCell ref="A775:G775"/>
    <mergeCell ref="A776:B776"/>
    <mergeCell ref="E780:F780"/>
    <mergeCell ref="A781:B781"/>
    <mergeCell ref="A767:B767"/>
    <mergeCell ref="E769:F769"/>
    <mergeCell ref="A770:B770"/>
    <mergeCell ref="E772:F772"/>
    <mergeCell ref="E773:F773"/>
    <mergeCell ref="E826:F826"/>
    <mergeCell ref="E827:F827"/>
    <mergeCell ref="C828:D828"/>
    <mergeCell ref="A829:G829"/>
    <mergeCell ref="A830:B830"/>
    <mergeCell ref="A812:B812"/>
    <mergeCell ref="E817:F817"/>
    <mergeCell ref="A818:B818"/>
    <mergeCell ref="E822:F822"/>
    <mergeCell ref="A823:B823"/>
    <mergeCell ref="A805:B805"/>
    <mergeCell ref="E808:F808"/>
    <mergeCell ref="E809:F809"/>
    <mergeCell ref="C810:D810"/>
    <mergeCell ref="A811:G811"/>
    <mergeCell ref="A797:G797"/>
    <mergeCell ref="A798:B798"/>
    <mergeCell ref="E801:F801"/>
    <mergeCell ref="A802:B802"/>
    <mergeCell ref="E804:F804"/>
    <mergeCell ref="A857:B857"/>
    <mergeCell ref="E860:F860"/>
    <mergeCell ref="E861:F861"/>
    <mergeCell ref="C862:D862"/>
    <mergeCell ref="A863:G863"/>
    <mergeCell ref="E849:F849"/>
    <mergeCell ref="C850:D850"/>
    <mergeCell ref="A851:G851"/>
    <mergeCell ref="A852:B852"/>
    <mergeCell ref="E856:F856"/>
    <mergeCell ref="A841:G841"/>
    <mergeCell ref="A842:B842"/>
    <mergeCell ref="E844:F844"/>
    <mergeCell ref="A845:B845"/>
    <mergeCell ref="E848:F848"/>
    <mergeCell ref="E834:F834"/>
    <mergeCell ref="A835:B835"/>
    <mergeCell ref="E838:F838"/>
    <mergeCell ref="E839:F839"/>
    <mergeCell ref="C840:D840"/>
    <mergeCell ref="E889:F889"/>
    <mergeCell ref="C890:D890"/>
    <mergeCell ref="A891:G891"/>
    <mergeCell ref="A892:B892"/>
    <mergeCell ref="E895:F895"/>
    <mergeCell ref="E881:F881"/>
    <mergeCell ref="A882:B882"/>
    <mergeCell ref="E885:F885"/>
    <mergeCell ref="A886:B886"/>
    <mergeCell ref="E888:F888"/>
    <mergeCell ref="C873:D873"/>
    <mergeCell ref="A874:G874"/>
    <mergeCell ref="A875:B875"/>
    <mergeCell ref="E878:F878"/>
    <mergeCell ref="A879:B879"/>
    <mergeCell ref="A864:B864"/>
    <mergeCell ref="E867:F867"/>
    <mergeCell ref="A868:B868"/>
    <mergeCell ref="E871:F871"/>
    <mergeCell ref="E872:F872"/>
    <mergeCell ref="E919:F919"/>
    <mergeCell ref="E920:F920"/>
    <mergeCell ref="C921:D921"/>
    <mergeCell ref="A922:G922"/>
    <mergeCell ref="A923:B923"/>
    <mergeCell ref="C911:D911"/>
    <mergeCell ref="A912:G912"/>
    <mergeCell ref="A913:B913"/>
    <mergeCell ref="E915:F915"/>
    <mergeCell ref="A916:B916"/>
    <mergeCell ref="A903:B903"/>
    <mergeCell ref="E905:F905"/>
    <mergeCell ref="A906:B906"/>
    <mergeCell ref="E909:F909"/>
    <mergeCell ref="E910:F910"/>
    <mergeCell ref="A896:B896"/>
    <mergeCell ref="E899:F899"/>
    <mergeCell ref="E900:F900"/>
    <mergeCell ref="C901:D901"/>
    <mergeCell ref="A902:G902"/>
    <mergeCell ref="A948:B948"/>
    <mergeCell ref="E950:F950"/>
    <mergeCell ref="E951:F951"/>
    <mergeCell ref="C952:D952"/>
    <mergeCell ref="A953:G953"/>
    <mergeCell ref="E941:F941"/>
    <mergeCell ref="C942:D942"/>
    <mergeCell ref="A943:G943"/>
    <mergeCell ref="A944:B944"/>
    <mergeCell ref="E947:F947"/>
    <mergeCell ref="A932:G932"/>
    <mergeCell ref="A933:B933"/>
    <mergeCell ref="E936:F936"/>
    <mergeCell ref="A937:B937"/>
    <mergeCell ref="E940:F940"/>
    <mergeCell ref="E925:F925"/>
    <mergeCell ref="A926:B926"/>
    <mergeCell ref="E929:F929"/>
    <mergeCell ref="E930:F930"/>
    <mergeCell ref="C931:D931"/>
    <mergeCell ref="E976:F976"/>
    <mergeCell ref="A977:B977"/>
    <mergeCell ref="E980:F980"/>
    <mergeCell ref="E981:F981"/>
    <mergeCell ref="C982:D982"/>
    <mergeCell ref="E970:F970"/>
    <mergeCell ref="E971:F971"/>
    <mergeCell ref="C972:D972"/>
    <mergeCell ref="A973:G973"/>
    <mergeCell ref="A974:B974"/>
    <mergeCell ref="C962:D962"/>
    <mergeCell ref="A963:G963"/>
    <mergeCell ref="A964:B964"/>
    <mergeCell ref="E966:F966"/>
    <mergeCell ref="A967:B967"/>
    <mergeCell ref="A954:B954"/>
    <mergeCell ref="E956:F956"/>
    <mergeCell ref="A957:B957"/>
    <mergeCell ref="E960:F960"/>
    <mergeCell ref="E961:F961"/>
    <mergeCell ref="A1004:B1004"/>
    <mergeCell ref="E1006:F1006"/>
    <mergeCell ref="A1007:B1007"/>
    <mergeCell ref="E1010:F1010"/>
    <mergeCell ref="E1011:F1011"/>
    <mergeCell ref="A997:B997"/>
    <mergeCell ref="E1000:F1000"/>
    <mergeCell ref="E1001:F1001"/>
    <mergeCell ref="C1002:D1002"/>
    <mergeCell ref="A1003:G1003"/>
    <mergeCell ref="E991:F991"/>
    <mergeCell ref="C992:D992"/>
    <mergeCell ref="A993:G993"/>
    <mergeCell ref="A994:B994"/>
    <mergeCell ref="E996:F996"/>
    <mergeCell ref="A983:G983"/>
    <mergeCell ref="A984:B984"/>
    <mergeCell ref="E986:F986"/>
    <mergeCell ref="A987:B987"/>
    <mergeCell ref="E990:F990"/>
    <mergeCell ref="E1032:F1032"/>
    <mergeCell ref="E1033:F1033"/>
    <mergeCell ref="C1034:D1034"/>
    <mergeCell ref="A1035:G1035"/>
    <mergeCell ref="A1036:B1036"/>
    <mergeCell ref="E1026:F1026"/>
    <mergeCell ref="E1027:F1027"/>
    <mergeCell ref="C1028:D1028"/>
    <mergeCell ref="A1029:G1029"/>
    <mergeCell ref="A1030:B1030"/>
    <mergeCell ref="E1020:F1020"/>
    <mergeCell ref="E1021:F1021"/>
    <mergeCell ref="C1022:D1022"/>
    <mergeCell ref="A1023:G1023"/>
    <mergeCell ref="A1024:B1024"/>
    <mergeCell ref="C1012:D1012"/>
    <mergeCell ref="A1013:G1013"/>
    <mergeCell ref="A1014:B1014"/>
    <mergeCell ref="E1016:F1016"/>
    <mergeCell ref="A1017:B1017"/>
    <mergeCell ref="E1056:F1056"/>
    <mergeCell ref="E1057:F1057"/>
    <mergeCell ref="C1058:D1058"/>
    <mergeCell ref="A1059:G1059"/>
    <mergeCell ref="A1060:B1060"/>
    <mergeCell ref="E1050:F1050"/>
    <mergeCell ref="E1051:F1051"/>
    <mergeCell ref="C1052:D1052"/>
    <mergeCell ref="A1053:G1053"/>
    <mergeCell ref="A1054:B1054"/>
    <mergeCell ref="E1044:F1044"/>
    <mergeCell ref="E1045:F1045"/>
    <mergeCell ref="C1046:D1046"/>
    <mergeCell ref="A1047:G1047"/>
    <mergeCell ref="A1048:B1048"/>
    <mergeCell ref="E1038:F1038"/>
    <mergeCell ref="E1039:F1039"/>
    <mergeCell ref="C1040:D1040"/>
    <mergeCell ref="A1041:G1041"/>
    <mergeCell ref="A1042:B1042"/>
    <mergeCell ref="A1083:B1083"/>
    <mergeCell ref="E1086:F1086"/>
    <mergeCell ref="E1087:F1087"/>
    <mergeCell ref="C1088:D1088"/>
    <mergeCell ref="A1089:G1089"/>
    <mergeCell ref="E1077:F1077"/>
    <mergeCell ref="C1078:D1078"/>
    <mergeCell ref="A1079:G1079"/>
    <mergeCell ref="A1080:B1080"/>
    <mergeCell ref="E1082:F1082"/>
    <mergeCell ref="A1069:G1069"/>
    <mergeCell ref="A1070:B1070"/>
    <mergeCell ref="E1072:F1072"/>
    <mergeCell ref="A1073:B1073"/>
    <mergeCell ref="E1076:F1076"/>
    <mergeCell ref="E1062:F1062"/>
    <mergeCell ref="A1063:B1063"/>
    <mergeCell ref="E1066:F1066"/>
    <mergeCell ref="E1067:F1067"/>
    <mergeCell ref="C1068:D1068"/>
    <mergeCell ref="E1113:F1113"/>
    <mergeCell ref="A1114:B1114"/>
    <mergeCell ref="E1117:F1117"/>
    <mergeCell ref="A1118:B1118"/>
    <mergeCell ref="E1121:F1121"/>
    <mergeCell ref="E1106:F1106"/>
    <mergeCell ref="E1107:F1107"/>
    <mergeCell ref="C1108:D1108"/>
    <mergeCell ref="A1109:G1109"/>
    <mergeCell ref="A1110:B1110"/>
    <mergeCell ref="C1098:D1098"/>
    <mergeCell ref="A1099:G1099"/>
    <mergeCell ref="A1100:B1100"/>
    <mergeCell ref="E1102:F1102"/>
    <mergeCell ref="A1103:B1103"/>
    <mergeCell ref="A1090:B1090"/>
    <mergeCell ref="E1092:F1092"/>
    <mergeCell ref="A1093:B1093"/>
    <mergeCell ref="E1096:F1096"/>
    <mergeCell ref="E1097:F1097"/>
    <mergeCell ref="E1146:F1146"/>
    <mergeCell ref="A1147:B1147"/>
    <mergeCell ref="E1150:F1150"/>
    <mergeCell ref="E1151:F1151"/>
    <mergeCell ref="C1152:D1152"/>
    <mergeCell ref="C1137:D1137"/>
    <mergeCell ref="A1138:G1138"/>
    <mergeCell ref="A1139:B1139"/>
    <mergeCell ref="E1142:F1142"/>
    <mergeCell ref="A1143:B1143"/>
    <mergeCell ref="A1129:B1129"/>
    <mergeCell ref="E1131:F1131"/>
    <mergeCell ref="A1132:B1132"/>
    <mergeCell ref="E1135:F1135"/>
    <mergeCell ref="E1136:F1136"/>
    <mergeCell ref="E1122:F1122"/>
    <mergeCell ref="C1123:D1123"/>
    <mergeCell ref="A1124:G1124"/>
    <mergeCell ref="A1125:B1125"/>
    <mergeCell ref="E1128:F1128"/>
    <mergeCell ref="E1175:F1175"/>
    <mergeCell ref="C1176:D1176"/>
    <mergeCell ref="A1177:G1177"/>
    <mergeCell ref="A1178:B1178"/>
    <mergeCell ref="E1181:F1181"/>
    <mergeCell ref="E1168:F1168"/>
    <mergeCell ref="C1169:D1169"/>
    <mergeCell ref="A1170:G1170"/>
    <mergeCell ref="A1171:B1171"/>
    <mergeCell ref="E1174:F1174"/>
    <mergeCell ref="E1162:F1162"/>
    <mergeCell ref="C1163:D1163"/>
    <mergeCell ref="A1164:G1164"/>
    <mergeCell ref="A1165:B1165"/>
    <mergeCell ref="E1167:F1167"/>
    <mergeCell ref="A1153:G1153"/>
    <mergeCell ref="A1154:B1154"/>
    <mergeCell ref="E1157:F1157"/>
    <mergeCell ref="A1158:B1158"/>
    <mergeCell ref="E1161:F1161"/>
    <mergeCell ref="C1204:D1204"/>
    <mergeCell ref="A1205:G1205"/>
    <mergeCell ref="A1206:B1206"/>
    <mergeCell ref="E1209:F1209"/>
    <mergeCell ref="E1210:F1210"/>
    <mergeCell ref="A1196:B1196"/>
    <mergeCell ref="E1198:F1198"/>
    <mergeCell ref="A1199:B1199"/>
    <mergeCell ref="E1202:F1202"/>
    <mergeCell ref="E1203:F1203"/>
    <mergeCell ref="A1189:B1189"/>
    <mergeCell ref="E1192:F1192"/>
    <mergeCell ref="E1193:F1193"/>
    <mergeCell ref="C1194:D1194"/>
    <mergeCell ref="A1195:G1195"/>
    <mergeCell ref="E1182:F1182"/>
    <mergeCell ref="C1183:D1183"/>
    <mergeCell ref="A1184:G1184"/>
    <mergeCell ref="A1185:B1185"/>
    <mergeCell ref="E1188:F1188"/>
    <mergeCell ref="A1242:B1242"/>
    <mergeCell ref="E1253:F1253"/>
    <mergeCell ref="E1254:F1254"/>
    <mergeCell ref="C1255:D1255"/>
    <mergeCell ref="A1256:G1256"/>
    <mergeCell ref="A1225:G1225"/>
    <mergeCell ref="A1226:B1226"/>
    <mergeCell ref="E1237:F1237"/>
    <mergeCell ref="A1238:B1238"/>
    <mergeCell ref="E1241:F1241"/>
    <mergeCell ref="E1219:F1219"/>
    <mergeCell ref="A1220:B1220"/>
    <mergeCell ref="E1222:F1222"/>
    <mergeCell ref="E1223:F1223"/>
    <mergeCell ref="C1224:D1224"/>
    <mergeCell ref="C1211:D1211"/>
    <mergeCell ref="A1212:G1212"/>
    <mergeCell ref="A1213:B1213"/>
    <mergeCell ref="E1215:F1215"/>
    <mergeCell ref="A1216:B1216"/>
    <mergeCell ref="E1282:F1282"/>
    <mergeCell ref="A1283:B1283"/>
    <mergeCell ref="E1286:F1286"/>
    <mergeCell ref="E1287:F1287"/>
    <mergeCell ref="C1288:D1288"/>
    <mergeCell ref="E1275:F1275"/>
    <mergeCell ref="E1276:F1276"/>
    <mergeCell ref="C1277:D1277"/>
    <mergeCell ref="A1278:G1278"/>
    <mergeCell ref="A1279:B1279"/>
    <mergeCell ref="C1266:D1266"/>
    <mergeCell ref="A1267:G1267"/>
    <mergeCell ref="A1268:B1268"/>
    <mergeCell ref="E1271:F1271"/>
    <mergeCell ref="A1272:B1272"/>
    <mergeCell ref="A1257:B1257"/>
    <mergeCell ref="E1260:F1260"/>
    <mergeCell ref="A1261:B1261"/>
    <mergeCell ref="E1264:F1264"/>
    <mergeCell ref="E1265:F1265"/>
    <mergeCell ref="A1312:B1312"/>
    <mergeCell ref="E1315:F1315"/>
    <mergeCell ref="A1316:B1316"/>
    <mergeCell ref="E1319:F1319"/>
    <mergeCell ref="E1320:F1320"/>
    <mergeCell ref="A1305:B1305"/>
    <mergeCell ref="E1308:F1308"/>
    <mergeCell ref="E1309:F1309"/>
    <mergeCell ref="C1310:D1310"/>
    <mergeCell ref="A1311:G1311"/>
    <mergeCell ref="E1298:F1298"/>
    <mergeCell ref="C1299:D1299"/>
    <mergeCell ref="A1300:G1300"/>
    <mergeCell ref="A1301:B1301"/>
    <mergeCell ref="E1304:F1304"/>
    <mergeCell ref="A1289:G1289"/>
    <mergeCell ref="A1290:B1290"/>
    <mergeCell ref="E1293:F1293"/>
    <mergeCell ref="A1294:B1294"/>
    <mergeCell ref="E1297:F1297"/>
    <mergeCell ref="E1347:F1347"/>
    <mergeCell ref="C1348:D1348"/>
    <mergeCell ref="A1349:G1349"/>
    <mergeCell ref="A1350:B1350"/>
    <mergeCell ref="E1352:F1352"/>
    <mergeCell ref="E1336:F1336"/>
    <mergeCell ref="A1337:B1337"/>
    <mergeCell ref="E1340:F1340"/>
    <mergeCell ref="A1341:B1341"/>
    <mergeCell ref="E1346:F1346"/>
    <mergeCell ref="E1330:F1330"/>
    <mergeCell ref="E1331:F1331"/>
    <mergeCell ref="C1332:D1332"/>
    <mergeCell ref="A1333:G1333"/>
    <mergeCell ref="A1334:B1334"/>
    <mergeCell ref="C1321:D1321"/>
    <mergeCell ref="A1322:G1322"/>
    <mergeCell ref="A1323:B1323"/>
    <mergeCell ref="E1326:F1326"/>
    <mergeCell ref="A1327:B1327"/>
    <mergeCell ref="E1377:F1377"/>
    <mergeCell ref="A1378:B1378"/>
    <mergeCell ref="E1381:F1381"/>
    <mergeCell ref="E1382:F1382"/>
    <mergeCell ref="C1383:D1383"/>
    <mergeCell ref="E1370:F1370"/>
    <mergeCell ref="E1371:F1371"/>
    <mergeCell ref="C1372:D1372"/>
    <mergeCell ref="A1373:G1373"/>
    <mergeCell ref="A1374:B1374"/>
    <mergeCell ref="C1361:D1361"/>
    <mergeCell ref="A1362:G1362"/>
    <mergeCell ref="A1363:B1363"/>
    <mergeCell ref="E1366:F1366"/>
    <mergeCell ref="A1367:B1367"/>
    <mergeCell ref="A1353:B1353"/>
    <mergeCell ref="E1356:F1356"/>
    <mergeCell ref="A1357:B1357"/>
    <mergeCell ref="E1359:F1359"/>
    <mergeCell ref="E1360:F1360"/>
    <mergeCell ref="C1408:D1408"/>
    <mergeCell ref="A1409:G1409"/>
    <mergeCell ref="A1410:B1410"/>
    <mergeCell ref="E1413:F1413"/>
    <mergeCell ref="A1414:B1414"/>
    <mergeCell ref="A1399:B1399"/>
    <mergeCell ref="E1402:F1402"/>
    <mergeCell ref="A1403:B1403"/>
    <mergeCell ref="E1406:F1406"/>
    <mergeCell ref="E1407:F1407"/>
    <mergeCell ref="A1392:B1392"/>
    <mergeCell ref="E1395:F1395"/>
    <mergeCell ref="E1396:F1396"/>
    <mergeCell ref="C1397:D1397"/>
    <mergeCell ref="A1398:G1398"/>
    <mergeCell ref="A1384:G1384"/>
    <mergeCell ref="A1385:B1385"/>
    <mergeCell ref="E1388:F1388"/>
    <mergeCell ref="A1389:B1389"/>
    <mergeCell ref="E1391:F1391"/>
    <mergeCell ref="E1440:F1440"/>
    <mergeCell ref="C1441:D1441"/>
    <mergeCell ref="A1442:G1442"/>
    <mergeCell ref="A1443:B1443"/>
    <mergeCell ref="E1446:F1446"/>
    <mergeCell ref="A1431:G1431"/>
    <mergeCell ref="A1432:B1432"/>
    <mergeCell ref="E1435:F1435"/>
    <mergeCell ref="A1436:B1436"/>
    <mergeCell ref="E1439:F1439"/>
    <mergeCell ref="E1424:F1424"/>
    <mergeCell ref="A1425:B1425"/>
    <mergeCell ref="E1428:F1428"/>
    <mergeCell ref="E1429:F1429"/>
    <mergeCell ref="C1430:D1430"/>
    <mergeCell ref="E1417:F1417"/>
    <mergeCell ref="E1418:F1418"/>
    <mergeCell ref="C1419:D1419"/>
    <mergeCell ref="A1420:G1420"/>
    <mergeCell ref="A1421:B1421"/>
    <mergeCell ref="E1472:F1472"/>
    <mergeCell ref="E1473:F1473"/>
    <mergeCell ref="C1474:D1474"/>
    <mergeCell ref="A1475:G1475"/>
    <mergeCell ref="A1476:B1476"/>
    <mergeCell ref="C1463:D1463"/>
    <mergeCell ref="A1464:G1464"/>
    <mergeCell ref="A1465:B1465"/>
    <mergeCell ref="E1468:F1468"/>
    <mergeCell ref="A1469:B1469"/>
    <mergeCell ref="A1454:B1454"/>
    <mergeCell ref="E1457:F1457"/>
    <mergeCell ref="A1458:B1458"/>
    <mergeCell ref="E1461:F1461"/>
    <mergeCell ref="E1462:F1462"/>
    <mergeCell ref="A1447:B1447"/>
    <mergeCell ref="E1450:F1450"/>
    <mergeCell ref="E1451:F1451"/>
    <mergeCell ref="C1452:D1452"/>
    <mergeCell ref="A1453:G1453"/>
    <mergeCell ref="A1503:B1503"/>
    <mergeCell ref="E1506:F1506"/>
    <mergeCell ref="E1507:F1507"/>
    <mergeCell ref="C1508:D1508"/>
    <mergeCell ref="A1509:G1509"/>
    <mergeCell ref="E1494:F1494"/>
    <mergeCell ref="C1495:D1495"/>
    <mergeCell ref="A1496:G1496"/>
    <mergeCell ref="A1497:B1497"/>
    <mergeCell ref="E1502:F1502"/>
    <mergeCell ref="A1486:G1486"/>
    <mergeCell ref="A1487:B1487"/>
    <mergeCell ref="E1489:F1489"/>
    <mergeCell ref="A1490:B1490"/>
    <mergeCell ref="E1493:F1493"/>
    <mergeCell ref="E1479:F1479"/>
    <mergeCell ref="A1480:B1480"/>
    <mergeCell ref="E1483:F1483"/>
    <mergeCell ref="E1484:F1484"/>
    <mergeCell ref="C1485:D1485"/>
    <mergeCell ref="E1541:F1541"/>
    <mergeCell ref="A1542:B1542"/>
    <mergeCell ref="E1545:F1545"/>
    <mergeCell ref="E1546:F1546"/>
    <mergeCell ref="C1547:D1547"/>
    <mergeCell ref="E1532:F1532"/>
    <mergeCell ref="E1533:F1533"/>
    <mergeCell ref="C1534:D1534"/>
    <mergeCell ref="A1535:G1535"/>
    <mergeCell ref="A1536:B1536"/>
    <mergeCell ref="C1521:D1521"/>
    <mergeCell ref="A1522:G1522"/>
    <mergeCell ref="A1523:B1523"/>
    <mergeCell ref="E1528:F1528"/>
    <mergeCell ref="A1529:B1529"/>
    <mergeCell ref="A1510:B1510"/>
    <mergeCell ref="E1515:F1515"/>
    <mergeCell ref="A1516:B1516"/>
    <mergeCell ref="E1519:F1519"/>
    <mergeCell ref="E1520:F1520"/>
    <mergeCell ref="A1575:B1575"/>
    <mergeCell ref="E1580:F1580"/>
    <mergeCell ref="A1581:B1581"/>
    <mergeCell ref="E1584:F1584"/>
    <mergeCell ref="E1585:F1585"/>
    <mergeCell ref="A1568:B1568"/>
    <mergeCell ref="E1571:F1571"/>
    <mergeCell ref="E1572:F1572"/>
    <mergeCell ref="C1573:D1573"/>
    <mergeCell ref="A1574:G1574"/>
    <mergeCell ref="E1559:F1559"/>
    <mergeCell ref="C1560:D1560"/>
    <mergeCell ref="A1561:G1561"/>
    <mergeCell ref="A1562:B1562"/>
    <mergeCell ref="E1567:F1567"/>
    <mergeCell ref="A1548:G1548"/>
    <mergeCell ref="A1549:B1549"/>
    <mergeCell ref="E1554:F1554"/>
    <mergeCell ref="A1555:B1555"/>
    <mergeCell ref="E1558:F1558"/>
    <mergeCell ref="A1611:G1611"/>
    <mergeCell ref="A1612:B1612"/>
    <mergeCell ref="E1617:F1617"/>
    <mergeCell ref="A1618:B1618"/>
    <mergeCell ref="E1621:F1621"/>
    <mergeCell ref="E1604:F1604"/>
    <mergeCell ref="A1605:B1605"/>
    <mergeCell ref="E1608:F1608"/>
    <mergeCell ref="E1609:F1609"/>
    <mergeCell ref="C1610:D1610"/>
    <mergeCell ref="E1597:F1597"/>
    <mergeCell ref="E1598:F1598"/>
    <mergeCell ref="C1599:D1599"/>
    <mergeCell ref="A1600:G1600"/>
    <mergeCell ref="A1601:B1601"/>
    <mergeCell ref="C1586:D1586"/>
    <mergeCell ref="A1587:G1587"/>
    <mergeCell ref="A1588:B1588"/>
    <mergeCell ref="E1593:F1593"/>
    <mergeCell ref="A1594:B1594"/>
    <mergeCell ref="C1649:D1649"/>
    <mergeCell ref="A1650:G1650"/>
    <mergeCell ref="A1651:B1651"/>
    <mergeCell ref="E1656:F1656"/>
    <mergeCell ref="A1657:B1657"/>
    <mergeCell ref="A1638:B1638"/>
    <mergeCell ref="E1643:F1643"/>
    <mergeCell ref="A1644:B1644"/>
    <mergeCell ref="E1647:F1647"/>
    <mergeCell ref="E1648:F1648"/>
    <mergeCell ref="A1631:B1631"/>
    <mergeCell ref="E1634:F1634"/>
    <mergeCell ref="E1635:F1635"/>
    <mergeCell ref="C1636:D1636"/>
    <mergeCell ref="A1637:G1637"/>
    <mergeCell ref="E1622:F1622"/>
    <mergeCell ref="C1623:D1623"/>
    <mergeCell ref="A1624:G1624"/>
    <mergeCell ref="A1625:B1625"/>
    <mergeCell ref="E1630:F1630"/>
    <mergeCell ref="E1687:F1687"/>
    <mergeCell ref="C1688:D1688"/>
    <mergeCell ref="A1689:G1689"/>
    <mergeCell ref="A1690:B1690"/>
    <mergeCell ref="E1695:F1695"/>
    <mergeCell ref="A1676:G1676"/>
    <mergeCell ref="A1677:B1677"/>
    <mergeCell ref="E1682:F1682"/>
    <mergeCell ref="A1683:B1683"/>
    <mergeCell ref="E1686:F1686"/>
    <mergeCell ref="E1669:F1669"/>
    <mergeCell ref="A1670:B1670"/>
    <mergeCell ref="E1673:F1673"/>
    <mergeCell ref="E1674:F1674"/>
    <mergeCell ref="C1675:D1675"/>
    <mergeCell ref="E1660:F1660"/>
    <mergeCell ref="E1661:F1661"/>
    <mergeCell ref="C1662:D1662"/>
    <mergeCell ref="A1663:G1663"/>
    <mergeCell ref="A1664:B1664"/>
    <mergeCell ref="E1725:F1725"/>
    <mergeCell ref="E1726:F1726"/>
    <mergeCell ref="C1727:D1727"/>
    <mergeCell ref="A1728:G1728"/>
    <mergeCell ref="A1729:B1729"/>
    <mergeCell ref="C1714:D1714"/>
    <mergeCell ref="A1715:G1715"/>
    <mergeCell ref="A1716:B1716"/>
    <mergeCell ref="E1721:F1721"/>
    <mergeCell ref="A1722:B1722"/>
    <mergeCell ref="A1703:B1703"/>
    <mergeCell ref="E1708:F1708"/>
    <mergeCell ref="A1709:B1709"/>
    <mergeCell ref="E1712:F1712"/>
    <mergeCell ref="E1713:F1713"/>
    <mergeCell ref="A1696:B1696"/>
    <mergeCell ref="E1699:F1699"/>
    <mergeCell ref="E1700:F1700"/>
    <mergeCell ref="C1701:D1701"/>
    <mergeCell ref="A1702:G1702"/>
    <mergeCell ref="A1759:B1759"/>
    <mergeCell ref="E1762:F1762"/>
    <mergeCell ref="E1763:F1763"/>
    <mergeCell ref="C1764:D1764"/>
    <mergeCell ref="A1765:G1765"/>
    <mergeCell ref="E1750:F1750"/>
    <mergeCell ref="C1751:D1751"/>
    <mergeCell ref="A1752:G1752"/>
    <mergeCell ref="A1753:B1753"/>
    <mergeCell ref="E1758:F1758"/>
    <mergeCell ref="A1741:G1741"/>
    <mergeCell ref="A1742:B1742"/>
    <mergeCell ref="E1745:F1745"/>
    <mergeCell ref="A1746:B1746"/>
    <mergeCell ref="E1749:F1749"/>
    <mergeCell ref="E1734:F1734"/>
    <mergeCell ref="A1735:B1735"/>
    <mergeCell ref="E1738:F1738"/>
    <mergeCell ref="E1739:F1739"/>
    <mergeCell ref="C1740:D1740"/>
    <mergeCell ref="E1797:F1797"/>
    <mergeCell ref="A1798:B1798"/>
    <mergeCell ref="E1801:F1801"/>
    <mergeCell ref="E1802:F1802"/>
    <mergeCell ref="C1803:D1803"/>
    <mergeCell ref="E1788:F1788"/>
    <mergeCell ref="E1789:F1789"/>
    <mergeCell ref="C1790:D1790"/>
    <mergeCell ref="A1791:G1791"/>
    <mergeCell ref="A1792:B1792"/>
    <mergeCell ref="C1777:D1777"/>
    <mergeCell ref="A1778:G1778"/>
    <mergeCell ref="A1779:B1779"/>
    <mergeCell ref="E1784:F1784"/>
    <mergeCell ref="A1785:B1785"/>
    <mergeCell ref="A1766:B1766"/>
    <mergeCell ref="E1771:F1771"/>
    <mergeCell ref="A1772:B1772"/>
    <mergeCell ref="E1775:F1775"/>
    <mergeCell ref="E1776:F1776"/>
    <mergeCell ref="A1829:B1829"/>
    <mergeCell ref="E1832:F1832"/>
    <mergeCell ref="A1833:B1833"/>
    <mergeCell ref="E1836:F1836"/>
    <mergeCell ref="E1837:F1837"/>
    <mergeCell ref="A1822:B1822"/>
    <mergeCell ref="E1825:F1825"/>
    <mergeCell ref="E1826:F1826"/>
    <mergeCell ref="C1827:D1827"/>
    <mergeCell ref="A1828:G1828"/>
    <mergeCell ref="E1815:F1815"/>
    <mergeCell ref="C1816:D1816"/>
    <mergeCell ref="A1817:G1817"/>
    <mergeCell ref="A1818:B1818"/>
    <mergeCell ref="E1821:F1821"/>
    <mergeCell ref="A1804:G1804"/>
    <mergeCell ref="A1805:B1805"/>
    <mergeCell ref="E1810:F1810"/>
    <mergeCell ref="A1811:B1811"/>
    <mergeCell ref="E1814:F1814"/>
    <mergeCell ref="A1861:G1861"/>
    <mergeCell ref="A1862:B1862"/>
    <mergeCell ref="E1865:F1865"/>
    <mergeCell ref="A1866:B1866"/>
    <mergeCell ref="E1869:F1869"/>
    <mergeCell ref="E1854:F1854"/>
    <mergeCell ref="A1855:B1855"/>
    <mergeCell ref="E1858:F1858"/>
    <mergeCell ref="E1859:F1859"/>
    <mergeCell ref="C1860:D1860"/>
    <mergeCell ref="E1847:F1847"/>
    <mergeCell ref="E1848:F1848"/>
    <mergeCell ref="C1849:D1849"/>
    <mergeCell ref="A1850:G1850"/>
    <mergeCell ref="A1851:B1851"/>
    <mergeCell ref="C1838:D1838"/>
    <mergeCell ref="A1839:G1839"/>
    <mergeCell ref="A1840:B1840"/>
    <mergeCell ref="E1843:F1843"/>
    <mergeCell ref="A1844:B1844"/>
    <mergeCell ref="E1893:F1893"/>
    <mergeCell ref="A1894:B1894"/>
    <mergeCell ref="E1897:F1897"/>
    <mergeCell ref="E1898:F1898"/>
    <mergeCell ref="C1899:D1899"/>
    <mergeCell ref="C1885:D1885"/>
    <mergeCell ref="A1886:G1886"/>
    <mergeCell ref="A1887:B1887"/>
    <mergeCell ref="E1890:F1890"/>
    <mergeCell ref="A1891:B1891"/>
    <mergeCell ref="A1877:B1877"/>
    <mergeCell ref="E1879:F1879"/>
    <mergeCell ref="A1880:B1880"/>
    <mergeCell ref="E1883:F1883"/>
    <mergeCell ref="E1884:F1884"/>
    <mergeCell ref="E1870:F1870"/>
    <mergeCell ref="C1871:D1871"/>
    <mergeCell ref="A1872:G1872"/>
    <mergeCell ref="A1873:B1873"/>
    <mergeCell ref="E1876:F1876"/>
    <mergeCell ref="A1923:B1923"/>
    <mergeCell ref="E1926:F1926"/>
    <mergeCell ref="A1927:B1927"/>
    <mergeCell ref="E1930:F1930"/>
    <mergeCell ref="E1931:F1931"/>
    <mergeCell ref="A1916:B1916"/>
    <mergeCell ref="E1919:F1919"/>
    <mergeCell ref="E1920:F1920"/>
    <mergeCell ref="C1921:D1921"/>
    <mergeCell ref="A1922:G1922"/>
    <mergeCell ref="E1909:F1909"/>
    <mergeCell ref="C1910:D1910"/>
    <mergeCell ref="A1911:G1911"/>
    <mergeCell ref="A1912:B1912"/>
    <mergeCell ref="E1915:F1915"/>
    <mergeCell ref="A1900:G1900"/>
    <mergeCell ref="A1901:B1901"/>
    <mergeCell ref="E1904:F1904"/>
    <mergeCell ref="A1905:B1905"/>
    <mergeCell ref="E1908:F1908"/>
    <mergeCell ref="A1958:G1958"/>
    <mergeCell ref="A1959:B1959"/>
    <mergeCell ref="E1964:F1964"/>
    <mergeCell ref="A1965:B1965"/>
    <mergeCell ref="E1968:F1968"/>
    <mergeCell ref="E1951:F1951"/>
    <mergeCell ref="A1952:B1952"/>
    <mergeCell ref="E1955:F1955"/>
    <mergeCell ref="E1956:F1956"/>
    <mergeCell ref="C1957:D1957"/>
    <mergeCell ref="E1942:F1942"/>
    <mergeCell ref="E1943:F1943"/>
    <mergeCell ref="C1944:D1944"/>
    <mergeCell ref="A1945:G1945"/>
    <mergeCell ref="A1946:B1946"/>
    <mergeCell ref="C1932:D1932"/>
    <mergeCell ref="A1933:G1933"/>
    <mergeCell ref="A1934:B1934"/>
    <mergeCell ref="E1938:F1938"/>
    <mergeCell ref="A1939:B1939"/>
    <mergeCell ref="A1991:B1991"/>
    <mergeCell ref="E1996:F1996"/>
    <mergeCell ref="A1997:B1997"/>
    <mergeCell ref="E2000:F2000"/>
    <mergeCell ref="E2001:F2001"/>
    <mergeCell ref="A1984:B1984"/>
    <mergeCell ref="E1987:F1987"/>
    <mergeCell ref="E1988:F1988"/>
    <mergeCell ref="C1989:D1989"/>
    <mergeCell ref="A1990:G1990"/>
    <mergeCell ref="E1975:F1975"/>
    <mergeCell ref="C1976:D1976"/>
    <mergeCell ref="A1977:G1977"/>
    <mergeCell ref="A1978:B1978"/>
    <mergeCell ref="E1983:F1983"/>
    <mergeCell ref="E1969:F1969"/>
    <mergeCell ref="C1970:D1970"/>
    <mergeCell ref="A1971:G1971"/>
    <mergeCell ref="A1972:B1972"/>
    <mergeCell ref="E1974:F1974"/>
    <mergeCell ref="A2027:G2027"/>
    <mergeCell ref="A2028:B2028"/>
    <mergeCell ref="E2033:F2033"/>
    <mergeCell ref="A2034:B2034"/>
    <mergeCell ref="E2037:F2037"/>
    <mergeCell ref="E2020:F2020"/>
    <mergeCell ref="A2021:B2021"/>
    <mergeCell ref="E2024:F2024"/>
    <mergeCell ref="E2025:F2025"/>
    <mergeCell ref="C2026:D2026"/>
    <mergeCell ref="E2012:F2012"/>
    <mergeCell ref="E2013:F2013"/>
    <mergeCell ref="C2014:D2014"/>
    <mergeCell ref="A2015:G2015"/>
    <mergeCell ref="A2016:B2016"/>
    <mergeCell ref="C2002:D2002"/>
    <mergeCell ref="A2003:G2003"/>
    <mergeCell ref="A2004:B2004"/>
    <mergeCell ref="E2008:F2008"/>
    <mergeCell ref="A2009:B2009"/>
    <mergeCell ref="C2063:D2063"/>
    <mergeCell ref="A2064:G2064"/>
    <mergeCell ref="A2065:B2065"/>
    <mergeCell ref="E2069:F2069"/>
    <mergeCell ref="A2070:B2070"/>
    <mergeCell ref="A2053:B2053"/>
    <mergeCell ref="E2057:F2057"/>
    <mergeCell ref="A2058:B2058"/>
    <mergeCell ref="E2061:F2061"/>
    <mergeCell ref="E2062:F2062"/>
    <mergeCell ref="A2046:B2046"/>
    <mergeCell ref="E2049:F2049"/>
    <mergeCell ref="E2050:F2050"/>
    <mergeCell ref="C2051:D2051"/>
    <mergeCell ref="A2052:G2052"/>
    <mergeCell ref="E2038:F2038"/>
    <mergeCell ref="C2039:D2039"/>
    <mergeCell ref="A2040:G2040"/>
    <mergeCell ref="A2041:B2041"/>
    <mergeCell ref="E2045:F2045"/>
    <mergeCell ref="E2098:F2098"/>
    <mergeCell ref="C2099:D2099"/>
    <mergeCell ref="A2100:G2100"/>
    <mergeCell ref="A2101:B2101"/>
    <mergeCell ref="E2104:F2104"/>
    <mergeCell ref="A2089:G2089"/>
    <mergeCell ref="A2090:B2090"/>
    <mergeCell ref="E2093:F2093"/>
    <mergeCell ref="A2094:B2094"/>
    <mergeCell ref="E2097:F2097"/>
    <mergeCell ref="E2082:F2082"/>
    <mergeCell ref="A2083:B2083"/>
    <mergeCell ref="E2086:F2086"/>
    <mergeCell ref="E2087:F2087"/>
    <mergeCell ref="C2088:D2088"/>
    <mergeCell ref="E2073:F2073"/>
    <mergeCell ref="E2074:F2074"/>
    <mergeCell ref="C2075:D2075"/>
    <mergeCell ref="A2076:G2076"/>
    <mergeCell ref="A2077:B2077"/>
    <mergeCell ref="E2130:F2130"/>
    <mergeCell ref="E2131:F2131"/>
    <mergeCell ref="C2132:D2132"/>
    <mergeCell ref="A2133:G2133"/>
    <mergeCell ref="A2134:B2134"/>
    <mergeCell ref="C2121:D2121"/>
    <mergeCell ref="A2122:G2122"/>
    <mergeCell ref="A2123:B2123"/>
    <mergeCell ref="E2126:F2126"/>
    <mergeCell ref="A2127:B2127"/>
    <mergeCell ref="A2112:B2112"/>
    <mergeCell ref="E2115:F2115"/>
    <mergeCell ref="A2116:B2116"/>
    <mergeCell ref="E2119:F2119"/>
    <mergeCell ref="E2120:F2120"/>
    <mergeCell ref="A2105:B2105"/>
    <mergeCell ref="E2108:F2108"/>
    <mergeCell ref="E2109:F2109"/>
    <mergeCell ref="C2110:D2110"/>
    <mergeCell ref="A2111:G2111"/>
    <mergeCell ref="A2158:B2158"/>
    <mergeCell ref="E2165:F2165"/>
    <mergeCell ref="A2166:B2166"/>
    <mergeCell ref="E2169:F2169"/>
    <mergeCell ref="A2170:B2170"/>
    <mergeCell ref="A2152:B2152"/>
    <mergeCell ref="E2154:F2154"/>
    <mergeCell ref="E2155:F2155"/>
    <mergeCell ref="C2156:D2156"/>
    <mergeCell ref="A2157:G2157"/>
    <mergeCell ref="A2144:G2144"/>
    <mergeCell ref="A2145:B2145"/>
    <mergeCell ref="E2147:F2147"/>
    <mergeCell ref="A2148:B2148"/>
    <mergeCell ref="E2151:F2151"/>
    <mergeCell ref="E2137:F2137"/>
    <mergeCell ref="A2138:B2138"/>
    <mergeCell ref="E2141:F2141"/>
    <mergeCell ref="E2142:F2142"/>
    <mergeCell ref="C2143:D2143"/>
    <mergeCell ref="E2201:F2201"/>
    <mergeCell ref="C2202:D2202"/>
    <mergeCell ref="A2203:G2203"/>
    <mergeCell ref="A2204:B2204"/>
    <mergeCell ref="E2210:F2210"/>
    <mergeCell ref="A2192:G2192"/>
    <mergeCell ref="A2193:B2193"/>
    <mergeCell ref="E2196:F2196"/>
    <mergeCell ref="A2197:B2197"/>
    <mergeCell ref="E2200:F2200"/>
    <mergeCell ref="E2185:F2185"/>
    <mergeCell ref="A2186:B2186"/>
    <mergeCell ref="E2189:F2189"/>
    <mergeCell ref="E2190:F2190"/>
    <mergeCell ref="C2191:D2191"/>
    <mergeCell ref="E2176:F2176"/>
    <mergeCell ref="E2177:F2177"/>
    <mergeCell ref="C2178:D2178"/>
    <mergeCell ref="A2179:G2179"/>
    <mergeCell ref="A2180:B2180"/>
    <mergeCell ref="C2233:D2233"/>
    <mergeCell ref="A2234:G2234"/>
    <mergeCell ref="A2235:B2235"/>
    <mergeCell ref="E2238:F2238"/>
    <mergeCell ref="A2239:B2239"/>
    <mergeCell ref="A2225:B2225"/>
    <mergeCell ref="E2227:F2227"/>
    <mergeCell ref="A2228:B2228"/>
    <mergeCell ref="E2231:F2231"/>
    <mergeCell ref="E2232:F2232"/>
    <mergeCell ref="A2218:B2218"/>
    <mergeCell ref="E2221:F2221"/>
    <mergeCell ref="E2222:F2222"/>
    <mergeCell ref="C2223:D2223"/>
    <mergeCell ref="A2224:G2224"/>
    <mergeCell ref="E2211:F2211"/>
    <mergeCell ref="C2212:D2212"/>
    <mergeCell ref="A2213:G2213"/>
    <mergeCell ref="A2214:B2214"/>
    <mergeCell ref="E2217:F2217"/>
    <mergeCell ref="A2266:G2266"/>
    <mergeCell ref="A2267:B2267"/>
    <mergeCell ref="E2270:F2270"/>
    <mergeCell ref="A2271:B2271"/>
    <mergeCell ref="E2274:F2274"/>
    <mergeCell ref="A2258:G2258"/>
    <mergeCell ref="A2259:B2259"/>
    <mergeCell ref="E2263:F2263"/>
    <mergeCell ref="E2264:F2264"/>
    <mergeCell ref="C2265:D2265"/>
    <mergeCell ref="E2251:F2251"/>
    <mergeCell ref="A2252:B2252"/>
    <mergeCell ref="E2255:F2255"/>
    <mergeCell ref="E2256:F2256"/>
    <mergeCell ref="C2257:D2257"/>
    <mergeCell ref="E2242:F2242"/>
    <mergeCell ref="E2243:F2243"/>
    <mergeCell ref="C2244:D2244"/>
    <mergeCell ref="A2245:G2245"/>
    <mergeCell ref="A2246:B2246"/>
    <mergeCell ref="C2296:D2296"/>
    <mergeCell ref="A2297:G2297"/>
    <mergeCell ref="A2298:B2298"/>
    <mergeCell ref="E2301:F2301"/>
    <mergeCell ref="A2302:B2302"/>
    <mergeCell ref="A2289:B2289"/>
    <mergeCell ref="E2291:F2291"/>
    <mergeCell ref="A2292:B2292"/>
    <mergeCell ref="E2294:F2294"/>
    <mergeCell ref="E2295:F2295"/>
    <mergeCell ref="A2282:B2282"/>
    <mergeCell ref="E2285:F2285"/>
    <mergeCell ref="E2286:F2286"/>
    <mergeCell ref="C2287:D2287"/>
    <mergeCell ref="A2288:G2288"/>
    <mergeCell ref="E2275:F2275"/>
    <mergeCell ref="C2276:D2276"/>
    <mergeCell ref="A2277:G2277"/>
    <mergeCell ref="A2278:B2278"/>
    <mergeCell ref="E2281:F2281"/>
    <mergeCell ref="A2328:G2328"/>
    <mergeCell ref="A2329:B2329"/>
    <mergeCell ref="E2332:F2332"/>
    <mergeCell ref="A2333:B2333"/>
    <mergeCell ref="E2336:F2336"/>
    <mergeCell ref="E2321:F2321"/>
    <mergeCell ref="A2322:B2322"/>
    <mergeCell ref="E2325:F2325"/>
    <mergeCell ref="E2326:F2326"/>
    <mergeCell ref="C2327:D2327"/>
    <mergeCell ref="E2314:F2314"/>
    <mergeCell ref="E2315:F2315"/>
    <mergeCell ref="C2316:D2316"/>
    <mergeCell ref="A2317:G2317"/>
    <mergeCell ref="A2318:B2318"/>
    <mergeCell ref="E2305:F2305"/>
    <mergeCell ref="E2306:F2306"/>
    <mergeCell ref="C2307:D2307"/>
    <mergeCell ref="A2308:G2308"/>
    <mergeCell ref="A2309:B2309"/>
    <mergeCell ref="C2362:D2362"/>
    <mergeCell ref="A2363:G2363"/>
    <mergeCell ref="A2364:B2364"/>
    <mergeCell ref="E2366:F2366"/>
    <mergeCell ref="E2367:F2367"/>
    <mergeCell ref="A2351:B2351"/>
    <mergeCell ref="E2356:F2356"/>
    <mergeCell ref="A2357:B2357"/>
    <mergeCell ref="E2360:F2360"/>
    <mergeCell ref="E2361:F2361"/>
    <mergeCell ref="A2344:B2344"/>
    <mergeCell ref="E2347:F2347"/>
    <mergeCell ref="E2348:F2348"/>
    <mergeCell ref="C2349:D2349"/>
    <mergeCell ref="A2350:G2350"/>
    <mergeCell ref="E2337:F2337"/>
    <mergeCell ref="C2338:D2338"/>
    <mergeCell ref="A2339:G2339"/>
    <mergeCell ref="A2340:B2340"/>
    <mergeCell ref="E2343:F2343"/>
  </mergeCells>
  <pageMargins left="0" right="0" top="0" bottom="0" header="0" footer="0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P60"/>
  <sheetViews>
    <sheetView tabSelected="1" view="pageBreakPreview" topLeftCell="A48" zoomScale="60" zoomScaleNormal="62" workbookViewId="0">
      <selection activeCell="Q3" sqref="Q3"/>
    </sheetView>
  </sheetViews>
  <sheetFormatPr defaultRowHeight="14.5" x14ac:dyDescent="0.35"/>
  <cols>
    <col min="1" max="1" width="9.26953125" customWidth="1"/>
    <col min="2" max="2" width="34.7265625" customWidth="1"/>
    <col min="3" max="3" width="13.7265625" customWidth="1"/>
    <col min="4" max="7" width="11.81640625" customWidth="1"/>
    <col min="8" max="8" width="10.1796875" customWidth="1"/>
    <col min="9" max="15" width="11.81640625" customWidth="1"/>
    <col min="16" max="16" width="12.1796875" customWidth="1"/>
  </cols>
  <sheetData>
    <row r="1" spans="1:16" ht="102" customHeight="1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16" customHeight="1" x14ac:dyDescent="0.35">
      <c r="A2" s="15" t="s">
        <v>0</v>
      </c>
      <c r="B2" s="15" t="s">
        <v>2</v>
      </c>
      <c r="C2" s="15" t="s">
        <v>1595</v>
      </c>
      <c r="D2" s="15" t="s">
        <v>1596</v>
      </c>
      <c r="E2" s="15" t="s">
        <v>1597</v>
      </c>
      <c r="F2" s="15" t="s">
        <v>1598</v>
      </c>
      <c r="G2" s="15" t="s">
        <v>1599</v>
      </c>
      <c r="H2" s="15" t="s">
        <v>1600</v>
      </c>
      <c r="I2" s="15" t="s">
        <v>1601</v>
      </c>
      <c r="J2" s="15" t="s">
        <v>1602</v>
      </c>
      <c r="K2" s="15" t="s">
        <v>1603</v>
      </c>
      <c r="L2" s="15" t="s">
        <v>1604</v>
      </c>
      <c r="M2" s="15" t="s">
        <v>1605</v>
      </c>
      <c r="N2" s="15" t="s">
        <v>1606</v>
      </c>
      <c r="O2" s="15" t="s">
        <v>1607</v>
      </c>
      <c r="P2" s="16" t="s">
        <v>1608</v>
      </c>
    </row>
    <row r="3" spans="1:16" ht="12" customHeight="1" x14ac:dyDescent="0.35">
      <c r="A3" s="65" t="s">
        <v>10</v>
      </c>
      <c r="B3" s="66" t="s">
        <v>11</v>
      </c>
      <c r="C3" s="68">
        <v>19203.23</v>
      </c>
      <c r="D3" s="17">
        <v>1</v>
      </c>
      <c r="E3" s="18"/>
      <c r="F3" s="18"/>
      <c r="G3" s="18"/>
      <c r="H3" s="19"/>
      <c r="I3" s="18"/>
      <c r="J3" s="18"/>
      <c r="K3" s="18"/>
      <c r="L3" s="18"/>
      <c r="M3" s="18"/>
      <c r="N3" s="18"/>
      <c r="O3" s="18"/>
      <c r="P3" s="20">
        <v>1</v>
      </c>
    </row>
    <row r="4" spans="1:16" ht="13" customHeight="1" x14ac:dyDescent="0.35">
      <c r="A4" s="65"/>
      <c r="B4" s="66"/>
      <c r="C4" s="69"/>
      <c r="D4" s="21">
        <f>C3</f>
        <v>19203.23</v>
      </c>
      <c r="E4" s="22"/>
      <c r="F4" s="22"/>
      <c r="G4" s="22"/>
      <c r="H4" s="23"/>
      <c r="I4" s="22"/>
      <c r="J4" s="22"/>
      <c r="K4" s="22"/>
      <c r="L4" s="22"/>
      <c r="M4" s="22"/>
      <c r="N4" s="22"/>
      <c r="O4" s="22"/>
      <c r="P4" s="24">
        <f>D4</f>
        <v>19203.23</v>
      </c>
    </row>
    <row r="5" spans="1:16" ht="12" customHeight="1" x14ac:dyDescent="0.35">
      <c r="A5" s="65" t="s">
        <v>26</v>
      </c>
      <c r="B5" s="66" t="s">
        <v>27</v>
      </c>
      <c r="C5" s="67">
        <v>16685.86</v>
      </c>
      <c r="D5" s="17">
        <v>1</v>
      </c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20">
        <v>1</v>
      </c>
    </row>
    <row r="6" spans="1:16" ht="13" customHeight="1" x14ac:dyDescent="0.35">
      <c r="A6" s="65"/>
      <c r="B6" s="66"/>
      <c r="C6" s="67"/>
      <c r="D6" s="21">
        <f>C5</f>
        <v>16685.86</v>
      </c>
      <c r="E6" s="22"/>
      <c r="F6" s="22"/>
      <c r="G6" s="22"/>
      <c r="H6" s="23"/>
      <c r="I6" s="22"/>
      <c r="J6" s="22"/>
      <c r="K6" s="22"/>
      <c r="L6" s="22"/>
      <c r="M6" s="22"/>
      <c r="N6" s="22"/>
      <c r="O6" s="22"/>
      <c r="P6" s="24">
        <f>D6</f>
        <v>16685.86</v>
      </c>
    </row>
    <row r="7" spans="1:16" ht="12" customHeight="1" x14ac:dyDescent="0.35">
      <c r="A7" s="65" t="s">
        <v>39</v>
      </c>
      <c r="B7" s="66" t="s">
        <v>40</v>
      </c>
      <c r="C7" s="67">
        <v>37991.85</v>
      </c>
      <c r="D7" s="17">
        <v>0.33329999999999999</v>
      </c>
      <c r="E7" s="17">
        <v>0.33329999999999999</v>
      </c>
      <c r="F7" s="17">
        <v>0.33340000000000003</v>
      </c>
      <c r="G7" s="18"/>
      <c r="H7" s="19"/>
      <c r="I7" s="18"/>
      <c r="J7" s="18"/>
      <c r="K7" s="18"/>
      <c r="L7" s="18"/>
      <c r="M7" s="18"/>
      <c r="N7" s="18"/>
      <c r="O7" s="18"/>
      <c r="P7" s="20">
        <v>1</v>
      </c>
    </row>
    <row r="8" spans="1:16" ht="13" customHeight="1" x14ac:dyDescent="0.35">
      <c r="A8" s="65"/>
      <c r="B8" s="66"/>
      <c r="C8" s="67"/>
      <c r="D8" s="21">
        <f>$C$7*D7</f>
        <v>12662.683604999998</v>
      </c>
      <c r="E8" s="21">
        <f t="shared" ref="E8:F8" si="0">$C$7*E7</f>
        <v>12662.683604999998</v>
      </c>
      <c r="F8" s="21">
        <f t="shared" si="0"/>
        <v>12666.48279</v>
      </c>
      <c r="G8" s="22"/>
      <c r="H8" s="23"/>
      <c r="I8" s="22"/>
      <c r="J8" s="22"/>
      <c r="K8" s="22"/>
      <c r="L8" s="22"/>
      <c r="M8" s="22"/>
      <c r="N8" s="22"/>
      <c r="O8" s="22"/>
      <c r="P8" s="24">
        <f>D8+E8+F8</f>
        <v>37991.85</v>
      </c>
    </row>
    <row r="9" spans="1:16" ht="12" customHeight="1" x14ac:dyDescent="0.35">
      <c r="A9" s="65" t="s">
        <v>69</v>
      </c>
      <c r="B9" s="66" t="s">
        <v>70</v>
      </c>
      <c r="C9" s="67">
        <v>42981.69</v>
      </c>
      <c r="D9" s="17">
        <v>0.33329999999999999</v>
      </c>
      <c r="E9" s="17">
        <v>0.33329999999999999</v>
      </c>
      <c r="F9" s="17">
        <v>0.33340000000000003</v>
      </c>
      <c r="G9" s="18"/>
      <c r="H9" s="19"/>
      <c r="I9" s="18"/>
      <c r="J9" s="18"/>
      <c r="K9" s="18"/>
      <c r="L9" s="18"/>
      <c r="M9" s="18"/>
      <c r="N9" s="18"/>
      <c r="O9" s="18"/>
      <c r="P9" s="20">
        <v>1</v>
      </c>
    </row>
    <row r="10" spans="1:16" ht="13" customHeight="1" x14ac:dyDescent="0.35">
      <c r="A10" s="65"/>
      <c r="B10" s="66"/>
      <c r="C10" s="67"/>
      <c r="D10" s="21">
        <f>$C$9*D9</f>
        <v>14325.797277</v>
      </c>
      <c r="E10" s="21">
        <f t="shared" ref="E10:F10" si="1">$C$9*E9</f>
        <v>14325.797277</v>
      </c>
      <c r="F10" s="21">
        <f t="shared" si="1"/>
        <v>14330.095446000001</v>
      </c>
      <c r="G10" s="22"/>
      <c r="H10" s="23"/>
      <c r="I10" s="22"/>
      <c r="J10" s="22"/>
      <c r="K10" s="22"/>
      <c r="L10" s="22"/>
      <c r="M10" s="22"/>
      <c r="N10" s="22"/>
      <c r="O10" s="22"/>
      <c r="P10" s="24">
        <f>SUM(D10:O10)</f>
        <v>42981.69</v>
      </c>
    </row>
    <row r="11" spans="1:16" ht="12" customHeight="1" x14ac:dyDescent="0.35">
      <c r="A11" s="65" t="s">
        <v>81</v>
      </c>
      <c r="B11" s="66" t="s">
        <v>82</v>
      </c>
      <c r="C11" s="67">
        <v>31334.09</v>
      </c>
      <c r="D11" s="18"/>
      <c r="E11" s="18"/>
      <c r="F11" s="17">
        <v>0.5</v>
      </c>
      <c r="G11" s="17">
        <v>0.5</v>
      </c>
      <c r="H11" s="19"/>
      <c r="I11" s="18"/>
      <c r="J11" s="18"/>
      <c r="K11" s="18"/>
      <c r="L11" s="18"/>
      <c r="M11" s="18"/>
      <c r="N11" s="18"/>
      <c r="O11" s="18"/>
      <c r="P11" s="20">
        <v>1</v>
      </c>
    </row>
    <row r="12" spans="1:16" ht="13" customHeight="1" x14ac:dyDescent="0.35">
      <c r="A12" s="65"/>
      <c r="B12" s="66"/>
      <c r="C12" s="67"/>
      <c r="D12" s="22"/>
      <c r="E12" s="22"/>
      <c r="F12" s="21">
        <f>$C$11*F11</f>
        <v>15667.045</v>
      </c>
      <c r="G12" s="21">
        <f>$C$11*G11</f>
        <v>15667.045</v>
      </c>
      <c r="H12" s="23"/>
      <c r="I12" s="22"/>
      <c r="J12" s="22"/>
      <c r="K12" s="22"/>
      <c r="L12" s="22"/>
      <c r="M12" s="22"/>
      <c r="N12" s="22"/>
      <c r="O12" s="22"/>
      <c r="P12" s="24">
        <f>SUM(D12:O12)</f>
        <v>31334.09</v>
      </c>
    </row>
    <row r="13" spans="1:16" ht="12" customHeight="1" x14ac:dyDescent="0.35">
      <c r="A13" s="65" t="s">
        <v>100</v>
      </c>
      <c r="B13" s="66" t="s">
        <v>101</v>
      </c>
      <c r="C13" s="67">
        <v>57860.77</v>
      </c>
      <c r="D13" s="18"/>
      <c r="E13" s="18"/>
      <c r="F13" s="18"/>
      <c r="G13" s="17">
        <v>0.33329999999999999</v>
      </c>
      <c r="H13" s="17">
        <v>0.33329999999999999</v>
      </c>
      <c r="I13" s="17">
        <v>0.33340000000000003</v>
      </c>
      <c r="J13" s="18"/>
      <c r="K13" s="18"/>
      <c r="L13" s="18"/>
      <c r="M13" s="18"/>
      <c r="N13" s="18"/>
      <c r="O13" s="18"/>
      <c r="P13" s="20">
        <v>1</v>
      </c>
    </row>
    <row r="14" spans="1:16" ht="13" customHeight="1" x14ac:dyDescent="0.35">
      <c r="A14" s="65"/>
      <c r="B14" s="66"/>
      <c r="C14" s="67"/>
      <c r="D14" s="22"/>
      <c r="E14" s="22"/>
      <c r="F14" s="22"/>
      <c r="G14" s="21">
        <f>$C$13*G13</f>
        <v>19284.994640999998</v>
      </c>
      <c r="H14" s="21">
        <f t="shared" ref="H14:I14" si="2">$C$13*H13</f>
        <v>19284.994640999998</v>
      </c>
      <c r="I14" s="21">
        <f t="shared" si="2"/>
        <v>19290.780718000002</v>
      </c>
      <c r="J14" s="22"/>
      <c r="K14" s="22"/>
      <c r="L14" s="22"/>
      <c r="M14" s="22"/>
      <c r="N14" s="22"/>
      <c r="O14" s="22"/>
      <c r="P14" s="24">
        <f>SUM(D14:O14)</f>
        <v>57860.77</v>
      </c>
    </row>
    <row r="15" spans="1:16" ht="12" customHeight="1" x14ac:dyDescent="0.35">
      <c r="A15" s="65" t="s">
        <v>117</v>
      </c>
      <c r="B15" s="66" t="s">
        <v>118</v>
      </c>
      <c r="C15" s="67">
        <v>6412.46</v>
      </c>
      <c r="D15" s="18"/>
      <c r="E15" s="18"/>
      <c r="F15" s="18"/>
      <c r="G15" s="17">
        <v>0.5</v>
      </c>
      <c r="H15" s="17">
        <v>0.5</v>
      </c>
      <c r="I15" s="18"/>
      <c r="J15" s="18"/>
      <c r="K15" s="18"/>
      <c r="L15" s="18"/>
      <c r="M15" s="18"/>
      <c r="N15" s="18"/>
      <c r="O15" s="18"/>
      <c r="P15" s="20">
        <v>1</v>
      </c>
    </row>
    <row r="16" spans="1:16" ht="13" customHeight="1" x14ac:dyDescent="0.35">
      <c r="A16" s="65"/>
      <c r="B16" s="66"/>
      <c r="C16" s="67"/>
      <c r="D16" s="22"/>
      <c r="E16" s="22"/>
      <c r="F16" s="22"/>
      <c r="G16" s="21">
        <f>$C$15*G15</f>
        <v>3206.23</v>
      </c>
      <c r="H16" s="21">
        <f>$C$15*H15</f>
        <v>3206.23</v>
      </c>
      <c r="I16" s="22"/>
      <c r="J16" s="22"/>
      <c r="K16" s="22"/>
      <c r="L16" s="22"/>
      <c r="M16" s="22"/>
      <c r="N16" s="22"/>
      <c r="O16" s="22"/>
      <c r="P16" s="24">
        <f>SUM(D16:O16)</f>
        <v>6412.46</v>
      </c>
    </row>
    <row r="17" spans="1:16" ht="12" customHeight="1" x14ac:dyDescent="0.35">
      <c r="A17" s="65" t="s">
        <v>128</v>
      </c>
      <c r="B17" s="66" t="s">
        <v>129</v>
      </c>
      <c r="C17" s="67">
        <v>90756.07</v>
      </c>
      <c r="D17" s="18"/>
      <c r="E17" s="18"/>
      <c r="F17" s="18"/>
      <c r="G17" s="18"/>
      <c r="H17" s="19"/>
      <c r="I17" s="18"/>
      <c r="J17" s="17">
        <v>0.25</v>
      </c>
      <c r="K17" s="17">
        <v>0.25</v>
      </c>
      <c r="L17" s="17">
        <v>0.25</v>
      </c>
      <c r="M17" s="17">
        <v>0.25</v>
      </c>
      <c r="N17" s="18"/>
      <c r="O17" s="18"/>
      <c r="P17" s="20">
        <v>1</v>
      </c>
    </row>
    <row r="18" spans="1:16" ht="13" customHeight="1" x14ac:dyDescent="0.35">
      <c r="A18" s="65"/>
      <c r="B18" s="66"/>
      <c r="C18" s="67"/>
      <c r="D18" s="22"/>
      <c r="E18" s="22"/>
      <c r="F18" s="22"/>
      <c r="G18" s="22"/>
      <c r="H18" s="23"/>
      <c r="I18" s="22"/>
      <c r="J18" s="21">
        <f>$C$17*J17</f>
        <v>22689.017500000002</v>
      </c>
      <c r="K18" s="21">
        <f t="shared" ref="K18:M18" si="3">$C$17*K17</f>
        <v>22689.017500000002</v>
      </c>
      <c r="L18" s="21">
        <f t="shared" si="3"/>
        <v>22689.017500000002</v>
      </c>
      <c r="M18" s="21">
        <f t="shared" si="3"/>
        <v>22689.017500000002</v>
      </c>
      <c r="N18" s="22"/>
      <c r="O18" s="22"/>
      <c r="P18" s="24">
        <f>SUM(D18:O18)</f>
        <v>90756.07</v>
      </c>
    </row>
    <row r="19" spans="1:16" ht="12" customHeight="1" x14ac:dyDescent="0.35">
      <c r="A19" s="65" t="s">
        <v>139</v>
      </c>
      <c r="B19" s="66" t="s">
        <v>140</v>
      </c>
      <c r="C19" s="67">
        <v>7097.13</v>
      </c>
      <c r="D19" s="18"/>
      <c r="E19" s="18"/>
      <c r="F19" s="18"/>
      <c r="G19" s="17">
        <v>1</v>
      </c>
      <c r="H19" s="19"/>
      <c r="I19" s="18"/>
      <c r="J19" s="18"/>
      <c r="K19" s="18"/>
      <c r="L19" s="18"/>
      <c r="M19" s="18"/>
      <c r="N19" s="18"/>
      <c r="O19" s="18"/>
      <c r="P19" s="20">
        <v>1</v>
      </c>
    </row>
    <row r="20" spans="1:16" ht="13" customHeight="1" x14ac:dyDescent="0.35">
      <c r="A20" s="65"/>
      <c r="B20" s="66"/>
      <c r="C20" s="67"/>
      <c r="D20" s="22"/>
      <c r="E20" s="22"/>
      <c r="F20" s="22"/>
      <c r="G20" s="21">
        <f>C19</f>
        <v>7097.13</v>
      </c>
      <c r="H20" s="23"/>
      <c r="I20" s="22"/>
      <c r="J20" s="22"/>
      <c r="K20" s="22"/>
      <c r="L20" s="22"/>
      <c r="M20" s="22"/>
      <c r="N20" s="22"/>
      <c r="O20" s="22"/>
      <c r="P20" s="24">
        <f>SUM(D20:O20)</f>
        <v>7097.13</v>
      </c>
    </row>
    <row r="21" spans="1:16" ht="12" customHeight="1" x14ac:dyDescent="0.35">
      <c r="A21" s="65" t="s">
        <v>144</v>
      </c>
      <c r="B21" s="66" t="s">
        <v>145</v>
      </c>
      <c r="C21" s="67">
        <v>121905.32</v>
      </c>
      <c r="D21" s="18"/>
      <c r="E21" s="18"/>
      <c r="F21" s="17">
        <v>0.25</v>
      </c>
      <c r="G21" s="17">
        <v>0.25</v>
      </c>
      <c r="H21" s="17">
        <v>0.25</v>
      </c>
      <c r="I21" s="17">
        <v>0.25</v>
      </c>
      <c r="J21" s="18"/>
      <c r="K21" s="18"/>
      <c r="L21" s="18"/>
      <c r="M21" s="18"/>
      <c r="N21" s="18"/>
      <c r="O21" s="18"/>
      <c r="P21" s="20">
        <v>1</v>
      </c>
    </row>
    <row r="22" spans="1:16" ht="13" customHeight="1" x14ac:dyDescent="0.35">
      <c r="A22" s="65"/>
      <c r="B22" s="66"/>
      <c r="C22" s="67"/>
      <c r="D22" s="22"/>
      <c r="E22" s="22"/>
      <c r="F22" s="21">
        <f>$C$21*F21</f>
        <v>30476.33</v>
      </c>
      <c r="G22" s="21">
        <f t="shared" ref="G22:I22" si="4">$C$21*G21</f>
        <v>30476.33</v>
      </c>
      <c r="H22" s="21">
        <f t="shared" si="4"/>
        <v>30476.33</v>
      </c>
      <c r="I22" s="21">
        <f t="shared" si="4"/>
        <v>30476.33</v>
      </c>
      <c r="J22" s="22"/>
      <c r="K22" s="22"/>
      <c r="L22" s="22"/>
      <c r="M22" s="22"/>
      <c r="N22" s="22"/>
      <c r="O22" s="22"/>
      <c r="P22" s="24">
        <f>SUM(D22:O22)</f>
        <v>121905.32</v>
      </c>
    </row>
    <row r="23" spans="1:16" ht="12" customHeight="1" x14ac:dyDescent="0.35">
      <c r="A23" s="65" t="s">
        <v>155</v>
      </c>
      <c r="B23" s="66" t="s">
        <v>156</v>
      </c>
      <c r="C23" s="67">
        <v>37705.730000000003</v>
      </c>
      <c r="D23" s="18"/>
      <c r="E23" s="18"/>
      <c r="F23" s="18"/>
      <c r="G23" s="18"/>
      <c r="H23" s="19"/>
      <c r="I23" s="18"/>
      <c r="J23" s="18"/>
      <c r="K23" s="18"/>
      <c r="L23" s="17">
        <v>1</v>
      </c>
      <c r="M23" s="18"/>
      <c r="N23" s="18"/>
      <c r="O23" s="18"/>
      <c r="P23" s="20">
        <v>1</v>
      </c>
    </row>
    <row r="24" spans="1:16" ht="13" customHeight="1" x14ac:dyDescent="0.35">
      <c r="A24" s="65"/>
      <c r="B24" s="66"/>
      <c r="C24" s="67"/>
      <c r="D24" s="22"/>
      <c r="E24" s="22"/>
      <c r="F24" s="22"/>
      <c r="G24" s="22"/>
      <c r="H24" s="23"/>
      <c r="I24" s="22"/>
      <c r="J24" s="22"/>
      <c r="K24" s="22"/>
      <c r="L24" s="21">
        <f>C23</f>
        <v>37705.730000000003</v>
      </c>
      <c r="M24" s="22"/>
      <c r="N24" s="22"/>
      <c r="O24" s="22"/>
      <c r="P24" s="24">
        <f>SUM(D24:O24)</f>
        <v>37705.730000000003</v>
      </c>
    </row>
    <row r="25" spans="1:16" ht="12" customHeight="1" x14ac:dyDescent="0.35">
      <c r="A25" s="65" t="s">
        <v>165</v>
      </c>
      <c r="B25" s="66" t="s">
        <v>166</v>
      </c>
      <c r="C25" s="67">
        <v>11476.42</v>
      </c>
      <c r="D25" s="18"/>
      <c r="E25" s="18"/>
      <c r="F25" s="18"/>
      <c r="G25" s="18"/>
      <c r="H25" s="19"/>
      <c r="I25" s="18"/>
      <c r="J25" s="18"/>
      <c r="K25" s="18"/>
      <c r="L25" s="17">
        <v>1</v>
      </c>
      <c r="M25" s="18"/>
      <c r="N25" s="18"/>
      <c r="O25" s="18"/>
      <c r="P25" s="20">
        <v>1</v>
      </c>
    </row>
    <row r="26" spans="1:16" ht="13" customHeight="1" x14ac:dyDescent="0.35">
      <c r="A26" s="65"/>
      <c r="B26" s="66"/>
      <c r="C26" s="67"/>
      <c r="D26" s="22"/>
      <c r="E26" s="22"/>
      <c r="F26" s="22"/>
      <c r="G26" s="22"/>
      <c r="H26" s="23"/>
      <c r="I26" s="22"/>
      <c r="J26" s="22"/>
      <c r="K26" s="22"/>
      <c r="L26" s="21">
        <f>C25</f>
        <v>11476.42</v>
      </c>
      <c r="M26" s="22"/>
      <c r="N26" s="22"/>
      <c r="O26" s="22"/>
      <c r="P26" s="24">
        <f>SUM(D26:O26)</f>
        <v>11476.42</v>
      </c>
    </row>
    <row r="27" spans="1:16" ht="12" customHeight="1" x14ac:dyDescent="0.35">
      <c r="A27" s="65" t="s">
        <v>170</v>
      </c>
      <c r="B27" s="66" t="s">
        <v>171</v>
      </c>
      <c r="C27" s="67">
        <v>38993</v>
      </c>
      <c r="D27" s="18"/>
      <c r="E27" s="18"/>
      <c r="F27" s="18"/>
      <c r="G27" s="18"/>
      <c r="H27" s="19"/>
      <c r="I27" s="18"/>
      <c r="J27" s="18"/>
      <c r="K27" s="18"/>
      <c r="L27" s="17">
        <v>0.5</v>
      </c>
      <c r="M27" s="17">
        <v>0.5</v>
      </c>
      <c r="N27" s="18"/>
      <c r="O27" s="18"/>
      <c r="P27" s="20">
        <v>1</v>
      </c>
    </row>
    <row r="28" spans="1:16" ht="13" customHeight="1" x14ac:dyDescent="0.35">
      <c r="A28" s="65"/>
      <c r="B28" s="66"/>
      <c r="C28" s="67"/>
      <c r="D28" s="22"/>
      <c r="E28" s="22"/>
      <c r="F28" s="22"/>
      <c r="G28" s="22"/>
      <c r="H28" s="23"/>
      <c r="I28" s="22"/>
      <c r="J28" s="22"/>
      <c r="K28" s="22"/>
      <c r="L28" s="21">
        <f>$C$27*L27</f>
        <v>19496.5</v>
      </c>
      <c r="M28" s="21">
        <f>$C$27*M27</f>
        <v>19496.5</v>
      </c>
      <c r="N28" s="22"/>
      <c r="O28" s="22"/>
      <c r="P28" s="24">
        <f>SUM(D28:O28)</f>
        <v>38993</v>
      </c>
    </row>
    <row r="29" spans="1:16" ht="12" customHeight="1" x14ac:dyDescent="0.35">
      <c r="A29" s="65" t="s">
        <v>184</v>
      </c>
      <c r="B29" s="66" t="s">
        <v>185</v>
      </c>
      <c r="C29" s="67">
        <v>61166.59</v>
      </c>
      <c r="D29" s="18"/>
      <c r="E29" s="18"/>
      <c r="F29" s="18"/>
      <c r="G29" s="18"/>
      <c r="H29" s="19"/>
      <c r="I29" s="18"/>
      <c r="J29" s="18"/>
      <c r="K29" s="18"/>
      <c r="L29" s="17">
        <v>0.25</v>
      </c>
      <c r="M29" s="17">
        <v>0.25</v>
      </c>
      <c r="N29" s="17">
        <v>0.25</v>
      </c>
      <c r="O29" s="17">
        <v>0.25</v>
      </c>
      <c r="P29" s="20">
        <v>1</v>
      </c>
    </row>
    <row r="30" spans="1:16" ht="13" customHeight="1" x14ac:dyDescent="0.35">
      <c r="A30" s="65"/>
      <c r="B30" s="66"/>
      <c r="C30" s="67"/>
      <c r="D30" s="22"/>
      <c r="E30" s="22"/>
      <c r="F30" s="22"/>
      <c r="G30" s="22"/>
      <c r="H30" s="23"/>
      <c r="I30" s="22"/>
      <c r="J30" s="22"/>
      <c r="K30" s="22"/>
      <c r="L30" s="21">
        <f>$C$29*L29</f>
        <v>15291.647499999999</v>
      </c>
      <c r="M30" s="21">
        <f t="shared" ref="M30:O30" si="5">$C$29*M29</f>
        <v>15291.647499999999</v>
      </c>
      <c r="N30" s="21">
        <f t="shared" si="5"/>
        <v>15291.647499999999</v>
      </c>
      <c r="O30" s="21">
        <f t="shared" si="5"/>
        <v>15291.647499999999</v>
      </c>
      <c r="P30" s="24">
        <f>SUM(D30:O30)</f>
        <v>61166.59</v>
      </c>
    </row>
    <row r="31" spans="1:16" ht="12" customHeight="1" x14ac:dyDescent="0.35">
      <c r="A31" s="65" t="s">
        <v>195</v>
      </c>
      <c r="B31" s="66" t="s">
        <v>196</v>
      </c>
      <c r="C31" s="67">
        <v>11304.6</v>
      </c>
      <c r="D31" s="18"/>
      <c r="E31" s="18"/>
      <c r="F31" s="18"/>
      <c r="G31" s="18"/>
      <c r="H31" s="19"/>
      <c r="I31" s="18"/>
      <c r="J31" s="18"/>
      <c r="K31" s="17">
        <v>0.5</v>
      </c>
      <c r="L31" s="17">
        <v>0.5</v>
      </c>
      <c r="M31" s="18"/>
      <c r="N31" s="18"/>
      <c r="O31" s="18"/>
      <c r="P31" s="20">
        <v>1</v>
      </c>
    </row>
    <row r="32" spans="1:16" ht="13" customHeight="1" x14ac:dyDescent="0.35">
      <c r="A32" s="65"/>
      <c r="B32" s="66"/>
      <c r="C32" s="67"/>
      <c r="D32" s="22"/>
      <c r="E32" s="22"/>
      <c r="F32" s="22"/>
      <c r="G32" s="22"/>
      <c r="H32" s="23"/>
      <c r="I32" s="22"/>
      <c r="J32" s="22"/>
      <c r="K32" s="21">
        <f>$C$31*K31</f>
        <v>5652.3</v>
      </c>
      <c r="L32" s="21">
        <f>$C$31*L31</f>
        <v>5652.3</v>
      </c>
      <c r="M32" s="22"/>
      <c r="N32" s="22"/>
      <c r="O32" s="22"/>
      <c r="P32" s="24">
        <f>SUM(D32:O32)</f>
        <v>11304.6</v>
      </c>
    </row>
    <row r="33" spans="1:16" ht="12" customHeight="1" x14ac:dyDescent="0.35">
      <c r="A33" s="65" t="s">
        <v>203</v>
      </c>
      <c r="B33" s="66" t="s">
        <v>204</v>
      </c>
      <c r="C33" s="67">
        <v>132141.35</v>
      </c>
      <c r="D33" s="18"/>
      <c r="E33" s="18"/>
      <c r="F33" s="18"/>
      <c r="G33" s="17">
        <v>0.25</v>
      </c>
      <c r="H33" s="17">
        <v>0.25</v>
      </c>
      <c r="I33" s="17">
        <v>0.25</v>
      </c>
      <c r="J33" s="17">
        <v>0.25</v>
      </c>
      <c r="K33" s="18"/>
      <c r="L33" s="18"/>
      <c r="M33" s="18"/>
      <c r="N33" s="18"/>
      <c r="O33" s="18"/>
      <c r="P33" s="20">
        <v>1</v>
      </c>
    </row>
    <row r="34" spans="1:16" ht="13" customHeight="1" x14ac:dyDescent="0.35">
      <c r="A34" s="65"/>
      <c r="B34" s="66"/>
      <c r="C34" s="67"/>
      <c r="D34" s="22"/>
      <c r="E34" s="22"/>
      <c r="F34" s="22"/>
      <c r="G34" s="21">
        <f>$C$33*G33</f>
        <v>33035.337500000001</v>
      </c>
      <c r="H34" s="21">
        <f t="shared" ref="H34:J34" si="6">$C$33*H33</f>
        <v>33035.337500000001</v>
      </c>
      <c r="I34" s="21">
        <f t="shared" si="6"/>
        <v>33035.337500000001</v>
      </c>
      <c r="J34" s="21">
        <f t="shared" si="6"/>
        <v>33035.337500000001</v>
      </c>
      <c r="K34" s="22"/>
      <c r="L34" s="22"/>
      <c r="M34" s="22"/>
      <c r="N34" s="22"/>
      <c r="O34" s="22"/>
      <c r="P34" s="24">
        <f>SUM(D34:O34)</f>
        <v>132141.35</v>
      </c>
    </row>
    <row r="35" spans="1:16" ht="12" customHeight="1" x14ac:dyDescent="0.35">
      <c r="A35" s="65" t="s">
        <v>231</v>
      </c>
      <c r="B35" s="66" t="s">
        <v>232</v>
      </c>
      <c r="C35" s="67">
        <v>99275.54</v>
      </c>
      <c r="D35" s="18"/>
      <c r="E35" s="18"/>
      <c r="F35" s="18"/>
      <c r="G35" s="18"/>
      <c r="H35" s="17">
        <v>0.25</v>
      </c>
      <c r="I35" s="17">
        <v>0.25</v>
      </c>
      <c r="J35" s="17">
        <v>0.25</v>
      </c>
      <c r="K35" s="17">
        <v>0.25</v>
      </c>
      <c r="L35" s="18"/>
      <c r="M35" s="18"/>
      <c r="N35" s="18"/>
      <c r="O35" s="18"/>
      <c r="P35" s="20">
        <v>1</v>
      </c>
    </row>
    <row r="36" spans="1:16" ht="13" customHeight="1" x14ac:dyDescent="0.35">
      <c r="A36" s="65"/>
      <c r="B36" s="66"/>
      <c r="C36" s="67"/>
      <c r="D36" s="22"/>
      <c r="E36" s="22"/>
      <c r="F36" s="22"/>
      <c r="G36" s="22"/>
      <c r="H36" s="21">
        <f>$C$35*H35</f>
        <v>24818.884999999998</v>
      </c>
      <c r="I36" s="21">
        <f t="shared" ref="I36:K36" si="7">$C$35*I35</f>
        <v>24818.884999999998</v>
      </c>
      <c r="J36" s="21">
        <f t="shared" si="7"/>
        <v>24818.884999999998</v>
      </c>
      <c r="K36" s="21">
        <f t="shared" si="7"/>
        <v>24818.884999999998</v>
      </c>
      <c r="L36" s="22"/>
      <c r="M36" s="22"/>
      <c r="N36" s="22"/>
      <c r="O36" s="22"/>
      <c r="P36" s="24">
        <f>SUM(D36:O36)</f>
        <v>99275.54</v>
      </c>
    </row>
    <row r="37" spans="1:16" ht="12" customHeight="1" x14ac:dyDescent="0.35">
      <c r="A37" s="65" t="s">
        <v>262</v>
      </c>
      <c r="B37" s="66" t="s">
        <v>263</v>
      </c>
      <c r="C37" s="67">
        <v>1269.6400000000001</v>
      </c>
      <c r="D37" s="18"/>
      <c r="E37" s="18"/>
      <c r="F37" s="18"/>
      <c r="G37" s="18"/>
      <c r="H37" s="19"/>
      <c r="I37" s="18"/>
      <c r="J37" s="17">
        <v>1</v>
      </c>
      <c r="K37" s="18"/>
      <c r="L37" s="18"/>
      <c r="M37" s="18"/>
      <c r="N37" s="18"/>
      <c r="O37" s="18"/>
      <c r="P37" s="20">
        <v>1</v>
      </c>
    </row>
    <row r="38" spans="1:16" ht="13" customHeight="1" x14ac:dyDescent="0.35">
      <c r="A38" s="65"/>
      <c r="B38" s="66"/>
      <c r="C38" s="67"/>
      <c r="D38" s="22"/>
      <c r="E38" s="22"/>
      <c r="F38" s="22"/>
      <c r="G38" s="22"/>
      <c r="H38" s="23"/>
      <c r="I38" s="22"/>
      <c r="J38" s="21">
        <f>C37</f>
        <v>1269.6400000000001</v>
      </c>
      <c r="K38" s="22"/>
      <c r="L38" s="22"/>
      <c r="M38" s="22"/>
      <c r="N38" s="22"/>
      <c r="O38" s="22"/>
      <c r="P38" s="24">
        <f>SUM(D38:O38)</f>
        <v>1269.6400000000001</v>
      </c>
    </row>
    <row r="39" spans="1:16" ht="12" customHeight="1" x14ac:dyDescent="0.35">
      <c r="A39" s="65" t="s">
        <v>273</v>
      </c>
      <c r="B39" s="66" t="s">
        <v>274</v>
      </c>
      <c r="C39" s="67">
        <v>46153.18</v>
      </c>
      <c r="D39" s="18"/>
      <c r="E39" s="18"/>
      <c r="F39" s="18"/>
      <c r="G39" s="18"/>
      <c r="H39" s="19"/>
      <c r="I39" s="18"/>
      <c r="J39" s="18"/>
      <c r="K39" s="18"/>
      <c r="L39" s="17">
        <v>0.33329999999999999</v>
      </c>
      <c r="M39" s="17">
        <v>0.33329999999999999</v>
      </c>
      <c r="N39" s="17">
        <v>0.33340000000000003</v>
      </c>
      <c r="O39" s="18"/>
      <c r="P39" s="20">
        <v>1</v>
      </c>
    </row>
    <row r="40" spans="1:16" ht="13" customHeight="1" x14ac:dyDescent="0.35">
      <c r="A40" s="65"/>
      <c r="B40" s="66"/>
      <c r="C40" s="67"/>
      <c r="D40" s="22"/>
      <c r="E40" s="22"/>
      <c r="F40" s="22"/>
      <c r="G40" s="22"/>
      <c r="H40" s="23"/>
      <c r="I40" s="22"/>
      <c r="J40" s="22"/>
      <c r="K40" s="22"/>
      <c r="L40" s="21">
        <f>$C$39*L39</f>
        <v>15382.854894</v>
      </c>
      <c r="M40" s="21">
        <f t="shared" ref="M40:N40" si="8">$C$39*M39</f>
        <v>15382.854894</v>
      </c>
      <c r="N40" s="21">
        <f t="shared" si="8"/>
        <v>15387.470212000002</v>
      </c>
      <c r="O40" s="22"/>
      <c r="P40" s="24">
        <f>SUM(D40:O40)</f>
        <v>46153.18</v>
      </c>
    </row>
    <row r="41" spans="1:16" ht="12" customHeight="1" x14ac:dyDescent="0.35">
      <c r="A41" s="65" t="s">
        <v>293</v>
      </c>
      <c r="B41" s="66" t="s">
        <v>294</v>
      </c>
      <c r="C41" s="67">
        <v>53922.93</v>
      </c>
      <c r="D41" s="18"/>
      <c r="E41" s="18"/>
      <c r="F41" s="18"/>
      <c r="G41" s="18"/>
      <c r="H41" s="19"/>
      <c r="I41" s="17">
        <v>0.33329999999999999</v>
      </c>
      <c r="J41" s="17">
        <v>0.33329999999999999</v>
      </c>
      <c r="K41" s="17">
        <v>0.33340000000000003</v>
      </c>
      <c r="L41" s="18"/>
      <c r="M41" s="18"/>
      <c r="N41" s="18"/>
      <c r="O41" s="18"/>
      <c r="P41" s="20">
        <v>1</v>
      </c>
    </row>
    <row r="42" spans="1:16" ht="13" customHeight="1" x14ac:dyDescent="0.35">
      <c r="A42" s="65"/>
      <c r="B42" s="66"/>
      <c r="C42" s="67"/>
      <c r="D42" s="22"/>
      <c r="E42" s="22"/>
      <c r="F42" s="22"/>
      <c r="G42" s="22"/>
      <c r="H42" s="23"/>
      <c r="I42" s="21">
        <f>$C$41*I41</f>
        <v>17972.512568999999</v>
      </c>
      <c r="J42" s="21">
        <f t="shared" ref="J42:K42" si="9">$C$41*J41</f>
        <v>17972.512568999999</v>
      </c>
      <c r="K42" s="21">
        <f t="shared" si="9"/>
        <v>17977.904862000003</v>
      </c>
      <c r="L42" s="22"/>
      <c r="M42" s="22"/>
      <c r="N42" s="22"/>
      <c r="O42" s="22"/>
      <c r="P42" s="24">
        <f>SUM(D42:O42)</f>
        <v>53922.93</v>
      </c>
    </row>
    <row r="43" spans="1:16" ht="12" customHeight="1" x14ac:dyDescent="0.35">
      <c r="A43" s="65" t="s">
        <v>434</v>
      </c>
      <c r="B43" s="66" t="s">
        <v>435</v>
      </c>
      <c r="C43" s="67">
        <v>25909.45</v>
      </c>
      <c r="D43" s="18"/>
      <c r="E43" s="18"/>
      <c r="F43" s="18"/>
      <c r="G43" s="18"/>
      <c r="H43" s="19"/>
      <c r="I43" s="17">
        <v>0.33329999999999999</v>
      </c>
      <c r="J43" s="17">
        <v>0.33329999999999999</v>
      </c>
      <c r="K43" s="17">
        <v>0.33340000000000003</v>
      </c>
      <c r="L43" s="18"/>
      <c r="M43" s="18"/>
      <c r="N43" s="18"/>
      <c r="O43" s="18"/>
      <c r="P43" s="20">
        <v>1</v>
      </c>
    </row>
    <row r="44" spans="1:16" ht="13" customHeight="1" x14ac:dyDescent="0.35">
      <c r="A44" s="65"/>
      <c r="B44" s="66"/>
      <c r="C44" s="67"/>
      <c r="D44" s="22"/>
      <c r="E44" s="22"/>
      <c r="F44" s="22"/>
      <c r="G44" s="22"/>
      <c r="H44" s="23"/>
      <c r="I44" s="21">
        <f>$C$43*I43</f>
        <v>8635.6196849999997</v>
      </c>
      <c r="J44" s="21">
        <f t="shared" ref="J44:K44" si="10">$C$43*J43</f>
        <v>8635.6196849999997</v>
      </c>
      <c r="K44" s="21">
        <f t="shared" si="10"/>
        <v>8638.2106300000014</v>
      </c>
      <c r="L44" s="22"/>
      <c r="M44" s="22"/>
      <c r="N44" s="22"/>
      <c r="O44" s="22"/>
      <c r="P44" s="24">
        <f>SUM(D44:O44)</f>
        <v>25909.45</v>
      </c>
    </row>
    <row r="45" spans="1:16" ht="12" customHeight="1" x14ac:dyDescent="0.35">
      <c r="A45" s="65" t="s">
        <v>551</v>
      </c>
      <c r="B45" s="66" t="s">
        <v>552</v>
      </c>
      <c r="C45" s="67">
        <v>9016.69</v>
      </c>
      <c r="D45" s="18"/>
      <c r="E45" s="18"/>
      <c r="F45" s="18"/>
      <c r="G45" s="18"/>
      <c r="H45" s="19"/>
      <c r="I45" s="18"/>
      <c r="J45" s="18"/>
      <c r="K45" s="18"/>
      <c r="L45" s="18"/>
      <c r="M45" s="18"/>
      <c r="N45" s="17">
        <v>1</v>
      </c>
      <c r="O45" s="18"/>
      <c r="P45" s="20">
        <v>1</v>
      </c>
    </row>
    <row r="46" spans="1:16" ht="13" customHeight="1" x14ac:dyDescent="0.35">
      <c r="A46" s="65"/>
      <c r="B46" s="66"/>
      <c r="C46" s="67"/>
      <c r="D46" s="22"/>
      <c r="E46" s="22"/>
      <c r="F46" s="22"/>
      <c r="G46" s="22"/>
      <c r="H46" s="23"/>
      <c r="I46" s="22"/>
      <c r="J46" s="22"/>
      <c r="K46" s="22"/>
      <c r="L46" s="22"/>
      <c r="M46" s="22"/>
      <c r="N46" s="21">
        <f>C45</f>
        <v>9016.69</v>
      </c>
      <c r="O46" s="22"/>
      <c r="P46" s="24">
        <f>SUM(D46:O46)</f>
        <v>9016.69</v>
      </c>
    </row>
    <row r="47" spans="1:16" ht="12" customHeight="1" x14ac:dyDescent="0.35">
      <c r="A47" s="65" t="s">
        <v>622</v>
      </c>
      <c r="B47" s="66" t="s">
        <v>623</v>
      </c>
      <c r="C47" s="67">
        <v>13723.78</v>
      </c>
      <c r="D47" s="18"/>
      <c r="E47" s="18"/>
      <c r="F47" s="18"/>
      <c r="G47" s="18"/>
      <c r="H47" s="19"/>
      <c r="I47" s="18"/>
      <c r="J47" s="18"/>
      <c r="K47" s="18"/>
      <c r="L47" s="18"/>
      <c r="M47" s="18"/>
      <c r="N47" s="18"/>
      <c r="O47" s="17">
        <v>1</v>
      </c>
      <c r="P47" s="20">
        <v>1</v>
      </c>
    </row>
    <row r="48" spans="1:16" ht="13" customHeight="1" x14ac:dyDescent="0.35">
      <c r="A48" s="65"/>
      <c r="B48" s="66"/>
      <c r="C48" s="67"/>
      <c r="D48" s="22"/>
      <c r="E48" s="22"/>
      <c r="F48" s="22"/>
      <c r="G48" s="22"/>
      <c r="H48" s="23"/>
      <c r="I48" s="22"/>
      <c r="J48" s="22"/>
      <c r="K48" s="22"/>
      <c r="L48" s="22"/>
      <c r="M48" s="22"/>
      <c r="N48" s="22"/>
      <c r="O48" s="21">
        <f>C47</f>
        <v>13723.78</v>
      </c>
      <c r="P48" s="24">
        <f>SUM(D48:O48)</f>
        <v>13723.78</v>
      </c>
    </row>
    <row r="49" spans="1:16" ht="12" customHeight="1" x14ac:dyDescent="0.35">
      <c r="A49" s="65" t="s">
        <v>642</v>
      </c>
      <c r="B49" s="66" t="s">
        <v>643</v>
      </c>
      <c r="C49" s="67">
        <v>8474.77</v>
      </c>
      <c r="D49" s="18"/>
      <c r="E49" s="18"/>
      <c r="F49" s="18"/>
      <c r="G49" s="18"/>
      <c r="H49" s="19"/>
      <c r="I49" s="18"/>
      <c r="J49" s="18"/>
      <c r="K49" s="18"/>
      <c r="L49" s="18"/>
      <c r="M49" s="18"/>
      <c r="N49" s="18"/>
      <c r="O49" s="17">
        <v>1</v>
      </c>
      <c r="P49" s="20">
        <v>1</v>
      </c>
    </row>
    <row r="50" spans="1:16" ht="13" customHeight="1" x14ac:dyDescent="0.35">
      <c r="A50" s="65"/>
      <c r="B50" s="66"/>
      <c r="C50" s="67"/>
      <c r="D50" s="22"/>
      <c r="E50" s="22"/>
      <c r="F50" s="22"/>
      <c r="G50" s="22"/>
      <c r="H50" s="23"/>
      <c r="I50" s="22"/>
      <c r="J50" s="22"/>
      <c r="K50" s="22"/>
      <c r="L50" s="22"/>
      <c r="M50" s="22"/>
      <c r="N50" s="22"/>
      <c r="O50" s="21">
        <f>C49</f>
        <v>8474.77</v>
      </c>
      <c r="P50" s="24">
        <f>SUM(D50:O50)</f>
        <v>8474.77</v>
      </c>
    </row>
    <row r="51" spans="1:16" ht="12" customHeight="1" x14ac:dyDescent="0.35">
      <c r="A51" s="65" t="s">
        <v>660</v>
      </c>
      <c r="B51" s="66" t="s">
        <v>661</v>
      </c>
      <c r="C51" s="67">
        <v>6509.3</v>
      </c>
      <c r="D51" s="18"/>
      <c r="E51" s="18"/>
      <c r="F51" s="18"/>
      <c r="G51" s="18"/>
      <c r="H51" s="19"/>
      <c r="I51" s="18"/>
      <c r="J51" s="18"/>
      <c r="K51" s="18"/>
      <c r="L51" s="18"/>
      <c r="M51" s="18"/>
      <c r="N51" s="18"/>
      <c r="O51" s="17">
        <v>1</v>
      </c>
      <c r="P51" s="20">
        <v>1</v>
      </c>
    </row>
    <row r="52" spans="1:16" ht="13" customHeight="1" x14ac:dyDescent="0.35">
      <c r="A52" s="65"/>
      <c r="B52" s="66"/>
      <c r="C52" s="67"/>
      <c r="D52" s="22"/>
      <c r="E52" s="22"/>
      <c r="F52" s="22"/>
      <c r="G52" s="22"/>
      <c r="H52" s="23"/>
      <c r="I52" s="22"/>
      <c r="J52" s="22"/>
      <c r="K52" s="22"/>
      <c r="L52" s="22"/>
      <c r="M52" s="22"/>
      <c r="N52" s="22"/>
      <c r="O52" s="21">
        <f>C51</f>
        <v>6509.3</v>
      </c>
      <c r="P52" s="24">
        <f>SUM(D52:O52)</f>
        <v>6509.3</v>
      </c>
    </row>
    <row r="53" spans="1:16" ht="12" customHeight="1" x14ac:dyDescent="0.35">
      <c r="A53" s="65" t="s">
        <v>672</v>
      </c>
      <c r="B53" s="66" t="s">
        <v>673</v>
      </c>
      <c r="C53" s="67">
        <v>10423.969999999999</v>
      </c>
      <c r="D53" s="18"/>
      <c r="E53" s="18"/>
      <c r="F53" s="18"/>
      <c r="G53" s="18"/>
      <c r="H53" s="19"/>
      <c r="I53" s="18"/>
      <c r="J53" s="18"/>
      <c r="K53" s="18"/>
      <c r="L53" s="18"/>
      <c r="M53" s="18"/>
      <c r="N53" s="18"/>
      <c r="O53" s="17">
        <v>1</v>
      </c>
      <c r="P53" s="20">
        <v>1</v>
      </c>
    </row>
    <row r="54" spans="1:16" ht="13" customHeight="1" x14ac:dyDescent="0.35">
      <c r="A54" s="65"/>
      <c r="B54" s="66"/>
      <c r="C54" s="67"/>
      <c r="D54" s="22"/>
      <c r="E54" s="22"/>
      <c r="F54" s="22"/>
      <c r="G54" s="22"/>
      <c r="H54" s="23"/>
      <c r="I54" s="22"/>
      <c r="J54" s="22"/>
      <c r="K54" s="22"/>
      <c r="L54" s="22"/>
      <c r="M54" s="22"/>
      <c r="N54" s="22"/>
      <c r="O54" s="21">
        <f>C53</f>
        <v>10423.969999999999</v>
      </c>
      <c r="P54" s="24">
        <f>SUM(D54:O54)</f>
        <v>10423.969999999999</v>
      </c>
    </row>
    <row r="55" spans="1:16" ht="12" customHeight="1" x14ac:dyDescent="0.35">
      <c r="A55" s="65" t="s">
        <v>683</v>
      </c>
      <c r="B55" s="66" t="s">
        <v>684</v>
      </c>
      <c r="C55" s="67">
        <v>6088.84</v>
      </c>
      <c r="D55" s="18"/>
      <c r="E55" s="18"/>
      <c r="F55" s="18"/>
      <c r="G55" s="18"/>
      <c r="H55" s="19"/>
      <c r="I55" s="18"/>
      <c r="J55" s="18"/>
      <c r="K55" s="18"/>
      <c r="L55" s="18"/>
      <c r="M55" s="18"/>
      <c r="N55" s="18"/>
      <c r="O55" s="17">
        <v>1</v>
      </c>
      <c r="P55" s="20">
        <v>1</v>
      </c>
    </row>
    <row r="56" spans="1:16" ht="13" customHeight="1" x14ac:dyDescent="0.35">
      <c r="A56" s="65"/>
      <c r="B56" s="66"/>
      <c r="C56" s="67"/>
      <c r="D56" s="22"/>
      <c r="E56" s="22"/>
      <c r="F56" s="22"/>
      <c r="G56" s="22"/>
      <c r="H56" s="23"/>
      <c r="I56" s="22"/>
      <c r="J56" s="22"/>
      <c r="K56" s="22"/>
      <c r="L56" s="22"/>
      <c r="M56" s="22"/>
      <c r="N56" s="22"/>
      <c r="O56" s="21">
        <f>C55</f>
        <v>6088.84</v>
      </c>
      <c r="P56" s="24">
        <f>SUM(D56:O56)</f>
        <v>6088.84</v>
      </c>
    </row>
    <row r="57" spans="1:16" ht="13" customHeight="1" x14ac:dyDescent="0.35">
      <c r="A57" s="65">
        <v>28</v>
      </c>
      <c r="B57" s="66" t="s">
        <v>1697</v>
      </c>
      <c r="C57" s="67">
        <v>22301.919999999998</v>
      </c>
      <c r="D57" s="18"/>
      <c r="E57" s="18"/>
      <c r="F57" s="18"/>
      <c r="G57" s="18"/>
      <c r="H57" s="19"/>
      <c r="I57" s="18"/>
      <c r="J57" s="18"/>
      <c r="K57" s="18"/>
      <c r="L57" s="18"/>
      <c r="M57" s="18"/>
      <c r="N57" s="18"/>
      <c r="O57" s="17">
        <v>1</v>
      </c>
      <c r="P57" s="20">
        <v>1</v>
      </c>
    </row>
    <row r="58" spans="1:16" ht="13" customHeight="1" x14ac:dyDescent="0.35">
      <c r="A58" s="65"/>
      <c r="B58" s="66"/>
      <c r="C58" s="67"/>
      <c r="D58" s="22"/>
      <c r="E58" s="22"/>
      <c r="F58" s="22"/>
      <c r="G58" s="22"/>
      <c r="H58" s="23"/>
      <c r="I58" s="22"/>
      <c r="J58" s="22"/>
      <c r="K58" s="22"/>
      <c r="L58" s="22"/>
      <c r="M58" s="22"/>
      <c r="N58" s="22"/>
      <c r="O58" s="21">
        <v>22301.919999999998</v>
      </c>
      <c r="P58" s="24">
        <f>SUM(D58:O58)</f>
        <v>22301.919999999998</v>
      </c>
    </row>
    <row r="59" spans="1:16" ht="12" customHeight="1" x14ac:dyDescent="0.35">
      <c r="A59" s="25"/>
      <c r="B59" s="26"/>
      <c r="C59" s="62">
        <v>912926.02</v>
      </c>
      <c r="D59" s="27">
        <f>SUM(D4,D6,D8,D10,D12,D14,D16,D18,D20,D22,D24,D26,D28,D30,D32,D34,D36,D38,D40,D42,D44,D46,D48,D50,D52,D54,D56,D58)</f>
        <v>62877.570881999993</v>
      </c>
      <c r="E59" s="27">
        <f t="shared" ref="E59:O59" si="11">SUM(E4,E6,E8,E10,E12,E14,E16,E18,E20,E22,E24,E26,E28,E30,E32,E34,E36,E38,E40,E42,E44,E46,E48,E50,E52,E54,E56,E58)</f>
        <v>26988.480881999996</v>
      </c>
      <c r="F59" s="27">
        <f t="shared" si="11"/>
        <v>73139.953236000001</v>
      </c>
      <c r="G59" s="27">
        <f t="shared" si="11"/>
        <v>108767.06714100001</v>
      </c>
      <c r="H59" s="27">
        <f t="shared" si="11"/>
        <v>110821.77714099998</v>
      </c>
      <c r="I59" s="27">
        <f t="shared" si="11"/>
        <v>134229.46547200001</v>
      </c>
      <c r="J59" s="27">
        <f t="shared" si="11"/>
        <v>108421.012254</v>
      </c>
      <c r="K59" s="27">
        <f t="shared" si="11"/>
        <v>79776.317992000011</v>
      </c>
      <c r="L59" s="27">
        <f t="shared" si="11"/>
        <v>127694.46989400001</v>
      </c>
      <c r="M59" s="27">
        <f t="shared" si="11"/>
        <v>72860.019893999997</v>
      </c>
      <c r="N59" s="27">
        <f t="shared" si="11"/>
        <v>39695.807712000002</v>
      </c>
      <c r="O59" s="27">
        <f t="shared" si="11"/>
        <v>82814.227499999994</v>
      </c>
      <c r="P59" s="63">
        <f>SUM(P4,P6,P8,P10,P12,P14,P16,P18,P20,P22,P24,P26,P28,P30,P32,P34,P36,P38,P40,P42,P44,P46,P48,P50,P52,P54,P56,P58)</f>
        <v>1028086.17</v>
      </c>
    </row>
    <row r="60" spans="1:16" ht="13" customHeight="1" x14ac:dyDescent="0.35">
      <c r="A60" s="28"/>
      <c r="B60" s="29"/>
      <c r="C60" s="62"/>
      <c r="D60" s="21">
        <f>D59</f>
        <v>62877.570881999993</v>
      </c>
      <c r="E60" s="21">
        <f>D60+E59</f>
        <v>89866.051763999989</v>
      </c>
      <c r="F60" s="21">
        <f t="shared" ref="F60:O60" si="12">E60+F59</f>
        <v>163006.005</v>
      </c>
      <c r="G60" s="21">
        <f t="shared" si="12"/>
        <v>271773.07214100001</v>
      </c>
      <c r="H60" s="21">
        <f t="shared" si="12"/>
        <v>382594.84928199998</v>
      </c>
      <c r="I60" s="21">
        <f t="shared" si="12"/>
        <v>516824.31475399999</v>
      </c>
      <c r="J60" s="21">
        <f t="shared" si="12"/>
        <v>625245.32700799999</v>
      </c>
      <c r="K60" s="21">
        <f t="shared" si="12"/>
        <v>705021.64500000002</v>
      </c>
      <c r="L60" s="21">
        <f t="shared" si="12"/>
        <v>832716.114894</v>
      </c>
      <c r="M60" s="21">
        <f t="shared" si="12"/>
        <v>905576.13478800002</v>
      </c>
      <c r="N60" s="21">
        <f t="shared" si="12"/>
        <v>945271.9425</v>
      </c>
      <c r="O60" s="21">
        <f t="shared" si="12"/>
        <v>1028086.17</v>
      </c>
      <c r="P60" s="63"/>
    </row>
  </sheetData>
  <mergeCells count="87">
    <mergeCell ref="A3:A4"/>
    <mergeCell ref="B3:B4"/>
    <mergeCell ref="C3:C4"/>
    <mergeCell ref="A57:A58"/>
    <mergeCell ref="B57:B58"/>
    <mergeCell ref="C57:C58"/>
    <mergeCell ref="A5:A6"/>
    <mergeCell ref="B5:B6"/>
    <mergeCell ref="C5:C6"/>
    <mergeCell ref="A7:A8"/>
    <mergeCell ref="B7:B8"/>
    <mergeCell ref="C7:C8"/>
    <mergeCell ref="A9:A10"/>
    <mergeCell ref="B9:B10"/>
    <mergeCell ref="C9:C10"/>
    <mergeCell ref="A11:A12"/>
    <mergeCell ref="B11:B12"/>
    <mergeCell ref="C11:C12"/>
    <mergeCell ref="A15:A16"/>
    <mergeCell ref="B15:B16"/>
    <mergeCell ref="C15:C16"/>
    <mergeCell ref="A13:A14"/>
    <mergeCell ref="B13:B14"/>
    <mergeCell ref="C13:C14"/>
    <mergeCell ref="A21:A22"/>
    <mergeCell ref="B21:B22"/>
    <mergeCell ref="C21:C22"/>
    <mergeCell ref="A17:A18"/>
    <mergeCell ref="B17:B18"/>
    <mergeCell ref="C17:C18"/>
    <mergeCell ref="A19:A20"/>
    <mergeCell ref="B19:B20"/>
    <mergeCell ref="C19:C20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5:A36"/>
    <mergeCell ref="B35:B36"/>
    <mergeCell ref="C35:C36"/>
    <mergeCell ref="A31:A32"/>
    <mergeCell ref="B31:B32"/>
    <mergeCell ref="C31:C32"/>
    <mergeCell ref="A33:A34"/>
    <mergeCell ref="B33:B34"/>
    <mergeCell ref="C33:C34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3:A44"/>
    <mergeCell ref="B43:B44"/>
    <mergeCell ref="C43:C44"/>
    <mergeCell ref="B45:B46"/>
    <mergeCell ref="C45:C46"/>
    <mergeCell ref="A47:A48"/>
    <mergeCell ref="B47:B48"/>
    <mergeCell ref="C47:C48"/>
    <mergeCell ref="C59:C60"/>
    <mergeCell ref="P59:P60"/>
    <mergeCell ref="A1:P1"/>
    <mergeCell ref="A53:A54"/>
    <mergeCell ref="B53:B54"/>
    <mergeCell ref="C53:C54"/>
    <mergeCell ref="A55:A56"/>
    <mergeCell ref="B55:B56"/>
    <mergeCell ref="C55:C56"/>
    <mergeCell ref="A49:A50"/>
    <mergeCell ref="B49:B50"/>
    <mergeCell ref="C49:C50"/>
    <mergeCell ref="A51:A52"/>
    <mergeCell ref="B51:B52"/>
    <mergeCell ref="C51:C52"/>
    <mergeCell ref="A45:A46"/>
  </mergeCells>
  <pageMargins left="0" right="0" top="0" bottom="0" header="0" footer="0"/>
  <pageSetup scale="6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19"/>
  <sheetViews>
    <sheetView zoomScale="115" zoomScaleNormal="115" workbookViewId="0">
      <selection activeCell="C19" sqref="A1:C19"/>
    </sheetView>
  </sheetViews>
  <sheetFormatPr defaultRowHeight="14.5" x14ac:dyDescent="0.35"/>
  <cols>
    <col min="1" max="1" width="9.26953125" customWidth="1"/>
    <col min="2" max="2" width="60.26953125" customWidth="1"/>
    <col min="3" max="3" width="8.26953125" customWidth="1"/>
    <col min="4" max="4" width="37.453125" customWidth="1"/>
  </cols>
  <sheetData>
    <row r="1" spans="1:4" x14ac:dyDescent="0.35">
      <c r="A1" s="49" t="s">
        <v>1695</v>
      </c>
      <c r="B1" s="49"/>
      <c r="C1" s="49"/>
      <c r="D1" s="1"/>
    </row>
    <row r="2" spans="1:4" ht="12" customHeight="1" x14ac:dyDescent="0.35">
      <c r="A2" s="32"/>
      <c r="B2" s="36" t="s">
        <v>1609</v>
      </c>
      <c r="C2" s="36"/>
      <c r="D2" s="34"/>
    </row>
    <row r="3" spans="1:4" ht="15" customHeight="1" x14ac:dyDescent="0.35">
      <c r="A3" s="37" t="s">
        <v>1610</v>
      </c>
      <c r="B3" s="37" t="s">
        <v>2</v>
      </c>
      <c r="C3" s="37" t="s">
        <v>1611</v>
      </c>
      <c r="D3" s="8"/>
    </row>
    <row r="4" spans="1:4" ht="13" customHeight="1" x14ac:dyDescent="0.35">
      <c r="A4" s="32"/>
      <c r="B4" s="38" t="s">
        <v>1612</v>
      </c>
      <c r="C4" s="32"/>
      <c r="D4" s="8"/>
    </row>
    <row r="5" spans="1:4" ht="13" customHeight="1" x14ac:dyDescent="0.35">
      <c r="A5" s="39" t="s">
        <v>1613</v>
      </c>
      <c r="B5" s="40" t="s">
        <v>1614</v>
      </c>
      <c r="C5" s="41">
        <v>3</v>
      </c>
      <c r="D5" s="8"/>
    </row>
    <row r="6" spans="1:4" ht="13" customHeight="1" x14ac:dyDescent="0.35">
      <c r="A6" s="39" t="s">
        <v>1615</v>
      </c>
      <c r="B6" s="40" t="s">
        <v>1616</v>
      </c>
      <c r="C6" s="41">
        <v>0.59</v>
      </c>
      <c r="D6" s="8"/>
    </row>
    <row r="7" spans="1:4" ht="13" customHeight="1" x14ac:dyDescent="0.35">
      <c r="A7" s="39" t="s">
        <v>1617</v>
      </c>
      <c r="B7" s="40" t="s">
        <v>1618</v>
      </c>
      <c r="C7" s="41">
        <v>0.97</v>
      </c>
      <c r="D7" s="8"/>
    </row>
    <row r="8" spans="1:4" ht="15" customHeight="1" x14ac:dyDescent="0.35">
      <c r="A8" s="32"/>
      <c r="B8" s="42" t="s">
        <v>704</v>
      </c>
      <c r="C8" s="43">
        <v>4.5599999999999996</v>
      </c>
      <c r="D8" s="8"/>
    </row>
    <row r="9" spans="1:4" ht="13" customHeight="1" x14ac:dyDescent="0.35">
      <c r="A9" s="32"/>
      <c r="B9" s="38" t="s">
        <v>1619</v>
      </c>
      <c r="C9" s="32"/>
      <c r="D9" s="8"/>
    </row>
    <row r="10" spans="1:4" ht="13" customHeight="1" x14ac:dyDescent="0.35">
      <c r="A10" s="39" t="s">
        <v>1620</v>
      </c>
      <c r="B10" s="40" t="s">
        <v>1621</v>
      </c>
      <c r="C10" s="41">
        <v>0.8</v>
      </c>
      <c r="D10" s="8"/>
    </row>
    <row r="11" spans="1:4" ht="13" customHeight="1" x14ac:dyDescent="0.35">
      <c r="A11" s="39" t="s">
        <v>777</v>
      </c>
      <c r="B11" s="40" t="s">
        <v>1622</v>
      </c>
      <c r="C11" s="41">
        <v>12.4</v>
      </c>
      <c r="D11" s="8"/>
    </row>
    <row r="12" spans="1:4" ht="15" customHeight="1" x14ac:dyDescent="0.35">
      <c r="A12" s="32"/>
      <c r="B12" s="42" t="s">
        <v>704</v>
      </c>
      <c r="C12" s="43">
        <v>13.200000000000001</v>
      </c>
      <c r="D12" s="8"/>
    </row>
    <row r="13" spans="1:4" ht="13" customHeight="1" x14ac:dyDescent="0.35">
      <c r="A13" s="44" t="s">
        <v>1623</v>
      </c>
      <c r="B13" s="38" t="s">
        <v>1624</v>
      </c>
      <c r="C13" s="32"/>
      <c r="D13" s="8"/>
    </row>
    <row r="14" spans="1:4" ht="13" customHeight="1" x14ac:dyDescent="0.35">
      <c r="A14" s="39" t="s">
        <v>1625</v>
      </c>
      <c r="B14" s="40" t="s">
        <v>1625</v>
      </c>
      <c r="C14" s="41">
        <v>2</v>
      </c>
      <c r="D14" s="8"/>
    </row>
    <row r="15" spans="1:4" ht="13" customHeight="1" x14ac:dyDescent="0.35">
      <c r="A15" s="39"/>
      <c r="B15" s="40" t="s">
        <v>1626</v>
      </c>
      <c r="C15" s="41">
        <v>0</v>
      </c>
      <c r="D15" s="8"/>
    </row>
    <row r="16" spans="1:4" ht="13" customHeight="1" x14ac:dyDescent="0.35">
      <c r="A16" s="39"/>
      <c r="B16" s="40" t="s">
        <v>1627</v>
      </c>
      <c r="C16" s="41">
        <v>1.28</v>
      </c>
      <c r="D16" s="8"/>
    </row>
    <row r="17" spans="1:4" ht="15" customHeight="1" x14ac:dyDescent="0.35">
      <c r="A17" s="32"/>
      <c r="B17" s="42" t="s">
        <v>704</v>
      </c>
      <c r="C17" s="43">
        <v>3.2800000000000002</v>
      </c>
      <c r="D17" s="8"/>
    </row>
    <row r="18" spans="1:4" ht="26.15" customHeight="1" x14ac:dyDescent="0.35">
      <c r="A18" s="32"/>
      <c r="B18" s="48" t="s">
        <v>1628</v>
      </c>
      <c r="C18" s="48"/>
      <c r="D18" s="8"/>
    </row>
    <row r="19" spans="1:4" ht="24" customHeight="1" x14ac:dyDescent="0.35">
      <c r="A19" s="32"/>
      <c r="B19" s="45" t="s">
        <v>1629</v>
      </c>
      <c r="C19" s="45"/>
      <c r="D19" s="35"/>
    </row>
  </sheetData>
  <mergeCells count="2">
    <mergeCell ref="B18:C18"/>
    <mergeCell ref="A1:C1"/>
  </mergeCells>
  <pageMargins left="0" right="0" top="0" bottom="0" header="0" footer="0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87"/>
  <sheetViews>
    <sheetView workbookViewId="0">
      <selection activeCell="F9" sqref="F9"/>
    </sheetView>
  </sheetViews>
  <sheetFormatPr defaultRowHeight="14.5" x14ac:dyDescent="0.35"/>
  <cols>
    <col min="1" max="1" width="9.26953125" customWidth="1"/>
    <col min="2" max="2" width="68.7265625" customWidth="1"/>
    <col min="3" max="3" width="8.81640625" customWidth="1"/>
    <col min="4" max="4" width="10.1796875" customWidth="1"/>
    <col min="5" max="5" width="18.26953125" customWidth="1"/>
  </cols>
  <sheetData>
    <row r="1" spans="1:5" x14ac:dyDescent="0.35">
      <c r="A1" s="49" t="s">
        <v>1696</v>
      </c>
      <c r="B1" s="49"/>
      <c r="C1" s="49"/>
      <c r="D1" s="49"/>
      <c r="E1" s="1"/>
    </row>
    <row r="2" spans="1:5" ht="12" customHeight="1" x14ac:dyDescent="0.35">
      <c r="A2" s="32"/>
      <c r="B2" s="50" t="s">
        <v>1609</v>
      </c>
      <c r="C2" s="50"/>
      <c r="D2" s="50"/>
      <c r="E2" s="8"/>
    </row>
    <row r="3" spans="1:5" ht="15" customHeight="1" x14ac:dyDescent="0.35">
      <c r="A3" s="37" t="s">
        <v>1610</v>
      </c>
      <c r="B3" s="37" t="s">
        <v>2</v>
      </c>
      <c r="C3" s="46" t="s">
        <v>1630</v>
      </c>
      <c r="D3" s="37" t="s">
        <v>1631</v>
      </c>
      <c r="E3" s="8"/>
    </row>
    <row r="4" spans="1:5" ht="12" customHeight="1" x14ac:dyDescent="0.35">
      <c r="A4" s="32"/>
      <c r="B4" s="50" t="s">
        <v>1609</v>
      </c>
      <c r="C4" s="50"/>
      <c r="D4" s="32"/>
      <c r="E4" s="8"/>
    </row>
    <row r="5" spans="1:5" ht="13" customHeight="1" x14ac:dyDescent="0.35">
      <c r="A5" s="44" t="s">
        <v>1632</v>
      </c>
      <c r="B5" s="38" t="s">
        <v>1633</v>
      </c>
      <c r="C5" s="32"/>
      <c r="D5" s="32"/>
      <c r="E5" s="8"/>
    </row>
    <row r="6" spans="1:5" ht="13" customHeight="1" x14ac:dyDescent="0.35">
      <c r="A6" s="39" t="s">
        <v>1634</v>
      </c>
      <c r="B6" s="40" t="s">
        <v>1635</v>
      </c>
      <c r="C6" s="47">
        <v>0</v>
      </c>
      <c r="D6" s="41">
        <v>0</v>
      </c>
      <c r="E6" s="8"/>
    </row>
    <row r="7" spans="1:5" ht="13" customHeight="1" x14ac:dyDescent="0.35">
      <c r="A7" s="39" t="s">
        <v>1636</v>
      </c>
      <c r="B7" s="40" t="s">
        <v>1637</v>
      </c>
      <c r="C7" s="47">
        <v>1.5</v>
      </c>
      <c r="D7" s="41">
        <v>1.5</v>
      </c>
      <c r="E7" s="8"/>
    </row>
    <row r="8" spans="1:5" ht="13" customHeight="1" x14ac:dyDescent="0.35">
      <c r="A8" s="39" t="s">
        <v>1638</v>
      </c>
      <c r="B8" s="40" t="s">
        <v>1639</v>
      </c>
      <c r="C8" s="47">
        <v>1</v>
      </c>
      <c r="D8" s="41">
        <v>1</v>
      </c>
      <c r="E8" s="8"/>
    </row>
    <row r="9" spans="1:5" ht="13" customHeight="1" x14ac:dyDescent="0.35">
      <c r="A9" s="39" t="s">
        <v>1640</v>
      </c>
      <c r="B9" s="40" t="s">
        <v>1641</v>
      </c>
      <c r="C9" s="47">
        <v>0.2</v>
      </c>
      <c r="D9" s="41">
        <v>0.2</v>
      </c>
      <c r="E9" s="8"/>
    </row>
    <row r="10" spans="1:5" ht="13" customHeight="1" x14ac:dyDescent="0.35">
      <c r="A10" s="39" t="s">
        <v>1642</v>
      </c>
      <c r="B10" s="40" t="s">
        <v>1643</v>
      </c>
      <c r="C10" s="47">
        <v>0.6</v>
      </c>
      <c r="D10" s="41">
        <v>0.6</v>
      </c>
      <c r="E10" s="8"/>
    </row>
    <row r="11" spans="1:5" ht="13" customHeight="1" x14ac:dyDescent="0.35">
      <c r="A11" s="39" t="s">
        <v>1644</v>
      </c>
      <c r="B11" s="40" t="s">
        <v>1645</v>
      </c>
      <c r="C11" s="47">
        <v>2.5</v>
      </c>
      <c r="D11" s="41">
        <v>2.5</v>
      </c>
      <c r="E11" s="8"/>
    </row>
    <row r="12" spans="1:5" ht="13" customHeight="1" x14ac:dyDescent="0.35">
      <c r="A12" s="39" t="s">
        <v>1646</v>
      </c>
      <c r="B12" s="40" t="s">
        <v>1647</v>
      </c>
      <c r="C12" s="47">
        <v>3</v>
      </c>
      <c r="D12" s="41">
        <v>3</v>
      </c>
      <c r="E12" s="8"/>
    </row>
    <row r="13" spans="1:5" ht="13" customHeight="1" x14ac:dyDescent="0.35">
      <c r="A13" s="39" t="s">
        <v>1648</v>
      </c>
      <c r="B13" s="40" t="s">
        <v>1649</v>
      </c>
      <c r="C13" s="47">
        <v>8</v>
      </c>
      <c r="D13" s="41">
        <v>8</v>
      </c>
      <c r="E13" s="8"/>
    </row>
    <row r="14" spans="1:5" ht="13" customHeight="1" x14ac:dyDescent="0.35">
      <c r="A14" s="39" t="s">
        <v>1650</v>
      </c>
      <c r="B14" s="40" t="s">
        <v>1651</v>
      </c>
      <c r="C14" s="47">
        <v>0</v>
      </c>
      <c r="D14" s="41">
        <v>0</v>
      </c>
      <c r="E14" s="8"/>
    </row>
    <row r="15" spans="1:5" ht="15" customHeight="1" x14ac:dyDescent="0.35">
      <c r="A15" s="32"/>
      <c r="B15" s="42" t="s">
        <v>704</v>
      </c>
      <c r="C15" s="43">
        <v>16.8</v>
      </c>
      <c r="D15" s="43">
        <v>16.8</v>
      </c>
      <c r="E15" s="8"/>
    </row>
    <row r="16" spans="1:5" ht="12" customHeight="1" x14ac:dyDescent="0.35">
      <c r="A16" s="32"/>
      <c r="B16" s="50" t="s">
        <v>1609</v>
      </c>
      <c r="C16" s="50"/>
      <c r="D16" s="32"/>
      <c r="E16" s="8"/>
    </row>
    <row r="17" spans="1:5" ht="13" customHeight="1" x14ac:dyDescent="0.35">
      <c r="A17" s="44" t="s">
        <v>1652</v>
      </c>
      <c r="B17" s="38" t="s">
        <v>1653</v>
      </c>
      <c r="C17" s="32"/>
      <c r="D17" s="32"/>
      <c r="E17" s="8"/>
    </row>
    <row r="18" spans="1:5" ht="13" customHeight="1" x14ac:dyDescent="0.35">
      <c r="A18" s="39" t="s">
        <v>1654</v>
      </c>
      <c r="B18" s="40" t="s">
        <v>1655</v>
      </c>
      <c r="C18" s="47">
        <v>18.010000000000002</v>
      </c>
      <c r="D18" s="41">
        <v>0</v>
      </c>
      <c r="E18" s="8"/>
    </row>
    <row r="19" spans="1:5" ht="13" customHeight="1" x14ac:dyDescent="0.35">
      <c r="A19" s="39" t="s">
        <v>1656</v>
      </c>
      <c r="B19" s="40" t="s">
        <v>1657</v>
      </c>
      <c r="C19" s="47">
        <v>4.3</v>
      </c>
      <c r="D19" s="41">
        <v>0</v>
      </c>
      <c r="E19" s="8"/>
    </row>
    <row r="20" spans="1:5" ht="13" customHeight="1" x14ac:dyDescent="0.35">
      <c r="A20" s="39" t="s">
        <v>1658</v>
      </c>
      <c r="B20" s="40" t="s">
        <v>1659</v>
      </c>
      <c r="C20" s="47">
        <v>0.85</v>
      </c>
      <c r="D20" s="41">
        <v>0.66</v>
      </c>
      <c r="E20" s="8"/>
    </row>
    <row r="21" spans="1:5" ht="13" customHeight="1" x14ac:dyDescent="0.35">
      <c r="A21" s="39" t="s">
        <v>1660</v>
      </c>
      <c r="B21" s="40" t="s">
        <v>1661</v>
      </c>
      <c r="C21" s="47">
        <v>10.78</v>
      </c>
      <c r="D21" s="41">
        <v>8.33</v>
      </c>
      <c r="E21" s="8"/>
    </row>
    <row r="22" spans="1:5" ht="13" customHeight="1" x14ac:dyDescent="0.35">
      <c r="A22" s="39" t="s">
        <v>1662</v>
      </c>
      <c r="B22" s="40" t="s">
        <v>1663</v>
      </c>
      <c r="C22" s="47">
        <v>7.0000000000000007E-2</v>
      </c>
      <c r="D22" s="41">
        <v>0.06</v>
      </c>
      <c r="E22" s="8"/>
    </row>
    <row r="23" spans="1:5" ht="13" customHeight="1" x14ac:dyDescent="0.35">
      <c r="A23" s="39" t="s">
        <v>1664</v>
      </c>
      <c r="B23" s="40" t="s">
        <v>1665</v>
      </c>
      <c r="C23" s="47">
        <v>0.72</v>
      </c>
      <c r="D23" s="41">
        <v>0.56000000000000005</v>
      </c>
      <c r="E23" s="8"/>
    </row>
    <row r="24" spans="1:5" ht="13" customHeight="1" x14ac:dyDescent="0.35">
      <c r="A24" s="39" t="s">
        <v>1666</v>
      </c>
      <c r="B24" s="40" t="s">
        <v>1667</v>
      </c>
      <c r="C24" s="47">
        <v>1.98</v>
      </c>
      <c r="D24" s="41">
        <v>0</v>
      </c>
      <c r="E24" s="8"/>
    </row>
    <row r="25" spans="1:5" ht="13" customHeight="1" x14ac:dyDescent="0.35">
      <c r="A25" s="39" t="s">
        <v>1668</v>
      </c>
      <c r="B25" s="40" t="s">
        <v>1669</v>
      </c>
      <c r="C25" s="47">
        <v>0.1</v>
      </c>
      <c r="D25" s="41">
        <v>0.08</v>
      </c>
      <c r="E25" s="8"/>
    </row>
    <row r="26" spans="1:5" ht="13" customHeight="1" x14ac:dyDescent="0.35">
      <c r="A26" s="39" t="s">
        <v>1670</v>
      </c>
      <c r="B26" s="40" t="s">
        <v>1671</v>
      </c>
      <c r="C26" s="47">
        <v>13.7</v>
      </c>
      <c r="D26" s="41">
        <v>10.59</v>
      </c>
      <c r="E26" s="8"/>
    </row>
    <row r="27" spans="1:5" ht="13" customHeight="1" x14ac:dyDescent="0.35">
      <c r="A27" s="39" t="s">
        <v>1672</v>
      </c>
      <c r="B27" s="40" t="s">
        <v>1673</v>
      </c>
      <c r="C27" s="47">
        <v>0.03</v>
      </c>
      <c r="D27" s="41">
        <v>0.02</v>
      </c>
      <c r="E27" s="8"/>
    </row>
    <row r="28" spans="1:5" ht="15" customHeight="1" x14ac:dyDescent="0.35">
      <c r="A28" s="32"/>
      <c r="B28" s="42" t="s">
        <v>704</v>
      </c>
      <c r="C28" s="43">
        <v>50.540000000000006</v>
      </c>
      <c r="D28" s="43">
        <v>20.3</v>
      </c>
      <c r="E28" s="8"/>
    </row>
    <row r="29" spans="1:5" ht="12" customHeight="1" x14ac:dyDescent="0.35">
      <c r="A29" s="32"/>
      <c r="B29" s="50" t="s">
        <v>1609</v>
      </c>
      <c r="C29" s="50"/>
      <c r="D29" s="32"/>
      <c r="E29" s="8"/>
    </row>
    <row r="30" spans="1:5" ht="13" customHeight="1" x14ac:dyDescent="0.35">
      <c r="A30" s="44" t="s">
        <v>1674</v>
      </c>
      <c r="B30" s="38" t="s">
        <v>1675</v>
      </c>
      <c r="C30" s="32"/>
      <c r="D30" s="32"/>
      <c r="E30" s="8"/>
    </row>
    <row r="31" spans="1:5" ht="13" customHeight="1" x14ac:dyDescent="0.35">
      <c r="A31" s="39" t="s">
        <v>1676</v>
      </c>
      <c r="B31" s="40" t="s">
        <v>1677</v>
      </c>
      <c r="C31" s="47">
        <v>4.45</v>
      </c>
      <c r="D31" s="41">
        <v>3.45</v>
      </c>
      <c r="E31" s="8"/>
    </row>
    <row r="32" spans="1:5" ht="13" customHeight="1" x14ac:dyDescent="0.35">
      <c r="A32" s="39" t="s">
        <v>1678</v>
      </c>
      <c r="B32" s="40" t="s">
        <v>1679</v>
      </c>
      <c r="C32" s="47">
        <v>0.1</v>
      </c>
      <c r="D32" s="41">
        <v>0.08</v>
      </c>
      <c r="E32" s="8"/>
    </row>
    <row r="33" spans="1:5" ht="13" customHeight="1" x14ac:dyDescent="0.35">
      <c r="A33" s="39" t="s">
        <v>1680</v>
      </c>
      <c r="B33" s="40" t="s">
        <v>1681</v>
      </c>
      <c r="C33" s="47">
        <v>0.5</v>
      </c>
      <c r="D33" s="41">
        <v>0.39</v>
      </c>
      <c r="E33" s="8"/>
    </row>
    <row r="34" spans="1:5" ht="13" customHeight="1" x14ac:dyDescent="0.35">
      <c r="A34" s="39" t="s">
        <v>1682</v>
      </c>
      <c r="B34" s="40" t="s">
        <v>1683</v>
      </c>
      <c r="C34" s="47">
        <v>4.08</v>
      </c>
      <c r="D34" s="41">
        <v>3.16</v>
      </c>
      <c r="E34" s="8"/>
    </row>
    <row r="35" spans="1:5" ht="13" customHeight="1" x14ac:dyDescent="0.35">
      <c r="A35" s="39" t="s">
        <v>1684</v>
      </c>
      <c r="B35" s="40" t="s">
        <v>1685</v>
      </c>
      <c r="C35" s="47">
        <v>0.37</v>
      </c>
      <c r="D35" s="41">
        <v>0.28999999999999998</v>
      </c>
      <c r="E35" s="8"/>
    </row>
    <row r="36" spans="1:5" ht="15" customHeight="1" x14ac:dyDescent="0.35">
      <c r="A36" s="32"/>
      <c r="B36" s="42" t="s">
        <v>704</v>
      </c>
      <c r="C36" s="43">
        <v>9.4999999999999982</v>
      </c>
      <c r="D36" s="43">
        <v>7.37</v>
      </c>
      <c r="E36" s="8"/>
    </row>
    <row r="37" spans="1:5" ht="12" customHeight="1" x14ac:dyDescent="0.35">
      <c r="A37" s="32"/>
      <c r="B37" s="50" t="s">
        <v>1609</v>
      </c>
      <c r="C37" s="50"/>
      <c r="D37" s="32"/>
      <c r="E37" s="8"/>
    </row>
    <row r="38" spans="1:5" ht="13" customHeight="1" x14ac:dyDescent="0.35">
      <c r="A38" s="44" t="s">
        <v>1686</v>
      </c>
      <c r="B38" s="38" t="s">
        <v>1687</v>
      </c>
      <c r="C38" s="32"/>
      <c r="D38" s="32"/>
      <c r="E38" s="8"/>
    </row>
    <row r="39" spans="1:5" ht="13" customHeight="1" x14ac:dyDescent="0.35">
      <c r="A39" s="39" t="s">
        <v>1688</v>
      </c>
      <c r="B39" s="40" t="s">
        <v>1689</v>
      </c>
      <c r="C39" s="47">
        <v>8.49</v>
      </c>
      <c r="D39" s="41">
        <v>3.41</v>
      </c>
      <c r="E39" s="8"/>
    </row>
    <row r="40" spans="1:5" ht="18" customHeight="1" x14ac:dyDescent="0.35">
      <c r="A40" s="39" t="s">
        <v>1690</v>
      </c>
      <c r="B40" s="40" t="s">
        <v>1691</v>
      </c>
      <c r="C40" s="47">
        <v>0.37</v>
      </c>
      <c r="D40" s="41">
        <v>0.28999999999999998</v>
      </c>
      <c r="E40" s="8"/>
    </row>
    <row r="41" spans="1:5" ht="15" customHeight="1" x14ac:dyDescent="0.35">
      <c r="A41" s="32"/>
      <c r="B41" s="42" t="s">
        <v>704</v>
      </c>
      <c r="C41" s="43">
        <v>8.86</v>
      </c>
      <c r="D41" s="43">
        <v>3.7</v>
      </c>
      <c r="E41" s="8"/>
    </row>
    <row r="42" spans="1:5" ht="15" customHeight="1" x14ac:dyDescent="0.35">
      <c r="A42" s="32"/>
      <c r="B42" s="50" t="s">
        <v>1609</v>
      </c>
      <c r="C42" s="50"/>
      <c r="D42" s="32"/>
      <c r="E42" s="8"/>
    </row>
    <row r="43" spans="1:5" ht="37" customHeight="1" x14ac:dyDescent="0.35">
      <c r="A43" s="32"/>
      <c r="B43" s="48" t="s">
        <v>1692</v>
      </c>
      <c r="C43" s="48"/>
      <c r="D43" s="48"/>
      <c r="E43" s="8"/>
    </row>
    <row r="44" spans="1:5" ht="24" customHeight="1" x14ac:dyDescent="0.35">
      <c r="A44" s="32"/>
      <c r="B44" s="45" t="s">
        <v>1693</v>
      </c>
      <c r="C44" s="45"/>
      <c r="D44" s="45"/>
      <c r="E44" s="35"/>
    </row>
    <row r="45" spans="1:5" ht="12" customHeight="1" x14ac:dyDescent="0.35">
      <c r="A45" s="32"/>
      <c r="B45" s="50" t="s">
        <v>1609</v>
      </c>
      <c r="C45" s="50"/>
      <c r="D45" s="50"/>
      <c r="E45" s="8"/>
    </row>
    <row r="46" spans="1:5" ht="15" customHeight="1" x14ac:dyDescent="0.35">
      <c r="A46" s="37" t="s">
        <v>1610</v>
      </c>
      <c r="B46" s="37" t="s">
        <v>2</v>
      </c>
      <c r="C46" s="46" t="s">
        <v>1630</v>
      </c>
      <c r="D46" s="37" t="s">
        <v>1631</v>
      </c>
      <c r="E46" s="8"/>
    </row>
    <row r="47" spans="1:5" ht="12" customHeight="1" x14ac:dyDescent="0.35">
      <c r="A47" s="32"/>
      <c r="B47" s="50" t="s">
        <v>1609</v>
      </c>
      <c r="C47" s="50"/>
      <c r="D47" s="32"/>
      <c r="E47" s="8"/>
    </row>
    <row r="48" spans="1:5" ht="13" customHeight="1" x14ac:dyDescent="0.35">
      <c r="A48" s="44" t="s">
        <v>1632</v>
      </c>
      <c r="B48" s="38" t="s">
        <v>1633</v>
      </c>
      <c r="C48" s="32"/>
      <c r="D48" s="32"/>
      <c r="E48" s="8"/>
    </row>
    <row r="49" spans="1:5" ht="13" customHeight="1" x14ac:dyDescent="0.35">
      <c r="A49" s="39" t="s">
        <v>1634</v>
      </c>
      <c r="B49" s="40" t="s">
        <v>1635</v>
      </c>
      <c r="C49" s="47">
        <v>20</v>
      </c>
      <c r="D49" s="41">
        <v>20</v>
      </c>
      <c r="E49" s="8"/>
    </row>
    <row r="50" spans="1:5" ht="13" customHeight="1" x14ac:dyDescent="0.35">
      <c r="A50" s="39" t="s">
        <v>1636</v>
      </c>
      <c r="B50" s="40" t="s">
        <v>1637</v>
      </c>
      <c r="C50" s="47">
        <v>1.5</v>
      </c>
      <c r="D50" s="41">
        <v>1.5</v>
      </c>
      <c r="E50" s="8"/>
    </row>
    <row r="51" spans="1:5" ht="13" customHeight="1" x14ac:dyDescent="0.35">
      <c r="A51" s="39" t="s">
        <v>1638</v>
      </c>
      <c r="B51" s="40" t="s">
        <v>1639</v>
      </c>
      <c r="C51" s="47">
        <v>1</v>
      </c>
      <c r="D51" s="41">
        <v>1</v>
      </c>
      <c r="E51" s="8"/>
    </row>
    <row r="52" spans="1:5" ht="13" customHeight="1" x14ac:dyDescent="0.35">
      <c r="A52" s="39" t="s">
        <v>1640</v>
      </c>
      <c r="B52" s="40" t="s">
        <v>1641</v>
      </c>
      <c r="C52" s="47">
        <v>0.2</v>
      </c>
      <c r="D52" s="41">
        <v>0.2</v>
      </c>
      <c r="E52" s="8"/>
    </row>
    <row r="53" spans="1:5" ht="13" customHeight="1" x14ac:dyDescent="0.35">
      <c r="A53" s="39" t="s">
        <v>1642</v>
      </c>
      <c r="B53" s="40" t="s">
        <v>1643</v>
      </c>
      <c r="C53" s="47">
        <v>0.6</v>
      </c>
      <c r="D53" s="41">
        <v>0.6</v>
      </c>
      <c r="E53" s="8"/>
    </row>
    <row r="54" spans="1:5" ht="13" customHeight="1" x14ac:dyDescent="0.35">
      <c r="A54" s="39" t="s">
        <v>1644</v>
      </c>
      <c r="B54" s="40" t="s">
        <v>1645</v>
      </c>
      <c r="C54" s="47">
        <v>2.5</v>
      </c>
      <c r="D54" s="41">
        <v>2.5</v>
      </c>
      <c r="E54" s="8"/>
    </row>
    <row r="55" spans="1:5" ht="13" customHeight="1" x14ac:dyDescent="0.35">
      <c r="A55" s="39" t="s">
        <v>1646</v>
      </c>
      <c r="B55" s="40" t="s">
        <v>1647</v>
      </c>
      <c r="C55" s="47">
        <v>3</v>
      </c>
      <c r="D55" s="41">
        <v>3</v>
      </c>
      <c r="E55" s="8"/>
    </row>
    <row r="56" spans="1:5" ht="13" customHeight="1" x14ac:dyDescent="0.35">
      <c r="A56" s="39" t="s">
        <v>1648</v>
      </c>
      <c r="B56" s="40" t="s">
        <v>1649</v>
      </c>
      <c r="C56" s="47">
        <v>8</v>
      </c>
      <c r="D56" s="41">
        <v>8</v>
      </c>
      <c r="E56" s="8"/>
    </row>
    <row r="57" spans="1:5" ht="13" customHeight="1" x14ac:dyDescent="0.35">
      <c r="A57" s="39" t="s">
        <v>1650</v>
      </c>
      <c r="B57" s="40" t="s">
        <v>1651</v>
      </c>
      <c r="C57" s="47">
        <v>0</v>
      </c>
      <c r="D57" s="41">
        <v>0</v>
      </c>
      <c r="E57" s="8"/>
    </row>
    <row r="58" spans="1:5" ht="15" customHeight="1" x14ac:dyDescent="0.35">
      <c r="A58" s="32"/>
      <c r="B58" s="42" t="s">
        <v>704</v>
      </c>
      <c r="C58" s="43">
        <v>36.799999999999997</v>
      </c>
      <c r="D58" s="43">
        <v>36.799999999999997</v>
      </c>
      <c r="E58" s="8"/>
    </row>
    <row r="59" spans="1:5" ht="12" customHeight="1" x14ac:dyDescent="0.35">
      <c r="A59" s="32"/>
      <c r="B59" s="50" t="s">
        <v>1609</v>
      </c>
      <c r="C59" s="50"/>
      <c r="D59" s="32"/>
      <c r="E59" s="8"/>
    </row>
    <row r="60" spans="1:5" ht="13" customHeight="1" x14ac:dyDescent="0.35">
      <c r="A60" s="44" t="s">
        <v>1652</v>
      </c>
      <c r="B60" s="38" t="s">
        <v>1653</v>
      </c>
      <c r="C60" s="32"/>
      <c r="D60" s="32"/>
      <c r="E60" s="8"/>
    </row>
    <row r="61" spans="1:5" ht="13" customHeight="1" x14ac:dyDescent="0.35">
      <c r="A61" s="39" t="s">
        <v>1654</v>
      </c>
      <c r="B61" s="40" t="s">
        <v>1655</v>
      </c>
      <c r="C61" s="47">
        <v>17.86</v>
      </c>
      <c r="D61" s="41">
        <v>0</v>
      </c>
      <c r="E61" s="8"/>
    </row>
    <row r="62" spans="1:5" ht="13" customHeight="1" x14ac:dyDescent="0.35">
      <c r="A62" s="39" t="s">
        <v>1656</v>
      </c>
      <c r="B62" s="40" t="s">
        <v>1657</v>
      </c>
      <c r="C62" s="47">
        <v>3.93</v>
      </c>
      <c r="D62" s="41">
        <v>0</v>
      </c>
      <c r="E62" s="8"/>
    </row>
    <row r="63" spans="1:5" ht="13" customHeight="1" x14ac:dyDescent="0.35">
      <c r="A63" s="39" t="s">
        <v>1658</v>
      </c>
      <c r="B63" s="40" t="s">
        <v>1659</v>
      </c>
      <c r="C63" s="47">
        <v>0.85</v>
      </c>
      <c r="D63" s="41">
        <v>0.66</v>
      </c>
      <c r="E63" s="8"/>
    </row>
    <row r="64" spans="1:5" ht="13" customHeight="1" x14ac:dyDescent="0.35">
      <c r="A64" s="39" t="s">
        <v>1660</v>
      </c>
      <c r="B64" s="40" t="s">
        <v>1661</v>
      </c>
      <c r="C64" s="47">
        <v>10.82</v>
      </c>
      <c r="D64" s="41">
        <v>8.33</v>
      </c>
      <c r="E64" s="8"/>
    </row>
    <row r="65" spans="1:5" ht="13" customHeight="1" x14ac:dyDescent="0.35">
      <c r="A65" s="39" t="s">
        <v>1662</v>
      </c>
      <c r="B65" s="40" t="s">
        <v>1663</v>
      </c>
      <c r="C65" s="47">
        <v>7.0000000000000007E-2</v>
      </c>
      <c r="D65" s="41">
        <v>0.06</v>
      </c>
      <c r="E65" s="8"/>
    </row>
    <row r="66" spans="1:5" ht="13" customHeight="1" x14ac:dyDescent="0.35">
      <c r="A66" s="39" t="s">
        <v>1664</v>
      </c>
      <c r="B66" s="40" t="s">
        <v>1665</v>
      </c>
      <c r="C66" s="47">
        <v>0.72</v>
      </c>
      <c r="D66" s="41">
        <v>0.56000000000000005</v>
      </c>
      <c r="E66" s="8"/>
    </row>
    <row r="67" spans="1:5" ht="13" customHeight="1" x14ac:dyDescent="0.35">
      <c r="A67" s="39" t="s">
        <v>1666</v>
      </c>
      <c r="B67" s="40" t="s">
        <v>1667</v>
      </c>
      <c r="C67" s="47">
        <v>1.45</v>
      </c>
      <c r="D67" s="41">
        <v>0</v>
      </c>
      <c r="E67" s="8"/>
    </row>
    <row r="68" spans="1:5" ht="13" customHeight="1" x14ac:dyDescent="0.35">
      <c r="A68" s="39" t="s">
        <v>1668</v>
      </c>
      <c r="B68" s="40" t="s">
        <v>1669</v>
      </c>
      <c r="C68" s="47">
        <v>0.1</v>
      </c>
      <c r="D68" s="41">
        <v>0.08</v>
      </c>
      <c r="E68" s="8"/>
    </row>
    <row r="69" spans="1:5" ht="13" customHeight="1" x14ac:dyDescent="0.35">
      <c r="A69" s="39" t="s">
        <v>1670</v>
      </c>
      <c r="B69" s="40" t="s">
        <v>1671</v>
      </c>
      <c r="C69" s="47">
        <v>9.01</v>
      </c>
      <c r="D69" s="41">
        <v>6.94</v>
      </c>
      <c r="E69" s="8"/>
    </row>
    <row r="70" spans="1:5" ht="13" customHeight="1" x14ac:dyDescent="0.35">
      <c r="A70" s="39" t="s">
        <v>1672</v>
      </c>
      <c r="B70" s="40" t="s">
        <v>1673</v>
      </c>
      <c r="C70" s="47">
        <v>0.03</v>
      </c>
      <c r="D70" s="41">
        <v>0.02</v>
      </c>
      <c r="E70" s="8"/>
    </row>
    <row r="71" spans="1:5" ht="15" customHeight="1" x14ac:dyDescent="0.35">
      <c r="A71" s="32"/>
      <c r="B71" s="42" t="s">
        <v>704</v>
      </c>
      <c r="C71" s="43">
        <v>44.84</v>
      </c>
      <c r="D71" s="43">
        <v>16.650000000000002</v>
      </c>
      <c r="E71" s="8"/>
    </row>
    <row r="72" spans="1:5" ht="12" customHeight="1" x14ac:dyDescent="0.35">
      <c r="A72" s="32"/>
      <c r="B72" s="50" t="s">
        <v>1609</v>
      </c>
      <c r="C72" s="50"/>
      <c r="D72" s="32"/>
      <c r="E72" s="8"/>
    </row>
    <row r="73" spans="1:5" ht="13" customHeight="1" x14ac:dyDescent="0.35">
      <c r="A73" s="44" t="s">
        <v>1674</v>
      </c>
      <c r="B73" s="38" t="s">
        <v>1675</v>
      </c>
      <c r="C73" s="32"/>
      <c r="D73" s="32"/>
      <c r="E73" s="8"/>
    </row>
    <row r="74" spans="1:5" ht="13" customHeight="1" x14ac:dyDescent="0.35">
      <c r="A74" s="39" t="s">
        <v>1676</v>
      </c>
      <c r="B74" s="40" t="s">
        <v>1677</v>
      </c>
      <c r="C74" s="47">
        <v>4.76</v>
      </c>
      <c r="D74" s="41">
        <v>3.67</v>
      </c>
      <c r="E74" s="8"/>
    </row>
    <row r="75" spans="1:5" ht="13" customHeight="1" x14ac:dyDescent="0.35">
      <c r="A75" s="39" t="s">
        <v>1678</v>
      </c>
      <c r="B75" s="40" t="s">
        <v>1679</v>
      </c>
      <c r="C75" s="47">
        <v>0.11</v>
      </c>
      <c r="D75" s="41">
        <v>0.09</v>
      </c>
      <c r="E75" s="8"/>
    </row>
    <row r="76" spans="1:5" ht="13" customHeight="1" x14ac:dyDescent="0.35">
      <c r="A76" s="39" t="s">
        <v>1680</v>
      </c>
      <c r="B76" s="40" t="s">
        <v>1681</v>
      </c>
      <c r="C76" s="47">
        <v>4.3499999999999996</v>
      </c>
      <c r="D76" s="41">
        <v>3.35</v>
      </c>
      <c r="E76" s="8"/>
    </row>
    <row r="77" spans="1:5" ht="13" customHeight="1" x14ac:dyDescent="0.35">
      <c r="A77" s="39" t="s">
        <v>1682</v>
      </c>
      <c r="B77" s="40" t="s">
        <v>1683</v>
      </c>
      <c r="C77" s="47">
        <v>3.33</v>
      </c>
      <c r="D77" s="41">
        <v>2.56</v>
      </c>
      <c r="E77" s="8"/>
    </row>
    <row r="78" spans="1:5" ht="13" customHeight="1" x14ac:dyDescent="0.35">
      <c r="A78" s="39" t="s">
        <v>1684</v>
      </c>
      <c r="B78" s="40" t="s">
        <v>1685</v>
      </c>
      <c r="C78" s="47">
        <v>0.4</v>
      </c>
      <c r="D78" s="41">
        <v>0.31</v>
      </c>
      <c r="E78" s="8"/>
    </row>
    <row r="79" spans="1:5" ht="15" customHeight="1" x14ac:dyDescent="0.35">
      <c r="A79" s="32"/>
      <c r="B79" s="42" t="s">
        <v>704</v>
      </c>
      <c r="C79" s="43">
        <v>12.95</v>
      </c>
      <c r="D79" s="43">
        <v>9.98</v>
      </c>
      <c r="E79" s="8"/>
    </row>
    <row r="80" spans="1:5" ht="12" customHeight="1" x14ac:dyDescent="0.35">
      <c r="A80" s="32"/>
      <c r="B80" s="50" t="s">
        <v>1609</v>
      </c>
      <c r="C80" s="50"/>
      <c r="D80" s="32"/>
      <c r="E80" s="8"/>
    </row>
    <row r="81" spans="1:5" ht="13" customHeight="1" x14ac:dyDescent="0.35">
      <c r="A81" s="44" t="s">
        <v>1686</v>
      </c>
      <c r="B81" s="38" t="s">
        <v>1687</v>
      </c>
      <c r="C81" s="32"/>
      <c r="D81" s="32"/>
      <c r="E81" s="8"/>
    </row>
    <row r="82" spans="1:5" ht="13" customHeight="1" x14ac:dyDescent="0.35">
      <c r="A82" s="39" t="s">
        <v>1688</v>
      </c>
      <c r="B82" s="40" t="s">
        <v>1689</v>
      </c>
      <c r="C82" s="47">
        <v>16.5</v>
      </c>
      <c r="D82" s="41">
        <v>6.13</v>
      </c>
      <c r="E82" s="8"/>
    </row>
    <row r="83" spans="1:5" ht="18" customHeight="1" x14ac:dyDescent="0.35">
      <c r="A83" s="39" t="s">
        <v>1690</v>
      </c>
      <c r="B83" s="40" t="s">
        <v>1691</v>
      </c>
      <c r="C83" s="47">
        <v>0.42</v>
      </c>
      <c r="D83" s="41">
        <v>0.33</v>
      </c>
      <c r="E83" s="8"/>
    </row>
    <row r="84" spans="1:5" ht="15" customHeight="1" x14ac:dyDescent="0.35">
      <c r="A84" s="32"/>
      <c r="B84" s="42" t="s">
        <v>704</v>
      </c>
      <c r="C84" s="43">
        <v>16.920000000000002</v>
      </c>
      <c r="D84" s="43">
        <v>6.46</v>
      </c>
      <c r="E84" s="8"/>
    </row>
    <row r="85" spans="1:5" ht="15" customHeight="1" x14ac:dyDescent="0.35">
      <c r="A85" s="32"/>
      <c r="B85" s="50" t="s">
        <v>1609</v>
      </c>
      <c r="C85" s="50"/>
      <c r="D85" s="32"/>
      <c r="E85" s="8"/>
    </row>
    <row r="86" spans="1:5" ht="37" customHeight="1" x14ac:dyDescent="0.35">
      <c r="A86" s="32"/>
      <c r="B86" s="48" t="s">
        <v>1694</v>
      </c>
      <c r="C86" s="48"/>
      <c r="D86" s="48"/>
      <c r="E86" s="8"/>
    </row>
    <row r="87" spans="1:5" ht="24" customHeight="1" x14ac:dyDescent="0.35">
      <c r="A87" s="32"/>
      <c r="B87" s="45" t="s">
        <v>1693</v>
      </c>
      <c r="C87" s="45"/>
      <c r="D87" s="45"/>
      <c r="E87" s="35"/>
    </row>
  </sheetData>
  <mergeCells count="15">
    <mergeCell ref="B86:D86"/>
    <mergeCell ref="A1:D1"/>
    <mergeCell ref="B47:C47"/>
    <mergeCell ref="B59:C59"/>
    <mergeCell ref="B72:C72"/>
    <mergeCell ref="B80:C80"/>
    <mergeCell ref="B85:C85"/>
    <mergeCell ref="B37:C37"/>
    <mergeCell ref="B42:C42"/>
    <mergeCell ref="B43:D43"/>
    <mergeCell ref="B45:D45"/>
    <mergeCell ref="B2:D2"/>
    <mergeCell ref="B4:C4"/>
    <mergeCell ref="B16:C16"/>
    <mergeCell ref="B29:C29"/>
  </mergeCells>
  <pageMargins left="0" right="0" top="0" bottom="0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8</vt:i4>
      </vt:variant>
    </vt:vector>
  </HeadingPairs>
  <TitlesOfParts>
    <vt:vector size="14" baseType="lpstr">
      <vt:lpstr>RESUMO</vt:lpstr>
      <vt:lpstr>PLANILHA ORCAMENTARIA</vt:lpstr>
      <vt:lpstr>COMPOSICOES</vt:lpstr>
      <vt:lpstr>CRONOGRAMA</vt:lpstr>
      <vt:lpstr>BDI</vt:lpstr>
      <vt:lpstr>ENCARGOS SOCIAIS</vt:lpstr>
      <vt:lpstr>CRONOGRAMA!Area_de_impressao</vt:lpstr>
      <vt:lpstr>JR_PAGE_ANCHOR_0_1</vt:lpstr>
      <vt:lpstr>JR_PAGE_ANCHOR_1_1</vt:lpstr>
      <vt:lpstr>JR_PAGE_ANCHOR_2_1</vt:lpstr>
      <vt:lpstr>JR_PAGE_ANCHOR_3_1</vt:lpstr>
      <vt:lpstr>JR_PAGE_ANCHOR_4_1</vt:lpstr>
      <vt:lpstr>JR_PAGE_ANCHOR_5_1</vt:lpstr>
      <vt:lpstr>CRONOGRAMA!Titulos_de_impressao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2026-08-03T14:05:31Z</dcterms:modified>
</cp:coreProperties>
</file>