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ugl\Desktop\Eng\Work\RELATÓRIOS\prefeitura-docs\obras-arquivos\or0019-campo-futebol-conc100022025-geo\campo-futebol-geopb\3-campo-futebol-medicoes\campo-futebol-bm04\"/>
    </mc:Choice>
  </mc:AlternateContent>
  <xr:revisionPtr revIDLastSave="0" documentId="13_ncr:1_{DCC563C2-D21C-4526-BE42-A25ACD654C6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OLETIM DE MEDIÇÃO 04" sheetId="1" r:id="rId1"/>
    <sheet name="MEMORIAL DE CALCULO 04A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5" i="6" l="1"/>
  <c r="L25" i="6"/>
  <c r="L26" i="6"/>
  <c r="L27" i="6"/>
  <c r="L31" i="6"/>
  <c r="L32" i="6"/>
  <c r="L33" i="6"/>
  <c r="L34" i="6"/>
  <c r="L24" i="6"/>
  <c r="K35" i="6"/>
  <c r="K29" i="6"/>
  <c r="K30" i="6"/>
  <c r="K28" i="6"/>
  <c r="K25" i="6"/>
  <c r="K31" i="6"/>
  <c r="K32" i="6"/>
  <c r="K33" i="6"/>
  <c r="K34" i="6"/>
  <c r="K24" i="6"/>
  <c r="J35" i="6"/>
  <c r="I35" i="6"/>
  <c r="H35" i="6"/>
  <c r="L11" i="6"/>
  <c r="L9" i="6"/>
  <c r="L10" i="6"/>
  <c r="L8" i="6"/>
  <c r="I10" i="6"/>
  <c r="I9" i="6"/>
  <c r="I8" i="6"/>
  <c r="J9" i="6"/>
  <c r="J10" i="6"/>
  <c r="J8" i="6"/>
  <c r="N187" i="1"/>
  <c r="N186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72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43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07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59" i="1"/>
  <c r="N49" i="1"/>
  <c r="N50" i="1"/>
  <c r="N51" i="1"/>
  <c r="N52" i="1"/>
  <c r="N53" i="1"/>
  <c r="N54" i="1"/>
  <c r="N55" i="1"/>
  <c r="N56" i="1"/>
  <c r="N57" i="1"/>
  <c r="N48" i="1"/>
  <c r="N39" i="1"/>
  <c r="N40" i="1"/>
  <c r="N41" i="1"/>
  <c r="N42" i="1"/>
  <c r="N43" i="1"/>
  <c r="N44" i="1"/>
  <c r="N45" i="1"/>
  <c r="N46" i="1"/>
  <c r="N38" i="1"/>
  <c r="N26" i="1"/>
  <c r="N27" i="1"/>
  <c r="N28" i="1"/>
  <c r="N29" i="1"/>
  <c r="N30" i="1"/>
  <c r="N31" i="1"/>
  <c r="N32" i="1"/>
  <c r="N33" i="1"/>
  <c r="N34" i="1"/>
  <c r="N35" i="1"/>
  <c r="N36" i="1"/>
  <c r="N25" i="1"/>
  <c r="N19" i="1"/>
  <c r="N20" i="1"/>
  <c r="N21" i="1"/>
  <c r="N22" i="1"/>
  <c r="N23" i="1"/>
  <c r="N18" i="1"/>
  <c r="N14" i="1"/>
  <c r="N15" i="1"/>
  <c r="N16" i="1"/>
  <c r="N13" i="1"/>
  <c r="N9" i="1"/>
  <c r="N10" i="1"/>
  <c r="N11" i="1"/>
  <c r="N8" i="1"/>
  <c r="K150" i="1"/>
  <c r="K187" i="1"/>
  <c r="K186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72" i="1"/>
  <c r="K144" i="1"/>
  <c r="K145" i="1"/>
  <c r="K146" i="1"/>
  <c r="K147" i="1"/>
  <c r="K148" i="1"/>
  <c r="K149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43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07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59" i="1"/>
  <c r="K49" i="1"/>
  <c r="K50" i="1"/>
  <c r="K51" i="1"/>
  <c r="K52" i="1"/>
  <c r="K53" i="1"/>
  <c r="K54" i="1"/>
  <c r="K55" i="1"/>
  <c r="K56" i="1"/>
  <c r="K57" i="1"/>
  <c r="K48" i="1"/>
  <c r="K39" i="1"/>
  <c r="K40" i="1"/>
  <c r="K41" i="1"/>
  <c r="K42" i="1"/>
  <c r="K43" i="1"/>
  <c r="K44" i="1"/>
  <c r="K45" i="1"/>
  <c r="K46" i="1"/>
  <c r="K3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18" i="1"/>
  <c r="K9" i="1"/>
  <c r="K10" i="1"/>
  <c r="K11" i="1"/>
  <c r="K12" i="1"/>
  <c r="K13" i="1"/>
  <c r="K14" i="1"/>
  <c r="K15" i="1"/>
  <c r="K16" i="1"/>
  <c r="K8" i="1"/>
  <c r="G26" i="1"/>
  <c r="G27" i="1"/>
  <c r="G28" i="1"/>
  <c r="G29" i="1"/>
  <c r="G30" i="1"/>
  <c r="G31" i="1"/>
  <c r="G32" i="1"/>
  <c r="G33" i="1"/>
  <c r="G34" i="1"/>
  <c r="G35" i="1"/>
  <c r="G36" i="1"/>
  <c r="G25" i="1"/>
  <c r="G19" i="1"/>
  <c r="G20" i="1"/>
  <c r="G21" i="1"/>
  <c r="G22" i="1"/>
  <c r="G23" i="1"/>
  <c r="G18" i="1"/>
  <c r="M188" i="1"/>
  <c r="O186" i="1" l="1"/>
  <c r="O29" i="1"/>
  <c r="O31" i="1"/>
  <c r="O32" i="1"/>
  <c r="O19" i="1"/>
  <c r="O20" i="1"/>
  <c r="O21" i="1"/>
  <c r="O28" i="1"/>
  <c r="O40" i="1"/>
  <c r="O41" i="1"/>
  <c r="O42" i="1"/>
  <c r="O48" i="1"/>
  <c r="O49" i="1"/>
  <c r="O50" i="1"/>
  <c r="O52" i="1"/>
  <c r="O56" i="1"/>
  <c r="O60" i="1"/>
  <c r="O64" i="1"/>
  <c r="O66" i="1"/>
  <c r="O72" i="1"/>
  <c r="O73" i="1"/>
  <c r="O74" i="1"/>
  <c r="O80" i="1"/>
  <c r="O81" i="1"/>
  <c r="O82" i="1"/>
  <c r="O84" i="1"/>
  <c r="O88" i="1"/>
  <c r="O90" i="1"/>
  <c r="O92" i="1"/>
  <c r="O96" i="1"/>
  <c r="O98" i="1"/>
  <c r="O104" i="1"/>
  <c r="O105" i="1"/>
  <c r="O112" i="1"/>
  <c r="O113" i="1"/>
  <c r="O114" i="1"/>
  <c r="O116" i="1"/>
  <c r="O120" i="1"/>
  <c r="O122" i="1"/>
  <c r="O124" i="1"/>
  <c r="O128" i="1"/>
  <c r="O130" i="1"/>
  <c r="O136" i="1"/>
  <c r="O137" i="1"/>
  <c r="O138" i="1"/>
  <c r="O145" i="1"/>
  <c r="O148" i="1"/>
  <c r="O152" i="1"/>
  <c r="O156" i="1"/>
  <c r="O168" i="1"/>
  <c r="O169" i="1"/>
  <c r="O177" i="1"/>
  <c r="O11" i="1"/>
  <c r="O13" i="1"/>
  <c r="O14" i="1"/>
  <c r="O15" i="1"/>
  <c r="O23" i="1"/>
  <c r="O27" i="1"/>
  <c r="O33" i="1"/>
  <c r="O35" i="1"/>
  <c r="O38" i="1"/>
  <c r="O39" i="1"/>
  <c r="O43" i="1"/>
  <c r="O44" i="1"/>
  <c r="O45" i="1"/>
  <c r="O46" i="1"/>
  <c r="O51" i="1"/>
  <c r="O53" i="1"/>
  <c r="O54" i="1"/>
  <c r="O55" i="1"/>
  <c r="O59" i="1"/>
  <c r="O61" i="1"/>
  <c r="O62" i="1"/>
  <c r="O63" i="1"/>
  <c r="O65" i="1"/>
  <c r="O67" i="1"/>
  <c r="O69" i="1"/>
  <c r="O70" i="1"/>
  <c r="O71" i="1"/>
  <c r="O75" i="1"/>
  <c r="O76" i="1"/>
  <c r="O77" i="1"/>
  <c r="O78" i="1"/>
  <c r="O79" i="1"/>
  <c r="O83" i="1"/>
  <c r="O85" i="1"/>
  <c r="O86" i="1"/>
  <c r="O87" i="1"/>
  <c r="O91" i="1"/>
  <c r="O93" i="1"/>
  <c r="O94" i="1"/>
  <c r="O95" i="1"/>
  <c r="O97" i="1"/>
  <c r="O99" i="1"/>
  <c r="O101" i="1"/>
  <c r="O102" i="1"/>
  <c r="O103" i="1"/>
  <c r="O107" i="1"/>
  <c r="O108" i="1"/>
  <c r="O109" i="1"/>
  <c r="O110" i="1"/>
  <c r="O111" i="1"/>
  <c r="O115" i="1"/>
  <c r="O117" i="1"/>
  <c r="O118" i="1"/>
  <c r="O119" i="1"/>
  <c r="O123" i="1"/>
  <c r="O125" i="1"/>
  <c r="O126" i="1"/>
  <c r="O127" i="1"/>
  <c r="O129" i="1"/>
  <c r="O131" i="1"/>
  <c r="O133" i="1"/>
  <c r="O134" i="1"/>
  <c r="O135" i="1"/>
  <c r="O139" i="1"/>
  <c r="O140" i="1"/>
  <c r="O141" i="1"/>
  <c r="O143" i="1"/>
  <c r="O147" i="1"/>
  <c r="O149" i="1"/>
  <c r="O150" i="1"/>
  <c r="O151" i="1"/>
  <c r="O155" i="1"/>
  <c r="O157" i="1"/>
  <c r="O158" i="1"/>
  <c r="O159" i="1"/>
  <c r="O161" i="1"/>
  <c r="O163" i="1"/>
  <c r="O165" i="1"/>
  <c r="O166" i="1"/>
  <c r="O167" i="1"/>
  <c r="O172" i="1"/>
  <c r="O173" i="1"/>
  <c r="O174" i="1"/>
  <c r="O175" i="1"/>
  <c r="O178" i="1"/>
  <c r="O179" i="1"/>
  <c r="O180" i="1"/>
  <c r="O181" i="1"/>
  <c r="O182" i="1"/>
  <c r="O183" i="1"/>
  <c r="O187" i="1"/>
  <c r="N185" i="1" l="1"/>
  <c r="O30" i="1"/>
  <c r="O22" i="1"/>
  <c r="O18" i="1"/>
  <c r="O37" i="1"/>
  <c r="O164" i="1"/>
  <c r="O153" i="1"/>
  <c r="O132" i="1"/>
  <c r="O121" i="1"/>
  <c r="O100" i="1"/>
  <c r="O89" i="1"/>
  <c r="O68" i="1"/>
  <c r="O57" i="1"/>
  <c r="O47" i="1" s="1"/>
  <c r="O36" i="1"/>
  <c r="O25" i="1"/>
  <c r="O9" i="1"/>
  <c r="N171" i="1"/>
  <c r="O185" i="1"/>
  <c r="N12" i="1"/>
  <c r="O170" i="1"/>
  <c r="O162" i="1"/>
  <c r="O154" i="1"/>
  <c r="O146" i="1"/>
  <c r="O34" i="1"/>
  <c r="O26" i="1"/>
  <c r="O10" i="1"/>
  <c r="N7" i="1"/>
  <c r="O176" i="1"/>
  <c r="O160" i="1"/>
  <c r="O144" i="1"/>
  <c r="O184" i="1"/>
  <c r="O16" i="1"/>
  <c r="O12" i="1" s="1"/>
  <c r="O8" i="1"/>
  <c r="O17" i="1" l="1"/>
  <c r="O58" i="1"/>
  <c r="O106" i="1"/>
  <c r="N24" i="1"/>
  <c r="N37" i="1"/>
  <c r="N17" i="1"/>
  <c r="O171" i="1"/>
  <c r="N47" i="1"/>
  <c r="N142" i="1"/>
  <c r="O24" i="1"/>
  <c r="O142" i="1"/>
  <c r="N58" i="1"/>
  <c r="O7" i="1"/>
  <c r="N106" i="1"/>
  <c r="N188" i="1" l="1"/>
  <c r="O188" i="1"/>
</calcChain>
</file>

<file path=xl/sharedStrings.xml><?xml version="1.0" encoding="utf-8"?>
<sst xmlns="http://schemas.openxmlformats.org/spreadsheetml/2006/main" count="991" uniqueCount="581">
  <si>
    <t>Obra</t>
  </si>
  <si>
    <t>Bancos</t>
  </si>
  <si>
    <t>B.D.I.</t>
  </si>
  <si>
    <t>Encargos Sociais</t>
  </si>
  <si>
    <t xml:space="preserve">SINAPI - 09/2025 - Paraíba
SBC - 10/2025 - Paraíba
SICRO3 - 07/2025 - Paraíba
ORSE - 05/2025 - Sergipe
</t>
  </si>
  <si>
    <t>27,89%</t>
  </si>
  <si>
    <t>Desonerado: embutido nos preços unitário dos insumos de mão de obra, de acordo com as bases.</t>
  </si>
  <si>
    <t xml:space="preserve"> 1 </t>
  </si>
  <si>
    <t xml:space="preserve">  </t>
  </si>
  <si>
    <t>SERVIÇOS PRELIMINARES</t>
  </si>
  <si>
    <t xml:space="preserve"> 1.1 </t>
  </si>
  <si>
    <t xml:space="preserve"> 103689 </t>
  </si>
  <si>
    <t>SINAPI</t>
  </si>
  <si>
    <t>FORNECIMENTO E INSTALAÇÃO DE PLACA DE OBRA COM CHAPA GALVANIZADA E ESTRUTURA DE MADEIRA. AF_03/2022_PS</t>
  </si>
  <si>
    <t>m²</t>
  </si>
  <si>
    <t xml:space="preserve"> 1.2 </t>
  </si>
  <si>
    <t xml:space="preserve"> 57 </t>
  </si>
  <si>
    <t>ORSE</t>
  </si>
  <si>
    <t>Barracão para escritório de obra porte grande s=53,24m2 com materiais novos</t>
  </si>
  <si>
    <t>un</t>
  </si>
  <si>
    <t xml:space="preserve"> 1.3 </t>
  </si>
  <si>
    <t xml:space="preserve"> 012095 </t>
  </si>
  <si>
    <t>SBC</t>
  </si>
  <si>
    <t>CONTAINER REFEITORIO 12.12x2,44x2.57 C/5 MESAS/BANCOS/PIA</t>
  </si>
  <si>
    <t>MES</t>
  </si>
  <si>
    <t xml:space="preserve"> 1.4 </t>
  </si>
  <si>
    <t xml:space="preserve"> 98459 </t>
  </si>
  <si>
    <t>TAPUME COM TELHA METÁLICA. AF_03/2024</t>
  </si>
  <si>
    <t xml:space="preserve"> 2 </t>
  </si>
  <si>
    <t>ADMINISTRAÇÃO LOCAL</t>
  </si>
  <si>
    <t xml:space="preserve"> 2.1 </t>
  </si>
  <si>
    <t xml:space="preserve"> 93567 </t>
  </si>
  <si>
    <t>ENGENHEIRO CIVIL DE OBRA PLENO COM ENCARGOS COMPLEMENTARES</t>
  </si>
  <si>
    <t xml:space="preserve"> 2.2 </t>
  </si>
  <si>
    <t xml:space="preserve"> 93572 </t>
  </si>
  <si>
    <t>ENCARREGADO GERAL DE OBRAS COM ENCARGOS COMPLEMENTARES</t>
  </si>
  <si>
    <t xml:space="preserve"> 2.3 </t>
  </si>
  <si>
    <t xml:space="preserve"> 94295 </t>
  </si>
  <si>
    <t>MESTRE DE OBRAS COM ENCARGOS COMPLEMENTARES</t>
  </si>
  <si>
    <t xml:space="preserve"> 2.4 </t>
  </si>
  <si>
    <t xml:space="preserve"> 73618 </t>
  </si>
  <si>
    <t>LOCACAO MENSAL DE ANDAIME METALICO TIPO FACHADEIRO, INCLUSIVE MONTAGEM</t>
  </si>
  <si>
    <t xml:space="preserve"> 3 </t>
  </si>
  <si>
    <t>SERVIÇOS DE DEMOLIÇÃO</t>
  </si>
  <si>
    <t xml:space="preserve"> 3.1 </t>
  </si>
  <si>
    <t xml:space="preserve"> 97626 </t>
  </si>
  <si>
    <t>DEMOLIÇÃO DE PILARES E VIGAS EM CONCRETO ARMADO, DE FORMA MANUAL, SEM REAPROVEITAMENTO. AF_09/2023</t>
  </si>
  <si>
    <t>m³</t>
  </si>
  <si>
    <t xml:space="preserve"> 3.2 </t>
  </si>
  <si>
    <t xml:space="preserve"> 97624 </t>
  </si>
  <si>
    <t>DEMOLIÇÃO DE ALVENARIA DE TIJOLO MACIÇO, DE FORMA MANUAL, SEM REAPROVEITAMENTO. AF_09/2023</t>
  </si>
  <si>
    <t xml:space="preserve"> 3.3 </t>
  </si>
  <si>
    <t xml:space="preserve"> 9743 </t>
  </si>
  <si>
    <t>Remoção de tesoura completa em madeira serrada, para telhados com vãos de 7m</t>
  </si>
  <si>
    <t xml:space="preserve"> 3.4 </t>
  </si>
  <si>
    <t xml:space="preserve"> 5915321 </t>
  </si>
  <si>
    <t>SICRO3</t>
  </si>
  <si>
    <t>Transporte com caminhão basculante de 14 m³ - rodovia pavimentada</t>
  </si>
  <si>
    <t>tkm</t>
  </si>
  <si>
    <t xml:space="preserve"> 3.5 </t>
  </si>
  <si>
    <t xml:space="preserve"> 100981 </t>
  </si>
  <si>
    <t>CARGA, MANOBRA E DESCARGA DE ENTULHO EM CAMINHÃO BASCULANTE 6 M³ - CARGA COM ESCAVADEIRA HIDRÁULICA (CAÇAMBA DE 0,80 M³ / 111 HP) E DESCARGA LIVRE (UNIDADE: M3). AF_07/2020</t>
  </si>
  <si>
    <t xml:space="preserve"> 3.6 </t>
  </si>
  <si>
    <t xml:space="preserve"> 74244/033 </t>
  </si>
  <si>
    <t>Próprio</t>
  </si>
  <si>
    <t>DESTINAÇÃO EM ATERRO SANITÁRIO</t>
  </si>
  <si>
    <t xml:space="preserve"> 4 </t>
  </si>
  <si>
    <t>MURO DE CONTORNO</t>
  </si>
  <si>
    <t xml:space="preserve"> 4.1 </t>
  </si>
  <si>
    <t xml:space="preserve"> 96527 </t>
  </si>
  <si>
    <t>ESCAVAÇÃO MANUAL PARA VIGA BALDRAME OU SAPATA CORRIDA (INCLUINDO ESCAVAÇÃO PARA COLOCAÇÃO DE FÔRMAS). AF_01/2024</t>
  </si>
  <si>
    <t xml:space="preserve"> 4.2 </t>
  </si>
  <si>
    <t xml:space="preserve"> 73361 </t>
  </si>
  <si>
    <t>CONCRETO CICLOPICO FCK=10MPA 30% PEDRA DE MAO INCLUSIVE LANCAMENTO</t>
  </si>
  <si>
    <t xml:space="preserve"> 4.3 </t>
  </si>
  <si>
    <t xml:space="preserve"> 73907/006 </t>
  </si>
  <si>
    <t>LASTRO DE CONCRETO, E=3CM, PREPARO MECÂNICO, INCLUSOS LANÇAMENTO E ADENSAMENTO</t>
  </si>
  <si>
    <t xml:space="preserve"> 4.4 </t>
  </si>
  <si>
    <t xml:space="preserve"> 73990/001 </t>
  </si>
  <si>
    <t>ARMACAO ACO CA-50 P/1,0M3 DE CONCRETO</t>
  </si>
  <si>
    <t>UN</t>
  </si>
  <si>
    <t xml:space="preserve"> 4.5 </t>
  </si>
  <si>
    <t xml:space="preserve"> 94964 </t>
  </si>
  <si>
    <t>CONCRETO FCK = 20MPA, TRAÇO 1:2,7:3 (EM MASSA SECA DE CIMENTO/ AREIA MÉDIA/ BRITA 1) - PREPARO MECÂNICO COM BETONEIRA 400 L. AF_05/2021</t>
  </si>
  <si>
    <t xml:space="preserve"> 4.6 </t>
  </si>
  <si>
    <t xml:space="preserve"> 103670 </t>
  </si>
  <si>
    <t>LANÇAMENTO COM USO DE BALDES, ADENSAMENTO E ACABAMENTO DE CONCRETO EM ESTRUTURAS. AF_02/2022</t>
  </si>
  <si>
    <t xml:space="preserve"> 4.7 </t>
  </si>
  <si>
    <t xml:space="preserve"> 73410 </t>
  </si>
  <si>
    <t>FORMA PLANA P/VIGA, PILAR E PAREDE EM CHAPA RESINADA E= 10 MM</t>
  </si>
  <si>
    <t xml:space="preserve"> 4.8 </t>
  </si>
  <si>
    <t xml:space="preserve"> 103353 </t>
  </si>
  <si>
    <t>ALVENARIA DE VEDAÇÃO DE BLOCOS CERÂMICOS FURADOS NA HORIZONTAL DE 9X14X24 CM (ESPESSURA 9 CM) E ARGAMASSA DE ASSENTAMENTO COM PREPARO MANUAL. AF_12/2021</t>
  </si>
  <si>
    <t xml:space="preserve"> 4.9 </t>
  </si>
  <si>
    <t xml:space="preserve"> 87893 </t>
  </si>
  <si>
    <t>CHAPISCO APLICADO EM ALVENARIA (SEM PRESENÇA DE VÃOS) E ESTRUTURAS DE CONCRETO DE FACHADA, COM COLHER DE PEDREIRO. ARGAMASSA TRAÇO 1:3 COM PREPARO MANUAL. AF_10/2022</t>
  </si>
  <si>
    <t xml:space="preserve"> 4.10 </t>
  </si>
  <si>
    <t xml:space="preserve"> 87777 </t>
  </si>
  <si>
    <t>EMBOÇO OU MASSA ÚNICA EM ARGAMASSA TRAÇO 1:2:8, PREPARO MANUAL, APLICADA MANUALMENTE EM PANOS DE FACHADA COM PRESENÇA DE VÃOS, ESPESSURA DE 25 MM. AF_08/2022</t>
  </si>
  <si>
    <t xml:space="preserve"> 4.11 </t>
  </si>
  <si>
    <t xml:space="preserve"> 88485 </t>
  </si>
  <si>
    <t>FUNDO SELADOR ACRÍLICO, APLICAÇÃO MANUAL EM PAREDE, UMA DEMÃO. AF_04/2023</t>
  </si>
  <si>
    <t xml:space="preserve"> 4.12 </t>
  </si>
  <si>
    <t xml:space="preserve"> 73415 </t>
  </si>
  <si>
    <t>PINTURA PVA, TRES DEMAOS</t>
  </si>
  <si>
    <t xml:space="preserve"> 5 </t>
  </si>
  <si>
    <t>URBANIZAÇÃO</t>
  </si>
  <si>
    <t xml:space="preserve"> 5.1 </t>
  </si>
  <si>
    <t xml:space="preserve"> 94264 </t>
  </si>
  <si>
    <t>GUIA (MEIO-FIO) CONCRETO, MOLDADA IN LOCO EM TRECHO CURVO COM EXTRUSORA, 13 CM BASE X 22 CM ALTURA. AF_01/2024</t>
  </si>
  <si>
    <t>M</t>
  </si>
  <si>
    <t xml:space="preserve"> 5.2 </t>
  </si>
  <si>
    <t xml:space="preserve"> 93679 </t>
  </si>
  <si>
    <t>EXECUÇÃO DE PASSEIO EM PISO INTERTRAVADO, COM BLOCO RETANGULAR COLORIDO DE 20 X 10 CM, ESPESSURA 6 CM. AF_10/2022</t>
  </si>
  <si>
    <t xml:space="preserve"> 5.3 </t>
  </si>
  <si>
    <t xml:space="preserve"> 73817/001 </t>
  </si>
  <si>
    <t>EMBASAMENTO DE MATERIAL GRANULAR - PO DE PEDRA</t>
  </si>
  <si>
    <t xml:space="preserve"> 5.4 </t>
  </si>
  <si>
    <t xml:space="preserve"> 85180 </t>
  </si>
  <si>
    <t>PLANTIO DE GRAMA ESMERALDA EM ROLO</t>
  </si>
  <si>
    <t xml:space="preserve"> 5.5 </t>
  </si>
  <si>
    <t xml:space="preserve"> 2394 </t>
  </si>
  <si>
    <t>Fornecimento e espalhamento de terra vegetal preparada</t>
  </si>
  <si>
    <t xml:space="preserve"> 5.6 </t>
  </si>
  <si>
    <t xml:space="preserve"> 13765 </t>
  </si>
  <si>
    <t>Banco em concreto medidas: 2,00 x 2,00 m, revestido em porcelanato amadeirado (assento) estrutura revestida em porcelanato cimento queimado, inclusive jardineira</t>
  </si>
  <si>
    <t xml:space="preserve"> 5.7 </t>
  </si>
  <si>
    <t xml:space="preserve"> 2411 </t>
  </si>
  <si>
    <t>Banco com encosto, compr=1,50m, largura=30cm, pé de ferro fundido e com 10 réguas de madeira, inclusive pintura</t>
  </si>
  <si>
    <t xml:space="preserve"> 5.8 </t>
  </si>
  <si>
    <t xml:space="preserve"> 00000042 </t>
  </si>
  <si>
    <t>BANCO DE CONCRETO EM ALVENARIA DE TIJOLOS, ASSENTO EM  CONCRETO ARMADO, SEM ENCOSTO, PINTADO COM TINTA ACRÍLICA, 2  DEMÃOS</t>
  </si>
  <si>
    <t xml:space="preserve"> 5.9 </t>
  </si>
  <si>
    <t xml:space="preserve"> 98511 </t>
  </si>
  <si>
    <t>PLANTIO DE ÁRVORE ORNAMENTAL COM ALTURA DE MUDA MAIOR QUE 2,00 M E MENOR OU IGUAL A 4,00 M . AF_07/2024</t>
  </si>
  <si>
    <t xml:space="preserve"> 6 </t>
  </si>
  <si>
    <t>ARCO - MONUMENTAL</t>
  </si>
  <si>
    <t xml:space="preserve"> 6.1 </t>
  </si>
  <si>
    <t xml:space="preserve"> 96523 </t>
  </si>
  <si>
    <t>ESCAVAÇÃO MANUAL PARA BLOCO DE COROAMENTO OU SAPATA (INCLUINDO ESCAVAÇÃO PARA COLOCAÇÃO DE FÔRMAS). AF_01/2024</t>
  </si>
  <si>
    <t xml:space="preserve"> 6.2 </t>
  </si>
  <si>
    <t xml:space="preserve"> 5970 </t>
  </si>
  <si>
    <t>FORMA TABUA PARA CONCRETO EM FUNDACAO, C/ REAPROVEITAMENTO 2X.</t>
  </si>
  <si>
    <t xml:space="preserve"> 6.3 </t>
  </si>
  <si>
    <t xml:space="preserve"> 96616 </t>
  </si>
  <si>
    <t>LASTRO DE CONCRETO MAGRO, APLICADO EM BLOCOS DE COROAMENTO OU SAPATAS. AF_01/2024</t>
  </si>
  <si>
    <t xml:space="preserve"> 6.4 </t>
  </si>
  <si>
    <t xml:space="preserve"> 95957 </t>
  </si>
  <si>
    <t>(COMPOSIÇÃO REPRESENTATIVA) EXECUÇÃO DE ESTRUTURAS DE CONCRETO ARMADO, PARA EDIFICAÇÃO INSTITUCIONAL TÉRREA, FCK = 25 MPA. AF_01/2017</t>
  </si>
  <si>
    <t xml:space="preserve"> 6.5 </t>
  </si>
  <si>
    <t xml:space="preserve"> 100014 </t>
  </si>
  <si>
    <t>ESTRUTURA ACO PERFIL METALICO (22,153kg/m2)</t>
  </si>
  <si>
    <t xml:space="preserve"> 6.6 </t>
  </si>
  <si>
    <t xml:space="preserve"> 040339 </t>
  </si>
  <si>
    <t>SOLDA FILETE PERFIL DE ACO I-PORTICO ESTRUTURAL SOLDADO</t>
  </si>
  <si>
    <t xml:space="preserve"> 6.7 </t>
  </si>
  <si>
    <t xml:space="preserve"> 023478 </t>
  </si>
  <si>
    <t>PINTURA ESMALTE 2 DEMAOS CAIXILHO DE FERRO C/ MASSA E ZARCAO</t>
  </si>
  <si>
    <t xml:space="preserve"> 6.8 </t>
  </si>
  <si>
    <t xml:space="preserve"> 121581 </t>
  </si>
  <si>
    <t>PAINEL COMPOSTO (ACM) E=4mm</t>
  </si>
  <si>
    <t xml:space="preserve"> 6.9 </t>
  </si>
  <si>
    <t xml:space="preserve"> 062432 </t>
  </si>
  <si>
    <t>PONTO TOMADA 300W ELETRODUTO PVC</t>
  </si>
  <si>
    <t xml:space="preserve"> 6.10 </t>
  </si>
  <si>
    <t xml:space="preserve"> 105548 </t>
  </si>
  <si>
    <t>PERFIL COM FITA LED - FORNECIMENTO E INSTALAÇÃO. AF_09/2024</t>
  </si>
  <si>
    <t xml:space="preserve"> 7 </t>
  </si>
  <si>
    <t>QUIOSQUES</t>
  </si>
  <si>
    <t xml:space="preserve"> 7.1 </t>
  </si>
  <si>
    <t xml:space="preserve"> 96526 </t>
  </si>
  <si>
    <t>ESCAVAÇÃO MANUAL PARA VIGA BALDRAME OU SAPATA CORRIDA (SEM ESCAVAÇÃO PARA COLOCAÇÃO DE FÔRMAS). AF_01/2024</t>
  </si>
  <si>
    <t xml:space="preserve"> 7.2 </t>
  </si>
  <si>
    <t xml:space="preserve"> 7.3 </t>
  </si>
  <si>
    <t xml:space="preserve"> 7.4 </t>
  </si>
  <si>
    <t xml:space="preserve"> 7.5 </t>
  </si>
  <si>
    <t xml:space="preserve"> 7.6 </t>
  </si>
  <si>
    <t xml:space="preserve"> 92806 </t>
  </si>
  <si>
    <t>CORTE E DOBRA DE AÇO CA-50, DIÂMETRO DE 20,0 MM. AF_06/2022</t>
  </si>
  <si>
    <t>KG</t>
  </si>
  <si>
    <t xml:space="preserve"> 7.7 </t>
  </si>
  <si>
    <t xml:space="preserve"> 103350 </t>
  </si>
  <si>
    <t>ALVENARIA DE VEDAÇÃO DE BLOCOS CERÂMICOS FURADOS NA HORIZONTAL DE 9X9X19 CM (ESPESSURA 9 CM) E ARGAMASSA DE ASSENTAMENTO COM PREPARO EM BETONEIRA. AF_12/2021</t>
  </si>
  <si>
    <t xml:space="preserve"> 7.8 </t>
  </si>
  <si>
    <t xml:space="preserve"> 87878 </t>
  </si>
  <si>
    <t>CHAPISCO APLICADO EM ALVENARIAS E ESTRUTURAS DE CONCRETO INTERNAS, COM COLHER DE PEDREIRO. ARGAMASSA TRAÇO 1:3 COM PREPARO MANUAL. AF_10/2022</t>
  </si>
  <si>
    <t xml:space="preserve"> 7.9 </t>
  </si>
  <si>
    <t xml:space="preserve"> 75481 </t>
  </si>
  <si>
    <t>REBOCO ARGAMASSA TRACO 1:2 (CAL E AREIA FINA PENEIRADA), ESPESSURA 0,5CM, PREPARO MANUAL DA ARGAMASSA</t>
  </si>
  <si>
    <t xml:space="preserve"> 7.10 </t>
  </si>
  <si>
    <t xml:space="preserve"> 105024 </t>
  </si>
  <si>
    <t>VERGA MOLDADA IN LOCO EM CONCRETO, ESPESSURA DE *10* CM. AF_03/2024</t>
  </si>
  <si>
    <t xml:space="preserve"> 7.11 </t>
  </si>
  <si>
    <t xml:space="preserve"> 90944 </t>
  </si>
  <si>
    <t>CONTRAPISO ACÚSTICO EM ARGAMASSA PRONTA, PREPARO MANUAL, APLICADO EM ÁREAS SECA, ACABAMENTO NÃO REFORÇADO, ESPESSURA 6CM. AF_07/2021</t>
  </si>
  <si>
    <t xml:space="preserve"> 7.12 </t>
  </si>
  <si>
    <t xml:space="preserve"> 84191 </t>
  </si>
  <si>
    <t>PISO EM GRANILITE, MARMORITE OU GRANITINA ESPESSURA 8 MM, INCLUSO JUNTAS DE DILATACAO PLASTICAS</t>
  </si>
  <si>
    <t xml:space="preserve"> 7.13 </t>
  </si>
  <si>
    <t xml:space="preserve"> 210105 </t>
  </si>
  <si>
    <t>POLIMENTO PISOS GRANITO</t>
  </si>
  <si>
    <t xml:space="preserve"> 7.14 </t>
  </si>
  <si>
    <t xml:space="preserve"> 130324 </t>
  </si>
  <si>
    <t>RODAPE MARMORITE OU GRANILITE</t>
  </si>
  <si>
    <t xml:space="preserve"> 7.15 </t>
  </si>
  <si>
    <t xml:space="preserve"> 210032 </t>
  </si>
  <si>
    <t>POLIMENTO RODAPES GRANITO</t>
  </si>
  <si>
    <t xml:space="preserve"> 7.16 </t>
  </si>
  <si>
    <t xml:space="preserve"> 86888 </t>
  </si>
  <si>
    <t>VASO SANITÁRIO SIFONADO COM CAIXA ACOPLADA LOUÇA BRANCA - FORNECIMENTO E INSTALAÇÃO. AF_01/2020</t>
  </si>
  <si>
    <t xml:space="preserve"> 7.17 </t>
  </si>
  <si>
    <t xml:space="preserve"> 86889 </t>
  </si>
  <si>
    <t>BANCADA DE GRANITO CINZA POLIDO, DE 1,50 X 0,60 M, PARA PIA DE COZINHA - FORNECIMENTO E INSTALAÇÃO. AF_01/2020</t>
  </si>
  <si>
    <t xml:space="preserve"> 7.18 </t>
  </si>
  <si>
    <t xml:space="preserve"> 86936 </t>
  </si>
  <si>
    <t>CUBA DE EMBUTIR DE AÇO INOXIDÁVEL MÉDIA, INCLUSO VÁLVULA TIPO AMERICANA E SIFÃO TIPO GARRAFA EM METAL CROMADO - FORNECIMENTO E INSTALAÇÃO. AF_01/2020</t>
  </si>
  <si>
    <t xml:space="preserve"> 7.19 </t>
  </si>
  <si>
    <t xml:space="preserve"> 86941 </t>
  </si>
  <si>
    <t>LAVATÓRIO LOUÇA BRANCA COM COLUNA, 45 X 55CM OU EQUIVALENTE, PADRÃO MÉDIO, INCLUSO SIFÃO TIPO GARRAFA, VÁLVULA E ENGATE FLEXÍVEL DE 40CM EM METAL CROMADO, COM TORNEIRA CROMADA DE MESA, PADRÃO MÉDIO - FORNECIMENTO E INSTALAÇÃO. AF_01/2020</t>
  </si>
  <si>
    <t xml:space="preserve"> 7.20 </t>
  </si>
  <si>
    <t xml:space="preserve"> 104679 </t>
  </si>
  <si>
    <t>CONJUNTO DE PONTOS DE COLETA DE ESGOTO PARA ÁREA DE SERVIÇO (RAMAL DE ESGOTO SANITÁRIO), EM PVC SÉRIE NORMAL, COM  TUBOS, CONEXÕES, RALOS, CAIXAS SIFONADAS, CORTES E FIXAÇÕES EM PRÉDIO. AF_05/2023_PA</t>
  </si>
  <si>
    <t xml:space="preserve"> 7.21 </t>
  </si>
  <si>
    <t xml:space="preserve"> 96718 </t>
  </si>
  <si>
    <t>TUBO, PPR, DN 20 MM, CLASSE PN 20, INSTALADO EM RESERVAÇÃO PREDIAL DE ÁGUA - FORNECIMENTO E INSTALAÇÃO. AF_04/2024</t>
  </si>
  <si>
    <t xml:space="preserve"> 7.22 </t>
  </si>
  <si>
    <t xml:space="preserve"> 96647 </t>
  </si>
  <si>
    <t>TUBO, PPR, DN 25, CLASSE PN 25, INSTALADO EM RAMAL DE DISTRIBUIÇÃO DE ÁGUA FORNECIMENTO E INSTALAÇÃO. AF_08/2022</t>
  </si>
  <si>
    <t xml:space="preserve"> 7.23 </t>
  </si>
  <si>
    <t xml:space="preserve"> 72711 </t>
  </si>
  <si>
    <t>REGISTRO GAVETA 1/2" BRUTO LATAO - FORNECIMENTO E INSTALACAO</t>
  </si>
  <si>
    <t xml:space="preserve"> 7.24 </t>
  </si>
  <si>
    <t xml:space="preserve"> 72289 </t>
  </si>
  <si>
    <t>CAIXA DE INSPEÇÃO 80X80X80CM EM ALVENARIA - EXECUÇÃO</t>
  </si>
  <si>
    <t xml:space="preserve"> 7.25 </t>
  </si>
  <si>
    <t xml:space="preserve"> 98110 </t>
  </si>
  <si>
    <t>CAIXA DE GORDURA PEQUENA (CAPACIDADE: 19 L), CIRCULAR, EM PVC, DIÂMETRO INTERNO= 0,3 M. AF_12/2020</t>
  </si>
  <si>
    <t xml:space="preserve"> 7.26 </t>
  </si>
  <si>
    <t xml:space="preserve"> 83670 </t>
  </si>
  <si>
    <t>TUBO PVC DN 75 MM PARA DRENAGEM - FORNECIMENTO E INSTALACAO</t>
  </si>
  <si>
    <t xml:space="preserve"> 7.27 </t>
  </si>
  <si>
    <t xml:space="preserve"> 101872 </t>
  </si>
  <si>
    <t>QUADRO DE DISTRIBUIÇÃO DE LUZ EM PVC PARA 8 DISJUNTORES - FORNECIMENTO E INSTALAÇÃO. AF_07/2025</t>
  </si>
  <si>
    <t xml:space="preserve"> 7.28 </t>
  </si>
  <si>
    <t xml:space="preserve"> 93137 </t>
  </si>
  <si>
    <t>PONTO DE ILUMINAÇÃO RESIDENCIAL INCLUINDO INTERRUPTOR SIMPLES (2 MÓDULOS), CAIXA ELÉTRICA, ELETRODUTO, CABO, RASGO, QUEBRA E CHUMBAMENTO (EXCLUINDO LUMINÁRIA E LÂMPADA). AF_01/2016</t>
  </si>
  <si>
    <t xml:space="preserve"> 7.29 </t>
  </si>
  <si>
    <t xml:space="preserve"> 93141 </t>
  </si>
  <si>
    <t>PONTO DE TOMADA RESIDENCIAL INCLUINDO TOMADA 10A/250V, CAIXA ELÉTRICA, ELETRODUTO, CABO, RASGO, QUEBRA E CHUMBAMENTO. AF_01/2016</t>
  </si>
  <si>
    <t xml:space="preserve"> 7.30 </t>
  </si>
  <si>
    <t xml:space="preserve"> 93143 </t>
  </si>
  <si>
    <t>PONTO DE TOMADA RESIDENCIAL INCLUINDO TOMADA 20A/250V, CAIXA ELÉTRICA, ELETRODUTO, CABO, RASGO, QUEBRA E CHUMBAMENTO. AF_01/2016</t>
  </si>
  <si>
    <t xml:space="preserve"> 7.31 </t>
  </si>
  <si>
    <t xml:space="preserve"> 72934 </t>
  </si>
  <si>
    <t>ELETRODUTO DE PVC FLEXIVEL CORRUGADO DN 20MM (3/4") FORNECIMENTO E INSTALACAO</t>
  </si>
  <si>
    <t xml:space="preserve"> 7.32 </t>
  </si>
  <si>
    <t xml:space="preserve"> 72252 </t>
  </si>
  <si>
    <t>CABO DE COBRE NU 25MM2 - FORNECIMENTO E INSTALACAO</t>
  </si>
  <si>
    <t xml:space="preserve"> 7.33 </t>
  </si>
  <si>
    <t xml:space="preserve"> 96989 </t>
  </si>
  <si>
    <t>CAPTOR TIPO FRANKLIN PARA SPDA - FORNECIMENTO E INSTALAÇÃO. AF_08/2023</t>
  </si>
  <si>
    <t xml:space="preserve"> 7.34 </t>
  </si>
  <si>
    <t xml:space="preserve"> 96988 </t>
  </si>
  <si>
    <t>MASTRO 1 ½", COM 3 METROS, PARA SPDA - FORNECIMENTO E INSTALAÇÃO. AF_08/2023</t>
  </si>
  <si>
    <t xml:space="preserve"> 7.35 </t>
  </si>
  <si>
    <t xml:space="preserve"> 105541 </t>
  </si>
  <si>
    <t>LUMINÁRIA TIPO CALHA, DE SOBREPOR, COM 2 LÂMPADAS TUBULARES LED DE 9 W SEM REATOR - FORNECIMENTO E INSTALAÇÃO. AF_09/2024</t>
  </si>
  <si>
    <t xml:space="preserve"> 7.36 </t>
  </si>
  <si>
    <t xml:space="preserve"> 105920 </t>
  </si>
  <si>
    <t>LUMINÁRIA REFLETOR LED PARA ILUMINAÇÃO PÚBLICA, 50 W - FORNECIMENTO E INSTALAÇÃO. AF_02/2025</t>
  </si>
  <si>
    <t xml:space="preserve"> 7.37 </t>
  </si>
  <si>
    <t xml:space="preserve"> 88415 </t>
  </si>
  <si>
    <t>APLICAÇÃO MANUAL DE FUNDO SELADOR ACRÍLICO EM PAREDES EXTERNAS DE CASAS. AF_03/2024</t>
  </si>
  <si>
    <t xml:space="preserve"> 7.38 </t>
  </si>
  <si>
    <t xml:space="preserve"> 7.39 </t>
  </si>
  <si>
    <t xml:space="preserve"> 95634 </t>
  </si>
  <si>
    <t>KIT CAVALETE PARA MEDIÇÃO DE ÁGUA - ENTRADA PRINCIPAL, EM PVC 20 MM (1/2") - FORNECIMENTO E INSTALAÇÃO (EXCLUSIVE HIDRÔMETRO). AF_03/2024</t>
  </si>
  <si>
    <t xml:space="preserve"> 7.40 </t>
  </si>
  <si>
    <t xml:space="preserve"> 9540 </t>
  </si>
  <si>
    <t>ENTRADA DE ENERGIA ELÉTRICA AÉREA MONOFÁSICA 50A COM POSTE DE CONCRETO, INCLUSIVE CABEAMENTO, CAIXA DE PROTEÇÃO PARA MEDIDOR E ATERRAMENTO.</t>
  </si>
  <si>
    <t xml:space="preserve"> 7.41 </t>
  </si>
  <si>
    <t xml:space="preserve"> 88497 </t>
  </si>
  <si>
    <t>EMASSAMENTO COM MASSA LÁTEX, APLICAÇÃO EM PAREDE, DUAS DEMÃOS, LIXAMENTO MANUAL. AF_04/2023</t>
  </si>
  <si>
    <t xml:space="preserve"> 7.42 </t>
  </si>
  <si>
    <t xml:space="preserve"> 100195 </t>
  </si>
  <si>
    <t>COBERTURA TELHA CERAMICA ROMANA 4 AGUAS+ESTRUTURA MADEIRA</t>
  </si>
  <si>
    <t xml:space="preserve"> 7.43 </t>
  </si>
  <si>
    <t xml:space="preserve"> 104756 </t>
  </si>
  <si>
    <t>FORRO EM MADEIRA PINUS, PARA AMBIENTES RESIDENCIAIS E COMERCIAIS, INCLUSIVE ESTRUTURA BIDIRECIONAL DE FIXAÇÃO. AF_08/2023</t>
  </si>
  <si>
    <t xml:space="preserve"> 7.44 </t>
  </si>
  <si>
    <t xml:space="preserve"> 023391 </t>
  </si>
  <si>
    <t>FORNECIMENTO PORTA ALUMINIO UMA FOLHA DE ABRIR</t>
  </si>
  <si>
    <t xml:space="preserve"> 7.45 </t>
  </si>
  <si>
    <t xml:space="preserve"> 112180 </t>
  </si>
  <si>
    <t>JANELA DE CORRER EM ALUMINIO NATURAL</t>
  </si>
  <si>
    <t xml:space="preserve"> 7.46 </t>
  </si>
  <si>
    <t xml:space="preserve"> 023691 </t>
  </si>
  <si>
    <t>FECHADURA PORTA ALUMINIO PADRAO LUXO-LINHA NYLON</t>
  </si>
  <si>
    <t xml:space="preserve"> 7.47 </t>
  </si>
  <si>
    <t xml:space="preserve"> 140202 </t>
  </si>
  <si>
    <t>FECHADURA JANELA DE ALUMÍNIO</t>
  </si>
  <si>
    <t xml:space="preserve"> 8 </t>
  </si>
  <si>
    <t>VESTIÁRIOS</t>
  </si>
  <si>
    <t xml:space="preserve"> 8.1 </t>
  </si>
  <si>
    <t xml:space="preserve"> 8.2 </t>
  </si>
  <si>
    <t xml:space="preserve"> 94342 </t>
  </si>
  <si>
    <t>ATERRO MANUAL DE VALAS COM AREIA PARA ATERRO. AF_08/2023</t>
  </si>
  <si>
    <t xml:space="preserve"> 8.3 </t>
  </si>
  <si>
    <t xml:space="preserve"> 040452 </t>
  </si>
  <si>
    <t>CONC.USIN.MEC LAJE MACICA 30MPA 10M2 FOR.PLAST 17MM + ARMAD</t>
  </si>
  <si>
    <t xml:space="preserve"> 8.4 </t>
  </si>
  <si>
    <t xml:space="preserve"> 96619 </t>
  </si>
  <si>
    <t>LASTRO DE CONCRETO MAGRO, APLICADO EM BLOCOS DE COROAMENTO OU SAPATAS, ESPESSURA DE 5 CM. AF_01/2024</t>
  </si>
  <si>
    <t xml:space="preserve"> 8.5 </t>
  </si>
  <si>
    <t xml:space="preserve"> 040343 </t>
  </si>
  <si>
    <t>CONCRETO ESTRUTURAL USINADO 25MPa-PILARES+FORMAS+ARMACOES - BALDRAME</t>
  </si>
  <si>
    <t xml:space="preserve"> 8.6 </t>
  </si>
  <si>
    <t>CONCRETO ESTRUTURAL USINADO 25MPa-PILARES+FORMAS+ARMACOES - COLUNAS</t>
  </si>
  <si>
    <t xml:space="preserve"> 8.7 </t>
  </si>
  <si>
    <t>CONCRETO ESTRUTURAL USINADO 25MPa-PILARES+FORMAS+ARMACOES - VIGAS</t>
  </si>
  <si>
    <t xml:space="preserve"> 8.8 </t>
  </si>
  <si>
    <t xml:space="preserve"> 103332 </t>
  </si>
  <si>
    <t>ALVENARIA DE VEDAÇÃO DE BLOCOS CERÂMICOS FURADOS NA HORIZONTAL DE 9X14X19 CM (ESPESSURA 9 CM) E ARGAMASSA DE ASSENTAMENTO COM PREPARO EM BETONEIRA. AF_12/2021</t>
  </si>
  <si>
    <t xml:space="preserve"> 8.9 </t>
  </si>
  <si>
    <t xml:space="preserve"> 120047 </t>
  </si>
  <si>
    <t>CHAPISCO, EMBOCO E REBOCO PREFABRICADOS EM PAREDES</t>
  </si>
  <si>
    <t xml:space="preserve"> 8.10 </t>
  </si>
  <si>
    <t xml:space="preserve"> 00000038 </t>
  </si>
  <si>
    <t>REVESTIMENTO CERÂMICO PARA PAREDES INTERNAS COM PLACAS TIPO  ESMALTADA EXTRA DE DIMENSÕES 10X10 CM APLICADAS EM AMBIENTES  DE ÁREA MAIOR QUE 5 M² NA ALTURA INTEIRA DAS PAREDES.</t>
  </si>
  <si>
    <t>M²</t>
  </si>
  <si>
    <t xml:space="preserve"> 8.11 </t>
  </si>
  <si>
    <t xml:space="preserve"> 180109 </t>
  </si>
  <si>
    <t>PINTURA ACRILICA 2 DEMAOS SOBRE PAREDE PREPARADA</t>
  </si>
  <si>
    <t xml:space="preserve"> 8.12 </t>
  </si>
  <si>
    <t xml:space="preserve"> 180018 </t>
  </si>
  <si>
    <t>PINTURA COM SELADOR PARA TINTA ACRILICA</t>
  </si>
  <si>
    <t xml:space="preserve"> 8.13 </t>
  </si>
  <si>
    <t xml:space="preserve"> 171351 </t>
  </si>
  <si>
    <t>CONTRAPISO ARGAMASSA PREFABRICADA QUALIMASSA 4,0cm</t>
  </si>
  <si>
    <t xml:space="preserve"> 8.14 </t>
  </si>
  <si>
    <t xml:space="preserve"> 170262 </t>
  </si>
  <si>
    <t>PISO CERAMICO 45X45CM CARGO PLUS BONE ELIANE</t>
  </si>
  <si>
    <t xml:space="preserve"> 8.15 </t>
  </si>
  <si>
    <t xml:space="preserve"> 96116 </t>
  </si>
  <si>
    <t>FORRO EM RÉGUAS DE PVC, FRISADO, PARA AMBIENTES COMERCIAIS, INCLUSIVE ESTRUTURA BIDIRECIONAL DE FIXAÇÃO. AF_08/2023_PS</t>
  </si>
  <si>
    <t xml:space="preserve"> 8.16 </t>
  </si>
  <si>
    <t xml:space="preserve"> 110099 </t>
  </si>
  <si>
    <t>PORTA COMPLETA MADEIRA 1 FL.0,80x2,10m</t>
  </si>
  <si>
    <t xml:space="preserve"> 8.17 </t>
  </si>
  <si>
    <t xml:space="preserve"> 190466 </t>
  </si>
  <si>
    <t>PORTA DE VIDRO TEMPERADO 0,55x1,80m BOX CHUVEIRO WC</t>
  </si>
  <si>
    <t xml:space="preserve"> 8.18 </t>
  </si>
  <si>
    <t xml:space="preserve"> 190377 </t>
  </si>
  <si>
    <t>MICTORIO SIFAO ECO BRANCO CELITE</t>
  </si>
  <si>
    <t xml:space="preserve"> 8.19 </t>
  </si>
  <si>
    <t xml:space="preserve"> 100878 </t>
  </si>
  <si>
    <t>VASO SANITÁRIO SIFONADO COM CAIXA ACOPLADA, LOUÇA BRANCA - PADRÃO ALTO - FORNECIMENTO E INSTALAÇÃO. AF_01/2020</t>
  </si>
  <si>
    <t xml:space="preserve"> 8.20 </t>
  </si>
  <si>
    <t xml:space="preserve"> 190331 </t>
  </si>
  <si>
    <t>CHUVEIRO PLASTICO EM PVC RIGIDO COM ARTICULACAO CROMADA 1/2""</t>
  </si>
  <si>
    <t xml:space="preserve"> 8.21 </t>
  </si>
  <si>
    <t xml:space="preserve"> 190196 </t>
  </si>
  <si>
    <t>LAVATORIO SUSPENSO ECO 40C30CM CELITE COM METAIS</t>
  </si>
  <si>
    <t xml:space="preserve"> 8.22 </t>
  </si>
  <si>
    <t xml:space="preserve"> 190429 </t>
  </si>
  <si>
    <t>BANCADA EM GRANITO CINZA ANDORINHA</t>
  </si>
  <si>
    <t xml:space="preserve"> 8.23 </t>
  </si>
  <si>
    <t xml:space="preserve"> 052661 </t>
  </si>
  <si>
    <t>PTO AGUA FRIA PVC ROSCA PARA FILTRO + ABERT E CHUMB RASGO</t>
  </si>
  <si>
    <t xml:space="preserve"> 8.24 </t>
  </si>
  <si>
    <t xml:space="preserve"> CPU.02 </t>
  </si>
  <si>
    <t>PONTO DE ESGOTO DN 50</t>
  </si>
  <si>
    <t>UND</t>
  </si>
  <si>
    <t xml:space="preserve"> 8.25 </t>
  </si>
  <si>
    <t xml:space="preserve"> CPU.03 </t>
  </si>
  <si>
    <t>PONTO DE ESGOTO DN 100</t>
  </si>
  <si>
    <t xml:space="preserve"> 8.26 </t>
  </si>
  <si>
    <t xml:space="preserve"> 052376 </t>
  </si>
  <si>
    <t>TUBO PVC SOLDAVEL 50mm</t>
  </si>
  <si>
    <t xml:space="preserve"> 8.27 </t>
  </si>
  <si>
    <t xml:space="preserve"> 1029 </t>
  </si>
  <si>
    <t>Tubo pvc rígido soldável marrom p/ água, d = 32 mm (1")</t>
  </si>
  <si>
    <t>m</t>
  </si>
  <si>
    <t xml:space="preserve"> 8.28 </t>
  </si>
  <si>
    <t xml:space="preserve"> 053302 </t>
  </si>
  <si>
    <t>TUBO PVC ESGOTO COM ANEL DE BORRACHA 75mm</t>
  </si>
  <si>
    <t xml:space="preserve"> 8.29 </t>
  </si>
  <si>
    <t xml:space="preserve"> 89800 </t>
  </si>
  <si>
    <t>TUBO PVC, SERIE NORMAL, ESGOTO PREDIAL, DN 100 MM, FORNECIDO E INSTALADO EM PRUMADA DE ESGOTO SANITÁRIO OU VENTILAÇÃO. AF_08/2022</t>
  </si>
  <si>
    <t xml:space="preserve"> 8.30 </t>
  </si>
  <si>
    <t xml:space="preserve"> 011 </t>
  </si>
  <si>
    <t>LUMINÁRIA TIPO PLAFON, DE SOBREPOR, COM 1 LÂMPADA LED DE 32 W - FORNECIMENTO E INSTALAÇÃO</t>
  </si>
  <si>
    <t xml:space="preserve"> 8.31 </t>
  </si>
  <si>
    <t xml:space="preserve"> 062191 </t>
  </si>
  <si>
    <t>TOMADA CORRENTE EMBUTIR 2P+T 15A-250V</t>
  </si>
  <si>
    <t xml:space="preserve"> 8.32 </t>
  </si>
  <si>
    <t xml:space="preserve"> 062003 </t>
  </si>
  <si>
    <t>INTERRUPTOR 3 TECLAS SIMPLES COM PLACA SERIE MODULARE FAME</t>
  </si>
  <si>
    <t xml:space="preserve"> 8.33 </t>
  </si>
  <si>
    <t xml:space="preserve"> 470 </t>
  </si>
  <si>
    <t>Interruptor 01 seção, com caixa pvc 4"x2"</t>
  </si>
  <si>
    <t xml:space="preserve"> 8.34 </t>
  </si>
  <si>
    <t xml:space="preserve"> 8466 </t>
  </si>
  <si>
    <t>Cabo de cobre PP Cordplast 2 x 1,5 mm2, 450/750v</t>
  </si>
  <si>
    <t xml:space="preserve"> 8.35 </t>
  </si>
  <si>
    <t xml:space="preserve"> 5023 </t>
  </si>
  <si>
    <t>Cabo de cobre PP Cordplast 2 x 2,5 mm2, 450/750v - fornecimento</t>
  </si>
  <si>
    <t xml:space="preserve"> 9 </t>
  </si>
  <si>
    <t>ARQUIBANCADA / TORRE</t>
  </si>
  <si>
    <t xml:space="preserve"> 9.1 </t>
  </si>
  <si>
    <t xml:space="preserve"> 172010 </t>
  </si>
  <si>
    <t>ESCAVACAO MANUAL TERRENO 1a CATEGORIA</t>
  </si>
  <si>
    <t xml:space="preserve"> 9.2 </t>
  </si>
  <si>
    <t xml:space="preserve"> 9.3 </t>
  </si>
  <si>
    <t>CONCRETO ESTRUTURAL USINADO 25MPa-PILARES+FORMAS+ARMACOES  - VIGAS BALDRAME</t>
  </si>
  <si>
    <t xml:space="preserve"> 9.4 </t>
  </si>
  <si>
    <t>CONCRETO ESTRUTURAL USINADO 25MPa-PILARES+FORMAS+ARMACOES - PILARES</t>
  </si>
  <si>
    <t xml:space="preserve"> 9.5 </t>
  </si>
  <si>
    <t>CONCRETO ESTRUTURAL USINADO 25MPa-PILARES+FORMAS+ARMACOES - VIGAS LONGITUDINAIS</t>
  </si>
  <si>
    <t xml:space="preserve"> 9.6 </t>
  </si>
  <si>
    <t>CONCRETO ESTRUTURAL USINADO 25MPa-PILARES+FORMAS+ARMACOES - VIGAS TRANSVERSAIS</t>
  </si>
  <si>
    <t xml:space="preserve"> 9.7 </t>
  </si>
  <si>
    <t xml:space="preserve"> 020085 </t>
  </si>
  <si>
    <t>ATERRO COMPACTADO MEIO MANUAL COM SAIBRO/ARENOSO - ATERRO ARQUIBANCADAS</t>
  </si>
  <si>
    <t xml:space="preserve"> 9.8 </t>
  </si>
  <si>
    <t xml:space="preserve"> 1107896 </t>
  </si>
  <si>
    <t>Concreto fck = 25 MPa - confecção em betoneira e lançamento manual - areia e brita comerciais - Laje degraus</t>
  </si>
  <si>
    <t xml:space="preserve"> 9.9 </t>
  </si>
  <si>
    <t xml:space="preserve"> 171350 </t>
  </si>
  <si>
    <t>REGULARIZACAO PISO ARGAMASSA PREFABRICADA QUALIMASSA 3,0cm</t>
  </si>
  <si>
    <t xml:space="preserve"> 9.10 </t>
  </si>
  <si>
    <t xml:space="preserve"> 104162 </t>
  </si>
  <si>
    <t>PISO EM GRANILITE, MARMORITE OU GRANITINA EM AMBIENTES INTERNOS, COM ESPESSURA DE 8 MM, INCLUSO MISTURA EM BETONEIRA, COLOCAÇÃO DAS JUNTAS, APLICAÇÃO DO PISO, 4 POLIMENTOS COM POLITRIZ, ESTUCAMENTO, SELADOR E CERA. AF_06/2022</t>
  </si>
  <si>
    <t xml:space="preserve"> 9.11 </t>
  </si>
  <si>
    <t xml:space="preserve"> 170485 </t>
  </si>
  <si>
    <t>PISO CERAMICO 45X45CM CARGO PLUS WHITE ACETINADO ELIANE</t>
  </si>
  <si>
    <t xml:space="preserve"> 9.12 </t>
  </si>
  <si>
    <t xml:space="preserve"> 090036 </t>
  </si>
  <si>
    <t>ALVENARIA TIJOLO FURADO 9x19x19cm ESP.10cm-CIMENTO/SAIBRO 1:8</t>
  </si>
  <si>
    <t xml:space="preserve"> 9.13 </t>
  </si>
  <si>
    <t xml:space="preserve"> 88489 </t>
  </si>
  <si>
    <t>PINTURA LÁTEX ACRÍLICA PREMIUM, APLICAÇÃO MANUAL EM PAREDES, DUAS DEMÃOS. AF_04/2023</t>
  </si>
  <si>
    <t xml:space="preserve"> 9.14 </t>
  </si>
  <si>
    <t xml:space="preserve"> 00000022 </t>
  </si>
  <si>
    <t>REVESTIMENTO CERÂMICO PARA PAREDES EXTERNAS EM PASTILHAS DE 10 X 10 CM (PLACAS DE 30 X 30 CM), ALINHADAS A PRUMO, APLICADO EM PANOS</t>
  </si>
  <si>
    <t xml:space="preserve"> 9.15 </t>
  </si>
  <si>
    <t xml:space="preserve"> 9.16 </t>
  </si>
  <si>
    <t xml:space="preserve"> 9.17 </t>
  </si>
  <si>
    <t xml:space="preserve"> 016 </t>
  </si>
  <si>
    <t>LUMINÁRIA PLAFON 50W LED SOBREPOR - FORNECIMENTO E INSTALAÇÃO</t>
  </si>
  <si>
    <t xml:space="preserve"> 9.18 </t>
  </si>
  <si>
    <t xml:space="preserve"> 061550 </t>
  </si>
  <si>
    <t>ELETRODUTO FLEXIVEL SEALTUBE 3/4""</t>
  </si>
  <si>
    <t xml:space="preserve"> 9.19 </t>
  </si>
  <si>
    <t xml:space="preserve"> 023470 </t>
  </si>
  <si>
    <t>CABO FLEXIVEL TERMOPLASTICO 2,5mm 450/750W</t>
  </si>
  <si>
    <t xml:space="preserve"> 9.20 </t>
  </si>
  <si>
    <t xml:space="preserve"> 9.21 </t>
  </si>
  <si>
    <t xml:space="preserve"> 9.22 </t>
  </si>
  <si>
    <t xml:space="preserve"> 059263 </t>
  </si>
  <si>
    <t>ELETRODUTO PVC RIGIDO 1""</t>
  </si>
  <si>
    <t xml:space="preserve"> 9.23 </t>
  </si>
  <si>
    <t xml:space="preserve"> 063402 </t>
  </si>
  <si>
    <t>CABO FLEXIVEL CLASSE 4 OU 5 1KV 1 CONDUTOR 4,0mm2</t>
  </si>
  <si>
    <t xml:space="preserve"> 9.24 </t>
  </si>
  <si>
    <t xml:space="preserve"> 063511 </t>
  </si>
  <si>
    <t>CABO PP 3 CONDUTORES 450/750V 1,50mm2</t>
  </si>
  <si>
    <t xml:space="preserve"> 9.25 </t>
  </si>
  <si>
    <t xml:space="preserve"> 063204 </t>
  </si>
  <si>
    <t>CABO AFUMEX SOLAR 1kV 1 CONDUTOR 10,0mm2</t>
  </si>
  <si>
    <t xml:space="preserve"> 9.26 </t>
  </si>
  <si>
    <t xml:space="preserve"> 064202 </t>
  </si>
  <si>
    <t>QUADRO DISTRIBUICAO 12 DISJUNTORES 100A+BARRAMENTO</t>
  </si>
  <si>
    <t xml:space="preserve"> 9.27 </t>
  </si>
  <si>
    <t xml:space="preserve"> 9.28 </t>
  </si>
  <si>
    <t xml:space="preserve"> 10 </t>
  </si>
  <si>
    <t>TORRES DE ILUMINAÇÃO</t>
  </si>
  <si>
    <t xml:space="preserve"> 10.1 </t>
  </si>
  <si>
    <t xml:space="preserve"> 10.2 </t>
  </si>
  <si>
    <t xml:space="preserve"> 10.3 </t>
  </si>
  <si>
    <t>CONCRETO ESTRUTURAL USINADO 25MPa-PILARES+FORMAS+ARMACOES</t>
  </si>
  <si>
    <t xml:space="preserve"> 10.4 </t>
  </si>
  <si>
    <t xml:space="preserve"> 069054 </t>
  </si>
  <si>
    <t>POSTE ACO CONICO TUBULAR RETO 12,0m ENGASTADO</t>
  </si>
  <si>
    <t xml:space="preserve"> 10.5 </t>
  </si>
  <si>
    <t xml:space="preserve"> 014009 </t>
  </si>
  <si>
    <t>CUSTO HORA CAMINHAO GUINDAUTO MERCEDES L1620 8tn 200CV</t>
  </si>
  <si>
    <t>H</t>
  </si>
  <si>
    <t xml:space="preserve"> 10.6 </t>
  </si>
  <si>
    <t xml:space="preserve"> PRE-008 </t>
  </si>
  <si>
    <t>MOBILIZAÇÃO DE MÁQUINA PESADA EM CANTEIRO DE OBRAS</t>
  </si>
  <si>
    <t xml:space="preserve"> 10.7 </t>
  </si>
  <si>
    <t xml:space="preserve"> 12797 </t>
  </si>
  <si>
    <t>Refletor externo IP65 para lâmpada 1000/2000w, com dissipador de calor,exclusive reator</t>
  </si>
  <si>
    <t xml:space="preserve"> 10.8 </t>
  </si>
  <si>
    <t xml:space="preserve"> G08 </t>
  </si>
  <si>
    <t>CAIXA DE PASSAGEM NAS DIMENSÕES 80CMX80CMX60CM COM PISO DE CONCRETO, E PAREDES REVESTIDAS</t>
  </si>
  <si>
    <t xml:space="preserve"> 10.9 </t>
  </si>
  <si>
    <t xml:space="preserve"> 078204 </t>
  </si>
  <si>
    <t>CABO DE COBRE NU MEIO DURO 7 FIOS 16mm2</t>
  </si>
  <si>
    <t xml:space="preserve"> 10.10 </t>
  </si>
  <si>
    <t xml:space="preserve"> 11195 </t>
  </si>
  <si>
    <t>Cabo cobre flexível, não hologenado, 70,0mm2 - 0,6/1KV / 90º</t>
  </si>
  <si>
    <t xml:space="preserve"> 10.11 </t>
  </si>
  <si>
    <t xml:space="preserve"> 059301 </t>
  </si>
  <si>
    <t>ELETRODUTO PVC RIGIDO 4""</t>
  </si>
  <si>
    <t xml:space="preserve"> 10.12 </t>
  </si>
  <si>
    <t xml:space="preserve"> 063902 </t>
  </si>
  <si>
    <t>HASTE ATERRAMENTO COBREADA 5/8"" x 2,40m NORMATIZADA INTELLI</t>
  </si>
  <si>
    <t xml:space="preserve"> 10.13 </t>
  </si>
  <si>
    <t xml:space="preserve"> 061905 </t>
  </si>
  <si>
    <t>CONDUTOR COBRE NU CORDOALHA 7 FIOS P/PARA-RAIOS,COM SUPORTES</t>
  </si>
  <si>
    <t xml:space="preserve"> 11 </t>
  </si>
  <si>
    <t>ALAMBRADO</t>
  </si>
  <si>
    <t xml:space="preserve"> 11.1 </t>
  </si>
  <si>
    <t xml:space="preserve"> 102364 </t>
  </si>
  <si>
    <t>ALAMBRADO PARA QUADRA POLIESPORTIVA, ESTRUTURADO POR TUBOS DE ACO GALVANIZADO, (MONTANTES COM DIAMETRO 2", TRAVESSAS E ESCORAS COM DIÂMETRO 1 ¼"), COM TELA DE ARAME GALVANIZADO, FIO 10 BWG E MALHA QUADRADA 5X5CM (EXCETO MURETA). AF_03/2021</t>
  </si>
  <si>
    <t xml:space="preserve"> 11.2 </t>
  </si>
  <si>
    <t xml:space="preserve"> 111418 </t>
  </si>
  <si>
    <t>PORTAO FERRO 2FL.3,0x2,85m TB.ACO 60x40x1,9mm B.CHATA 1x1/4""</t>
  </si>
  <si>
    <t xml:space="preserve">PROPOSTA MD7: Obra de Reforma e Ampliação do Campo de Futebol do Município de Coremas - PB </t>
  </si>
  <si>
    <t>PLANILHA ORÇAMENTÁRIA</t>
  </si>
  <si>
    <t>ITEM</t>
  </si>
  <si>
    <t>CÓDIGO</t>
  </si>
  <si>
    <t>DESCRIÇÃO</t>
  </si>
  <si>
    <t>QUANTIDADES</t>
  </si>
  <si>
    <t>VALORES R$</t>
  </si>
  <si>
    <t>CONTRATO</t>
  </si>
  <si>
    <t>MEDIDO NO
PERÍODO BM
Nº 01</t>
  </si>
  <si>
    <t>PREÇO
UNITÁRIO
COM BDI R$</t>
  </si>
  <si>
    <t>TOTAL
ACUMULADO
INCLUINDO O
PERÍODO R$</t>
  </si>
  <si>
    <t>BANCO</t>
  </si>
  <si>
    <t>PREÇO
CONTRATADO R$</t>
  </si>
  <si>
    <t>TOTAL GERAL</t>
  </si>
  <si>
    <t>MEDIDO NO
PERÍODO BM
Nº 03</t>
  </si>
  <si>
    <t>MEDIDO NO
PERÍODO BM
Nº 02</t>
  </si>
  <si>
    <t>MEDIDO NO
PERÍODO BM
Nº 04</t>
  </si>
  <si>
    <t xml:space="preserve">ACUMULADO
INCLUINDO O
PERÍODO BM Nº
04 </t>
  </si>
  <si>
    <t>TOTAL MEDIDO
NO PERÍODO -
BM Nº 04 R$</t>
  </si>
  <si>
    <t>BOLETIM DE MEDIÇÃO 03 - PERÍODO: 06/08 A 08/09 DE 2026</t>
  </si>
  <si>
    <t>MEMÓRIA DE CÁLCULO DA MEDIÇÃO - BOLETIM DE MEDIÇÃO Nº 04</t>
  </si>
  <si>
    <t>PROPOSTA MD7: Obra de Reforma e Ampliação do Campo de Futebol do Município de Coremas - PB</t>
  </si>
  <si>
    <t>BOLETIM DE MEDIÇÃO 04 - PERÍODO: 06/08 A 08/09 DE 2026</t>
  </si>
  <si>
    <t>Bases: SINAPI 09/2025-PB | SBC 10/2025-PB | SICRO3 07/2025-PB | ORSE 05/2025-SE - B.D.I. 27,89% (embutido nos preços unitários) - Encargos desonerados</t>
  </si>
  <si>
    <t>1. SERVIÇOS MEDIDOS NO PERÍODO</t>
  </si>
  <si>
    <t>DESCRIÇÃO DO SERVIÇO</t>
  </si>
  <si>
    <t>QTD. CONTRATADA</t>
  </si>
  <si>
    <t>MEMÓRIA DE CÁLCULO / CRITÉRIO DE MEDIÇÃO</t>
  </si>
  <si>
    <t>2.2</t>
  </si>
  <si>
    <t>2.3</t>
  </si>
  <si>
    <t>11.1</t>
  </si>
  <si>
    <t>Mão de obra de administração local, medida por permanência mensal: 1,00 mês de encarregado geral no período de 06/08 a 08/09/2026 (conforme diário de obra e folha de frequência).</t>
  </si>
  <si>
    <t>Mão de obra de administração local, medida por permanência mensal: 1,00
mês de mestre de obras no período de 06/08 a 08/09/2026 (conforme
diário de obra e folha de frequência).</t>
  </si>
  <si>
    <t>Área de tela executada no período, conforme detalhamento no item 1.1 abaixo (percentual do alambrado concluído entre 06/08 e 08/09/2026).</t>
  </si>
  <si>
    <t>TOTAL MEDIDO NO PERÍODO - BM Nº 04</t>
  </si>
  <si>
    <t>1.1 DETALHAMENTO DO ITEM 11.1 - ALAMBRADO</t>
  </si>
  <si>
    <t>Parâmetro</t>
  </si>
  <si>
    <t>Valor</t>
  </si>
  <si>
    <t>Und</t>
  </si>
  <si>
    <t>ACUM. 
ANTERIOR 
(BM 01 a 03)</t>
  </si>
  <si>
    <t>QTD. MEDIDA 
BM 04</t>
  </si>
  <si>
    <t>ACUM. ATÉ 
BM 04</t>
  </si>
  <si>
    <t>% EXEC. 
ACUM.</t>
  </si>
  <si>
    <t>PREÇO UNIT.
 C/ BDI R$</t>
  </si>
  <si>
    <t>VALOR MEDIDO 
BM 04 R$</t>
  </si>
  <si>
    <t>Área total de alambrado contratada</t>
  </si>
  <si>
    <t>Área acumulada medida até o BM nº 03</t>
  </si>
  <si>
    <t>Área remanescente no início do período</t>
  </si>
  <si>
    <t>% do alambrado contratado executado no período (levantamento de campo)</t>
  </si>
  <si>
    <t>Área medida no período = área contratada x % executado</t>
  </si>
  <si>
    <t>Área remanescente após o BM nº 04</t>
  </si>
  <si>
    <t>%</t>
  </si>
  <si>
    <t>2. RESUMO FINANCEIRO DA MEDIÇÃO POR ETAPA</t>
  </si>
  <si>
    <t>ETAPA</t>
  </si>
  <si>
    <t>DESCRIÇÃO DA ETAPA</t>
  </si>
  <si>
    <t>VALOR CONTRATADO R$</t>
  </si>
  <si>
    <t>MEDIDO NO PERÍODO BM 04 R$</t>
  </si>
  <si>
    <t>Legenda: texto azul = dado de entrada (levantamento de campo); texto verde = link para a aba BOLETIM DE MEDIÇÃO 04; texto preto = fórmula.</t>
  </si>
  <si>
    <t>ACUMULADO 
ATÉ BM 04 R$</t>
  </si>
  <si>
    <t>SALDO A 
MEDIR R$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</si>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</sst>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0.000"/>
    <numFmt numFmtId="166" formatCode="0.0%"/>
    <numFmt numFmtId="167" formatCode="&quot;R$&quot;\ #,##0.00"/>
  </numFmts>
  <fonts count="25" x14ac:knownFonts="1">
    <font>
      <sz val="11"/>
      <name val="Arial"/>
      <family val="1"/>
    </font>
    <font>
      <b/>
      <sz val="10"/>
      <name val="Arial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8"/>
      <name val="Arial"/>
      <family val="1"/>
    </font>
    <font>
      <sz val="11"/>
      <name val="Arial"/>
      <family val="1"/>
    </font>
    <font>
      <b/>
      <sz val="18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name val="Arial"/>
      <family val="2"/>
    </font>
    <font>
      <sz val="10"/>
      <color rgb="FF00B050"/>
      <name val="Arial"/>
      <family val="2"/>
    </font>
    <font>
      <sz val="10"/>
      <name val="Arial"/>
      <family val="1"/>
    </font>
    <font>
      <b/>
      <sz val="12"/>
      <color theme="1"/>
      <name val="Arial"/>
      <family val="2"/>
    </font>
    <font>
      <sz val="9"/>
      <color rgb="FF00B050"/>
      <name val="Calibri"/>
      <family val="2"/>
      <scheme val="minor"/>
    </font>
    <font>
      <b/>
      <sz val="9"/>
      <color rgb="FF00B050"/>
      <name val="Calibri"/>
      <family val="2"/>
      <scheme val="minor"/>
    </font>
    <font>
      <sz val="9"/>
      <name val="Calibri"/>
      <family val="2"/>
      <scheme val="minor"/>
    </font>
    <font>
      <sz val="10"/>
      <color rgb="FF2E1AEE"/>
      <name val="Arial"/>
      <family val="2"/>
    </font>
    <font>
      <sz val="9"/>
      <name val="Arial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8ECF6"/>
      </patternFill>
    </fill>
    <fill>
      <patternFill patternType="solid">
        <fgColor theme="0"/>
        <bgColor rgb="FFDFF0D8"/>
      </patternFill>
    </fill>
    <fill>
      <patternFill patternType="solid">
        <fgColor theme="3" tint="0.79998168889431442"/>
        <b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102">
    <xf numFmtId="0" fontId="0" fillId="0" borderId="0" xfId="0"/>
    <xf numFmtId="0" fontId="4" fillId="4" borderId="0" xfId="0" applyFont="1" applyFill="1"/>
    <xf numFmtId="0" fontId="3" fillId="3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right" vertical="top" wrapText="1"/>
    </xf>
    <xf numFmtId="4" fontId="6" fillId="5" borderId="1" xfId="0" applyNumberFormat="1" applyFont="1" applyFill="1" applyBorder="1" applyAlignment="1">
      <alignment horizontal="right" vertical="top" wrapText="1"/>
    </xf>
    <xf numFmtId="0" fontId="7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right" vertical="top" wrapText="1"/>
    </xf>
    <xf numFmtId="4" fontId="7" fillId="6" borderId="1" xfId="0" applyNumberFormat="1" applyFont="1" applyFill="1" applyBorder="1" applyAlignment="1">
      <alignment horizontal="right" vertical="top" wrapText="1"/>
    </xf>
    <xf numFmtId="0" fontId="8" fillId="3" borderId="0" xfId="0" applyFont="1" applyFill="1" applyAlignment="1">
      <alignment horizontal="center" vertical="top" wrapText="1"/>
    </xf>
    <xf numFmtId="0" fontId="5" fillId="3" borderId="0" xfId="0" applyFont="1" applyFill="1" applyAlignment="1">
      <alignment horizontal="right" vertical="top" wrapText="1"/>
    </xf>
    <xf numFmtId="0" fontId="8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center" vertical="center" wrapText="1"/>
    </xf>
    <xf numFmtId="4" fontId="6" fillId="6" borderId="1" xfId="0" applyNumberFormat="1" applyFont="1" applyFill="1" applyBorder="1" applyAlignment="1">
      <alignment horizontal="right" vertical="top" wrapText="1"/>
    </xf>
    <xf numFmtId="4" fontId="3" fillId="3" borderId="1" xfId="0" applyNumberFormat="1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center" wrapText="1"/>
    </xf>
    <xf numFmtId="2" fontId="7" fillId="6" borderId="1" xfId="0" applyNumberFormat="1" applyFont="1" applyFill="1" applyBorder="1" applyAlignment="1">
      <alignment horizontal="right" vertical="top" wrapText="1"/>
    </xf>
    <xf numFmtId="164" fontId="7" fillId="6" borderId="1" xfId="0" applyNumberFormat="1" applyFont="1" applyFill="1" applyBorder="1" applyAlignment="1">
      <alignment horizontal="right" vertical="top" wrapText="1"/>
    </xf>
    <xf numFmtId="165" fontId="7" fillId="6" borderId="1" xfId="0" applyNumberFormat="1" applyFont="1" applyFill="1" applyBorder="1" applyAlignment="1">
      <alignment horizontal="right" vertical="top" wrapText="1"/>
    </xf>
    <xf numFmtId="0" fontId="6" fillId="5" borderId="1" xfId="0" applyFont="1" applyFill="1" applyBorder="1" applyAlignment="1">
      <alignment horizontal="right" vertical="top" wrapText="1"/>
    </xf>
    <xf numFmtId="0" fontId="7" fillId="6" borderId="1" xfId="0" applyFont="1" applyFill="1" applyBorder="1" applyAlignment="1">
      <alignment horizontal="right" vertical="top" wrapText="1"/>
    </xf>
    <xf numFmtId="0" fontId="9" fillId="7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right" vertical="top" wrapText="1"/>
    </xf>
    <xf numFmtId="0" fontId="0" fillId="4" borderId="0" xfId="0" applyFill="1"/>
    <xf numFmtId="0" fontId="11" fillId="0" borderId="1" xfId="0" applyFont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0" fillId="4" borderId="0" xfId="0" applyFill="1" applyAlignment="1"/>
    <xf numFmtId="2" fontId="18" fillId="0" borderId="1" xfId="0" applyNumberFormat="1" applyFont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right" vertical="center"/>
    </xf>
    <xf numFmtId="2" fontId="18" fillId="0" borderId="1" xfId="0" applyNumberFormat="1" applyFont="1" applyBorder="1" applyAlignment="1">
      <alignment horizontal="right" vertical="center"/>
    </xf>
    <xf numFmtId="9" fontId="18" fillId="0" borderId="1" xfId="1" applyFont="1" applyBorder="1" applyAlignment="1">
      <alignment horizontal="center" vertical="center"/>
    </xf>
    <xf numFmtId="166" fontId="18" fillId="0" borderId="1" xfId="1" applyNumberFormat="1" applyFont="1" applyBorder="1" applyAlignment="1">
      <alignment horizontal="center" vertical="center"/>
    </xf>
    <xf numFmtId="0" fontId="22" fillId="4" borderId="0" xfId="0" applyFont="1" applyFill="1" applyAlignment="1">
      <alignment horizontal="left" vertical="center"/>
    </xf>
    <xf numFmtId="4" fontId="18" fillId="0" borderId="1" xfId="0" applyNumberFormat="1" applyFont="1" applyBorder="1" applyAlignment="1">
      <alignment horizontal="right" vertical="center"/>
    </xf>
    <xf numFmtId="2" fontId="23" fillId="0" borderId="1" xfId="0" applyNumberFormat="1" applyFont="1" applyBorder="1" applyAlignment="1">
      <alignment vertical="center"/>
    </xf>
    <xf numFmtId="167" fontId="18" fillId="0" borderId="1" xfId="0" applyNumberFormat="1" applyFont="1" applyBorder="1" applyAlignment="1">
      <alignment horizontal="right" vertical="center"/>
    </xf>
    <xf numFmtId="167" fontId="11" fillId="0" borderId="1" xfId="0" applyNumberFormat="1" applyFont="1" applyBorder="1" applyAlignment="1">
      <alignment horizontal="right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4" fontId="17" fillId="0" borderId="1" xfId="0" applyNumberFormat="1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9" fontId="23" fillId="10" borderId="1" xfId="1" applyFont="1" applyFill="1" applyBorder="1" applyAlignment="1">
      <alignment vertical="center"/>
    </xf>
    <xf numFmtId="167" fontId="18" fillId="0" borderId="1" xfId="0" applyNumberFormat="1" applyFont="1" applyBorder="1" applyAlignment="1">
      <alignment horizontal="right"/>
    </xf>
    <xf numFmtId="167" fontId="11" fillId="0" borderId="1" xfId="0" applyNumberFormat="1" applyFont="1" applyBorder="1" applyAlignment="1">
      <alignment horizontal="right"/>
    </xf>
    <xf numFmtId="166" fontId="18" fillId="0" borderId="1" xfId="1" applyNumberFormat="1" applyFont="1" applyBorder="1" applyAlignment="1">
      <alignment horizontal="right"/>
    </xf>
    <xf numFmtId="9" fontId="18" fillId="0" borderId="1" xfId="1" applyNumberFormat="1" applyFont="1" applyBorder="1" applyAlignment="1">
      <alignment horizontal="right"/>
    </xf>
    <xf numFmtId="0" fontId="14" fillId="7" borderId="8" xfId="0" applyFont="1" applyFill="1" applyBorder="1" applyAlignment="1">
      <alignment horizontal="center" vertical="center" wrapText="1"/>
    </xf>
    <xf numFmtId="0" fontId="14" fillId="7" borderId="9" xfId="0" applyFont="1" applyFill="1" applyBorder="1" applyAlignment="1">
      <alignment horizontal="center" vertical="center" wrapText="1"/>
    </xf>
    <xf numFmtId="0" fontId="14" fillId="7" borderId="10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right" vertical="top" wrapText="1"/>
    </xf>
    <xf numFmtId="0" fontId="2" fillId="7" borderId="8" xfId="0" applyFont="1" applyFill="1" applyBorder="1" applyAlignment="1">
      <alignment horizontal="center" wrapText="1"/>
    </xf>
    <xf numFmtId="0" fontId="2" fillId="7" borderId="9" xfId="0" applyFont="1" applyFill="1" applyBorder="1" applyAlignment="1">
      <alignment horizontal="center" wrapText="1"/>
    </xf>
    <xf numFmtId="0" fontId="2" fillId="7" borderId="10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" vertical="top" wrapText="1"/>
    </xf>
    <xf numFmtId="0" fontId="3" fillId="3" borderId="7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8" fillId="0" borderId="8" xfId="0" applyFont="1" applyBorder="1" applyAlignment="1">
      <alignment horizontal="left"/>
    </xf>
    <xf numFmtId="0" fontId="18" fillId="0" borderId="9" xfId="0" applyFont="1" applyBorder="1" applyAlignment="1">
      <alignment horizontal="left"/>
    </xf>
    <xf numFmtId="0" fontId="18" fillId="0" borderId="10" xfId="0" applyFont="1" applyBorder="1" applyAlignment="1">
      <alignment horizontal="left"/>
    </xf>
    <xf numFmtId="0" fontId="16" fillId="0" borderId="1" xfId="0" applyFont="1" applyBorder="1" applyAlignment="1">
      <alignment horizontal="left" vertical="center"/>
    </xf>
    <xf numFmtId="0" fontId="11" fillId="4" borderId="6" xfId="0" applyFont="1" applyFill="1" applyBorder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24" fillId="4" borderId="0" xfId="0" applyFont="1" applyFill="1" applyAlignment="1">
      <alignment horizontal="left"/>
    </xf>
    <xf numFmtId="0" fontId="11" fillId="9" borderId="8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1" fillId="9" borderId="8" xfId="0" applyFont="1" applyFill="1" applyBorder="1" applyAlignment="1">
      <alignment horizontal="left" vertical="center"/>
    </xf>
    <xf numFmtId="0" fontId="11" fillId="9" borderId="9" xfId="0" applyFont="1" applyFill="1" applyBorder="1" applyAlignment="1">
      <alignment horizontal="left" vertical="center"/>
    </xf>
    <xf numFmtId="0" fontId="11" fillId="9" borderId="10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9" fillId="4" borderId="0" xfId="0" applyFont="1" applyFill="1" applyAlignment="1">
      <alignment horizontal="center"/>
    </xf>
    <xf numFmtId="0" fontId="20" fillId="4" borderId="0" xfId="0" applyFont="1" applyFill="1" applyAlignment="1">
      <alignment horizontal="left" vertical="center"/>
    </xf>
    <xf numFmtId="0" fontId="21" fillId="4" borderId="0" xfId="0" applyFont="1" applyFill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166" fontId="11" fillId="0" borderId="1" xfId="1" applyNumberFormat="1" applyFont="1" applyBorder="1" applyAlignment="1">
      <alignment horizontal="right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colors>
    <mruColors>
      <color rgb="FF2E1A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73336</xdr:rowOff>
    </xdr:from>
    <xdr:to>
      <xdr:col>2</xdr:col>
      <xdr:colOff>438531</xdr:colOff>
      <xdr:row>1</xdr:row>
      <xdr:rowOff>676275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D841197-348F-4859-9E83-17B9FB690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63836"/>
          <a:ext cx="1724406" cy="6029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92"/>
  <sheetViews>
    <sheetView showWhiteSpace="0" view="pageBreakPreview" topLeftCell="A9" zoomScale="87" zoomScaleNormal="90" workbookViewId="0">
      <selection activeCell="L9" sqref="L9"/>
    </sheetView>
  </sheetViews>
  <sheetFormatPr defaultColWidth="9" defaultRowHeight="14.4" x14ac:dyDescent="0.3"/>
  <cols>
    <col min="1" max="1" width="10" style="1" bestFit="1" customWidth="1"/>
    <col min="2" max="2" width="8.3984375" style="1" customWidth="1"/>
    <col min="3" max="3" width="9.59765625" style="1" customWidth="1"/>
    <col min="4" max="4" width="39.59765625" style="1" customWidth="1"/>
    <col min="5" max="5" width="14" style="1" customWidth="1"/>
    <col min="6" max="6" width="11.8984375" style="1" customWidth="1"/>
    <col min="7" max="8" width="10.69921875" style="1" hidden="1" customWidth="1"/>
    <col min="9" max="9" width="10.5" style="1" hidden="1" customWidth="1"/>
    <col min="10" max="10" width="16.19921875" style="1" customWidth="1"/>
    <col min="11" max="11" width="15.3984375" style="1" bestFit="1" customWidth="1"/>
    <col min="12" max="12" width="16.5" style="1" customWidth="1"/>
    <col min="13" max="13" width="18.19921875" style="1" customWidth="1"/>
    <col min="14" max="15" width="17.69921875" style="1" customWidth="1"/>
    <col min="16" max="16384" width="9" style="1"/>
  </cols>
  <sheetData>
    <row r="1" spans="1:15" ht="15" customHeight="1" x14ac:dyDescent="0.3">
      <c r="A1" s="72"/>
      <c r="B1" s="73"/>
      <c r="C1" s="74"/>
      <c r="D1" s="2" t="s">
        <v>0</v>
      </c>
      <c r="E1" s="78" t="s">
        <v>1</v>
      </c>
      <c r="F1" s="78"/>
      <c r="G1" s="79" t="s">
        <v>2</v>
      </c>
      <c r="H1" s="79"/>
      <c r="I1" s="79"/>
      <c r="J1" s="79"/>
      <c r="K1" s="79"/>
      <c r="L1" s="70" t="s">
        <v>3</v>
      </c>
      <c r="M1" s="70"/>
      <c r="N1" s="70"/>
      <c r="O1" s="70"/>
    </row>
    <row r="2" spans="1:15" ht="95.25" customHeight="1" x14ac:dyDescent="0.3">
      <c r="A2" s="75"/>
      <c r="B2" s="76"/>
      <c r="C2" s="77"/>
      <c r="D2" s="15" t="s">
        <v>520</v>
      </c>
      <c r="E2" s="71" t="s">
        <v>4</v>
      </c>
      <c r="F2" s="71"/>
      <c r="G2" s="80" t="s">
        <v>5</v>
      </c>
      <c r="H2" s="80"/>
      <c r="I2" s="80"/>
      <c r="J2" s="80"/>
      <c r="K2" s="80"/>
      <c r="L2" s="71" t="s">
        <v>6</v>
      </c>
      <c r="M2" s="71"/>
      <c r="N2" s="71"/>
      <c r="O2" s="71"/>
    </row>
    <row r="3" spans="1:15" ht="24.6" customHeight="1" x14ac:dyDescent="0.3">
      <c r="A3" s="58" t="s">
        <v>539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60"/>
    </row>
    <row r="4" spans="1:15" ht="15" customHeight="1" x14ac:dyDescent="0.3">
      <c r="A4" s="62" t="s">
        <v>521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4"/>
    </row>
    <row r="5" spans="1:15" ht="15" customHeight="1" x14ac:dyDescent="0.3">
      <c r="A5" s="65" t="s">
        <v>522</v>
      </c>
      <c r="B5" s="65" t="s">
        <v>523</v>
      </c>
      <c r="C5" s="65" t="s">
        <v>531</v>
      </c>
      <c r="D5" s="65" t="s">
        <v>524</v>
      </c>
      <c r="E5" s="66" t="s">
        <v>525</v>
      </c>
      <c r="F5" s="66"/>
      <c r="G5" s="66"/>
      <c r="H5" s="66"/>
      <c r="I5" s="66"/>
      <c r="J5" s="66"/>
      <c r="K5" s="66"/>
      <c r="L5" s="67" t="s">
        <v>526</v>
      </c>
      <c r="M5" s="68"/>
      <c r="N5" s="68"/>
      <c r="O5" s="69"/>
    </row>
    <row r="6" spans="1:15" ht="60.75" customHeight="1" x14ac:dyDescent="0.3">
      <c r="A6" s="65"/>
      <c r="B6" s="65"/>
      <c r="C6" s="65"/>
      <c r="D6" s="65"/>
      <c r="E6" s="19" t="s">
        <v>372</v>
      </c>
      <c r="F6" s="19" t="s">
        <v>527</v>
      </c>
      <c r="G6" s="16" t="s">
        <v>528</v>
      </c>
      <c r="H6" s="25" t="s">
        <v>535</v>
      </c>
      <c r="I6" s="16" t="s">
        <v>534</v>
      </c>
      <c r="J6" s="25" t="s">
        <v>536</v>
      </c>
      <c r="K6" s="16" t="s">
        <v>537</v>
      </c>
      <c r="L6" s="19" t="s">
        <v>529</v>
      </c>
      <c r="M6" s="19" t="s">
        <v>532</v>
      </c>
      <c r="N6" s="19" t="s">
        <v>538</v>
      </c>
      <c r="O6" s="19" t="s">
        <v>530</v>
      </c>
    </row>
    <row r="7" spans="1:15" ht="24" customHeight="1" x14ac:dyDescent="0.3">
      <c r="A7" s="3" t="s">
        <v>7</v>
      </c>
      <c r="B7" s="3" t="s">
        <v>8</v>
      </c>
      <c r="C7" s="3"/>
      <c r="D7" s="3" t="s">
        <v>9</v>
      </c>
      <c r="E7" s="4"/>
      <c r="F7" s="5"/>
      <c r="G7" s="5"/>
      <c r="H7" s="23"/>
      <c r="I7" s="5"/>
      <c r="J7" s="23"/>
      <c r="K7" s="5"/>
      <c r="L7" s="6"/>
      <c r="M7" s="6">
        <v>57934.39</v>
      </c>
      <c r="N7" s="6">
        <f>SUM(N8:N11)</f>
        <v>0</v>
      </c>
      <c r="O7" s="6">
        <f>SUM(O8:O11)</f>
        <v>38665.81</v>
      </c>
    </row>
    <row r="8" spans="1:15" ht="39" customHeight="1" x14ac:dyDescent="0.3">
      <c r="A8" s="7" t="s">
        <v>10</v>
      </c>
      <c r="B8" s="7" t="s">
        <v>11</v>
      </c>
      <c r="C8" s="7" t="s">
        <v>12</v>
      </c>
      <c r="D8" s="7" t="s">
        <v>13</v>
      </c>
      <c r="E8" s="8" t="s">
        <v>14</v>
      </c>
      <c r="F8" s="9">
        <v>12</v>
      </c>
      <c r="G8" s="9">
        <v>12</v>
      </c>
      <c r="H8" s="24"/>
      <c r="I8" s="9"/>
      <c r="J8" s="24"/>
      <c r="K8" s="9">
        <f>G8+H8+I8+J8</f>
        <v>12</v>
      </c>
      <c r="L8" s="10">
        <v>463.24</v>
      </c>
      <c r="M8" s="10">
        <v>5558.88</v>
      </c>
      <c r="N8" s="10">
        <f>TRUNC(J8*L8,2)</f>
        <v>0</v>
      </c>
      <c r="O8" s="10">
        <f>TRUNC(K8*L8,2)</f>
        <v>5558.88</v>
      </c>
    </row>
    <row r="9" spans="1:15" ht="26.1" customHeight="1" x14ac:dyDescent="0.3">
      <c r="A9" s="7" t="s">
        <v>15</v>
      </c>
      <c r="B9" s="7" t="s">
        <v>16</v>
      </c>
      <c r="C9" s="7" t="s">
        <v>17</v>
      </c>
      <c r="D9" s="7" t="s">
        <v>18</v>
      </c>
      <c r="E9" s="8" t="s">
        <v>19</v>
      </c>
      <c r="F9" s="9">
        <v>1</v>
      </c>
      <c r="G9" s="9">
        <v>1</v>
      </c>
      <c r="H9" s="24"/>
      <c r="I9" s="9"/>
      <c r="J9" s="24"/>
      <c r="K9" s="24">
        <f t="shared" ref="K9:K72" si="0">G9+H9+I9+J9</f>
        <v>1</v>
      </c>
      <c r="L9" s="10">
        <v>25435.73</v>
      </c>
      <c r="M9" s="10">
        <v>25435.73</v>
      </c>
      <c r="N9" s="10">
        <f t="shared" ref="N9:N72" si="1">TRUNC(J9*L9,2)</f>
        <v>0</v>
      </c>
      <c r="O9" s="10">
        <f t="shared" ref="O9:O72" si="2">TRUNC(K9*L9,2)</f>
        <v>25435.73</v>
      </c>
    </row>
    <row r="10" spans="1:15" ht="26.1" customHeight="1" x14ac:dyDescent="0.3">
      <c r="A10" s="7" t="s">
        <v>20</v>
      </c>
      <c r="B10" s="7" t="s">
        <v>21</v>
      </c>
      <c r="C10" s="7" t="s">
        <v>22</v>
      </c>
      <c r="D10" s="7" t="s">
        <v>23</v>
      </c>
      <c r="E10" s="8" t="s">
        <v>24</v>
      </c>
      <c r="F10" s="9">
        <v>6</v>
      </c>
      <c r="G10" s="9"/>
      <c r="H10" s="24"/>
      <c r="I10" s="9"/>
      <c r="J10" s="24"/>
      <c r="K10" s="24">
        <f t="shared" si="0"/>
        <v>0</v>
      </c>
      <c r="L10" s="10">
        <v>3211.43</v>
      </c>
      <c r="M10" s="10">
        <v>19268.580000000002</v>
      </c>
      <c r="N10" s="10">
        <f t="shared" si="1"/>
        <v>0</v>
      </c>
      <c r="O10" s="10">
        <f t="shared" si="2"/>
        <v>0</v>
      </c>
    </row>
    <row r="11" spans="1:15" ht="24" customHeight="1" x14ac:dyDescent="0.3">
      <c r="A11" s="7" t="s">
        <v>25</v>
      </c>
      <c r="B11" s="7" t="s">
        <v>26</v>
      </c>
      <c r="C11" s="7" t="s">
        <v>12</v>
      </c>
      <c r="D11" s="7" t="s">
        <v>27</v>
      </c>
      <c r="E11" s="8" t="s">
        <v>14</v>
      </c>
      <c r="F11" s="9">
        <v>80</v>
      </c>
      <c r="G11" s="9">
        <v>80</v>
      </c>
      <c r="H11" s="24"/>
      <c r="I11" s="9"/>
      <c r="J11" s="24"/>
      <c r="K11" s="24">
        <f t="shared" si="0"/>
        <v>80</v>
      </c>
      <c r="L11" s="10">
        <v>95.89</v>
      </c>
      <c r="M11" s="10">
        <v>7671.2</v>
      </c>
      <c r="N11" s="10">
        <f t="shared" si="1"/>
        <v>0</v>
      </c>
      <c r="O11" s="10">
        <f t="shared" si="2"/>
        <v>7671.2</v>
      </c>
    </row>
    <row r="12" spans="1:15" ht="24" customHeight="1" x14ac:dyDescent="0.3">
      <c r="A12" s="3" t="s">
        <v>28</v>
      </c>
      <c r="B12" s="3" t="s">
        <v>8</v>
      </c>
      <c r="C12" s="3"/>
      <c r="D12" s="3" t="s">
        <v>29</v>
      </c>
      <c r="E12" s="4"/>
      <c r="F12" s="5"/>
      <c r="G12" s="9"/>
      <c r="H12" s="24"/>
      <c r="I12" s="9"/>
      <c r="J12" s="24"/>
      <c r="K12" s="24">
        <f t="shared" si="0"/>
        <v>0</v>
      </c>
      <c r="L12" s="6"/>
      <c r="M12" s="6">
        <v>137280.70000000001</v>
      </c>
      <c r="N12" s="17">
        <f>SUM(N13:N16)</f>
        <v>12815.349999999999</v>
      </c>
      <c r="O12" s="17">
        <f>SUM(O13:O16)</f>
        <v>94604.65</v>
      </c>
    </row>
    <row r="13" spans="1:15" ht="26.1" customHeight="1" x14ac:dyDescent="0.3">
      <c r="A13" s="7" t="s">
        <v>30</v>
      </c>
      <c r="B13" s="7" t="s">
        <v>31</v>
      </c>
      <c r="C13" s="7" t="s">
        <v>12</v>
      </c>
      <c r="D13" s="7" t="s">
        <v>32</v>
      </c>
      <c r="E13" s="8" t="s">
        <v>24</v>
      </c>
      <c r="F13" s="9">
        <v>2</v>
      </c>
      <c r="G13" s="9">
        <v>1</v>
      </c>
      <c r="H13" s="24"/>
      <c r="I13" s="9">
        <v>1</v>
      </c>
      <c r="J13" s="24"/>
      <c r="K13" s="24">
        <f t="shared" si="0"/>
        <v>2</v>
      </c>
      <c r="L13" s="10">
        <v>27021.8</v>
      </c>
      <c r="M13" s="10">
        <v>54043.6</v>
      </c>
      <c r="N13" s="10">
        <f t="shared" si="1"/>
        <v>0</v>
      </c>
      <c r="O13" s="10">
        <f t="shared" si="2"/>
        <v>54043.6</v>
      </c>
    </row>
    <row r="14" spans="1:15" ht="26.1" customHeight="1" x14ac:dyDescent="0.3">
      <c r="A14" s="7" t="s">
        <v>33</v>
      </c>
      <c r="B14" s="7" t="s">
        <v>34</v>
      </c>
      <c r="C14" s="7" t="s">
        <v>12</v>
      </c>
      <c r="D14" s="7" t="s">
        <v>35</v>
      </c>
      <c r="E14" s="8" t="s">
        <v>24</v>
      </c>
      <c r="F14" s="9">
        <v>6</v>
      </c>
      <c r="G14" s="9">
        <v>1</v>
      </c>
      <c r="H14" s="24"/>
      <c r="I14" s="9">
        <v>1</v>
      </c>
      <c r="J14" s="26">
        <v>1</v>
      </c>
      <c r="K14" s="24">
        <f t="shared" si="0"/>
        <v>3</v>
      </c>
      <c r="L14" s="10">
        <v>5122.3999999999996</v>
      </c>
      <c r="M14" s="10">
        <v>30734.400000000001</v>
      </c>
      <c r="N14" s="10">
        <f t="shared" si="1"/>
        <v>5122.3999999999996</v>
      </c>
      <c r="O14" s="10">
        <f t="shared" si="2"/>
        <v>15367.2</v>
      </c>
    </row>
    <row r="15" spans="1:15" ht="24" customHeight="1" x14ac:dyDescent="0.3">
      <c r="A15" s="7" t="s">
        <v>36</v>
      </c>
      <c r="B15" s="7" t="s">
        <v>37</v>
      </c>
      <c r="C15" s="7" t="s">
        <v>12</v>
      </c>
      <c r="D15" s="7" t="s">
        <v>38</v>
      </c>
      <c r="E15" s="8" t="s">
        <v>24</v>
      </c>
      <c r="F15" s="9">
        <v>6</v>
      </c>
      <c r="G15" s="9">
        <v>1</v>
      </c>
      <c r="H15" s="24"/>
      <c r="I15" s="9">
        <v>1</v>
      </c>
      <c r="J15" s="26">
        <v>1</v>
      </c>
      <c r="K15" s="24">
        <f t="shared" si="0"/>
        <v>3</v>
      </c>
      <c r="L15" s="10">
        <v>7692.95</v>
      </c>
      <c r="M15" s="10">
        <v>46157.7</v>
      </c>
      <c r="N15" s="10">
        <f t="shared" si="1"/>
        <v>7692.95</v>
      </c>
      <c r="O15" s="10">
        <f t="shared" si="2"/>
        <v>23078.85</v>
      </c>
    </row>
    <row r="16" spans="1:15" ht="26.1" customHeight="1" x14ac:dyDescent="0.3">
      <c r="A16" s="7" t="s">
        <v>39</v>
      </c>
      <c r="B16" s="7" t="s">
        <v>40</v>
      </c>
      <c r="C16" s="7" t="s">
        <v>12</v>
      </c>
      <c r="D16" s="7" t="s">
        <v>41</v>
      </c>
      <c r="E16" s="8" t="s">
        <v>14</v>
      </c>
      <c r="F16" s="9">
        <v>300</v>
      </c>
      <c r="G16" s="9">
        <v>50</v>
      </c>
      <c r="H16" s="24"/>
      <c r="I16" s="9">
        <v>50</v>
      </c>
      <c r="J16" s="24"/>
      <c r="K16" s="24">
        <f t="shared" si="0"/>
        <v>100</v>
      </c>
      <c r="L16" s="10">
        <v>21.15</v>
      </c>
      <c r="M16" s="10">
        <v>6345</v>
      </c>
      <c r="N16" s="10">
        <f t="shared" si="1"/>
        <v>0</v>
      </c>
      <c r="O16" s="10">
        <f t="shared" si="2"/>
        <v>2115</v>
      </c>
    </row>
    <row r="17" spans="1:15" ht="24" customHeight="1" x14ac:dyDescent="0.3">
      <c r="A17" s="3" t="s">
        <v>42</v>
      </c>
      <c r="B17" s="3" t="s">
        <v>8</v>
      </c>
      <c r="C17" s="3"/>
      <c r="D17" s="3" t="s">
        <v>43</v>
      </c>
      <c r="E17" s="4"/>
      <c r="F17" s="5"/>
      <c r="G17" s="9"/>
      <c r="H17" s="24"/>
      <c r="I17" s="9"/>
      <c r="J17" s="24"/>
      <c r="K17" s="9"/>
      <c r="L17" s="6"/>
      <c r="M17" s="6">
        <v>99677.46</v>
      </c>
      <c r="N17" s="17">
        <f>SUM(N18:N23)</f>
        <v>0</v>
      </c>
      <c r="O17" s="17">
        <f>SUM(O18:O23)</f>
        <v>99677.46</v>
      </c>
    </row>
    <row r="18" spans="1:15" ht="26.1" customHeight="1" x14ac:dyDescent="0.3">
      <c r="A18" s="7" t="s">
        <v>44</v>
      </c>
      <c r="B18" s="7" t="s">
        <v>45</v>
      </c>
      <c r="C18" s="7" t="s">
        <v>12</v>
      </c>
      <c r="D18" s="7" t="s">
        <v>46</v>
      </c>
      <c r="E18" s="8" t="s">
        <v>47</v>
      </c>
      <c r="F18" s="9">
        <v>37.200000000000003</v>
      </c>
      <c r="G18" s="9">
        <f>F18</f>
        <v>37.200000000000003</v>
      </c>
      <c r="H18" s="24"/>
      <c r="I18" s="9"/>
      <c r="J18" s="24"/>
      <c r="K18" s="24">
        <f t="shared" si="0"/>
        <v>37.200000000000003</v>
      </c>
      <c r="L18" s="10">
        <v>625.97</v>
      </c>
      <c r="M18" s="10">
        <v>23286.080000000002</v>
      </c>
      <c r="N18" s="10">
        <f t="shared" si="1"/>
        <v>0</v>
      </c>
      <c r="O18" s="10">
        <f t="shared" si="2"/>
        <v>23286.080000000002</v>
      </c>
    </row>
    <row r="19" spans="1:15" ht="26.1" customHeight="1" x14ac:dyDescent="0.3">
      <c r="A19" s="7" t="s">
        <v>48</v>
      </c>
      <c r="B19" s="7" t="s">
        <v>49</v>
      </c>
      <c r="C19" s="7" t="s">
        <v>12</v>
      </c>
      <c r="D19" s="7" t="s">
        <v>50</v>
      </c>
      <c r="E19" s="8" t="s">
        <v>47</v>
      </c>
      <c r="F19" s="9">
        <v>324.89</v>
      </c>
      <c r="G19" s="9">
        <f t="shared" ref="G19:G23" si="3">F19</f>
        <v>324.89</v>
      </c>
      <c r="H19" s="24"/>
      <c r="I19" s="9"/>
      <c r="J19" s="24"/>
      <c r="K19" s="24">
        <f t="shared" si="0"/>
        <v>324.89</v>
      </c>
      <c r="L19" s="10">
        <v>117.09</v>
      </c>
      <c r="M19" s="10">
        <v>38041.370000000003</v>
      </c>
      <c r="N19" s="10">
        <f t="shared" si="1"/>
        <v>0</v>
      </c>
      <c r="O19" s="10">
        <f t="shared" si="2"/>
        <v>38041.370000000003</v>
      </c>
    </row>
    <row r="20" spans="1:15" ht="26.1" customHeight="1" x14ac:dyDescent="0.3">
      <c r="A20" s="7" t="s">
        <v>51</v>
      </c>
      <c r="B20" s="7" t="s">
        <v>52</v>
      </c>
      <c r="C20" s="7" t="s">
        <v>17</v>
      </c>
      <c r="D20" s="7" t="s">
        <v>53</v>
      </c>
      <c r="E20" s="8" t="s">
        <v>19</v>
      </c>
      <c r="F20" s="9">
        <v>14</v>
      </c>
      <c r="G20" s="9">
        <f t="shared" si="3"/>
        <v>14</v>
      </c>
      <c r="H20" s="24"/>
      <c r="I20" s="9"/>
      <c r="J20" s="24"/>
      <c r="K20" s="24">
        <f t="shared" si="0"/>
        <v>14</v>
      </c>
      <c r="L20" s="10">
        <v>405.38</v>
      </c>
      <c r="M20" s="10">
        <v>5675.32</v>
      </c>
      <c r="N20" s="10">
        <f t="shared" si="1"/>
        <v>0</v>
      </c>
      <c r="O20" s="10">
        <f t="shared" si="2"/>
        <v>5675.32</v>
      </c>
    </row>
    <row r="21" spans="1:15" ht="26.1" customHeight="1" x14ac:dyDescent="0.3">
      <c r="A21" s="7" t="s">
        <v>54</v>
      </c>
      <c r="B21" s="7" t="s">
        <v>55</v>
      </c>
      <c r="C21" s="7" t="s">
        <v>56</v>
      </c>
      <c r="D21" s="7" t="s">
        <v>57</v>
      </c>
      <c r="E21" s="8" t="s">
        <v>58</v>
      </c>
      <c r="F21" s="9">
        <v>7603.82</v>
      </c>
      <c r="G21" s="9">
        <f t="shared" si="3"/>
        <v>7603.82</v>
      </c>
      <c r="H21" s="24"/>
      <c r="I21" s="9"/>
      <c r="J21" s="24"/>
      <c r="K21" s="24">
        <f t="shared" si="0"/>
        <v>7603.82</v>
      </c>
      <c r="L21" s="10">
        <v>0.65</v>
      </c>
      <c r="M21" s="10">
        <v>4942.4799999999996</v>
      </c>
      <c r="N21" s="10">
        <f t="shared" si="1"/>
        <v>0</v>
      </c>
      <c r="O21" s="10">
        <f t="shared" si="2"/>
        <v>4942.4799999999996</v>
      </c>
    </row>
    <row r="22" spans="1:15" ht="51.9" customHeight="1" x14ac:dyDescent="0.3">
      <c r="A22" s="7" t="s">
        <v>59</v>
      </c>
      <c r="B22" s="7" t="s">
        <v>60</v>
      </c>
      <c r="C22" s="7" t="s">
        <v>12</v>
      </c>
      <c r="D22" s="7" t="s">
        <v>61</v>
      </c>
      <c r="E22" s="8" t="s">
        <v>47</v>
      </c>
      <c r="F22" s="9">
        <v>543.13</v>
      </c>
      <c r="G22" s="9">
        <f t="shared" si="3"/>
        <v>543.13</v>
      </c>
      <c r="H22" s="24"/>
      <c r="I22" s="9"/>
      <c r="J22" s="24"/>
      <c r="K22" s="24">
        <f t="shared" si="0"/>
        <v>543.13</v>
      </c>
      <c r="L22" s="10">
        <v>9.24</v>
      </c>
      <c r="M22" s="10">
        <v>5018.5200000000004</v>
      </c>
      <c r="N22" s="10">
        <f t="shared" si="1"/>
        <v>0</v>
      </c>
      <c r="O22" s="10">
        <f t="shared" si="2"/>
        <v>5018.5200000000004</v>
      </c>
    </row>
    <row r="23" spans="1:15" ht="24" customHeight="1" x14ac:dyDescent="0.3">
      <c r="A23" s="7" t="s">
        <v>62</v>
      </c>
      <c r="B23" s="7" t="s">
        <v>63</v>
      </c>
      <c r="C23" s="7" t="s">
        <v>64</v>
      </c>
      <c r="D23" s="7" t="s">
        <v>65</v>
      </c>
      <c r="E23" s="8" t="s">
        <v>47</v>
      </c>
      <c r="F23" s="9">
        <v>543.13</v>
      </c>
      <c r="G23" s="9">
        <f t="shared" si="3"/>
        <v>543.13</v>
      </c>
      <c r="H23" s="24"/>
      <c r="I23" s="9"/>
      <c r="J23" s="24"/>
      <c r="K23" s="24">
        <f t="shared" si="0"/>
        <v>543.13</v>
      </c>
      <c r="L23" s="10">
        <v>41.82</v>
      </c>
      <c r="M23" s="10">
        <v>22713.69</v>
      </c>
      <c r="N23" s="10">
        <f t="shared" si="1"/>
        <v>0</v>
      </c>
      <c r="O23" s="10">
        <f t="shared" si="2"/>
        <v>22713.69</v>
      </c>
    </row>
    <row r="24" spans="1:15" ht="24" customHeight="1" x14ac:dyDescent="0.3">
      <c r="A24" s="3" t="s">
        <v>66</v>
      </c>
      <c r="B24" s="3" t="s">
        <v>8</v>
      </c>
      <c r="C24" s="3"/>
      <c r="D24" s="3" t="s">
        <v>67</v>
      </c>
      <c r="E24" s="4"/>
      <c r="F24" s="5"/>
      <c r="G24" s="9"/>
      <c r="H24" s="24"/>
      <c r="I24" s="9"/>
      <c r="J24" s="24"/>
      <c r="K24" s="24">
        <f t="shared" si="0"/>
        <v>0</v>
      </c>
      <c r="L24" s="6"/>
      <c r="M24" s="6">
        <v>442798.66</v>
      </c>
      <c r="N24" s="17">
        <f>SUM(N25:N36)</f>
        <v>0</v>
      </c>
      <c r="O24" s="17">
        <f>SUM(O25:O36)</f>
        <v>442798.66</v>
      </c>
    </row>
    <row r="25" spans="1:15" ht="39" customHeight="1" x14ac:dyDescent="0.3">
      <c r="A25" s="7" t="s">
        <v>68</v>
      </c>
      <c r="B25" s="7" t="s">
        <v>69</v>
      </c>
      <c r="C25" s="7" t="s">
        <v>12</v>
      </c>
      <c r="D25" s="7" t="s">
        <v>70</v>
      </c>
      <c r="E25" s="8" t="s">
        <v>47</v>
      </c>
      <c r="F25" s="9">
        <v>360.13</v>
      </c>
      <c r="G25" s="9">
        <f>F25</f>
        <v>360.13</v>
      </c>
      <c r="H25" s="24"/>
      <c r="I25" s="9"/>
      <c r="J25" s="24"/>
      <c r="K25" s="24">
        <f t="shared" si="0"/>
        <v>360.13</v>
      </c>
      <c r="L25" s="10">
        <v>112.79</v>
      </c>
      <c r="M25" s="10">
        <v>40619.06</v>
      </c>
      <c r="N25" s="10">
        <f t="shared" si="1"/>
        <v>0</v>
      </c>
      <c r="O25" s="10">
        <f t="shared" si="2"/>
        <v>40619.06</v>
      </c>
    </row>
    <row r="26" spans="1:15" ht="26.1" customHeight="1" x14ac:dyDescent="0.3">
      <c r="A26" s="7" t="s">
        <v>71</v>
      </c>
      <c r="B26" s="7" t="s">
        <v>72</v>
      </c>
      <c r="C26" s="7" t="s">
        <v>12</v>
      </c>
      <c r="D26" s="7" t="s">
        <v>73</v>
      </c>
      <c r="E26" s="8" t="s">
        <v>47</v>
      </c>
      <c r="F26" s="9">
        <v>57.62</v>
      </c>
      <c r="G26" s="9">
        <f t="shared" ref="G26:G36" si="4">F26</f>
        <v>57.62</v>
      </c>
      <c r="H26" s="24"/>
      <c r="I26" s="9"/>
      <c r="J26" s="24"/>
      <c r="K26" s="24">
        <f t="shared" si="0"/>
        <v>57.62</v>
      </c>
      <c r="L26" s="10">
        <v>563.63</v>
      </c>
      <c r="M26" s="10">
        <v>32476.36</v>
      </c>
      <c r="N26" s="10">
        <f t="shared" si="1"/>
        <v>0</v>
      </c>
      <c r="O26" s="10">
        <f t="shared" si="2"/>
        <v>32476.36</v>
      </c>
    </row>
    <row r="27" spans="1:15" ht="26.1" customHeight="1" x14ac:dyDescent="0.3">
      <c r="A27" s="7" t="s">
        <v>74</v>
      </c>
      <c r="B27" s="7" t="s">
        <v>75</v>
      </c>
      <c r="C27" s="7" t="s">
        <v>12</v>
      </c>
      <c r="D27" s="7" t="s">
        <v>76</v>
      </c>
      <c r="E27" s="8" t="s">
        <v>14</v>
      </c>
      <c r="F27" s="9">
        <v>144.05000000000001</v>
      </c>
      <c r="G27" s="9">
        <f t="shared" si="4"/>
        <v>144.05000000000001</v>
      </c>
      <c r="H27" s="24"/>
      <c r="I27" s="9"/>
      <c r="J27" s="24"/>
      <c r="K27" s="24">
        <f t="shared" si="0"/>
        <v>144.05000000000001</v>
      </c>
      <c r="L27" s="10">
        <v>31.56</v>
      </c>
      <c r="M27" s="10">
        <v>4546.21</v>
      </c>
      <c r="N27" s="10">
        <f t="shared" si="1"/>
        <v>0</v>
      </c>
      <c r="O27" s="10">
        <f t="shared" si="2"/>
        <v>4546.21</v>
      </c>
    </row>
    <row r="28" spans="1:15" ht="24" customHeight="1" x14ac:dyDescent="0.3">
      <c r="A28" s="7" t="s">
        <v>77</v>
      </c>
      <c r="B28" s="7" t="s">
        <v>78</v>
      </c>
      <c r="C28" s="7" t="s">
        <v>12</v>
      </c>
      <c r="D28" s="7" t="s">
        <v>79</v>
      </c>
      <c r="E28" s="8" t="s">
        <v>80</v>
      </c>
      <c r="F28" s="9">
        <v>46</v>
      </c>
      <c r="G28" s="9">
        <f t="shared" si="4"/>
        <v>46</v>
      </c>
      <c r="H28" s="24"/>
      <c r="I28" s="9"/>
      <c r="J28" s="24"/>
      <c r="K28" s="24">
        <f t="shared" si="0"/>
        <v>46</v>
      </c>
      <c r="L28" s="10">
        <v>745.45</v>
      </c>
      <c r="M28" s="10">
        <v>34290.699999999997</v>
      </c>
      <c r="N28" s="10">
        <f t="shared" si="1"/>
        <v>0</v>
      </c>
      <c r="O28" s="10">
        <f t="shared" si="2"/>
        <v>34290.699999999997</v>
      </c>
    </row>
    <row r="29" spans="1:15" ht="39" customHeight="1" x14ac:dyDescent="0.3">
      <c r="A29" s="7" t="s">
        <v>81</v>
      </c>
      <c r="B29" s="7" t="s">
        <v>82</v>
      </c>
      <c r="C29" s="7" t="s">
        <v>12</v>
      </c>
      <c r="D29" s="7" t="s">
        <v>83</v>
      </c>
      <c r="E29" s="8" t="s">
        <v>47</v>
      </c>
      <c r="F29" s="9">
        <v>45.3</v>
      </c>
      <c r="G29" s="9">
        <f t="shared" si="4"/>
        <v>45.3</v>
      </c>
      <c r="H29" s="24"/>
      <c r="I29" s="9"/>
      <c r="J29" s="24"/>
      <c r="K29" s="24">
        <f t="shared" si="0"/>
        <v>45.3</v>
      </c>
      <c r="L29" s="10">
        <v>486.4</v>
      </c>
      <c r="M29" s="10">
        <v>22033.919999999998</v>
      </c>
      <c r="N29" s="10">
        <f t="shared" si="1"/>
        <v>0</v>
      </c>
      <c r="O29" s="10">
        <f t="shared" si="2"/>
        <v>22033.919999999998</v>
      </c>
    </row>
    <row r="30" spans="1:15" ht="26.1" customHeight="1" x14ac:dyDescent="0.3">
      <c r="A30" s="7" t="s">
        <v>84</v>
      </c>
      <c r="B30" s="7" t="s">
        <v>85</v>
      </c>
      <c r="C30" s="7" t="s">
        <v>12</v>
      </c>
      <c r="D30" s="7" t="s">
        <v>86</v>
      </c>
      <c r="E30" s="8" t="s">
        <v>47</v>
      </c>
      <c r="F30" s="9">
        <v>45.3</v>
      </c>
      <c r="G30" s="9">
        <f t="shared" si="4"/>
        <v>45.3</v>
      </c>
      <c r="H30" s="24"/>
      <c r="I30" s="9"/>
      <c r="J30" s="24"/>
      <c r="K30" s="24">
        <f t="shared" si="0"/>
        <v>45.3</v>
      </c>
      <c r="L30" s="10">
        <v>321.82</v>
      </c>
      <c r="M30" s="10">
        <v>14578.44</v>
      </c>
      <c r="N30" s="10">
        <f t="shared" si="1"/>
        <v>0</v>
      </c>
      <c r="O30" s="10">
        <f t="shared" si="2"/>
        <v>14578.44</v>
      </c>
    </row>
    <row r="31" spans="1:15" ht="26.1" customHeight="1" x14ac:dyDescent="0.3">
      <c r="A31" s="7" t="s">
        <v>87</v>
      </c>
      <c r="B31" s="7" t="s">
        <v>88</v>
      </c>
      <c r="C31" s="7" t="s">
        <v>12</v>
      </c>
      <c r="D31" s="7" t="s">
        <v>89</v>
      </c>
      <c r="E31" s="8" t="s">
        <v>14</v>
      </c>
      <c r="F31" s="9">
        <v>522.88</v>
      </c>
      <c r="G31" s="9">
        <f t="shared" si="4"/>
        <v>522.88</v>
      </c>
      <c r="H31" s="24"/>
      <c r="I31" s="9"/>
      <c r="J31" s="24"/>
      <c r="K31" s="24">
        <f t="shared" si="0"/>
        <v>522.88</v>
      </c>
      <c r="L31" s="10">
        <v>110.68</v>
      </c>
      <c r="M31" s="10">
        <v>57872.35</v>
      </c>
      <c r="N31" s="10">
        <f t="shared" si="1"/>
        <v>0</v>
      </c>
      <c r="O31" s="10">
        <f t="shared" si="2"/>
        <v>57872.35</v>
      </c>
    </row>
    <row r="32" spans="1:15" ht="51.9" customHeight="1" x14ac:dyDescent="0.3">
      <c r="A32" s="7" t="s">
        <v>90</v>
      </c>
      <c r="B32" s="7" t="s">
        <v>91</v>
      </c>
      <c r="C32" s="7" t="s">
        <v>12</v>
      </c>
      <c r="D32" s="7" t="s">
        <v>92</v>
      </c>
      <c r="E32" s="8" t="s">
        <v>14</v>
      </c>
      <c r="F32" s="9">
        <v>747.03</v>
      </c>
      <c r="G32" s="9">
        <f t="shared" si="4"/>
        <v>747.03</v>
      </c>
      <c r="H32" s="24"/>
      <c r="I32" s="9"/>
      <c r="J32" s="24"/>
      <c r="K32" s="24">
        <f t="shared" si="0"/>
        <v>747.03</v>
      </c>
      <c r="L32" s="10">
        <v>108.75</v>
      </c>
      <c r="M32" s="10">
        <v>81239.509999999995</v>
      </c>
      <c r="N32" s="10">
        <f t="shared" si="1"/>
        <v>0</v>
      </c>
      <c r="O32" s="10">
        <f t="shared" si="2"/>
        <v>81239.509999999995</v>
      </c>
    </row>
    <row r="33" spans="1:15" ht="51.9" customHeight="1" x14ac:dyDescent="0.3">
      <c r="A33" s="7" t="s">
        <v>93</v>
      </c>
      <c r="B33" s="7" t="s">
        <v>94</v>
      </c>
      <c r="C33" s="7" t="s">
        <v>12</v>
      </c>
      <c r="D33" s="7" t="s">
        <v>95</v>
      </c>
      <c r="E33" s="8" t="s">
        <v>14</v>
      </c>
      <c r="F33" s="9">
        <v>1584.7</v>
      </c>
      <c r="G33" s="9">
        <f t="shared" si="4"/>
        <v>1584.7</v>
      </c>
      <c r="H33" s="24"/>
      <c r="I33" s="9"/>
      <c r="J33" s="24"/>
      <c r="K33" s="24">
        <f t="shared" si="0"/>
        <v>1584.7</v>
      </c>
      <c r="L33" s="10">
        <v>7.81</v>
      </c>
      <c r="M33" s="10">
        <v>12376.5</v>
      </c>
      <c r="N33" s="10">
        <f t="shared" si="1"/>
        <v>0</v>
      </c>
      <c r="O33" s="10">
        <f t="shared" si="2"/>
        <v>12376.5</v>
      </c>
    </row>
    <row r="34" spans="1:15" ht="51.9" customHeight="1" x14ac:dyDescent="0.3">
      <c r="A34" s="7" t="s">
        <v>96</v>
      </c>
      <c r="B34" s="7" t="s">
        <v>97</v>
      </c>
      <c r="C34" s="7" t="s">
        <v>12</v>
      </c>
      <c r="D34" s="7" t="s">
        <v>98</v>
      </c>
      <c r="E34" s="8" t="s">
        <v>14</v>
      </c>
      <c r="F34" s="9">
        <v>1584.7</v>
      </c>
      <c r="G34" s="9">
        <f t="shared" si="4"/>
        <v>1584.7</v>
      </c>
      <c r="H34" s="24"/>
      <c r="I34" s="9"/>
      <c r="J34" s="24"/>
      <c r="K34" s="24">
        <f t="shared" si="0"/>
        <v>1584.7</v>
      </c>
      <c r="L34" s="10">
        <v>61.65</v>
      </c>
      <c r="M34" s="10">
        <v>97696.75</v>
      </c>
      <c r="N34" s="10">
        <f t="shared" si="1"/>
        <v>0</v>
      </c>
      <c r="O34" s="10">
        <f t="shared" si="2"/>
        <v>97696.75</v>
      </c>
    </row>
    <row r="35" spans="1:15" ht="26.1" customHeight="1" x14ac:dyDescent="0.3">
      <c r="A35" s="7" t="s">
        <v>99</v>
      </c>
      <c r="B35" s="7" t="s">
        <v>100</v>
      </c>
      <c r="C35" s="7" t="s">
        <v>12</v>
      </c>
      <c r="D35" s="7" t="s">
        <v>101</v>
      </c>
      <c r="E35" s="8" t="s">
        <v>14</v>
      </c>
      <c r="F35" s="9">
        <v>1584.7</v>
      </c>
      <c r="G35" s="9">
        <f t="shared" si="4"/>
        <v>1584.7</v>
      </c>
      <c r="H35" s="24"/>
      <c r="I35" s="9"/>
      <c r="J35" s="24"/>
      <c r="K35" s="24">
        <f t="shared" si="0"/>
        <v>1584.7</v>
      </c>
      <c r="L35" s="10">
        <v>4.04</v>
      </c>
      <c r="M35" s="10">
        <v>6402.18</v>
      </c>
      <c r="N35" s="10">
        <f t="shared" si="1"/>
        <v>0</v>
      </c>
      <c r="O35" s="10">
        <f t="shared" si="2"/>
        <v>6402.18</v>
      </c>
    </row>
    <row r="36" spans="1:15" ht="24" customHeight="1" x14ac:dyDescent="0.3">
      <c r="A36" s="7" t="s">
        <v>102</v>
      </c>
      <c r="B36" s="7" t="s">
        <v>103</v>
      </c>
      <c r="C36" s="7" t="s">
        <v>12</v>
      </c>
      <c r="D36" s="7" t="s">
        <v>104</v>
      </c>
      <c r="E36" s="8" t="s">
        <v>14</v>
      </c>
      <c r="F36" s="9">
        <v>1584.7</v>
      </c>
      <c r="G36" s="9">
        <f t="shared" si="4"/>
        <v>1584.7</v>
      </c>
      <c r="H36" s="24"/>
      <c r="I36" s="9"/>
      <c r="J36" s="24"/>
      <c r="K36" s="24">
        <f t="shared" si="0"/>
        <v>1584.7</v>
      </c>
      <c r="L36" s="10">
        <v>24.4</v>
      </c>
      <c r="M36" s="10">
        <v>38666.68</v>
      </c>
      <c r="N36" s="10">
        <f t="shared" si="1"/>
        <v>0</v>
      </c>
      <c r="O36" s="10">
        <f t="shared" si="2"/>
        <v>38666.68</v>
      </c>
    </row>
    <row r="37" spans="1:15" ht="24" customHeight="1" x14ac:dyDescent="0.3">
      <c r="A37" s="3" t="s">
        <v>105</v>
      </c>
      <c r="B37" s="3" t="s">
        <v>8</v>
      </c>
      <c r="C37" s="3"/>
      <c r="D37" s="3" t="s">
        <v>106</v>
      </c>
      <c r="E37" s="4"/>
      <c r="F37" s="5"/>
      <c r="G37" s="9"/>
      <c r="H37" s="24"/>
      <c r="I37" s="9"/>
      <c r="J37" s="24"/>
      <c r="K37" s="9"/>
      <c r="L37" s="6"/>
      <c r="M37" s="6">
        <v>221219.1</v>
      </c>
      <c r="N37" s="17">
        <f>SUM(N38:N46)</f>
        <v>0</v>
      </c>
      <c r="O37" s="17">
        <f>SUM(O38:O46)</f>
        <v>0</v>
      </c>
    </row>
    <row r="38" spans="1:15" ht="39" customHeight="1" x14ac:dyDescent="0.3">
      <c r="A38" s="7" t="s">
        <v>107</v>
      </c>
      <c r="B38" s="7" t="s">
        <v>108</v>
      </c>
      <c r="C38" s="7" t="s">
        <v>12</v>
      </c>
      <c r="D38" s="7" t="s">
        <v>109</v>
      </c>
      <c r="E38" s="8" t="s">
        <v>110</v>
      </c>
      <c r="F38" s="9">
        <v>272.27999999999997</v>
      </c>
      <c r="G38" s="9"/>
      <c r="H38" s="24"/>
      <c r="I38" s="9"/>
      <c r="J38" s="24"/>
      <c r="K38" s="24">
        <f t="shared" si="0"/>
        <v>0</v>
      </c>
      <c r="L38" s="10">
        <v>41.52</v>
      </c>
      <c r="M38" s="10">
        <v>11305.06</v>
      </c>
      <c r="N38" s="10">
        <f t="shared" si="1"/>
        <v>0</v>
      </c>
      <c r="O38" s="10">
        <f t="shared" si="2"/>
        <v>0</v>
      </c>
    </row>
    <row r="39" spans="1:15" ht="39" customHeight="1" x14ac:dyDescent="0.3">
      <c r="A39" s="7" t="s">
        <v>111</v>
      </c>
      <c r="B39" s="7" t="s">
        <v>112</v>
      </c>
      <c r="C39" s="7" t="s">
        <v>12</v>
      </c>
      <c r="D39" s="7" t="s">
        <v>113</v>
      </c>
      <c r="E39" s="8" t="s">
        <v>14</v>
      </c>
      <c r="F39" s="9">
        <v>1516.63</v>
      </c>
      <c r="G39" s="9"/>
      <c r="H39" s="24"/>
      <c r="I39" s="9"/>
      <c r="J39" s="24"/>
      <c r="K39" s="24">
        <f t="shared" si="0"/>
        <v>0</v>
      </c>
      <c r="L39" s="10">
        <v>94.61</v>
      </c>
      <c r="M39" s="10">
        <v>143488.35999999999</v>
      </c>
      <c r="N39" s="10">
        <f t="shared" si="1"/>
        <v>0</v>
      </c>
      <c r="O39" s="10">
        <f t="shared" si="2"/>
        <v>0</v>
      </c>
    </row>
    <row r="40" spans="1:15" ht="24" customHeight="1" x14ac:dyDescent="0.3">
      <c r="A40" s="7" t="s">
        <v>114</v>
      </c>
      <c r="B40" s="7" t="s">
        <v>115</v>
      </c>
      <c r="C40" s="7" t="s">
        <v>12</v>
      </c>
      <c r="D40" s="7" t="s">
        <v>116</v>
      </c>
      <c r="E40" s="8" t="s">
        <v>47</v>
      </c>
      <c r="F40" s="9">
        <v>151.36000000000001</v>
      </c>
      <c r="G40" s="9"/>
      <c r="H40" s="24"/>
      <c r="I40" s="9"/>
      <c r="J40" s="24"/>
      <c r="K40" s="24">
        <f t="shared" si="0"/>
        <v>0</v>
      </c>
      <c r="L40" s="10">
        <v>136.91</v>
      </c>
      <c r="M40" s="10">
        <v>20722.689999999999</v>
      </c>
      <c r="N40" s="10">
        <f t="shared" si="1"/>
        <v>0</v>
      </c>
      <c r="O40" s="10">
        <f t="shared" si="2"/>
        <v>0</v>
      </c>
    </row>
    <row r="41" spans="1:15" ht="24" customHeight="1" x14ac:dyDescent="0.3">
      <c r="A41" s="7" t="s">
        <v>117</v>
      </c>
      <c r="B41" s="7" t="s">
        <v>118</v>
      </c>
      <c r="C41" s="7" t="s">
        <v>12</v>
      </c>
      <c r="D41" s="7" t="s">
        <v>119</v>
      </c>
      <c r="E41" s="8" t="s">
        <v>14</v>
      </c>
      <c r="F41" s="9">
        <v>227.08</v>
      </c>
      <c r="G41" s="9"/>
      <c r="H41" s="24"/>
      <c r="I41" s="9"/>
      <c r="J41" s="24"/>
      <c r="K41" s="24">
        <f t="shared" si="0"/>
        <v>0</v>
      </c>
      <c r="L41" s="10">
        <v>25.92</v>
      </c>
      <c r="M41" s="10">
        <v>5885.91</v>
      </c>
      <c r="N41" s="10">
        <f t="shared" si="1"/>
        <v>0</v>
      </c>
      <c r="O41" s="10">
        <f t="shared" si="2"/>
        <v>0</v>
      </c>
    </row>
    <row r="42" spans="1:15" ht="26.1" customHeight="1" x14ac:dyDescent="0.3">
      <c r="A42" s="7" t="s">
        <v>120</v>
      </c>
      <c r="B42" s="7" t="s">
        <v>121</v>
      </c>
      <c r="C42" s="7" t="s">
        <v>17</v>
      </c>
      <c r="D42" s="7" t="s">
        <v>122</v>
      </c>
      <c r="E42" s="8" t="s">
        <v>47</v>
      </c>
      <c r="F42" s="9">
        <v>68.12</v>
      </c>
      <c r="G42" s="9"/>
      <c r="H42" s="24"/>
      <c r="I42" s="9"/>
      <c r="J42" s="24"/>
      <c r="K42" s="24">
        <f t="shared" si="0"/>
        <v>0</v>
      </c>
      <c r="L42" s="10">
        <v>184.4</v>
      </c>
      <c r="M42" s="10">
        <v>12561.32</v>
      </c>
      <c r="N42" s="10">
        <f t="shared" si="1"/>
        <v>0</v>
      </c>
      <c r="O42" s="10">
        <f t="shared" si="2"/>
        <v>0</v>
      </c>
    </row>
    <row r="43" spans="1:15" ht="51.9" customHeight="1" x14ac:dyDescent="0.3">
      <c r="A43" s="7" t="s">
        <v>123</v>
      </c>
      <c r="B43" s="7" t="s">
        <v>124</v>
      </c>
      <c r="C43" s="7" t="s">
        <v>17</v>
      </c>
      <c r="D43" s="7" t="s">
        <v>125</v>
      </c>
      <c r="E43" s="8" t="s">
        <v>19</v>
      </c>
      <c r="F43" s="9">
        <v>3</v>
      </c>
      <c r="G43" s="9"/>
      <c r="H43" s="24"/>
      <c r="I43" s="9"/>
      <c r="J43" s="24"/>
      <c r="K43" s="24">
        <f t="shared" si="0"/>
        <v>0</v>
      </c>
      <c r="L43" s="10">
        <v>1754.61</v>
      </c>
      <c r="M43" s="10">
        <v>5263.83</v>
      </c>
      <c r="N43" s="10">
        <f t="shared" si="1"/>
        <v>0</v>
      </c>
      <c r="O43" s="10">
        <f t="shared" si="2"/>
        <v>0</v>
      </c>
    </row>
    <row r="44" spans="1:15" ht="39" customHeight="1" x14ac:dyDescent="0.3">
      <c r="A44" s="7" t="s">
        <v>126</v>
      </c>
      <c r="B44" s="7" t="s">
        <v>127</v>
      </c>
      <c r="C44" s="7" t="s">
        <v>17</v>
      </c>
      <c r="D44" s="7" t="s">
        <v>128</v>
      </c>
      <c r="E44" s="8" t="s">
        <v>19</v>
      </c>
      <c r="F44" s="9">
        <v>3</v>
      </c>
      <c r="G44" s="9"/>
      <c r="H44" s="24"/>
      <c r="I44" s="9"/>
      <c r="J44" s="24"/>
      <c r="K44" s="24">
        <f t="shared" si="0"/>
        <v>0</v>
      </c>
      <c r="L44" s="10">
        <v>1082.28</v>
      </c>
      <c r="M44" s="10">
        <v>3246.84</v>
      </c>
      <c r="N44" s="10">
        <f t="shared" si="1"/>
        <v>0</v>
      </c>
      <c r="O44" s="10">
        <f t="shared" si="2"/>
        <v>0</v>
      </c>
    </row>
    <row r="45" spans="1:15" ht="39" customHeight="1" x14ac:dyDescent="0.3">
      <c r="A45" s="7" t="s">
        <v>129</v>
      </c>
      <c r="B45" s="7" t="s">
        <v>130</v>
      </c>
      <c r="C45" s="7" t="s">
        <v>64</v>
      </c>
      <c r="D45" s="7" t="s">
        <v>131</v>
      </c>
      <c r="E45" s="8" t="s">
        <v>110</v>
      </c>
      <c r="F45" s="9">
        <v>23.5</v>
      </c>
      <c r="G45" s="9"/>
      <c r="H45" s="24"/>
      <c r="I45" s="9"/>
      <c r="J45" s="24"/>
      <c r="K45" s="24">
        <f t="shared" si="0"/>
        <v>0</v>
      </c>
      <c r="L45" s="10">
        <v>722.14</v>
      </c>
      <c r="M45" s="10">
        <v>16970.29</v>
      </c>
      <c r="N45" s="10">
        <f t="shared" si="1"/>
        <v>0</v>
      </c>
      <c r="O45" s="10">
        <f t="shared" si="2"/>
        <v>0</v>
      </c>
    </row>
    <row r="46" spans="1:15" ht="39" customHeight="1" x14ac:dyDescent="0.3">
      <c r="A46" s="7" t="s">
        <v>132</v>
      </c>
      <c r="B46" s="7" t="s">
        <v>133</v>
      </c>
      <c r="C46" s="7" t="s">
        <v>12</v>
      </c>
      <c r="D46" s="7" t="s">
        <v>134</v>
      </c>
      <c r="E46" s="8" t="s">
        <v>80</v>
      </c>
      <c r="F46" s="9">
        <v>12</v>
      </c>
      <c r="G46" s="9"/>
      <c r="H46" s="24"/>
      <c r="I46" s="9"/>
      <c r="J46" s="24"/>
      <c r="K46" s="24">
        <f t="shared" si="0"/>
        <v>0</v>
      </c>
      <c r="L46" s="10">
        <v>147.9</v>
      </c>
      <c r="M46" s="10">
        <v>1774.8</v>
      </c>
      <c r="N46" s="10">
        <f t="shared" si="1"/>
        <v>0</v>
      </c>
      <c r="O46" s="10">
        <f t="shared" si="2"/>
        <v>0</v>
      </c>
    </row>
    <row r="47" spans="1:15" ht="24" customHeight="1" x14ac:dyDescent="0.3">
      <c r="A47" s="3" t="s">
        <v>135</v>
      </c>
      <c r="B47" s="3" t="s">
        <v>8</v>
      </c>
      <c r="C47" s="3"/>
      <c r="D47" s="3" t="s">
        <v>136</v>
      </c>
      <c r="E47" s="4"/>
      <c r="F47" s="5"/>
      <c r="G47" s="9"/>
      <c r="H47" s="24"/>
      <c r="I47" s="9"/>
      <c r="J47" s="24"/>
      <c r="K47" s="9"/>
      <c r="L47" s="6"/>
      <c r="M47" s="6">
        <v>67820.72</v>
      </c>
      <c r="N47" s="17">
        <f>SUM(N48:N57)</f>
        <v>0</v>
      </c>
      <c r="O47" s="17">
        <f>SUM(O48:O57)</f>
        <v>0</v>
      </c>
    </row>
    <row r="48" spans="1:15" ht="39" customHeight="1" x14ac:dyDescent="0.3">
      <c r="A48" s="7" t="s">
        <v>137</v>
      </c>
      <c r="B48" s="7" t="s">
        <v>138</v>
      </c>
      <c r="C48" s="7" t="s">
        <v>12</v>
      </c>
      <c r="D48" s="7" t="s">
        <v>139</v>
      </c>
      <c r="E48" s="8" t="s">
        <v>47</v>
      </c>
      <c r="F48" s="9">
        <v>1.1499999999999999</v>
      </c>
      <c r="G48" s="9"/>
      <c r="H48" s="24"/>
      <c r="I48" s="9"/>
      <c r="J48" s="24"/>
      <c r="K48" s="24">
        <f t="shared" si="0"/>
        <v>0</v>
      </c>
      <c r="L48" s="10">
        <v>102.49</v>
      </c>
      <c r="M48" s="10">
        <v>117.86</v>
      </c>
      <c r="N48" s="10">
        <f t="shared" si="1"/>
        <v>0</v>
      </c>
      <c r="O48" s="10">
        <f t="shared" si="2"/>
        <v>0</v>
      </c>
    </row>
    <row r="49" spans="1:15" ht="26.1" customHeight="1" x14ac:dyDescent="0.3">
      <c r="A49" s="7" t="s">
        <v>140</v>
      </c>
      <c r="B49" s="7" t="s">
        <v>141</v>
      </c>
      <c r="C49" s="7" t="s">
        <v>12</v>
      </c>
      <c r="D49" s="7" t="s">
        <v>142</v>
      </c>
      <c r="E49" s="8" t="s">
        <v>14</v>
      </c>
      <c r="F49" s="9">
        <v>6.12</v>
      </c>
      <c r="G49" s="9"/>
      <c r="H49" s="24"/>
      <c r="I49" s="9"/>
      <c r="J49" s="24"/>
      <c r="K49" s="24">
        <f t="shared" si="0"/>
        <v>0</v>
      </c>
      <c r="L49" s="10">
        <v>101.78</v>
      </c>
      <c r="M49" s="10">
        <v>622.89</v>
      </c>
      <c r="N49" s="10">
        <f t="shared" si="1"/>
        <v>0</v>
      </c>
      <c r="O49" s="10">
        <f t="shared" si="2"/>
        <v>0</v>
      </c>
    </row>
    <row r="50" spans="1:15" ht="26.1" customHeight="1" x14ac:dyDescent="0.3">
      <c r="A50" s="7" t="s">
        <v>143</v>
      </c>
      <c r="B50" s="7" t="s">
        <v>144</v>
      </c>
      <c r="C50" s="7" t="s">
        <v>12</v>
      </c>
      <c r="D50" s="7" t="s">
        <v>145</v>
      </c>
      <c r="E50" s="8" t="s">
        <v>47</v>
      </c>
      <c r="F50" s="9">
        <v>0.4</v>
      </c>
      <c r="G50" s="9"/>
      <c r="H50" s="24"/>
      <c r="I50" s="9"/>
      <c r="J50" s="24"/>
      <c r="K50" s="24">
        <f t="shared" si="0"/>
        <v>0</v>
      </c>
      <c r="L50" s="10">
        <v>822.17</v>
      </c>
      <c r="M50" s="10">
        <v>328.86</v>
      </c>
      <c r="N50" s="10">
        <f t="shared" si="1"/>
        <v>0</v>
      </c>
      <c r="O50" s="10">
        <f t="shared" si="2"/>
        <v>0</v>
      </c>
    </row>
    <row r="51" spans="1:15" ht="39" customHeight="1" x14ac:dyDescent="0.3">
      <c r="A51" s="7" t="s">
        <v>146</v>
      </c>
      <c r="B51" s="7" t="s">
        <v>147</v>
      </c>
      <c r="C51" s="7" t="s">
        <v>12</v>
      </c>
      <c r="D51" s="7" t="s">
        <v>148</v>
      </c>
      <c r="E51" s="8" t="s">
        <v>47</v>
      </c>
      <c r="F51" s="9">
        <v>0.56000000000000005</v>
      </c>
      <c r="G51" s="9"/>
      <c r="H51" s="24"/>
      <c r="I51" s="9"/>
      <c r="J51" s="24"/>
      <c r="K51" s="24">
        <f t="shared" si="0"/>
        <v>0</v>
      </c>
      <c r="L51" s="10">
        <v>2999.48</v>
      </c>
      <c r="M51" s="10">
        <v>1679.7</v>
      </c>
      <c r="N51" s="10">
        <f t="shared" si="1"/>
        <v>0</v>
      </c>
      <c r="O51" s="10">
        <f t="shared" si="2"/>
        <v>0</v>
      </c>
    </row>
    <row r="52" spans="1:15" ht="24" customHeight="1" x14ac:dyDescent="0.3">
      <c r="A52" s="7" t="s">
        <v>149</v>
      </c>
      <c r="B52" s="7" t="s">
        <v>150</v>
      </c>
      <c r="C52" s="7" t="s">
        <v>22</v>
      </c>
      <c r="D52" s="7" t="s">
        <v>151</v>
      </c>
      <c r="E52" s="8" t="s">
        <v>14</v>
      </c>
      <c r="F52" s="9">
        <v>22.16</v>
      </c>
      <c r="G52" s="9"/>
      <c r="H52" s="24"/>
      <c r="I52" s="9"/>
      <c r="J52" s="24"/>
      <c r="K52" s="24">
        <f t="shared" si="0"/>
        <v>0</v>
      </c>
      <c r="L52" s="10">
        <v>1305.4100000000001</v>
      </c>
      <c r="M52" s="10">
        <v>28927.88</v>
      </c>
      <c r="N52" s="10">
        <f t="shared" si="1"/>
        <v>0</v>
      </c>
      <c r="O52" s="10">
        <f t="shared" si="2"/>
        <v>0</v>
      </c>
    </row>
    <row r="53" spans="1:15" ht="26.1" customHeight="1" x14ac:dyDescent="0.3">
      <c r="A53" s="7" t="s">
        <v>152</v>
      </c>
      <c r="B53" s="7" t="s">
        <v>153</v>
      </c>
      <c r="C53" s="7" t="s">
        <v>22</v>
      </c>
      <c r="D53" s="7" t="s">
        <v>154</v>
      </c>
      <c r="E53" s="8" t="s">
        <v>110</v>
      </c>
      <c r="F53" s="9">
        <v>31.66</v>
      </c>
      <c r="G53" s="9"/>
      <c r="H53" s="24"/>
      <c r="I53" s="9"/>
      <c r="J53" s="24"/>
      <c r="K53" s="24">
        <f t="shared" si="0"/>
        <v>0</v>
      </c>
      <c r="L53" s="10">
        <v>66.25</v>
      </c>
      <c r="M53" s="10">
        <v>2097.4699999999998</v>
      </c>
      <c r="N53" s="10">
        <f t="shared" si="1"/>
        <v>0</v>
      </c>
      <c r="O53" s="10">
        <f t="shared" si="2"/>
        <v>0</v>
      </c>
    </row>
    <row r="54" spans="1:15" ht="26.1" customHeight="1" x14ac:dyDescent="0.3">
      <c r="A54" s="7" t="s">
        <v>155</v>
      </c>
      <c r="B54" s="7" t="s">
        <v>156</v>
      </c>
      <c r="C54" s="7" t="s">
        <v>22</v>
      </c>
      <c r="D54" s="7" t="s">
        <v>157</v>
      </c>
      <c r="E54" s="8" t="s">
        <v>14</v>
      </c>
      <c r="F54" s="9">
        <v>88.64</v>
      </c>
      <c r="G54" s="9"/>
      <c r="H54" s="24"/>
      <c r="I54" s="9"/>
      <c r="J54" s="24"/>
      <c r="K54" s="24">
        <f t="shared" si="0"/>
        <v>0</v>
      </c>
      <c r="L54" s="10">
        <v>47.69</v>
      </c>
      <c r="M54" s="10">
        <v>4227.24</v>
      </c>
      <c r="N54" s="10">
        <f t="shared" si="1"/>
        <v>0</v>
      </c>
      <c r="O54" s="10">
        <f t="shared" si="2"/>
        <v>0</v>
      </c>
    </row>
    <row r="55" spans="1:15" ht="24" customHeight="1" x14ac:dyDescent="0.3">
      <c r="A55" s="7" t="s">
        <v>158</v>
      </c>
      <c r="B55" s="7" t="s">
        <v>159</v>
      </c>
      <c r="C55" s="7" t="s">
        <v>22</v>
      </c>
      <c r="D55" s="7" t="s">
        <v>160</v>
      </c>
      <c r="E55" s="8" t="s">
        <v>14</v>
      </c>
      <c r="F55" s="9">
        <v>88.64</v>
      </c>
      <c r="G55" s="9"/>
      <c r="H55" s="24"/>
      <c r="I55" s="9"/>
      <c r="J55" s="24"/>
      <c r="K55" s="24">
        <f t="shared" si="0"/>
        <v>0</v>
      </c>
      <c r="L55" s="10">
        <v>310.81</v>
      </c>
      <c r="M55" s="10">
        <v>27550.19</v>
      </c>
      <c r="N55" s="10">
        <f t="shared" si="1"/>
        <v>0</v>
      </c>
      <c r="O55" s="10">
        <f t="shared" si="2"/>
        <v>0</v>
      </c>
    </row>
    <row r="56" spans="1:15" ht="24" customHeight="1" x14ac:dyDescent="0.3">
      <c r="A56" s="7" t="s">
        <v>161</v>
      </c>
      <c r="B56" s="7" t="s">
        <v>162</v>
      </c>
      <c r="C56" s="7" t="s">
        <v>22</v>
      </c>
      <c r="D56" s="7" t="s">
        <v>163</v>
      </c>
      <c r="E56" s="8" t="s">
        <v>80</v>
      </c>
      <c r="F56" s="9">
        <v>2</v>
      </c>
      <c r="G56" s="9"/>
      <c r="H56" s="24"/>
      <c r="I56" s="9"/>
      <c r="J56" s="24"/>
      <c r="K56" s="24">
        <f t="shared" si="0"/>
        <v>0</v>
      </c>
      <c r="L56" s="10">
        <v>123.73</v>
      </c>
      <c r="M56" s="10">
        <v>247.46</v>
      </c>
      <c r="N56" s="10">
        <f t="shared" si="1"/>
        <v>0</v>
      </c>
      <c r="O56" s="10">
        <f t="shared" si="2"/>
        <v>0</v>
      </c>
    </row>
    <row r="57" spans="1:15" ht="26.1" customHeight="1" x14ac:dyDescent="0.3">
      <c r="A57" s="7" t="s">
        <v>164</v>
      </c>
      <c r="B57" s="7" t="s">
        <v>165</v>
      </c>
      <c r="C57" s="7" t="s">
        <v>12</v>
      </c>
      <c r="D57" s="7" t="s">
        <v>166</v>
      </c>
      <c r="E57" s="8" t="s">
        <v>110</v>
      </c>
      <c r="F57" s="9">
        <v>31.66</v>
      </c>
      <c r="G57" s="9"/>
      <c r="H57" s="24"/>
      <c r="I57" s="9"/>
      <c r="J57" s="24"/>
      <c r="K57" s="24">
        <f t="shared" si="0"/>
        <v>0</v>
      </c>
      <c r="L57" s="10">
        <v>63.84</v>
      </c>
      <c r="M57" s="10">
        <v>2021.17</v>
      </c>
      <c r="N57" s="10">
        <f t="shared" si="1"/>
        <v>0</v>
      </c>
      <c r="O57" s="10">
        <f t="shared" si="2"/>
        <v>0</v>
      </c>
    </row>
    <row r="58" spans="1:15" ht="24" customHeight="1" x14ac:dyDescent="0.3">
      <c r="A58" s="3" t="s">
        <v>167</v>
      </c>
      <c r="B58" s="3" t="s">
        <v>8</v>
      </c>
      <c r="C58" s="3"/>
      <c r="D58" s="3" t="s">
        <v>168</v>
      </c>
      <c r="E58" s="4"/>
      <c r="F58" s="5"/>
      <c r="G58" s="9"/>
      <c r="H58" s="24"/>
      <c r="I58" s="9"/>
      <c r="J58" s="24"/>
      <c r="K58" s="9"/>
      <c r="L58" s="6"/>
      <c r="M58" s="6">
        <v>247879.3</v>
      </c>
      <c r="N58" s="17">
        <f>SUM(N59:N105)</f>
        <v>0</v>
      </c>
      <c r="O58" s="17">
        <f>SUM(O59:O105)</f>
        <v>0</v>
      </c>
    </row>
    <row r="59" spans="1:15" ht="39" customHeight="1" x14ac:dyDescent="0.3">
      <c r="A59" s="7" t="s">
        <v>169</v>
      </c>
      <c r="B59" s="7" t="s">
        <v>170</v>
      </c>
      <c r="C59" s="7" t="s">
        <v>12</v>
      </c>
      <c r="D59" s="7" t="s">
        <v>171</v>
      </c>
      <c r="E59" s="8" t="s">
        <v>47</v>
      </c>
      <c r="F59" s="9">
        <v>7.06</v>
      </c>
      <c r="G59" s="9"/>
      <c r="H59" s="24"/>
      <c r="I59" s="9"/>
      <c r="J59" s="24"/>
      <c r="K59" s="24">
        <f t="shared" si="0"/>
        <v>0</v>
      </c>
      <c r="L59" s="10">
        <v>221.54</v>
      </c>
      <c r="M59" s="10">
        <v>1564.07</v>
      </c>
      <c r="N59" s="10">
        <f t="shared" si="1"/>
        <v>0</v>
      </c>
      <c r="O59" s="10">
        <f t="shared" si="2"/>
        <v>0</v>
      </c>
    </row>
    <row r="60" spans="1:15" ht="26.1" customHeight="1" x14ac:dyDescent="0.3">
      <c r="A60" s="7" t="s">
        <v>172</v>
      </c>
      <c r="B60" s="7" t="s">
        <v>144</v>
      </c>
      <c r="C60" s="7" t="s">
        <v>12</v>
      </c>
      <c r="D60" s="7" t="s">
        <v>145</v>
      </c>
      <c r="E60" s="8" t="s">
        <v>47</v>
      </c>
      <c r="F60" s="9">
        <v>1.78</v>
      </c>
      <c r="G60" s="9"/>
      <c r="H60" s="24"/>
      <c r="I60" s="9"/>
      <c r="J60" s="24"/>
      <c r="K60" s="24">
        <f t="shared" si="0"/>
        <v>0</v>
      </c>
      <c r="L60" s="10">
        <v>822.17</v>
      </c>
      <c r="M60" s="10">
        <v>1463.46</v>
      </c>
      <c r="N60" s="10">
        <f t="shared" si="1"/>
        <v>0</v>
      </c>
      <c r="O60" s="10">
        <f t="shared" si="2"/>
        <v>0</v>
      </c>
    </row>
    <row r="61" spans="1:15" ht="39" customHeight="1" x14ac:dyDescent="0.3">
      <c r="A61" s="7" t="s">
        <v>173</v>
      </c>
      <c r="B61" s="7" t="s">
        <v>82</v>
      </c>
      <c r="C61" s="7" t="s">
        <v>12</v>
      </c>
      <c r="D61" s="7" t="s">
        <v>83</v>
      </c>
      <c r="E61" s="8" t="s">
        <v>47</v>
      </c>
      <c r="F61" s="9">
        <v>6.4</v>
      </c>
      <c r="G61" s="9"/>
      <c r="H61" s="24"/>
      <c r="I61" s="9"/>
      <c r="J61" s="24"/>
      <c r="K61" s="24">
        <f t="shared" si="0"/>
        <v>0</v>
      </c>
      <c r="L61" s="10">
        <v>486.4</v>
      </c>
      <c r="M61" s="10">
        <v>3112.96</v>
      </c>
      <c r="N61" s="10">
        <f t="shared" si="1"/>
        <v>0</v>
      </c>
      <c r="O61" s="10">
        <f t="shared" si="2"/>
        <v>0</v>
      </c>
    </row>
    <row r="62" spans="1:15" ht="26.1" customHeight="1" x14ac:dyDescent="0.3">
      <c r="A62" s="7" t="s">
        <v>174</v>
      </c>
      <c r="B62" s="7" t="s">
        <v>141</v>
      </c>
      <c r="C62" s="7" t="s">
        <v>12</v>
      </c>
      <c r="D62" s="7" t="s">
        <v>142</v>
      </c>
      <c r="E62" s="8" t="s">
        <v>14</v>
      </c>
      <c r="F62" s="9">
        <v>66</v>
      </c>
      <c r="G62" s="9"/>
      <c r="H62" s="24"/>
      <c r="I62" s="9"/>
      <c r="J62" s="24"/>
      <c r="K62" s="24">
        <f t="shared" si="0"/>
        <v>0</v>
      </c>
      <c r="L62" s="10">
        <v>101.78</v>
      </c>
      <c r="M62" s="10">
        <v>6717.48</v>
      </c>
      <c r="N62" s="10">
        <f t="shared" si="1"/>
        <v>0</v>
      </c>
      <c r="O62" s="10">
        <f t="shared" si="2"/>
        <v>0</v>
      </c>
    </row>
    <row r="63" spans="1:15" ht="24" customHeight="1" x14ac:dyDescent="0.3">
      <c r="A63" s="7" t="s">
        <v>175</v>
      </c>
      <c r="B63" s="7" t="s">
        <v>78</v>
      </c>
      <c r="C63" s="7" t="s">
        <v>12</v>
      </c>
      <c r="D63" s="7" t="s">
        <v>79</v>
      </c>
      <c r="E63" s="8" t="s">
        <v>80</v>
      </c>
      <c r="F63" s="9">
        <v>12.8</v>
      </c>
      <c r="G63" s="9"/>
      <c r="H63" s="24"/>
      <c r="I63" s="9"/>
      <c r="J63" s="24"/>
      <c r="K63" s="24">
        <f t="shared" si="0"/>
        <v>0</v>
      </c>
      <c r="L63" s="10">
        <v>745.45</v>
      </c>
      <c r="M63" s="10">
        <v>9541.76</v>
      </c>
      <c r="N63" s="10">
        <f t="shared" si="1"/>
        <v>0</v>
      </c>
      <c r="O63" s="10">
        <f t="shared" si="2"/>
        <v>0</v>
      </c>
    </row>
    <row r="64" spans="1:15" ht="26.1" customHeight="1" x14ac:dyDescent="0.3">
      <c r="A64" s="7" t="s">
        <v>176</v>
      </c>
      <c r="B64" s="7" t="s">
        <v>177</v>
      </c>
      <c r="C64" s="7" t="s">
        <v>12</v>
      </c>
      <c r="D64" s="7" t="s">
        <v>178</v>
      </c>
      <c r="E64" s="8" t="s">
        <v>179</v>
      </c>
      <c r="F64" s="9">
        <v>616</v>
      </c>
      <c r="G64" s="9"/>
      <c r="H64" s="24"/>
      <c r="I64" s="9"/>
      <c r="J64" s="24"/>
      <c r="K64" s="24">
        <f t="shared" si="0"/>
        <v>0</v>
      </c>
      <c r="L64" s="10">
        <v>7.85</v>
      </c>
      <c r="M64" s="10">
        <v>4835.6000000000004</v>
      </c>
      <c r="N64" s="10">
        <f t="shared" si="1"/>
        <v>0</v>
      </c>
      <c r="O64" s="10">
        <f t="shared" si="2"/>
        <v>0</v>
      </c>
    </row>
    <row r="65" spans="1:15" ht="51.9" customHeight="1" x14ac:dyDescent="0.3">
      <c r="A65" s="7" t="s">
        <v>180</v>
      </c>
      <c r="B65" s="7" t="s">
        <v>181</v>
      </c>
      <c r="C65" s="7" t="s">
        <v>12</v>
      </c>
      <c r="D65" s="7" t="s">
        <v>182</v>
      </c>
      <c r="E65" s="8" t="s">
        <v>14</v>
      </c>
      <c r="F65" s="9">
        <v>92.4</v>
      </c>
      <c r="G65" s="9"/>
      <c r="H65" s="24"/>
      <c r="I65" s="9"/>
      <c r="J65" s="24"/>
      <c r="K65" s="24">
        <f t="shared" si="0"/>
        <v>0</v>
      </c>
      <c r="L65" s="10">
        <v>181.77</v>
      </c>
      <c r="M65" s="10">
        <v>16795.54</v>
      </c>
      <c r="N65" s="10">
        <f t="shared" si="1"/>
        <v>0</v>
      </c>
      <c r="O65" s="10">
        <f t="shared" si="2"/>
        <v>0</v>
      </c>
    </row>
    <row r="66" spans="1:15" ht="39" customHeight="1" x14ac:dyDescent="0.3">
      <c r="A66" s="7" t="s">
        <v>183</v>
      </c>
      <c r="B66" s="7" t="s">
        <v>184</v>
      </c>
      <c r="C66" s="7" t="s">
        <v>12</v>
      </c>
      <c r="D66" s="7" t="s">
        <v>185</v>
      </c>
      <c r="E66" s="8" t="s">
        <v>14</v>
      </c>
      <c r="F66" s="9">
        <v>184.8</v>
      </c>
      <c r="G66" s="9"/>
      <c r="H66" s="24"/>
      <c r="I66" s="9"/>
      <c r="J66" s="24"/>
      <c r="K66" s="24">
        <f t="shared" si="0"/>
        <v>0</v>
      </c>
      <c r="L66" s="10">
        <v>5.17</v>
      </c>
      <c r="M66" s="10">
        <v>955.41</v>
      </c>
      <c r="N66" s="10">
        <f t="shared" si="1"/>
        <v>0</v>
      </c>
      <c r="O66" s="10">
        <f t="shared" si="2"/>
        <v>0</v>
      </c>
    </row>
    <row r="67" spans="1:15" ht="39" customHeight="1" x14ac:dyDescent="0.3">
      <c r="A67" s="7" t="s">
        <v>186</v>
      </c>
      <c r="B67" s="7" t="s">
        <v>187</v>
      </c>
      <c r="C67" s="7" t="s">
        <v>12</v>
      </c>
      <c r="D67" s="7" t="s">
        <v>188</v>
      </c>
      <c r="E67" s="8" t="s">
        <v>14</v>
      </c>
      <c r="F67" s="9">
        <v>184.8</v>
      </c>
      <c r="G67" s="9"/>
      <c r="H67" s="24"/>
      <c r="I67" s="9"/>
      <c r="J67" s="24"/>
      <c r="K67" s="24">
        <f t="shared" si="0"/>
        <v>0</v>
      </c>
      <c r="L67" s="10">
        <v>27.81</v>
      </c>
      <c r="M67" s="10">
        <v>5139.28</v>
      </c>
      <c r="N67" s="10">
        <f t="shared" si="1"/>
        <v>0</v>
      </c>
      <c r="O67" s="10">
        <f t="shared" si="2"/>
        <v>0</v>
      </c>
    </row>
    <row r="68" spans="1:15" ht="26.1" customHeight="1" x14ac:dyDescent="0.3">
      <c r="A68" s="7" t="s">
        <v>189</v>
      </c>
      <c r="B68" s="7" t="s">
        <v>190</v>
      </c>
      <c r="C68" s="7" t="s">
        <v>12</v>
      </c>
      <c r="D68" s="7" t="s">
        <v>191</v>
      </c>
      <c r="E68" s="8" t="s">
        <v>110</v>
      </c>
      <c r="F68" s="9">
        <v>6</v>
      </c>
      <c r="G68" s="9"/>
      <c r="H68" s="24"/>
      <c r="I68" s="9"/>
      <c r="J68" s="24"/>
      <c r="K68" s="24">
        <f t="shared" si="0"/>
        <v>0</v>
      </c>
      <c r="L68" s="10">
        <v>51.88</v>
      </c>
      <c r="M68" s="10">
        <v>311.27999999999997</v>
      </c>
      <c r="N68" s="10">
        <f t="shared" si="1"/>
        <v>0</v>
      </c>
      <c r="O68" s="10">
        <f t="shared" si="2"/>
        <v>0</v>
      </c>
    </row>
    <row r="69" spans="1:15" ht="39" customHeight="1" x14ac:dyDescent="0.3">
      <c r="A69" s="7" t="s">
        <v>192</v>
      </c>
      <c r="B69" s="7" t="s">
        <v>193</v>
      </c>
      <c r="C69" s="7" t="s">
        <v>12</v>
      </c>
      <c r="D69" s="7" t="s">
        <v>194</v>
      </c>
      <c r="E69" s="8" t="s">
        <v>14</v>
      </c>
      <c r="F69" s="9">
        <v>131.9</v>
      </c>
      <c r="G69" s="9"/>
      <c r="H69" s="24"/>
      <c r="I69" s="9"/>
      <c r="J69" s="24"/>
      <c r="K69" s="24">
        <f t="shared" si="0"/>
        <v>0</v>
      </c>
      <c r="L69" s="10">
        <v>198.99</v>
      </c>
      <c r="M69" s="10">
        <v>26246.78</v>
      </c>
      <c r="N69" s="10">
        <f t="shared" si="1"/>
        <v>0</v>
      </c>
      <c r="O69" s="10">
        <f t="shared" si="2"/>
        <v>0</v>
      </c>
    </row>
    <row r="70" spans="1:15" ht="26.1" customHeight="1" x14ac:dyDescent="0.3">
      <c r="A70" s="7" t="s">
        <v>195</v>
      </c>
      <c r="B70" s="7" t="s">
        <v>196</v>
      </c>
      <c r="C70" s="7" t="s">
        <v>12</v>
      </c>
      <c r="D70" s="7" t="s">
        <v>197</v>
      </c>
      <c r="E70" s="8" t="s">
        <v>14</v>
      </c>
      <c r="F70" s="9">
        <v>131.9</v>
      </c>
      <c r="G70" s="9"/>
      <c r="H70" s="24"/>
      <c r="I70" s="9"/>
      <c r="J70" s="24"/>
      <c r="K70" s="24">
        <f t="shared" si="0"/>
        <v>0</v>
      </c>
      <c r="L70" s="10">
        <v>158.37</v>
      </c>
      <c r="M70" s="10">
        <v>20889</v>
      </c>
      <c r="N70" s="10">
        <f t="shared" si="1"/>
        <v>0</v>
      </c>
      <c r="O70" s="10">
        <f t="shared" si="2"/>
        <v>0</v>
      </c>
    </row>
    <row r="71" spans="1:15" ht="24" customHeight="1" x14ac:dyDescent="0.3">
      <c r="A71" s="7" t="s">
        <v>198</v>
      </c>
      <c r="B71" s="7" t="s">
        <v>199</v>
      </c>
      <c r="C71" s="7" t="s">
        <v>22</v>
      </c>
      <c r="D71" s="7" t="s">
        <v>200</v>
      </c>
      <c r="E71" s="8" t="s">
        <v>14</v>
      </c>
      <c r="F71" s="9">
        <v>131.9</v>
      </c>
      <c r="G71" s="9"/>
      <c r="H71" s="24"/>
      <c r="I71" s="9"/>
      <c r="J71" s="24"/>
      <c r="K71" s="24">
        <f t="shared" si="0"/>
        <v>0</v>
      </c>
      <c r="L71" s="10">
        <v>28.18</v>
      </c>
      <c r="M71" s="10">
        <v>3716.94</v>
      </c>
      <c r="N71" s="10">
        <f t="shared" si="1"/>
        <v>0</v>
      </c>
      <c r="O71" s="10">
        <f t="shared" si="2"/>
        <v>0</v>
      </c>
    </row>
    <row r="72" spans="1:15" ht="24" customHeight="1" x14ac:dyDescent="0.3">
      <c r="A72" s="7" t="s">
        <v>201</v>
      </c>
      <c r="B72" s="7" t="s">
        <v>202</v>
      </c>
      <c r="C72" s="7" t="s">
        <v>22</v>
      </c>
      <c r="D72" s="7" t="s">
        <v>203</v>
      </c>
      <c r="E72" s="8" t="s">
        <v>110</v>
      </c>
      <c r="F72" s="9">
        <v>40</v>
      </c>
      <c r="G72" s="9"/>
      <c r="H72" s="24"/>
      <c r="I72" s="9"/>
      <c r="J72" s="24"/>
      <c r="K72" s="24">
        <f t="shared" si="0"/>
        <v>0</v>
      </c>
      <c r="L72" s="10">
        <v>55.91</v>
      </c>
      <c r="M72" s="10">
        <v>2236.4</v>
      </c>
      <c r="N72" s="10">
        <f t="shared" si="1"/>
        <v>0</v>
      </c>
      <c r="O72" s="10">
        <f t="shared" si="2"/>
        <v>0</v>
      </c>
    </row>
    <row r="73" spans="1:15" ht="24" customHeight="1" x14ac:dyDescent="0.3">
      <c r="A73" s="7" t="s">
        <v>204</v>
      </c>
      <c r="B73" s="7" t="s">
        <v>205</v>
      </c>
      <c r="C73" s="7" t="s">
        <v>22</v>
      </c>
      <c r="D73" s="7" t="s">
        <v>206</v>
      </c>
      <c r="E73" s="8" t="s">
        <v>110</v>
      </c>
      <c r="F73" s="9">
        <v>40</v>
      </c>
      <c r="G73" s="9"/>
      <c r="H73" s="24"/>
      <c r="I73" s="9"/>
      <c r="J73" s="24"/>
      <c r="K73" s="24">
        <f t="shared" ref="K73:K136" si="5">G73+H73+I73+J73</f>
        <v>0</v>
      </c>
      <c r="L73" s="10">
        <v>31.93</v>
      </c>
      <c r="M73" s="10">
        <v>1277.2</v>
      </c>
      <c r="N73" s="10">
        <f t="shared" ref="N73:N136" si="6">TRUNC(J73*L73,2)</f>
        <v>0</v>
      </c>
      <c r="O73" s="10">
        <f t="shared" ref="O73:O136" si="7">TRUNC(K73*L73,2)</f>
        <v>0</v>
      </c>
    </row>
    <row r="74" spans="1:15" ht="26.1" customHeight="1" x14ac:dyDescent="0.3">
      <c r="A74" s="7" t="s">
        <v>207</v>
      </c>
      <c r="B74" s="7" t="s">
        <v>208</v>
      </c>
      <c r="C74" s="7" t="s">
        <v>12</v>
      </c>
      <c r="D74" s="7" t="s">
        <v>209</v>
      </c>
      <c r="E74" s="8" t="s">
        <v>80</v>
      </c>
      <c r="F74" s="9">
        <v>4</v>
      </c>
      <c r="G74" s="9"/>
      <c r="H74" s="24"/>
      <c r="I74" s="9"/>
      <c r="J74" s="24"/>
      <c r="K74" s="24">
        <f t="shared" si="5"/>
        <v>0</v>
      </c>
      <c r="L74" s="10">
        <v>500.54</v>
      </c>
      <c r="M74" s="10">
        <v>2002.16</v>
      </c>
      <c r="N74" s="10">
        <f t="shared" si="6"/>
        <v>0</v>
      </c>
      <c r="O74" s="10">
        <f t="shared" si="7"/>
        <v>0</v>
      </c>
    </row>
    <row r="75" spans="1:15" ht="39" customHeight="1" x14ac:dyDescent="0.3">
      <c r="A75" s="7" t="s">
        <v>210</v>
      </c>
      <c r="B75" s="7" t="s">
        <v>211</v>
      </c>
      <c r="C75" s="7" t="s">
        <v>12</v>
      </c>
      <c r="D75" s="7" t="s">
        <v>212</v>
      </c>
      <c r="E75" s="8" t="s">
        <v>80</v>
      </c>
      <c r="F75" s="9">
        <v>2</v>
      </c>
      <c r="G75" s="9"/>
      <c r="H75" s="24"/>
      <c r="I75" s="9"/>
      <c r="J75" s="24"/>
      <c r="K75" s="24">
        <f t="shared" si="5"/>
        <v>0</v>
      </c>
      <c r="L75" s="10">
        <v>653.63</v>
      </c>
      <c r="M75" s="10">
        <v>1307.26</v>
      </c>
      <c r="N75" s="10">
        <f t="shared" si="6"/>
        <v>0</v>
      </c>
      <c r="O75" s="10">
        <f t="shared" si="7"/>
        <v>0</v>
      </c>
    </row>
    <row r="76" spans="1:15" ht="39" customHeight="1" x14ac:dyDescent="0.3">
      <c r="A76" s="7" t="s">
        <v>213</v>
      </c>
      <c r="B76" s="7" t="s">
        <v>214</v>
      </c>
      <c r="C76" s="7" t="s">
        <v>12</v>
      </c>
      <c r="D76" s="7" t="s">
        <v>215</v>
      </c>
      <c r="E76" s="8" t="s">
        <v>80</v>
      </c>
      <c r="F76" s="9">
        <v>2</v>
      </c>
      <c r="G76" s="9"/>
      <c r="H76" s="24"/>
      <c r="I76" s="9"/>
      <c r="J76" s="24"/>
      <c r="K76" s="24">
        <f t="shared" si="5"/>
        <v>0</v>
      </c>
      <c r="L76" s="10">
        <v>506.76</v>
      </c>
      <c r="M76" s="10">
        <v>1013.52</v>
      </c>
      <c r="N76" s="10">
        <f t="shared" si="6"/>
        <v>0</v>
      </c>
      <c r="O76" s="10">
        <f t="shared" si="7"/>
        <v>0</v>
      </c>
    </row>
    <row r="77" spans="1:15" ht="65.099999999999994" customHeight="1" x14ac:dyDescent="0.3">
      <c r="A77" s="7" t="s">
        <v>216</v>
      </c>
      <c r="B77" s="7" t="s">
        <v>217</v>
      </c>
      <c r="C77" s="7" t="s">
        <v>12</v>
      </c>
      <c r="D77" s="7" t="s">
        <v>218</v>
      </c>
      <c r="E77" s="8" t="s">
        <v>80</v>
      </c>
      <c r="F77" s="9">
        <v>2</v>
      </c>
      <c r="G77" s="9"/>
      <c r="H77" s="24"/>
      <c r="I77" s="9"/>
      <c r="J77" s="24"/>
      <c r="K77" s="24">
        <f t="shared" si="5"/>
        <v>0</v>
      </c>
      <c r="L77" s="10">
        <v>837.1</v>
      </c>
      <c r="M77" s="10">
        <v>1674.2</v>
      </c>
      <c r="N77" s="10">
        <f t="shared" si="6"/>
        <v>0</v>
      </c>
      <c r="O77" s="10">
        <f t="shared" si="7"/>
        <v>0</v>
      </c>
    </row>
    <row r="78" spans="1:15" ht="51.9" customHeight="1" x14ac:dyDescent="0.3">
      <c r="A78" s="7" t="s">
        <v>219</v>
      </c>
      <c r="B78" s="7" t="s">
        <v>220</v>
      </c>
      <c r="C78" s="7" t="s">
        <v>12</v>
      </c>
      <c r="D78" s="7" t="s">
        <v>221</v>
      </c>
      <c r="E78" s="8" t="s">
        <v>80</v>
      </c>
      <c r="F78" s="9">
        <v>8</v>
      </c>
      <c r="G78" s="9"/>
      <c r="H78" s="24"/>
      <c r="I78" s="9"/>
      <c r="J78" s="24"/>
      <c r="K78" s="24">
        <f t="shared" si="5"/>
        <v>0</v>
      </c>
      <c r="L78" s="10">
        <v>165.84</v>
      </c>
      <c r="M78" s="10">
        <v>1326.72</v>
      </c>
      <c r="N78" s="10">
        <f t="shared" si="6"/>
        <v>0</v>
      </c>
      <c r="O78" s="10">
        <f t="shared" si="7"/>
        <v>0</v>
      </c>
    </row>
    <row r="79" spans="1:15" ht="39" customHeight="1" x14ac:dyDescent="0.3">
      <c r="A79" s="7" t="s">
        <v>222</v>
      </c>
      <c r="B79" s="7" t="s">
        <v>223</v>
      </c>
      <c r="C79" s="7" t="s">
        <v>12</v>
      </c>
      <c r="D79" s="7" t="s">
        <v>224</v>
      </c>
      <c r="E79" s="8" t="s">
        <v>110</v>
      </c>
      <c r="F79" s="9">
        <v>50</v>
      </c>
      <c r="G79" s="9"/>
      <c r="H79" s="24"/>
      <c r="I79" s="9"/>
      <c r="J79" s="24"/>
      <c r="K79" s="24">
        <f t="shared" si="5"/>
        <v>0</v>
      </c>
      <c r="L79" s="10">
        <v>15.02</v>
      </c>
      <c r="M79" s="10">
        <v>751</v>
      </c>
      <c r="N79" s="10">
        <f t="shared" si="6"/>
        <v>0</v>
      </c>
      <c r="O79" s="10">
        <f t="shared" si="7"/>
        <v>0</v>
      </c>
    </row>
    <row r="80" spans="1:15" ht="39" customHeight="1" x14ac:dyDescent="0.3">
      <c r="A80" s="7" t="s">
        <v>225</v>
      </c>
      <c r="B80" s="7" t="s">
        <v>226</v>
      </c>
      <c r="C80" s="7" t="s">
        <v>12</v>
      </c>
      <c r="D80" s="7" t="s">
        <v>227</v>
      </c>
      <c r="E80" s="8" t="s">
        <v>110</v>
      </c>
      <c r="F80" s="9">
        <v>24</v>
      </c>
      <c r="G80" s="9"/>
      <c r="H80" s="24"/>
      <c r="I80" s="9"/>
      <c r="J80" s="24"/>
      <c r="K80" s="24">
        <f t="shared" si="5"/>
        <v>0</v>
      </c>
      <c r="L80" s="10">
        <v>25.68</v>
      </c>
      <c r="M80" s="10">
        <v>616.32000000000005</v>
      </c>
      <c r="N80" s="10">
        <f t="shared" si="6"/>
        <v>0</v>
      </c>
      <c r="O80" s="10">
        <f t="shared" si="7"/>
        <v>0</v>
      </c>
    </row>
    <row r="81" spans="1:15" ht="26.1" customHeight="1" x14ac:dyDescent="0.3">
      <c r="A81" s="7" t="s">
        <v>228</v>
      </c>
      <c r="B81" s="7" t="s">
        <v>229</v>
      </c>
      <c r="C81" s="7" t="s">
        <v>12</v>
      </c>
      <c r="D81" s="7" t="s">
        <v>230</v>
      </c>
      <c r="E81" s="8" t="s">
        <v>80</v>
      </c>
      <c r="F81" s="9">
        <v>12</v>
      </c>
      <c r="G81" s="9"/>
      <c r="H81" s="24"/>
      <c r="I81" s="9"/>
      <c r="J81" s="24"/>
      <c r="K81" s="24">
        <f t="shared" si="5"/>
        <v>0</v>
      </c>
      <c r="L81" s="10">
        <v>60.67</v>
      </c>
      <c r="M81" s="10">
        <v>728.04</v>
      </c>
      <c r="N81" s="10">
        <f t="shared" si="6"/>
        <v>0</v>
      </c>
      <c r="O81" s="10">
        <f t="shared" si="7"/>
        <v>0</v>
      </c>
    </row>
    <row r="82" spans="1:15" ht="26.1" customHeight="1" x14ac:dyDescent="0.3">
      <c r="A82" s="7" t="s">
        <v>231</v>
      </c>
      <c r="B82" s="7" t="s">
        <v>232</v>
      </c>
      <c r="C82" s="7" t="s">
        <v>12</v>
      </c>
      <c r="D82" s="7" t="s">
        <v>233</v>
      </c>
      <c r="E82" s="8" t="s">
        <v>80</v>
      </c>
      <c r="F82" s="9">
        <v>4</v>
      </c>
      <c r="G82" s="9"/>
      <c r="H82" s="24"/>
      <c r="I82" s="9"/>
      <c r="J82" s="24"/>
      <c r="K82" s="24">
        <f t="shared" si="5"/>
        <v>0</v>
      </c>
      <c r="L82" s="10">
        <v>536.24</v>
      </c>
      <c r="M82" s="10">
        <v>2144.96</v>
      </c>
      <c r="N82" s="10">
        <f t="shared" si="6"/>
        <v>0</v>
      </c>
      <c r="O82" s="10">
        <f t="shared" si="7"/>
        <v>0</v>
      </c>
    </row>
    <row r="83" spans="1:15" ht="26.1" customHeight="1" x14ac:dyDescent="0.3">
      <c r="A83" s="7" t="s">
        <v>234</v>
      </c>
      <c r="B83" s="7" t="s">
        <v>235</v>
      </c>
      <c r="C83" s="7" t="s">
        <v>12</v>
      </c>
      <c r="D83" s="7" t="s">
        <v>236</v>
      </c>
      <c r="E83" s="8" t="s">
        <v>80</v>
      </c>
      <c r="F83" s="9">
        <v>2</v>
      </c>
      <c r="G83" s="9"/>
      <c r="H83" s="24"/>
      <c r="I83" s="9"/>
      <c r="J83" s="24"/>
      <c r="K83" s="24">
        <f t="shared" si="5"/>
        <v>0</v>
      </c>
      <c r="L83" s="10">
        <v>316.47000000000003</v>
      </c>
      <c r="M83" s="10">
        <v>632.94000000000005</v>
      </c>
      <c r="N83" s="10">
        <f t="shared" si="6"/>
        <v>0</v>
      </c>
      <c r="O83" s="10">
        <f t="shared" si="7"/>
        <v>0</v>
      </c>
    </row>
    <row r="84" spans="1:15" ht="26.1" customHeight="1" x14ac:dyDescent="0.3">
      <c r="A84" s="7" t="s">
        <v>237</v>
      </c>
      <c r="B84" s="7" t="s">
        <v>238</v>
      </c>
      <c r="C84" s="7" t="s">
        <v>12</v>
      </c>
      <c r="D84" s="7" t="s">
        <v>239</v>
      </c>
      <c r="E84" s="8" t="s">
        <v>110</v>
      </c>
      <c r="F84" s="9">
        <v>16</v>
      </c>
      <c r="G84" s="9"/>
      <c r="H84" s="24"/>
      <c r="I84" s="9"/>
      <c r="J84" s="24"/>
      <c r="K84" s="24">
        <f t="shared" si="5"/>
        <v>0</v>
      </c>
      <c r="L84" s="10">
        <v>72.180000000000007</v>
      </c>
      <c r="M84" s="10">
        <v>1154.8800000000001</v>
      </c>
      <c r="N84" s="10">
        <f t="shared" si="6"/>
        <v>0</v>
      </c>
      <c r="O84" s="10">
        <f t="shared" si="7"/>
        <v>0</v>
      </c>
    </row>
    <row r="85" spans="1:15" ht="26.1" customHeight="1" x14ac:dyDescent="0.3">
      <c r="A85" s="7" t="s">
        <v>240</v>
      </c>
      <c r="B85" s="7" t="s">
        <v>241</v>
      </c>
      <c r="C85" s="7" t="s">
        <v>12</v>
      </c>
      <c r="D85" s="7" t="s">
        <v>242</v>
      </c>
      <c r="E85" s="8" t="s">
        <v>80</v>
      </c>
      <c r="F85" s="9">
        <v>2</v>
      </c>
      <c r="G85" s="9"/>
      <c r="H85" s="24"/>
      <c r="I85" s="9"/>
      <c r="J85" s="24"/>
      <c r="K85" s="24">
        <f t="shared" si="5"/>
        <v>0</v>
      </c>
      <c r="L85" s="10">
        <v>696.02</v>
      </c>
      <c r="M85" s="10">
        <v>1392.04</v>
      </c>
      <c r="N85" s="10">
        <f t="shared" si="6"/>
        <v>0</v>
      </c>
      <c r="O85" s="10">
        <f t="shared" si="7"/>
        <v>0</v>
      </c>
    </row>
    <row r="86" spans="1:15" ht="51.9" customHeight="1" x14ac:dyDescent="0.3">
      <c r="A86" s="7" t="s">
        <v>243</v>
      </c>
      <c r="B86" s="7" t="s">
        <v>244</v>
      </c>
      <c r="C86" s="7" t="s">
        <v>12</v>
      </c>
      <c r="D86" s="7" t="s">
        <v>245</v>
      </c>
      <c r="E86" s="8" t="s">
        <v>80</v>
      </c>
      <c r="F86" s="9">
        <v>26</v>
      </c>
      <c r="G86" s="9"/>
      <c r="H86" s="24"/>
      <c r="I86" s="9"/>
      <c r="J86" s="24"/>
      <c r="K86" s="24">
        <f t="shared" si="5"/>
        <v>0</v>
      </c>
      <c r="L86" s="10">
        <v>204.57</v>
      </c>
      <c r="M86" s="10">
        <v>5318.82</v>
      </c>
      <c r="N86" s="10">
        <f t="shared" si="6"/>
        <v>0</v>
      </c>
      <c r="O86" s="10">
        <f t="shared" si="7"/>
        <v>0</v>
      </c>
    </row>
    <row r="87" spans="1:15" ht="39" customHeight="1" x14ac:dyDescent="0.3">
      <c r="A87" s="7" t="s">
        <v>246</v>
      </c>
      <c r="B87" s="7" t="s">
        <v>247</v>
      </c>
      <c r="C87" s="7" t="s">
        <v>12</v>
      </c>
      <c r="D87" s="7" t="s">
        <v>248</v>
      </c>
      <c r="E87" s="8" t="s">
        <v>80</v>
      </c>
      <c r="F87" s="9">
        <v>24</v>
      </c>
      <c r="G87" s="9"/>
      <c r="H87" s="24"/>
      <c r="I87" s="9"/>
      <c r="J87" s="24"/>
      <c r="K87" s="24">
        <f t="shared" si="5"/>
        <v>0</v>
      </c>
      <c r="L87" s="10">
        <v>213.48</v>
      </c>
      <c r="M87" s="10">
        <v>5123.5200000000004</v>
      </c>
      <c r="N87" s="10">
        <f t="shared" si="6"/>
        <v>0</v>
      </c>
      <c r="O87" s="10">
        <f t="shared" si="7"/>
        <v>0</v>
      </c>
    </row>
    <row r="88" spans="1:15" ht="39" customHeight="1" x14ac:dyDescent="0.3">
      <c r="A88" s="7" t="s">
        <v>249</v>
      </c>
      <c r="B88" s="7" t="s">
        <v>250</v>
      </c>
      <c r="C88" s="7" t="s">
        <v>12</v>
      </c>
      <c r="D88" s="7" t="s">
        <v>251</v>
      </c>
      <c r="E88" s="8" t="s">
        <v>80</v>
      </c>
      <c r="F88" s="9">
        <v>4</v>
      </c>
      <c r="G88" s="9"/>
      <c r="H88" s="24"/>
      <c r="I88" s="9"/>
      <c r="J88" s="24"/>
      <c r="K88" s="24">
        <f t="shared" si="5"/>
        <v>0</v>
      </c>
      <c r="L88" s="10">
        <v>215.48</v>
      </c>
      <c r="M88" s="10">
        <v>861.92</v>
      </c>
      <c r="N88" s="10">
        <f t="shared" si="6"/>
        <v>0</v>
      </c>
      <c r="O88" s="10">
        <f t="shared" si="7"/>
        <v>0</v>
      </c>
    </row>
    <row r="89" spans="1:15" ht="26.1" customHeight="1" x14ac:dyDescent="0.3">
      <c r="A89" s="7" t="s">
        <v>252</v>
      </c>
      <c r="B89" s="7" t="s">
        <v>253</v>
      </c>
      <c r="C89" s="7" t="s">
        <v>12</v>
      </c>
      <c r="D89" s="7" t="s">
        <v>254</v>
      </c>
      <c r="E89" s="8" t="s">
        <v>110</v>
      </c>
      <c r="F89" s="9">
        <v>360</v>
      </c>
      <c r="G89" s="9"/>
      <c r="H89" s="24"/>
      <c r="I89" s="9"/>
      <c r="J89" s="24"/>
      <c r="K89" s="24">
        <f t="shared" si="5"/>
        <v>0</v>
      </c>
      <c r="L89" s="10">
        <v>9.1</v>
      </c>
      <c r="M89" s="10">
        <v>3276</v>
      </c>
      <c r="N89" s="10">
        <f t="shared" si="6"/>
        <v>0</v>
      </c>
      <c r="O89" s="10">
        <f t="shared" si="7"/>
        <v>0</v>
      </c>
    </row>
    <row r="90" spans="1:15" ht="26.1" customHeight="1" x14ac:dyDescent="0.3">
      <c r="A90" s="7" t="s">
        <v>255</v>
      </c>
      <c r="B90" s="7" t="s">
        <v>256</v>
      </c>
      <c r="C90" s="7" t="s">
        <v>12</v>
      </c>
      <c r="D90" s="7" t="s">
        <v>257</v>
      </c>
      <c r="E90" s="8" t="s">
        <v>110</v>
      </c>
      <c r="F90" s="9">
        <v>150</v>
      </c>
      <c r="G90" s="9"/>
      <c r="H90" s="24"/>
      <c r="I90" s="9"/>
      <c r="J90" s="24"/>
      <c r="K90" s="24">
        <f t="shared" si="5"/>
        <v>0</v>
      </c>
      <c r="L90" s="10">
        <v>38.950000000000003</v>
      </c>
      <c r="M90" s="10">
        <v>5842.5</v>
      </c>
      <c r="N90" s="10">
        <f t="shared" si="6"/>
        <v>0</v>
      </c>
      <c r="O90" s="10">
        <f t="shared" si="7"/>
        <v>0</v>
      </c>
    </row>
    <row r="91" spans="1:15" ht="26.1" customHeight="1" x14ac:dyDescent="0.3">
      <c r="A91" s="7" t="s">
        <v>258</v>
      </c>
      <c r="B91" s="7" t="s">
        <v>259</v>
      </c>
      <c r="C91" s="7" t="s">
        <v>12</v>
      </c>
      <c r="D91" s="7" t="s">
        <v>260</v>
      </c>
      <c r="E91" s="8" t="s">
        <v>80</v>
      </c>
      <c r="F91" s="9">
        <v>2</v>
      </c>
      <c r="G91" s="9"/>
      <c r="H91" s="24"/>
      <c r="I91" s="9"/>
      <c r="J91" s="24"/>
      <c r="K91" s="24">
        <f t="shared" si="5"/>
        <v>0</v>
      </c>
      <c r="L91" s="10">
        <v>95</v>
      </c>
      <c r="M91" s="10">
        <v>190</v>
      </c>
      <c r="N91" s="10">
        <f t="shared" si="6"/>
        <v>0</v>
      </c>
      <c r="O91" s="10">
        <f t="shared" si="7"/>
        <v>0</v>
      </c>
    </row>
    <row r="92" spans="1:15" ht="26.1" customHeight="1" x14ac:dyDescent="0.3">
      <c r="A92" s="7" t="s">
        <v>261</v>
      </c>
      <c r="B92" s="7" t="s">
        <v>262</v>
      </c>
      <c r="C92" s="7" t="s">
        <v>12</v>
      </c>
      <c r="D92" s="7" t="s">
        <v>263</v>
      </c>
      <c r="E92" s="8" t="s">
        <v>80</v>
      </c>
      <c r="F92" s="9">
        <v>2</v>
      </c>
      <c r="G92" s="9"/>
      <c r="H92" s="24"/>
      <c r="I92" s="9"/>
      <c r="J92" s="24"/>
      <c r="K92" s="24">
        <f t="shared" si="5"/>
        <v>0</v>
      </c>
      <c r="L92" s="10">
        <v>113.61</v>
      </c>
      <c r="M92" s="10">
        <v>227.22</v>
      </c>
      <c r="N92" s="10">
        <f t="shared" si="6"/>
        <v>0</v>
      </c>
      <c r="O92" s="10">
        <f t="shared" si="7"/>
        <v>0</v>
      </c>
    </row>
    <row r="93" spans="1:15" ht="39" customHeight="1" x14ac:dyDescent="0.3">
      <c r="A93" s="7" t="s">
        <v>264</v>
      </c>
      <c r="B93" s="7" t="s">
        <v>265</v>
      </c>
      <c r="C93" s="7" t="s">
        <v>12</v>
      </c>
      <c r="D93" s="7" t="s">
        <v>266</v>
      </c>
      <c r="E93" s="8" t="s">
        <v>80</v>
      </c>
      <c r="F93" s="9">
        <v>12</v>
      </c>
      <c r="G93" s="9"/>
      <c r="H93" s="24"/>
      <c r="I93" s="9"/>
      <c r="J93" s="24"/>
      <c r="K93" s="24">
        <f t="shared" si="5"/>
        <v>0</v>
      </c>
      <c r="L93" s="10">
        <v>234.42</v>
      </c>
      <c r="M93" s="10">
        <v>2813.04</v>
      </c>
      <c r="N93" s="10">
        <f t="shared" si="6"/>
        <v>0</v>
      </c>
      <c r="O93" s="10">
        <f t="shared" si="7"/>
        <v>0</v>
      </c>
    </row>
    <row r="94" spans="1:15" ht="26.1" customHeight="1" x14ac:dyDescent="0.3">
      <c r="A94" s="7" t="s">
        <v>267</v>
      </c>
      <c r="B94" s="7" t="s">
        <v>268</v>
      </c>
      <c r="C94" s="7" t="s">
        <v>12</v>
      </c>
      <c r="D94" s="7" t="s">
        <v>269</v>
      </c>
      <c r="E94" s="8" t="s">
        <v>80</v>
      </c>
      <c r="F94" s="9">
        <v>36</v>
      </c>
      <c r="G94" s="9"/>
      <c r="H94" s="24"/>
      <c r="I94" s="9"/>
      <c r="J94" s="24"/>
      <c r="K94" s="24">
        <f t="shared" si="5"/>
        <v>0</v>
      </c>
      <c r="L94" s="10">
        <v>98.5</v>
      </c>
      <c r="M94" s="10">
        <v>3546</v>
      </c>
      <c r="N94" s="10">
        <f t="shared" si="6"/>
        <v>0</v>
      </c>
      <c r="O94" s="10">
        <f t="shared" si="7"/>
        <v>0</v>
      </c>
    </row>
    <row r="95" spans="1:15" ht="26.1" customHeight="1" x14ac:dyDescent="0.3">
      <c r="A95" s="7" t="s">
        <v>270</v>
      </c>
      <c r="B95" s="7" t="s">
        <v>271</v>
      </c>
      <c r="C95" s="7" t="s">
        <v>12</v>
      </c>
      <c r="D95" s="7" t="s">
        <v>272</v>
      </c>
      <c r="E95" s="8" t="s">
        <v>14</v>
      </c>
      <c r="F95" s="9">
        <v>244</v>
      </c>
      <c r="G95" s="9"/>
      <c r="H95" s="24"/>
      <c r="I95" s="9"/>
      <c r="J95" s="24"/>
      <c r="K95" s="24">
        <f t="shared" si="5"/>
        <v>0</v>
      </c>
      <c r="L95" s="10">
        <v>4.5199999999999996</v>
      </c>
      <c r="M95" s="10">
        <v>1102.8800000000001</v>
      </c>
      <c r="N95" s="10">
        <f t="shared" si="6"/>
        <v>0</v>
      </c>
      <c r="O95" s="10">
        <f t="shared" si="7"/>
        <v>0</v>
      </c>
    </row>
    <row r="96" spans="1:15" ht="24" customHeight="1" x14ac:dyDescent="0.3">
      <c r="A96" s="7" t="s">
        <v>273</v>
      </c>
      <c r="B96" s="7" t="s">
        <v>103</v>
      </c>
      <c r="C96" s="7" t="s">
        <v>12</v>
      </c>
      <c r="D96" s="7" t="s">
        <v>104</v>
      </c>
      <c r="E96" s="8" t="s">
        <v>14</v>
      </c>
      <c r="F96" s="9">
        <v>244</v>
      </c>
      <c r="G96" s="9"/>
      <c r="H96" s="24"/>
      <c r="I96" s="9"/>
      <c r="J96" s="24"/>
      <c r="K96" s="24">
        <f t="shared" si="5"/>
        <v>0</v>
      </c>
      <c r="L96" s="10">
        <v>24.4</v>
      </c>
      <c r="M96" s="10">
        <v>5953.6</v>
      </c>
      <c r="N96" s="10">
        <f t="shared" si="6"/>
        <v>0</v>
      </c>
      <c r="O96" s="10">
        <f t="shared" si="7"/>
        <v>0</v>
      </c>
    </row>
    <row r="97" spans="1:15" ht="39" customHeight="1" x14ac:dyDescent="0.3">
      <c r="A97" s="7" t="s">
        <v>274</v>
      </c>
      <c r="B97" s="7" t="s">
        <v>275</v>
      </c>
      <c r="C97" s="7" t="s">
        <v>12</v>
      </c>
      <c r="D97" s="7" t="s">
        <v>276</v>
      </c>
      <c r="E97" s="8" t="s">
        <v>80</v>
      </c>
      <c r="F97" s="9">
        <v>2</v>
      </c>
      <c r="G97" s="9"/>
      <c r="H97" s="24"/>
      <c r="I97" s="9"/>
      <c r="J97" s="24"/>
      <c r="K97" s="24">
        <f t="shared" si="5"/>
        <v>0</v>
      </c>
      <c r="L97" s="10">
        <v>204.43</v>
      </c>
      <c r="M97" s="10">
        <v>408.86</v>
      </c>
      <c r="N97" s="10">
        <f t="shared" si="6"/>
        <v>0</v>
      </c>
      <c r="O97" s="10">
        <f t="shared" si="7"/>
        <v>0</v>
      </c>
    </row>
    <row r="98" spans="1:15" ht="39" customHeight="1" x14ac:dyDescent="0.3">
      <c r="A98" s="7" t="s">
        <v>277</v>
      </c>
      <c r="B98" s="7" t="s">
        <v>278</v>
      </c>
      <c r="C98" s="7" t="s">
        <v>12</v>
      </c>
      <c r="D98" s="7" t="s">
        <v>279</v>
      </c>
      <c r="E98" s="8" t="s">
        <v>80</v>
      </c>
      <c r="F98" s="9">
        <v>2</v>
      </c>
      <c r="G98" s="9"/>
      <c r="H98" s="24"/>
      <c r="I98" s="9"/>
      <c r="J98" s="24"/>
      <c r="K98" s="24">
        <f t="shared" si="5"/>
        <v>0</v>
      </c>
      <c r="L98" s="10">
        <v>1411.36</v>
      </c>
      <c r="M98" s="10">
        <v>2822.72</v>
      </c>
      <c r="N98" s="10">
        <f t="shared" si="6"/>
        <v>0</v>
      </c>
      <c r="O98" s="10">
        <f t="shared" si="7"/>
        <v>0</v>
      </c>
    </row>
    <row r="99" spans="1:15" ht="26.1" customHeight="1" x14ac:dyDescent="0.3">
      <c r="A99" s="7" t="s">
        <v>280</v>
      </c>
      <c r="B99" s="7" t="s">
        <v>281</v>
      </c>
      <c r="C99" s="7" t="s">
        <v>12</v>
      </c>
      <c r="D99" s="7" t="s">
        <v>282</v>
      </c>
      <c r="E99" s="8" t="s">
        <v>14</v>
      </c>
      <c r="F99" s="9">
        <v>244</v>
      </c>
      <c r="G99" s="9"/>
      <c r="H99" s="24"/>
      <c r="I99" s="9"/>
      <c r="J99" s="24"/>
      <c r="K99" s="24">
        <f t="shared" si="5"/>
        <v>0</v>
      </c>
      <c r="L99" s="10">
        <v>17.84</v>
      </c>
      <c r="M99" s="10">
        <v>4352.96</v>
      </c>
      <c r="N99" s="10">
        <f t="shared" si="6"/>
        <v>0</v>
      </c>
      <c r="O99" s="10">
        <f t="shared" si="7"/>
        <v>0</v>
      </c>
    </row>
    <row r="100" spans="1:15" ht="26.1" customHeight="1" x14ac:dyDescent="0.3">
      <c r="A100" s="7" t="s">
        <v>283</v>
      </c>
      <c r="B100" s="7" t="s">
        <v>284</v>
      </c>
      <c r="C100" s="7" t="s">
        <v>22</v>
      </c>
      <c r="D100" s="7" t="s">
        <v>285</v>
      </c>
      <c r="E100" s="8" t="s">
        <v>14</v>
      </c>
      <c r="F100" s="9">
        <v>139.9</v>
      </c>
      <c r="G100" s="9"/>
      <c r="H100" s="24"/>
      <c r="I100" s="9"/>
      <c r="J100" s="24"/>
      <c r="K100" s="24">
        <f t="shared" si="5"/>
        <v>0</v>
      </c>
      <c r="L100" s="10">
        <v>318.62</v>
      </c>
      <c r="M100" s="10">
        <v>44574.93</v>
      </c>
      <c r="N100" s="10">
        <f t="shared" si="6"/>
        <v>0</v>
      </c>
      <c r="O100" s="10">
        <f t="shared" si="7"/>
        <v>0</v>
      </c>
    </row>
    <row r="101" spans="1:15" ht="39" customHeight="1" x14ac:dyDescent="0.3">
      <c r="A101" s="7" t="s">
        <v>286</v>
      </c>
      <c r="B101" s="7" t="s">
        <v>287</v>
      </c>
      <c r="C101" s="7" t="s">
        <v>12</v>
      </c>
      <c r="D101" s="7" t="s">
        <v>288</v>
      </c>
      <c r="E101" s="8" t="s">
        <v>14</v>
      </c>
      <c r="F101" s="9">
        <v>139.9</v>
      </c>
      <c r="G101" s="9"/>
      <c r="H101" s="24"/>
      <c r="I101" s="9"/>
      <c r="J101" s="24"/>
      <c r="K101" s="24">
        <f t="shared" si="5"/>
        <v>0</v>
      </c>
      <c r="L101" s="10">
        <v>178.68</v>
      </c>
      <c r="M101" s="10">
        <v>24997.33</v>
      </c>
      <c r="N101" s="10">
        <f t="shared" si="6"/>
        <v>0</v>
      </c>
      <c r="O101" s="10">
        <f t="shared" si="7"/>
        <v>0</v>
      </c>
    </row>
    <row r="102" spans="1:15" ht="24" customHeight="1" x14ac:dyDescent="0.3">
      <c r="A102" s="7" t="s">
        <v>289</v>
      </c>
      <c r="B102" s="7" t="s">
        <v>290</v>
      </c>
      <c r="C102" s="7" t="s">
        <v>22</v>
      </c>
      <c r="D102" s="7" t="s">
        <v>291</v>
      </c>
      <c r="E102" s="8" t="s">
        <v>14</v>
      </c>
      <c r="F102" s="9">
        <v>13.44</v>
      </c>
      <c r="G102" s="9"/>
      <c r="H102" s="24"/>
      <c r="I102" s="9"/>
      <c r="J102" s="24"/>
      <c r="K102" s="24">
        <f t="shared" si="5"/>
        <v>0</v>
      </c>
      <c r="L102" s="10">
        <v>653.17999999999995</v>
      </c>
      <c r="M102" s="10">
        <v>8778.73</v>
      </c>
      <c r="N102" s="10">
        <f t="shared" si="6"/>
        <v>0</v>
      </c>
      <c r="O102" s="10">
        <f t="shared" si="7"/>
        <v>0</v>
      </c>
    </row>
    <row r="103" spans="1:15" ht="24" customHeight="1" x14ac:dyDescent="0.3">
      <c r="A103" s="7" t="s">
        <v>292</v>
      </c>
      <c r="B103" s="7" t="s">
        <v>293</v>
      </c>
      <c r="C103" s="7" t="s">
        <v>22</v>
      </c>
      <c r="D103" s="7" t="s">
        <v>294</v>
      </c>
      <c r="E103" s="8" t="s">
        <v>14</v>
      </c>
      <c r="F103" s="9">
        <v>9.6</v>
      </c>
      <c r="G103" s="9"/>
      <c r="H103" s="24"/>
      <c r="I103" s="9"/>
      <c r="J103" s="24"/>
      <c r="K103" s="24">
        <f t="shared" si="5"/>
        <v>0</v>
      </c>
      <c r="L103" s="10">
        <v>321.51</v>
      </c>
      <c r="M103" s="10">
        <v>3086.49</v>
      </c>
      <c r="N103" s="10">
        <f t="shared" si="6"/>
        <v>0</v>
      </c>
      <c r="O103" s="10">
        <f t="shared" si="7"/>
        <v>0</v>
      </c>
    </row>
    <row r="104" spans="1:15" ht="24" customHeight="1" x14ac:dyDescent="0.3">
      <c r="A104" s="7" t="s">
        <v>295</v>
      </c>
      <c r="B104" s="7" t="s">
        <v>296</v>
      </c>
      <c r="C104" s="7" t="s">
        <v>22</v>
      </c>
      <c r="D104" s="7" t="s">
        <v>297</v>
      </c>
      <c r="E104" s="8" t="s">
        <v>80</v>
      </c>
      <c r="F104" s="9">
        <v>6</v>
      </c>
      <c r="G104" s="9"/>
      <c r="H104" s="24"/>
      <c r="I104" s="9"/>
      <c r="J104" s="24"/>
      <c r="K104" s="24">
        <f t="shared" si="5"/>
        <v>0</v>
      </c>
      <c r="L104" s="10">
        <v>409.14</v>
      </c>
      <c r="M104" s="10">
        <v>2454.84</v>
      </c>
      <c r="N104" s="10">
        <f t="shared" si="6"/>
        <v>0</v>
      </c>
      <c r="O104" s="10">
        <f t="shared" si="7"/>
        <v>0</v>
      </c>
    </row>
    <row r="105" spans="1:15" ht="24" customHeight="1" x14ac:dyDescent="0.3">
      <c r="A105" s="7" t="s">
        <v>298</v>
      </c>
      <c r="B105" s="7" t="s">
        <v>299</v>
      </c>
      <c r="C105" s="7" t="s">
        <v>22</v>
      </c>
      <c r="D105" s="7" t="s">
        <v>300</v>
      </c>
      <c r="E105" s="8" t="s">
        <v>80</v>
      </c>
      <c r="F105" s="9">
        <v>6</v>
      </c>
      <c r="G105" s="9"/>
      <c r="H105" s="24"/>
      <c r="I105" s="9"/>
      <c r="J105" s="24"/>
      <c r="K105" s="24">
        <f t="shared" si="5"/>
        <v>0</v>
      </c>
      <c r="L105" s="10">
        <v>433.29</v>
      </c>
      <c r="M105" s="10">
        <v>2599.7399999999998</v>
      </c>
      <c r="N105" s="10">
        <f t="shared" si="6"/>
        <v>0</v>
      </c>
      <c r="O105" s="10">
        <f t="shared" si="7"/>
        <v>0</v>
      </c>
    </row>
    <row r="106" spans="1:15" ht="24" customHeight="1" x14ac:dyDescent="0.3">
      <c r="A106" s="3" t="s">
        <v>301</v>
      </c>
      <c r="B106" s="3" t="s">
        <v>8</v>
      </c>
      <c r="C106" s="3"/>
      <c r="D106" s="3" t="s">
        <v>302</v>
      </c>
      <c r="E106" s="4"/>
      <c r="F106" s="5"/>
      <c r="G106" s="9"/>
      <c r="H106" s="24"/>
      <c r="I106" s="9"/>
      <c r="J106" s="24"/>
      <c r="K106" s="9"/>
      <c r="L106" s="6"/>
      <c r="M106" s="6">
        <v>188217.51</v>
      </c>
      <c r="N106" s="17">
        <f>SUM(N107:N141)</f>
        <v>0</v>
      </c>
      <c r="O106" s="17">
        <f>SUM(O107:O141)</f>
        <v>91331.38</v>
      </c>
    </row>
    <row r="107" spans="1:15" ht="39" customHeight="1" x14ac:dyDescent="0.3">
      <c r="A107" s="7" t="s">
        <v>303</v>
      </c>
      <c r="B107" s="7" t="s">
        <v>69</v>
      </c>
      <c r="C107" s="7" t="s">
        <v>12</v>
      </c>
      <c r="D107" s="7" t="s">
        <v>70</v>
      </c>
      <c r="E107" s="8" t="s">
        <v>47</v>
      </c>
      <c r="F107" s="9">
        <v>56</v>
      </c>
      <c r="G107" s="9"/>
      <c r="H107" s="24"/>
      <c r="I107" s="9">
        <v>56</v>
      </c>
      <c r="J107" s="24"/>
      <c r="K107" s="24">
        <f t="shared" si="5"/>
        <v>56</v>
      </c>
      <c r="L107" s="10">
        <v>112.79</v>
      </c>
      <c r="M107" s="10">
        <v>6316.24</v>
      </c>
      <c r="N107" s="10">
        <f t="shared" si="6"/>
        <v>0</v>
      </c>
      <c r="O107" s="10">
        <f t="shared" si="7"/>
        <v>6316.24</v>
      </c>
    </row>
    <row r="108" spans="1:15" ht="26.1" customHeight="1" x14ac:dyDescent="0.3">
      <c r="A108" s="7" t="s">
        <v>304</v>
      </c>
      <c r="B108" s="7" t="s">
        <v>305</v>
      </c>
      <c r="C108" s="7" t="s">
        <v>12</v>
      </c>
      <c r="D108" s="7" t="s">
        <v>306</v>
      </c>
      <c r="E108" s="8" t="s">
        <v>47</v>
      </c>
      <c r="F108" s="9">
        <v>62.02</v>
      </c>
      <c r="G108" s="9"/>
      <c r="H108" s="24"/>
      <c r="I108" s="9">
        <v>62.02</v>
      </c>
      <c r="J108" s="24"/>
      <c r="K108" s="24">
        <f t="shared" si="5"/>
        <v>62.02</v>
      </c>
      <c r="L108" s="10">
        <v>126.7</v>
      </c>
      <c r="M108" s="10">
        <v>7857.93</v>
      </c>
      <c r="N108" s="10">
        <f t="shared" si="6"/>
        <v>0</v>
      </c>
      <c r="O108" s="10">
        <f t="shared" si="7"/>
        <v>7857.93</v>
      </c>
    </row>
    <row r="109" spans="1:15" ht="26.1" customHeight="1" x14ac:dyDescent="0.3">
      <c r="A109" s="7" t="s">
        <v>307</v>
      </c>
      <c r="B109" s="7" t="s">
        <v>308</v>
      </c>
      <c r="C109" s="7" t="s">
        <v>22</v>
      </c>
      <c r="D109" s="7" t="s">
        <v>309</v>
      </c>
      <c r="E109" s="8" t="s">
        <v>47</v>
      </c>
      <c r="F109" s="9">
        <v>11.83</v>
      </c>
      <c r="G109" s="9"/>
      <c r="H109" s="24"/>
      <c r="I109" s="9">
        <v>0</v>
      </c>
      <c r="J109" s="24"/>
      <c r="K109" s="24">
        <f t="shared" si="5"/>
        <v>0</v>
      </c>
      <c r="L109" s="10">
        <v>2650.78</v>
      </c>
      <c r="M109" s="10">
        <v>31358.720000000001</v>
      </c>
      <c r="N109" s="10">
        <f t="shared" si="6"/>
        <v>0</v>
      </c>
      <c r="O109" s="10">
        <f t="shared" si="7"/>
        <v>0</v>
      </c>
    </row>
    <row r="110" spans="1:15" ht="39" customHeight="1" x14ac:dyDescent="0.3">
      <c r="A110" s="7" t="s">
        <v>310</v>
      </c>
      <c r="B110" s="7" t="s">
        <v>311</v>
      </c>
      <c r="C110" s="7" t="s">
        <v>12</v>
      </c>
      <c r="D110" s="7" t="s">
        <v>312</v>
      </c>
      <c r="E110" s="8" t="s">
        <v>14</v>
      </c>
      <c r="F110" s="9">
        <v>11</v>
      </c>
      <c r="G110" s="9"/>
      <c r="H110" s="24"/>
      <c r="I110" s="9">
        <v>11</v>
      </c>
      <c r="J110" s="24"/>
      <c r="K110" s="24">
        <f t="shared" si="5"/>
        <v>11</v>
      </c>
      <c r="L110" s="10">
        <v>41.09</v>
      </c>
      <c r="M110" s="10">
        <v>451.99</v>
      </c>
      <c r="N110" s="10">
        <f t="shared" si="6"/>
        <v>0</v>
      </c>
      <c r="O110" s="10">
        <f t="shared" si="7"/>
        <v>451.99</v>
      </c>
    </row>
    <row r="111" spans="1:15" ht="26.1" customHeight="1" x14ac:dyDescent="0.3">
      <c r="A111" s="7" t="s">
        <v>313</v>
      </c>
      <c r="B111" s="7" t="s">
        <v>314</v>
      </c>
      <c r="C111" s="7" t="s">
        <v>22</v>
      </c>
      <c r="D111" s="7" t="s">
        <v>315</v>
      </c>
      <c r="E111" s="8" t="s">
        <v>47</v>
      </c>
      <c r="F111" s="9">
        <v>11.2</v>
      </c>
      <c r="G111" s="9"/>
      <c r="H111" s="24"/>
      <c r="I111" s="9">
        <v>11.2</v>
      </c>
      <c r="J111" s="24"/>
      <c r="K111" s="24">
        <f t="shared" si="5"/>
        <v>11.2</v>
      </c>
      <c r="L111" s="10">
        <v>3105.87</v>
      </c>
      <c r="M111" s="10">
        <v>34785.74</v>
      </c>
      <c r="N111" s="10">
        <f t="shared" si="6"/>
        <v>0</v>
      </c>
      <c r="O111" s="10">
        <f t="shared" si="7"/>
        <v>34785.74</v>
      </c>
    </row>
    <row r="112" spans="1:15" ht="26.1" customHeight="1" x14ac:dyDescent="0.3">
      <c r="A112" s="7" t="s">
        <v>316</v>
      </c>
      <c r="B112" s="7" t="s">
        <v>314</v>
      </c>
      <c r="C112" s="7" t="s">
        <v>22</v>
      </c>
      <c r="D112" s="7" t="s">
        <v>317</v>
      </c>
      <c r="E112" s="8" t="s">
        <v>47</v>
      </c>
      <c r="F112" s="9">
        <v>2.0299999999999998</v>
      </c>
      <c r="G112" s="9"/>
      <c r="H112" s="24"/>
      <c r="I112" s="9">
        <v>2.0299999999999998</v>
      </c>
      <c r="J112" s="24"/>
      <c r="K112" s="24">
        <f t="shared" si="5"/>
        <v>2.0299999999999998</v>
      </c>
      <c r="L112" s="10">
        <v>3105.87</v>
      </c>
      <c r="M112" s="10">
        <v>6304.91</v>
      </c>
      <c r="N112" s="10">
        <f t="shared" si="6"/>
        <v>0</v>
      </c>
      <c r="O112" s="10">
        <f t="shared" si="7"/>
        <v>6304.91</v>
      </c>
    </row>
    <row r="113" spans="1:15" ht="26.1" customHeight="1" x14ac:dyDescent="0.3">
      <c r="A113" s="7" t="s">
        <v>318</v>
      </c>
      <c r="B113" s="7" t="s">
        <v>314</v>
      </c>
      <c r="C113" s="7" t="s">
        <v>22</v>
      </c>
      <c r="D113" s="7" t="s">
        <v>319</v>
      </c>
      <c r="E113" s="8" t="s">
        <v>47</v>
      </c>
      <c r="F113" s="9">
        <v>5.4</v>
      </c>
      <c r="G113" s="9"/>
      <c r="H113" s="24"/>
      <c r="I113" s="9">
        <v>5.4</v>
      </c>
      <c r="J113" s="24"/>
      <c r="K113" s="24">
        <f t="shared" si="5"/>
        <v>5.4</v>
      </c>
      <c r="L113" s="10">
        <v>3105.87</v>
      </c>
      <c r="M113" s="10">
        <v>16771.689999999999</v>
      </c>
      <c r="N113" s="10">
        <f t="shared" si="6"/>
        <v>0</v>
      </c>
      <c r="O113" s="10">
        <f t="shared" si="7"/>
        <v>16771.689999999999</v>
      </c>
    </row>
    <row r="114" spans="1:15" ht="51.9" customHeight="1" x14ac:dyDescent="0.3">
      <c r="A114" s="7" t="s">
        <v>320</v>
      </c>
      <c r="B114" s="7" t="s">
        <v>321</v>
      </c>
      <c r="C114" s="7" t="s">
        <v>12</v>
      </c>
      <c r="D114" s="7" t="s">
        <v>322</v>
      </c>
      <c r="E114" s="8" t="s">
        <v>14</v>
      </c>
      <c r="F114" s="9">
        <v>150.9</v>
      </c>
      <c r="G114" s="9"/>
      <c r="H114" s="24"/>
      <c r="I114" s="9">
        <v>150.9</v>
      </c>
      <c r="J114" s="24"/>
      <c r="K114" s="24">
        <f t="shared" si="5"/>
        <v>150.9</v>
      </c>
      <c r="L114" s="10">
        <v>124.87</v>
      </c>
      <c r="M114" s="10">
        <v>18842.88</v>
      </c>
      <c r="N114" s="10">
        <f t="shared" si="6"/>
        <v>0</v>
      </c>
      <c r="O114" s="10">
        <f t="shared" si="7"/>
        <v>18842.88</v>
      </c>
    </row>
    <row r="115" spans="1:15" ht="26.1" customHeight="1" x14ac:dyDescent="0.3">
      <c r="A115" s="7" t="s">
        <v>323</v>
      </c>
      <c r="B115" s="7" t="s">
        <v>324</v>
      </c>
      <c r="C115" s="7" t="s">
        <v>22</v>
      </c>
      <c r="D115" s="7" t="s">
        <v>325</v>
      </c>
      <c r="E115" s="8" t="s">
        <v>14</v>
      </c>
      <c r="F115" s="9">
        <v>150.9</v>
      </c>
      <c r="G115" s="9"/>
      <c r="H115" s="24"/>
      <c r="I115" s="9"/>
      <c r="J115" s="24"/>
      <c r="K115" s="24">
        <f t="shared" si="5"/>
        <v>0</v>
      </c>
      <c r="L115" s="10">
        <v>41.1</v>
      </c>
      <c r="M115" s="10">
        <v>6201.99</v>
      </c>
      <c r="N115" s="10">
        <f t="shared" si="6"/>
        <v>0</v>
      </c>
      <c r="O115" s="10">
        <f t="shared" si="7"/>
        <v>0</v>
      </c>
    </row>
    <row r="116" spans="1:15" ht="51.9" customHeight="1" x14ac:dyDescent="0.3">
      <c r="A116" s="7" t="s">
        <v>326</v>
      </c>
      <c r="B116" s="7" t="s">
        <v>327</v>
      </c>
      <c r="C116" s="7" t="s">
        <v>64</v>
      </c>
      <c r="D116" s="7" t="s">
        <v>328</v>
      </c>
      <c r="E116" s="8" t="s">
        <v>329</v>
      </c>
      <c r="F116" s="9">
        <v>49.68</v>
      </c>
      <c r="G116" s="9"/>
      <c r="H116" s="24"/>
      <c r="I116" s="9"/>
      <c r="J116" s="24"/>
      <c r="K116" s="24">
        <f t="shared" si="5"/>
        <v>0</v>
      </c>
      <c r="L116" s="10">
        <v>90.02</v>
      </c>
      <c r="M116" s="10">
        <v>4472.1899999999996</v>
      </c>
      <c r="N116" s="10">
        <f t="shared" si="6"/>
        <v>0</v>
      </c>
      <c r="O116" s="10">
        <f t="shared" si="7"/>
        <v>0</v>
      </c>
    </row>
    <row r="117" spans="1:15" ht="24" customHeight="1" x14ac:dyDescent="0.3">
      <c r="A117" s="7" t="s">
        <v>330</v>
      </c>
      <c r="B117" s="7" t="s">
        <v>331</v>
      </c>
      <c r="C117" s="7" t="s">
        <v>22</v>
      </c>
      <c r="D117" s="7" t="s">
        <v>332</v>
      </c>
      <c r="E117" s="8" t="s">
        <v>14</v>
      </c>
      <c r="F117" s="9">
        <v>101.22</v>
      </c>
      <c r="G117" s="9"/>
      <c r="H117" s="24"/>
      <c r="I117" s="9"/>
      <c r="J117" s="24"/>
      <c r="K117" s="24">
        <f t="shared" si="5"/>
        <v>0</v>
      </c>
      <c r="L117" s="10">
        <v>17.440000000000001</v>
      </c>
      <c r="M117" s="10">
        <v>1765.27</v>
      </c>
      <c r="N117" s="10">
        <f t="shared" si="6"/>
        <v>0</v>
      </c>
      <c r="O117" s="10">
        <f t="shared" si="7"/>
        <v>0</v>
      </c>
    </row>
    <row r="118" spans="1:15" ht="24" customHeight="1" x14ac:dyDescent="0.3">
      <c r="A118" s="7" t="s">
        <v>333</v>
      </c>
      <c r="B118" s="7" t="s">
        <v>334</v>
      </c>
      <c r="C118" s="7" t="s">
        <v>22</v>
      </c>
      <c r="D118" s="7" t="s">
        <v>335</v>
      </c>
      <c r="E118" s="8" t="s">
        <v>14</v>
      </c>
      <c r="F118" s="9">
        <v>101.22</v>
      </c>
      <c r="G118" s="9"/>
      <c r="H118" s="24"/>
      <c r="I118" s="9"/>
      <c r="J118" s="24"/>
      <c r="K118" s="24">
        <f t="shared" si="5"/>
        <v>0</v>
      </c>
      <c r="L118" s="10">
        <v>9.43</v>
      </c>
      <c r="M118" s="10">
        <v>954.5</v>
      </c>
      <c r="N118" s="10">
        <f t="shared" si="6"/>
        <v>0</v>
      </c>
      <c r="O118" s="10">
        <f t="shared" si="7"/>
        <v>0</v>
      </c>
    </row>
    <row r="119" spans="1:15" ht="26.1" customHeight="1" x14ac:dyDescent="0.3">
      <c r="A119" s="7" t="s">
        <v>336</v>
      </c>
      <c r="B119" s="7" t="s">
        <v>337</v>
      </c>
      <c r="C119" s="7" t="s">
        <v>22</v>
      </c>
      <c r="D119" s="7" t="s">
        <v>338</v>
      </c>
      <c r="E119" s="8" t="s">
        <v>14</v>
      </c>
      <c r="F119" s="9">
        <v>41.12</v>
      </c>
      <c r="G119" s="9"/>
      <c r="H119" s="24"/>
      <c r="I119" s="9"/>
      <c r="J119" s="24"/>
      <c r="K119" s="24">
        <f t="shared" si="5"/>
        <v>0</v>
      </c>
      <c r="L119" s="10">
        <v>54.82</v>
      </c>
      <c r="M119" s="10">
        <v>2254.19</v>
      </c>
      <c r="N119" s="10">
        <f t="shared" si="6"/>
        <v>0</v>
      </c>
      <c r="O119" s="10">
        <f t="shared" si="7"/>
        <v>0</v>
      </c>
    </row>
    <row r="120" spans="1:15" ht="24" customHeight="1" x14ac:dyDescent="0.3">
      <c r="A120" s="7" t="s">
        <v>339</v>
      </c>
      <c r="B120" s="7" t="s">
        <v>340</v>
      </c>
      <c r="C120" s="7" t="s">
        <v>22</v>
      </c>
      <c r="D120" s="7" t="s">
        <v>341</v>
      </c>
      <c r="E120" s="8" t="s">
        <v>14</v>
      </c>
      <c r="F120" s="9">
        <v>41.12</v>
      </c>
      <c r="G120" s="9"/>
      <c r="H120" s="24"/>
      <c r="I120" s="9"/>
      <c r="J120" s="24"/>
      <c r="K120" s="24">
        <f t="shared" si="5"/>
        <v>0</v>
      </c>
      <c r="L120" s="10">
        <v>74.08</v>
      </c>
      <c r="M120" s="10">
        <v>3046.16</v>
      </c>
      <c r="N120" s="10">
        <f t="shared" si="6"/>
        <v>0</v>
      </c>
      <c r="O120" s="10">
        <f t="shared" si="7"/>
        <v>0</v>
      </c>
    </row>
    <row r="121" spans="1:15" ht="39" customHeight="1" x14ac:dyDescent="0.3">
      <c r="A121" s="7" t="s">
        <v>342</v>
      </c>
      <c r="B121" s="7" t="s">
        <v>343</v>
      </c>
      <c r="C121" s="7" t="s">
        <v>12</v>
      </c>
      <c r="D121" s="7" t="s">
        <v>344</v>
      </c>
      <c r="E121" s="8" t="s">
        <v>14</v>
      </c>
      <c r="F121" s="9">
        <v>41.12</v>
      </c>
      <c r="G121" s="9"/>
      <c r="H121" s="24"/>
      <c r="I121" s="9"/>
      <c r="J121" s="24"/>
      <c r="K121" s="24">
        <f t="shared" si="5"/>
        <v>0</v>
      </c>
      <c r="L121" s="10">
        <v>62.01</v>
      </c>
      <c r="M121" s="10">
        <v>2549.85</v>
      </c>
      <c r="N121" s="10">
        <f t="shared" si="6"/>
        <v>0</v>
      </c>
      <c r="O121" s="10">
        <f t="shared" si="7"/>
        <v>0</v>
      </c>
    </row>
    <row r="122" spans="1:15" ht="24" customHeight="1" x14ac:dyDescent="0.3">
      <c r="A122" s="7" t="s">
        <v>345</v>
      </c>
      <c r="B122" s="7" t="s">
        <v>346</v>
      </c>
      <c r="C122" s="7" t="s">
        <v>22</v>
      </c>
      <c r="D122" s="7" t="s">
        <v>347</v>
      </c>
      <c r="E122" s="8" t="s">
        <v>80</v>
      </c>
      <c r="F122" s="9">
        <v>5</v>
      </c>
      <c r="G122" s="9"/>
      <c r="H122" s="24"/>
      <c r="I122" s="9"/>
      <c r="J122" s="24"/>
      <c r="K122" s="24">
        <f t="shared" si="5"/>
        <v>0</v>
      </c>
      <c r="L122" s="10">
        <v>1661.66</v>
      </c>
      <c r="M122" s="10">
        <v>8308.2999999999993</v>
      </c>
      <c r="N122" s="10">
        <f t="shared" si="6"/>
        <v>0</v>
      </c>
      <c r="O122" s="10">
        <f t="shared" si="7"/>
        <v>0</v>
      </c>
    </row>
    <row r="123" spans="1:15" ht="26.1" customHeight="1" x14ac:dyDescent="0.3">
      <c r="A123" s="7" t="s">
        <v>348</v>
      </c>
      <c r="B123" s="7" t="s">
        <v>349</v>
      </c>
      <c r="C123" s="7" t="s">
        <v>22</v>
      </c>
      <c r="D123" s="7" t="s">
        <v>350</v>
      </c>
      <c r="E123" s="8" t="s">
        <v>80</v>
      </c>
      <c r="F123" s="9">
        <v>2</v>
      </c>
      <c r="G123" s="9"/>
      <c r="H123" s="24"/>
      <c r="I123" s="9"/>
      <c r="J123" s="24"/>
      <c r="K123" s="24">
        <f t="shared" si="5"/>
        <v>0</v>
      </c>
      <c r="L123" s="10">
        <v>593.66999999999996</v>
      </c>
      <c r="M123" s="10">
        <v>1187.3399999999999</v>
      </c>
      <c r="N123" s="10">
        <f t="shared" si="6"/>
        <v>0</v>
      </c>
      <c r="O123" s="10">
        <f t="shared" si="7"/>
        <v>0</v>
      </c>
    </row>
    <row r="124" spans="1:15" ht="24" customHeight="1" x14ac:dyDescent="0.3">
      <c r="A124" s="7" t="s">
        <v>351</v>
      </c>
      <c r="B124" s="7" t="s">
        <v>352</v>
      </c>
      <c r="C124" s="7" t="s">
        <v>22</v>
      </c>
      <c r="D124" s="7" t="s">
        <v>353</v>
      </c>
      <c r="E124" s="8" t="s">
        <v>80</v>
      </c>
      <c r="F124" s="9">
        <v>8</v>
      </c>
      <c r="G124" s="9"/>
      <c r="H124" s="24"/>
      <c r="I124" s="9"/>
      <c r="J124" s="24"/>
      <c r="K124" s="24">
        <f t="shared" si="5"/>
        <v>0</v>
      </c>
      <c r="L124" s="10">
        <v>694.96</v>
      </c>
      <c r="M124" s="10">
        <v>5559.68</v>
      </c>
      <c r="N124" s="10">
        <f t="shared" si="6"/>
        <v>0</v>
      </c>
      <c r="O124" s="10">
        <f t="shared" si="7"/>
        <v>0</v>
      </c>
    </row>
    <row r="125" spans="1:15" ht="39" customHeight="1" x14ac:dyDescent="0.3">
      <c r="A125" s="7" t="s">
        <v>354</v>
      </c>
      <c r="B125" s="7" t="s">
        <v>355</v>
      </c>
      <c r="C125" s="7" t="s">
        <v>12</v>
      </c>
      <c r="D125" s="7" t="s">
        <v>356</v>
      </c>
      <c r="E125" s="8" t="s">
        <v>80</v>
      </c>
      <c r="F125" s="9">
        <v>8</v>
      </c>
      <c r="G125" s="9"/>
      <c r="H125" s="24"/>
      <c r="I125" s="9"/>
      <c r="J125" s="24"/>
      <c r="K125" s="24">
        <f t="shared" si="5"/>
        <v>0</v>
      </c>
      <c r="L125" s="10">
        <v>676.94</v>
      </c>
      <c r="M125" s="10">
        <v>5415.52</v>
      </c>
      <c r="N125" s="10">
        <f t="shared" si="6"/>
        <v>0</v>
      </c>
      <c r="O125" s="10">
        <f t="shared" si="7"/>
        <v>0</v>
      </c>
    </row>
    <row r="126" spans="1:15" ht="26.1" customHeight="1" x14ac:dyDescent="0.3">
      <c r="A126" s="7" t="s">
        <v>357</v>
      </c>
      <c r="B126" s="7" t="s">
        <v>358</v>
      </c>
      <c r="C126" s="7" t="s">
        <v>22</v>
      </c>
      <c r="D126" s="7" t="s">
        <v>359</v>
      </c>
      <c r="E126" s="8" t="s">
        <v>80</v>
      </c>
      <c r="F126" s="9">
        <v>8</v>
      </c>
      <c r="G126" s="9"/>
      <c r="H126" s="24"/>
      <c r="I126" s="9"/>
      <c r="J126" s="24"/>
      <c r="K126" s="24">
        <f t="shared" si="5"/>
        <v>0</v>
      </c>
      <c r="L126" s="10">
        <v>350.71</v>
      </c>
      <c r="M126" s="10">
        <v>2805.68</v>
      </c>
      <c r="N126" s="10">
        <f t="shared" si="6"/>
        <v>0</v>
      </c>
      <c r="O126" s="10">
        <f t="shared" si="7"/>
        <v>0</v>
      </c>
    </row>
    <row r="127" spans="1:15" ht="24" customHeight="1" x14ac:dyDescent="0.3">
      <c r="A127" s="7" t="s">
        <v>360</v>
      </c>
      <c r="B127" s="7" t="s">
        <v>361</v>
      </c>
      <c r="C127" s="7" t="s">
        <v>22</v>
      </c>
      <c r="D127" s="7" t="s">
        <v>362</v>
      </c>
      <c r="E127" s="8" t="s">
        <v>80</v>
      </c>
      <c r="F127" s="9">
        <v>8</v>
      </c>
      <c r="G127" s="9"/>
      <c r="H127" s="24"/>
      <c r="I127" s="9"/>
      <c r="J127" s="24"/>
      <c r="K127" s="24">
        <f t="shared" si="5"/>
        <v>0</v>
      </c>
      <c r="L127" s="10">
        <v>706.11</v>
      </c>
      <c r="M127" s="10">
        <v>5648.88</v>
      </c>
      <c r="N127" s="10">
        <f t="shared" si="6"/>
        <v>0</v>
      </c>
      <c r="O127" s="10">
        <f t="shared" si="7"/>
        <v>0</v>
      </c>
    </row>
    <row r="128" spans="1:15" ht="24" customHeight="1" x14ac:dyDescent="0.3">
      <c r="A128" s="7" t="s">
        <v>363</v>
      </c>
      <c r="B128" s="7" t="s">
        <v>364</v>
      </c>
      <c r="C128" s="7" t="s">
        <v>22</v>
      </c>
      <c r="D128" s="7" t="s">
        <v>365</v>
      </c>
      <c r="E128" s="8" t="s">
        <v>14</v>
      </c>
      <c r="F128" s="9">
        <v>7.2</v>
      </c>
      <c r="G128" s="9"/>
      <c r="H128" s="24"/>
      <c r="I128" s="9"/>
      <c r="J128" s="24"/>
      <c r="K128" s="24">
        <f t="shared" si="5"/>
        <v>0</v>
      </c>
      <c r="L128" s="10">
        <v>552.20000000000005</v>
      </c>
      <c r="M128" s="10">
        <v>3975.84</v>
      </c>
      <c r="N128" s="10">
        <f t="shared" si="6"/>
        <v>0</v>
      </c>
      <c r="O128" s="10">
        <f t="shared" si="7"/>
        <v>0</v>
      </c>
    </row>
    <row r="129" spans="1:15" ht="26.1" customHeight="1" x14ac:dyDescent="0.3">
      <c r="A129" s="7" t="s">
        <v>366</v>
      </c>
      <c r="B129" s="7" t="s">
        <v>367</v>
      </c>
      <c r="C129" s="7" t="s">
        <v>22</v>
      </c>
      <c r="D129" s="7" t="s">
        <v>368</v>
      </c>
      <c r="E129" s="8" t="s">
        <v>80</v>
      </c>
      <c r="F129" s="9">
        <v>10</v>
      </c>
      <c r="G129" s="9"/>
      <c r="H129" s="24"/>
      <c r="I129" s="9"/>
      <c r="J129" s="24"/>
      <c r="K129" s="24">
        <f t="shared" si="5"/>
        <v>0</v>
      </c>
      <c r="L129" s="10">
        <v>120.84</v>
      </c>
      <c r="M129" s="10">
        <v>1208.4000000000001</v>
      </c>
      <c r="N129" s="10">
        <f t="shared" si="6"/>
        <v>0</v>
      </c>
      <c r="O129" s="10">
        <f t="shared" si="7"/>
        <v>0</v>
      </c>
    </row>
    <row r="130" spans="1:15" ht="24" customHeight="1" x14ac:dyDescent="0.3">
      <c r="A130" s="7" t="s">
        <v>369</v>
      </c>
      <c r="B130" s="7" t="s">
        <v>370</v>
      </c>
      <c r="C130" s="7" t="s">
        <v>64</v>
      </c>
      <c r="D130" s="7" t="s">
        <v>371</v>
      </c>
      <c r="E130" s="8" t="s">
        <v>372</v>
      </c>
      <c r="F130" s="9">
        <v>8</v>
      </c>
      <c r="G130" s="9"/>
      <c r="H130" s="24"/>
      <c r="I130" s="9"/>
      <c r="J130" s="24"/>
      <c r="K130" s="24">
        <f t="shared" si="5"/>
        <v>0</v>
      </c>
      <c r="L130" s="10">
        <v>81.12</v>
      </c>
      <c r="M130" s="10">
        <v>648.96</v>
      </c>
      <c r="N130" s="10">
        <f t="shared" si="6"/>
        <v>0</v>
      </c>
      <c r="O130" s="10">
        <f t="shared" si="7"/>
        <v>0</v>
      </c>
    </row>
    <row r="131" spans="1:15" ht="24" customHeight="1" x14ac:dyDescent="0.3">
      <c r="A131" s="7" t="s">
        <v>373</v>
      </c>
      <c r="B131" s="7" t="s">
        <v>374</v>
      </c>
      <c r="C131" s="7" t="s">
        <v>64</v>
      </c>
      <c r="D131" s="7" t="s">
        <v>375</v>
      </c>
      <c r="E131" s="8" t="s">
        <v>372</v>
      </c>
      <c r="F131" s="9">
        <v>8</v>
      </c>
      <c r="G131" s="9"/>
      <c r="H131" s="24"/>
      <c r="I131" s="9"/>
      <c r="J131" s="24"/>
      <c r="K131" s="24">
        <f t="shared" si="5"/>
        <v>0</v>
      </c>
      <c r="L131" s="10">
        <v>114.1</v>
      </c>
      <c r="M131" s="10">
        <v>912.8</v>
      </c>
      <c r="N131" s="10">
        <f t="shared" si="6"/>
        <v>0</v>
      </c>
      <c r="O131" s="10">
        <f t="shared" si="7"/>
        <v>0</v>
      </c>
    </row>
    <row r="132" spans="1:15" ht="24" customHeight="1" x14ac:dyDescent="0.3">
      <c r="A132" s="7" t="s">
        <v>376</v>
      </c>
      <c r="B132" s="7" t="s">
        <v>377</v>
      </c>
      <c r="C132" s="7" t="s">
        <v>22</v>
      </c>
      <c r="D132" s="7" t="s">
        <v>378</v>
      </c>
      <c r="E132" s="8" t="s">
        <v>110</v>
      </c>
      <c r="F132" s="9">
        <v>30</v>
      </c>
      <c r="G132" s="9"/>
      <c r="H132" s="24"/>
      <c r="I132" s="9"/>
      <c r="J132" s="24"/>
      <c r="K132" s="24">
        <f t="shared" si="5"/>
        <v>0</v>
      </c>
      <c r="L132" s="10">
        <v>27.56</v>
      </c>
      <c r="M132" s="10">
        <v>826.8</v>
      </c>
      <c r="N132" s="10">
        <f t="shared" si="6"/>
        <v>0</v>
      </c>
      <c r="O132" s="10">
        <f t="shared" si="7"/>
        <v>0</v>
      </c>
    </row>
    <row r="133" spans="1:15" ht="26.1" customHeight="1" x14ac:dyDescent="0.3">
      <c r="A133" s="7" t="s">
        <v>379</v>
      </c>
      <c r="B133" s="7" t="s">
        <v>380</v>
      </c>
      <c r="C133" s="7" t="s">
        <v>17</v>
      </c>
      <c r="D133" s="7" t="s">
        <v>381</v>
      </c>
      <c r="E133" s="8" t="s">
        <v>382</v>
      </c>
      <c r="F133" s="9">
        <v>10</v>
      </c>
      <c r="G133" s="9"/>
      <c r="H133" s="24"/>
      <c r="I133" s="9"/>
      <c r="J133" s="24"/>
      <c r="K133" s="24">
        <f t="shared" si="5"/>
        <v>0</v>
      </c>
      <c r="L133" s="10">
        <v>20.56</v>
      </c>
      <c r="M133" s="10">
        <v>205.6</v>
      </c>
      <c r="N133" s="10">
        <f t="shared" si="6"/>
        <v>0</v>
      </c>
      <c r="O133" s="10">
        <f t="shared" si="7"/>
        <v>0</v>
      </c>
    </row>
    <row r="134" spans="1:15" ht="24" customHeight="1" x14ac:dyDescent="0.3">
      <c r="A134" s="7" t="s">
        <v>383</v>
      </c>
      <c r="B134" s="7" t="s">
        <v>384</v>
      </c>
      <c r="C134" s="7" t="s">
        <v>22</v>
      </c>
      <c r="D134" s="7" t="s">
        <v>385</v>
      </c>
      <c r="E134" s="8" t="s">
        <v>110</v>
      </c>
      <c r="F134" s="9">
        <v>25</v>
      </c>
      <c r="G134" s="9"/>
      <c r="H134" s="24"/>
      <c r="I134" s="9"/>
      <c r="J134" s="24"/>
      <c r="K134" s="24">
        <f t="shared" si="5"/>
        <v>0</v>
      </c>
      <c r="L134" s="10">
        <v>33.369999999999997</v>
      </c>
      <c r="M134" s="10">
        <v>834.25</v>
      </c>
      <c r="N134" s="10">
        <f t="shared" si="6"/>
        <v>0</v>
      </c>
      <c r="O134" s="10">
        <f t="shared" si="7"/>
        <v>0</v>
      </c>
    </row>
    <row r="135" spans="1:15" ht="39" customHeight="1" x14ac:dyDescent="0.3">
      <c r="A135" s="7" t="s">
        <v>386</v>
      </c>
      <c r="B135" s="7" t="s">
        <v>387</v>
      </c>
      <c r="C135" s="7" t="s">
        <v>12</v>
      </c>
      <c r="D135" s="7" t="s">
        <v>388</v>
      </c>
      <c r="E135" s="8" t="s">
        <v>110</v>
      </c>
      <c r="F135" s="9">
        <v>10</v>
      </c>
      <c r="G135" s="9"/>
      <c r="H135" s="24"/>
      <c r="I135" s="9"/>
      <c r="J135" s="24"/>
      <c r="K135" s="24">
        <f t="shared" si="5"/>
        <v>0</v>
      </c>
      <c r="L135" s="10">
        <v>29.04</v>
      </c>
      <c r="M135" s="10">
        <v>290.39999999999998</v>
      </c>
      <c r="N135" s="10">
        <f t="shared" si="6"/>
        <v>0</v>
      </c>
      <c r="O135" s="10">
        <f t="shared" si="7"/>
        <v>0</v>
      </c>
    </row>
    <row r="136" spans="1:15" ht="26.1" customHeight="1" x14ac:dyDescent="0.3">
      <c r="A136" s="7" t="s">
        <v>389</v>
      </c>
      <c r="B136" s="7" t="s">
        <v>390</v>
      </c>
      <c r="C136" s="7" t="s">
        <v>64</v>
      </c>
      <c r="D136" s="7" t="s">
        <v>391</v>
      </c>
      <c r="E136" s="8" t="s">
        <v>80</v>
      </c>
      <c r="F136" s="9">
        <v>7</v>
      </c>
      <c r="G136" s="9"/>
      <c r="H136" s="24"/>
      <c r="I136" s="9"/>
      <c r="J136" s="24"/>
      <c r="K136" s="24">
        <f t="shared" si="5"/>
        <v>0</v>
      </c>
      <c r="L136" s="10">
        <v>136.82</v>
      </c>
      <c r="M136" s="10">
        <v>957.74</v>
      </c>
      <c r="N136" s="10">
        <f t="shared" si="6"/>
        <v>0</v>
      </c>
      <c r="O136" s="10">
        <f t="shared" si="7"/>
        <v>0</v>
      </c>
    </row>
    <row r="137" spans="1:15" ht="24" customHeight="1" x14ac:dyDescent="0.3">
      <c r="A137" s="7" t="s">
        <v>392</v>
      </c>
      <c r="B137" s="7" t="s">
        <v>393</v>
      </c>
      <c r="C137" s="7" t="s">
        <v>22</v>
      </c>
      <c r="D137" s="7" t="s">
        <v>394</v>
      </c>
      <c r="E137" s="8" t="s">
        <v>80</v>
      </c>
      <c r="F137" s="9">
        <v>11</v>
      </c>
      <c r="G137" s="9"/>
      <c r="H137" s="24"/>
      <c r="I137" s="9"/>
      <c r="J137" s="24"/>
      <c r="K137" s="24">
        <f t="shared" ref="K137:K187" si="8">G137+H137+I137+J137</f>
        <v>0</v>
      </c>
      <c r="L137" s="10">
        <v>44.77</v>
      </c>
      <c r="M137" s="10">
        <v>492.47</v>
      </c>
      <c r="N137" s="10">
        <f t="shared" ref="N137:N187" si="9">TRUNC(J137*L137,2)</f>
        <v>0</v>
      </c>
      <c r="O137" s="10">
        <f t="shared" ref="O137:O187" si="10">TRUNC(K137*L137,2)</f>
        <v>0</v>
      </c>
    </row>
    <row r="138" spans="1:15" ht="26.1" customHeight="1" x14ac:dyDescent="0.3">
      <c r="A138" s="7" t="s">
        <v>395</v>
      </c>
      <c r="B138" s="7" t="s">
        <v>396</v>
      </c>
      <c r="C138" s="7" t="s">
        <v>22</v>
      </c>
      <c r="D138" s="7" t="s">
        <v>397</v>
      </c>
      <c r="E138" s="8" t="s">
        <v>80</v>
      </c>
      <c r="F138" s="9">
        <v>15</v>
      </c>
      <c r="G138" s="9"/>
      <c r="H138" s="24"/>
      <c r="I138" s="9"/>
      <c r="J138" s="24"/>
      <c r="K138" s="24">
        <f t="shared" si="8"/>
        <v>0</v>
      </c>
      <c r="L138" s="10">
        <v>58.35</v>
      </c>
      <c r="M138" s="10">
        <v>875.25</v>
      </c>
      <c r="N138" s="10">
        <f t="shared" si="9"/>
        <v>0</v>
      </c>
      <c r="O138" s="10">
        <f t="shared" si="10"/>
        <v>0</v>
      </c>
    </row>
    <row r="139" spans="1:15" ht="26.1" customHeight="1" x14ac:dyDescent="0.3">
      <c r="A139" s="7" t="s">
        <v>398</v>
      </c>
      <c r="B139" s="7" t="s">
        <v>399</v>
      </c>
      <c r="C139" s="7" t="s">
        <v>17</v>
      </c>
      <c r="D139" s="7" t="s">
        <v>400</v>
      </c>
      <c r="E139" s="8" t="s">
        <v>19</v>
      </c>
      <c r="F139" s="9">
        <v>15</v>
      </c>
      <c r="G139" s="9"/>
      <c r="H139" s="24"/>
      <c r="I139" s="9"/>
      <c r="J139" s="24"/>
      <c r="K139" s="24">
        <f t="shared" si="8"/>
        <v>0</v>
      </c>
      <c r="L139" s="10">
        <v>21.39</v>
      </c>
      <c r="M139" s="10">
        <v>320.85000000000002</v>
      </c>
      <c r="N139" s="10">
        <f t="shared" si="9"/>
        <v>0</v>
      </c>
      <c r="O139" s="10">
        <f t="shared" si="10"/>
        <v>0</v>
      </c>
    </row>
    <row r="140" spans="1:15" ht="24" customHeight="1" x14ac:dyDescent="0.3">
      <c r="A140" s="7" t="s">
        <v>401</v>
      </c>
      <c r="B140" s="7" t="s">
        <v>402</v>
      </c>
      <c r="C140" s="7" t="s">
        <v>17</v>
      </c>
      <c r="D140" s="7" t="s">
        <v>403</v>
      </c>
      <c r="E140" s="8" t="s">
        <v>382</v>
      </c>
      <c r="F140" s="9">
        <v>150</v>
      </c>
      <c r="G140" s="9"/>
      <c r="H140" s="24"/>
      <c r="I140" s="9"/>
      <c r="J140" s="24"/>
      <c r="K140" s="24">
        <f t="shared" si="8"/>
        <v>0</v>
      </c>
      <c r="L140" s="10">
        <v>9.7899999999999991</v>
      </c>
      <c r="M140" s="10">
        <v>1468.5</v>
      </c>
      <c r="N140" s="10">
        <f t="shared" si="9"/>
        <v>0</v>
      </c>
      <c r="O140" s="10">
        <f t="shared" si="10"/>
        <v>0</v>
      </c>
    </row>
    <row r="141" spans="1:15" ht="26.1" customHeight="1" x14ac:dyDescent="0.3">
      <c r="A141" s="7" t="s">
        <v>404</v>
      </c>
      <c r="B141" s="7" t="s">
        <v>405</v>
      </c>
      <c r="C141" s="7" t="s">
        <v>17</v>
      </c>
      <c r="D141" s="7" t="s">
        <v>406</v>
      </c>
      <c r="E141" s="8" t="s">
        <v>382</v>
      </c>
      <c r="F141" s="9">
        <v>200</v>
      </c>
      <c r="G141" s="9"/>
      <c r="H141" s="24"/>
      <c r="I141" s="9"/>
      <c r="J141" s="24"/>
      <c r="K141" s="24">
        <f t="shared" si="8"/>
        <v>0</v>
      </c>
      <c r="L141" s="10">
        <v>11.7</v>
      </c>
      <c r="M141" s="10">
        <v>2340</v>
      </c>
      <c r="N141" s="10">
        <f t="shared" si="9"/>
        <v>0</v>
      </c>
      <c r="O141" s="10">
        <f t="shared" si="10"/>
        <v>0</v>
      </c>
    </row>
    <row r="142" spans="1:15" ht="24" customHeight="1" x14ac:dyDescent="0.3">
      <c r="A142" s="3" t="s">
        <v>407</v>
      </c>
      <c r="B142" s="3" t="s">
        <v>8</v>
      </c>
      <c r="C142" s="3"/>
      <c r="D142" s="3" t="s">
        <v>408</v>
      </c>
      <c r="E142" s="4"/>
      <c r="F142" s="5"/>
      <c r="G142" s="9"/>
      <c r="H142" s="24"/>
      <c r="I142" s="9"/>
      <c r="J142" s="24"/>
      <c r="K142" s="9"/>
      <c r="L142" s="6"/>
      <c r="M142" s="6">
        <v>326868.45</v>
      </c>
      <c r="N142" s="17">
        <f>SUM(N143:N170)</f>
        <v>0</v>
      </c>
      <c r="O142" s="17">
        <f>SUM(O143:O170)</f>
        <v>115025.92</v>
      </c>
    </row>
    <row r="143" spans="1:15" ht="24" customHeight="1" x14ac:dyDescent="0.3">
      <c r="A143" s="7" t="s">
        <v>409</v>
      </c>
      <c r="B143" s="7" t="s">
        <v>410</v>
      </c>
      <c r="C143" s="7" t="s">
        <v>22</v>
      </c>
      <c r="D143" s="7" t="s">
        <v>411</v>
      </c>
      <c r="E143" s="8" t="s">
        <v>47</v>
      </c>
      <c r="F143" s="9">
        <v>37.799999999999997</v>
      </c>
      <c r="G143" s="9"/>
      <c r="H143" s="24"/>
      <c r="I143" s="9">
        <v>18.899999999999999</v>
      </c>
      <c r="J143" s="24"/>
      <c r="K143" s="24">
        <f t="shared" si="8"/>
        <v>18.899999999999999</v>
      </c>
      <c r="L143" s="10">
        <v>75.599999999999994</v>
      </c>
      <c r="M143" s="10">
        <v>2857.68</v>
      </c>
      <c r="N143" s="10">
        <f t="shared" si="9"/>
        <v>0</v>
      </c>
      <c r="O143" s="10">
        <f t="shared" si="10"/>
        <v>1428.84</v>
      </c>
    </row>
    <row r="144" spans="1:15" ht="39" customHeight="1" x14ac:dyDescent="0.3">
      <c r="A144" s="7" t="s">
        <v>412</v>
      </c>
      <c r="B144" s="7" t="s">
        <v>311</v>
      </c>
      <c r="C144" s="7" t="s">
        <v>12</v>
      </c>
      <c r="D144" s="7" t="s">
        <v>312</v>
      </c>
      <c r="E144" s="8" t="s">
        <v>14</v>
      </c>
      <c r="F144" s="9">
        <v>36</v>
      </c>
      <c r="G144" s="9"/>
      <c r="H144" s="24"/>
      <c r="I144" s="9">
        <v>18</v>
      </c>
      <c r="J144" s="24"/>
      <c r="K144" s="24">
        <f t="shared" si="8"/>
        <v>18</v>
      </c>
      <c r="L144" s="10">
        <v>41.09</v>
      </c>
      <c r="M144" s="10">
        <v>1479.24</v>
      </c>
      <c r="N144" s="10">
        <f t="shared" si="9"/>
        <v>0</v>
      </c>
      <c r="O144" s="10">
        <f t="shared" si="10"/>
        <v>739.62</v>
      </c>
    </row>
    <row r="145" spans="1:15" ht="26.1" customHeight="1" x14ac:dyDescent="0.3">
      <c r="A145" s="7" t="s">
        <v>413</v>
      </c>
      <c r="B145" s="7" t="s">
        <v>314</v>
      </c>
      <c r="C145" s="7" t="s">
        <v>22</v>
      </c>
      <c r="D145" s="7" t="s">
        <v>414</v>
      </c>
      <c r="E145" s="8" t="s">
        <v>47</v>
      </c>
      <c r="F145" s="9">
        <v>14.4</v>
      </c>
      <c r="G145" s="9"/>
      <c r="H145" s="24"/>
      <c r="I145" s="9">
        <v>7.2</v>
      </c>
      <c r="J145" s="24"/>
      <c r="K145" s="24">
        <f t="shared" si="8"/>
        <v>7.2</v>
      </c>
      <c r="L145" s="10">
        <v>3105.87</v>
      </c>
      <c r="M145" s="10">
        <v>44724.52</v>
      </c>
      <c r="N145" s="10">
        <f t="shared" si="9"/>
        <v>0</v>
      </c>
      <c r="O145" s="10">
        <f t="shared" si="10"/>
        <v>22362.26</v>
      </c>
    </row>
    <row r="146" spans="1:15" ht="26.1" customHeight="1" x14ac:dyDescent="0.3">
      <c r="A146" s="7" t="s">
        <v>415</v>
      </c>
      <c r="B146" s="7" t="s">
        <v>314</v>
      </c>
      <c r="C146" s="7" t="s">
        <v>22</v>
      </c>
      <c r="D146" s="7" t="s">
        <v>416</v>
      </c>
      <c r="E146" s="8" t="s">
        <v>47</v>
      </c>
      <c r="F146" s="9">
        <v>10.8</v>
      </c>
      <c r="G146" s="9"/>
      <c r="H146" s="24"/>
      <c r="I146" s="9">
        <v>5.4</v>
      </c>
      <c r="J146" s="24"/>
      <c r="K146" s="24">
        <f t="shared" si="8"/>
        <v>5.4</v>
      </c>
      <c r="L146" s="10">
        <v>3105.87</v>
      </c>
      <c r="M146" s="10">
        <v>33543.39</v>
      </c>
      <c r="N146" s="10">
        <f t="shared" si="9"/>
        <v>0</v>
      </c>
      <c r="O146" s="10">
        <f t="shared" si="10"/>
        <v>16771.689999999999</v>
      </c>
    </row>
    <row r="147" spans="1:15" ht="26.1" customHeight="1" x14ac:dyDescent="0.3">
      <c r="A147" s="7" t="s">
        <v>417</v>
      </c>
      <c r="B147" s="7" t="s">
        <v>314</v>
      </c>
      <c r="C147" s="7" t="s">
        <v>22</v>
      </c>
      <c r="D147" s="7" t="s">
        <v>418</v>
      </c>
      <c r="E147" s="8" t="s">
        <v>47</v>
      </c>
      <c r="F147" s="9">
        <v>7.2</v>
      </c>
      <c r="G147" s="9"/>
      <c r="H147" s="24"/>
      <c r="I147" s="9">
        <v>3.6</v>
      </c>
      <c r="J147" s="24"/>
      <c r="K147" s="24">
        <f t="shared" si="8"/>
        <v>3.6</v>
      </c>
      <c r="L147" s="10">
        <v>3105.87</v>
      </c>
      <c r="M147" s="10">
        <v>22362.26</v>
      </c>
      <c r="N147" s="10">
        <f t="shared" si="9"/>
        <v>0</v>
      </c>
      <c r="O147" s="10">
        <f t="shared" si="10"/>
        <v>11181.13</v>
      </c>
    </row>
    <row r="148" spans="1:15" ht="26.1" customHeight="1" x14ac:dyDescent="0.3">
      <c r="A148" s="7" t="s">
        <v>419</v>
      </c>
      <c r="B148" s="7" t="s">
        <v>314</v>
      </c>
      <c r="C148" s="7" t="s">
        <v>22</v>
      </c>
      <c r="D148" s="7" t="s">
        <v>420</v>
      </c>
      <c r="E148" s="8" t="s">
        <v>47</v>
      </c>
      <c r="F148" s="9">
        <v>12.83</v>
      </c>
      <c r="G148" s="9"/>
      <c r="H148" s="24"/>
      <c r="I148" s="9">
        <v>6.415</v>
      </c>
      <c r="J148" s="24"/>
      <c r="K148" s="24">
        <f t="shared" si="8"/>
        <v>6.415</v>
      </c>
      <c r="L148" s="10">
        <v>3105.87</v>
      </c>
      <c r="M148" s="10">
        <v>39848.31</v>
      </c>
      <c r="N148" s="10">
        <f t="shared" si="9"/>
        <v>0</v>
      </c>
      <c r="O148" s="10">
        <f t="shared" si="10"/>
        <v>19924.150000000001</v>
      </c>
    </row>
    <row r="149" spans="1:15" ht="26.1" customHeight="1" x14ac:dyDescent="0.3">
      <c r="A149" s="7" t="s">
        <v>421</v>
      </c>
      <c r="B149" s="7" t="s">
        <v>422</v>
      </c>
      <c r="C149" s="7" t="s">
        <v>22</v>
      </c>
      <c r="D149" s="7" t="s">
        <v>423</v>
      </c>
      <c r="E149" s="8" t="s">
        <v>47</v>
      </c>
      <c r="F149" s="9">
        <v>257.5</v>
      </c>
      <c r="G149" s="9"/>
      <c r="H149" s="24"/>
      <c r="I149" s="9">
        <v>128.75</v>
      </c>
      <c r="J149" s="24"/>
      <c r="K149" s="24">
        <f t="shared" si="8"/>
        <v>128.75</v>
      </c>
      <c r="L149" s="10">
        <v>192.35</v>
      </c>
      <c r="M149" s="10">
        <v>49530.12</v>
      </c>
      <c r="N149" s="10">
        <f t="shared" si="9"/>
        <v>0</v>
      </c>
      <c r="O149" s="10">
        <f t="shared" si="10"/>
        <v>24765.06</v>
      </c>
    </row>
    <row r="150" spans="1:15" ht="39" customHeight="1" x14ac:dyDescent="0.3">
      <c r="A150" s="7" t="s">
        <v>424</v>
      </c>
      <c r="B150" s="7" t="s">
        <v>425</v>
      </c>
      <c r="C150" s="7" t="s">
        <v>56</v>
      </c>
      <c r="D150" s="7" t="s">
        <v>426</v>
      </c>
      <c r="E150" s="8" t="s">
        <v>47</v>
      </c>
      <c r="F150" s="9">
        <v>32.19</v>
      </c>
      <c r="G150" s="9"/>
      <c r="H150" s="24"/>
      <c r="I150" s="20">
        <v>16.100000000000001</v>
      </c>
      <c r="J150" s="20"/>
      <c r="K150" s="22">
        <f>G150+H150+I150+J150-0.005</f>
        <v>16.095000000000002</v>
      </c>
      <c r="L150" s="10">
        <v>483.94</v>
      </c>
      <c r="M150" s="10">
        <v>15578.02</v>
      </c>
      <c r="N150" s="10">
        <f t="shared" si="9"/>
        <v>0</v>
      </c>
      <c r="O150" s="10">
        <f t="shared" si="10"/>
        <v>7789.01</v>
      </c>
    </row>
    <row r="151" spans="1:15" ht="26.1" customHeight="1" x14ac:dyDescent="0.3">
      <c r="A151" s="7" t="s">
        <v>427</v>
      </c>
      <c r="B151" s="7" t="s">
        <v>428</v>
      </c>
      <c r="C151" s="7" t="s">
        <v>22</v>
      </c>
      <c r="D151" s="7" t="s">
        <v>429</v>
      </c>
      <c r="E151" s="8" t="s">
        <v>14</v>
      </c>
      <c r="F151" s="9">
        <v>9.66</v>
      </c>
      <c r="G151" s="9"/>
      <c r="H151" s="24"/>
      <c r="I151" s="9"/>
      <c r="J151" s="24"/>
      <c r="K151" s="24">
        <f t="shared" si="8"/>
        <v>0</v>
      </c>
      <c r="L151" s="10">
        <v>40.47</v>
      </c>
      <c r="M151" s="10">
        <v>390.94</v>
      </c>
      <c r="N151" s="10">
        <f t="shared" si="9"/>
        <v>0</v>
      </c>
      <c r="O151" s="10">
        <f t="shared" si="10"/>
        <v>0</v>
      </c>
    </row>
    <row r="152" spans="1:15" ht="65.099999999999994" customHeight="1" x14ac:dyDescent="0.3">
      <c r="A152" s="7" t="s">
        <v>430</v>
      </c>
      <c r="B152" s="7" t="s">
        <v>431</v>
      </c>
      <c r="C152" s="7" t="s">
        <v>12</v>
      </c>
      <c r="D152" s="7" t="s">
        <v>432</v>
      </c>
      <c r="E152" s="8" t="s">
        <v>14</v>
      </c>
      <c r="F152" s="9">
        <v>67.5</v>
      </c>
      <c r="G152" s="9"/>
      <c r="H152" s="24"/>
      <c r="I152" s="9"/>
      <c r="J152" s="24"/>
      <c r="K152" s="24">
        <f t="shared" si="8"/>
        <v>0</v>
      </c>
      <c r="L152" s="10">
        <v>97.77</v>
      </c>
      <c r="M152" s="10">
        <v>6599.47</v>
      </c>
      <c r="N152" s="10">
        <f t="shared" si="9"/>
        <v>0</v>
      </c>
      <c r="O152" s="10">
        <f t="shared" si="10"/>
        <v>0</v>
      </c>
    </row>
    <row r="153" spans="1:15" ht="26.1" customHeight="1" x14ac:dyDescent="0.3">
      <c r="A153" s="7" t="s">
        <v>433</v>
      </c>
      <c r="B153" s="7" t="s">
        <v>434</v>
      </c>
      <c r="C153" s="7" t="s">
        <v>22</v>
      </c>
      <c r="D153" s="7" t="s">
        <v>435</v>
      </c>
      <c r="E153" s="8" t="s">
        <v>14</v>
      </c>
      <c r="F153" s="9">
        <v>254.8</v>
      </c>
      <c r="G153" s="9"/>
      <c r="H153" s="24"/>
      <c r="I153" s="9"/>
      <c r="J153" s="24"/>
      <c r="K153" s="24">
        <f t="shared" si="8"/>
        <v>0</v>
      </c>
      <c r="L153" s="10">
        <v>68.47</v>
      </c>
      <c r="M153" s="10">
        <v>17446.150000000001</v>
      </c>
      <c r="N153" s="10">
        <f t="shared" si="9"/>
        <v>0</v>
      </c>
      <c r="O153" s="10">
        <f t="shared" si="10"/>
        <v>0</v>
      </c>
    </row>
    <row r="154" spans="1:15" ht="26.1" customHeight="1" x14ac:dyDescent="0.3">
      <c r="A154" s="7" t="s">
        <v>436</v>
      </c>
      <c r="B154" s="7" t="s">
        <v>437</v>
      </c>
      <c r="C154" s="7" t="s">
        <v>22</v>
      </c>
      <c r="D154" s="7" t="s">
        <v>438</v>
      </c>
      <c r="E154" s="8" t="s">
        <v>14</v>
      </c>
      <c r="F154" s="9">
        <v>288</v>
      </c>
      <c r="G154" s="9"/>
      <c r="H154" s="24"/>
      <c r="I154" s="9">
        <v>144</v>
      </c>
      <c r="J154" s="24"/>
      <c r="K154" s="24">
        <f t="shared" si="8"/>
        <v>144</v>
      </c>
      <c r="L154" s="10">
        <v>69.89</v>
      </c>
      <c r="M154" s="10">
        <v>20128.32</v>
      </c>
      <c r="N154" s="10">
        <f t="shared" si="9"/>
        <v>0</v>
      </c>
      <c r="O154" s="10">
        <f t="shared" si="10"/>
        <v>10064.16</v>
      </c>
    </row>
    <row r="155" spans="1:15" ht="26.1" customHeight="1" x14ac:dyDescent="0.3">
      <c r="A155" s="7" t="s">
        <v>439</v>
      </c>
      <c r="B155" s="7" t="s">
        <v>440</v>
      </c>
      <c r="C155" s="7" t="s">
        <v>12</v>
      </c>
      <c r="D155" s="7" t="s">
        <v>441</v>
      </c>
      <c r="E155" s="8" t="s">
        <v>14</v>
      </c>
      <c r="F155" s="9">
        <v>288</v>
      </c>
      <c r="G155" s="9"/>
      <c r="H155" s="24"/>
      <c r="I155" s="9"/>
      <c r="J155" s="24"/>
      <c r="K155" s="24">
        <f t="shared" si="8"/>
        <v>0</v>
      </c>
      <c r="L155" s="10">
        <v>13.14</v>
      </c>
      <c r="M155" s="10">
        <v>3784.32</v>
      </c>
      <c r="N155" s="10">
        <f t="shared" si="9"/>
        <v>0</v>
      </c>
      <c r="O155" s="10">
        <f t="shared" si="10"/>
        <v>0</v>
      </c>
    </row>
    <row r="156" spans="1:15" ht="39" customHeight="1" x14ac:dyDescent="0.3">
      <c r="A156" s="7" t="s">
        <v>442</v>
      </c>
      <c r="B156" s="7" t="s">
        <v>443</v>
      </c>
      <c r="C156" s="7" t="s">
        <v>64</v>
      </c>
      <c r="D156" s="7" t="s">
        <v>444</v>
      </c>
      <c r="E156" s="8" t="s">
        <v>14</v>
      </c>
      <c r="F156" s="9">
        <v>99</v>
      </c>
      <c r="G156" s="9"/>
      <c r="H156" s="24"/>
      <c r="I156" s="9"/>
      <c r="J156" s="24"/>
      <c r="K156" s="24">
        <f t="shared" si="8"/>
        <v>0</v>
      </c>
      <c r="L156" s="10">
        <v>90.02</v>
      </c>
      <c r="M156" s="10">
        <v>8911.98</v>
      </c>
      <c r="N156" s="10">
        <f t="shared" si="9"/>
        <v>0</v>
      </c>
      <c r="O156" s="10">
        <f t="shared" si="10"/>
        <v>0</v>
      </c>
    </row>
    <row r="157" spans="1:15" ht="24" customHeight="1" x14ac:dyDescent="0.3">
      <c r="A157" s="7" t="s">
        <v>445</v>
      </c>
      <c r="B157" s="7" t="s">
        <v>331</v>
      </c>
      <c r="C157" s="7" t="s">
        <v>22</v>
      </c>
      <c r="D157" s="7" t="s">
        <v>332</v>
      </c>
      <c r="E157" s="8" t="s">
        <v>14</v>
      </c>
      <c r="F157" s="9">
        <v>80</v>
      </c>
      <c r="G157" s="9"/>
      <c r="H157" s="24"/>
      <c r="I157" s="9"/>
      <c r="J157" s="24"/>
      <c r="K157" s="24">
        <f t="shared" si="8"/>
        <v>0</v>
      </c>
      <c r="L157" s="10">
        <v>17.440000000000001</v>
      </c>
      <c r="M157" s="10">
        <v>1395.2</v>
      </c>
      <c r="N157" s="10">
        <f t="shared" si="9"/>
        <v>0</v>
      </c>
      <c r="O157" s="10">
        <f t="shared" si="10"/>
        <v>0</v>
      </c>
    </row>
    <row r="158" spans="1:15" ht="24" customHeight="1" x14ac:dyDescent="0.3">
      <c r="A158" s="7" t="s">
        <v>446</v>
      </c>
      <c r="B158" s="7" t="s">
        <v>334</v>
      </c>
      <c r="C158" s="7" t="s">
        <v>22</v>
      </c>
      <c r="D158" s="7" t="s">
        <v>335</v>
      </c>
      <c r="E158" s="8" t="s">
        <v>14</v>
      </c>
      <c r="F158" s="9">
        <v>80</v>
      </c>
      <c r="G158" s="9"/>
      <c r="H158" s="24"/>
      <c r="I158" s="9"/>
      <c r="J158" s="24"/>
      <c r="K158" s="24">
        <f t="shared" si="8"/>
        <v>0</v>
      </c>
      <c r="L158" s="10">
        <v>9.43</v>
      </c>
      <c r="M158" s="10">
        <v>754.4</v>
      </c>
      <c r="N158" s="10">
        <f t="shared" si="9"/>
        <v>0</v>
      </c>
      <c r="O158" s="10">
        <f t="shared" si="10"/>
        <v>0</v>
      </c>
    </row>
    <row r="159" spans="1:15" ht="26.1" customHeight="1" x14ac:dyDescent="0.3">
      <c r="A159" s="7" t="s">
        <v>447</v>
      </c>
      <c r="B159" s="7" t="s">
        <v>448</v>
      </c>
      <c r="C159" s="7" t="s">
        <v>64</v>
      </c>
      <c r="D159" s="7" t="s">
        <v>449</v>
      </c>
      <c r="E159" s="8" t="s">
        <v>372</v>
      </c>
      <c r="F159" s="9">
        <v>33</v>
      </c>
      <c r="G159" s="9"/>
      <c r="H159" s="24"/>
      <c r="I159" s="9"/>
      <c r="J159" s="24"/>
      <c r="K159" s="24">
        <f t="shared" si="8"/>
        <v>0</v>
      </c>
      <c r="L159" s="10">
        <v>85.26</v>
      </c>
      <c r="M159" s="10">
        <v>2813.58</v>
      </c>
      <c r="N159" s="10">
        <f t="shared" si="9"/>
        <v>0</v>
      </c>
      <c r="O159" s="10">
        <f t="shared" si="10"/>
        <v>0</v>
      </c>
    </row>
    <row r="160" spans="1:15" ht="24" customHeight="1" x14ac:dyDescent="0.3">
      <c r="A160" s="7" t="s">
        <v>450</v>
      </c>
      <c r="B160" s="7" t="s">
        <v>451</v>
      </c>
      <c r="C160" s="7" t="s">
        <v>22</v>
      </c>
      <c r="D160" s="7" t="s">
        <v>452</v>
      </c>
      <c r="E160" s="8" t="s">
        <v>110</v>
      </c>
      <c r="F160" s="9">
        <v>172</v>
      </c>
      <c r="G160" s="9"/>
      <c r="H160" s="24"/>
      <c r="I160" s="9"/>
      <c r="J160" s="24"/>
      <c r="K160" s="24">
        <f t="shared" si="8"/>
        <v>0</v>
      </c>
      <c r="L160" s="10">
        <v>20.05</v>
      </c>
      <c r="M160" s="10">
        <v>3448.6</v>
      </c>
      <c r="N160" s="10">
        <f t="shared" si="9"/>
        <v>0</v>
      </c>
      <c r="O160" s="10">
        <f t="shared" si="10"/>
        <v>0</v>
      </c>
    </row>
    <row r="161" spans="1:15" ht="24" customHeight="1" x14ac:dyDescent="0.3">
      <c r="A161" s="7" t="s">
        <v>453</v>
      </c>
      <c r="B161" s="7" t="s">
        <v>454</v>
      </c>
      <c r="C161" s="7" t="s">
        <v>22</v>
      </c>
      <c r="D161" s="7" t="s">
        <v>455</v>
      </c>
      <c r="E161" s="8" t="s">
        <v>110</v>
      </c>
      <c r="F161" s="9">
        <v>333</v>
      </c>
      <c r="G161" s="9"/>
      <c r="H161" s="24"/>
      <c r="I161" s="9"/>
      <c r="J161" s="24"/>
      <c r="K161" s="24">
        <f t="shared" si="8"/>
        <v>0</v>
      </c>
      <c r="L161" s="10">
        <v>13.32</v>
      </c>
      <c r="M161" s="10">
        <v>4435.5600000000004</v>
      </c>
      <c r="N161" s="10">
        <f t="shared" si="9"/>
        <v>0</v>
      </c>
      <c r="O161" s="10">
        <f t="shared" si="10"/>
        <v>0</v>
      </c>
    </row>
    <row r="162" spans="1:15" ht="24" customHeight="1" x14ac:dyDescent="0.3">
      <c r="A162" s="7" t="s">
        <v>456</v>
      </c>
      <c r="B162" s="7" t="s">
        <v>393</v>
      </c>
      <c r="C162" s="7" t="s">
        <v>22</v>
      </c>
      <c r="D162" s="7" t="s">
        <v>394</v>
      </c>
      <c r="E162" s="8" t="s">
        <v>80</v>
      </c>
      <c r="F162" s="9">
        <v>8</v>
      </c>
      <c r="G162" s="9"/>
      <c r="H162" s="24"/>
      <c r="I162" s="9"/>
      <c r="J162" s="24"/>
      <c r="K162" s="24">
        <f t="shared" si="8"/>
        <v>0</v>
      </c>
      <c r="L162" s="10">
        <v>44.77</v>
      </c>
      <c r="M162" s="10">
        <v>358.16</v>
      </c>
      <c r="N162" s="10">
        <f t="shared" si="9"/>
        <v>0</v>
      </c>
      <c r="O162" s="10">
        <f t="shared" si="10"/>
        <v>0</v>
      </c>
    </row>
    <row r="163" spans="1:15" ht="24" customHeight="1" x14ac:dyDescent="0.3">
      <c r="A163" s="7" t="s">
        <v>457</v>
      </c>
      <c r="B163" s="7" t="s">
        <v>454</v>
      </c>
      <c r="C163" s="7" t="s">
        <v>22</v>
      </c>
      <c r="D163" s="7" t="s">
        <v>455</v>
      </c>
      <c r="E163" s="8" t="s">
        <v>110</v>
      </c>
      <c r="F163" s="9">
        <v>61</v>
      </c>
      <c r="G163" s="9"/>
      <c r="H163" s="24"/>
      <c r="I163" s="9"/>
      <c r="J163" s="24"/>
      <c r="K163" s="24">
        <f t="shared" si="8"/>
        <v>0</v>
      </c>
      <c r="L163" s="10">
        <v>13.32</v>
      </c>
      <c r="M163" s="10">
        <v>812.52</v>
      </c>
      <c r="N163" s="10">
        <f t="shared" si="9"/>
        <v>0</v>
      </c>
      <c r="O163" s="10">
        <f t="shared" si="10"/>
        <v>0</v>
      </c>
    </row>
    <row r="164" spans="1:15" ht="24" customHeight="1" x14ac:dyDescent="0.3">
      <c r="A164" s="7" t="s">
        <v>458</v>
      </c>
      <c r="B164" s="7" t="s">
        <v>459</v>
      </c>
      <c r="C164" s="7" t="s">
        <v>22</v>
      </c>
      <c r="D164" s="7" t="s">
        <v>460</v>
      </c>
      <c r="E164" s="8" t="s">
        <v>110</v>
      </c>
      <c r="F164" s="9">
        <v>30</v>
      </c>
      <c r="G164" s="9"/>
      <c r="H164" s="24"/>
      <c r="I164" s="9"/>
      <c r="J164" s="24"/>
      <c r="K164" s="24">
        <f t="shared" si="8"/>
        <v>0</v>
      </c>
      <c r="L164" s="10">
        <v>19.57</v>
      </c>
      <c r="M164" s="10">
        <v>587.1</v>
      </c>
      <c r="N164" s="10">
        <f t="shared" si="9"/>
        <v>0</v>
      </c>
      <c r="O164" s="10">
        <f t="shared" si="10"/>
        <v>0</v>
      </c>
    </row>
    <row r="165" spans="1:15" ht="24" customHeight="1" x14ac:dyDescent="0.3">
      <c r="A165" s="7" t="s">
        <v>461</v>
      </c>
      <c r="B165" s="7" t="s">
        <v>462</v>
      </c>
      <c r="C165" s="7" t="s">
        <v>22</v>
      </c>
      <c r="D165" s="7" t="s">
        <v>463</v>
      </c>
      <c r="E165" s="8" t="s">
        <v>110</v>
      </c>
      <c r="F165" s="9">
        <v>183</v>
      </c>
      <c r="G165" s="9"/>
      <c r="H165" s="24"/>
      <c r="I165" s="9"/>
      <c r="J165" s="24"/>
      <c r="K165" s="24">
        <f t="shared" si="8"/>
        <v>0</v>
      </c>
      <c r="L165" s="10">
        <v>6.12</v>
      </c>
      <c r="M165" s="10">
        <v>1119.96</v>
      </c>
      <c r="N165" s="10">
        <f t="shared" si="9"/>
        <v>0</v>
      </c>
      <c r="O165" s="10">
        <f t="shared" si="10"/>
        <v>0</v>
      </c>
    </row>
    <row r="166" spans="1:15" ht="24" customHeight="1" x14ac:dyDescent="0.3">
      <c r="A166" s="7" t="s">
        <v>464</v>
      </c>
      <c r="B166" s="7" t="s">
        <v>465</v>
      </c>
      <c r="C166" s="7" t="s">
        <v>22</v>
      </c>
      <c r="D166" s="7" t="s">
        <v>466</v>
      </c>
      <c r="E166" s="8" t="s">
        <v>110</v>
      </c>
      <c r="F166" s="9">
        <v>30</v>
      </c>
      <c r="G166" s="9"/>
      <c r="H166" s="24"/>
      <c r="I166" s="9"/>
      <c r="J166" s="24"/>
      <c r="K166" s="24">
        <f t="shared" si="8"/>
        <v>0</v>
      </c>
      <c r="L166" s="10">
        <v>7.36</v>
      </c>
      <c r="M166" s="10">
        <v>220.8</v>
      </c>
      <c r="N166" s="10">
        <f t="shared" si="9"/>
        <v>0</v>
      </c>
      <c r="O166" s="10">
        <f t="shared" si="10"/>
        <v>0</v>
      </c>
    </row>
    <row r="167" spans="1:15" ht="24" customHeight="1" x14ac:dyDescent="0.3">
      <c r="A167" s="7" t="s">
        <v>467</v>
      </c>
      <c r="B167" s="7" t="s">
        <v>468</v>
      </c>
      <c r="C167" s="7" t="s">
        <v>22</v>
      </c>
      <c r="D167" s="7" t="s">
        <v>469</v>
      </c>
      <c r="E167" s="8" t="s">
        <v>110</v>
      </c>
      <c r="F167" s="9">
        <v>90</v>
      </c>
      <c r="G167" s="9"/>
      <c r="H167" s="24"/>
      <c r="I167" s="9"/>
      <c r="J167" s="24"/>
      <c r="K167" s="24">
        <f t="shared" si="8"/>
        <v>0</v>
      </c>
      <c r="L167" s="10">
        <v>12.03</v>
      </c>
      <c r="M167" s="10">
        <v>1082.7</v>
      </c>
      <c r="N167" s="10">
        <f t="shared" si="9"/>
        <v>0</v>
      </c>
      <c r="O167" s="10">
        <f t="shared" si="10"/>
        <v>0</v>
      </c>
    </row>
    <row r="168" spans="1:15" ht="26.1" customHeight="1" x14ac:dyDescent="0.3">
      <c r="A168" s="7" t="s">
        <v>470</v>
      </c>
      <c r="B168" s="7" t="s">
        <v>471</v>
      </c>
      <c r="C168" s="7" t="s">
        <v>22</v>
      </c>
      <c r="D168" s="7" t="s">
        <v>472</v>
      </c>
      <c r="E168" s="8" t="s">
        <v>80</v>
      </c>
      <c r="F168" s="9">
        <v>1</v>
      </c>
      <c r="G168" s="9"/>
      <c r="H168" s="24"/>
      <c r="I168" s="9"/>
      <c r="J168" s="24"/>
      <c r="K168" s="24">
        <f t="shared" si="8"/>
        <v>0</v>
      </c>
      <c r="L168" s="10">
        <v>1566.21</v>
      </c>
      <c r="M168" s="10">
        <v>1566.21</v>
      </c>
      <c r="N168" s="10">
        <f t="shared" si="9"/>
        <v>0</v>
      </c>
      <c r="O168" s="10">
        <f t="shared" si="10"/>
        <v>0</v>
      </c>
    </row>
    <row r="169" spans="1:15" ht="26.1" customHeight="1" x14ac:dyDescent="0.3">
      <c r="A169" s="7" t="s">
        <v>473</v>
      </c>
      <c r="B169" s="7" t="s">
        <v>324</v>
      </c>
      <c r="C169" s="7" t="s">
        <v>22</v>
      </c>
      <c r="D169" s="7" t="s">
        <v>325</v>
      </c>
      <c r="E169" s="8" t="s">
        <v>14</v>
      </c>
      <c r="F169" s="9">
        <v>576</v>
      </c>
      <c r="G169" s="9"/>
      <c r="H169" s="24"/>
      <c r="I169" s="9"/>
      <c r="J169" s="24"/>
      <c r="K169" s="24">
        <f t="shared" si="8"/>
        <v>0</v>
      </c>
      <c r="L169" s="10">
        <v>41.1</v>
      </c>
      <c r="M169" s="10">
        <v>23673.599999999999</v>
      </c>
      <c r="N169" s="10">
        <f t="shared" si="9"/>
        <v>0</v>
      </c>
      <c r="O169" s="10">
        <f t="shared" si="10"/>
        <v>0</v>
      </c>
    </row>
    <row r="170" spans="1:15" ht="26.1" customHeight="1" x14ac:dyDescent="0.3">
      <c r="A170" s="7" t="s">
        <v>474</v>
      </c>
      <c r="B170" s="7" t="s">
        <v>434</v>
      </c>
      <c r="C170" s="7" t="s">
        <v>22</v>
      </c>
      <c r="D170" s="7" t="s">
        <v>435</v>
      </c>
      <c r="E170" s="8" t="s">
        <v>14</v>
      </c>
      <c r="F170" s="9">
        <v>254.35</v>
      </c>
      <c r="G170" s="9"/>
      <c r="H170" s="24"/>
      <c r="I170" s="9"/>
      <c r="J170" s="24"/>
      <c r="K170" s="24">
        <f t="shared" si="8"/>
        <v>0</v>
      </c>
      <c r="L170" s="10">
        <v>68.47</v>
      </c>
      <c r="M170" s="10">
        <v>17415.34</v>
      </c>
      <c r="N170" s="10">
        <f t="shared" si="9"/>
        <v>0</v>
      </c>
      <c r="O170" s="10">
        <f t="shared" si="10"/>
        <v>0</v>
      </c>
    </row>
    <row r="171" spans="1:15" ht="24" customHeight="1" x14ac:dyDescent="0.3">
      <c r="A171" s="3" t="s">
        <v>475</v>
      </c>
      <c r="B171" s="3" t="s">
        <v>8</v>
      </c>
      <c r="C171" s="3"/>
      <c r="D171" s="3" t="s">
        <v>476</v>
      </c>
      <c r="E171" s="4"/>
      <c r="F171" s="5"/>
      <c r="G171" s="9"/>
      <c r="H171" s="24"/>
      <c r="I171" s="9"/>
      <c r="J171" s="24"/>
      <c r="K171" s="9"/>
      <c r="L171" s="6"/>
      <c r="M171" s="6">
        <v>133658.04</v>
      </c>
      <c r="N171" s="17">
        <f>SUM(N172:N184)</f>
        <v>0</v>
      </c>
      <c r="O171" s="17">
        <f>SUM(O172:O184)</f>
        <v>38263.14</v>
      </c>
    </row>
    <row r="172" spans="1:15" ht="39" customHeight="1" x14ac:dyDescent="0.3">
      <c r="A172" s="7" t="s">
        <v>477</v>
      </c>
      <c r="B172" s="7" t="s">
        <v>69</v>
      </c>
      <c r="C172" s="7" t="s">
        <v>12</v>
      </c>
      <c r="D172" s="7" t="s">
        <v>70</v>
      </c>
      <c r="E172" s="8" t="s">
        <v>47</v>
      </c>
      <c r="F172" s="9">
        <v>1.1499999999999999</v>
      </c>
      <c r="G172" s="9"/>
      <c r="H172" s="24"/>
      <c r="I172" s="9">
        <v>1.1499999999999999</v>
      </c>
      <c r="J172" s="24"/>
      <c r="K172" s="24">
        <f t="shared" si="8"/>
        <v>1.1499999999999999</v>
      </c>
      <c r="L172" s="10">
        <v>112.79</v>
      </c>
      <c r="M172" s="10">
        <v>129.69999999999999</v>
      </c>
      <c r="N172" s="10">
        <f t="shared" si="9"/>
        <v>0</v>
      </c>
      <c r="O172" s="10">
        <f t="shared" si="10"/>
        <v>129.69999999999999</v>
      </c>
    </row>
    <row r="173" spans="1:15" ht="39" customHeight="1" x14ac:dyDescent="0.3">
      <c r="A173" s="7" t="s">
        <v>478</v>
      </c>
      <c r="B173" s="7" t="s">
        <v>311</v>
      </c>
      <c r="C173" s="7" t="s">
        <v>12</v>
      </c>
      <c r="D173" s="7" t="s">
        <v>312</v>
      </c>
      <c r="E173" s="8" t="s">
        <v>14</v>
      </c>
      <c r="F173" s="9">
        <v>3.84</v>
      </c>
      <c r="G173" s="9"/>
      <c r="H173" s="24"/>
      <c r="I173" s="9">
        <v>3.84</v>
      </c>
      <c r="J173" s="24"/>
      <c r="K173" s="24">
        <f t="shared" si="8"/>
        <v>3.84</v>
      </c>
      <c r="L173" s="10">
        <v>41.09</v>
      </c>
      <c r="M173" s="10">
        <v>157.78</v>
      </c>
      <c r="N173" s="10">
        <f t="shared" si="9"/>
        <v>0</v>
      </c>
      <c r="O173" s="10">
        <f t="shared" si="10"/>
        <v>157.78</v>
      </c>
    </row>
    <row r="174" spans="1:15" ht="26.1" customHeight="1" x14ac:dyDescent="0.3">
      <c r="A174" s="7" t="s">
        <v>479</v>
      </c>
      <c r="B174" s="7" t="s">
        <v>314</v>
      </c>
      <c r="C174" s="7" t="s">
        <v>22</v>
      </c>
      <c r="D174" s="7" t="s">
        <v>480</v>
      </c>
      <c r="E174" s="8" t="s">
        <v>47</v>
      </c>
      <c r="F174" s="9">
        <v>6.9</v>
      </c>
      <c r="G174" s="9"/>
      <c r="H174" s="24"/>
      <c r="I174" s="9">
        <v>6.9</v>
      </c>
      <c r="J174" s="24"/>
      <c r="K174" s="24">
        <f t="shared" si="8"/>
        <v>6.9</v>
      </c>
      <c r="L174" s="10">
        <v>3105.87</v>
      </c>
      <c r="M174" s="10">
        <v>21430.5</v>
      </c>
      <c r="N174" s="10">
        <f t="shared" si="9"/>
        <v>0</v>
      </c>
      <c r="O174" s="10">
        <f t="shared" si="10"/>
        <v>21430.5</v>
      </c>
    </row>
    <row r="175" spans="1:15" ht="24" customHeight="1" x14ac:dyDescent="0.3">
      <c r="A175" s="7" t="s">
        <v>481</v>
      </c>
      <c r="B175" s="7" t="s">
        <v>482</v>
      </c>
      <c r="C175" s="7" t="s">
        <v>22</v>
      </c>
      <c r="D175" s="7" t="s">
        <v>483</v>
      </c>
      <c r="E175" s="8" t="s">
        <v>80</v>
      </c>
      <c r="F175" s="9">
        <v>6</v>
      </c>
      <c r="G175" s="9"/>
      <c r="H175" s="24"/>
      <c r="I175" s="9"/>
      <c r="J175" s="24"/>
      <c r="K175" s="24">
        <f t="shared" si="8"/>
        <v>0</v>
      </c>
      <c r="L175" s="10">
        <v>2321.2399999999998</v>
      </c>
      <c r="M175" s="10">
        <v>13927.44</v>
      </c>
      <c r="N175" s="10">
        <f t="shared" si="9"/>
        <v>0</v>
      </c>
      <c r="O175" s="10">
        <f t="shared" si="10"/>
        <v>0</v>
      </c>
    </row>
    <row r="176" spans="1:15" ht="26.1" customHeight="1" x14ac:dyDescent="0.3">
      <c r="A176" s="7" t="s">
        <v>484</v>
      </c>
      <c r="B176" s="7" t="s">
        <v>485</v>
      </c>
      <c r="C176" s="7" t="s">
        <v>22</v>
      </c>
      <c r="D176" s="7" t="s">
        <v>486</v>
      </c>
      <c r="E176" s="8" t="s">
        <v>487</v>
      </c>
      <c r="F176" s="9">
        <v>70</v>
      </c>
      <c r="G176" s="9"/>
      <c r="H176" s="24"/>
      <c r="I176" s="9">
        <v>70</v>
      </c>
      <c r="J176" s="24"/>
      <c r="K176" s="24">
        <f t="shared" si="8"/>
        <v>70</v>
      </c>
      <c r="L176" s="10">
        <v>165.05</v>
      </c>
      <c r="M176" s="10">
        <v>11553.5</v>
      </c>
      <c r="N176" s="10">
        <f t="shared" si="9"/>
        <v>0</v>
      </c>
      <c r="O176" s="10">
        <f t="shared" si="10"/>
        <v>11553.5</v>
      </c>
    </row>
    <row r="177" spans="1:15" ht="26.1" customHeight="1" x14ac:dyDescent="0.3">
      <c r="A177" s="7" t="s">
        <v>488</v>
      </c>
      <c r="B177" s="7" t="s">
        <v>489</v>
      </c>
      <c r="C177" s="7" t="s">
        <v>64</v>
      </c>
      <c r="D177" s="7" t="s">
        <v>490</v>
      </c>
      <c r="E177" s="8" t="s">
        <v>80</v>
      </c>
      <c r="F177" s="9">
        <v>1</v>
      </c>
      <c r="G177" s="9"/>
      <c r="H177" s="24"/>
      <c r="I177" s="9">
        <v>1</v>
      </c>
      <c r="J177" s="24"/>
      <c r="K177" s="24">
        <f t="shared" si="8"/>
        <v>1</v>
      </c>
      <c r="L177" s="10">
        <v>4991.66</v>
      </c>
      <c r="M177" s="10">
        <v>4991.66</v>
      </c>
      <c r="N177" s="10">
        <f t="shared" si="9"/>
        <v>0</v>
      </c>
      <c r="O177" s="10">
        <f t="shared" si="10"/>
        <v>4991.66</v>
      </c>
    </row>
    <row r="178" spans="1:15" ht="26.1" customHeight="1" x14ac:dyDescent="0.3">
      <c r="A178" s="7" t="s">
        <v>491</v>
      </c>
      <c r="B178" s="7" t="s">
        <v>492</v>
      </c>
      <c r="C178" s="7" t="s">
        <v>17</v>
      </c>
      <c r="D178" s="7" t="s">
        <v>493</v>
      </c>
      <c r="E178" s="8" t="s">
        <v>19</v>
      </c>
      <c r="F178" s="9">
        <v>24</v>
      </c>
      <c r="G178" s="9"/>
      <c r="H178" s="24"/>
      <c r="I178" s="9"/>
      <c r="J178" s="24"/>
      <c r="K178" s="24">
        <f t="shared" si="8"/>
        <v>0</v>
      </c>
      <c r="L178" s="10">
        <v>1142.26</v>
      </c>
      <c r="M178" s="10">
        <v>27414.240000000002</v>
      </c>
      <c r="N178" s="10">
        <f t="shared" si="9"/>
        <v>0</v>
      </c>
      <c r="O178" s="10">
        <f t="shared" si="10"/>
        <v>0</v>
      </c>
    </row>
    <row r="179" spans="1:15" ht="26.1" customHeight="1" x14ac:dyDescent="0.3">
      <c r="A179" s="7" t="s">
        <v>494</v>
      </c>
      <c r="B179" s="7" t="s">
        <v>495</v>
      </c>
      <c r="C179" s="7" t="s">
        <v>64</v>
      </c>
      <c r="D179" s="7" t="s">
        <v>496</v>
      </c>
      <c r="E179" s="8" t="s">
        <v>372</v>
      </c>
      <c r="F179" s="9">
        <v>7</v>
      </c>
      <c r="G179" s="9"/>
      <c r="H179" s="24"/>
      <c r="I179" s="9"/>
      <c r="J179" s="24"/>
      <c r="K179" s="24">
        <f t="shared" si="8"/>
        <v>0</v>
      </c>
      <c r="L179" s="10">
        <v>741.57</v>
      </c>
      <c r="M179" s="10">
        <v>5190.99</v>
      </c>
      <c r="N179" s="10">
        <f t="shared" si="9"/>
        <v>0</v>
      </c>
      <c r="O179" s="10">
        <f t="shared" si="10"/>
        <v>0</v>
      </c>
    </row>
    <row r="180" spans="1:15" ht="24" customHeight="1" x14ac:dyDescent="0.3">
      <c r="A180" s="7" t="s">
        <v>497</v>
      </c>
      <c r="B180" s="7" t="s">
        <v>498</v>
      </c>
      <c r="C180" s="7" t="s">
        <v>22</v>
      </c>
      <c r="D180" s="7" t="s">
        <v>499</v>
      </c>
      <c r="E180" s="8" t="s">
        <v>110</v>
      </c>
      <c r="F180" s="9">
        <v>250</v>
      </c>
      <c r="G180" s="9"/>
      <c r="H180" s="24"/>
      <c r="I180" s="9"/>
      <c r="J180" s="24"/>
      <c r="K180" s="24">
        <f t="shared" si="8"/>
        <v>0</v>
      </c>
      <c r="L180" s="10">
        <v>20.07</v>
      </c>
      <c r="M180" s="10">
        <v>5017.5</v>
      </c>
      <c r="N180" s="10">
        <f t="shared" si="9"/>
        <v>0</v>
      </c>
      <c r="O180" s="10">
        <f t="shared" si="10"/>
        <v>0</v>
      </c>
    </row>
    <row r="181" spans="1:15" ht="26.1" customHeight="1" x14ac:dyDescent="0.3">
      <c r="A181" s="7" t="s">
        <v>500</v>
      </c>
      <c r="B181" s="7" t="s">
        <v>501</v>
      </c>
      <c r="C181" s="7" t="s">
        <v>17</v>
      </c>
      <c r="D181" s="7" t="s">
        <v>502</v>
      </c>
      <c r="E181" s="8" t="s">
        <v>382</v>
      </c>
      <c r="F181" s="9">
        <v>150</v>
      </c>
      <c r="G181" s="9"/>
      <c r="H181" s="24"/>
      <c r="I181" s="9"/>
      <c r="J181" s="24"/>
      <c r="K181" s="24">
        <f t="shared" si="8"/>
        <v>0</v>
      </c>
      <c r="L181" s="10">
        <v>90.22</v>
      </c>
      <c r="M181" s="10">
        <v>13533</v>
      </c>
      <c r="N181" s="10">
        <f t="shared" si="9"/>
        <v>0</v>
      </c>
      <c r="O181" s="10">
        <f t="shared" si="10"/>
        <v>0</v>
      </c>
    </row>
    <row r="182" spans="1:15" ht="24" customHeight="1" x14ac:dyDescent="0.3">
      <c r="A182" s="7" t="s">
        <v>503</v>
      </c>
      <c r="B182" s="7" t="s">
        <v>504</v>
      </c>
      <c r="C182" s="7" t="s">
        <v>22</v>
      </c>
      <c r="D182" s="7" t="s">
        <v>505</v>
      </c>
      <c r="E182" s="8" t="s">
        <v>110</v>
      </c>
      <c r="F182" s="9">
        <v>250</v>
      </c>
      <c r="G182" s="9"/>
      <c r="H182" s="24"/>
      <c r="I182" s="9"/>
      <c r="J182" s="24"/>
      <c r="K182" s="24">
        <f t="shared" si="8"/>
        <v>0</v>
      </c>
      <c r="L182" s="10">
        <v>68.47</v>
      </c>
      <c r="M182" s="10">
        <v>17117.5</v>
      </c>
      <c r="N182" s="10">
        <f t="shared" si="9"/>
        <v>0</v>
      </c>
      <c r="O182" s="10">
        <f t="shared" si="10"/>
        <v>0</v>
      </c>
    </row>
    <row r="183" spans="1:15" ht="26.1" customHeight="1" x14ac:dyDescent="0.3">
      <c r="A183" s="7" t="s">
        <v>506</v>
      </c>
      <c r="B183" s="7" t="s">
        <v>507</v>
      </c>
      <c r="C183" s="7" t="s">
        <v>22</v>
      </c>
      <c r="D183" s="7" t="s">
        <v>508</v>
      </c>
      <c r="E183" s="8" t="s">
        <v>80</v>
      </c>
      <c r="F183" s="9">
        <v>1</v>
      </c>
      <c r="G183" s="9"/>
      <c r="H183" s="24"/>
      <c r="I183" s="9"/>
      <c r="J183" s="24"/>
      <c r="K183" s="24">
        <f t="shared" si="8"/>
        <v>0</v>
      </c>
      <c r="L183" s="10">
        <v>167.03</v>
      </c>
      <c r="M183" s="10">
        <v>167.03</v>
      </c>
      <c r="N183" s="10">
        <f t="shared" si="9"/>
        <v>0</v>
      </c>
      <c r="O183" s="10">
        <f t="shared" si="10"/>
        <v>0</v>
      </c>
    </row>
    <row r="184" spans="1:15" ht="26.1" customHeight="1" x14ac:dyDescent="0.3">
      <c r="A184" s="7" t="s">
        <v>509</v>
      </c>
      <c r="B184" s="7" t="s">
        <v>510</v>
      </c>
      <c r="C184" s="7" t="s">
        <v>22</v>
      </c>
      <c r="D184" s="7" t="s">
        <v>511</v>
      </c>
      <c r="E184" s="8" t="s">
        <v>110</v>
      </c>
      <c r="F184" s="9">
        <v>120</v>
      </c>
      <c r="G184" s="9"/>
      <c r="H184" s="24"/>
      <c r="I184" s="9"/>
      <c r="J184" s="24"/>
      <c r="K184" s="24">
        <f t="shared" si="8"/>
        <v>0</v>
      </c>
      <c r="L184" s="10">
        <v>108.56</v>
      </c>
      <c r="M184" s="10">
        <v>13027.2</v>
      </c>
      <c r="N184" s="10">
        <f t="shared" si="9"/>
        <v>0</v>
      </c>
      <c r="O184" s="10">
        <f t="shared" si="10"/>
        <v>0</v>
      </c>
    </row>
    <row r="185" spans="1:15" ht="24" customHeight="1" x14ac:dyDescent="0.3">
      <c r="A185" s="3" t="s">
        <v>512</v>
      </c>
      <c r="B185" s="3" t="s">
        <v>8</v>
      </c>
      <c r="C185" s="3"/>
      <c r="D185" s="3" t="s">
        <v>513</v>
      </c>
      <c r="E185" s="4"/>
      <c r="F185" s="5"/>
      <c r="G185" s="9"/>
      <c r="H185" s="24"/>
      <c r="I185" s="9"/>
      <c r="J185" s="24"/>
      <c r="K185" s="9"/>
      <c r="L185" s="6"/>
      <c r="M185" s="6">
        <v>310759.25</v>
      </c>
      <c r="N185" s="17">
        <f>SUM(N186:N187)</f>
        <v>101762.3</v>
      </c>
      <c r="O185" s="17">
        <f>SUM(O186:O187)</f>
        <v>252266.61</v>
      </c>
    </row>
    <row r="186" spans="1:15" ht="65.099999999999994" customHeight="1" x14ac:dyDescent="0.3">
      <c r="A186" s="7" t="s">
        <v>514</v>
      </c>
      <c r="B186" s="7" t="s">
        <v>515</v>
      </c>
      <c r="C186" s="7" t="s">
        <v>12</v>
      </c>
      <c r="D186" s="7" t="s">
        <v>516</v>
      </c>
      <c r="E186" s="8" t="s">
        <v>14</v>
      </c>
      <c r="F186" s="9">
        <v>1472</v>
      </c>
      <c r="G186" s="9"/>
      <c r="H186" s="24">
        <v>761.97000000000014</v>
      </c>
      <c r="I186" s="9"/>
      <c r="J186" s="26">
        <v>515.20000000000005</v>
      </c>
      <c r="K186" s="24">
        <f t="shared" si="8"/>
        <v>1277.17</v>
      </c>
      <c r="L186" s="10">
        <v>197.52</v>
      </c>
      <c r="M186" s="10">
        <v>290749.44</v>
      </c>
      <c r="N186" s="10">
        <f t="shared" si="9"/>
        <v>101762.3</v>
      </c>
      <c r="O186" s="21">
        <f t="shared" si="10"/>
        <v>252266.61</v>
      </c>
    </row>
    <row r="187" spans="1:15" ht="26.1" customHeight="1" x14ac:dyDescent="0.3">
      <c r="A187" s="7" t="s">
        <v>517</v>
      </c>
      <c r="B187" s="7" t="s">
        <v>518</v>
      </c>
      <c r="C187" s="7" t="s">
        <v>22</v>
      </c>
      <c r="D187" s="7" t="s">
        <v>519</v>
      </c>
      <c r="E187" s="8" t="s">
        <v>14</v>
      </c>
      <c r="F187" s="9">
        <v>18.399999999999999</v>
      </c>
      <c r="G187" s="9"/>
      <c r="H187" s="24"/>
      <c r="I187" s="9"/>
      <c r="J187" s="24"/>
      <c r="K187" s="24">
        <f t="shared" si="8"/>
        <v>0</v>
      </c>
      <c r="L187" s="10">
        <v>1087.49</v>
      </c>
      <c r="M187" s="10">
        <v>20009.810000000001</v>
      </c>
      <c r="N187" s="10">
        <f t="shared" si="9"/>
        <v>0</v>
      </c>
      <c r="O187" s="10">
        <f t="shared" si="10"/>
        <v>0</v>
      </c>
    </row>
    <row r="188" spans="1:15" x14ac:dyDescent="0.3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8">
        <f>M7+M12+M17+M24+M37+M47+M58+M106+M142+M171+M185</f>
        <v>2234113.58</v>
      </c>
      <c r="N188" s="18">
        <f>N7+N12+N17+N24+N37+N47+N58+N106+N142+N171+N185</f>
        <v>114577.65</v>
      </c>
      <c r="O188" s="18">
        <f t="shared" ref="O188" si="11">O7+O12+O17+O24+O37+O47+O58+O106+O142+O171+O185</f>
        <v>1172633.6299999999</v>
      </c>
    </row>
    <row r="189" spans="1:15" x14ac:dyDescent="0.3">
      <c r="A189" s="61"/>
      <c r="B189" s="61"/>
      <c r="C189" s="61"/>
      <c r="D189" s="13"/>
      <c r="E189" s="12"/>
    </row>
    <row r="190" spans="1:15" x14ac:dyDescent="0.3">
      <c r="A190" s="61"/>
      <c r="B190" s="61"/>
      <c r="C190" s="61"/>
      <c r="D190" s="13"/>
      <c r="E190" s="12"/>
    </row>
    <row r="191" spans="1:15" x14ac:dyDescent="0.3">
      <c r="A191" s="61"/>
      <c r="B191" s="61"/>
      <c r="C191" s="61"/>
      <c r="D191" s="13"/>
    </row>
    <row r="192" spans="1:15" ht="60" customHeight="1" x14ac:dyDescent="0.3">
      <c r="A192" s="14"/>
      <c r="B192" s="14"/>
      <c r="C192" s="14"/>
      <c r="D192" s="14"/>
    </row>
  </sheetData>
  <mergeCells count="18">
    <mergeCell ref="L1:O1"/>
    <mergeCell ref="L2:O2"/>
    <mergeCell ref="A1:C2"/>
    <mergeCell ref="E1:F1"/>
    <mergeCell ref="E2:F2"/>
    <mergeCell ref="G1:K1"/>
    <mergeCell ref="G2:K2"/>
    <mergeCell ref="A3:O3"/>
    <mergeCell ref="A191:C191"/>
    <mergeCell ref="A4:O4"/>
    <mergeCell ref="A189:C189"/>
    <mergeCell ref="A190:C190"/>
    <mergeCell ref="A5:A6"/>
    <mergeCell ref="B5:B6"/>
    <mergeCell ref="C5:C6"/>
    <mergeCell ref="D5:D6"/>
    <mergeCell ref="E5:K5"/>
    <mergeCell ref="L5:O5"/>
  </mergeCells>
  <phoneticPr fontId="12" type="noConversion"/>
  <pageMargins left="0.70866141732283472" right="0.70866141732283472" top="0.35433070866141736" bottom="0.74803149606299213" header="0.31496062992125984" footer="0.31496062992125984"/>
  <pageSetup paperSize="9" scale="6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D4156-191A-4B9D-9E71-06D20938E3A2}">
  <dimension ref="A1:V68"/>
  <sheetViews>
    <sheetView tabSelected="1" zoomScale="50" zoomScaleNormal="115" workbookViewId="0">
      <selection activeCell="B35" sqref="B35:G35"/>
    </sheetView>
  </sheetViews>
  <sheetFormatPr defaultRowHeight="13.8" x14ac:dyDescent="0.25"/>
  <cols>
    <col min="2" max="2" width="10.796875" customWidth="1"/>
    <col min="3" max="3" width="50.09765625" customWidth="1"/>
    <col min="5" max="5" width="15.69921875" customWidth="1"/>
    <col min="6" max="6" width="16" customWidth="1"/>
    <col min="7" max="7" width="58.69921875" customWidth="1"/>
    <col min="8" max="8" width="17.19921875" customWidth="1"/>
    <col min="9" max="9" width="16.8984375" customWidth="1"/>
    <col min="10" max="10" width="16.3984375" customWidth="1"/>
    <col min="11" max="11" width="17.3984375" customWidth="1"/>
    <col min="12" max="12" width="18.796875" customWidth="1"/>
  </cols>
  <sheetData>
    <row r="1" spans="1:22" ht="15.6" x14ac:dyDescent="0.3">
      <c r="A1" s="95" t="s">
        <v>540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31"/>
      <c r="N1" s="31"/>
      <c r="O1" s="31"/>
      <c r="P1" s="27"/>
      <c r="Q1" s="27"/>
      <c r="R1" s="27"/>
      <c r="S1" s="27"/>
      <c r="T1" s="27"/>
      <c r="U1" s="27"/>
      <c r="V1" s="27"/>
    </row>
    <row r="2" spans="1:22" x14ac:dyDescent="0.25">
      <c r="A2" s="96" t="s">
        <v>541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31"/>
      <c r="N2" s="31"/>
      <c r="O2" s="31"/>
      <c r="P2" s="27"/>
      <c r="Q2" s="27"/>
      <c r="R2" s="27"/>
      <c r="S2" s="27"/>
      <c r="T2" s="27"/>
      <c r="U2" s="27"/>
      <c r="V2" s="27"/>
    </row>
    <row r="3" spans="1:22" x14ac:dyDescent="0.25">
      <c r="A3" s="97" t="s">
        <v>542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27"/>
      <c r="N3" s="27"/>
      <c r="O3" s="27"/>
      <c r="P3" s="27"/>
      <c r="Q3" s="27"/>
      <c r="R3" s="27"/>
      <c r="S3" s="27"/>
      <c r="T3" s="27"/>
      <c r="U3" s="27"/>
      <c r="V3" s="27"/>
    </row>
    <row r="4" spans="1:22" x14ac:dyDescent="0.25">
      <c r="A4" s="42" t="s">
        <v>543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27"/>
      <c r="N4" s="27"/>
      <c r="O4" s="27"/>
      <c r="P4" s="27"/>
      <c r="Q4" s="27"/>
      <c r="R4" s="27"/>
      <c r="S4" s="27"/>
      <c r="T4" s="27"/>
      <c r="U4" s="27"/>
      <c r="V4" s="27"/>
    </row>
    <row r="5" spans="1:22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</row>
    <row r="6" spans="1:22" x14ac:dyDescent="0.25">
      <c r="A6" s="85" t="s">
        <v>544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27"/>
      <c r="N6" s="27"/>
      <c r="O6" s="27"/>
      <c r="P6" s="27"/>
      <c r="Q6" s="27"/>
      <c r="R6" s="27"/>
      <c r="S6" s="27"/>
      <c r="T6" s="27"/>
      <c r="U6" s="27"/>
      <c r="V6" s="27"/>
    </row>
    <row r="7" spans="1:22" ht="40.049999999999997" customHeight="1" x14ac:dyDescent="0.25">
      <c r="A7" s="29" t="s">
        <v>522</v>
      </c>
      <c r="B7" s="29" t="s">
        <v>523</v>
      </c>
      <c r="C7" s="29" t="s">
        <v>545</v>
      </c>
      <c r="D7" s="29" t="s">
        <v>372</v>
      </c>
      <c r="E7" s="30" t="s">
        <v>546</v>
      </c>
      <c r="F7" s="30" t="s">
        <v>559</v>
      </c>
      <c r="G7" s="29" t="s">
        <v>547</v>
      </c>
      <c r="H7" s="30" t="s">
        <v>560</v>
      </c>
      <c r="I7" s="30" t="s">
        <v>561</v>
      </c>
      <c r="J7" s="30" t="s">
        <v>562</v>
      </c>
      <c r="K7" s="30" t="s">
        <v>563</v>
      </c>
      <c r="L7" s="30" t="s">
        <v>564</v>
      </c>
      <c r="M7" s="27"/>
      <c r="N7" s="27"/>
      <c r="O7" s="27"/>
      <c r="P7" s="27"/>
      <c r="Q7" s="27"/>
      <c r="R7" s="27"/>
      <c r="S7" s="27"/>
      <c r="T7" s="27"/>
      <c r="U7" s="27"/>
      <c r="V7" s="27"/>
    </row>
    <row r="8" spans="1:22" ht="39.6" x14ac:dyDescent="0.25">
      <c r="A8" s="33" t="s">
        <v>548</v>
      </c>
      <c r="B8" s="33">
        <v>93572</v>
      </c>
      <c r="C8" s="34" t="s">
        <v>35</v>
      </c>
      <c r="D8" s="33" t="s">
        <v>24</v>
      </c>
      <c r="E8" s="39">
        <v>6</v>
      </c>
      <c r="F8" s="39">
        <v>2</v>
      </c>
      <c r="G8" s="34" t="s">
        <v>551</v>
      </c>
      <c r="H8" s="44">
        <v>1</v>
      </c>
      <c r="I8" s="32">
        <f>H8+F8</f>
        <v>3</v>
      </c>
      <c r="J8" s="40">
        <f>I8/E8</f>
        <v>0.5</v>
      </c>
      <c r="K8" s="45">
        <v>5122.3999999999996</v>
      </c>
      <c r="L8" s="45">
        <f>K8*H8</f>
        <v>5122.3999999999996</v>
      </c>
      <c r="M8" s="27"/>
      <c r="N8" s="27"/>
      <c r="O8" s="27"/>
      <c r="P8" s="27"/>
      <c r="Q8" s="27"/>
      <c r="R8" s="27"/>
      <c r="S8" s="27"/>
      <c r="T8" s="27"/>
      <c r="U8" s="27"/>
      <c r="V8" s="27"/>
    </row>
    <row r="9" spans="1:22" ht="51.6" customHeight="1" x14ac:dyDescent="0.25">
      <c r="A9" s="33" t="s">
        <v>549</v>
      </c>
      <c r="B9" s="33">
        <v>94295</v>
      </c>
      <c r="C9" s="35" t="s">
        <v>38</v>
      </c>
      <c r="D9" s="33" t="s">
        <v>24</v>
      </c>
      <c r="E9" s="39">
        <v>6</v>
      </c>
      <c r="F9" s="39">
        <v>2</v>
      </c>
      <c r="G9" s="34" t="s">
        <v>552</v>
      </c>
      <c r="H9" s="44">
        <v>1</v>
      </c>
      <c r="I9" s="32">
        <f>H9+F9</f>
        <v>3</v>
      </c>
      <c r="J9" s="40">
        <f t="shared" ref="J9:J10" si="0">I9/E9</f>
        <v>0.5</v>
      </c>
      <c r="K9" s="45">
        <v>7692.95</v>
      </c>
      <c r="L9" s="45">
        <f t="shared" ref="L9:L10" si="1">K9*H9</f>
        <v>7692.95</v>
      </c>
      <c r="M9" s="27"/>
      <c r="N9" s="27"/>
      <c r="O9" s="27"/>
      <c r="P9" s="27"/>
      <c r="Q9" s="27"/>
      <c r="R9" s="27"/>
      <c r="S9" s="27"/>
      <c r="T9" s="27"/>
      <c r="U9" s="27"/>
      <c r="V9" s="27"/>
    </row>
    <row r="10" spans="1:22" ht="79.2" x14ac:dyDescent="0.25">
      <c r="A10" s="33" t="s">
        <v>550</v>
      </c>
      <c r="B10" s="33">
        <v>102364</v>
      </c>
      <c r="C10" s="34" t="s">
        <v>516</v>
      </c>
      <c r="D10" s="33" t="s">
        <v>14</v>
      </c>
      <c r="E10" s="43">
        <v>1472</v>
      </c>
      <c r="F10" s="38">
        <v>761.97</v>
      </c>
      <c r="G10" s="34" t="s">
        <v>553</v>
      </c>
      <c r="H10" s="32">
        <v>515.20000000000005</v>
      </c>
      <c r="I10" s="32">
        <f>H10+F10</f>
        <v>1277.17</v>
      </c>
      <c r="J10" s="41">
        <f t="shared" si="0"/>
        <v>0.86764266304347826</v>
      </c>
      <c r="K10" s="45">
        <v>197.52</v>
      </c>
      <c r="L10" s="45">
        <f t="shared" si="1"/>
        <v>101762.30400000002</v>
      </c>
      <c r="M10" s="27"/>
      <c r="N10" s="27"/>
      <c r="O10" s="27"/>
      <c r="P10" s="27"/>
      <c r="Q10" s="27"/>
      <c r="R10" s="27"/>
      <c r="S10" s="27"/>
      <c r="T10" s="27"/>
      <c r="U10" s="27"/>
      <c r="V10" s="27"/>
    </row>
    <row r="11" spans="1:22" x14ac:dyDescent="0.25">
      <c r="A11" s="33"/>
      <c r="B11" s="33"/>
      <c r="C11" s="37" t="s">
        <v>554</v>
      </c>
      <c r="D11" s="33"/>
      <c r="E11" s="33"/>
      <c r="F11" s="33"/>
      <c r="G11" s="33"/>
      <c r="H11" s="33"/>
      <c r="I11" s="33"/>
      <c r="J11" s="33"/>
      <c r="K11" s="33"/>
      <c r="L11" s="46">
        <f>L8+L9+L10</f>
        <v>114577.65400000001</v>
      </c>
      <c r="M11" s="27"/>
      <c r="N11" s="27"/>
      <c r="O11" s="27"/>
      <c r="P11" s="27"/>
      <c r="Q11" s="27"/>
      <c r="R11" s="27"/>
      <c r="S11" s="27"/>
      <c r="T11" s="27"/>
      <c r="U11" s="27"/>
      <c r="V11" s="27"/>
    </row>
    <row r="12" spans="1:22" x14ac:dyDescent="0.2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</row>
    <row r="13" spans="1:22" x14ac:dyDescent="0.25">
      <c r="A13" s="85" t="s">
        <v>555</v>
      </c>
      <c r="B13" s="85"/>
      <c r="C13" s="85"/>
      <c r="D13" s="85"/>
      <c r="E13" s="85"/>
      <c r="F13" s="85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</row>
    <row r="14" spans="1:22" s="47" customFormat="1" ht="19.95" customHeight="1" x14ac:dyDescent="0.25">
      <c r="A14" s="91" t="s">
        <v>556</v>
      </c>
      <c r="B14" s="92"/>
      <c r="C14" s="92"/>
      <c r="D14" s="93"/>
      <c r="E14" s="29" t="s">
        <v>557</v>
      </c>
      <c r="F14" s="29" t="s">
        <v>558</v>
      </c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</row>
    <row r="15" spans="1:22" ht="19.95" customHeight="1" x14ac:dyDescent="0.25">
      <c r="A15" s="84" t="s">
        <v>565</v>
      </c>
      <c r="B15" s="84"/>
      <c r="C15" s="84"/>
      <c r="D15" s="84"/>
      <c r="E15" s="51">
        <v>1472</v>
      </c>
      <c r="F15" s="49" t="s">
        <v>14</v>
      </c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</row>
    <row r="16" spans="1:22" ht="19.95" customHeight="1" x14ac:dyDescent="0.25">
      <c r="A16" s="84" t="s">
        <v>566</v>
      </c>
      <c r="B16" s="84"/>
      <c r="C16" s="84"/>
      <c r="D16" s="84"/>
      <c r="E16" s="50">
        <v>761.97</v>
      </c>
      <c r="F16" s="49" t="s">
        <v>14</v>
      </c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</row>
    <row r="17" spans="1:22" ht="19.95" customHeight="1" x14ac:dyDescent="0.25">
      <c r="A17" s="84" t="s">
        <v>567</v>
      </c>
      <c r="B17" s="84"/>
      <c r="C17" s="84"/>
      <c r="D17" s="84"/>
      <c r="E17" s="50">
        <v>710.03</v>
      </c>
      <c r="F17" s="49" t="s">
        <v>14</v>
      </c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</row>
    <row r="18" spans="1:22" ht="19.95" customHeight="1" x14ac:dyDescent="0.25">
      <c r="A18" s="84" t="s">
        <v>568</v>
      </c>
      <c r="B18" s="84"/>
      <c r="C18" s="84"/>
      <c r="D18" s="84"/>
      <c r="E18" s="53">
        <v>0.35</v>
      </c>
      <c r="F18" s="49" t="s">
        <v>571</v>
      </c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</row>
    <row r="19" spans="1:22" ht="19.95" customHeight="1" x14ac:dyDescent="0.25">
      <c r="A19" s="94" t="s">
        <v>569</v>
      </c>
      <c r="B19" s="94"/>
      <c r="C19" s="94"/>
      <c r="D19" s="94"/>
      <c r="E19" s="52">
        <v>515.20000000000005</v>
      </c>
      <c r="F19" s="28" t="s">
        <v>14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</row>
    <row r="20" spans="1:22" ht="19.95" customHeight="1" x14ac:dyDescent="0.25">
      <c r="A20" s="84" t="s">
        <v>570</v>
      </c>
      <c r="B20" s="84"/>
      <c r="C20" s="84"/>
      <c r="D20" s="84"/>
      <c r="E20" s="50">
        <v>194.83</v>
      </c>
      <c r="F20" s="49" t="s">
        <v>14</v>
      </c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</row>
    <row r="21" spans="1:22" x14ac:dyDescent="0.2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</row>
    <row r="22" spans="1:22" x14ac:dyDescent="0.25">
      <c r="A22" s="86" t="s">
        <v>572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27"/>
      <c r="N22" s="27"/>
      <c r="O22" s="27"/>
      <c r="P22" s="27"/>
      <c r="Q22" s="27"/>
      <c r="R22" s="27"/>
      <c r="S22" s="27"/>
      <c r="T22" s="27"/>
      <c r="U22" s="27"/>
      <c r="V22" s="27"/>
    </row>
    <row r="23" spans="1:22" ht="40.049999999999997" customHeight="1" x14ac:dyDescent="0.25">
      <c r="A23" s="30" t="s">
        <v>573</v>
      </c>
      <c r="B23" s="88" t="s">
        <v>574</v>
      </c>
      <c r="C23" s="89"/>
      <c r="D23" s="89"/>
      <c r="E23" s="89"/>
      <c r="F23" s="89"/>
      <c r="G23" s="90"/>
      <c r="H23" s="30" t="s">
        <v>575</v>
      </c>
      <c r="I23" s="30" t="s">
        <v>576</v>
      </c>
      <c r="J23" s="30" t="s">
        <v>578</v>
      </c>
      <c r="K23" s="30" t="s">
        <v>579</v>
      </c>
      <c r="L23" s="30" t="s">
        <v>562</v>
      </c>
      <c r="M23" s="27"/>
      <c r="N23" s="27"/>
      <c r="O23" s="27"/>
      <c r="P23" s="27"/>
      <c r="Q23" s="27"/>
      <c r="R23" s="27"/>
      <c r="S23" s="27"/>
      <c r="T23" s="27"/>
      <c r="U23" s="27"/>
      <c r="V23" s="27"/>
    </row>
    <row r="24" spans="1:22" ht="15" customHeight="1" x14ac:dyDescent="0.25">
      <c r="A24" s="36">
        <v>1</v>
      </c>
      <c r="B24" s="81" t="s">
        <v>9</v>
      </c>
      <c r="C24" s="82"/>
      <c r="D24" s="82"/>
      <c r="E24" s="82"/>
      <c r="F24" s="82"/>
      <c r="G24" s="83"/>
      <c r="H24" s="54">
        <v>57934.39</v>
      </c>
      <c r="I24" s="54" t="s">
        <v>580</v>
      </c>
      <c r="J24" s="54">
        <v>38665.81</v>
      </c>
      <c r="K24" s="54">
        <f>H24-J24</f>
        <v>19268.580000000002</v>
      </c>
      <c r="L24" s="56">
        <f>J24/H24</f>
        <v>0.66740687180791924</v>
      </c>
      <c r="M24" s="27"/>
      <c r="N24" s="27"/>
      <c r="O24" s="27"/>
      <c r="P24" s="27"/>
      <c r="Q24" s="27"/>
      <c r="R24" s="27"/>
      <c r="S24" s="27"/>
      <c r="T24" s="27"/>
      <c r="U24" s="27"/>
      <c r="V24" s="27"/>
    </row>
    <row r="25" spans="1:22" ht="15" customHeight="1" x14ac:dyDescent="0.25">
      <c r="A25" s="36">
        <v>2</v>
      </c>
      <c r="B25" s="81" t="s">
        <v>29</v>
      </c>
      <c r="C25" s="82"/>
      <c r="D25" s="82"/>
      <c r="E25" s="82"/>
      <c r="F25" s="82"/>
      <c r="G25" s="83"/>
      <c r="H25" s="54">
        <v>137280.70000000001</v>
      </c>
      <c r="I25" s="54">
        <v>12815.35</v>
      </c>
      <c r="J25" s="54">
        <v>94604.65</v>
      </c>
      <c r="K25" s="54">
        <f t="shared" ref="K25:K34" si="2">H25-J25</f>
        <v>42676.050000000017</v>
      </c>
      <c r="L25" s="56">
        <f t="shared" ref="L25:L35" si="3">J25/H25</f>
        <v>0.68913292254482961</v>
      </c>
      <c r="M25" s="27"/>
      <c r="N25" s="27"/>
      <c r="O25" s="27"/>
      <c r="P25" s="27"/>
      <c r="Q25" s="27"/>
      <c r="R25" s="27"/>
      <c r="S25" s="27"/>
      <c r="T25" s="27"/>
      <c r="U25" s="27"/>
      <c r="V25" s="27"/>
    </row>
    <row r="26" spans="1:22" ht="15" customHeight="1" x14ac:dyDescent="0.25">
      <c r="A26" s="36">
        <v>3</v>
      </c>
      <c r="B26" s="81" t="s">
        <v>43</v>
      </c>
      <c r="C26" s="82"/>
      <c r="D26" s="82"/>
      <c r="E26" s="82"/>
      <c r="F26" s="82"/>
      <c r="G26" s="83"/>
      <c r="H26" s="54">
        <v>99677.46</v>
      </c>
      <c r="I26" s="54" t="s">
        <v>580</v>
      </c>
      <c r="J26" s="54">
        <v>99677.46</v>
      </c>
      <c r="K26" s="54" t="s">
        <v>580</v>
      </c>
      <c r="L26" s="56">
        <f t="shared" si="3"/>
        <v>1</v>
      </c>
      <c r="M26" s="27"/>
      <c r="N26" s="27"/>
      <c r="O26" s="27"/>
      <c r="P26" s="27"/>
      <c r="Q26" s="27"/>
      <c r="R26" s="27"/>
      <c r="S26" s="27"/>
      <c r="T26" s="27"/>
      <c r="U26" s="27"/>
      <c r="V26" s="27"/>
    </row>
    <row r="27" spans="1:22" ht="15" customHeight="1" x14ac:dyDescent="0.25">
      <c r="A27" s="36">
        <v>4</v>
      </c>
      <c r="B27" s="81" t="s">
        <v>67</v>
      </c>
      <c r="C27" s="82"/>
      <c r="D27" s="82"/>
      <c r="E27" s="82"/>
      <c r="F27" s="82"/>
      <c r="G27" s="83"/>
      <c r="H27" s="54">
        <v>442798.66</v>
      </c>
      <c r="I27" s="54" t="s">
        <v>580</v>
      </c>
      <c r="J27" s="54">
        <v>442798.66</v>
      </c>
      <c r="K27" s="54" t="s">
        <v>580</v>
      </c>
      <c r="L27" s="56">
        <f t="shared" si="3"/>
        <v>1</v>
      </c>
      <c r="M27" s="27"/>
      <c r="N27" s="27"/>
      <c r="O27" s="27"/>
      <c r="P27" s="27"/>
      <c r="Q27" s="27"/>
      <c r="R27" s="27"/>
      <c r="S27" s="27"/>
      <c r="T27" s="27"/>
      <c r="U27" s="27"/>
      <c r="V27" s="27"/>
    </row>
    <row r="28" spans="1:22" ht="15" customHeight="1" x14ac:dyDescent="0.25">
      <c r="A28" s="36">
        <v>5</v>
      </c>
      <c r="B28" s="81" t="s">
        <v>106</v>
      </c>
      <c r="C28" s="82"/>
      <c r="D28" s="82"/>
      <c r="E28" s="82"/>
      <c r="F28" s="82"/>
      <c r="G28" s="83"/>
      <c r="H28" s="54">
        <v>221219.1</v>
      </c>
      <c r="I28" s="54" t="s">
        <v>580</v>
      </c>
      <c r="J28" s="54" t="s">
        <v>580</v>
      </c>
      <c r="K28" s="54">
        <f>H28</f>
        <v>221219.1</v>
      </c>
      <c r="L28" s="57">
        <v>0</v>
      </c>
      <c r="M28" s="27"/>
      <c r="N28" s="27"/>
      <c r="O28" s="27"/>
      <c r="P28" s="27"/>
      <c r="Q28" s="27"/>
      <c r="R28" s="27"/>
      <c r="S28" s="27"/>
      <c r="T28" s="27"/>
      <c r="U28" s="27"/>
      <c r="V28" s="27"/>
    </row>
    <row r="29" spans="1:22" ht="15" customHeight="1" x14ac:dyDescent="0.25">
      <c r="A29" s="36">
        <v>6</v>
      </c>
      <c r="B29" s="81" t="s">
        <v>136</v>
      </c>
      <c r="C29" s="82"/>
      <c r="D29" s="82"/>
      <c r="E29" s="82"/>
      <c r="F29" s="82"/>
      <c r="G29" s="83"/>
      <c r="H29" s="54">
        <v>67820.72</v>
      </c>
      <c r="I29" s="54" t="s">
        <v>580</v>
      </c>
      <c r="J29" s="54" t="s">
        <v>580</v>
      </c>
      <c r="K29" s="54">
        <f t="shared" ref="K29:K30" si="4">H29</f>
        <v>67820.72</v>
      </c>
      <c r="L29" s="57">
        <v>0</v>
      </c>
      <c r="M29" s="27"/>
      <c r="N29" s="27"/>
      <c r="O29" s="27"/>
      <c r="P29" s="27"/>
      <c r="Q29" s="27"/>
      <c r="R29" s="27"/>
      <c r="S29" s="27"/>
      <c r="T29" s="27"/>
      <c r="U29" s="27"/>
      <c r="V29" s="27"/>
    </row>
    <row r="30" spans="1:22" ht="15" customHeight="1" x14ac:dyDescent="0.25">
      <c r="A30" s="36">
        <v>7</v>
      </c>
      <c r="B30" s="81" t="s">
        <v>168</v>
      </c>
      <c r="C30" s="82"/>
      <c r="D30" s="82"/>
      <c r="E30" s="82"/>
      <c r="F30" s="82"/>
      <c r="G30" s="83"/>
      <c r="H30" s="54">
        <v>247879.3</v>
      </c>
      <c r="I30" s="54" t="s">
        <v>580</v>
      </c>
      <c r="J30" s="54" t="s">
        <v>580</v>
      </c>
      <c r="K30" s="54">
        <f t="shared" si="4"/>
        <v>247879.3</v>
      </c>
      <c r="L30" s="57">
        <v>0</v>
      </c>
      <c r="M30" s="27"/>
      <c r="N30" s="27"/>
      <c r="O30" s="27"/>
      <c r="P30" s="27"/>
      <c r="Q30" s="27"/>
      <c r="R30" s="27"/>
      <c r="S30" s="27"/>
      <c r="T30" s="27"/>
      <c r="U30" s="27"/>
      <c r="V30" s="27"/>
    </row>
    <row r="31" spans="1:22" ht="15" customHeight="1" x14ac:dyDescent="0.25">
      <c r="A31" s="36">
        <v>8</v>
      </c>
      <c r="B31" s="81" t="s">
        <v>302</v>
      </c>
      <c r="C31" s="82"/>
      <c r="D31" s="82"/>
      <c r="E31" s="82"/>
      <c r="F31" s="82"/>
      <c r="G31" s="83"/>
      <c r="H31" s="54">
        <v>188217.51</v>
      </c>
      <c r="I31" s="54" t="s">
        <v>580</v>
      </c>
      <c r="J31" s="54">
        <v>91331.38</v>
      </c>
      <c r="K31" s="54">
        <f t="shared" si="2"/>
        <v>96886.13</v>
      </c>
      <c r="L31" s="56">
        <f t="shared" si="3"/>
        <v>0.48524380117450283</v>
      </c>
      <c r="M31" s="27"/>
      <c r="N31" s="27"/>
      <c r="O31" s="27"/>
      <c r="P31" s="27"/>
      <c r="Q31" s="27"/>
      <c r="R31" s="27"/>
      <c r="S31" s="27"/>
      <c r="T31" s="27"/>
      <c r="U31" s="27"/>
      <c r="V31" s="27"/>
    </row>
    <row r="32" spans="1:22" ht="15" customHeight="1" x14ac:dyDescent="0.25">
      <c r="A32" s="36">
        <v>9</v>
      </c>
      <c r="B32" s="81" t="s">
        <v>408</v>
      </c>
      <c r="C32" s="82"/>
      <c r="D32" s="82"/>
      <c r="E32" s="82"/>
      <c r="F32" s="82"/>
      <c r="G32" s="83"/>
      <c r="H32" s="54">
        <v>326868.45</v>
      </c>
      <c r="I32" s="54" t="s">
        <v>580</v>
      </c>
      <c r="J32" s="54">
        <v>115025.92</v>
      </c>
      <c r="K32" s="54">
        <f t="shared" si="2"/>
        <v>211842.53000000003</v>
      </c>
      <c r="L32" s="56">
        <f t="shared" si="3"/>
        <v>0.35190279147467429</v>
      </c>
      <c r="M32" s="27"/>
      <c r="N32" s="27"/>
      <c r="O32" s="27"/>
      <c r="P32" s="27"/>
      <c r="Q32" s="27"/>
      <c r="R32" s="27"/>
      <c r="S32" s="27"/>
      <c r="T32" s="27"/>
      <c r="U32" s="27"/>
      <c r="V32" s="27"/>
    </row>
    <row r="33" spans="1:22" ht="15" customHeight="1" x14ac:dyDescent="0.25">
      <c r="A33" s="36">
        <v>10</v>
      </c>
      <c r="B33" s="81" t="s">
        <v>476</v>
      </c>
      <c r="C33" s="82"/>
      <c r="D33" s="82"/>
      <c r="E33" s="82"/>
      <c r="F33" s="82"/>
      <c r="G33" s="83"/>
      <c r="H33" s="54">
        <v>133658.04</v>
      </c>
      <c r="I33" s="54" t="s">
        <v>580</v>
      </c>
      <c r="J33" s="54">
        <v>38263.14</v>
      </c>
      <c r="K33" s="54">
        <f t="shared" si="2"/>
        <v>95394.900000000009</v>
      </c>
      <c r="L33" s="56">
        <f t="shared" si="3"/>
        <v>0.28627638112903642</v>
      </c>
      <c r="M33" s="27"/>
      <c r="N33" s="27"/>
      <c r="O33" s="27"/>
      <c r="P33" s="27"/>
      <c r="Q33" s="27"/>
      <c r="R33" s="27"/>
      <c r="S33" s="27"/>
      <c r="T33" s="27"/>
      <c r="U33" s="27"/>
      <c r="V33" s="27"/>
    </row>
    <row r="34" spans="1:22" ht="15" customHeight="1" x14ac:dyDescent="0.25">
      <c r="A34" s="36">
        <v>11</v>
      </c>
      <c r="B34" s="81" t="s">
        <v>513</v>
      </c>
      <c r="C34" s="82"/>
      <c r="D34" s="82"/>
      <c r="E34" s="82"/>
      <c r="F34" s="82"/>
      <c r="G34" s="83"/>
      <c r="H34" s="54">
        <v>310759.25</v>
      </c>
      <c r="I34" s="54">
        <v>101762.3</v>
      </c>
      <c r="J34" s="54">
        <v>252266.61</v>
      </c>
      <c r="K34" s="54">
        <f t="shared" si="2"/>
        <v>58492.640000000014</v>
      </c>
      <c r="L34" s="56">
        <f t="shared" si="3"/>
        <v>0.8117750638154777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</row>
    <row r="35" spans="1:22" ht="15" customHeight="1" x14ac:dyDescent="0.25">
      <c r="A35" s="36"/>
      <c r="B35" s="98" t="s">
        <v>533</v>
      </c>
      <c r="C35" s="99"/>
      <c r="D35" s="99"/>
      <c r="E35" s="99"/>
      <c r="F35" s="99"/>
      <c r="G35" s="100"/>
      <c r="H35" s="55">
        <f>SUM(H24:H34)</f>
        <v>2234113.58</v>
      </c>
      <c r="I35" s="55">
        <f>SUM(I24:I34)</f>
        <v>114577.65000000001</v>
      </c>
      <c r="J35" s="55">
        <f>SUM(J24:J34)</f>
        <v>1172633.6299999999</v>
      </c>
      <c r="K35" s="55">
        <f>SUM(K24:K34)</f>
        <v>1061479.9500000002</v>
      </c>
      <c r="L35" s="101">
        <f t="shared" si="3"/>
        <v>0.52487646129432675</v>
      </c>
      <c r="M35" s="27"/>
      <c r="N35" s="27"/>
      <c r="O35" s="27"/>
      <c r="P35" s="27"/>
      <c r="Q35" s="27"/>
      <c r="R35" s="27"/>
      <c r="S35" s="27"/>
      <c r="T35" s="27"/>
      <c r="U35" s="27"/>
      <c r="V35" s="27"/>
    </row>
    <row r="36" spans="1:22" x14ac:dyDescent="0.25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</row>
    <row r="37" spans="1:22" x14ac:dyDescent="0.25">
      <c r="A37" s="87" t="s">
        <v>577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27"/>
      <c r="N37" s="27"/>
      <c r="O37" s="27"/>
      <c r="P37" s="27"/>
      <c r="Q37" s="27"/>
      <c r="R37" s="27"/>
      <c r="S37" s="27"/>
      <c r="T37" s="27"/>
      <c r="U37" s="27"/>
      <c r="V37" s="27"/>
    </row>
    <row r="38" spans="1:22" x14ac:dyDescent="0.2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</row>
    <row r="39" spans="1:22" x14ac:dyDescent="0.25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</row>
    <row r="40" spans="1:22" x14ac:dyDescent="0.2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</row>
    <row r="41" spans="1:22" x14ac:dyDescent="0.2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</row>
    <row r="42" spans="1:22" x14ac:dyDescent="0.2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</row>
    <row r="43" spans="1:22" x14ac:dyDescent="0.2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</row>
    <row r="44" spans="1:22" x14ac:dyDescent="0.25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</row>
    <row r="45" spans="1:22" x14ac:dyDescent="0.2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</row>
    <row r="46" spans="1:22" x14ac:dyDescent="0.25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</row>
    <row r="47" spans="1:22" x14ac:dyDescent="0.25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</row>
    <row r="48" spans="1:22" x14ac:dyDescent="0.25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</row>
    <row r="49" spans="1:22" x14ac:dyDescent="0.2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</row>
    <row r="50" spans="1:22" x14ac:dyDescent="0.2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</row>
    <row r="51" spans="1:22" x14ac:dyDescent="0.2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</row>
    <row r="52" spans="1:22" x14ac:dyDescent="0.25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</row>
    <row r="53" spans="1:22" x14ac:dyDescent="0.25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</row>
    <row r="54" spans="1:22" x14ac:dyDescent="0.25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</row>
    <row r="55" spans="1:22" x14ac:dyDescent="0.2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</row>
    <row r="56" spans="1:22" x14ac:dyDescent="0.25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</row>
    <row r="57" spans="1:22" x14ac:dyDescent="0.25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</row>
    <row r="58" spans="1:22" x14ac:dyDescent="0.25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</row>
    <row r="59" spans="1:22" x14ac:dyDescent="0.25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</row>
    <row r="60" spans="1:22" x14ac:dyDescent="0.25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</row>
    <row r="61" spans="1:22" x14ac:dyDescent="0.25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</row>
    <row r="62" spans="1:22" x14ac:dyDescent="0.25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</row>
    <row r="63" spans="1:22" x14ac:dyDescent="0.25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</row>
    <row r="64" spans="1:22" x14ac:dyDescent="0.25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</row>
    <row r="65" spans="1:22" x14ac:dyDescent="0.2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</row>
    <row r="66" spans="1:22" x14ac:dyDescent="0.25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</row>
    <row r="67" spans="1:22" x14ac:dyDescent="0.25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</row>
    <row r="68" spans="1:22" x14ac:dyDescent="0.2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</row>
  </sheetData>
  <mergeCells count="27">
    <mergeCell ref="A1:L1"/>
    <mergeCell ref="A2:L2"/>
    <mergeCell ref="A3:L3"/>
    <mergeCell ref="A20:D20"/>
    <mergeCell ref="A13:F13"/>
    <mergeCell ref="A22:L22"/>
    <mergeCell ref="A6:L6"/>
    <mergeCell ref="A37:L37"/>
    <mergeCell ref="B23:G23"/>
    <mergeCell ref="B24:G24"/>
    <mergeCell ref="B25:G25"/>
    <mergeCell ref="B26:G26"/>
    <mergeCell ref="A14:D14"/>
    <mergeCell ref="A15:D15"/>
    <mergeCell ref="A16:D16"/>
    <mergeCell ref="A17:D17"/>
    <mergeCell ref="A18:D18"/>
    <mergeCell ref="A19:D19"/>
    <mergeCell ref="B33:G33"/>
    <mergeCell ref="B34:G34"/>
    <mergeCell ref="B35:G35"/>
    <mergeCell ref="B27:G27"/>
    <mergeCell ref="B28:G28"/>
    <mergeCell ref="B29:G29"/>
    <mergeCell ref="B30:G30"/>
    <mergeCell ref="B31:G31"/>
    <mergeCell ref="B32:G3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BOLETIM DE MEDIÇÃO 04</vt:lpstr>
      <vt:lpstr>MEMORIAL DE CALCULO 04A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DOUGLAS WESLEY</cp:lastModifiedBy>
  <cp:revision>0</cp:revision>
  <cp:lastPrinted>2026-05-11T13:12:58Z</cp:lastPrinted>
  <dcterms:created xsi:type="dcterms:W3CDTF">2026-04-08T14:39:50Z</dcterms:created>
  <dcterms:modified xsi:type="dcterms:W3CDTF">2026-09-24T12:25:15Z</dcterms:modified>
</cp:coreProperties>
</file>