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mpo de Futebol\Medições\"/>
    </mc:Choice>
  </mc:AlternateContent>
  <xr:revisionPtr revIDLastSave="0" documentId="13_ncr:1_{6964B843-82F1-479F-A74E-3D5A48CC4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IM DE MEDIÇÃO" sheetId="1" r:id="rId1"/>
    <sheet name="MEMORIAL DE CALCUL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7" i="1" l="1"/>
  <c r="G25" i="1"/>
  <c r="G26" i="1"/>
  <c r="G27" i="1"/>
  <c r="G28" i="1"/>
  <c r="G29" i="1"/>
  <c r="G30" i="1"/>
  <c r="G31" i="1"/>
  <c r="G32" i="1"/>
  <c r="G33" i="1"/>
  <c r="G34" i="1"/>
  <c r="G35" i="1"/>
  <c r="G24" i="1"/>
  <c r="G18" i="1"/>
  <c r="G19" i="1"/>
  <c r="G20" i="1"/>
  <c r="G21" i="1"/>
  <c r="G22" i="1"/>
  <c r="G17" i="1"/>
  <c r="X31" i="5"/>
  <c r="K15" i="1"/>
  <c r="K12" i="1"/>
  <c r="J187" i="1"/>
  <c r="K9" i="1" l="1"/>
  <c r="X32" i="5"/>
  <c r="X27" i="5"/>
  <c r="X28" i="5" s="1"/>
  <c r="X23" i="5"/>
  <c r="X24" i="5" s="1"/>
  <c r="X19" i="5"/>
  <c r="X20" i="5" s="1"/>
  <c r="X14" i="5"/>
  <c r="X15" i="5" s="1"/>
  <c r="X8" i="5"/>
  <c r="X9" i="5" s="1"/>
  <c r="K25" i="1"/>
  <c r="H28" i="1"/>
  <c r="L28" i="1" s="1"/>
  <c r="K29" i="1"/>
  <c r="H30" i="1"/>
  <c r="L30" i="1" s="1"/>
  <c r="H31" i="1"/>
  <c r="L31" i="1" s="1"/>
  <c r="K33" i="1"/>
  <c r="K24" i="1"/>
  <c r="K7" i="1"/>
  <c r="H18" i="1"/>
  <c r="L18" i="1" s="1"/>
  <c r="H19" i="1"/>
  <c r="L19" i="1" s="1"/>
  <c r="H20" i="1"/>
  <c r="L20" i="1" s="1"/>
  <c r="K21" i="1"/>
  <c r="K17" i="1"/>
  <c r="K10" i="1"/>
  <c r="K8" i="1"/>
  <c r="H27" i="1"/>
  <c r="L27" i="1" s="1"/>
  <c r="K32" i="1"/>
  <c r="K35" i="1"/>
  <c r="H39" i="1"/>
  <c r="L39" i="1" s="1"/>
  <c r="H40" i="1"/>
  <c r="L40" i="1" s="1"/>
  <c r="H41" i="1"/>
  <c r="L41" i="1" s="1"/>
  <c r="K43" i="1"/>
  <c r="H47" i="1"/>
  <c r="L47" i="1" s="1"/>
  <c r="H48" i="1"/>
  <c r="L48" i="1" s="1"/>
  <c r="H49" i="1"/>
  <c r="L49" i="1" s="1"/>
  <c r="H51" i="1"/>
  <c r="L51" i="1" s="1"/>
  <c r="H55" i="1"/>
  <c r="L55" i="1" s="1"/>
  <c r="K56" i="1"/>
  <c r="H59" i="1"/>
  <c r="L59" i="1" s="1"/>
  <c r="H63" i="1"/>
  <c r="L63" i="1" s="1"/>
  <c r="K64" i="1"/>
  <c r="H65" i="1"/>
  <c r="L65" i="1" s="1"/>
  <c r="K67" i="1"/>
  <c r="H71" i="1"/>
  <c r="L71" i="1" s="1"/>
  <c r="H72" i="1"/>
  <c r="L72" i="1" s="1"/>
  <c r="H73" i="1"/>
  <c r="L73" i="1" s="1"/>
  <c r="K75" i="1"/>
  <c r="H79" i="1"/>
  <c r="L79" i="1" s="1"/>
  <c r="H80" i="1"/>
  <c r="L80" i="1" s="1"/>
  <c r="H81" i="1"/>
  <c r="L81" i="1" s="1"/>
  <c r="H83" i="1"/>
  <c r="L83" i="1" s="1"/>
  <c r="H87" i="1"/>
  <c r="L87" i="1" s="1"/>
  <c r="K88" i="1"/>
  <c r="H89" i="1"/>
  <c r="L89" i="1" s="1"/>
  <c r="H91" i="1"/>
  <c r="L91" i="1" s="1"/>
  <c r="H95" i="1"/>
  <c r="L95" i="1" s="1"/>
  <c r="K96" i="1"/>
  <c r="H97" i="1"/>
  <c r="L97" i="1" s="1"/>
  <c r="K99" i="1"/>
  <c r="H103" i="1"/>
  <c r="L103" i="1" s="1"/>
  <c r="H104" i="1"/>
  <c r="L104" i="1" s="1"/>
  <c r="K107" i="1"/>
  <c r="H111" i="1"/>
  <c r="L111" i="1" s="1"/>
  <c r="H112" i="1"/>
  <c r="L112" i="1" s="1"/>
  <c r="H113" i="1"/>
  <c r="L113" i="1" s="1"/>
  <c r="H115" i="1"/>
  <c r="L115" i="1" s="1"/>
  <c r="H119" i="1"/>
  <c r="L119" i="1" s="1"/>
  <c r="K120" i="1"/>
  <c r="H121" i="1"/>
  <c r="L121" i="1" s="1"/>
  <c r="H123" i="1"/>
  <c r="L123" i="1" s="1"/>
  <c r="H127" i="1"/>
  <c r="L127" i="1" s="1"/>
  <c r="K128" i="1"/>
  <c r="H129" i="1"/>
  <c r="L129" i="1" s="1"/>
  <c r="K131" i="1"/>
  <c r="H135" i="1"/>
  <c r="L135" i="1" s="1"/>
  <c r="H136" i="1"/>
  <c r="L136" i="1" s="1"/>
  <c r="H137" i="1"/>
  <c r="L137" i="1" s="1"/>
  <c r="K139" i="1"/>
  <c r="K143" i="1"/>
  <c r="H144" i="1"/>
  <c r="L144" i="1" s="1"/>
  <c r="K145" i="1"/>
  <c r="H147" i="1"/>
  <c r="L147" i="1" s="1"/>
  <c r="H151" i="1"/>
  <c r="L151" i="1" s="1"/>
  <c r="K152" i="1"/>
  <c r="K153" i="1"/>
  <c r="H155" i="1"/>
  <c r="L155" i="1" s="1"/>
  <c r="K159" i="1"/>
  <c r="K160" i="1"/>
  <c r="K161" i="1"/>
  <c r="K163" i="1"/>
  <c r="H167" i="1"/>
  <c r="L167" i="1" s="1"/>
  <c r="H168" i="1"/>
  <c r="L168" i="1" s="1"/>
  <c r="K169" i="1"/>
  <c r="K171" i="1"/>
  <c r="K175" i="1"/>
  <c r="H176" i="1"/>
  <c r="L176" i="1" s="1"/>
  <c r="K179" i="1"/>
  <c r="K183" i="1"/>
  <c r="K185" i="1"/>
  <c r="K186" i="1"/>
  <c r="K13" i="1"/>
  <c r="K14" i="1"/>
  <c r="K22" i="1"/>
  <c r="K26" i="1"/>
  <c r="K27" i="1"/>
  <c r="K28" i="1"/>
  <c r="K34" i="1"/>
  <c r="K37" i="1"/>
  <c r="K38" i="1"/>
  <c r="K41" i="1"/>
  <c r="K42" i="1"/>
  <c r="K44" i="1"/>
  <c r="K45" i="1"/>
  <c r="K49" i="1"/>
  <c r="K50" i="1"/>
  <c r="K52" i="1"/>
  <c r="K53" i="1"/>
  <c r="K54" i="1"/>
  <c r="K58" i="1"/>
  <c r="K59" i="1"/>
  <c r="K60" i="1"/>
  <c r="K61" i="1"/>
  <c r="K62" i="1"/>
  <c r="K66" i="1"/>
  <c r="K68" i="1"/>
  <c r="K69" i="1"/>
  <c r="K70" i="1"/>
  <c r="K74" i="1"/>
  <c r="K76" i="1"/>
  <c r="K77" i="1"/>
  <c r="K78" i="1"/>
  <c r="K80" i="1"/>
  <c r="K82" i="1"/>
  <c r="K84" i="1"/>
  <c r="K85" i="1"/>
  <c r="K86" i="1"/>
  <c r="K90" i="1"/>
  <c r="K91" i="1"/>
  <c r="K92" i="1"/>
  <c r="K93" i="1"/>
  <c r="K94" i="1"/>
  <c r="K98" i="1"/>
  <c r="K100" i="1"/>
  <c r="K101" i="1"/>
  <c r="K102" i="1"/>
  <c r="K106" i="1"/>
  <c r="K108" i="1"/>
  <c r="K109" i="1"/>
  <c r="K110" i="1"/>
  <c r="K114" i="1"/>
  <c r="K116" i="1"/>
  <c r="K117" i="1"/>
  <c r="K118" i="1"/>
  <c r="K122" i="1"/>
  <c r="K123" i="1"/>
  <c r="K124" i="1"/>
  <c r="K125" i="1"/>
  <c r="K126" i="1"/>
  <c r="K130" i="1"/>
  <c r="K132" i="1"/>
  <c r="K133" i="1"/>
  <c r="K134" i="1"/>
  <c r="K138" i="1"/>
  <c r="K140" i="1"/>
  <c r="K142" i="1"/>
  <c r="K146" i="1"/>
  <c r="K148" i="1"/>
  <c r="K149" i="1"/>
  <c r="K150" i="1"/>
  <c r="K154" i="1"/>
  <c r="K155" i="1"/>
  <c r="K156" i="1"/>
  <c r="K157" i="1"/>
  <c r="K158" i="1"/>
  <c r="K162" i="1"/>
  <c r="K164" i="1"/>
  <c r="K165" i="1"/>
  <c r="K166" i="1"/>
  <c r="K172" i="1"/>
  <c r="K173" i="1"/>
  <c r="K174" i="1"/>
  <c r="K177" i="1"/>
  <c r="K178" i="1"/>
  <c r="K180" i="1"/>
  <c r="K181" i="1"/>
  <c r="K182" i="1"/>
  <c r="H10" i="1"/>
  <c r="L10" i="1" s="1"/>
  <c r="H12" i="1"/>
  <c r="L12" i="1" s="1"/>
  <c r="H13" i="1"/>
  <c r="L13" i="1" s="1"/>
  <c r="H14" i="1"/>
  <c r="L14" i="1" s="1"/>
  <c r="H22" i="1"/>
  <c r="L22" i="1" s="1"/>
  <c r="H26" i="1"/>
  <c r="L26" i="1" s="1"/>
  <c r="H32" i="1"/>
  <c r="L32" i="1" s="1"/>
  <c r="H34" i="1"/>
  <c r="L34" i="1" s="1"/>
  <c r="H37" i="1"/>
  <c r="L37" i="1" s="1"/>
  <c r="H38" i="1"/>
  <c r="L38" i="1" s="1"/>
  <c r="H42" i="1"/>
  <c r="L42" i="1" s="1"/>
  <c r="H43" i="1"/>
  <c r="L43" i="1" s="1"/>
  <c r="H44" i="1"/>
  <c r="L44" i="1" s="1"/>
  <c r="H45" i="1"/>
  <c r="L45" i="1" s="1"/>
  <c r="H50" i="1"/>
  <c r="L50" i="1" s="1"/>
  <c r="H52" i="1"/>
  <c r="L52" i="1" s="1"/>
  <c r="H53" i="1"/>
  <c r="L53" i="1" s="1"/>
  <c r="H54" i="1"/>
  <c r="L54" i="1" s="1"/>
  <c r="H58" i="1"/>
  <c r="L58" i="1" s="1"/>
  <c r="H60" i="1"/>
  <c r="L60" i="1" s="1"/>
  <c r="H61" i="1"/>
  <c r="L61" i="1" s="1"/>
  <c r="H62" i="1"/>
  <c r="L62" i="1" s="1"/>
  <c r="H64" i="1"/>
  <c r="L64" i="1" s="1"/>
  <c r="H66" i="1"/>
  <c r="L66" i="1" s="1"/>
  <c r="H68" i="1"/>
  <c r="L68" i="1" s="1"/>
  <c r="H69" i="1"/>
  <c r="L69" i="1" s="1"/>
  <c r="H70" i="1"/>
  <c r="L70" i="1" s="1"/>
  <c r="H74" i="1"/>
  <c r="L74" i="1" s="1"/>
  <c r="H75" i="1"/>
  <c r="L75" i="1" s="1"/>
  <c r="H76" i="1"/>
  <c r="L76" i="1" s="1"/>
  <c r="H77" i="1"/>
  <c r="L77" i="1" s="1"/>
  <c r="H78" i="1"/>
  <c r="L78" i="1" s="1"/>
  <c r="H82" i="1"/>
  <c r="L82" i="1" s="1"/>
  <c r="H84" i="1"/>
  <c r="L84" i="1" s="1"/>
  <c r="H85" i="1"/>
  <c r="L85" i="1" s="1"/>
  <c r="H86" i="1"/>
  <c r="L86" i="1" s="1"/>
  <c r="H90" i="1"/>
  <c r="L90" i="1" s="1"/>
  <c r="H92" i="1"/>
  <c r="L92" i="1" s="1"/>
  <c r="H93" i="1"/>
  <c r="L93" i="1" s="1"/>
  <c r="H94" i="1"/>
  <c r="L94" i="1" s="1"/>
  <c r="H96" i="1"/>
  <c r="L96" i="1" s="1"/>
  <c r="H98" i="1"/>
  <c r="L98" i="1" s="1"/>
  <c r="H100" i="1"/>
  <c r="L100" i="1" s="1"/>
  <c r="H101" i="1"/>
  <c r="L101" i="1" s="1"/>
  <c r="H102" i="1"/>
  <c r="L102" i="1" s="1"/>
  <c r="H106" i="1"/>
  <c r="L106" i="1" s="1"/>
  <c r="H107" i="1"/>
  <c r="L107" i="1" s="1"/>
  <c r="H108" i="1"/>
  <c r="L108" i="1" s="1"/>
  <c r="H109" i="1"/>
  <c r="L109" i="1" s="1"/>
  <c r="H110" i="1"/>
  <c r="L110" i="1" s="1"/>
  <c r="H114" i="1"/>
  <c r="L114" i="1" s="1"/>
  <c r="H116" i="1"/>
  <c r="L116" i="1" s="1"/>
  <c r="H117" i="1"/>
  <c r="L117" i="1" s="1"/>
  <c r="H118" i="1"/>
  <c r="L118" i="1" s="1"/>
  <c r="H122" i="1"/>
  <c r="L122" i="1" s="1"/>
  <c r="H124" i="1"/>
  <c r="L124" i="1" s="1"/>
  <c r="H125" i="1"/>
  <c r="L125" i="1" s="1"/>
  <c r="H126" i="1"/>
  <c r="L126" i="1" s="1"/>
  <c r="H128" i="1"/>
  <c r="L128" i="1" s="1"/>
  <c r="H130" i="1"/>
  <c r="L130" i="1" s="1"/>
  <c r="H132" i="1"/>
  <c r="L132" i="1" s="1"/>
  <c r="H133" i="1"/>
  <c r="L133" i="1" s="1"/>
  <c r="H134" i="1"/>
  <c r="L134" i="1" s="1"/>
  <c r="H138" i="1"/>
  <c r="L138" i="1" s="1"/>
  <c r="H139" i="1"/>
  <c r="L139" i="1" s="1"/>
  <c r="H140" i="1"/>
  <c r="L140" i="1" s="1"/>
  <c r="H142" i="1"/>
  <c r="L142" i="1" s="1"/>
  <c r="H146" i="1"/>
  <c r="L146" i="1" s="1"/>
  <c r="H148" i="1"/>
  <c r="L148" i="1" s="1"/>
  <c r="H149" i="1"/>
  <c r="L149" i="1" s="1"/>
  <c r="H150" i="1"/>
  <c r="L150" i="1" s="1"/>
  <c r="H154" i="1"/>
  <c r="L154" i="1" s="1"/>
  <c r="H156" i="1"/>
  <c r="L156" i="1" s="1"/>
  <c r="H157" i="1"/>
  <c r="L157" i="1" s="1"/>
  <c r="H158" i="1"/>
  <c r="L158" i="1" s="1"/>
  <c r="H160" i="1"/>
  <c r="L160" i="1" s="1"/>
  <c r="H162" i="1"/>
  <c r="L162" i="1" s="1"/>
  <c r="H164" i="1"/>
  <c r="L164" i="1" s="1"/>
  <c r="H165" i="1"/>
  <c r="L165" i="1" s="1"/>
  <c r="H166" i="1"/>
  <c r="L166" i="1" s="1"/>
  <c r="H171" i="1"/>
  <c r="L171" i="1" s="1"/>
  <c r="H172" i="1"/>
  <c r="L172" i="1" s="1"/>
  <c r="H173" i="1"/>
  <c r="L173" i="1" s="1"/>
  <c r="H174" i="1"/>
  <c r="L174" i="1" s="1"/>
  <c r="H177" i="1"/>
  <c r="L177" i="1" s="1"/>
  <c r="H178" i="1"/>
  <c r="L178" i="1" s="1"/>
  <c r="H179" i="1"/>
  <c r="L179" i="1" s="1"/>
  <c r="H180" i="1"/>
  <c r="L180" i="1" s="1"/>
  <c r="H181" i="1"/>
  <c r="L181" i="1" s="1"/>
  <c r="H182" i="1"/>
  <c r="L182" i="1" s="1"/>
  <c r="H185" i="1"/>
  <c r="L185" i="1" s="1"/>
  <c r="H186" i="1"/>
  <c r="L186" i="1" s="1"/>
  <c r="K184" i="1" l="1"/>
  <c r="K30" i="1"/>
  <c r="K18" i="1"/>
  <c r="H29" i="1"/>
  <c r="L29" i="1" s="1"/>
  <c r="K20" i="1"/>
  <c r="H21" i="1"/>
  <c r="L21" i="1" s="1"/>
  <c r="H17" i="1"/>
  <c r="L17" i="1" s="1"/>
  <c r="L36" i="1"/>
  <c r="H163" i="1"/>
  <c r="L163" i="1" s="1"/>
  <c r="H152" i="1"/>
  <c r="L152" i="1" s="1"/>
  <c r="H131" i="1"/>
  <c r="L131" i="1" s="1"/>
  <c r="H120" i="1"/>
  <c r="L120" i="1" s="1"/>
  <c r="H99" i="1"/>
  <c r="L99" i="1" s="1"/>
  <c r="H88" i="1"/>
  <c r="L88" i="1" s="1"/>
  <c r="H67" i="1"/>
  <c r="L67" i="1" s="1"/>
  <c r="H56" i="1"/>
  <c r="L56" i="1" s="1"/>
  <c r="L46" i="1" s="1"/>
  <c r="H35" i="1"/>
  <c r="L35" i="1" s="1"/>
  <c r="H24" i="1"/>
  <c r="L24" i="1" s="1"/>
  <c r="K136" i="1"/>
  <c r="K115" i="1"/>
  <c r="K104" i="1"/>
  <c r="K83" i="1"/>
  <c r="K72" i="1"/>
  <c r="K51" i="1"/>
  <c r="K19" i="1"/>
  <c r="K168" i="1"/>
  <c r="K147" i="1"/>
  <c r="K40" i="1"/>
  <c r="K144" i="1"/>
  <c r="K112" i="1"/>
  <c r="K48" i="1"/>
  <c r="H8" i="1"/>
  <c r="L8" i="1" s="1"/>
  <c r="K176" i="1"/>
  <c r="K170" i="1" s="1"/>
  <c r="L184" i="1"/>
  <c r="K31" i="1"/>
  <c r="K97" i="1"/>
  <c r="K89" i="1"/>
  <c r="K81" i="1"/>
  <c r="K73" i="1"/>
  <c r="K65" i="1"/>
  <c r="K39" i="1"/>
  <c r="K11" i="1"/>
  <c r="K137" i="1"/>
  <c r="K129" i="1"/>
  <c r="K121" i="1"/>
  <c r="K113" i="1"/>
  <c r="K55" i="1"/>
  <c r="K47" i="1"/>
  <c r="H169" i="1"/>
  <c r="L169" i="1" s="1"/>
  <c r="H161" i="1"/>
  <c r="L161" i="1" s="1"/>
  <c r="H153" i="1"/>
  <c r="L153" i="1" s="1"/>
  <c r="H145" i="1"/>
  <c r="L145" i="1" s="1"/>
  <c r="H33" i="1"/>
  <c r="L33" i="1" s="1"/>
  <c r="H25" i="1"/>
  <c r="L25" i="1" s="1"/>
  <c r="H9" i="1"/>
  <c r="L9" i="1" s="1"/>
  <c r="K103" i="1"/>
  <c r="K95" i="1"/>
  <c r="K87" i="1"/>
  <c r="K79" i="1"/>
  <c r="K71" i="1"/>
  <c r="K63" i="1"/>
  <c r="K6" i="1"/>
  <c r="K135" i="1"/>
  <c r="K127" i="1"/>
  <c r="K119" i="1"/>
  <c r="K111" i="1"/>
  <c r="H175" i="1"/>
  <c r="L175" i="1" s="1"/>
  <c r="H159" i="1"/>
  <c r="L159" i="1" s="1"/>
  <c r="H143" i="1"/>
  <c r="L143" i="1" s="1"/>
  <c r="K167" i="1"/>
  <c r="K151" i="1"/>
  <c r="H183" i="1"/>
  <c r="L183" i="1" s="1"/>
  <c r="H15" i="1"/>
  <c r="L15" i="1" s="1"/>
  <c r="L11" i="1" s="1"/>
  <c r="H7" i="1"/>
  <c r="L7" i="1" s="1"/>
  <c r="L16" i="1" l="1"/>
  <c r="L57" i="1"/>
  <c r="L105" i="1"/>
  <c r="K23" i="1"/>
  <c r="K36" i="1"/>
  <c r="K16" i="1"/>
  <c r="L170" i="1"/>
  <c r="K46" i="1"/>
  <c r="K141" i="1"/>
  <c r="L23" i="1"/>
  <c r="L141" i="1"/>
  <c r="K57" i="1"/>
  <c r="L6" i="1"/>
  <c r="K105" i="1"/>
  <c r="L187" i="1" l="1"/>
</calcChain>
</file>

<file path=xl/sharedStrings.xml><?xml version="1.0" encoding="utf-8"?>
<sst xmlns="http://schemas.openxmlformats.org/spreadsheetml/2006/main" count="1854" uniqueCount="546">
  <si>
    <t>Obra</t>
  </si>
  <si>
    <t>Bancos</t>
  </si>
  <si>
    <t>B.D.I.</t>
  </si>
  <si>
    <t>Encargos Sociais</t>
  </si>
  <si>
    <t xml:space="preserve">SINAPI - 09/2025 - Paraíba
SBC - 10/2025 - Paraíba
SICRO3 - 07/2025 - Paraíba
ORSE - 05/2025 - Sergipe
</t>
  </si>
  <si>
    <t>27,89%</t>
  </si>
  <si>
    <t>Desonerado: embutido nos preços unitário dos insumos de mão de obra, de acordo com as bases.</t>
  </si>
  <si>
    <t xml:space="preserve"> 1 </t>
  </si>
  <si>
    <t xml:space="preserve">  </t>
  </si>
  <si>
    <t>SERVIÇOS PRELIMINARES</t>
  </si>
  <si>
    <t xml:space="preserve"> 1.1 </t>
  </si>
  <si>
    <t xml:space="preserve"> 103689 </t>
  </si>
  <si>
    <t>SINAPI</t>
  </si>
  <si>
    <t>FORNECIMENTO E INSTALAÇÃO DE PLACA DE OBRA COM CHAPA GALVANIZADA E ESTRUTURA DE MADEIRA. AF_03/2022_PS</t>
  </si>
  <si>
    <t>m²</t>
  </si>
  <si>
    <t xml:space="preserve"> 1.2 </t>
  </si>
  <si>
    <t xml:space="preserve"> 57 </t>
  </si>
  <si>
    <t>ORSE</t>
  </si>
  <si>
    <t>Barracão para escritório de obra porte grande s=53,24m2 com materiais novos</t>
  </si>
  <si>
    <t>un</t>
  </si>
  <si>
    <t xml:space="preserve"> 1.3 </t>
  </si>
  <si>
    <t xml:space="preserve"> 012095 </t>
  </si>
  <si>
    <t>SBC</t>
  </si>
  <si>
    <t>CONTAINER REFEITORIO 12.12x2,44x2.57 C/5 MESAS/BANCOS/PIA</t>
  </si>
  <si>
    <t>MES</t>
  </si>
  <si>
    <t xml:space="preserve"> 1.4 </t>
  </si>
  <si>
    <t xml:space="preserve"> 98459 </t>
  </si>
  <si>
    <t>TAPUME COM TELHA METÁLICA. AF_03/2024</t>
  </si>
  <si>
    <t xml:space="preserve"> 2 </t>
  </si>
  <si>
    <t>ADMINISTRAÇÃO LOCAL</t>
  </si>
  <si>
    <t xml:space="preserve"> 2.1 </t>
  </si>
  <si>
    <t xml:space="preserve"> 93567 </t>
  </si>
  <si>
    <t>ENGENHEIRO CIVIL DE OBRA PLENO COM ENCARGOS COMPLEMENTARES</t>
  </si>
  <si>
    <t xml:space="preserve"> 2.2 </t>
  </si>
  <si>
    <t xml:space="preserve"> 93572 </t>
  </si>
  <si>
    <t>ENCARREGADO GERAL DE OBRAS COM ENCARGOS COMPLEMENTARES</t>
  </si>
  <si>
    <t xml:space="preserve"> 2.3 </t>
  </si>
  <si>
    <t xml:space="preserve"> 94295 </t>
  </si>
  <si>
    <t>MESTRE DE OBRAS COM ENCARGOS COMPLEMENTARES</t>
  </si>
  <si>
    <t xml:space="preserve"> 2.4 </t>
  </si>
  <si>
    <t xml:space="preserve"> 73618 </t>
  </si>
  <si>
    <t>LOCACAO MENSAL DE ANDAIME METALICO TIPO FACHADEIRO, INCLUSIVE MONTAGEM</t>
  </si>
  <si>
    <t xml:space="preserve"> 3 </t>
  </si>
  <si>
    <t>SERVIÇOS DE DEMOLIÇÃO</t>
  </si>
  <si>
    <t xml:space="preserve"> 3.1 </t>
  </si>
  <si>
    <t xml:space="preserve"> 97626 </t>
  </si>
  <si>
    <t>DEMOLIÇÃO DE PILARES E VIGAS EM CONCRETO ARMADO, DE FORMA MANUAL, SEM REAPROVEITAMENTO. AF_09/2023</t>
  </si>
  <si>
    <t>m³</t>
  </si>
  <si>
    <t xml:space="preserve"> 3.2 </t>
  </si>
  <si>
    <t xml:space="preserve"> 97624 </t>
  </si>
  <si>
    <t>DEMOLIÇÃO DE ALVENARIA DE TIJOLO MACIÇO, DE FORMA MANUAL, SEM REAPROVEITAMENTO. AF_09/2023</t>
  </si>
  <si>
    <t xml:space="preserve"> 3.3 </t>
  </si>
  <si>
    <t xml:space="preserve"> 9743 </t>
  </si>
  <si>
    <t>Remoção de tesoura completa em madeira serrada, para telhados com vãos de 7m</t>
  </si>
  <si>
    <t xml:space="preserve"> 3.4 </t>
  </si>
  <si>
    <t xml:space="preserve"> 5915321 </t>
  </si>
  <si>
    <t>SICRO3</t>
  </si>
  <si>
    <t>Transporte com caminhão basculante de 14 m³ - rodovia pavimentada</t>
  </si>
  <si>
    <t>tkm</t>
  </si>
  <si>
    <t xml:space="preserve"> 3.5 </t>
  </si>
  <si>
    <t xml:space="preserve"> 100981 </t>
  </si>
  <si>
    <t>CARGA, MANOBRA E DESCARGA DE ENTULHO EM CAMINHÃO BASCULANTE 6 M³ - CARGA COM ESCAVADEIRA HIDRÁULICA (CAÇAMBA DE 0,80 M³ / 111 HP) E DESCARGA LIVRE (UNIDADE: M3). AF_07/2020</t>
  </si>
  <si>
    <t xml:space="preserve"> 3.6 </t>
  </si>
  <si>
    <t xml:space="preserve"> 74244/033 </t>
  </si>
  <si>
    <t>Próprio</t>
  </si>
  <si>
    <t>DESTINAÇÃO EM ATERRO SANITÁRIO</t>
  </si>
  <si>
    <t xml:space="preserve"> 4 </t>
  </si>
  <si>
    <t>MURO DE CONTORNO</t>
  </si>
  <si>
    <t xml:space="preserve"> 4.1 </t>
  </si>
  <si>
    <t xml:space="preserve"> 96527 </t>
  </si>
  <si>
    <t>ESCAVAÇÃO MANUAL PARA VIGA BALDRAME OU SAPATA CORRIDA (INCLUINDO ESCAVAÇÃO PARA COLOCAÇÃO DE FÔRMAS). AF_01/2024</t>
  </si>
  <si>
    <t xml:space="preserve"> 4.2 </t>
  </si>
  <si>
    <t xml:space="preserve"> 73361 </t>
  </si>
  <si>
    <t>CONCRETO CICLOPICO FCK=10MPA 30% PEDRA DE MAO INCLUSIVE LANCAMENTO</t>
  </si>
  <si>
    <t xml:space="preserve"> 4.3 </t>
  </si>
  <si>
    <t xml:space="preserve"> 73907/006 </t>
  </si>
  <si>
    <t>LASTRO DE CONCRETO, E=3CM, PREPARO MECÂNICO, INCLUSOS LANÇAMENTO E ADENSAMENTO</t>
  </si>
  <si>
    <t xml:space="preserve"> 4.4 </t>
  </si>
  <si>
    <t xml:space="preserve"> 73990/001 </t>
  </si>
  <si>
    <t>ARMACAO ACO CA-50 P/1,0M3 DE CONCRETO</t>
  </si>
  <si>
    <t>UN</t>
  </si>
  <si>
    <t xml:space="preserve"> 4.5 </t>
  </si>
  <si>
    <t xml:space="preserve"> 94964 </t>
  </si>
  <si>
    <t>CONCRETO FCK = 20MPA, TRAÇO 1:2,7:3 (EM MASSA SECA DE CIMENTO/ AREIA MÉDIA/ BRITA 1) - PREPARO MECÂNICO COM BETONEIRA 400 L. AF_05/2021</t>
  </si>
  <si>
    <t xml:space="preserve"> 4.6 </t>
  </si>
  <si>
    <t xml:space="preserve"> 103670 </t>
  </si>
  <si>
    <t>LANÇAMENTO COM USO DE BALDES, ADENSAMENTO E ACABAMENTO DE CONCRETO EM ESTRUTURAS. AF_02/2022</t>
  </si>
  <si>
    <t xml:space="preserve"> 4.7 </t>
  </si>
  <si>
    <t xml:space="preserve"> 73410 </t>
  </si>
  <si>
    <t>FORMA PLANA P/VIGA, PILAR E PAREDE EM CHAPA RESINADA E= 10 MM</t>
  </si>
  <si>
    <t xml:space="preserve"> 4.8 </t>
  </si>
  <si>
    <t xml:space="preserve"> 103353 </t>
  </si>
  <si>
    <t>ALVENARIA DE VEDAÇÃO DE BLOCOS CERÂMICOS FURADOS NA HORIZONTAL DE 9X14X24 CM (ESPESSURA 9 CM) E ARGAMASSA DE ASSENTAMENTO COM PREPARO MANUAL. AF_12/2021</t>
  </si>
  <si>
    <t xml:space="preserve"> 4.9 </t>
  </si>
  <si>
    <t xml:space="preserve"> 87893 </t>
  </si>
  <si>
    <t>CHAPISCO APLICADO EM ALVENARIA (SEM PRESENÇA DE VÃOS) E ESTRUTURAS DE CONCRETO DE FACHADA, COM COLHER DE PEDREIRO. ARGAMASSA TRAÇO 1:3 COM PREPARO MANUAL. AF_10/2022</t>
  </si>
  <si>
    <t xml:space="preserve"> 4.10 </t>
  </si>
  <si>
    <t xml:space="preserve"> 87777 </t>
  </si>
  <si>
    <t>EMBOÇO OU MASSA ÚNICA EM ARGAMASSA TRAÇO 1:2:8, PREPARO MANUAL, APLICADA MANUALMENTE EM PANOS DE FACHADA COM PRESENÇA DE VÃOS, ESPESSURA DE 25 MM. AF_08/2022</t>
  </si>
  <si>
    <t xml:space="preserve"> 4.11 </t>
  </si>
  <si>
    <t xml:space="preserve"> 88485 </t>
  </si>
  <si>
    <t>FUNDO SELADOR ACRÍLICO, APLICAÇÃO MANUAL EM PAREDE, UMA DEMÃO. AF_04/2023</t>
  </si>
  <si>
    <t xml:space="preserve"> 4.12 </t>
  </si>
  <si>
    <t xml:space="preserve"> 73415 </t>
  </si>
  <si>
    <t>PINTURA PVA, TRES DEMAOS</t>
  </si>
  <si>
    <t xml:space="preserve"> 5 </t>
  </si>
  <si>
    <t>URBANIZAÇÃO</t>
  </si>
  <si>
    <t xml:space="preserve"> 5.1 </t>
  </si>
  <si>
    <t xml:space="preserve"> 94264 </t>
  </si>
  <si>
    <t>GUIA (MEIO-FIO) CONCRETO, MOLDADA IN LOCO EM TRECHO CURVO COM EXTRUSORA, 13 CM BASE X 22 CM ALTURA. AF_01/2024</t>
  </si>
  <si>
    <t>M</t>
  </si>
  <si>
    <t xml:space="preserve"> 5.2 </t>
  </si>
  <si>
    <t xml:space="preserve"> 93679 </t>
  </si>
  <si>
    <t>EXECUÇÃO DE PASSEIO EM PISO INTERTRAVADO, COM BLOCO RETANGULAR COLORIDO DE 20 X 10 CM, ESPESSURA 6 CM. AF_10/2022</t>
  </si>
  <si>
    <t xml:space="preserve"> 5.3 </t>
  </si>
  <si>
    <t xml:space="preserve"> 73817/001 </t>
  </si>
  <si>
    <t>EMBASAMENTO DE MATERIAL GRANULAR - PO DE PEDRA</t>
  </si>
  <si>
    <t xml:space="preserve"> 5.4 </t>
  </si>
  <si>
    <t xml:space="preserve"> 85180 </t>
  </si>
  <si>
    <t>PLANTIO DE GRAMA ESMERALDA EM ROLO</t>
  </si>
  <si>
    <t xml:space="preserve"> 5.5 </t>
  </si>
  <si>
    <t xml:space="preserve"> 2394 </t>
  </si>
  <si>
    <t>Fornecimento e espalhamento de terra vegetal preparada</t>
  </si>
  <si>
    <t xml:space="preserve"> 5.6 </t>
  </si>
  <si>
    <t xml:space="preserve"> 13765 </t>
  </si>
  <si>
    <t>Banco em concreto medidas: 2,00 x 2,00 m, revestido em porcelanato amadeirado (assento) estrutura revestida em porcelanato cimento queimado, inclusive jardineira</t>
  </si>
  <si>
    <t xml:space="preserve"> 5.7 </t>
  </si>
  <si>
    <t xml:space="preserve"> 2411 </t>
  </si>
  <si>
    <t>Banco com encosto, compr=1,50m, largura=30cm, pé de ferro fundido e com 10 réguas de madeira, inclusive pintura</t>
  </si>
  <si>
    <t xml:space="preserve"> 5.8 </t>
  </si>
  <si>
    <t xml:space="preserve"> 00000042 </t>
  </si>
  <si>
    <t>BANCO DE CONCRETO EM ALVENARIA DE TIJOLOS, ASSENTO EM  CONCRETO ARMADO, SEM ENCOSTO, PINTADO COM TINTA ACRÍLICA, 2  DEMÃOS</t>
  </si>
  <si>
    <t xml:space="preserve"> 5.9 </t>
  </si>
  <si>
    <t xml:space="preserve"> 98511 </t>
  </si>
  <si>
    <t>PLANTIO DE ÁRVORE ORNAMENTAL COM ALTURA DE MUDA MAIOR QUE 2,00 M E MENOR OU IGUAL A 4,00 M . AF_07/2024</t>
  </si>
  <si>
    <t xml:space="preserve"> 6 </t>
  </si>
  <si>
    <t>ARCO - MONUMENTAL</t>
  </si>
  <si>
    <t xml:space="preserve"> 6.1 </t>
  </si>
  <si>
    <t xml:space="preserve"> 96523 </t>
  </si>
  <si>
    <t>ESCAVAÇÃO MANUAL PARA BLOCO DE COROAMENTO OU SAPATA (INCLUINDO ESCAVAÇÃO PARA COLOCAÇÃO DE FÔRMAS). AF_01/2024</t>
  </si>
  <si>
    <t xml:space="preserve"> 6.2 </t>
  </si>
  <si>
    <t xml:space="preserve"> 5970 </t>
  </si>
  <si>
    <t>FORMA TABUA PARA CONCRETO EM FUNDACAO, C/ REAPROVEITAMENTO 2X.</t>
  </si>
  <si>
    <t xml:space="preserve"> 6.3 </t>
  </si>
  <si>
    <t xml:space="preserve"> 96616 </t>
  </si>
  <si>
    <t>LASTRO DE CONCRETO MAGRO, APLICADO EM BLOCOS DE COROAMENTO OU SAPATAS. AF_01/2024</t>
  </si>
  <si>
    <t xml:space="preserve"> 6.4 </t>
  </si>
  <si>
    <t xml:space="preserve"> 95957 </t>
  </si>
  <si>
    <t>(COMPOSIÇÃO REPRESENTATIVA) EXECUÇÃO DE ESTRUTURAS DE CONCRETO ARMADO, PARA EDIFICAÇÃO INSTITUCIONAL TÉRREA, FCK = 25 MPA. AF_01/2017</t>
  </si>
  <si>
    <t xml:space="preserve"> 6.5 </t>
  </si>
  <si>
    <t xml:space="preserve"> 100014 </t>
  </si>
  <si>
    <t>ESTRUTURA ACO PERFIL METALICO (22,153kg/m2)</t>
  </si>
  <si>
    <t xml:space="preserve"> 6.6 </t>
  </si>
  <si>
    <t xml:space="preserve"> 040339 </t>
  </si>
  <si>
    <t>SOLDA FILETE PERFIL DE ACO I-PORTICO ESTRUTURAL SOLDADO</t>
  </si>
  <si>
    <t xml:space="preserve"> 6.7 </t>
  </si>
  <si>
    <t xml:space="preserve"> 023478 </t>
  </si>
  <si>
    <t>PINTURA ESMALTE 2 DEMAOS CAIXILHO DE FERRO C/ MASSA E ZARCAO</t>
  </si>
  <si>
    <t xml:space="preserve"> 6.8 </t>
  </si>
  <si>
    <t xml:space="preserve"> 121581 </t>
  </si>
  <si>
    <t>PAINEL COMPOSTO (ACM) E=4mm</t>
  </si>
  <si>
    <t xml:space="preserve"> 6.9 </t>
  </si>
  <si>
    <t xml:space="preserve"> 062432 </t>
  </si>
  <si>
    <t>PONTO TOMADA 300W ELETRODUTO PVC</t>
  </si>
  <si>
    <t xml:space="preserve"> 6.10 </t>
  </si>
  <si>
    <t xml:space="preserve"> 105548 </t>
  </si>
  <si>
    <t>PERFIL COM FITA LED - FORNECIMENTO E INSTALAÇÃO. AF_09/2024</t>
  </si>
  <si>
    <t xml:space="preserve"> 7 </t>
  </si>
  <si>
    <t>QUIOSQUES</t>
  </si>
  <si>
    <t xml:space="preserve"> 7.1 </t>
  </si>
  <si>
    <t xml:space="preserve"> 96526 </t>
  </si>
  <si>
    <t>ESCAVAÇÃO MANUAL PARA VIGA BALDRAME OU SAPATA CORRIDA (SEM ESCAVAÇÃO PARA COLOCAÇÃO DE FÔRMAS). AF_01/2024</t>
  </si>
  <si>
    <t xml:space="preserve"> 7.2 </t>
  </si>
  <si>
    <t xml:space="preserve"> 7.3 </t>
  </si>
  <si>
    <t xml:space="preserve"> 7.4 </t>
  </si>
  <si>
    <t xml:space="preserve"> 7.5 </t>
  </si>
  <si>
    <t xml:space="preserve"> 7.6 </t>
  </si>
  <si>
    <t xml:space="preserve"> 92806 </t>
  </si>
  <si>
    <t>CORTE E DOBRA DE AÇO CA-50, DIÂMETRO DE 20,0 MM. AF_06/2022</t>
  </si>
  <si>
    <t>KG</t>
  </si>
  <si>
    <t xml:space="preserve"> 7.7 </t>
  </si>
  <si>
    <t xml:space="preserve"> 103350 </t>
  </si>
  <si>
    <t>ALVENARIA DE VEDAÇÃO DE BLOCOS CERÂMICOS FURADOS NA HORIZONTAL DE 9X9X19 CM (ESPESSURA 9 CM) E ARGAMASSA DE ASSENTAMENTO COM PREPARO EM BETONEIRA. AF_12/2021</t>
  </si>
  <si>
    <t xml:space="preserve"> 7.8 </t>
  </si>
  <si>
    <t xml:space="preserve"> 87878 </t>
  </si>
  <si>
    <t>CHAPISCO APLICADO EM ALVENARIAS E ESTRUTURAS DE CONCRETO INTERNAS, COM COLHER DE PEDREIRO. ARGAMASSA TRAÇO 1:3 COM PREPARO MANUAL. AF_10/2022</t>
  </si>
  <si>
    <t xml:space="preserve"> 7.9 </t>
  </si>
  <si>
    <t xml:space="preserve"> 75481 </t>
  </si>
  <si>
    <t>REBOCO ARGAMASSA TRACO 1:2 (CAL E AREIA FINA PENEIRADA), ESPESSURA 0,5CM, PREPARO MANUAL DA ARGAMASSA</t>
  </si>
  <si>
    <t xml:space="preserve"> 7.10 </t>
  </si>
  <si>
    <t xml:space="preserve"> 105024 </t>
  </si>
  <si>
    <t>VERGA MOLDADA IN LOCO EM CONCRETO, ESPESSURA DE *10* CM. AF_03/2024</t>
  </si>
  <si>
    <t xml:space="preserve"> 7.11 </t>
  </si>
  <si>
    <t xml:space="preserve"> 90944 </t>
  </si>
  <si>
    <t>CONTRAPISO ACÚSTICO EM ARGAMASSA PRONTA, PREPARO MANUAL, APLICADO EM ÁREAS SECA, ACABAMENTO NÃO REFORÇADO, ESPESSURA 6CM. AF_07/2021</t>
  </si>
  <si>
    <t xml:space="preserve"> 7.12 </t>
  </si>
  <si>
    <t xml:space="preserve"> 84191 </t>
  </si>
  <si>
    <t>PISO EM GRANILITE, MARMORITE OU GRANITINA ESPESSURA 8 MM, INCLUSO JUNTAS DE DILATACAO PLASTICAS</t>
  </si>
  <si>
    <t xml:space="preserve"> 7.13 </t>
  </si>
  <si>
    <t xml:space="preserve"> 210105 </t>
  </si>
  <si>
    <t>POLIMENTO PISOS GRANITO</t>
  </si>
  <si>
    <t xml:space="preserve"> 7.14 </t>
  </si>
  <si>
    <t xml:space="preserve"> 130324 </t>
  </si>
  <si>
    <t>RODAPE MARMORITE OU GRANILITE</t>
  </si>
  <si>
    <t xml:space="preserve"> 7.15 </t>
  </si>
  <si>
    <t xml:space="preserve"> 210032 </t>
  </si>
  <si>
    <t>POLIMENTO RODAPES GRANITO</t>
  </si>
  <si>
    <t xml:space="preserve"> 7.16 </t>
  </si>
  <si>
    <t xml:space="preserve"> 86888 </t>
  </si>
  <si>
    <t>VASO SANITÁRIO SIFONADO COM CAIXA ACOPLADA LOUÇA BRANCA - FORNECIMENTO E INSTALAÇÃO. AF_01/2020</t>
  </si>
  <si>
    <t xml:space="preserve"> 7.17 </t>
  </si>
  <si>
    <t xml:space="preserve"> 86889 </t>
  </si>
  <si>
    <t>BANCADA DE GRANITO CINZA POLIDO, DE 1,50 X 0,60 M, PARA PIA DE COZINHA - FORNECIMENTO E INSTALAÇÃO. AF_01/2020</t>
  </si>
  <si>
    <t xml:space="preserve"> 7.18 </t>
  </si>
  <si>
    <t xml:space="preserve"> 86936 </t>
  </si>
  <si>
    <t>CUBA DE EMBUTIR DE AÇO INOXIDÁVEL MÉDIA, INCLUSO VÁLVULA TIPO AMERICANA E SIFÃO TIPO GARRAFA EM METAL CROMADO - FORNECIMENTO E INSTALAÇÃO. AF_01/2020</t>
  </si>
  <si>
    <t xml:space="preserve"> 7.19 </t>
  </si>
  <si>
    <t xml:space="preserve"> 86941 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</si>
  <si>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</si>
  <si>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 xml:space="preserve"> 7.20 </t>
  </si>
  <si>
    <t xml:space="preserve"> 104679 </t>
  </si>
  <si>
    <t>CONJUNTO DE PONTOS DE COLETA DE ESGOTO PARA ÁREA DE SERVIÇO (RAMAL DE ESGOTO SANITÁRIO), EM PVC SÉRIE NORMAL, COM  TUBOS, CONEXÕES, RALOS, CAIXAS SIFONADAS, CORTES E FIXAÇÕES EM PRÉDIO. AF_05/2023_PA</t>
  </si>
  <si>
    <t xml:space="preserve"> 7.21 </t>
  </si>
  <si>
    <t xml:space="preserve"> 96718 </t>
  </si>
  <si>
    <t>TUBO, PPR, DN 20 MM, CLASSE PN 20, INSTALADO EM RESERVAÇÃO PREDIAL DE ÁGUA - FORNECIMENTO E INSTALAÇÃO. AF_04/2024</t>
  </si>
  <si>
    <t xml:space="preserve"> 7.22 </t>
  </si>
  <si>
    <t xml:space="preserve"> 96647 </t>
  </si>
  <si>
    <t>TUBO, PPR, DN 25, CLASSE PN 25, INSTALADO EM RAMAL DE DISTRIBUIÇÃO DE ÁGUA FORNECIMENTO E INSTALAÇÃO. AF_08/2022</t>
  </si>
  <si>
    <t xml:space="preserve"> 7.23 </t>
  </si>
  <si>
    <t xml:space="preserve"> 72711 </t>
  </si>
  <si>
    <t>REGISTRO GAVETA 1/2" BRUTO LATAO - FORNECIMENTO E INSTALACAO</t>
  </si>
  <si>
    <t xml:space="preserve"> 7.24 </t>
  </si>
  <si>
    <t xml:space="preserve"> 72289 </t>
  </si>
  <si>
    <t>CAIXA DE INSPEÇÃO 80X80X80CM EM ALVENARIA - EXECUÇÃO</t>
  </si>
  <si>
    <t xml:space="preserve"> 7.25 </t>
  </si>
  <si>
    <t xml:space="preserve"> 98110 </t>
  </si>
  <si>
    <t>CAIXA DE GORDURA PEQUENA (CAPACIDADE: 19 L), CIRCULAR, EM PVC, DIÂMETRO INTERNO= 0,3 M. AF_12/2020</t>
  </si>
  <si>
    <t xml:space="preserve"> 7.26 </t>
  </si>
  <si>
    <t xml:space="preserve"> 83670 </t>
  </si>
  <si>
    <t>TUBO PVC DN 75 MM PARA DRENAGEM - FORNECIMENTO E INSTALACAO</t>
  </si>
  <si>
    <t xml:space="preserve"> 7.27 </t>
  </si>
  <si>
    <t xml:space="preserve"> 101872 </t>
  </si>
  <si>
    <t>QUADRO DE DISTRIBUIÇÃO DE LUZ EM PVC PARA 8 DISJUNTORES - FORNECIMENTO E INSTALAÇÃO. AF_07/2025</t>
  </si>
  <si>
    <t xml:space="preserve"> 7.28 </t>
  </si>
  <si>
    <t xml:space="preserve"> 93137 </t>
  </si>
  <si>
    <t>PONTO DE ILUMINAÇÃO RESIDENCIAL INCLUINDO INTERRUPTOR SIMPLES (2 MÓDULOS), CAIXA ELÉTRICA, ELETRODUTO, CABO, RASGO, QUEBRA E CHUMBAMENTO (EXCLUINDO LUMINÁRIA E LÂMPADA). AF_01/2016</t>
  </si>
  <si>
    <t xml:space="preserve"> 7.29 </t>
  </si>
  <si>
    <t xml:space="preserve"> 93141 </t>
  </si>
  <si>
    <t>PONTO DE TOMADA RESIDENCIAL INCLUINDO TOMADA 10A/250V, CAIXA ELÉTRICA, ELETRODUTO, CABO, RASGO, QUEBRA E CHUMBAMENTO. AF_01/2016</t>
  </si>
  <si>
    <t xml:space="preserve"> 7.30 </t>
  </si>
  <si>
    <t xml:space="preserve"> 93143 </t>
  </si>
  <si>
    <t>PONTO DE TOMADA RESIDENCIAL INCLUINDO TOMADA 20A/250V, CAIXA ELÉTRICA, ELETRODUTO, CABO, RASGO, QUEBRA E CHUMBAMENTO. AF_01/2016</t>
  </si>
  <si>
    <t xml:space="preserve"> 7.31 </t>
  </si>
  <si>
    <t xml:space="preserve"> 72934 </t>
  </si>
  <si>
    <t>ELETRODUTO DE PVC FLEXIVEL CORRUGADO DN 20MM (3/4") FORNECIMENTO E INSTALACAO</t>
  </si>
  <si>
    <t xml:space="preserve"> 7.32 </t>
  </si>
  <si>
    <t xml:space="preserve"> 72252 </t>
  </si>
  <si>
    <t>CABO DE COBRE NU 25MM2 - FORNECIMENTO E INSTALACAO</t>
  </si>
  <si>
    <t xml:space="preserve"> 7.33 </t>
  </si>
  <si>
    <t xml:space="preserve"> 96989 </t>
  </si>
  <si>
    <t>CAPTOR TIPO FRANKLIN PARA SPDA - FORNECIMENTO E INSTALAÇÃO. AF_08/2023</t>
  </si>
  <si>
    <t xml:space="preserve"> 7.34 </t>
  </si>
  <si>
    <t xml:space="preserve"> 96988 </t>
  </si>
  <si>
    <t>MASTRO 1 ½", COM 3 METROS, PARA SPDA - FORNECIMENTO E INSTALAÇÃO. AF_08/2023</t>
  </si>
  <si>
    <t xml:space="preserve"> 7.35 </t>
  </si>
  <si>
    <t xml:space="preserve"> 105541 </t>
  </si>
  <si>
    <t>LUMINÁRIA TIPO CALHA, DE SOBREPOR, COM 2 LÂMPADAS TUBULARES LED DE 9 W SEM REATOR - FORNECIMENTO E INSTALAÇÃO. AF_09/2024</t>
  </si>
  <si>
    <t xml:space="preserve"> 7.36 </t>
  </si>
  <si>
    <t xml:space="preserve"> 105920 </t>
  </si>
  <si>
    <t>LUMINÁRIA REFLETOR LED PARA ILUMINAÇÃO PÚBLICA, 50 W - FORNECIMENTO E INSTALAÇÃO. AF_02/2025</t>
  </si>
  <si>
    <t xml:space="preserve"> 7.37 </t>
  </si>
  <si>
    <t xml:space="preserve"> 88415 </t>
  </si>
  <si>
    <t>APLICAÇÃO MANUAL DE FUNDO SELADOR ACRÍLICO EM PAREDES EXTERNAS DE CASAS. AF_03/2024</t>
  </si>
  <si>
    <t xml:space="preserve"> 7.38 </t>
  </si>
  <si>
    <t xml:space="preserve"> 7.39 </t>
  </si>
  <si>
    <t xml:space="preserve"> 95634 </t>
  </si>
  <si>
    <t>KIT CAVALETE PARA MEDIÇÃO DE ÁGUA - ENTRADA PRINCIPAL, EM PVC 20 MM (1/2") - FORNECIMENTO E INSTALAÇÃO (EXCLUSIVE HIDRÔMETRO). AF_03/2024</t>
  </si>
  <si>
    <t xml:space="preserve"> 7.40 </t>
  </si>
  <si>
    <t xml:space="preserve"> 9540 </t>
  </si>
  <si>
    <t>ENTRADA DE ENERGIA ELÉTRICA AÉREA MONOFÁSICA 50A COM POSTE DE CONCRETO, INCLUSIVE CABEAMENTO, CAIXA DE PROTEÇÃO PARA MEDIDOR E ATERRAMENTO.</t>
  </si>
  <si>
    <t xml:space="preserve"> 7.41 </t>
  </si>
  <si>
    <t xml:space="preserve"> 88497 </t>
  </si>
  <si>
    <t>EMASSAMENTO COM MASSA LÁTEX, APLICAÇÃO EM PAREDE, DUAS DEMÃOS, LIXAMENTO MANUAL. AF_04/2023</t>
  </si>
  <si>
    <t xml:space="preserve"> 7.42 </t>
  </si>
  <si>
    <t xml:space="preserve"> 100195 </t>
  </si>
  <si>
    <t>COBERTURA TELHA CERAMICA ROMANA 4 AGUAS+ESTRUTURA MADEIRA</t>
  </si>
  <si>
    <t xml:space="preserve"> 7.43 </t>
  </si>
  <si>
    <t xml:space="preserve"> 104756 </t>
  </si>
  <si>
    <t>FORRO EM MADEIRA PINUS, PARA AMBIENTES RESIDENCIAIS E COMERCIAIS, INCLUSIVE ESTRUTURA BIDIRECIONAL DE FIXAÇÃO. AF_08/2023</t>
  </si>
  <si>
    <t xml:space="preserve"> 7.44 </t>
  </si>
  <si>
    <t xml:space="preserve"> 023391 </t>
  </si>
  <si>
    <t>FORNECIMENTO PORTA ALUMINIO UMA FOLHA DE ABRIR</t>
  </si>
  <si>
    <t xml:space="preserve"> 7.45 </t>
  </si>
  <si>
    <t xml:space="preserve"> 112180 </t>
  </si>
  <si>
    <t>JANELA DE CORRER EM ALUMINIO NATURAL</t>
  </si>
  <si>
    <t xml:space="preserve"> 7.46 </t>
  </si>
  <si>
    <t xml:space="preserve"> 023691 </t>
  </si>
  <si>
    <t>FECHADURA PORTA ALUMINIO PADRAO LUXO-LINHA NYLON</t>
  </si>
  <si>
    <t xml:space="preserve"> 7.47 </t>
  </si>
  <si>
    <t xml:space="preserve"> 140202 </t>
  </si>
  <si>
    <t>FECHADURA JANELA DE ALUMÍNIO</t>
  </si>
  <si>
    <t xml:space="preserve"> 8 </t>
  </si>
  <si>
    <t>VESTIÁRIOS</t>
  </si>
  <si>
    <t xml:space="preserve"> 8.1 </t>
  </si>
  <si>
    <t xml:space="preserve"> 8.2 </t>
  </si>
  <si>
    <t xml:space="preserve"> 94342 </t>
  </si>
  <si>
    <t>ATERRO MANUAL DE VALAS COM AREIA PARA ATERRO. AF_08/2023</t>
  </si>
  <si>
    <t xml:space="preserve"> 8.3 </t>
  </si>
  <si>
    <t xml:space="preserve"> 040452 </t>
  </si>
  <si>
    <t>CONC.USIN.MEC LAJE MACICA 30MPA 10M2 FOR.PLAST 17MM + ARMAD</t>
  </si>
  <si>
    <t xml:space="preserve"> 8.4 </t>
  </si>
  <si>
    <t xml:space="preserve"> 96619 </t>
  </si>
  <si>
    <t>LASTRO DE CONCRETO MAGRO, APLICADO EM BLOCOS DE COROAMENTO OU SAPATAS, ESPESSURA DE 5 CM. AF_01/2024</t>
  </si>
  <si>
    <t xml:space="preserve"> 8.5 </t>
  </si>
  <si>
    <t xml:space="preserve"> 040343 </t>
  </si>
  <si>
    <t>CONCRETO ESTRUTURAL USINADO 25MPa-PILARES+FORMAS+ARMACOES - BALDRAME</t>
  </si>
  <si>
    <t xml:space="preserve"> 8.6 </t>
  </si>
  <si>
    <t>CONCRETO ESTRUTURAL USINADO 25MPa-PILARES+FORMAS+ARMACOES - COLUNAS</t>
  </si>
  <si>
    <t xml:space="preserve"> 8.7 </t>
  </si>
  <si>
    <t>CONCRETO ESTRUTURAL USINADO 25MPa-PILARES+FORMAS+ARMACOES - VIGAS</t>
  </si>
  <si>
    <t xml:space="preserve"> 8.8 </t>
  </si>
  <si>
    <t xml:space="preserve"> 103332 </t>
  </si>
  <si>
    <t>ALVENARIA DE VEDAÇÃO DE BLOCOS CERÂMICOS FURADOS NA HORIZONTAL DE 9X14X19 CM (ESPESSURA 9 CM) E ARGAMASSA DE ASSENTAMENTO COM PREPARO EM BETONEIRA. AF_12/2021</t>
  </si>
  <si>
    <t xml:space="preserve"> 8.9 </t>
  </si>
  <si>
    <t xml:space="preserve"> 120047 </t>
  </si>
  <si>
    <t>CHAPISCO, EMBOCO E REBOCO PREFABRICADOS EM PAREDES</t>
  </si>
  <si>
    <t xml:space="preserve"> 8.10 </t>
  </si>
  <si>
    <t xml:space="preserve"> 00000038 </t>
  </si>
  <si>
    <t>REVESTIMENTO CERÂMICO PARA PAREDES INTERNAS COM PLACAS TIPO  ESMALTADA EXTRA DE DIMENSÕES 10X10 CM APLICADAS EM AMBIENTES  DE ÁREA MAIOR QUE 5 M² NA ALTURA INTEIRA DAS PAREDES.</t>
  </si>
  <si>
    <t>M²</t>
  </si>
  <si>
    <t xml:space="preserve"> 8.11 </t>
  </si>
  <si>
    <t xml:space="preserve"> 180109 </t>
  </si>
  <si>
    <t>PINTURA ACRILICA 2 DEMAOS SOBRE PAREDE PREPARADA</t>
  </si>
  <si>
    <t xml:space="preserve"> 8.12 </t>
  </si>
  <si>
    <t xml:space="preserve"> 180018 </t>
  </si>
  <si>
    <t>PINTURA COM SELADOR PARA TINTA ACRILICA</t>
  </si>
  <si>
    <t xml:space="preserve"> 8.13 </t>
  </si>
  <si>
    <t xml:space="preserve"> 171351 </t>
  </si>
  <si>
    <t>CONTRAPISO ARGAMASSA PREFABRICADA QUALIMASSA 4,0cm</t>
  </si>
  <si>
    <t xml:space="preserve"> 8.14 </t>
  </si>
  <si>
    <t xml:space="preserve"> 170262 </t>
  </si>
  <si>
    <t>PISO CERAMICO 45X45CM CARGO PLUS BONE ELIANE</t>
  </si>
  <si>
    <t xml:space="preserve"> 8.15 </t>
  </si>
  <si>
    <t xml:space="preserve"> 96116 </t>
  </si>
  <si>
    <t>FORRO EM RÉGUAS DE PVC, FRISADO, PARA AMBIENTES COMERCIAIS, INCLUSIVE ESTRUTURA BIDIRECIONAL DE FIXAÇÃO. AF_08/2023_PS</t>
  </si>
  <si>
    <t xml:space="preserve"> 8.16 </t>
  </si>
  <si>
    <t xml:space="preserve"> 110099 </t>
  </si>
  <si>
    <t>PORTA COMPLETA MADEIRA 1 FL.0,80x2,10m</t>
  </si>
  <si>
    <t xml:space="preserve"> 8.17 </t>
  </si>
  <si>
    <t xml:space="preserve"> 190466 </t>
  </si>
  <si>
    <t>PORTA DE VIDRO TEMPERADO 0,55x1,80m BOX CHUVEIRO WC</t>
  </si>
  <si>
    <t xml:space="preserve"> 8.18 </t>
  </si>
  <si>
    <t xml:space="preserve"> 190377 </t>
  </si>
  <si>
    <t>MICTORIO SIFAO ECO BRANCO CELITE</t>
  </si>
  <si>
    <t xml:space="preserve"> 8.19 </t>
  </si>
  <si>
    <t xml:space="preserve"> 100878 </t>
  </si>
  <si>
    <t>VASO SANITÁRIO SIFONADO COM CAIXA ACOPLADA, LOUÇA BRANCA - PADRÃO ALTO - FORNECIMENTO E INSTALAÇÃO. AF_01/2020</t>
  </si>
  <si>
    <t xml:space="preserve"> 8.20 </t>
  </si>
  <si>
    <t xml:space="preserve"> 190331 </t>
  </si>
  <si>
    <t>CHUVEIRO PLASTICO EM PVC RIGIDO COM ARTICULACAO CROMADA 1/2""</t>
  </si>
  <si>
    <t xml:space="preserve"> 8.21 </t>
  </si>
  <si>
    <t xml:space="preserve"> 190196 </t>
  </si>
  <si>
    <t>LAVATORIO SUSPENSO ECO 40C30CM CELITE COM METAIS</t>
  </si>
  <si>
    <t xml:space="preserve"> 8.22 </t>
  </si>
  <si>
    <t xml:space="preserve"> 190429 </t>
  </si>
  <si>
    <t>BANCADA EM GRANITO CINZA ANDORINHA</t>
  </si>
  <si>
    <t xml:space="preserve"> 8.23 </t>
  </si>
  <si>
    <t xml:space="preserve"> 052661 </t>
  </si>
  <si>
    <t>PTO AGUA FRIA PVC ROSCA PARA FILTRO + ABERT E CHUMB RASGO</t>
  </si>
  <si>
    <t xml:space="preserve"> 8.24 </t>
  </si>
  <si>
    <t xml:space="preserve"> CPU.02 </t>
  </si>
  <si>
    <t>PONTO DE ESGOTO DN 50</t>
  </si>
  <si>
    <t>UND</t>
  </si>
  <si>
    <t xml:space="preserve"> 8.25 </t>
  </si>
  <si>
    <t xml:space="preserve"> CPU.03 </t>
  </si>
  <si>
    <t>PONTO DE ESGOTO DN 100</t>
  </si>
  <si>
    <t xml:space="preserve"> 8.26 </t>
  </si>
  <si>
    <t xml:space="preserve"> 052376 </t>
  </si>
  <si>
    <t>TUBO PVC SOLDAVEL 50mm</t>
  </si>
  <si>
    <t xml:space="preserve"> 8.27 </t>
  </si>
  <si>
    <t xml:space="preserve"> 1029 </t>
  </si>
  <si>
    <t>Tubo pvc rígido soldável marrom p/ água, d = 32 mm (1")</t>
  </si>
  <si>
    <t>m</t>
  </si>
  <si>
    <t xml:space="preserve"> 8.28 </t>
  </si>
  <si>
    <t xml:space="preserve"> 053302 </t>
  </si>
  <si>
    <t>TUBO PVC ESGOTO COM ANEL DE BORRACHA 75mm</t>
  </si>
  <si>
    <t xml:space="preserve"> 8.29 </t>
  </si>
  <si>
    <t xml:space="preserve"> 89800 </t>
  </si>
  <si>
    <t>TUBO PVC, SERIE NORMAL, ESGOTO PREDIAL, DN 100 MM, FORNECIDO E INSTALADO EM PRUMADA DE ESGOTO SANITÁRIO OU VENTILAÇÃO. AF_08/2022</t>
  </si>
  <si>
    <t xml:space="preserve"> 8.30 </t>
  </si>
  <si>
    <t xml:space="preserve"> 011 </t>
  </si>
  <si>
    <t>LUMINÁRIA TIPO PLAFON, DE SOBREPOR, COM 1 LÂMPADA LED DE 32 W - FORNECIMENTO E INSTALAÇÃO</t>
  </si>
  <si>
    <t xml:space="preserve"> 8.31 </t>
  </si>
  <si>
    <t xml:space="preserve"> 062191 </t>
  </si>
  <si>
    <t>TOMADA CORRENTE EMBUTIR 2P+T 15A-250V</t>
  </si>
  <si>
    <t xml:space="preserve"> 8.32 </t>
  </si>
  <si>
    <t xml:space="preserve"> 062003 </t>
  </si>
  <si>
    <t>INTERRUPTOR 3 TECLAS SIMPLES COM PLACA SERIE MODULARE FAME</t>
  </si>
  <si>
    <t xml:space="preserve"> 8.33 </t>
  </si>
  <si>
    <t xml:space="preserve"> 470 </t>
  </si>
  <si>
    <t>Interruptor 01 seção, com caixa pvc 4"x2"</t>
  </si>
  <si>
    <t xml:space="preserve"> 8.34 </t>
  </si>
  <si>
    <t xml:space="preserve"> 8466 </t>
  </si>
  <si>
    <t>Cabo de cobre PP Cordplast 2 x 1,5 mm2, 450/750v</t>
  </si>
  <si>
    <t xml:space="preserve"> 8.35 </t>
  </si>
  <si>
    <t xml:space="preserve"> 5023 </t>
  </si>
  <si>
    <t>Cabo de cobre PP Cordplast 2 x 2,5 mm2, 450/750v - fornecimento</t>
  </si>
  <si>
    <t xml:space="preserve"> 9 </t>
  </si>
  <si>
    <t>ARQUIBANCADA / TORRE</t>
  </si>
  <si>
    <t xml:space="preserve"> 9.1 </t>
  </si>
  <si>
    <t xml:space="preserve"> 172010 </t>
  </si>
  <si>
    <t>ESCAVACAO MANUAL TERRENO 1a CATEGORIA</t>
  </si>
  <si>
    <t xml:space="preserve"> 9.2 </t>
  </si>
  <si>
    <t xml:space="preserve"> 9.3 </t>
  </si>
  <si>
    <t>CONCRETO ESTRUTURAL USINADO 25MPa-PILARES+FORMAS+ARMACOES  - VIGAS BALDRAME</t>
  </si>
  <si>
    <t xml:space="preserve"> 9.4 </t>
  </si>
  <si>
    <t>CONCRETO ESTRUTURAL USINADO 25MPa-PILARES+FORMAS+ARMACOES - PILARES</t>
  </si>
  <si>
    <t xml:space="preserve"> 9.5 </t>
  </si>
  <si>
    <t>CONCRETO ESTRUTURAL USINADO 25MPa-PILARES+FORMAS+ARMACOES - VIGAS LONGITUDINAIS</t>
  </si>
  <si>
    <t xml:space="preserve"> 9.6 </t>
  </si>
  <si>
    <t>CONCRETO ESTRUTURAL USINADO 25MPa-PILARES+FORMAS+ARMACOES - VIGAS TRANSVERSAIS</t>
  </si>
  <si>
    <t xml:space="preserve"> 9.7 </t>
  </si>
  <si>
    <t xml:space="preserve"> 020085 </t>
  </si>
  <si>
    <t>ATERRO COMPACTADO MEIO MANUAL COM SAIBRO/ARENOSO - ATERRO ARQUIBANCADAS</t>
  </si>
  <si>
    <t xml:space="preserve"> 9.8 </t>
  </si>
  <si>
    <t xml:space="preserve"> 1107896 </t>
  </si>
  <si>
    <t>Concreto fck = 25 MPa - confecção em betoneira e lançamento manual - areia e brita comerciais - Laje degraus</t>
  </si>
  <si>
    <t xml:space="preserve"> 9.9 </t>
  </si>
  <si>
    <t xml:space="preserve"> 171350 </t>
  </si>
  <si>
    <t>REGULARIZACAO PISO ARGAMASSA PREFABRICADA QUALIMASSA 3,0cm</t>
  </si>
  <si>
    <t xml:space="preserve"> 9.10 </t>
  </si>
  <si>
    <t xml:space="preserve"> 104162 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</si>
  <si>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</si>
  <si>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 xml:space="preserve"> 9.11 </t>
  </si>
  <si>
    <t xml:space="preserve"> 170485 </t>
  </si>
  <si>
    <t>PISO CERAMICO 45X45CM CARGO PLUS WHITE ACETINADO ELIANE</t>
  </si>
  <si>
    <t xml:space="preserve"> 9.12 </t>
  </si>
  <si>
    <t xml:space="preserve"> 090036 </t>
  </si>
  <si>
    <t>ALVENARIA TIJOLO FURADO 9x19x19cm ESP.10cm-CIMENTO/SAIBRO 1:8</t>
  </si>
  <si>
    <t xml:space="preserve"> 9.13 </t>
  </si>
  <si>
    <t xml:space="preserve"> 88489 </t>
  </si>
  <si>
    <t>PINTURA LÁTEX ACRÍLICA PREMIUM, APLICAÇÃO MANUAL EM PAREDES, DUAS DEMÃOS. AF_04/2023</t>
  </si>
  <si>
    <t xml:space="preserve"> 9.14 </t>
  </si>
  <si>
    <t xml:space="preserve"> 00000022 </t>
  </si>
  <si>
    <t>REVESTIMENTO CERÂMICO PARA PAREDES EXTERNAS EM PASTILHAS DE 10 X 10 CM (PLACAS DE 30 X 30 CM), ALINHADAS A PRUMO, APLICADO EM PANOS</t>
  </si>
  <si>
    <t xml:space="preserve"> 9.15 </t>
  </si>
  <si>
    <t xml:space="preserve"> 9.16 </t>
  </si>
  <si>
    <t xml:space="preserve"> 9.17 </t>
  </si>
  <si>
    <t xml:space="preserve"> 016 </t>
  </si>
  <si>
    <t>LUMINÁRIA PLAFON 50W LED SOBREPOR - FORNECIMENTO E INSTALAÇÃO</t>
  </si>
  <si>
    <t xml:space="preserve"> 9.18 </t>
  </si>
  <si>
    <t xml:space="preserve"> 061550 </t>
  </si>
  <si>
    <t>ELETRODUTO FLEXIVEL SEALTUBE 3/4""</t>
  </si>
  <si>
    <t xml:space="preserve"> 9.19 </t>
  </si>
  <si>
    <t xml:space="preserve"> 023470 </t>
  </si>
  <si>
    <t>CABO FLEXIVEL TERMOPLASTICO 2,5mm 450/750W</t>
  </si>
  <si>
    <t xml:space="preserve"> 9.20 </t>
  </si>
  <si>
    <t xml:space="preserve"> 9.21 </t>
  </si>
  <si>
    <t xml:space="preserve"> 9.22 </t>
  </si>
  <si>
    <t xml:space="preserve"> 059263 </t>
  </si>
  <si>
    <t>ELETRODUTO PVC RIGIDO 1""</t>
  </si>
  <si>
    <t xml:space="preserve"> 9.23 </t>
  </si>
  <si>
    <t xml:space="preserve"> 063402 </t>
  </si>
  <si>
    <t>CABO FLEXIVEL CLASSE 4 OU 5 1KV 1 CONDUTOR 4,0mm2</t>
  </si>
  <si>
    <t xml:space="preserve"> 9.24 </t>
  </si>
  <si>
    <t xml:space="preserve"> 063511 </t>
  </si>
  <si>
    <t>CABO PP 3 CONDUTORES 450/750V 1,50mm2</t>
  </si>
  <si>
    <t xml:space="preserve"> 9.25 </t>
  </si>
  <si>
    <t xml:space="preserve"> 063204 </t>
  </si>
  <si>
    <t>CABO AFUMEX SOLAR 1kV 1 CONDUTOR 10,0mm2</t>
  </si>
  <si>
    <t xml:space="preserve"> 9.26 </t>
  </si>
  <si>
    <t xml:space="preserve"> 064202 </t>
  </si>
  <si>
    <t>QUADRO DISTRIBUICAO 12 DISJUNTORES 100A+BARRAMENTO</t>
  </si>
  <si>
    <t xml:space="preserve"> 9.27 </t>
  </si>
  <si>
    <t xml:space="preserve"> 9.28 </t>
  </si>
  <si>
    <t xml:space="preserve"> 10 </t>
  </si>
  <si>
    <t>TORRES DE ILUMINAÇÃO</t>
  </si>
  <si>
    <t xml:space="preserve"> 10.1 </t>
  </si>
  <si>
    <t xml:space="preserve"> 10.2 </t>
  </si>
  <si>
    <t xml:space="preserve"> 10.3 </t>
  </si>
  <si>
    <t>CONCRETO ESTRUTURAL USINADO 25MPa-PILARES+FORMAS+ARMACOES</t>
  </si>
  <si>
    <t xml:space="preserve"> 10.4 </t>
  </si>
  <si>
    <t xml:space="preserve"> 069054 </t>
  </si>
  <si>
    <t>POSTE ACO CONICO TUBULAR RETO 12,0m ENGASTADO</t>
  </si>
  <si>
    <t xml:space="preserve"> 10.5 </t>
  </si>
  <si>
    <t xml:space="preserve"> 014009 </t>
  </si>
  <si>
    <t>CUSTO HORA CAMINHAO GUINDAUTO MERCEDES L1620 8tn 200CV</t>
  </si>
  <si>
    <t>H</t>
  </si>
  <si>
    <t xml:space="preserve"> 10.6 </t>
  </si>
  <si>
    <t xml:space="preserve"> PRE-008 </t>
  </si>
  <si>
    <t>MOBILIZAÇÃO DE MÁQUINA PESADA EM CANTEIRO DE OBRAS</t>
  </si>
  <si>
    <t xml:space="preserve"> 10.7 </t>
  </si>
  <si>
    <t xml:space="preserve"> 12797 </t>
  </si>
  <si>
    <t>Refletor externo IP65 para lâmpada 1000/2000w, com dissipador de calor,exclusive reator</t>
  </si>
  <si>
    <t xml:space="preserve"> 10.8 </t>
  </si>
  <si>
    <t xml:space="preserve"> G08 </t>
  </si>
  <si>
    <t>CAIXA DE PASSAGEM NAS DIMENSÕES 80CMX80CMX60CM COM PISO DE CONCRETO, E PAREDES REVESTIDAS</t>
  </si>
  <si>
    <t xml:space="preserve"> 10.9 </t>
  </si>
  <si>
    <t xml:space="preserve"> 078204 </t>
  </si>
  <si>
    <t>CABO DE COBRE NU MEIO DURO 7 FIOS 16mm2</t>
  </si>
  <si>
    <t xml:space="preserve"> 10.10 </t>
  </si>
  <si>
    <t xml:space="preserve"> 11195 </t>
  </si>
  <si>
    <t>Cabo cobre flexível, não hologenado, 70,0mm2 - 0,6/1KV / 90º</t>
  </si>
  <si>
    <t xml:space="preserve"> 10.11 </t>
  </si>
  <si>
    <t xml:space="preserve"> 059301 </t>
  </si>
  <si>
    <t>ELETRODUTO PVC RIGIDO 4""</t>
  </si>
  <si>
    <t xml:space="preserve"> 10.12 </t>
  </si>
  <si>
    <t xml:space="preserve"> 063902 </t>
  </si>
  <si>
    <t>HASTE ATERRAMENTO COBREADA 5/8"" x 2,40m NORMATIZADA INTELLI</t>
  </si>
  <si>
    <t xml:space="preserve"> 10.13 </t>
  </si>
  <si>
    <t xml:space="preserve"> 061905 </t>
  </si>
  <si>
    <t>CONDUTOR COBRE NU CORDOALHA 7 FIOS P/PARA-RAIOS,COM SUPORTES</t>
  </si>
  <si>
    <t xml:space="preserve"> 11 </t>
  </si>
  <si>
    <t>ALAMBRADO</t>
  </si>
  <si>
    <t xml:space="preserve"> 11.1 </t>
  </si>
  <si>
    <t xml:space="preserve"> 102364 </t>
  </si>
  <si>
    <t>ALAMBRADO PARA QUADRA POLIESPORTIVA, ESTRUTURADO POR TUBOS DE ACO GALVANIZADO, (MONTANTES COM DIAMETRO 2", TRAVESSAS E ESCORAS COM DIÂMETRO 1 ¼"), COM TELA DE ARAME GALVANIZADO, FIO 10 BWG E MALHA QUADRADA 5X5CM (EXCETO MURETA). AF_03/2021</t>
  </si>
  <si>
    <t xml:space="preserve"> 11.2 </t>
  </si>
  <si>
    <t xml:space="preserve"> 111418 </t>
  </si>
  <si>
    <t>PORTAO FERRO 2FL.3,0x2,85m TB.ACO 60x40x1,9mm B.CHATA 1x1/4""</t>
  </si>
  <si>
    <t xml:space="preserve">PROPOSTA MD7: Obra de Reforma e Ampliação do Campo de Futebol do Município de Coremas - PB </t>
  </si>
  <si>
    <t>PLANILHA ORÇAMENTÁRIA</t>
  </si>
  <si>
    <t>ITEM</t>
  </si>
  <si>
    <t>CÓDIGO</t>
  </si>
  <si>
    <t>DESCRIÇÃO</t>
  </si>
  <si>
    <t>QUANTIDADES</t>
  </si>
  <si>
    <t>VALORES R$</t>
  </si>
  <si>
    <t>CONTRATO</t>
  </si>
  <si>
    <t>MEDIDO NO
PERÍODO BM
Nº 01</t>
  </si>
  <si>
    <t xml:space="preserve">ACUMULADO
INCLUINDO O
PERÍODO BM Nº
01 </t>
  </si>
  <si>
    <t>PREÇO
UNITÁRIO
COM BDI R$</t>
  </si>
  <si>
    <t>TOTAL MEDIDO
NO PERÍODO -
BM Nº 01 R$</t>
  </si>
  <si>
    <t>TOTAL
ACUMULADO
INCLUINDO O
PERÍODO R$</t>
  </si>
  <si>
    <t>BANCO</t>
  </si>
  <si>
    <t>PREÇO
CONTRATADO R$</t>
  </si>
  <si>
    <t>MEMORIAL DE CALCULO</t>
  </si>
  <si>
    <t>ÁREA DA PLACA</t>
  </si>
  <si>
    <t>X</t>
  </si>
  <si>
    <t>=</t>
  </si>
  <si>
    <t>TOTAL GERAL</t>
  </si>
  <si>
    <t>LINEAR</t>
  </si>
  <si>
    <t>+</t>
  </si>
  <si>
    <t>x</t>
  </si>
  <si>
    <t>TOTAL</t>
  </si>
  <si>
    <t>MESAL</t>
  </si>
  <si>
    <t>CONFORME O PROJETO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</si>
</sst>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rial"/>
      <family val="1"/>
    </font>
    <font>
      <b/>
      <sz val="10"/>
      <name val="Arial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ECF6"/>
      </patternFill>
    </fill>
    <fill>
      <patternFill patternType="solid">
        <fgColor theme="0"/>
        <bgColor rgb="FFDFF0D8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4" borderId="0" xfId="0" applyFont="1" applyFill="1"/>
    <xf numFmtId="0" fontId="3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4" fontId="6" fillId="5" borderId="1" xfId="0" applyNumberFormat="1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right" vertical="top" wrapText="1"/>
    </xf>
    <xf numFmtId="4" fontId="7" fillId="6" borderId="1" xfId="0" applyNumberFormat="1" applyFont="1" applyFill="1" applyBorder="1" applyAlignment="1">
      <alignment horizontal="right" vertical="top" wrapText="1"/>
    </xf>
    <xf numFmtId="0" fontId="8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center" vertical="top" wrapText="1"/>
    </xf>
    <xf numFmtId="0" fontId="8" fillId="4" borderId="0" xfId="0" applyFont="1" applyFill="1"/>
    <xf numFmtId="0" fontId="12" fillId="7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right" vertical="top" wrapText="1"/>
    </xf>
    <xf numFmtId="0" fontId="2" fillId="7" borderId="8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wrapText="1"/>
    </xf>
    <xf numFmtId="0" fontId="12" fillId="7" borderId="9" xfId="0" applyFont="1" applyFill="1" applyBorder="1" applyAlignment="1">
      <alignment horizontal="center" wrapText="1"/>
    </xf>
    <xf numFmtId="0" fontId="12" fillId="7" borderId="1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right"/>
    </xf>
    <xf numFmtId="0" fontId="12" fillId="7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10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73336</xdr:rowOff>
    </xdr:from>
    <xdr:to>
      <xdr:col>2</xdr:col>
      <xdr:colOff>438531</xdr:colOff>
      <xdr:row>1</xdr:row>
      <xdr:rowOff>676275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841197-348F-4859-9E83-17B9FB69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63836"/>
          <a:ext cx="1724406" cy="602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307975</xdr:colOff>
      <xdr:row>1</xdr:row>
      <xdr:rowOff>16186</xdr:rowOff>
    </xdr:from>
    <xdr:to>
      <xdr:col>2</xdr:col>
      <xdr:colOff>413131</xdr:colOff>
      <xdr:row>1</xdr:row>
      <xdr:rowOff>620183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5FCCB4-23C3-410E-A285-28B4F2A3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75" y="174936"/>
          <a:ext cx="1724406" cy="603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1"/>
  <sheetViews>
    <sheetView tabSelected="1" showWhiteSpace="0" view="pageBreakPreview" zoomScale="60" zoomScaleNormal="100" workbookViewId="0">
      <selection activeCell="K5" sqref="K1:L1048576"/>
    </sheetView>
  </sheetViews>
  <sheetFormatPr defaultRowHeight="15" x14ac:dyDescent="0.25"/>
  <cols>
    <col min="1" max="1" width="10" style="1" bestFit="1" customWidth="1"/>
    <col min="2" max="2" width="8.375" style="1" customWidth="1"/>
    <col min="3" max="3" width="9.625" style="1" customWidth="1"/>
    <col min="4" max="4" width="39.625" style="1" customWidth="1"/>
    <col min="5" max="5" width="7.375" style="1" customWidth="1"/>
    <col min="6" max="6" width="11.875" style="1" customWidth="1"/>
    <col min="7" max="7" width="16.25" style="1" customWidth="1"/>
    <col min="8" max="8" width="15.375" style="1" bestFit="1" customWidth="1"/>
    <col min="9" max="9" width="16.5" style="1" customWidth="1"/>
    <col min="10" max="10" width="18.25" style="1" customWidth="1"/>
    <col min="11" max="12" width="17.75" style="1" customWidth="1"/>
    <col min="13" max="16384" width="9" style="1"/>
  </cols>
  <sheetData>
    <row r="1" spans="1:12" ht="15" customHeight="1" x14ac:dyDescent="0.25">
      <c r="A1" s="27"/>
      <c r="B1" s="28"/>
      <c r="C1" s="29"/>
      <c r="D1" s="2" t="s">
        <v>0</v>
      </c>
      <c r="E1" s="33" t="s">
        <v>1</v>
      </c>
      <c r="F1" s="33"/>
      <c r="G1" s="34" t="s">
        <v>2</v>
      </c>
      <c r="H1" s="34"/>
      <c r="I1" s="25" t="s">
        <v>3</v>
      </c>
      <c r="J1" s="25"/>
      <c r="K1" s="25"/>
      <c r="L1" s="25"/>
    </row>
    <row r="2" spans="1:12" ht="71.25" customHeight="1" x14ac:dyDescent="0.25">
      <c r="A2" s="30"/>
      <c r="B2" s="31"/>
      <c r="C2" s="32"/>
      <c r="D2" s="15" t="s">
        <v>520</v>
      </c>
      <c r="E2" s="26" t="s">
        <v>4</v>
      </c>
      <c r="F2" s="26"/>
      <c r="G2" s="35" t="s">
        <v>5</v>
      </c>
      <c r="H2" s="35"/>
      <c r="I2" s="26" t="s">
        <v>6</v>
      </c>
      <c r="J2" s="26"/>
      <c r="K2" s="26"/>
      <c r="L2" s="26"/>
    </row>
    <row r="3" spans="1:12" ht="15" customHeight="1" x14ac:dyDescent="0.25">
      <c r="A3" s="37" t="s">
        <v>521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9"/>
    </row>
    <row r="4" spans="1:12" ht="15" customHeight="1" x14ac:dyDescent="0.25">
      <c r="A4" s="40" t="s">
        <v>522</v>
      </c>
      <c r="B4" s="40" t="s">
        <v>523</v>
      </c>
      <c r="C4" s="40" t="s">
        <v>533</v>
      </c>
      <c r="D4" s="40" t="s">
        <v>524</v>
      </c>
      <c r="E4" s="64" t="s">
        <v>525</v>
      </c>
      <c r="F4" s="64"/>
      <c r="G4" s="64"/>
      <c r="H4" s="64"/>
      <c r="I4" s="65" t="s">
        <v>526</v>
      </c>
      <c r="J4" s="66"/>
      <c r="K4" s="66"/>
      <c r="L4" s="67"/>
    </row>
    <row r="5" spans="1:12" ht="60.75" customHeight="1" x14ac:dyDescent="0.25">
      <c r="A5" s="40"/>
      <c r="B5" s="40"/>
      <c r="C5" s="40"/>
      <c r="D5" s="40"/>
      <c r="E5" s="24" t="s">
        <v>372</v>
      </c>
      <c r="F5" s="24" t="s">
        <v>527</v>
      </c>
      <c r="G5" s="16" t="s">
        <v>528</v>
      </c>
      <c r="H5" s="16" t="s">
        <v>529</v>
      </c>
      <c r="I5" s="24" t="s">
        <v>530</v>
      </c>
      <c r="J5" s="24" t="s">
        <v>534</v>
      </c>
      <c r="K5" s="24" t="s">
        <v>531</v>
      </c>
      <c r="L5" s="24" t="s">
        <v>532</v>
      </c>
    </row>
    <row r="6" spans="1:12" ht="24" customHeight="1" x14ac:dyDescent="0.25">
      <c r="A6" s="3" t="s">
        <v>7</v>
      </c>
      <c r="B6" s="3" t="s">
        <v>8</v>
      </c>
      <c r="C6" s="3"/>
      <c r="D6" s="3" t="s">
        <v>9</v>
      </c>
      <c r="E6" s="4"/>
      <c r="F6" s="5"/>
      <c r="G6" s="5"/>
      <c r="H6" s="5"/>
      <c r="I6" s="6"/>
      <c r="J6" s="6">
        <v>57934.39</v>
      </c>
      <c r="K6" s="6">
        <f>SUM(K7:K10)</f>
        <v>38665.81</v>
      </c>
      <c r="L6" s="6">
        <f>SUM(L7:L10)</f>
        <v>38665.81</v>
      </c>
    </row>
    <row r="7" spans="1:12" ht="39" customHeight="1" x14ac:dyDescent="0.25">
      <c r="A7" s="7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 s="9">
        <v>12</v>
      </c>
      <c r="G7" s="9">
        <v>12</v>
      </c>
      <c r="H7" s="9">
        <f>G7</f>
        <v>12</v>
      </c>
      <c r="I7" s="10">
        <v>463.24</v>
      </c>
      <c r="J7" s="10">
        <v>5558.88</v>
      </c>
      <c r="K7" s="10">
        <f>TRUNC(G7*I7,2)</f>
        <v>5558.88</v>
      </c>
      <c r="L7" s="10">
        <f>TRUNC(H7*I7,2)</f>
        <v>5558.88</v>
      </c>
    </row>
    <row r="8" spans="1:12" ht="26.1" customHeight="1" x14ac:dyDescent="0.25">
      <c r="A8" s="7" t="s">
        <v>15</v>
      </c>
      <c r="B8" s="7" t="s">
        <v>16</v>
      </c>
      <c r="C8" s="7" t="s">
        <v>17</v>
      </c>
      <c r="D8" s="7" t="s">
        <v>18</v>
      </c>
      <c r="E8" s="8" t="s">
        <v>19</v>
      </c>
      <c r="F8" s="9">
        <v>1</v>
      </c>
      <c r="G8" s="9">
        <v>1</v>
      </c>
      <c r="H8" s="9">
        <f t="shared" ref="H8:H71" si="0">G8</f>
        <v>1</v>
      </c>
      <c r="I8" s="10">
        <v>25435.73</v>
      </c>
      <c r="J8" s="10">
        <v>25435.73</v>
      </c>
      <c r="K8" s="10">
        <f t="shared" ref="K8:K71" si="1">TRUNC(G8*I8,2)</f>
        <v>25435.73</v>
      </c>
      <c r="L8" s="10">
        <f t="shared" ref="L8:L71" si="2">TRUNC(H8*I8,2)</f>
        <v>25435.73</v>
      </c>
    </row>
    <row r="9" spans="1:12" ht="26.1" customHeight="1" x14ac:dyDescent="0.25">
      <c r="A9" s="7" t="s">
        <v>20</v>
      </c>
      <c r="B9" s="7" t="s">
        <v>21</v>
      </c>
      <c r="C9" s="7" t="s">
        <v>22</v>
      </c>
      <c r="D9" s="7" t="s">
        <v>23</v>
      </c>
      <c r="E9" s="8" t="s">
        <v>24</v>
      </c>
      <c r="F9" s="9">
        <v>6</v>
      </c>
      <c r="G9" s="9"/>
      <c r="H9" s="9">
        <f t="shared" si="0"/>
        <v>0</v>
      </c>
      <c r="I9" s="10">
        <v>3211.43</v>
      </c>
      <c r="J9" s="10">
        <v>19268.580000000002</v>
      </c>
      <c r="K9" s="10">
        <f t="shared" si="1"/>
        <v>0</v>
      </c>
      <c r="L9" s="10">
        <f t="shared" si="2"/>
        <v>0</v>
      </c>
    </row>
    <row r="10" spans="1:12" ht="24" customHeight="1" x14ac:dyDescent="0.25">
      <c r="A10" s="7" t="s">
        <v>25</v>
      </c>
      <c r="B10" s="7" t="s">
        <v>26</v>
      </c>
      <c r="C10" s="7" t="s">
        <v>12</v>
      </c>
      <c r="D10" s="7" t="s">
        <v>27</v>
      </c>
      <c r="E10" s="8" t="s">
        <v>14</v>
      </c>
      <c r="F10" s="9">
        <v>80</v>
      </c>
      <c r="G10" s="9">
        <v>80</v>
      </c>
      <c r="H10" s="9">
        <f t="shared" si="0"/>
        <v>80</v>
      </c>
      <c r="I10" s="10">
        <v>95.89</v>
      </c>
      <c r="J10" s="10">
        <v>7671.2</v>
      </c>
      <c r="K10" s="10">
        <f t="shared" si="1"/>
        <v>7671.2</v>
      </c>
      <c r="L10" s="10">
        <f t="shared" si="2"/>
        <v>7671.2</v>
      </c>
    </row>
    <row r="11" spans="1:12" ht="24" customHeight="1" x14ac:dyDescent="0.25">
      <c r="A11" s="3" t="s">
        <v>28</v>
      </c>
      <c r="B11" s="3" t="s">
        <v>8</v>
      </c>
      <c r="C11" s="3"/>
      <c r="D11" s="3" t="s">
        <v>29</v>
      </c>
      <c r="E11" s="4"/>
      <c r="F11" s="5"/>
      <c r="G11" s="9"/>
      <c r="H11" s="9"/>
      <c r="I11" s="6"/>
      <c r="J11" s="6">
        <v>137280.70000000001</v>
      </c>
      <c r="K11" s="17">
        <f>SUM(K12:K15)</f>
        <v>40894.649999999994</v>
      </c>
      <c r="L11" s="17">
        <f>SUM(L12:L15)</f>
        <v>40894.649999999994</v>
      </c>
    </row>
    <row r="12" spans="1:12" ht="26.1" customHeight="1" x14ac:dyDescent="0.25">
      <c r="A12" s="7" t="s">
        <v>30</v>
      </c>
      <c r="B12" s="7" t="s">
        <v>31</v>
      </c>
      <c r="C12" s="7" t="s">
        <v>12</v>
      </c>
      <c r="D12" s="7" t="s">
        <v>32</v>
      </c>
      <c r="E12" s="8" t="s">
        <v>24</v>
      </c>
      <c r="F12" s="9">
        <v>2</v>
      </c>
      <c r="G12" s="9">
        <v>1</v>
      </c>
      <c r="H12" s="9">
        <f t="shared" si="0"/>
        <v>1</v>
      </c>
      <c r="I12" s="10">
        <v>27021.8</v>
      </c>
      <c r="J12" s="10">
        <v>54043.6</v>
      </c>
      <c r="K12" s="10">
        <f>TRUNC(G12*I12,2)</f>
        <v>27021.8</v>
      </c>
      <c r="L12" s="10">
        <f t="shared" si="2"/>
        <v>27021.8</v>
      </c>
    </row>
    <row r="13" spans="1:12" ht="26.1" customHeight="1" x14ac:dyDescent="0.25">
      <c r="A13" s="7" t="s">
        <v>33</v>
      </c>
      <c r="B13" s="7" t="s">
        <v>34</v>
      </c>
      <c r="C13" s="7" t="s">
        <v>12</v>
      </c>
      <c r="D13" s="7" t="s">
        <v>35</v>
      </c>
      <c r="E13" s="8" t="s">
        <v>24</v>
      </c>
      <c r="F13" s="9">
        <v>6</v>
      </c>
      <c r="G13" s="9">
        <v>1</v>
      </c>
      <c r="H13" s="9">
        <f t="shared" si="0"/>
        <v>1</v>
      </c>
      <c r="I13" s="10">
        <v>5122.3999999999996</v>
      </c>
      <c r="J13" s="10">
        <v>30734.400000000001</v>
      </c>
      <c r="K13" s="10">
        <f t="shared" si="1"/>
        <v>5122.3999999999996</v>
      </c>
      <c r="L13" s="10">
        <f t="shared" si="2"/>
        <v>5122.3999999999996</v>
      </c>
    </row>
    <row r="14" spans="1:12" ht="24" customHeight="1" x14ac:dyDescent="0.25">
      <c r="A14" s="7" t="s">
        <v>36</v>
      </c>
      <c r="B14" s="7" t="s">
        <v>37</v>
      </c>
      <c r="C14" s="7" t="s">
        <v>12</v>
      </c>
      <c r="D14" s="7" t="s">
        <v>38</v>
      </c>
      <c r="E14" s="8" t="s">
        <v>24</v>
      </c>
      <c r="F14" s="9">
        <v>6</v>
      </c>
      <c r="G14" s="9">
        <v>1</v>
      </c>
      <c r="H14" s="9">
        <f t="shared" si="0"/>
        <v>1</v>
      </c>
      <c r="I14" s="10">
        <v>7692.95</v>
      </c>
      <c r="J14" s="10">
        <v>46157.7</v>
      </c>
      <c r="K14" s="10">
        <f t="shared" si="1"/>
        <v>7692.95</v>
      </c>
      <c r="L14" s="10">
        <f t="shared" si="2"/>
        <v>7692.95</v>
      </c>
    </row>
    <row r="15" spans="1:12" ht="26.1" customHeight="1" x14ac:dyDescent="0.25">
      <c r="A15" s="7" t="s">
        <v>39</v>
      </c>
      <c r="B15" s="7" t="s">
        <v>40</v>
      </c>
      <c r="C15" s="7" t="s">
        <v>12</v>
      </c>
      <c r="D15" s="7" t="s">
        <v>41</v>
      </c>
      <c r="E15" s="8" t="s">
        <v>14</v>
      </c>
      <c r="F15" s="9">
        <v>300</v>
      </c>
      <c r="G15" s="9">
        <v>50</v>
      </c>
      <c r="H15" s="9">
        <f t="shared" si="0"/>
        <v>50</v>
      </c>
      <c r="I15" s="10">
        <v>21.15</v>
      </c>
      <c r="J15" s="10">
        <v>6345</v>
      </c>
      <c r="K15" s="10">
        <f>TRUNC(G15*I15,2)</f>
        <v>1057.5</v>
      </c>
      <c r="L15" s="10">
        <f t="shared" si="2"/>
        <v>1057.5</v>
      </c>
    </row>
    <row r="16" spans="1:12" ht="24" customHeight="1" x14ac:dyDescent="0.25">
      <c r="A16" s="3" t="s">
        <v>42</v>
      </c>
      <c r="B16" s="3" t="s">
        <v>8</v>
      </c>
      <c r="C16" s="3"/>
      <c r="D16" s="3" t="s">
        <v>43</v>
      </c>
      <c r="E16" s="4"/>
      <c r="F16" s="5"/>
      <c r="G16" s="9"/>
      <c r="H16" s="9"/>
      <c r="I16" s="6"/>
      <c r="J16" s="6">
        <v>99677.46</v>
      </c>
      <c r="K16" s="17">
        <f>SUM(K17:K22)</f>
        <v>99677.46</v>
      </c>
      <c r="L16" s="17">
        <f>SUM(L17:L22)</f>
        <v>99677.46</v>
      </c>
    </row>
    <row r="17" spans="1:12" ht="26.1" customHeight="1" x14ac:dyDescent="0.25">
      <c r="A17" s="7" t="s">
        <v>44</v>
      </c>
      <c r="B17" s="7" t="s">
        <v>45</v>
      </c>
      <c r="C17" s="7" t="s">
        <v>12</v>
      </c>
      <c r="D17" s="7" t="s">
        <v>46</v>
      </c>
      <c r="E17" s="8" t="s">
        <v>47</v>
      </c>
      <c r="F17" s="9">
        <v>37.200000000000003</v>
      </c>
      <c r="G17" s="9">
        <f>F17</f>
        <v>37.200000000000003</v>
      </c>
      <c r="H17" s="9">
        <f t="shared" si="0"/>
        <v>37.200000000000003</v>
      </c>
      <c r="I17" s="10">
        <v>625.97</v>
      </c>
      <c r="J17" s="10">
        <v>23286.080000000002</v>
      </c>
      <c r="K17" s="10">
        <f t="shared" si="1"/>
        <v>23286.080000000002</v>
      </c>
      <c r="L17" s="10">
        <f t="shared" si="2"/>
        <v>23286.080000000002</v>
      </c>
    </row>
    <row r="18" spans="1:12" ht="26.1" customHeight="1" x14ac:dyDescent="0.25">
      <c r="A18" s="7" t="s">
        <v>48</v>
      </c>
      <c r="B18" s="7" t="s">
        <v>49</v>
      </c>
      <c r="C18" s="7" t="s">
        <v>12</v>
      </c>
      <c r="D18" s="7" t="s">
        <v>50</v>
      </c>
      <c r="E18" s="8" t="s">
        <v>47</v>
      </c>
      <c r="F18" s="9">
        <v>324.89</v>
      </c>
      <c r="G18" s="9">
        <f t="shared" ref="G18:G22" si="3">F18</f>
        <v>324.89</v>
      </c>
      <c r="H18" s="9">
        <f t="shared" si="0"/>
        <v>324.89</v>
      </c>
      <c r="I18" s="10">
        <v>117.09</v>
      </c>
      <c r="J18" s="10">
        <v>38041.370000000003</v>
      </c>
      <c r="K18" s="10">
        <f t="shared" si="1"/>
        <v>38041.370000000003</v>
      </c>
      <c r="L18" s="10">
        <f t="shared" si="2"/>
        <v>38041.370000000003</v>
      </c>
    </row>
    <row r="19" spans="1:12" ht="26.1" customHeight="1" x14ac:dyDescent="0.25">
      <c r="A19" s="7" t="s">
        <v>51</v>
      </c>
      <c r="B19" s="7" t="s">
        <v>52</v>
      </c>
      <c r="C19" s="7" t="s">
        <v>17</v>
      </c>
      <c r="D19" s="7" t="s">
        <v>53</v>
      </c>
      <c r="E19" s="8" t="s">
        <v>19</v>
      </c>
      <c r="F19" s="9">
        <v>14</v>
      </c>
      <c r="G19" s="9">
        <f t="shared" si="3"/>
        <v>14</v>
      </c>
      <c r="H19" s="9">
        <f t="shared" si="0"/>
        <v>14</v>
      </c>
      <c r="I19" s="10">
        <v>405.38</v>
      </c>
      <c r="J19" s="10">
        <v>5675.32</v>
      </c>
      <c r="K19" s="10">
        <f t="shared" si="1"/>
        <v>5675.32</v>
      </c>
      <c r="L19" s="10">
        <f t="shared" si="2"/>
        <v>5675.32</v>
      </c>
    </row>
    <row r="20" spans="1:12" ht="26.1" customHeight="1" x14ac:dyDescent="0.25">
      <c r="A20" s="7" t="s">
        <v>54</v>
      </c>
      <c r="B20" s="7" t="s">
        <v>55</v>
      </c>
      <c r="C20" s="7" t="s">
        <v>56</v>
      </c>
      <c r="D20" s="7" t="s">
        <v>57</v>
      </c>
      <c r="E20" s="8" t="s">
        <v>58</v>
      </c>
      <c r="F20" s="9">
        <v>7603.82</v>
      </c>
      <c r="G20" s="9">
        <f t="shared" si="3"/>
        <v>7603.82</v>
      </c>
      <c r="H20" s="9">
        <f t="shared" si="0"/>
        <v>7603.82</v>
      </c>
      <c r="I20" s="10">
        <v>0.65</v>
      </c>
      <c r="J20" s="10">
        <v>4942.4799999999996</v>
      </c>
      <c r="K20" s="10">
        <f t="shared" si="1"/>
        <v>4942.4799999999996</v>
      </c>
      <c r="L20" s="10">
        <f t="shared" si="2"/>
        <v>4942.4799999999996</v>
      </c>
    </row>
    <row r="21" spans="1:12" ht="51.95" customHeight="1" x14ac:dyDescent="0.25">
      <c r="A21" s="7" t="s">
        <v>59</v>
      </c>
      <c r="B21" s="7" t="s">
        <v>60</v>
      </c>
      <c r="C21" s="7" t="s">
        <v>12</v>
      </c>
      <c r="D21" s="7" t="s">
        <v>61</v>
      </c>
      <c r="E21" s="8" t="s">
        <v>47</v>
      </c>
      <c r="F21" s="9">
        <v>543.13</v>
      </c>
      <c r="G21" s="9">
        <f t="shared" si="3"/>
        <v>543.13</v>
      </c>
      <c r="H21" s="9">
        <f t="shared" si="0"/>
        <v>543.13</v>
      </c>
      <c r="I21" s="10">
        <v>9.24</v>
      </c>
      <c r="J21" s="10">
        <v>5018.5200000000004</v>
      </c>
      <c r="K21" s="10">
        <f t="shared" si="1"/>
        <v>5018.5200000000004</v>
      </c>
      <c r="L21" s="10">
        <f t="shared" si="2"/>
        <v>5018.5200000000004</v>
      </c>
    </row>
    <row r="22" spans="1:12" ht="24" customHeight="1" x14ac:dyDescent="0.25">
      <c r="A22" s="7" t="s">
        <v>62</v>
      </c>
      <c r="B22" s="7" t="s">
        <v>63</v>
      </c>
      <c r="C22" s="7" t="s">
        <v>64</v>
      </c>
      <c r="D22" s="7" t="s">
        <v>65</v>
      </c>
      <c r="E22" s="8" t="s">
        <v>47</v>
      </c>
      <c r="F22" s="9">
        <v>543.13</v>
      </c>
      <c r="G22" s="9">
        <f t="shared" si="3"/>
        <v>543.13</v>
      </c>
      <c r="H22" s="9">
        <f t="shared" si="0"/>
        <v>543.13</v>
      </c>
      <c r="I22" s="10">
        <v>41.82</v>
      </c>
      <c r="J22" s="10">
        <v>22713.69</v>
      </c>
      <c r="K22" s="10">
        <f t="shared" si="1"/>
        <v>22713.69</v>
      </c>
      <c r="L22" s="10">
        <f t="shared" si="2"/>
        <v>22713.69</v>
      </c>
    </row>
    <row r="23" spans="1:12" ht="24" customHeight="1" x14ac:dyDescent="0.25">
      <c r="A23" s="3" t="s">
        <v>66</v>
      </c>
      <c r="B23" s="3" t="s">
        <v>8</v>
      </c>
      <c r="C23" s="3"/>
      <c r="D23" s="3" t="s">
        <v>67</v>
      </c>
      <c r="E23" s="4"/>
      <c r="F23" s="5"/>
      <c r="G23" s="9"/>
      <c r="H23" s="9"/>
      <c r="I23" s="6"/>
      <c r="J23" s="6">
        <v>442798.66</v>
      </c>
      <c r="K23" s="17">
        <f>SUM(K24:K35)</f>
        <v>442798.66</v>
      </c>
      <c r="L23" s="17">
        <f>SUM(L24:L35)</f>
        <v>442798.66</v>
      </c>
    </row>
    <row r="24" spans="1:12" ht="39" customHeight="1" x14ac:dyDescent="0.25">
      <c r="A24" s="7" t="s">
        <v>68</v>
      </c>
      <c r="B24" s="7" t="s">
        <v>69</v>
      </c>
      <c r="C24" s="7" t="s">
        <v>12</v>
      </c>
      <c r="D24" s="7" t="s">
        <v>70</v>
      </c>
      <c r="E24" s="8" t="s">
        <v>47</v>
      </c>
      <c r="F24" s="9">
        <v>360.13</v>
      </c>
      <c r="G24" s="9">
        <f>F24</f>
        <v>360.13</v>
      </c>
      <c r="H24" s="9">
        <f t="shared" si="0"/>
        <v>360.13</v>
      </c>
      <c r="I24" s="10">
        <v>112.79</v>
      </c>
      <c r="J24" s="10">
        <v>40619.06</v>
      </c>
      <c r="K24" s="10">
        <f t="shared" si="1"/>
        <v>40619.06</v>
      </c>
      <c r="L24" s="10">
        <f t="shared" si="2"/>
        <v>40619.06</v>
      </c>
    </row>
    <row r="25" spans="1:12" ht="26.1" customHeight="1" x14ac:dyDescent="0.25">
      <c r="A25" s="7" t="s">
        <v>71</v>
      </c>
      <c r="B25" s="7" t="s">
        <v>72</v>
      </c>
      <c r="C25" s="7" t="s">
        <v>12</v>
      </c>
      <c r="D25" s="7" t="s">
        <v>73</v>
      </c>
      <c r="E25" s="8" t="s">
        <v>47</v>
      </c>
      <c r="F25" s="9">
        <v>57.62</v>
      </c>
      <c r="G25" s="9">
        <f t="shared" ref="G25:G35" si="4">F25</f>
        <v>57.62</v>
      </c>
      <c r="H25" s="9">
        <f t="shared" si="0"/>
        <v>57.62</v>
      </c>
      <c r="I25" s="10">
        <v>563.63</v>
      </c>
      <c r="J25" s="10">
        <v>32476.36</v>
      </c>
      <c r="K25" s="10">
        <f t="shared" si="1"/>
        <v>32476.36</v>
      </c>
      <c r="L25" s="10">
        <f t="shared" si="2"/>
        <v>32476.36</v>
      </c>
    </row>
    <row r="26" spans="1:12" ht="26.1" customHeight="1" x14ac:dyDescent="0.25">
      <c r="A26" s="7" t="s">
        <v>74</v>
      </c>
      <c r="B26" s="7" t="s">
        <v>75</v>
      </c>
      <c r="C26" s="7" t="s">
        <v>12</v>
      </c>
      <c r="D26" s="7" t="s">
        <v>76</v>
      </c>
      <c r="E26" s="8" t="s">
        <v>14</v>
      </c>
      <c r="F26" s="9">
        <v>144.05000000000001</v>
      </c>
      <c r="G26" s="9">
        <f t="shared" si="4"/>
        <v>144.05000000000001</v>
      </c>
      <c r="H26" s="9">
        <f t="shared" si="0"/>
        <v>144.05000000000001</v>
      </c>
      <c r="I26" s="10">
        <v>31.56</v>
      </c>
      <c r="J26" s="10">
        <v>4546.21</v>
      </c>
      <c r="K26" s="10">
        <f t="shared" si="1"/>
        <v>4546.21</v>
      </c>
      <c r="L26" s="10">
        <f t="shared" si="2"/>
        <v>4546.21</v>
      </c>
    </row>
    <row r="27" spans="1:12" ht="24" customHeight="1" x14ac:dyDescent="0.25">
      <c r="A27" s="7" t="s">
        <v>77</v>
      </c>
      <c r="B27" s="7" t="s">
        <v>78</v>
      </c>
      <c r="C27" s="7" t="s">
        <v>12</v>
      </c>
      <c r="D27" s="7" t="s">
        <v>79</v>
      </c>
      <c r="E27" s="8" t="s">
        <v>80</v>
      </c>
      <c r="F27" s="9">
        <v>46</v>
      </c>
      <c r="G27" s="9">
        <f t="shared" si="4"/>
        <v>46</v>
      </c>
      <c r="H27" s="9">
        <f t="shared" si="0"/>
        <v>46</v>
      </c>
      <c r="I27" s="10">
        <v>745.45</v>
      </c>
      <c r="J27" s="10">
        <v>34290.699999999997</v>
      </c>
      <c r="K27" s="10">
        <f t="shared" si="1"/>
        <v>34290.699999999997</v>
      </c>
      <c r="L27" s="10">
        <f t="shared" si="2"/>
        <v>34290.699999999997</v>
      </c>
    </row>
    <row r="28" spans="1:12" ht="39" customHeight="1" x14ac:dyDescent="0.25">
      <c r="A28" s="7" t="s">
        <v>81</v>
      </c>
      <c r="B28" s="7" t="s">
        <v>82</v>
      </c>
      <c r="C28" s="7" t="s">
        <v>12</v>
      </c>
      <c r="D28" s="7" t="s">
        <v>83</v>
      </c>
      <c r="E28" s="8" t="s">
        <v>47</v>
      </c>
      <c r="F28" s="9">
        <v>45.3</v>
      </c>
      <c r="G28" s="9">
        <f t="shared" si="4"/>
        <v>45.3</v>
      </c>
      <c r="H28" s="9">
        <f t="shared" si="0"/>
        <v>45.3</v>
      </c>
      <c r="I28" s="10">
        <v>486.4</v>
      </c>
      <c r="J28" s="10">
        <v>22033.919999999998</v>
      </c>
      <c r="K28" s="10">
        <f t="shared" si="1"/>
        <v>22033.919999999998</v>
      </c>
      <c r="L28" s="10">
        <f t="shared" si="2"/>
        <v>22033.919999999998</v>
      </c>
    </row>
    <row r="29" spans="1:12" ht="26.1" customHeight="1" x14ac:dyDescent="0.25">
      <c r="A29" s="7" t="s">
        <v>84</v>
      </c>
      <c r="B29" s="7" t="s">
        <v>85</v>
      </c>
      <c r="C29" s="7" t="s">
        <v>12</v>
      </c>
      <c r="D29" s="7" t="s">
        <v>86</v>
      </c>
      <c r="E29" s="8" t="s">
        <v>47</v>
      </c>
      <c r="F29" s="9">
        <v>45.3</v>
      </c>
      <c r="G29" s="9">
        <f t="shared" si="4"/>
        <v>45.3</v>
      </c>
      <c r="H29" s="9">
        <f t="shared" si="0"/>
        <v>45.3</v>
      </c>
      <c r="I29" s="10">
        <v>321.82</v>
      </c>
      <c r="J29" s="10">
        <v>14578.44</v>
      </c>
      <c r="K29" s="10">
        <f t="shared" si="1"/>
        <v>14578.44</v>
      </c>
      <c r="L29" s="10">
        <f t="shared" si="2"/>
        <v>14578.44</v>
      </c>
    </row>
    <row r="30" spans="1:12" ht="26.1" customHeight="1" x14ac:dyDescent="0.25">
      <c r="A30" s="7" t="s">
        <v>87</v>
      </c>
      <c r="B30" s="7" t="s">
        <v>88</v>
      </c>
      <c r="C30" s="7" t="s">
        <v>12</v>
      </c>
      <c r="D30" s="7" t="s">
        <v>89</v>
      </c>
      <c r="E30" s="8" t="s">
        <v>14</v>
      </c>
      <c r="F30" s="9">
        <v>522.88</v>
      </c>
      <c r="G30" s="9">
        <f t="shared" si="4"/>
        <v>522.88</v>
      </c>
      <c r="H30" s="9">
        <f t="shared" si="0"/>
        <v>522.88</v>
      </c>
      <c r="I30" s="10">
        <v>110.68</v>
      </c>
      <c r="J30" s="10">
        <v>57872.35</v>
      </c>
      <c r="K30" s="10">
        <f t="shared" si="1"/>
        <v>57872.35</v>
      </c>
      <c r="L30" s="10">
        <f t="shared" si="2"/>
        <v>57872.35</v>
      </c>
    </row>
    <row r="31" spans="1:12" ht="51.95" customHeight="1" x14ac:dyDescent="0.25">
      <c r="A31" s="7" t="s">
        <v>90</v>
      </c>
      <c r="B31" s="7" t="s">
        <v>91</v>
      </c>
      <c r="C31" s="7" t="s">
        <v>12</v>
      </c>
      <c r="D31" s="7" t="s">
        <v>92</v>
      </c>
      <c r="E31" s="8" t="s">
        <v>14</v>
      </c>
      <c r="F31" s="9">
        <v>747.03</v>
      </c>
      <c r="G31" s="9">
        <f t="shared" si="4"/>
        <v>747.03</v>
      </c>
      <c r="H31" s="9">
        <f t="shared" si="0"/>
        <v>747.03</v>
      </c>
      <c r="I31" s="10">
        <v>108.75</v>
      </c>
      <c r="J31" s="10">
        <v>81239.509999999995</v>
      </c>
      <c r="K31" s="10">
        <f t="shared" si="1"/>
        <v>81239.509999999995</v>
      </c>
      <c r="L31" s="10">
        <f t="shared" si="2"/>
        <v>81239.509999999995</v>
      </c>
    </row>
    <row r="32" spans="1:12" ht="51.95" customHeight="1" x14ac:dyDescent="0.25">
      <c r="A32" s="7" t="s">
        <v>93</v>
      </c>
      <c r="B32" s="7" t="s">
        <v>94</v>
      </c>
      <c r="C32" s="7" t="s">
        <v>12</v>
      </c>
      <c r="D32" s="7" t="s">
        <v>95</v>
      </c>
      <c r="E32" s="8" t="s">
        <v>14</v>
      </c>
      <c r="F32" s="9">
        <v>1584.7</v>
      </c>
      <c r="G32" s="9">
        <f t="shared" si="4"/>
        <v>1584.7</v>
      </c>
      <c r="H32" s="9">
        <f t="shared" si="0"/>
        <v>1584.7</v>
      </c>
      <c r="I32" s="10">
        <v>7.81</v>
      </c>
      <c r="J32" s="10">
        <v>12376.5</v>
      </c>
      <c r="K32" s="10">
        <f t="shared" si="1"/>
        <v>12376.5</v>
      </c>
      <c r="L32" s="10">
        <f t="shared" si="2"/>
        <v>12376.5</v>
      </c>
    </row>
    <row r="33" spans="1:12" ht="51.95" customHeight="1" x14ac:dyDescent="0.25">
      <c r="A33" s="7" t="s">
        <v>96</v>
      </c>
      <c r="B33" s="7" t="s">
        <v>97</v>
      </c>
      <c r="C33" s="7" t="s">
        <v>12</v>
      </c>
      <c r="D33" s="7" t="s">
        <v>98</v>
      </c>
      <c r="E33" s="8" t="s">
        <v>14</v>
      </c>
      <c r="F33" s="9">
        <v>1584.7</v>
      </c>
      <c r="G33" s="9">
        <f t="shared" si="4"/>
        <v>1584.7</v>
      </c>
      <c r="H33" s="9">
        <f t="shared" si="0"/>
        <v>1584.7</v>
      </c>
      <c r="I33" s="10">
        <v>61.65</v>
      </c>
      <c r="J33" s="10">
        <v>97696.75</v>
      </c>
      <c r="K33" s="10">
        <f t="shared" si="1"/>
        <v>97696.75</v>
      </c>
      <c r="L33" s="10">
        <f t="shared" si="2"/>
        <v>97696.75</v>
      </c>
    </row>
    <row r="34" spans="1:12" ht="26.1" customHeight="1" x14ac:dyDescent="0.25">
      <c r="A34" s="7" t="s">
        <v>99</v>
      </c>
      <c r="B34" s="7" t="s">
        <v>100</v>
      </c>
      <c r="C34" s="7" t="s">
        <v>12</v>
      </c>
      <c r="D34" s="7" t="s">
        <v>101</v>
      </c>
      <c r="E34" s="8" t="s">
        <v>14</v>
      </c>
      <c r="F34" s="9">
        <v>1584.7</v>
      </c>
      <c r="G34" s="9">
        <f t="shared" si="4"/>
        <v>1584.7</v>
      </c>
      <c r="H34" s="9">
        <f t="shared" si="0"/>
        <v>1584.7</v>
      </c>
      <c r="I34" s="10">
        <v>4.04</v>
      </c>
      <c r="J34" s="10">
        <v>6402.18</v>
      </c>
      <c r="K34" s="10">
        <f t="shared" si="1"/>
        <v>6402.18</v>
      </c>
      <c r="L34" s="10">
        <f t="shared" si="2"/>
        <v>6402.18</v>
      </c>
    </row>
    <row r="35" spans="1:12" ht="24" customHeight="1" x14ac:dyDescent="0.25">
      <c r="A35" s="7" t="s">
        <v>102</v>
      </c>
      <c r="B35" s="7" t="s">
        <v>103</v>
      </c>
      <c r="C35" s="7" t="s">
        <v>12</v>
      </c>
      <c r="D35" s="7" t="s">
        <v>104</v>
      </c>
      <c r="E35" s="8" t="s">
        <v>14</v>
      </c>
      <c r="F35" s="9">
        <v>1584.7</v>
      </c>
      <c r="G35" s="9">
        <f t="shared" si="4"/>
        <v>1584.7</v>
      </c>
      <c r="H35" s="9">
        <f t="shared" si="0"/>
        <v>1584.7</v>
      </c>
      <c r="I35" s="10">
        <v>24.4</v>
      </c>
      <c r="J35" s="10">
        <v>38666.68</v>
      </c>
      <c r="K35" s="10">
        <f t="shared" si="1"/>
        <v>38666.68</v>
      </c>
      <c r="L35" s="10">
        <f t="shared" si="2"/>
        <v>38666.68</v>
      </c>
    </row>
    <row r="36" spans="1:12" ht="24" customHeight="1" x14ac:dyDescent="0.25">
      <c r="A36" s="3" t="s">
        <v>105</v>
      </c>
      <c r="B36" s="3" t="s">
        <v>8</v>
      </c>
      <c r="C36" s="3"/>
      <c r="D36" s="3" t="s">
        <v>106</v>
      </c>
      <c r="E36" s="4"/>
      <c r="F36" s="5"/>
      <c r="G36" s="9"/>
      <c r="H36" s="9"/>
      <c r="I36" s="6"/>
      <c r="J36" s="6">
        <v>221219.1</v>
      </c>
      <c r="K36" s="17">
        <f>SUM(K37:K45)</f>
        <v>0</v>
      </c>
      <c r="L36" s="17">
        <f>SUM(L37:L45)</f>
        <v>0</v>
      </c>
    </row>
    <row r="37" spans="1:12" ht="39" customHeight="1" x14ac:dyDescent="0.25">
      <c r="A37" s="7" t="s">
        <v>107</v>
      </c>
      <c r="B37" s="7" t="s">
        <v>108</v>
      </c>
      <c r="C37" s="7" t="s">
        <v>12</v>
      </c>
      <c r="D37" s="7" t="s">
        <v>109</v>
      </c>
      <c r="E37" s="8" t="s">
        <v>110</v>
      </c>
      <c r="F37" s="9">
        <v>272.27999999999997</v>
      </c>
      <c r="G37" s="9"/>
      <c r="H37" s="9">
        <f t="shared" si="0"/>
        <v>0</v>
      </c>
      <c r="I37" s="10">
        <v>41.52</v>
      </c>
      <c r="J37" s="10">
        <v>11305.06</v>
      </c>
      <c r="K37" s="10">
        <f t="shared" si="1"/>
        <v>0</v>
      </c>
      <c r="L37" s="10">
        <f t="shared" si="2"/>
        <v>0</v>
      </c>
    </row>
    <row r="38" spans="1:12" ht="39" customHeight="1" x14ac:dyDescent="0.25">
      <c r="A38" s="7" t="s">
        <v>111</v>
      </c>
      <c r="B38" s="7" t="s">
        <v>112</v>
      </c>
      <c r="C38" s="7" t="s">
        <v>12</v>
      </c>
      <c r="D38" s="7" t="s">
        <v>113</v>
      </c>
      <c r="E38" s="8" t="s">
        <v>14</v>
      </c>
      <c r="F38" s="9">
        <v>1516.63</v>
      </c>
      <c r="G38" s="9"/>
      <c r="H38" s="9">
        <f t="shared" si="0"/>
        <v>0</v>
      </c>
      <c r="I38" s="10">
        <v>94.61</v>
      </c>
      <c r="J38" s="10">
        <v>143488.35999999999</v>
      </c>
      <c r="K38" s="10">
        <f t="shared" si="1"/>
        <v>0</v>
      </c>
      <c r="L38" s="10">
        <f t="shared" si="2"/>
        <v>0</v>
      </c>
    </row>
    <row r="39" spans="1:12" ht="24" customHeight="1" x14ac:dyDescent="0.25">
      <c r="A39" s="7" t="s">
        <v>114</v>
      </c>
      <c r="B39" s="7" t="s">
        <v>115</v>
      </c>
      <c r="C39" s="7" t="s">
        <v>12</v>
      </c>
      <c r="D39" s="7" t="s">
        <v>116</v>
      </c>
      <c r="E39" s="8" t="s">
        <v>47</v>
      </c>
      <c r="F39" s="9">
        <v>151.36000000000001</v>
      </c>
      <c r="G39" s="9"/>
      <c r="H39" s="9">
        <f t="shared" si="0"/>
        <v>0</v>
      </c>
      <c r="I39" s="10">
        <v>136.91</v>
      </c>
      <c r="J39" s="10">
        <v>20722.689999999999</v>
      </c>
      <c r="K39" s="10">
        <f t="shared" si="1"/>
        <v>0</v>
      </c>
      <c r="L39" s="10">
        <f t="shared" si="2"/>
        <v>0</v>
      </c>
    </row>
    <row r="40" spans="1:12" ht="24" customHeight="1" x14ac:dyDescent="0.25">
      <c r="A40" s="7" t="s">
        <v>117</v>
      </c>
      <c r="B40" s="7" t="s">
        <v>118</v>
      </c>
      <c r="C40" s="7" t="s">
        <v>12</v>
      </c>
      <c r="D40" s="7" t="s">
        <v>119</v>
      </c>
      <c r="E40" s="8" t="s">
        <v>14</v>
      </c>
      <c r="F40" s="9">
        <v>227.08</v>
      </c>
      <c r="G40" s="9"/>
      <c r="H40" s="9">
        <f t="shared" si="0"/>
        <v>0</v>
      </c>
      <c r="I40" s="10">
        <v>25.92</v>
      </c>
      <c r="J40" s="10">
        <v>5885.91</v>
      </c>
      <c r="K40" s="10">
        <f t="shared" si="1"/>
        <v>0</v>
      </c>
      <c r="L40" s="10">
        <f t="shared" si="2"/>
        <v>0</v>
      </c>
    </row>
    <row r="41" spans="1:12" ht="26.1" customHeight="1" x14ac:dyDescent="0.25">
      <c r="A41" s="7" t="s">
        <v>120</v>
      </c>
      <c r="B41" s="7" t="s">
        <v>121</v>
      </c>
      <c r="C41" s="7" t="s">
        <v>17</v>
      </c>
      <c r="D41" s="7" t="s">
        <v>122</v>
      </c>
      <c r="E41" s="8" t="s">
        <v>47</v>
      </c>
      <c r="F41" s="9">
        <v>68.12</v>
      </c>
      <c r="G41" s="9"/>
      <c r="H41" s="9">
        <f t="shared" si="0"/>
        <v>0</v>
      </c>
      <c r="I41" s="10">
        <v>184.4</v>
      </c>
      <c r="J41" s="10">
        <v>12561.32</v>
      </c>
      <c r="K41" s="10">
        <f t="shared" si="1"/>
        <v>0</v>
      </c>
      <c r="L41" s="10">
        <f t="shared" si="2"/>
        <v>0</v>
      </c>
    </row>
    <row r="42" spans="1:12" ht="51.95" customHeight="1" x14ac:dyDescent="0.25">
      <c r="A42" s="7" t="s">
        <v>123</v>
      </c>
      <c r="B42" s="7" t="s">
        <v>124</v>
      </c>
      <c r="C42" s="7" t="s">
        <v>17</v>
      </c>
      <c r="D42" s="7" t="s">
        <v>125</v>
      </c>
      <c r="E42" s="8" t="s">
        <v>19</v>
      </c>
      <c r="F42" s="9">
        <v>3</v>
      </c>
      <c r="G42" s="9"/>
      <c r="H42" s="9">
        <f t="shared" si="0"/>
        <v>0</v>
      </c>
      <c r="I42" s="10">
        <v>1754.61</v>
      </c>
      <c r="J42" s="10">
        <v>5263.83</v>
      </c>
      <c r="K42" s="10">
        <f t="shared" si="1"/>
        <v>0</v>
      </c>
      <c r="L42" s="10">
        <f t="shared" si="2"/>
        <v>0</v>
      </c>
    </row>
    <row r="43" spans="1:12" ht="39" customHeight="1" x14ac:dyDescent="0.25">
      <c r="A43" s="7" t="s">
        <v>126</v>
      </c>
      <c r="B43" s="7" t="s">
        <v>127</v>
      </c>
      <c r="C43" s="7" t="s">
        <v>17</v>
      </c>
      <c r="D43" s="7" t="s">
        <v>128</v>
      </c>
      <c r="E43" s="8" t="s">
        <v>19</v>
      </c>
      <c r="F43" s="9">
        <v>3</v>
      </c>
      <c r="G43" s="9"/>
      <c r="H43" s="9">
        <f t="shared" si="0"/>
        <v>0</v>
      </c>
      <c r="I43" s="10">
        <v>1082.28</v>
      </c>
      <c r="J43" s="10">
        <v>3246.84</v>
      </c>
      <c r="K43" s="10">
        <f t="shared" si="1"/>
        <v>0</v>
      </c>
      <c r="L43" s="10">
        <f t="shared" si="2"/>
        <v>0</v>
      </c>
    </row>
    <row r="44" spans="1:12" ht="39" customHeight="1" x14ac:dyDescent="0.25">
      <c r="A44" s="7" t="s">
        <v>129</v>
      </c>
      <c r="B44" s="7" t="s">
        <v>130</v>
      </c>
      <c r="C44" s="7" t="s">
        <v>64</v>
      </c>
      <c r="D44" s="7" t="s">
        <v>131</v>
      </c>
      <c r="E44" s="8" t="s">
        <v>110</v>
      </c>
      <c r="F44" s="9">
        <v>23.5</v>
      </c>
      <c r="G44" s="9"/>
      <c r="H44" s="9">
        <f t="shared" si="0"/>
        <v>0</v>
      </c>
      <c r="I44" s="10">
        <v>722.14</v>
      </c>
      <c r="J44" s="10">
        <v>16970.29</v>
      </c>
      <c r="K44" s="10">
        <f t="shared" si="1"/>
        <v>0</v>
      </c>
      <c r="L44" s="10">
        <f t="shared" si="2"/>
        <v>0</v>
      </c>
    </row>
    <row r="45" spans="1:12" ht="39" customHeight="1" x14ac:dyDescent="0.25">
      <c r="A45" s="7" t="s">
        <v>132</v>
      </c>
      <c r="B45" s="7" t="s">
        <v>133</v>
      </c>
      <c r="C45" s="7" t="s">
        <v>12</v>
      </c>
      <c r="D45" s="7" t="s">
        <v>134</v>
      </c>
      <c r="E45" s="8" t="s">
        <v>80</v>
      </c>
      <c r="F45" s="9">
        <v>12</v>
      </c>
      <c r="G45" s="9"/>
      <c r="H45" s="9">
        <f t="shared" si="0"/>
        <v>0</v>
      </c>
      <c r="I45" s="10">
        <v>147.9</v>
      </c>
      <c r="J45" s="10">
        <v>1774.8</v>
      </c>
      <c r="K45" s="10">
        <f t="shared" si="1"/>
        <v>0</v>
      </c>
      <c r="L45" s="10">
        <f t="shared" si="2"/>
        <v>0</v>
      </c>
    </row>
    <row r="46" spans="1:12" ht="24" customHeight="1" x14ac:dyDescent="0.25">
      <c r="A46" s="3" t="s">
        <v>135</v>
      </c>
      <c r="B46" s="3" t="s">
        <v>8</v>
      </c>
      <c r="C46" s="3"/>
      <c r="D46" s="3" t="s">
        <v>136</v>
      </c>
      <c r="E46" s="4"/>
      <c r="F46" s="5"/>
      <c r="G46" s="9"/>
      <c r="H46" s="9"/>
      <c r="I46" s="6"/>
      <c r="J46" s="6">
        <v>67820.72</v>
      </c>
      <c r="K46" s="17">
        <f>SUM(K47:K56)</f>
        <v>0</v>
      </c>
      <c r="L46" s="17">
        <f>SUM(L47:L56)</f>
        <v>0</v>
      </c>
    </row>
    <row r="47" spans="1:12" ht="39" customHeight="1" x14ac:dyDescent="0.25">
      <c r="A47" s="7" t="s">
        <v>137</v>
      </c>
      <c r="B47" s="7" t="s">
        <v>138</v>
      </c>
      <c r="C47" s="7" t="s">
        <v>12</v>
      </c>
      <c r="D47" s="7" t="s">
        <v>139</v>
      </c>
      <c r="E47" s="8" t="s">
        <v>47</v>
      </c>
      <c r="F47" s="9">
        <v>1.1499999999999999</v>
      </c>
      <c r="G47" s="9"/>
      <c r="H47" s="9">
        <f t="shared" si="0"/>
        <v>0</v>
      </c>
      <c r="I47" s="10">
        <v>102.49</v>
      </c>
      <c r="J47" s="10">
        <v>117.86</v>
      </c>
      <c r="K47" s="10">
        <f t="shared" si="1"/>
        <v>0</v>
      </c>
      <c r="L47" s="10">
        <f t="shared" si="2"/>
        <v>0</v>
      </c>
    </row>
    <row r="48" spans="1:12" ht="26.1" customHeight="1" x14ac:dyDescent="0.25">
      <c r="A48" s="7" t="s">
        <v>140</v>
      </c>
      <c r="B48" s="7" t="s">
        <v>141</v>
      </c>
      <c r="C48" s="7" t="s">
        <v>12</v>
      </c>
      <c r="D48" s="7" t="s">
        <v>142</v>
      </c>
      <c r="E48" s="8" t="s">
        <v>14</v>
      </c>
      <c r="F48" s="9">
        <v>6.12</v>
      </c>
      <c r="G48" s="9"/>
      <c r="H48" s="9">
        <f t="shared" si="0"/>
        <v>0</v>
      </c>
      <c r="I48" s="10">
        <v>101.78</v>
      </c>
      <c r="J48" s="10">
        <v>622.89</v>
      </c>
      <c r="K48" s="10">
        <f t="shared" si="1"/>
        <v>0</v>
      </c>
      <c r="L48" s="10">
        <f t="shared" si="2"/>
        <v>0</v>
      </c>
    </row>
    <row r="49" spans="1:12" ht="26.1" customHeight="1" x14ac:dyDescent="0.25">
      <c r="A49" s="7" t="s">
        <v>143</v>
      </c>
      <c r="B49" s="7" t="s">
        <v>144</v>
      </c>
      <c r="C49" s="7" t="s">
        <v>12</v>
      </c>
      <c r="D49" s="7" t="s">
        <v>145</v>
      </c>
      <c r="E49" s="8" t="s">
        <v>47</v>
      </c>
      <c r="F49" s="9">
        <v>0.4</v>
      </c>
      <c r="G49" s="9"/>
      <c r="H49" s="9">
        <f t="shared" si="0"/>
        <v>0</v>
      </c>
      <c r="I49" s="10">
        <v>822.17</v>
      </c>
      <c r="J49" s="10">
        <v>328.86</v>
      </c>
      <c r="K49" s="10">
        <f t="shared" si="1"/>
        <v>0</v>
      </c>
      <c r="L49" s="10">
        <f t="shared" si="2"/>
        <v>0</v>
      </c>
    </row>
    <row r="50" spans="1:12" ht="39" customHeight="1" x14ac:dyDescent="0.25">
      <c r="A50" s="7" t="s">
        <v>146</v>
      </c>
      <c r="B50" s="7" t="s">
        <v>147</v>
      </c>
      <c r="C50" s="7" t="s">
        <v>12</v>
      </c>
      <c r="D50" s="7" t="s">
        <v>148</v>
      </c>
      <c r="E50" s="8" t="s">
        <v>47</v>
      </c>
      <c r="F50" s="9">
        <v>0.56000000000000005</v>
      </c>
      <c r="G50" s="9"/>
      <c r="H50" s="9">
        <f t="shared" si="0"/>
        <v>0</v>
      </c>
      <c r="I50" s="10">
        <v>2999.48</v>
      </c>
      <c r="J50" s="10">
        <v>1679.7</v>
      </c>
      <c r="K50" s="10">
        <f t="shared" si="1"/>
        <v>0</v>
      </c>
      <c r="L50" s="10">
        <f t="shared" si="2"/>
        <v>0</v>
      </c>
    </row>
    <row r="51" spans="1:12" ht="24" customHeight="1" x14ac:dyDescent="0.25">
      <c r="A51" s="7" t="s">
        <v>149</v>
      </c>
      <c r="B51" s="7" t="s">
        <v>150</v>
      </c>
      <c r="C51" s="7" t="s">
        <v>22</v>
      </c>
      <c r="D51" s="7" t="s">
        <v>151</v>
      </c>
      <c r="E51" s="8" t="s">
        <v>14</v>
      </c>
      <c r="F51" s="9">
        <v>22.16</v>
      </c>
      <c r="G51" s="9"/>
      <c r="H51" s="9">
        <f t="shared" si="0"/>
        <v>0</v>
      </c>
      <c r="I51" s="10">
        <v>1305.4100000000001</v>
      </c>
      <c r="J51" s="10">
        <v>28927.88</v>
      </c>
      <c r="K51" s="10">
        <f t="shared" si="1"/>
        <v>0</v>
      </c>
      <c r="L51" s="10">
        <f t="shared" si="2"/>
        <v>0</v>
      </c>
    </row>
    <row r="52" spans="1:12" ht="26.1" customHeight="1" x14ac:dyDescent="0.25">
      <c r="A52" s="7" t="s">
        <v>152</v>
      </c>
      <c r="B52" s="7" t="s">
        <v>153</v>
      </c>
      <c r="C52" s="7" t="s">
        <v>22</v>
      </c>
      <c r="D52" s="7" t="s">
        <v>154</v>
      </c>
      <c r="E52" s="8" t="s">
        <v>110</v>
      </c>
      <c r="F52" s="9">
        <v>31.66</v>
      </c>
      <c r="G52" s="9"/>
      <c r="H52" s="9">
        <f t="shared" si="0"/>
        <v>0</v>
      </c>
      <c r="I52" s="10">
        <v>66.25</v>
      </c>
      <c r="J52" s="10">
        <v>2097.4699999999998</v>
      </c>
      <c r="K52" s="10">
        <f t="shared" si="1"/>
        <v>0</v>
      </c>
      <c r="L52" s="10">
        <f t="shared" si="2"/>
        <v>0</v>
      </c>
    </row>
    <row r="53" spans="1:12" ht="26.1" customHeight="1" x14ac:dyDescent="0.25">
      <c r="A53" s="7" t="s">
        <v>155</v>
      </c>
      <c r="B53" s="7" t="s">
        <v>156</v>
      </c>
      <c r="C53" s="7" t="s">
        <v>22</v>
      </c>
      <c r="D53" s="7" t="s">
        <v>157</v>
      </c>
      <c r="E53" s="8" t="s">
        <v>14</v>
      </c>
      <c r="F53" s="9">
        <v>88.64</v>
      </c>
      <c r="G53" s="9"/>
      <c r="H53" s="9">
        <f t="shared" si="0"/>
        <v>0</v>
      </c>
      <c r="I53" s="10">
        <v>47.69</v>
      </c>
      <c r="J53" s="10">
        <v>4227.24</v>
      </c>
      <c r="K53" s="10">
        <f t="shared" si="1"/>
        <v>0</v>
      </c>
      <c r="L53" s="10">
        <f t="shared" si="2"/>
        <v>0</v>
      </c>
    </row>
    <row r="54" spans="1:12" ht="24" customHeight="1" x14ac:dyDescent="0.25">
      <c r="A54" s="7" t="s">
        <v>158</v>
      </c>
      <c r="B54" s="7" t="s">
        <v>159</v>
      </c>
      <c r="C54" s="7" t="s">
        <v>22</v>
      </c>
      <c r="D54" s="7" t="s">
        <v>160</v>
      </c>
      <c r="E54" s="8" t="s">
        <v>14</v>
      </c>
      <c r="F54" s="9">
        <v>88.64</v>
      </c>
      <c r="G54" s="9"/>
      <c r="H54" s="9">
        <f t="shared" si="0"/>
        <v>0</v>
      </c>
      <c r="I54" s="10">
        <v>310.81</v>
      </c>
      <c r="J54" s="10">
        <v>27550.19</v>
      </c>
      <c r="K54" s="10">
        <f t="shared" si="1"/>
        <v>0</v>
      </c>
      <c r="L54" s="10">
        <f t="shared" si="2"/>
        <v>0</v>
      </c>
    </row>
    <row r="55" spans="1:12" ht="24" customHeight="1" x14ac:dyDescent="0.25">
      <c r="A55" s="7" t="s">
        <v>161</v>
      </c>
      <c r="B55" s="7" t="s">
        <v>162</v>
      </c>
      <c r="C55" s="7" t="s">
        <v>22</v>
      </c>
      <c r="D55" s="7" t="s">
        <v>163</v>
      </c>
      <c r="E55" s="8" t="s">
        <v>80</v>
      </c>
      <c r="F55" s="9">
        <v>2</v>
      </c>
      <c r="G55" s="9"/>
      <c r="H55" s="9">
        <f t="shared" si="0"/>
        <v>0</v>
      </c>
      <c r="I55" s="10">
        <v>123.73</v>
      </c>
      <c r="J55" s="10">
        <v>247.46</v>
      </c>
      <c r="K55" s="10">
        <f t="shared" si="1"/>
        <v>0</v>
      </c>
      <c r="L55" s="10">
        <f t="shared" si="2"/>
        <v>0</v>
      </c>
    </row>
    <row r="56" spans="1:12" ht="26.1" customHeight="1" x14ac:dyDescent="0.25">
      <c r="A56" s="7" t="s">
        <v>164</v>
      </c>
      <c r="B56" s="7" t="s">
        <v>165</v>
      </c>
      <c r="C56" s="7" t="s">
        <v>12</v>
      </c>
      <c r="D56" s="7" t="s">
        <v>166</v>
      </c>
      <c r="E56" s="8" t="s">
        <v>110</v>
      </c>
      <c r="F56" s="9">
        <v>31.66</v>
      </c>
      <c r="G56" s="9"/>
      <c r="H56" s="9">
        <f t="shared" si="0"/>
        <v>0</v>
      </c>
      <c r="I56" s="10">
        <v>63.84</v>
      </c>
      <c r="J56" s="10">
        <v>2021.17</v>
      </c>
      <c r="K56" s="10">
        <f t="shared" si="1"/>
        <v>0</v>
      </c>
      <c r="L56" s="10">
        <f t="shared" si="2"/>
        <v>0</v>
      </c>
    </row>
    <row r="57" spans="1:12" ht="24" customHeight="1" x14ac:dyDescent="0.25">
      <c r="A57" s="3" t="s">
        <v>167</v>
      </c>
      <c r="B57" s="3" t="s">
        <v>8</v>
      </c>
      <c r="C57" s="3"/>
      <c r="D57" s="3" t="s">
        <v>168</v>
      </c>
      <c r="E57" s="4"/>
      <c r="F57" s="5"/>
      <c r="G57" s="9"/>
      <c r="H57" s="9"/>
      <c r="I57" s="6"/>
      <c r="J57" s="6">
        <v>247879.3</v>
      </c>
      <c r="K57" s="17">
        <f>SUM(K58:K104)</f>
        <v>0</v>
      </c>
      <c r="L57" s="17">
        <f>SUM(L58:L104)</f>
        <v>0</v>
      </c>
    </row>
    <row r="58" spans="1:12" ht="39" customHeight="1" x14ac:dyDescent="0.25">
      <c r="A58" s="7" t="s">
        <v>169</v>
      </c>
      <c r="B58" s="7" t="s">
        <v>170</v>
      </c>
      <c r="C58" s="7" t="s">
        <v>12</v>
      </c>
      <c r="D58" s="7" t="s">
        <v>171</v>
      </c>
      <c r="E58" s="8" t="s">
        <v>47</v>
      </c>
      <c r="F58" s="9">
        <v>7.06</v>
      </c>
      <c r="G58" s="9"/>
      <c r="H58" s="9">
        <f t="shared" si="0"/>
        <v>0</v>
      </c>
      <c r="I58" s="10">
        <v>221.54</v>
      </c>
      <c r="J58" s="10">
        <v>1564.07</v>
      </c>
      <c r="K58" s="10">
        <f t="shared" si="1"/>
        <v>0</v>
      </c>
      <c r="L58" s="10">
        <f t="shared" si="2"/>
        <v>0</v>
      </c>
    </row>
    <row r="59" spans="1:12" ht="26.1" customHeight="1" x14ac:dyDescent="0.25">
      <c r="A59" s="7" t="s">
        <v>172</v>
      </c>
      <c r="B59" s="7" t="s">
        <v>144</v>
      </c>
      <c r="C59" s="7" t="s">
        <v>12</v>
      </c>
      <c r="D59" s="7" t="s">
        <v>145</v>
      </c>
      <c r="E59" s="8" t="s">
        <v>47</v>
      </c>
      <c r="F59" s="9">
        <v>1.78</v>
      </c>
      <c r="G59" s="9"/>
      <c r="H59" s="9">
        <f t="shared" si="0"/>
        <v>0</v>
      </c>
      <c r="I59" s="10">
        <v>822.17</v>
      </c>
      <c r="J59" s="10">
        <v>1463.46</v>
      </c>
      <c r="K59" s="10">
        <f t="shared" si="1"/>
        <v>0</v>
      </c>
      <c r="L59" s="10">
        <f t="shared" si="2"/>
        <v>0</v>
      </c>
    </row>
    <row r="60" spans="1:12" ht="39" customHeight="1" x14ac:dyDescent="0.25">
      <c r="A60" s="7" t="s">
        <v>173</v>
      </c>
      <c r="B60" s="7" t="s">
        <v>82</v>
      </c>
      <c r="C60" s="7" t="s">
        <v>12</v>
      </c>
      <c r="D60" s="7" t="s">
        <v>83</v>
      </c>
      <c r="E60" s="8" t="s">
        <v>47</v>
      </c>
      <c r="F60" s="9">
        <v>6.4</v>
      </c>
      <c r="G60" s="9"/>
      <c r="H60" s="9">
        <f t="shared" si="0"/>
        <v>0</v>
      </c>
      <c r="I60" s="10">
        <v>486.4</v>
      </c>
      <c r="J60" s="10">
        <v>3112.96</v>
      </c>
      <c r="K60" s="10">
        <f t="shared" si="1"/>
        <v>0</v>
      </c>
      <c r="L60" s="10">
        <f t="shared" si="2"/>
        <v>0</v>
      </c>
    </row>
    <row r="61" spans="1:12" ht="26.1" customHeight="1" x14ac:dyDescent="0.25">
      <c r="A61" s="7" t="s">
        <v>174</v>
      </c>
      <c r="B61" s="7" t="s">
        <v>141</v>
      </c>
      <c r="C61" s="7" t="s">
        <v>12</v>
      </c>
      <c r="D61" s="7" t="s">
        <v>142</v>
      </c>
      <c r="E61" s="8" t="s">
        <v>14</v>
      </c>
      <c r="F61" s="9">
        <v>66</v>
      </c>
      <c r="G61" s="9"/>
      <c r="H61" s="9">
        <f t="shared" si="0"/>
        <v>0</v>
      </c>
      <c r="I61" s="10">
        <v>101.78</v>
      </c>
      <c r="J61" s="10">
        <v>6717.48</v>
      </c>
      <c r="K61" s="10">
        <f t="shared" si="1"/>
        <v>0</v>
      </c>
      <c r="L61" s="10">
        <f t="shared" si="2"/>
        <v>0</v>
      </c>
    </row>
    <row r="62" spans="1:12" ht="24" customHeight="1" x14ac:dyDescent="0.25">
      <c r="A62" s="7" t="s">
        <v>175</v>
      </c>
      <c r="B62" s="7" t="s">
        <v>78</v>
      </c>
      <c r="C62" s="7" t="s">
        <v>12</v>
      </c>
      <c r="D62" s="7" t="s">
        <v>79</v>
      </c>
      <c r="E62" s="8" t="s">
        <v>80</v>
      </c>
      <c r="F62" s="9">
        <v>12.8</v>
      </c>
      <c r="G62" s="9"/>
      <c r="H62" s="9">
        <f t="shared" si="0"/>
        <v>0</v>
      </c>
      <c r="I62" s="10">
        <v>745.45</v>
      </c>
      <c r="J62" s="10">
        <v>9541.76</v>
      </c>
      <c r="K62" s="10">
        <f t="shared" si="1"/>
        <v>0</v>
      </c>
      <c r="L62" s="10">
        <f t="shared" si="2"/>
        <v>0</v>
      </c>
    </row>
    <row r="63" spans="1:12" ht="26.1" customHeight="1" x14ac:dyDescent="0.25">
      <c r="A63" s="7" t="s">
        <v>176</v>
      </c>
      <c r="B63" s="7" t="s">
        <v>177</v>
      </c>
      <c r="C63" s="7" t="s">
        <v>12</v>
      </c>
      <c r="D63" s="7" t="s">
        <v>178</v>
      </c>
      <c r="E63" s="8" t="s">
        <v>179</v>
      </c>
      <c r="F63" s="9">
        <v>616</v>
      </c>
      <c r="G63" s="9"/>
      <c r="H63" s="9">
        <f t="shared" si="0"/>
        <v>0</v>
      </c>
      <c r="I63" s="10">
        <v>7.85</v>
      </c>
      <c r="J63" s="10">
        <v>4835.6000000000004</v>
      </c>
      <c r="K63" s="10">
        <f t="shared" si="1"/>
        <v>0</v>
      </c>
      <c r="L63" s="10">
        <f t="shared" si="2"/>
        <v>0</v>
      </c>
    </row>
    <row r="64" spans="1:12" ht="51.95" customHeight="1" x14ac:dyDescent="0.25">
      <c r="A64" s="7" t="s">
        <v>180</v>
      </c>
      <c r="B64" s="7" t="s">
        <v>181</v>
      </c>
      <c r="C64" s="7" t="s">
        <v>12</v>
      </c>
      <c r="D64" s="7" t="s">
        <v>182</v>
      </c>
      <c r="E64" s="8" t="s">
        <v>14</v>
      </c>
      <c r="F64" s="9">
        <v>92.4</v>
      </c>
      <c r="G64" s="9"/>
      <c r="H64" s="9">
        <f t="shared" si="0"/>
        <v>0</v>
      </c>
      <c r="I64" s="10">
        <v>181.77</v>
      </c>
      <c r="J64" s="10">
        <v>16795.54</v>
      </c>
      <c r="K64" s="10">
        <f t="shared" si="1"/>
        <v>0</v>
      </c>
      <c r="L64" s="10">
        <f t="shared" si="2"/>
        <v>0</v>
      </c>
    </row>
    <row r="65" spans="1:12" ht="39" customHeight="1" x14ac:dyDescent="0.25">
      <c r="A65" s="7" t="s">
        <v>183</v>
      </c>
      <c r="B65" s="7" t="s">
        <v>184</v>
      </c>
      <c r="C65" s="7" t="s">
        <v>12</v>
      </c>
      <c r="D65" s="7" t="s">
        <v>185</v>
      </c>
      <c r="E65" s="8" t="s">
        <v>14</v>
      </c>
      <c r="F65" s="9">
        <v>184.8</v>
      </c>
      <c r="G65" s="9"/>
      <c r="H65" s="9">
        <f t="shared" si="0"/>
        <v>0</v>
      </c>
      <c r="I65" s="10">
        <v>5.17</v>
      </c>
      <c r="J65" s="10">
        <v>955.41</v>
      </c>
      <c r="K65" s="10">
        <f t="shared" si="1"/>
        <v>0</v>
      </c>
      <c r="L65" s="10">
        <f t="shared" si="2"/>
        <v>0</v>
      </c>
    </row>
    <row r="66" spans="1:12" ht="39" customHeight="1" x14ac:dyDescent="0.25">
      <c r="A66" s="7" t="s">
        <v>186</v>
      </c>
      <c r="B66" s="7" t="s">
        <v>187</v>
      </c>
      <c r="C66" s="7" t="s">
        <v>12</v>
      </c>
      <c r="D66" s="7" t="s">
        <v>188</v>
      </c>
      <c r="E66" s="8" t="s">
        <v>14</v>
      </c>
      <c r="F66" s="9">
        <v>184.8</v>
      </c>
      <c r="G66" s="9"/>
      <c r="H66" s="9">
        <f t="shared" si="0"/>
        <v>0</v>
      </c>
      <c r="I66" s="10">
        <v>27.81</v>
      </c>
      <c r="J66" s="10">
        <v>5139.28</v>
      </c>
      <c r="K66" s="10">
        <f t="shared" si="1"/>
        <v>0</v>
      </c>
      <c r="L66" s="10">
        <f t="shared" si="2"/>
        <v>0</v>
      </c>
    </row>
    <row r="67" spans="1:12" ht="26.1" customHeight="1" x14ac:dyDescent="0.25">
      <c r="A67" s="7" t="s">
        <v>189</v>
      </c>
      <c r="B67" s="7" t="s">
        <v>190</v>
      </c>
      <c r="C67" s="7" t="s">
        <v>12</v>
      </c>
      <c r="D67" s="7" t="s">
        <v>191</v>
      </c>
      <c r="E67" s="8" t="s">
        <v>110</v>
      </c>
      <c r="F67" s="9">
        <v>6</v>
      </c>
      <c r="G67" s="9"/>
      <c r="H67" s="9">
        <f t="shared" si="0"/>
        <v>0</v>
      </c>
      <c r="I67" s="10">
        <v>51.88</v>
      </c>
      <c r="J67" s="10">
        <v>311.27999999999997</v>
      </c>
      <c r="K67" s="10">
        <f t="shared" si="1"/>
        <v>0</v>
      </c>
      <c r="L67" s="10">
        <f t="shared" si="2"/>
        <v>0</v>
      </c>
    </row>
    <row r="68" spans="1:12" ht="39" customHeight="1" x14ac:dyDescent="0.25">
      <c r="A68" s="7" t="s">
        <v>192</v>
      </c>
      <c r="B68" s="7" t="s">
        <v>193</v>
      </c>
      <c r="C68" s="7" t="s">
        <v>12</v>
      </c>
      <c r="D68" s="7" t="s">
        <v>194</v>
      </c>
      <c r="E68" s="8" t="s">
        <v>14</v>
      </c>
      <c r="F68" s="9">
        <v>131.9</v>
      </c>
      <c r="G68" s="9"/>
      <c r="H68" s="9">
        <f t="shared" si="0"/>
        <v>0</v>
      </c>
      <c r="I68" s="10">
        <v>198.99</v>
      </c>
      <c r="J68" s="10">
        <v>26246.78</v>
      </c>
      <c r="K68" s="10">
        <f t="shared" si="1"/>
        <v>0</v>
      </c>
      <c r="L68" s="10">
        <f t="shared" si="2"/>
        <v>0</v>
      </c>
    </row>
    <row r="69" spans="1:12" ht="26.1" customHeight="1" x14ac:dyDescent="0.25">
      <c r="A69" s="7" t="s">
        <v>195</v>
      </c>
      <c r="B69" s="7" t="s">
        <v>196</v>
      </c>
      <c r="C69" s="7" t="s">
        <v>12</v>
      </c>
      <c r="D69" s="7" t="s">
        <v>197</v>
      </c>
      <c r="E69" s="8" t="s">
        <v>14</v>
      </c>
      <c r="F69" s="9">
        <v>131.9</v>
      </c>
      <c r="G69" s="9"/>
      <c r="H69" s="9">
        <f t="shared" si="0"/>
        <v>0</v>
      </c>
      <c r="I69" s="10">
        <v>158.37</v>
      </c>
      <c r="J69" s="10">
        <v>20889</v>
      </c>
      <c r="K69" s="10">
        <f t="shared" si="1"/>
        <v>0</v>
      </c>
      <c r="L69" s="10">
        <f t="shared" si="2"/>
        <v>0</v>
      </c>
    </row>
    <row r="70" spans="1:12" ht="24" customHeight="1" x14ac:dyDescent="0.25">
      <c r="A70" s="7" t="s">
        <v>198</v>
      </c>
      <c r="B70" s="7" t="s">
        <v>199</v>
      </c>
      <c r="C70" s="7" t="s">
        <v>22</v>
      </c>
      <c r="D70" s="7" t="s">
        <v>200</v>
      </c>
      <c r="E70" s="8" t="s">
        <v>14</v>
      </c>
      <c r="F70" s="9">
        <v>131.9</v>
      </c>
      <c r="G70" s="9"/>
      <c r="H70" s="9">
        <f t="shared" si="0"/>
        <v>0</v>
      </c>
      <c r="I70" s="10">
        <v>28.18</v>
      </c>
      <c r="J70" s="10">
        <v>3716.94</v>
      </c>
      <c r="K70" s="10">
        <f t="shared" si="1"/>
        <v>0</v>
      </c>
      <c r="L70" s="10">
        <f t="shared" si="2"/>
        <v>0</v>
      </c>
    </row>
    <row r="71" spans="1:12" ht="24" customHeight="1" x14ac:dyDescent="0.25">
      <c r="A71" s="7" t="s">
        <v>201</v>
      </c>
      <c r="B71" s="7" t="s">
        <v>202</v>
      </c>
      <c r="C71" s="7" t="s">
        <v>22</v>
      </c>
      <c r="D71" s="7" t="s">
        <v>203</v>
      </c>
      <c r="E71" s="8" t="s">
        <v>110</v>
      </c>
      <c r="F71" s="9">
        <v>40</v>
      </c>
      <c r="G71" s="9"/>
      <c r="H71" s="9">
        <f t="shared" si="0"/>
        <v>0</v>
      </c>
      <c r="I71" s="10">
        <v>55.91</v>
      </c>
      <c r="J71" s="10">
        <v>2236.4</v>
      </c>
      <c r="K71" s="10">
        <f t="shared" si="1"/>
        <v>0</v>
      </c>
      <c r="L71" s="10">
        <f t="shared" si="2"/>
        <v>0</v>
      </c>
    </row>
    <row r="72" spans="1:12" ht="24" customHeight="1" x14ac:dyDescent="0.25">
      <c r="A72" s="7" t="s">
        <v>204</v>
      </c>
      <c r="B72" s="7" t="s">
        <v>205</v>
      </c>
      <c r="C72" s="7" t="s">
        <v>22</v>
      </c>
      <c r="D72" s="7" t="s">
        <v>206</v>
      </c>
      <c r="E72" s="8" t="s">
        <v>110</v>
      </c>
      <c r="F72" s="9">
        <v>40</v>
      </c>
      <c r="G72" s="9"/>
      <c r="H72" s="9">
        <f t="shared" ref="H72:H135" si="5">G72</f>
        <v>0</v>
      </c>
      <c r="I72" s="10">
        <v>31.93</v>
      </c>
      <c r="J72" s="10">
        <v>1277.2</v>
      </c>
      <c r="K72" s="10">
        <f t="shared" ref="K72:K135" si="6">TRUNC(G72*I72,2)</f>
        <v>0</v>
      </c>
      <c r="L72" s="10">
        <f t="shared" ref="L72:L135" si="7">TRUNC(H72*I72,2)</f>
        <v>0</v>
      </c>
    </row>
    <row r="73" spans="1:12" ht="26.1" customHeight="1" x14ac:dyDescent="0.25">
      <c r="A73" s="7" t="s">
        <v>207</v>
      </c>
      <c r="B73" s="7" t="s">
        <v>208</v>
      </c>
      <c r="C73" s="7" t="s">
        <v>12</v>
      </c>
      <c r="D73" s="7" t="s">
        <v>209</v>
      </c>
      <c r="E73" s="8" t="s">
        <v>80</v>
      </c>
      <c r="F73" s="9">
        <v>4</v>
      </c>
      <c r="G73" s="9"/>
      <c r="H73" s="9">
        <f t="shared" si="5"/>
        <v>0</v>
      </c>
      <c r="I73" s="10">
        <v>500.54</v>
      </c>
      <c r="J73" s="10">
        <v>2002.16</v>
      </c>
      <c r="K73" s="10">
        <f t="shared" si="6"/>
        <v>0</v>
      </c>
      <c r="L73" s="10">
        <f t="shared" si="7"/>
        <v>0</v>
      </c>
    </row>
    <row r="74" spans="1:12" ht="39" customHeight="1" x14ac:dyDescent="0.25">
      <c r="A74" s="7" t="s">
        <v>210</v>
      </c>
      <c r="B74" s="7" t="s">
        <v>211</v>
      </c>
      <c r="C74" s="7" t="s">
        <v>12</v>
      </c>
      <c r="D74" s="7" t="s">
        <v>212</v>
      </c>
      <c r="E74" s="8" t="s">
        <v>80</v>
      </c>
      <c r="F74" s="9">
        <v>2</v>
      </c>
      <c r="G74" s="9"/>
      <c r="H74" s="9">
        <f t="shared" si="5"/>
        <v>0</v>
      </c>
      <c r="I74" s="10">
        <v>653.63</v>
      </c>
      <c r="J74" s="10">
        <v>1307.26</v>
      </c>
      <c r="K74" s="10">
        <f t="shared" si="6"/>
        <v>0</v>
      </c>
      <c r="L74" s="10">
        <f t="shared" si="7"/>
        <v>0</v>
      </c>
    </row>
    <row r="75" spans="1:12" ht="39" customHeight="1" x14ac:dyDescent="0.25">
      <c r="A75" s="7" t="s">
        <v>213</v>
      </c>
      <c r="B75" s="7" t="s">
        <v>214</v>
      </c>
      <c r="C75" s="7" t="s">
        <v>12</v>
      </c>
      <c r="D75" s="7" t="s">
        <v>215</v>
      </c>
      <c r="E75" s="8" t="s">
        <v>80</v>
      </c>
      <c r="F75" s="9">
        <v>2</v>
      </c>
      <c r="G75" s="9"/>
      <c r="H75" s="9">
        <f t="shared" si="5"/>
        <v>0</v>
      </c>
      <c r="I75" s="10">
        <v>506.76</v>
      </c>
      <c r="J75" s="10">
        <v>1013.52</v>
      </c>
      <c r="K75" s="10">
        <f t="shared" si="6"/>
        <v>0</v>
      </c>
      <c r="L75" s="10">
        <f t="shared" si="7"/>
        <v>0</v>
      </c>
    </row>
    <row r="76" spans="1:12" ht="65.099999999999994" customHeight="1" x14ac:dyDescent="0.25">
      <c r="A76" s="7" t="s">
        <v>216</v>
      </c>
      <c r="B76" s="7" t="s">
        <v>217</v>
      </c>
      <c r="C76" s="7" t="s">
        <v>12</v>
      </c>
      <c r="D76" s="7" t="s">
        <v>218</v>
      </c>
      <c r="E76" s="8" t="s">
        <v>80</v>
      </c>
      <c r="F76" s="9">
        <v>2</v>
      </c>
      <c r="G76" s="9"/>
      <c r="H76" s="9">
        <f t="shared" si="5"/>
        <v>0</v>
      </c>
      <c r="I76" s="10">
        <v>837.1</v>
      </c>
      <c r="J76" s="10">
        <v>1674.2</v>
      </c>
      <c r="K76" s="10">
        <f t="shared" si="6"/>
        <v>0</v>
      </c>
      <c r="L76" s="10">
        <f t="shared" si="7"/>
        <v>0</v>
      </c>
    </row>
    <row r="77" spans="1:12" ht="51.95" customHeight="1" x14ac:dyDescent="0.25">
      <c r="A77" s="7" t="s">
        <v>219</v>
      </c>
      <c r="B77" s="7" t="s">
        <v>220</v>
      </c>
      <c r="C77" s="7" t="s">
        <v>12</v>
      </c>
      <c r="D77" s="7" t="s">
        <v>221</v>
      </c>
      <c r="E77" s="8" t="s">
        <v>80</v>
      </c>
      <c r="F77" s="9">
        <v>8</v>
      </c>
      <c r="G77" s="9"/>
      <c r="H77" s="9">
        <f t="shared" si="5"/>
        <v>0</v>
      </c>
      <c r="I77" s="10">
        <v>165.84</v>
      </c>
      <c r="J77" s="10">
        <v>1326.72</v>
      </c>
      <c r="K77" s="10">
        <f t="shared" si="6"/>
        <v>0</v>
      </c>
      <c r="L77" s="10">
        <f t="shared" si="7"/>
        <v>0</v>
      </c>
    </row>
    <row r="78" spans="1:12" ht="39" customHeight="1" x14ac:dyDescent="0.25">
      <c r="A78" s="7" t="s">
        <v>222</v>
      </c>
      <c r="B78" s="7" t="s">
        <v>223</v>
      </c>
      <c r="C78" s="7" t="s">
        <v>12</v>
      </c>
      <c r="D78" s="7" t="s">
        <v>224</v>
      </c>
      <c r="E78" s="8" t="s">
        <v>110</v>
      </c>
      <c r="F78" s="9">
        <v>50</v>
      </c>
      <c r="G78" s="9"/>
      <c r="H78" s="9">
        <f t="shared" si="5"/>
        <v>0</v>
      </c>
      <c r="I78" s="10">
        <v>15.02</v>
      </c>
      <c r="J78" s="10">
        <v>751</v>
      </c>
      <c r="K78" s="10">
        <f t="shared" si="6"/>
        <v>0</v>
      </c>
      <c r="L78" s="10">
        <f t="shared" si="7"/>
        <v>0</v>
      </c>
    </row>
    <row r="79" spans="1:12" ht="39" customHeight="1" x14ac:dyDescent="0.25">
      <c r="A79" s="7" t="s">
        <v>225</v>
      </c>
      <c r="B79" s="7" t="s">
        <v>226</v>
      </c>
      <c r="C79" s="7" t="s">
        <v>12</v>
      </c>
      <c r="D79" s="7" t="s">
        <v>227</v>
      </c>
      <c r="E79" s="8" t="s">
        <v>110</v>
      </c>
      <c r="F79" s="9">
        <v>24</v>
      </c>
      <c r="G79" s="9"/>
      <c r="H79" s="9">
        <f t="shared" si="5"/>
        <v>0</v>
      </c>
      <c r="I79" s="10">
        <v>25.68</v>
      </c>
      <c r="J79" s="10">
        <v>616.32000000000005</v>
      </c>
      <c r="K79" s="10">
        <f t="shared" si="6"/>
        <v>0</v>
      </c>
      <c r="L79" s="10">
        <f t="shared" si="7"/>
        <v>0</v>
      </c>
    </row>
    <row r="80" spans="1:12" ht="26.1" customHeight="1" x14ac:dyDescent="0.25">
      <c r="A80" s="7" t="s">
        <v>228</v>
      </c>
      <c r="B80" s="7" t="s">
        <v>229</v>
      </c>
      <c r="C80" s="7" t="s">
        <v>12</v>
      </c>
      <c r="D80" s="7" t="s">
        <v>230</v>
      </c>
      <c r="E80" s="8" t="s">
        <v>80</v>
      </c>
      <c r="F80" s="9">
        <v>12</v>
      </c>
      <c r="G80" s="9"/>
      <c r="H80" s="9">
        <f t="shared" si="5"/>
        <v>0</v>
      </c>
      <c r="I80" s="10">
        <v>60.67</v>
      </c>
      <c r="J80" s="10">
        <v>728.04</v>
      </c>
      <c r="K80" s="10">
        <f t="shared" si="6"/>
        <v>0</v>
      </c>
      <c r="L80" s="10">
        <f t="shared" si="7"/>
        <v>0</v>
      </c>
    </row>
    <row r="81" spans="1:12" ht="26.1" customHeight="1" x14ac:dyDescent="0.25">
      <c r="A81" s="7" t="s">
        <v>231</v>
      </c>
      <c r="B81" s="7" t="s">
        <v>232</v>
      </c>
      <c r="C81" s="7" t="s">
        <v>12</v>
      </c>
      <c r="D81" s="7" t="s">
        <v>233</v>
      </c>
      <c r="E81" s="8" t="s">
        <v>80</v>
      </c>
      <c r="F81" s="9">
        <v>4</v>
      </c>
      <c r="G81" s="9"/>
      <c r="H81" s="9">
        <f t="shared" si="5"/>
        <v>0</v>
      </c>
      <c r="I81" s="10">
        <v>536.24</v>
      </c>
      <c r="J81" s="10">
        <v>2144.96</v>
      </c>
      <c r="K81" s="10">
        <f t="shared" si="6"/>
        <v>0</v>
      </c>
      <c r="L81" s="10">
        <f t="shared" si="7"/>
        <v>0</v>
      </c>
    </row>
    <row r="82" spans="1:12" ht="26.1" customHeight="1" x14ac:dyDescent="0.25">
      <c r="A82" s="7" t="s">
        <v>234</v>
      </c>
      <c r="B82" s="7" t="s">
        <v>235</v>
      </c>
      <c r="C82" s="7" t="s">
        <v>12</v>
      </c>
      <c r="D82" s="7" t="s">
        <v>236</v>
      </c>
      <c r="E82" s="8" t="s">
        <v>80</v>
      </c>
      <c r="F82" s="9">
        <v>2</v>
      </c>
      <c r="G82" s="9"/>
      <c r="H82" s="9">
        <f t="shared" si="5"/>
        <v>0</v>
      </c>
      <c r="I82" s="10">
        <v>316.47000000000003</v>
      </c>
      <c r="J82" s="10">
        <v>632.94000000000005</v>
      </c>
      <c r="K82" s="10">
        <f t="shared" si="6"/>
        <v>0</v>
      </c>
      <c r="L82" s="10">
        <f t="shared" si="7"/>
        <v>0</v>
      </c>
    </row>
    <row r="83" spans="1:12" ht="26.1" customHeight="1" x14ac:dyDescent="0.25">
      <c r="A83" s="7" t="s">
        <v>237</v>
      </c>
      <c r="B83" s="7" t="s">
        <v>238</v>
      </c>
      <c r="C83" s="7" t="s">
        <v>12</v>
      </c>
      <c r="D83" s="7" t="s">
        <v>239</v>
      </c>
      <c r="E83" s="8" t="s">
        <v>110</v>
      </c>
      <c r="F83" s="9">
        <v>16</v>
      </c>
      <c r="G83" s="9"/>
      <c r="H83" s="9">
        <f t="shared" si="5"/>
        <v>0</v>
      </c>
      <c r="I83" s="10">
        <v>72.180000000000007</v>
      </c>
      <c r="J83" s="10">
        <v>1154.8800000000001</v>
      </c>
      <c r="K83" s="10">
        <f t="shared" si="6"/>
        <v>0</v>
      </c>
      <c r="L83" s="10">
        <f t="shared" si="7"/>
        <v>0</v>
      </c>
    </row>
    <row r="84" spans="1:12" ht="26.1" customHeight="1" x14ac:dyDescent="0.25">
      <c r="A84" s="7" t="s">
        <v>240</v>
      </c>
      <c r="B84" s="7" t="s">
        <v>241</v>
      </c>
      <c r="C84" s="7" t="s">
        <v>12</v>
      </c>
      <c r="D84" s="7" t="s">
        <v>242</v>
      </c>
      <c r="E84" s="8" t="s">
        <v>80</v>
      </c>
      <c r="F84" s="9">
        <v>2</v>
      </c>
      <c r="G84" s="9"/>
      <c r="H84" s="9">
        <f t="shared" si="5"/>
        <v>0</v>
      </c>
      <c r="I84" s="10">
        <v>696.02</v>
      </c>
      <c r="J84" s="10">
        <v>1392.04</v>
      </c>
      <c r="K84" s="10">
        <f t="shared" si="6"/>
        <v>0</v>
      </c>
      <c r="L84" s="10">
        <f t="shared" si="7"/>
        <v>0</v>
      </c>
    </row>
    <row r="85" spans="1:12" ht="51.95" customHeight="1" x14ac:dyDescent="0.25">
      <c r="A85" s="7" t="s">
        <v>243</v>
      </c>
      <c r="B85" s="7" t="s">
        <v>244</v>
      </c>
      <c r="C85" s="7" t="s">
        <v>12</v>
      </c>
      <c r="D85" s="7" t="s">
        <v>245</v>
      </c>
      <c r="E85" s="8" t="s">
        <v>80</v>
      </c>
      <c r="F85" s="9">
        <v>26</v>
      </c>
      <c r="G85" s="9"/>
      <c r="H85" s="9">
        <f t="shared" si="5"/>
        <v>0</v>
      </c>
      <c r="I85" s="10">
        <v>204.57</v>
      </c>
      <c r="J85" s="10">
        <v>5318.82</v>
      </c>
      <c r="K85" s="10">
        <f t="shared" si="6"/>
        <v>0</v>
      </c>
      <c r="L85" s="10">
        <f t="shared" si="7"/>
        <v>0</v>
      </c>
    </row>
    <row r="86" spans="1:12" ht="39" customHeight="1" x14ac:dyDescent="0.25">
      <c r="A86" s="7" t="s">
        <v>246</v>
      </c>
      <c r="B86" s="7" t="s">
        <v>247</v>
      </c>
      <c r="C86" s="7" t="s">
        <v>12</v>
      </c>
      <c r="D86" s="7" t="s">
        <v>248</v>
      </c>
      <c r="E86" s="8" t="s">
        <v>80</v>
      </c>
      <c r="F86" s="9">
        <v>24</v>
      </c>
      <c r="G86" s="9"/>
      <c r="H86" s="9">
        <f t="shared" si="5"/>
        <v>0</v>
      </c>
      <c r="I86" s="10">
        <v>213.48</v>
      </c>
      <c r="J86" s="10">
        <v>5123.5200000000004</v>
      </c>
      <c r="K86" s="10">
        <f t="shared" si="6"/>
        <v>0</v>
      </c>
      <c r="L86" s="10">
        <f t="shared" si="7"/>
        <v>0</v>
      </c>
    </row>
    <row r="87" spans="1:12" ht="39" customHeight="1" x14ac:dyDescent="0.25">
      <c r="A87" s="7" t="s">
        <v>249</v>
      </c>
      <c r="B87" s="7" t="s">
        <v>250</v>
      </c>
      <c r="C87" s="7" t="s">
        <v>12</v>
      </c>
      <c r="D87" s="7" t="s">
        <v>251</v>
      </c>
      <c r="E87" s="8" t="s">
        <v>80</v>
      </c>
      <c r="F87" s="9">
        <v>4</v>
      </c>
      <c r="G87" s="9"/>
      <c r="H87" s="9">
        <f t="shared" si="5"/>
        <v>0</v>
      </c>
      <c r="I87" s="10">
        <v>215.48</v>
      </c>
      <c r="J87" s="10">
        <v>861.92</v>
      </c>
      <c r="K87" s="10">
        <f t="shared" si="6"/>
        <v>0</v>
      </c>
      <c r="L87" s="10">
        <f t="shared" si="7"/>
        <v>0</v>
      </c>
    </row>
    <row r="88" spans="1:12" ht="26.1" customHeight="1" x14ac:dyDescent="0.25">
      <c r="A88" s="7" t="s">
        <v>252</v>
      </c>
      <c r="B88" s="7" t="s">
        <v>253</v>
      </c>
      <c r="C88" s="7" t="s">
        <v>12</v>
      </c>
      <c r="D88" s="7" t="s">
        <v>254</v>
      </c>
      <c r="E88" s="8" t="s">
        <v>110</v>
      </c>
      <c r="F88" s="9">
        <v>360</v>
      </c>
      <c r="G88" s="9"/>
      <c r="H88" s="9">
        <f t="shared" si="5"/>
        <v>0</v>
      </c>
      <c r="I88" s="10">
        <v>9.1</v>
      </c>
      <c r="J88" s="10">
        <v>3276</v>
      </c>
      <c r="K88" s="10">
        <f t="shared" si="6"/>
        <v>0</v>
      </c>
      <c r="L88" s="10">
        <f t="shared" si="7"/>
        <v>0</v>
      </c>
    </row>
    <row r="89" spans="1:12" ht="26.1" customHeight="1" x14ac:dyDescent="0.25">
      <c r="A89" s="7" t="s">
        <v>255</v>
      </c>
      <c r="B89" s="7" t="s">
        <v>256</v>
      </c>
      <c r="C89" s="7" t="s">
        <v>12</v>
      </c>
      <c r="D89" s="7" t="s">
        <v>257</v>
      </c>
      <c r="E89" s="8" t="s">
        <v>110</v>
      </c>
      <c r="F89" s="9">
        <v>150</v>
      </c>
      <c r="G89" s="9"/>
      <c r="H89" s="9">
        <f t="shared" si="5"/>
        <v>0</v>
      </c>
      <c r="I89" s="10">
        <v>38.950000000000003</v>
      </c>
      <c r="J89" s="10">
        <v>5842.5</v>
      </c>
      <c r="K89" s="10">
        <f t="shared" si="6"/>
        <v>0</v>
      </c>
      <c r="L89" s="10">
        <f t="shared" si="7"/>
        <v>0</v>
      </c>
    </row>
    <row r="90" spans="1:12" ht="26.1" customHeight="1" x14ac:dyDescent="0.25">
      <c r="A90" s="7" t="s">
        <v>258</v>
      </c>
      <c r="B90" s="7" t="s">
        <v>259</v>
      </c>
      <c r="C90" s="7" t="s">
        <v>12</v>
      </c>
      <c r="D90" s="7" t="s">
        <v>260</v>
      </c>
      <c r="E90" s="8" t="s">
        <v>80</v>
      </c>
      <c r="F90" s="9">
        <v>2</v>
      </c>
      <c r="G90" s="9"/>
      <c r="H90" s="9">
        <f t="shared" si="5"/>
        <v>0</v>
      </c>
      <c r="I90" s="10">
        <v>95</v>
      </c>
      <c r="J90" s="10">
        <v>190</v>
      </c>
      <c r="K90" s="10">
        <f t="shared" si="6"/>
        <v>0</v>
      </c>
      <c r="L90" s="10">
        <f t="shared" si="7"/>
        <v>0</v>
      </c>
    </row>
    <row r="91" spans="1:12" ht="26.1" customHeight="1" x14ac:dyDescent="0.25">
      <c r="A91" s="7" t="s">
        <v>261</v>
      </c>
      <c r="B91" s="7" t="s">
        <v>262</v>
      </c>
      <c r="C91" s="7" t="s">
        <v>12</v>
      </c>
      <c r="D91" s="7" t="s">
        <v>263</v>
      </c>
      <c r="E91" s="8" t="s">
        <v>80</v>
      </c>
      <c r="F91" s="9">
        <v>2</v>
      </c>
      <c r="G91" s="9"/>
      <c r="H91" s="9">
        <f t="shared" si="5"/>
        <v>0</v>
      </c>
      <c r="I91" s="10">
        <v>113.61</v>
      </c>
      <c r="J91" s="10">
        <v>227.22</v>
      </c>
      <c r="K91" s="10">
        <f t="shared" si="6"/>
        <v>0</v>
      </c>
      <c r="L91" s="10">
        <f t="shared" si="7"/>
        <v>0</v>
      </c>
    </row>
    <row r="92" spans="1:12" ht="39" customHeight="1" x14ac:dyDescent="0.25">
      <c r="A92" s="7" t="s">
        <v>264</v>
      </c>
      <c r="B92" s="7" t="s">
        <v>265</v>
      </c>
      <c r="C92" s="7" t="s">
        <v>12</v>
      </c>
      <c r="D92" s="7" t="s">
        <v>266</v>
      </c>
      <c r="E92" s="8" t="s">
        <v>80</v>
      </c>
      <c r="F92" s="9">
        <v>12</v>
      </c>
      <c r="G92" s="9"/>
      <c r="H92" s="9">
        <f t="shared" si="5"/>
        <v>0</v>
      </c>
      <c r="I92" s="10">
        <v>234.42</v>
      </c>
      <c r="J92" s="10">
        <v>2813.04</v>
      </c>
      <c r="K92" s="10">
        <f t="shared" si="6"/>
        <v>0</v>
      </c>
      <c r="L92" s="10">
        <f t="shared" si="7"/>
        <v>0</v>
      </c>
    </row>
    <row r="93" spans="1:12" ht="26.1" customHeight="1" x14ac:dyDescent="0.25">
      <c r="A93" s="7" t="s">
        <v>267</v>
      </c>
      <c r="B93" s="7" t="s">
        <v>268</v>
      </c>
      <c r="C93" s="7" t="s">
        <v>12</v>
      </c>
      <c r="D93" s="7" t="s">
        <v>269</v>
      </c>
      <c r="E93" s="8" t="s">
        <v>80</v>
      </c>
      <c r="F93" s="9">
        <v>36</v>
      </c>
      <c r="G93" s="9"/>
      <c r="H93" s="9">
        <f t="shared" si="5"/>
        <v>0</v>
      </c>
      <c r="I93" s="10">
        <v>98.5</v>
      </c>
      <c r="J93" s="10">
        <v>3546</v>
      </c>
      <c r="K93" s="10">
        <f t="shared" si="6"/>
        <v>0</v>
      </c>
      <c r="L93" s="10">
        <f t="shared" si="7"/>
        <v>0</v>
      </c>
    </row>
    <row r="94" spans="1:12" ht="26.1" customHeight="1" x14ac:dyDescent="0.25">
      <c r="A94" s="7" t="s">
        <v>270</v>
      </c>
      <c r="B94" s="7" t="s">
        <v>271</v>
      </c>
      <c r="C94" s="7" t="s">
        <v>12</v>
      </c>
      <c r="D94" s="7" t="s">
        <v>272</v>
      </c>
      <c r="E94" s="8" t="s">
        <v>14</v>
      </c>
      <c r="F94" s="9">
        <v>244</v>
      </c>
      <c r="G94" s="9"/>
      <c r="H94" s="9">
        <f t="shared" si="5"/>
        <v>0</v>
      </c>
      <c r="I94" s="10">
        <v>4.5199999999999996</v>
      </c>
      <c r="J94" s="10">
        <v>1102.8800000000001</v>
      </c>
      <c r="K94" s="10">
        <f t="shared" si="6"/>
        <v>0</v>
      </c>
      <c r="L94" s="10">
        <f t="shared" si="7"/>
        <v>0</v>
      </c>
    </row>
    <row r="95" spans="1:12" ht="24" customHeight="1" x14ac:dyDescent="0.25">
      <c r="A95" s="7" t="s">
        <v>273</v>
      </c>
      <c r="B95" s="7" t="s">
        <v>103</v>
      </c>
      <c r="C95" s="7" t="s">
        <v>12</v>
      </c>
      <c r="D95" s="7" t="s">
        <v>104</v>
      </c>
      <c r="E95" s="8" t="s">
        <v>14</v>
      </c>
      <c r="F95" s="9">
        <v>244</v>
      </c>
      <c r="G95" s="9"/>
      <c r="H95" s="9">
        <f t="shared" si="5"/>
        <v>0</v>
      </c>
      <c r="I95" s="10">
        <v>24.4</v>
      </c>
      <c r="J95" s="10">
        <v>5953.6</v>
      </c>
      <c r="K95" s="10">
        <f t="shared" si="6"/>
        <v>0</v>
      </c>
      <c r="L95" s="10">
        <f t="shared" si="7"/>
        <v>0</v>
      </c>
    </row>
    <row r="96" spans="1:12" ht="39" customHeight="1" x14ac:dyDescent="0.25">
      <c r="A96" s="7" t="s">
        <v>274</v>
      </c>
      <c r="B96" s="7" t="s">
        <v>275</v>
      </c>
      <c r="C96" s="7" t="s">
        <v>12</v>
      </c>
      <c r="D96" s="7" t="s">
        <v>276</v>
      </c>
      <c r="E96" s="8" t="s">
        <v>80</v>
      </c>
      <c r="F96" s="9">
        <v>2</v>
      </c>
      <c r="G96" s="9"/>
      <c r="H96" s="9">
        <f t="shared" si="5"/>
        <v>0</v>
      </c>
      <c r="I96" s="10">
        <v>204.43</v>
      </c>
      <c r="J96" s="10">
        <v>408.86</v>
      </c>
      <c r="K96" s="10">
        <f t="shared" si="6"/>
        <v>0</v>
      </c>
      <c r="L96" s="10">
        <f t="shared" si="7"/>
        <v>0</v>
      </c>
    </row>
    <row r="97" spans="1:12" ht="39" customHeight="1" x14ac:dyDescent="0.25">
      <c r="A97" s="7" t="s">
        <v>277</v>
      </c>
      <c r="B97" s="7" t="s">
        <v>278</v>
      </c>
      <c r="C97" s="7" t="s">
        <v>12</v>
      </c>
      <c r="D97" s="7" t="s">
        <v>279</v>
      </c>
      <c r="E97" s="8" t="s">
        <v>80</v>
      </c>
      <c r="F97" s="9">
        <v>2</v>
      </c>
      <c r="G97" s="9"/>
      <c r="H97" s="9">
        <f t="shared" si="5"/>
        <v>0</v>
      </c>
      <c r="I97" s="10">
        <v>1411.36</v>
      </c>
      <c r="J97" s="10">
        <v>2822.72</v>
      </c>
      <c r="K97" s="10">
        <f t="shared" si="6"/>
        <v>0</v>
      </c>
      <c r="L97" s="10">
        <f t="shared" si="7"/>
        <v>0</v>
      </c>
    </row>
    <row r="98" spans="1:12" ht="26.1" customHeight="1" x14ac:dyDescent="0.25">
      <c r="A98" s="7" t="s">
        <v>280</v>
      </c>
      <c r="B98" s="7" t="s">
        <v>281</v>
      </c>
      <c r="C98" s="7" t="s">
        <v>12</v>
      </c>
      <c r="D98" s="7" t="s">
        <v>282</v>
      </c>
      <c r="E98" s="8" t="s">
        <v>14</v>
      </c>
      <c r="F98" s="9">
        <v>244</v>
      </c>
      <c r="G98" s="9"/>
      <c r="H98" s="9">
        <f t="shared" si="5"/>
        <v>0</v>
      </c>
      <c r="I98" s="10">
        <v>17.84</v>
      </c>
      <c r="J98" s="10">
        <v>4352.96</v>
      </c>
      <c r="K98" s="10">
        <f t="shared" si="6"/>
        <v>0</v>
      </c>
      <c r="L98" s="10">
        <f t="shared" si="7"/>
        <v>0</v>
      </c>
    </row>
    <row r="99" spans="1:12" ht="26.1" customHeight="1" x14ac:dyDescent="0.25">
      <c r="A99" s="7" t="s">
        <v>283</v>
      </c>
      <c r="B99" s="7" t="s">
        <v>284</v>
      </c>
      <c r="C99" s="7" t="s">
        <v>22</v>
      </c>
      <c r="D99" s="7" t="s">
        <v>285</v>
      </c>
      <c r="E99" s="8" t="s">
        <v>14</v>
      </c>
      <c r="F99" s="9">
        <v>139.9</v>
      </c>
      <c r="G99" s="9"/>
      <c r="H99" s="9">
        <f t="shared" si="5"/>
        <v>0</v>
      </c>
      <c r="I99" s="10">
        <v>318.62</v>
      </c>
      <c r="J99" s="10">
        <v>44574.93</v>
      </c>
      <c r="K99" s="10">
        <f t="shared" si="6"/>
        <v>0</v>
      </c>
      <c r="L99" s="10">
        <f t="shared" si="7"/>
        <v>0</v>
      </c>
    </row>
    <row r="100" spans="1:12" ht="39" customHeight="1" x14ac:dyDescent="0.25">
      <c r="A100" s="7" t="s">
        <v>286</v>
      </c>
      <c r="B100" s="7" t="s">
        <v>287</v>
      </c>
      <c r="C100" s="7" t="s">
        <v>12</v>
      </c>
      <c r="D100" s="7" t="s">
        <v>288</v>
      </c>
      <c r="E100" s="8" t="s">
        <v>14</v>
      </c>
      <c r="F100" s="9">
        <v>139.9</v>
      </c>
      <c r="G100" s="9"/>
      <c r="H100" s="9">
        <f t="shared" si="5"/>
        <v>0</v>
      </c>
      <c r="I100" s="10">
        <v>178.68</v>
      </c>
      <c r="J100" s="10">
        <v>24997.33</v>
      </c>
      <c r="K100" s="10">
        <f t="shared" si="6"/>
        <v>0</v>
      </c>
      <c r="L100" s="10">
        <f t="shared" si="7"/>
        <v>0</v>
      </c>
    </row>
    <row r="101" spans="1:12" ht="24" customHeight="1" x14ac:dyDescent="0.25">
      <c r="A101" s="7" t="s">
        <v>289</v>
      </c>
      <c r="B101" s="7" t="s">
        <v>290</v>
      </c>
      <c r="C101" s="7" t="s">
        <v>22</v>
      </c>
      <c r="D101" s="7" t="s">
        <v>291</v>
      </c>
      <c r="E101" s="8" t="s">
        <v>14</v>
      </c>
      <c r="F101" s="9">
        <v>13.44</v>
      </c>
      <c r="G101" s="9"/>
      <c r="H101" s="9">
        <f t="shared" si="5"/>
        <v>0</v>
      </c>
      <c r="I101" s="10">
        <v>653.17999999999995</v>
      </c>
      <c r="J101" s="10">
        <v>8778.73</v>
      </c>
      <c r="K101" s="10">
        <f t="shared" si="6"/>
        <v>0</v>
      </c>
      <c r="L101" s="10">
        <f t="shared" si="7"/>
        <v>0</v>
      </c>
    </row>
    <row r="102" spans="1:12" ht="24" customHeight="1" x14ac:dyDescent="0.25">
      <c r="A102" s="7" t="s">
        <v>292</v>
      </c>
      <c r="B102" s="7" t="s">
        <v>293</v>
      </c>
      <c r="C102" s="7" t="s">
        <v>22</v>
      </c>
      <c r="D102" s="7" t="s">
        <v>294</v>
      </c>
      <c r="E102" s="8" t="s">
        <v>14</v>
      </c>
      <c r="F102" s="9">
        <v>9.6</v>
      </c>
      <c r="G102" s="9"/>
      <c r="H102" s="9">
        <f t="shared" si="5"/>
        <v>0</v>
      </c>
      <c r="I102" s="10">
        <v>321.51</v>
      </c>
      <c r="J102" s="10">
        <v>3086.49</v>
      </c>
      <c r="K102" s="10">
        <f t="shared" si="6"/>
        <v>0</v>
      </c>
      <c r="L102" s="10">
        <f t="shared" si="7"/>
        <v>0</v>
      </c>
    </row>
    <row r="103" spans="1:12" ht="24" customHeight="1" x14ac:dyDescent="0.25">
      <c r="A103" s="7" t="s">
        <v>295</v>
      </c>
      <c r="B103" s="7" t="s">
        <v>296</v>
      </c>
      <c r="C103" s="7" t="s">
        <v>22</v>
      </c>
      <c r="D103" s="7" t="s">
        <v>297</v>
      </c>
      <c r="E103" s="8" t="s">
        <v>80</v>
      </c>
      <c r="F103" s="9">
        <v>6</v>
      </c>
      <c r="G103" s="9"/>
      <c r="H103" s="9">
        <f t="shared" si="5"/>
        <v>0</v>
      </c>
      <c r="I103" s="10">
        <v>409.14</v>
      </c>
      <c r="J103" s="10">
        <v>2454.84</v>
      </c>
      <c r="K103" s="10">
        <f t="shared" si="6"/>
        <v>0</v>
      </c>
      <c r="L103" s="10">
        <f t="shared" si="7"/>
        <v>0</v>
      </c>
    </row>
    <row r="104" spans="1:12" ht="24" customHeight="1" x14ac:dyDescent="0.25">
      <c r="A104" s="7" t="s">
        <v>298</v>
      </c>
      <c r="B104" s="7" t="s">
        <v>299</v>
      </c>
      <c r="C104" s="7" t="s">
        <v>22</v>
      </c>
      <c r="D104" s="7" t="s">
        <v>300</v>
      </c>
      <c r="E104" s="8" t="s">
        <v>80</v>
      </c>
      <c r="F104" s="9">
        <v>6</v>
      </c>
      <c r="G104" s="9"/>
      <c r="H104" s="9">
        <f t="shared" si="5"/>
        <v>0</v>
      </c>
      <c r="I104" s="10">
        <v>433.29</v>
      </c>
      <c r="J104" s="10">
        <v>2599.7399999999998</v>
      </c>
      <c r="K104" s="10">
        <f t="shared" si="6"/>
        <v>0</v>
      </c>
      <c r="L104" s="10">
        <f t="shared" si="7"/>
        <v>0</v>
      </c>
    </row>
    <row r="105" spans="1:12" ht="24" customHeight="1" x14ac:dyDescent="0.25">
      <c r="A105" s="3" t="s">
        <v>301</v>
      </c>
      <c r="B105" s="3" t="s">
        <v>8</v>
      </c>
      <c r="C105" s="3"/>
      <c r="D105" s="3" t="s">
        <v>302</v>
      </c>
      <c r="E105" s="4"/>
      <c r="F105" s="5"/>
      <c r="G105" s="9"/>
      <c r="H105" s="9"/>
      <c r="I105" s="6"/>
      <c r="J105" s="6">
        <v>188217.51</v>
      </c>
      <c r="K105" s="17">
        <f>SUM(K106:K140)</f>
        <v>0</v>
      </c>
      <c r="L105" s="17">
        <f>SUM(L106:L140)</f>
        <v>0</v>
      </c>
    </row>
    <row r="106" spans="1:12" ht="39" customHeight="1" x14ac:dyDescent="0.25">
      <c r="A106" s="7" t="s">
        <v>303</v>
      </c>
      <c r="B106" s="7" t="s">
        <v>69</v>
      </c>
      <c r="C106" s="7" t="s">
        <v>12</v>
      </c>
      <c r="D106" s="7" t="s">
        <v>70</v>
      </c>
      <c r="E106" s="8" t="s">
        <v>47</v>
      </c>
      <c r="F106" s="9">
        <v>56</v>
      </c>
      <c r="G106" s="9"/>
      <c r="H106" s="9">
        <f t="shared" si="5"/>
        <v>0</v>
      </c>
      <c r="I106" s="10">
        <v>112.79</v>
      </c>
      <c r="J106" s="10">
        <v>6316.24</v>
      </c>
      <c r="K106" s="10">
        <f t="shared" si="6"/>
        <v>0</v>
      </c>
      <c r="L106" s="10">
        <f t="shared" si="7"/>
        <v>0</v>
      </c>
    </row>
    <row r="107" spans="1:12" ht="26.1" customHeight="1" x14ac:dyDescent="0.25">
      <c r="A107" s="7" t="s">
        <v>304</v>
      </c>
      <c r="B107" s="7" t="s">
        <v>305</v>
      </c>
      <c r="C107" s="7" t="s">
        <v>12</v>
      </c>
      <c r="D107" s="7" t="s">
        <v>306</v>
      </c>
      <c r="E107" s="8" t="s">
        <v>47</v>
      </c>
      <c r="F107" s="9">
        <v>62.02</v>
      </c>
      <c r="G107" s="9"/>
      <c r="H107" s="9">
        <f t="shared" si="5"/>
        <v>0</v>
      </c>
      <c r="I107" s="10">
        <v>126.7</v>
      </c>
      <c r="J107" s="10">
        <v>7857.93</v>
      </c>
      <c r="K107" s="10">
        <f t="shared" si="6"/>
        <v>0</v>
      </c>
      <c r="L107" s="10">
        <f t="shared" si="7"/>
        <v>0</v>
      </c>
    </row>
    <row r="108" spans="1:12" ht="26.1" customHeight="1" x14ac:dyDescent="0.25">
      <c r="A108" s="7" t="s">
        <v>307</v>
      </c>
      <c r="B108" s="7" t="s">
        <v>308</v>
      </c>
      <c r="C108" s="7" t="s">
        <v>22</v>
      </c>
      <c r="D108" s="7" t="s">
        <v>309</v>
      </c>
      <c r="E108" s="8" t="s">
        <v>47</v>
      </c>
      <c r="F108" s="9">
        <v>11.83</v>
      </c>
      <c r="G108" s="9"/>
      <c r="H108" s="9">
        <f t="shared" si="5"/>
        <v>0</v>
      </c>
      <c r="I108" s="10">
        <v>2650.78</v>
      </c>
      <c r="J108" s="10">
        <v>31358.720000000001</v>
      </c>
      <c r="K108" s="10">
        <f t="shared" si="6"/>
        <v>0</v>
      </c>
      <c r="L108" s="10">
        <f t="shared" si="7"/>
        <v>0</v>
      </c>
    </row>
    <row r="109" spans="1:12" ht="39" customHeight="1" x14ac:dyDescent="0.25">
      <c r="A109" s="7" t="s">
        <v>310</v>
      </c>
      <c r="B109" s="7" t="s">
        <v>311</v>
      </c>
      <c r="C109" s="7" t="s">
        <v>12</v>
      </c>
      <c r="D109" s="7" t="s">
        <v>312</v>
      </c>
      <c r="E109" s="8" t="s">
        <v>14</v>
      </c>
      <c r="F109" s="9">
        <v>11</v>
      </c>
      <c r="G109" s="9"/>
      <c r="H109" s="9">
        <f t="shared" si="5"/>
        <v>0</v>
      </c>
      <c r="I109" s="10">
        <v>41.09</v>
      </c>
      <c r="J109" s="10">
        <v>451.99</v>
      </c>
      <c r="K109" s="10">
        <f t="shared" si="6"/>
        <v>0</v>
      </c>
      <c r="L109" s="10">
        <f t="shared" si="7"/>
        <v>0</v>
      </c>
    </row>
    <row r="110" spans="1:12" ht="26.1" customHeight="1" x14ac:dyDescent="0.25">
      <c r="A110" s="7" t="s">
        <v>313</v>
      </c>
      <c r="B110" s="7" t="s">
        <v>314</v>
      </c>
      <c r="C110" s="7" t="s">
        <v>22</v>
      </c>
      <c r="D110" s="7" t="s">
        <v>315</v>
      </c>
      <c r="E110" s="8" t="s">
        <v>47</v>
      </c>
      <c r="F110" s="9">
        <v>11.2</v>
      </c>
      <c r="G110" s="9"/>
      <c r="H110" s="9">
        <f t="shared" si="5"/>
        <v>0</v>
      </c>
      <c r="I110" s="10">
        <v>3105.87</v>
      </c>
      <c r="J110" s="10">
        <v>34785.74</v>
      </c>
      <c r="K110" s="10">
        <f t="shared" si="6"/>
        <v>0</v>
      </c>
      <c r="L110" s="10">
        <f t="shared" si="7"/>
        <v>0</v>
      </c>
    </row>
    <row r="111" spans="1:12" ht="26.1" customHeight="1" x14ac:dyDescent="0.25">
      <c r="A111" s="7" t="s">
        <v>316</v>
      </c>
      <c r="B111" s="7" t="s">
        <v>314</v>
      </c>
      <c r="C111" s="7" t="s">
        <v>22</v>
      </c>
      <c r="D111" s="7" t="s">
        <v>317</v>
      </c>
      <c r="E111" s="8" t="s">
        <v>47</v>
      </c>
      <c r="F111" s="9">
        <v>2.0299999999999998</v>
      </c>
      <c r="G111" s="9"/>
      <c r="H111" s="9">
        <f t="shared" si="5"/>
        <v>0</v>
      </c>
      <c r="I111" s="10">
        <v>3105.87</v>
      </c>
      <c r="J111" s="10">
        <v>6304.91</v>
      </c>
      <c r="K111" s="10">
        <f t="shared" si="6"/>
        <v>0</v>
      </c>
      <c r="L111" s="10">
        <f t="shared" si="7"/>
        <v>0</v>
      </c>
    </row>
    <row r="112" spans="1:12" ht="26.1" customHeight="1" x14ac:dyDescent="0.25">
      <c r="A112" s="7" t="s">
        <v>318</v>
      </c>
      <c r="B112" s="7" t="s">
        <v>314</v>
      </c>
      <c r="C112" s="7" t="s">
        <v>22</v>
      </c>
      <c r="D112" s="7" t="s">
        <v>319</v>
      </c>
      <c r="E112" s="8" t="s">
        <v>47</v>
      </c>
      <c r="F112" s="9">
        <v>5.4</v>
      </c>
      <c r="G112" s="9"/>
      <c r="H112" s="9">
        <f t="shared" si="5"/>
        <v>0</v>
      </c>
      <c r="I112" s="10">
        <v>3105.87</v>
      </c>
      <c r="J112" s="10">
        <v>16771.689999999999</v>
      </c>
      <c r="K112" s="10">
        <f t="shared" si="6"/>
        <v>0</v>
      </c>
      <c r="L112" s="10">
        <f t="shared" si="7"/>
        <v>0</v>
      </c>
    </row>
    <row r="113" spans="1:12" ht="51.95" customHeight="1" x14ac:dyDescent="0.25">
      <c r="A113" s="7" t="s">
        <v>320</v>
      </c>
      <c r="B113" s="7" t="s">
        <v>321</v>
      </c>
      <c r="C113" s="7" t="s">
        <v>12</v>
      </c>
      <c r="D113" s="7" t="s">
        <v>322</v>
      </c>
      <c r="E113" s="8" t="s">
        <v>14</v>
      </c>
      <c r="F113" s="9">
        <v>150.9</v>
      </c>
      <c r="G113" s="9"/>
      <c r="H113" s="9">
        <f t="shared" si="5"/>
        <v>0</v>
      </c>
      <c r="I113" s="10">
        <v>124.87</v>
      </c>
      <c r="J113" s="10">
        <v>18842.88</v>
      </c>
      <c r="K113" s="10">
        <f t="shared" si="6"/>
        <v>0</v>
      </c>
      <c r="L113" s="10">
        <f t="shared" si="7"/>
        <v>0</v>
      </c>
    </row>
    <row r="114" spans="1:12" ht="26.1" customHeight="1" x14ac:dyDescent="0.25">
      <c r="A114" s="7" t="s">
        <v>323</v>
      </c>
      <c r="B114" s="7" t="s">
        <v>324</v>
      </c>
      <c r="C114" s="7" t="s">
        <v>22</v>
      </c>
      <c r="D114" s="7" t="s">
        <v>325</v>
      </c>
      <c r="E114" s="8" t="s">
        <v>14</v>
      </c>
      <c r="F114" s="9">
        <v>150.9</v>
      </c>
      <c r="G114" s="9"/>
      <c r="H114" s="9">
        <f t="shared" si="5"/>
        <v>0</v>
      </c>
      <c r="I114" s="10">
        <v>41.1</v>
      </c>
      <c r="J114" s="10">
        <v>6201.99</v>
      </c>
      <c r="K114" s="10">
        <f t="shared" si="6"/>
        <v>0</v>
      </c>
      <c r="L114" s="10">
        <f t="shared" si="7"/>
        <v>0</v>
      </c>
    </row>
    <row r="115" spans="1:12" ht="51.95" customHeight="1" x14ac:dyDescent="0.25">
      <c r="A115" s="7" t="s">
        <v>326</v>
      </c>
      <c r="B115" s="7" t="s">
        <v>327</v>
      </c>
      <c r="C115" s="7" t="s">
        <v>64</v>
      </c>
      <c r="D115" s="7" t="s">
        <v>328</v>
      </c>
      <c r="E115" s="8" t="s">
        <v>329</v>
      </c>
      <c r="F115" s="9">
        <v>49.68</v>
      </c>
      <c r="G115" s="9"/>
      <c r="H115" s="9">
        <f t="shared" si="5"/>
        <v>0</v>
      </c>
      <c r="I115" s="10">
        <v>90.02</v>
      </c>
      <c r="J115" s="10">
        <v>4472.1899999999996</v>
      </c>
      <c r="K115" s="10">
        <f t="shared" si="6"/>
        <v>0</v>
      </c>
      <c r="L115" s="10">
        <f t="shared" si="7"/>
        <v>0</v>
      </c>
    </row>
    <row r="116" spans="1:12" ht="24" customHeight="1" x14ac:dyDescent="0.25">
      <c r="A116" s="7" t="s">
        <v>330</v>
      </c>
      <c r="B116" s="7" t="s">
        <v>331</v>
      </c>
      <c r="C116" s="7" t="s">
        <v>22</v>
      </c>
      <c r="D116" s="7" t="s">
        <v>332</v>
      </c>
      <c r="E116" s="8" t="s">
        <v>14</v>
      </c>
      <c r="F116" s="9">
        <v>101.22</v>
      </c>
      <c r="G116" s="9"/>
      <c r="H116" s="9">
        <f t="shared" si="5"/>
        <v>0</v>
      </c>
      <c r="I116" s="10">
        <v>17.440000000000001</v>
      </c>
      <c r="J116" s="10">
        <v>1765.27</v>
      </c>
      <c r="K116" s="10">
        <f t="shared" si="6"/>
        <v>0</v>
      </c>
      <c r="L116" s="10">
        <f t="shared" si="7"/>
        <v>0</v>
      </c>
    </row>
    <row r="117" spans="1:12" ht="24" customHeight="1" x14ac:dyDescent="0.25">
      <c r="A117" s="7" t="s">
        <v>333</v>
      </c>
      <c r="B117" s="7" t="s">
        <v>334</v>
      </c>
      <c r="C117" s="7" t="s">
        <v>22</v>
      </c>
      <c r="D117" s="7" t="s">
        <v>335</v>
      </c>
      <c r="E117" s="8" t="s">
        <v>14</v>
      </c>
      <c r="F117" s="9">
        <v>101.22</v>
      </c>
      <c r="G117" s="9"/>
      <c r="H117" s="9">
        <f t="shared" si="5"/>
        <v>0</v>
      </c>
      <c r="I117" s="10">
        <v>9.43</v>
      </c>
      <c r="J117" s="10">
        <v>954.5</v>
      </c>
      <c r="K117" s="10">
        <f t="shared" si="6"/>
        <v>0</v>
      </c>
      <c r="L117" s="10">
        <f t="shared" si="7"/>
        <v>0</v>
      </c>
    </row>
    <row r="118" spans="1:12" ht="26.1" customHeight="1" x14ac:dyDescent="0.25">
      <c r="A118" s="7" t="s">
        <v>336</v>
      </c>
      <c r="B118" s="7" t="s">
        <v>337</v>
      </c>
      <c r="C118" s="7" t="s">
        <v>22</v>
      </c>
      <c r="D118" s="7" t="s">
        <v>338</v>
      </c>
      <c r="E118" s="8" t="s">
        <v>14</v>
      </c>
      <c r="F118" s="9">
        <v>41.12</v>
      </c>
      <c r="G118" s="9"/>
      <c r="H118" s="9">
        <f t="shared" si="5"/>
        <v>0</v>
      </c>
      <c r="I118" s="10">
        <v>54.82</v>
      </c>
      <c r="J118" s="10">
        <v>2254.19</v>
      </c>
      <c r="K118" s="10">
        <f t="shared" si="6"/>
        <v>0</v>
      </c>
      <c r="L118" s="10">
        <f t="shared" si="7"/>
        <v>0</v>
      </c>
    </row>
    <row r="119" spans="1:12" ht="24" customHeight="1" x14ac:dyDescent="0.25">
      <c r="A119" s="7" t="s">
        <v>339</v>
      </c>
      <c r="B119" s="7" t="s">
        <v>340</v>
      </c>
      <c r="C119" s="7" t="s">
        <v>22</v>
      </c>
      <c r="D119" s="7" t="s">
        <v>341</v>
      </c>
      <c r="E119" s="8" t="s">
        <v>14</v>
      </c>
      <c r="F119" s="9">
        <v>41.12</v>
      </c>
      <c r="G119" s="9"/>
      <c r="H119" s="9">
        <f t="shared" si="5"/>
        <v>0</v>
      </c>
      <c r="I119" s="10">
        <v>74.08</v>
      </c>
      <c r="J119" s="10">
        <v>3046.16</v>
      </c>
      <c r="K119" s="10">
        <f t="shared" si="6"/>
        <v>0</v>
      </c>
      <c r="L119" s="10">
        <f t="shared" si="7"/>
        <v>0</v>
      </c>
    </row>
    <row r="120" spans="1:12" ht="39" customHeight="1" x14ac:dyDescent="0.25">
      <c r="A120" s="7" t="s">
        <v>342</v>
      </c>
      <c r="B120" s="7" t="s">
        <v>343</v>
      </c>
      <c r="C120" s="7" t="s">
        <v>12</v>
      </c>
      <c r="D120" s="7" t="s">
        <v>344</v>
      </c>
      <c r="E120" s="8" t="s">
        <v>14</v>
      </c>
      <c r="F120" s="9">
        <v>41.12</v>
      </c>
      <c r="G120" s="9"/>
      <c r="H120" s="9">
        <f t="shared" si="5"/>
        <v>0</v>
      </c>
      <c r="I120" s="10">
        <v>62.01</v>
      </c>
      <c r="J120" s="10">
        <v>2549.85</v>
      </c>
      <c r="K120" s="10">
        <f t="shared" si="6"/>
        <v>0</v>
      </c>
      <c r="L120" s="10">
        <f t="shared" si="7"/>
        <v>0</v>
      </c>
    </row>
    <row r="121" spans="1:12" ht="24" customHeight="1" x14ac:dyDescent="0.25">
      <c r="A121" s="7" t="s">
        <v>345</v>
      </c>
      <c r="B121" s="7" t="s">
        <v>346</v>
      </c>
      <c r="C121" s="7" t="s">
        <v>22</v>
      </c>
      <c r="D121" s="7" t="s">
        <v>347</v>
      </c>
      <c r="E121" s="8" t="s">
        <v>80</v>
      </c>
      <c r="F121" s="9">
        <v>5</v>
      </c>
      <c r="G121" s="9"/>
      <c r="H121" s="9">
        <f t="shared" si="5"/>
        <v>0</v>
      </c>
      <c r="I121" s="10">
        <v>1661.66</v>
      </c>
      <c r="J121" s="10">
        <v>8308.2999999999993</v>
      </c>
      <c r="K121" s="10">
        <f t="shared" si="6"/>
        <v>0</v>
      </c>
      <c r="L121" s="10">
        <f t="shared" si="7"/>
        <v>0</v>
      </c>
    </row>
    <row r="122" spans="1:12" ht="26.1" customHeight="1" x14ac:dyDescent="0.25">
      <c r="A122" s="7" t="s">
        <v>348</v>
      </c>
      <c r="B122" s="7" t="s">
        <v>349</v>
      </c>
      <c r="C122" s="7" t="s">
        <v>22</v>
      </c>
      <c r="D122" s="7" t="s">
        <v>350</v>
      </c>
      <c r="E122" s="8" t="s">
        <v>80</v>
      </c>
      <c r="F122" s="9">
        <v>2</v>
      </c>
      <c r="G122" s="9"/>
      <c r="H122" s="9">
        <f t="shared" si="5"/>
        <v>0</v>
      </c>
      <c r="I122" s="10">
        <v>593.66999999999996</v>
      </c>
      <c r="J122" s="10">
        <v>1187.3399999999999</v>
      </c>
      <c r="K122" s="10">
        <f t="shared" si="6"/>
        <v>0</v>
      </c>
      <c r="L122" s="10">
        <f t="shared" si="7"/>
        <v>0</v>
      </c>
    </row>
    <row r="123" spans="1:12" ht="24" customHeight="1" x14ac:dyDescent="0.25">
      <c r="A123" s="7" t="s">
        <v>351</v>
      </c>
      <c r="B123" s="7" t="s">
        <v>352</v>
      </c>
      <c r="C123" s="7" t="s">
        <v>22</v>
      </c>
      <c r="D123" s="7" t="s">
        <v>353</v>
      </c>
      <c r="E123" s="8" t="s">
        <v>80</v>
      </c>
      <c r="F123" s="9">
        <v>8</v>
      </c>
      <c r="G123" s="9"/>
      <c r="H123" s="9">
        <f t="shared" si="5"/>
        <v>0</v>
      </c>
      <c r="I123" s="10">
        <v>694.96</v>
      </c>
      <c r="J123" s="10">
        <v>5559.68</v>
      </c>
      <c r="K123" s="10">
        <f t="shared" si="6"/>
        <v>0</v>
      </c>
      <c r="L123" s="10">
        <f t="shared" si="7"/>
        <v>0</v>
      </c>
    </row>
    <row r="124" spans="1:12" ht="39" customHeight="1" x14ac:dyDescent="0.25">
      <c r="A124" s="7" t="s">
        <v>354</v>
      </c>
      <c r="B124" s="7" t="s">
        <v>355</v>
      </c>
      <c r="C124" s="7" t="s">
        <v>12</v>
      </c>
      <c r="D124" s="7" t="s">
        <v>356</v>
      </c>
      <c r="E124" s="8" t="s">
        <v>80</v>
      </c>
      <c r="F124" s="9">
        <v>8</v>
      </c>
      <c r="G124" s="9"/>
      <c r="H124" s="9">
        <f t="shared" si="5"/>
        <v>0</v>
      </c>
      <c r="I124" s="10">
        <v>676.94</v>
      </c>
      <c r="J124" s="10">
        <v>5415.52</v>
      </c>
      <c r="K124" s="10">
        <f t="shared" si="6"/>
        <v>0</v>
      </c>
      <c r="L124" s="10">
        <f t="shared" si="7"/>
        <v>0</v>
      </c>
    </row>
    <row r="125" spans="1:12" ht="26.1" customHeight="1" x14ac:dyDescent="0.25">
      <c r="A125" s="7" t="s">
        <v>357</v>
      </c>
      <c r="B125" s="7" t="s">
        <v>358</v>
      </c>
      <c r="C125" s="7" t="s">
        <v>22</v>
      </c>
      <c r="D125" s="7" t="s">
        <v>359</v>
      </c>
      <c r="E125" s="8" t="s">
        <v>80</v>
      </c>
      <c r="F125" s="9">
        <v>8</v>
      </c>
      <c r="G125" s="9"/>
      <c r="H125" s="9">
        <f t="shared" si="5"/>
        <v>0</v>
      </c>
      <c r="I125" s="10">
        <v>350.71</v>
      </c>
      <c r="J125" s="10">
        <v>2805.68</v>
      </c>
      <c r="K125" s="10">
        <f t="shared" si="6"/>
        <v>0</v>
      </c>
      <c r="L125" s="10">
        <f t="shared" si="7"/>
        <v>0</v>
      </c>
    </row>
    <row r="126" spans="1:12" ht="24" customHeight="1" x14ac:dyDescent="0.25">
      <c r="A126" s="7" t="s">
        <v>360</v>
      </c>
      <c r="B126" s="7" t="s">
        <v>361</v>
      </c>
      <c r="C126" s="7" t="s">
        <v>22</v>
      </c>
      <c r="D126" s="7" t="s">
        <v>362</v>
      </c>
      <c r="E126" s="8" t="s">
        <v>80</v>
      </c>
      <c r="F126" s="9">
        <v>8</v>
      </c>
      <c r="G126" s="9"/>
      <c r="H126" s="9">
        <f t="shared" si="5"/>
        <v>0</v>
      </c>
      <c r="I126" s="10">
        <v>706.11</v>
      </c>
      <c r="J126" s="10">
        <v>5648.88</v>
      </c>
      <c r="K126" s="10">
        <f t="shared" si="6"/>
        <v>0</v>
      </c>
      <c r="L126" s="10">
        <f t="shared" si="7"/>
        <v>0</v>
      </c>
    </row>
    <row r="127" spans="1:12" ht="24" customHeight="1" x14ac:dyDescent="0.25">
      <c r="A127" s="7" t="s">
        <v>363</v>
      </c>
      <c r="B127" s="7" t="s">
        <v>364</v>
      </c>
      <c r="C127" s="7" t="s">
        <v>22</v>
      </c>
      <c r="D127" s="7" t="s">
        <v>365</v>
      </c>
      <c r="E127" s="8" t="s">
        <v>14</v>
      </c>
      <c r="F127" s="9">
        <v>7.2</v>
      </c>
      <c r="G127" s="9"/>
      <c r="H127" s="9">
        <f t="shared" si="5"/>
        <v>0</v>
      </c>
      <c r="I127" s="10">
        <v>552.20000000000005</v>
      </c>
      <c r="J127" s="10">
        <v>3975.84</v>
      </c>
      <c r="K127" s="10">
        <f t="shared" si="6"/>
        <v>0</v>
      </c>
      <c r="L127" s="10">
        <f t="shared" si="7"/>
        <v>0</v>
      </c>
    </row>
    <row r="128" spans="1:12" ht="26.1" customHeight="1" x14ac:dyDescent="0.25">
      <c r="A128" s="7" t="s">
        <v>366</v>
      </c>
      <c r="B128" s="7" t="s">
        <v>367</v>
      </c>
      <c r="C128" s="7" t="s">
        <v>22</v>
      </c>
      <c r="D128" s="7" t="s">
        <v>368</v>
      </c>
      <c r="E128" s="8" t="s">
        <v>80</v>
      </c>
      <c r="F128" s="9">
        <v>10</v>
      </c>
      <c r="G128" s="9"/>
      <c r="H128" s="9">
        <f t="shared" si="5"/>
        <v>0</v>
      </c>
      <c r="I128" s="10">
        <v>120.84</v>
      </c>
      <c r="J128" s="10">
        <v>1208.4000000000001</v>
      </c>
      <c r="K128" s="10">
        <f t="shared" si="6"/>
        <v>0</v>
      </c>
      <c r="L128" s="10">
        <f t="shared" si="7"/>
        <v>0</v>
      </c>
    </row>
    <row r="129" spans="1:12" ht="24" customHeight="1" x14ac:dyDescent="0.25">
      <c r="A129" s="7" t="s">
        <v>369</v>
      </c>
      <c r="B129" s="7" t="s">
        <v>370</v>
      </c>
      <c r="C129" s="7" t="s">
        <v>64</v>
      </c>
      <c r="D129" s="7" t="s">
        <v>371</v>
      </c>
      <c r="E129" s="8" t="s">
        <v>372</v>
      </c>
      <c r="F129" s="9">
        <v>8</v>
      </c>
      <c r="G129" s="9"/>
      <c r="H129" s="9">
        <f t="shared" si="5"/>
        <v>0</v>
      </c>
      <c r="I129" s="10">
        <v>81.12</v>
      </c>
      <c r="J129" s="10">
        <v>648.96</v>
      </c>
      <c r="K129" s="10">
        <f t="shared" si="6"/>
        <v>0</v>
      </c>
      <c r="L129" s="10">
        <f t="shared" si="7"/>
        <v>0</v>
      </c>
    </row>
    <row r="130" spans="1:12" ht="24" customHeight="1" x14ac:dyDescent="0.25">
      <c r="A130" s="7" t="s">
        <v>373</v>
      </c>
      <c r="B130" s="7" t="s">
        <v>374</v>
      </c>
      <c r="C130" s="7" t="s">
        <v>64</v>
      </c>
      <c r="D130" s="7" t="s">
        <v>375</v>
      </c>
      <c r="E130" s="8" t="s">
        <v>372</v>
      </c>
      <c r="F130" s="9">
        <v>8</v>
      </c>
      <c r="G130" s="9"/>
      <c r="H130" s="9">
        <f t="shared" si="5"/>
        <v>0</v>
      </c>
      <c r="I130" s="10">
        <v>114.1</v>
      </c>
      <c r="J130" s="10">
        <v>912.8</v>
      </c>
      <c r="K130" s="10">
        <f t="shared" si="6"/>
        <v>0</v>
      </c>
      <c r="L130" s="10">
        <f t="shared" si="7"/>
        <v>0</v>
      </c>
    </row>
    <row r="131" spans="1:12" ht="24" customHeight="1" x14ac:dyDescent="0.25">
      <c r="A131" s="7" t="s">
        <v>376</v>
      </c>
      <c r="B131" s="7" t="s">
        <v>377</v>
      </c>
      <c r="C131" s="7" t="s">
        <v>22</v>
      </c>
      <c r="D131" s="7" t="s">
        <v>378</v>
      </c>
      <c r="E131" s="8" t="s">
        <v>110</v>
      </c>
      <c r="F131" s="9">
        <v>30</v>
      </c>
      <c r="G131" s="9"/>
      <c r="H131" s="9">
        <f t="shared" si="5"/>
        <v>0</v>
      </c>
      <c r="I131" s="10">
        <v>27.56</v>
      </c>
      <c r="J131" s="10">
        <v>826.8</v>
      </c>
      <c r="K131" s="10">
        <f t="shared" si="6"/>
        <v>0</v>
      </c>
      <c r="L131" s="10">
        <f t="shared" si="7"/>
        <v>0</v>
      </c>
    </row>
    <row r="132" spans="1:12" ht="26.1" customHeight="1" x14ac:dyDescent="0.25">
      <c r="A132" s="7" t="s">
        <v>379</v>
      </c>
      <c r="B132" s="7" t="s">
        <v>380</v>
      </c>
      <c r="C132" s="7" t="s">
        <v>17</v>
      </c>
      <c r="D132" s="7" t="s">
        <v>381</v>
      </c>
      <c r="E132" s="8" t="s">
        <v>382</v>
      </c>
      <c r="F132" s="9">
        <v>10</v>
      </c>
      <c r="G132" s="9"/>
      <c r="H132" s="9">
        <f t="shared" si="5"/>
        <v>0</v>
      </c>
      <c r="I132" s="10">
        <v>20.56</v>
      </c>
      <c r="J132" s="10">
        <v>205.6</v>
      </c>
      <c r="K132" s="10">
        <f t="shared" si="6"/>
        <v>0</v>
      </c>
      <c r="L132" s="10">
        <f t="shared" si="7"/>
        <v>0</v>
      </c>
    </row>
    <row r="133" spans="1:12" ht="24" customHeight="1" x14ac:dyDescent="0.25">
      <c r="A133" s="7" t="s">
        <v>383</v>
      </c>
      <c r="B133" s="7" t="s">
        <v>384</v>
      </c>
      <c r="C133" s="7" t="s">
        <v>22</v>
      </c>
      <c r="D133" s="7" t="s">
        <v>385</v>
      </c>
      <c r="E133" s="8" t="s">
        <v>110</v>
      </c>
      <c r="F133" s="9">
        <v>25</v>
      </c>
      <c r="G133" s="9"/>
      <c r="H133" s="9">
        <f t="shared" si="5"/>
        <v>0</v>
      </c>
      <c r="I133" s="10">
        <v>33.369999999999997</v>
      </c>
      <c r="J133" s="10">
        <v>834.25</v>
      </c>
      <c r="K133" s="10">
        <f t="shared" si="6"/>
        <v>0</v>
      </c>
      <c r="L133" s="10">
        <f t="shared" si="7"/>
        <v>0</v>
      </c>
    </row>
    <row r="134" spans="1:12" ht="39" customHeight="1" x14ac:dyDescent="0.25">
      <c r="A134" s="7" t="s">
        <v>386</v>
      </c>
      <c r="B134" s="7" t="s">
        <v>387</v>
      </c>
      <c r="C134" s="7" t="s">
        <v>12</v>
      </c>
      <c r="D134" s="7" t="s">
        <v>388</v>
      </c>
      <c r="E134" s="8" t="s">
        <v>110</v>
      </c>
      <c r="F134" s="9">
        <v>10</v>
      </c>
      <c r="G134" s="9"/>
      <c r="H134" s="9">
        <f t="shared" si="5"/>
        <v>0</v>
      </c>
      <c r="I134" s="10">
        <v>29.04</v>
      </c>
      <c r="J134" s="10">
        <v>290.39999999999998</v>
      </c>
      <c r="K134" s="10">
        <f t="shared" si="6"/>
        <v>0</v>
      </c>
      <c r="L134" s="10">
        <f t="shared" si="7"/>
        <v>0</v>
      </c>
    </row>
    <row r="135" spans="1:12" ht="26.1" customHeight="1" x14ac:dyDescent="0.25">
      <c r="A135" s="7" t="s">
        <v>389</v>
      </c>
      <c r="B135" s="7" t="s">
        <v>390</v>
      </c>
      <c r="C135" s="7" t="s">
        <v>64</v>
      </c>
      <c r="D135" s="7" t="s">
        <v>391</v>
      </c>
      <c r="E135" s="8" t="s">
        <v>80</v>
      </c>
      <c r="F135" s="9">
        <v>7</v>
      </c>
      <c r="G135" s="9"/>
      <c r="H135" s="9">
        <f t="shared" si="5"/>
        <v>0</v>
      </c>
      <c r="I135" s="10">
        <v>136.82</v>
      </c>
      <c r="J135" s="10">
        <v>957.74</v>
      </c>
      <c r="K135" s="10">
        <f t="shared" si="6"/>
        <v>0</v>
      </c>
      <c r="L135" s="10">
        <f t="shared" si="7"/>
        <v>0</v>
      </c>
    </row>
    <row r="136" spans="1:12" ht="24" customHeight="1" x14ac:dyDescent="0.25">
      <c r="A136" s="7" t="s">
        <v>392</v>
      </c>
      <c r="B136" s="7" t="s">
        <v>393</v>
      </c>
      <c r="C136" s="7" t="s">
        <v>22</v>
      </c>
      <c r="D136" s="7" t="s">
        <v>394</v>
      </c>
      <c r="E136" s="8" t="s">
        <v>80</v>
      </c>
      <c r="F136" s="9">
        <v>11</v>
      </c>
      <c r="G136" s="9"/>
      <c r="H136" s="9">
        <f t="shared" ref="H136:H186" si="8">G136</f>
        <v>0</v>
      </c>
      <c r="I136" s="10">
        <v>44.77</v>
      </c>
      <c r="J136" s="10">
        <v>492.47</v>
      </c>
      <c r="K136" s="10">
        <f t="shared" ref="K136:K185" si="9">TRUNC(G136*I136,2)</f>
        <v>0</v>
      </c>
      <c r="L136" s="10">
        <f t="shared" ref="L136:L186" si="10">TRUNC(H136*I136,2)</f>
        <v>0</v>
      </c>
    </row>
    <row r="137" spans="1:12" ht="26.1" customHeight="1" x14ac:dyDescent="0.25">
      <c r="A137" s="7" t="s">
        <v>395</v>
      </c>
      <c r="B137" s="7" t="s">
        <v>396</v>
      </c>
      <c r="C137" s="7" t="s">
        <v>22</v>
      </c>
      <c r="D137" s="7" t="s">
        <v>397</v>
      </c>
      <c r="E137" s="8" t="s">
        <v>80</v>
      </c>
      <c r="F137" s="9">
        <v>15</v>
      </c>
      <c r="G137" s="9"/>
      <c r="H137" s="9">
        <f t="shared" si="8"/>
        <v>0</v>
      </c>
      <c r="I137" s="10">
        <v>58.35</v>
      </c>
      <c r="J137" s="10">
        <v>875.25</v>
      </c>
      <c r="K137" s="10">
        <f t="shared" si="9"/>
        <v>0</v>
      </c>
      <c r="L137" s="10">
        <f t="shared" si="10"/>
        <v>0</v>
      </c>
    </row>
    <row r="138" spans="1:12" ht="26.1" customHeight="1" x14ac:dyDescent="0.25">
      <c r="A138" s="7" t="s">
        <v>398</v>
      </c>
      <c r="B138" s="7" t="s">
        <v>399</v>
      </c>
      <c r="C138" s="7" t="s">
        <v>17</v>
      </c>
      <c r="D138" s="7" t="s">
        <v>400</v>
      </c>
      <c r="E138" s="8" t="s">
        <v>19</v>
      </c>
      <c r="F138" s="9">
        <v>15</v>
      </c>
      <c r="G138" s="9"/>
      <c r="H138" s="9">
        <f t="shared" si="8"/>
        <v>0</v>
      </c>
      <c r="I138" s="10">
        <v>21.39</v>
      </c>
      <c r="J138" s="10">
        <v>320.85000000000002</v>
      </c>
      <c r="K138" s="10">
        <f t="shared" si="9"/>
        <v>0</v>
      </c>
      <c r="L138" s="10">
        <f t="shared" si="10"/>
        <v>0</v>
      </c>
    </row>
    <row r="139" spans="1:12" ht="24" customHeight="1" x14ac:dyDescent="0.25">
      <c r="A139" s="7" t="s">
        <v>401</v>
      </c>
      <c r="B139" s="7" t="s">
        <v>402</v>
      </c>
      <c r="C139" s="7" t="s">
        <v>17</v>
      </c>
      <c r="D139" s="7" t="s">
        <v>403</v>
      </c>
      <c r="E139" s="8" t="s">
        <v>382</v>
      </c>
      <c r="F139" s="9">
        <v>150</v>
      </c>
      <c r="G139" s="9"/>
      <c r="H139" s="9">
        <f t="shared" si="8"/>
        <v>0</v>
      </c>
      <c r="I139" s="10">
        <v>9.7899999999999991</v>
      </c>
      <c r="J139" s="10">
        <v>1468.5</v>
      </c>
      <c r="K139" s="10">
        <f t="shared" si="9"/>
        <v>0</v>
      </c>
      <c r="L139" s="10">
        <f t="shared" si="10"/>
        <v>0</v>
      </c>
    </row>
    <row r="140" spans="1:12" ht="26.1" customHeight="1" x14ac:dyDescent="0.25">
      <c r="A140" s="7" t="s">
        <v>404</v>
      </c>
      <c r="B140" s="7" t="s">
        <v>405</v>
      </c>
      <c r="C140" s="7" t="s">
        <v>17</v>
      </c>
      <c r="D140" s="7" t="s">
        <v>406</v>
      </c>
      <c r="E140" s="8" t="s">
        <v>382</v>
      </c>
      <c r="F140" s="9">
        <v>200</v>
      </c>
      <c r="G140" s="9"/>
      <c r="H140" s="9">
        <f t="shared" si="8"/>
        <v>0</v>
      </c>
      <c r="I140" s="10">
        <v>11.7</v>
      </c>
      <c r="J140" s="10">
        <v>2340</v>
      </c>
      <c r="K140" s="10">
        <f t="shared" si="9"/>
        <v>0</v>
      </c>
      <c r="L140" s="10">
        <f t="shared" si="10"/>
        <v>0</v>
      </c>
    </row>
    <row r="141" spans="1:12" ht="24" customHeight="1" x14ac:dyDescent="0.25">
      <c r="A141" s="3" t="s">
        <v>407</v>
      </c>
      <c r="B141" s="3" t="s">
        <v>8</v>
      </c>
      <c r="C141" s="3"/>
      <c r="D141" s="3" t="s">
        <v>408</v>
      </c>
      <c r="E141" s="4"/>
      <c r="F141" s="5"/>
      <c r="G141" s="9"/>
      <c r="H141" s="9"/>
      <c r="I141" s="6"/>
      <c r="J141" s="6">
        <v>326868.45</v>
      </c>
      <c r="K141" s="17">
        <f>SUM(K142:K169)</f>
        <v>0</v>
      </c>
      <c r="L141" s="17">
        <f>SUM(L142:L169)</f>
        <v>0</v>
      </c>
    </row>
    <row r="142" spans="1:12" ht="24" customHeight="1" x14ac:dyDescent="0.25">
      <c r="A142" s="7" t="s">
        <v>409</v>
      </c>
      <c r="B142" s="7" t="s">
        <v>410</v>
      </c>
      <c r="C142" s="7" t="s">
        <v>22</v>
      </c>
      <c r="D142" s="7" t="s">
        <v>411</v>
      </c>
      <c r="E142" s="8" t="s">
        <v>47</v>
      </c>
      <c r="F142" s="9">
        <v>37.799999999999997</v>
      </c>
      <c r="G142" s="9"/>
      <c r="H142" s="9">
        <f t="shared" si="8"/>
        <v>0</v>
      </c>
      <c r="I142" s="10">
        <v>75.599999999999994</v>
      </c>
      <c r="J142" s="10">
        <v>2857.68</v>
      </c>
      <c r="K142" s="10">
        <f t="shared" si="9"/>
        <v>0</v>
      </c>
      <c r="L142" s="10">
        <f t="shared" si="10"/>
        <v>0</v>
      </c>
    </row>
    <row r="143" spans="1:12" ht="39" customHeight="1" x14ac:dyDescent="0.25">
      <c r="A143" s="7" t="s">
        <v>412</v>
      </c>
      <c r="B143" s="7" t="s">
        <v>311</v>
      </c>
      <c r="C143" s="7" t="s">
        <v>12</v>
      </c>
      <c r="D143" s="7" t="s">
        <v>312</v>
      </c>
      <c r="E143" s="8" t="s">
        <v>14</v>
      </c>
      <c r="F143" s="9">
        <v>36</v>
      </c>
      <c r="G143" s="9"/>
      <c r="H143" s="9">
        <f t="shared" si="8"/>
        <v>0</v>
      </c>
      <c r="I143" s="10">
        <v>41.09</v>
      </c>
      <c r="J143" s="10">
        <v>1479.24</v>
      </c>
      <c r="K143" s="10">
        <f t="shared" si="9"/>
        <v>0</v>
      </c>
      <c r="L143" s="10">
        <f t="shared" si="10"/>
        <v>0</v>
      </c>
    </row>
    <row r="144" spans="1:12" ht="26.1" customHeight="1" x14ac:dyDescent="0.25">
      <c r="A144" s="7" t="s">
        <v>413</v>
      </c>
      <c r="B144" s="7" t="s">
        <v>314</v>
      </c>
      <c r="C144" s="7" t="s">
        <v>22</v>
      </c>
      <c r="D144" s="7" t="s">
        <v>414</v>
      </c>
      <c r="E144" s="8" t="s">
        <v>47</v>
      </c>
      <c r="F144" s="9">
        <v>14.4</v>
      </c>
      <c r="G144" s="9"/>
      <c r="H144" s="9">
        <f t="shared" si="8"/>
        <v>0</v>
      </c>
      <c r="I144" s="10">
        <v>3105.87</v>
      </c>
      <c r="J144" s="10">
        <v>44724.52</v>
      </c>
      <c r="K144" s="10">
        <f t="shared" si="9"/>
        <v>0</v>
      </c>
      <c r="L144" s="10">
        <f t="shared" si="10"/>
        <v>0</v>
      </c>
    </row>
    <row r="145" spans="1:12" ht="26.1" customHeight="1" x14ac:dyDescent="0.25">
      <c r="A145" s="7" t="s">
        <v>415</v>
      </c>
      <c r="B145" s="7" t="s">
        <v>314</v>
      </c>
      <c r="C145" s="7" t="s">
        <v>22</v>
      </c>
      <c r="D145" s="7" t="s">
        <v>416</v>
      </c>
      <c r="E145" s="8" t="s">
        <v>47</v>
      </c>
      <c r="F145" s="9">
        <v>10.8</v>
      </c>
      <c r="G145" s="9"/>
      <c r="H145" s="9">
        <f t="shared" si="8"/>
        <v>0</v>
      </c>
      <c r="I145" s="10">
        <v>3105.87</v>
      </c>
      <c r="J145" s="10">
        <v>33543.39</v>
      </c>
      <c r="K145" s="10">
        <f t="shared" si="9"/>
        <v>0</v>
      </c>
      <c r="L145" s="10">
        <f t="shared" si="10"/>
        <v>0</v>
      </c>
    </row>
    <row r="146" spans="1:12" ht="26.1" customHeight="1" x14ac:dyDescent="0.25">
      <c r="A146" s="7" t="s">
        <v>417</v>
      </c>
      <c r="B146" s="7" t="s">
        <v>314</v>
      </c>
      <c r="C146" s="7" t="s">
        <v>22</v>
      </c>
      <c r="D146" s="7" t="s">
        <v>418</v>
      </c>
      <c r="E146" s="8" t="s">
        <v>47</v>
      </c>
      <c r="F146" s="9">
        <v>7.2</v>
      </c>
      <c r="G146" s="9"/>
      <c r="H146" s="9">
        <f t="shared" si="8"/>
        <v>0</v>
      </c>
      <c r="I146" s="10">
        <v>3105.87</v>
      </c>
      <c r="J146" s="10">
        <v>22362.26</v>
      </c>
      <c r="K146" s="10">
        <f t="shared" si="9"/>
        <v>0</v>
      </c>
      <c r="L146" s="10">
        <f t="shared" si="10"/>
        <v>0</v>
      </c>
    </row>
    <row r="147" spans="1:12" ht="26.1" customHeight="1" x14ac:dyDescent="0.25">
      <c r="A147" s="7" t="s">
        <v>419</v>
      </c>
      <c r="B147" s="7" t="s">
        <v>314</v>
      </c>
      <c r="C147" s="7" t="s">
        <v>22</v>
      </c>
      <c r="D147" s="7" t="s">
        <v>420</v>
      </c>
      <c r="E147" s="8" t="s">
        <v>47</v>
      </c>
      <c r="F147" s="9">
        <v>12.83</v>
      </c>
      <c r="G147" s="9"/>
      <c r="H147" s="9">
        <f t="shared" si="8"/>
        <v>0</v>
      </c>
      <c r="I147" s="10">
        <v>3105.87</v>
      </c>
      <c r="J147" s="10">
        <v>39848.31</v>
      </c>
      <c r="K147" s="10">
        <f t="shared" si="9"/>
        <v>0</v>
      </c>
      <c r="L147" s="10">
        <f t="shared" si="10"/>
        <v>0</v>
      </c>
    </row>
    <row r="148" spans="1:12" ht="26.1" customHeight="1" x14ac:dyDescent="0.25">
      <c r="A148" s="7" t="s">
        <v>421</v>
      </c>
      <c r="B148" s="7" t="s">
        <v>422</v>
      </c>
      <c r="C148" s="7" t="s">
        <v>22</v>
      </c>
      <c r="D148" s="7" t="s">
        <v>423</v>
      </c>
      <c r="E148" s="8" t="s">
        <v>47</v>
      </c>
      <c r="F148" s="9">
        <v>257.5</v>
      </c>
      <c r="G148" s="9"/>
      <c r="H148" s="9">
        <f t="shared" si="8"/>
        <v>0</v>
      </c>
      <c r="I148" s="10">
        <v>192.35</v>
      </c>
      <c r="J148" s="10">
        <v>49530.12</v>
      </c>
      <c r="K148" s="10">
        <f t="shared" si="9"/>
        <v>0</v>
      </c>
      <c r="L148" s="10">
        <f t="shared" si="10"/>
        <v>0</v>
      </c>
    </row>
    <row r="149" spans="1:12" ht="39" customHeight="1" x14ac:dyDescent="0.25">
      <c r="A149" s="7" t="s">
        <v>424</v>
      </c>
      <c r="B149" s="7" t="s">
        <v>425</v>
      </c>
      <c r="C149" s="7" t="s">
        <v>56</v>
      </c>
      <c r="D149" s="7" t="s">
        <v>426</v>
      </c>
      <c r="E149" s="8" t="s">
        <v>47</v>
      </c>
      <c r="F149" s="9">
        <v>32.19</v>
      </c>
      <c r="G149" s="9"/>
      <c r="H149" s="9">
        <f t="shared" si="8"/>
        <v>0</v>
      </c>
      <c r="I149" s="10">
        <v>483.94</v>
      </c>
      <c r="J149" s="10">
        <v>15578.02</v>
      </c>
      <c r="K149" s="10">
        <f t="shared" si="9"/>
        <v>0</v>
      </c>
      <c r="L149" s="10">
        <f t="shared" si="10"/>
        <v>0</v>
      </c>
    </row>
    <row r="150" spans="1:12" ht="26.1" customHeight="1" x14ac:dyDescent="0.25">
      <c r="A150" s="7" t="s">
        <v>427</v>
      </c>
      <c r="B150" s="7" t="s">
        <v>428</v>
      </c>
      <c r="C150" s="7" t="s">
        <v>22</v>
      </c>
      <c r="D150" s="7" t="s">
        <v>429</v>
      </c>
      <c r="E150" s="8" t="s">
        <v>14</v>
      </c>
      <c r="F150" s="9">
        <v>9.66</v>
      </c>
      <c r="G150" s="9"/>
      <c r="H150" s="9">
        <f t="shared" si="8"/>
        <v>0</v>
      </c>
      <c r="I150" s="10">
        <v>40.47</v>
      </c>
      <c r="J150" s="10">
        <v>390.94</v>
      </c>
      <c r="K150" s="10">
        <f t="shared" si="9"/>
        <v>0</v>
      </c>
      <c r="L150" s="10">
        <f t="shared" si="10"/>
        <v>0</v>
      </c>
    </row>
    <row r="151" spans="1:12" ht="65.099999999999994" customHeight="1" x14ac:dyDescent="0.25">
      <c r="A151" s="7" t="s">
        <v>430</v>
      </c>
      <c r="B151" s="7" t="s">
        <v>431</v>
      </c>
      <c r="C151" s="7" t="s">
        <v>12</v>
      </c>
      <c r="D151" s="7" t="s">
        <v>432</v>
      </c>
      <c r="E151" s="8" t="s">
        <v>14</v>
      </c>
      <c r="F151" s="9">
        <v>67.5</v>
      </c>
      <c r="G151" s="9"/>
      <c r="H151" s="9">
        <f t="shared" si="8"/>
        <v>0</v>
      </c>
      <c r="I151" s="10">
        <v>97.77</v>
      </c>
      <c r="J151" s="10">
        <v>6599.47</v>
      </c>
      <c r="K151" s="10">
        <f t="shared" si="9"/>
        <v>0</v>
      </c>
      <c r="L151" s="10">
        <f t="shared" si="10"/>
        <v>0</v>
      </c>
    </row>
    <row r="152" spans="1:12" ht="26.1" customHeight="1" x14ac:dyDescent="0.25">
      <c r="A152" s="7" t="s">
        <v>433</v>
      </c>
      <c r="B152" s="7" t="s">
        <v>434</v>
      </c>
      <c r="C152" s="7" t="s">
        <v>22</v>
      </c>
      <c r="D152" s="7" t="s">
        <v>435</v>
      </c>
      <c r="E152" s="8" t="s">
        <v>14</v>
      </c>
      <c r="F152" s="9">
        <v>254.8</v>
      </c>
      <c r="G152" s="9"/>
      <c r="H152" s="9">
        <f t="shared" si="8"/>
        <v>0</v>
      </c>
      <c r="I152" s="10">
        <v>68.47</v>
      </c>
      <c r="J152" s="10">
        <v>17446.150000000001</v>
      </c>
      <c r="K152" s="10">
        <f t="shared" si="9"/>
        <v>0</v>
      </c>
      <c r="L152" s="10">
        <f t="shared" si="10"/>
        <v>0</v>
      </c>
    </row>
    <row r="153" spans="1:12" ht="26.1" customHeight="1" x14ac:dyDescent="0.25">
      <c r="A153" s="7" t="s">
        <v>436</v>
      </c>
      <c r="B153" s="7" t="s">
        <v>437</v>
      </c>
      <c r="C153" s="7" t="s">
        <v>22</v>
      </c>
      <c r="D153" s="7" t="s">
        <v>438</v>
      </c>
      <c r="E153" s="8" t="s">
        <v>14</v>
      </c>
      <c r="F153" s="9">
        <v>288</v>
      </c>
      <c r="G153" s="9"/>
      <c r="H153" s="9">
        <f t="shared" si="8"/>
        <v>0</v>
      </c>
      <c r="I153" s="10">
        <v>69.89</v>
      </c>
      <c r="J153" s="10">
        <v>20128.32</v>
      </c>
      <c r="K153" s="10">
        <f t="shared" si="9"/>
        <v>0</v>
      </c>
      <c r="L153" s="10">
        <f t="shared" si="10"/>
        <v>0</v>
      </c>
    </row>
    <row r="154" spans="1:12" ht="26.1" customHeight="1" x14ac:dyDescent="0.25">
      <c r="A154" s="7" t="s">
        <v>439</v>
      </c>
      <c r="B154" s="7" t="s">
        <v>440</v>
      </c>
      <c r="C154" s="7" t="s">
        <v>12</v>
      </c>
      <c r="D154" s="7" t="s">
        <v>441</v>
      </c>
      <c r="E154" s="8" t="s">
        <v>14</v>
      </c>
      <c r="F154" s="9">
        <v>288</v>
      </c>
      <c r="G154" s="9"/>
      <c r="H154" s="9">
        <f t="shared" si="8"/>
        <v>0</v>
      </c>
      <c r="I154" s="10">
        <v>13.14</v>
      </c>
      <c r="J154" s="10">
        <v>3784.32</v>
      </c>
      <c r="K154" s="10">
        <f t="shared" si="9"/>
        <v>0</v>
      </c>
      <c r="L154" s="10">
        <f t="shared" si="10"/>
        <v>0</v>
      </c>
    </row>
    <row r="155" spans="1:12" ht="39" customHeight="1" x14ac:dyDescent="0.25">
      <c r="A155" s="7" t="s">
        <v>442</v>
      </c>
      <c r="B155" s="7" t="s">
        <v>443</v>
      </c>
      <c r="C155" s="7" t="s">
        <v>64</v>
      </c>
      <c r="D155" s="7" t="s">
        <v>444</v>
      </c>
      <c r="E155" s="8" t="s">
        <v>14</v>
      </c>
      <c r="F155" s="9">
        <v>99</v>
      </c>
      <c r="G155" s="9"/>
      <c r="H155" s="9">
        <f t="shared" si="8"/>
        <v>0</v>
      </c>
      <c r="I155" s="10">
        <v>90.02</v>
      </c>
      <c r="J155" s="10">
        <v>8911.98</v>
      </c>
      <c r="K155" s="10">
        <f t="shared" si="9"/>
        <v>0</v>
      </c>
      <c r="L155" s="10">
        <f t="shared" si="10"/>
        <v>0</v>
      </c>
    </row>
    <row r="156" spans="1:12" ht="24" customHeight="1" x14ac:dyDescent="0.25">
      <c r="A156" s="7" t="s">
        <v>445</v>
      </c>
      <c r="B156" s="7" t="s">
        <v>331</v>
      </c>
      <c r="C156" s="7" t="s">
        <v>22</v>
      </c>
      <c r="D156" s="7" t="s">
        <v>332</v>
      </c>
      <c r="E156" s="8" t="s">
        <v>14</v>
      </c>
      <c r="F156" s="9">
        <v>80</v>
      </c>
      <c r="G156" s="9"/>
      <c r="H156" s="9">
        <f t="shared" si="8"/>
        <v>0</v>
      </c>
      <c r="I156" s="10">
        <v>17.440000000000001</v>
      </c>
      <c r="J156" s="10">
        <v>1395.2</v>
      </c>
      <c r="K156" s="10">
        <f t="shared" si="9"/>
        <v>0</v>
      </c>
      <c r="L156" s="10">
        <f t="shared" si="10"/>
        <v>0</v>
      </c>
    </row>
    <row r="157" spans="1:12" ht="24" customHeight="1" x14ac:dyDescent="0.25">
      <c r="A157" s="7" t="s">
        <v>446</v>
      </c>
      <c r="B157" s="7" t="s">
        <v>334</v>
      </c>
      <c r="C157" s="7" t="s">
        <v>22</v>
      </c>
      <c r="D157" s="7" t="s">
        <v>335</v>
      </c>
      <c r="E157" s="8" t="s">
        <v>14</v>
      </c>
      <c r="F157" s="9">
        <v>80</v>
      </c>
      <c r="G157" s="9"/>
      <c r="H157" s="9">
        <f t="shared" si="8"/>
        <v>0</v>
      </c>
      <c r="I157" s="10">
        <v>9.43</v>
      </c>
      <c r="J157" s="10">
        <v>754.4</v>
      </c>
      <c r="K157" s="10">
        <f t="shared" si="9"/>
        <v>0</v>
      </c>
      <c r="L157" s="10">
        <f t="shared" si="10"/>
        <v>0</v>
      </c>
    </row>
    <row r="158" spans="1:12" ht="26.1" customHeight="1" x14ac:dyDescent="0.25">
      <c r="A158" s="7" t="s">
        <v>447</v>
      </c>
      <c r="B158" s="7" t="s">
        <v>448</v>
      </c>
      <c r="C158" s="7" t="s">
        <v>64</v>
      </c>
      <c r="D158" s="7" t="s">
        <v>449</v>
      </c>
      <c r="E158" s="8" t="s">
        <v>372</v>
      </c>
      <c r="F158" s="9">
        <v>33</v>
      </c>
      <c r="G158" s="9"/>
      <c r="H158" s="9">
        <f t="shared" si="8"/>
        <v>0</v>
      </c>
      <c r="I158" s="10">
        <v>85.26</v>
      </c>
      <c r="J158" s="10">
        <v>2813.58</v>
      </c>
      <c r="K158" s="10">
        <f t="shared" si="9"/>
        <v>0</v>
      </c>
      <c r="L158" s="10">
        <f t="shared" si="10"/>
        <v>0</v>
      </c>
    </row>
    <row r="159" spans="1:12" ht="24" customHeight="1" x14ac:dyDescent="0.25">
      <c r="A159" s="7" t="s">
        <v>450</v>
      </c>
      <c r="B159" s="7" t="s">
        <v>451</v>
      </c>
      <c r="C159" s="7" t="s">
        <v>22</v>
      </c>
      <c r="D159" s="7" t="s">
        <v>452</v>
      </c>
      <c r="E159" s="8" t="s">
        <v>110</v>
      </c>
      <c r="F159" s="9">
        <v>172</v>
      </c>
      <c r="G159" s="9"/>
      <c r="H159" s="9">
        <f t="shared" si="8"/>
        <v>0</v>
      </c>
      <c r="I159" s="10">
        <v>20.05</v>
      </c>
      <c r="J159" s="10">
        <v>3448.6</v>
      </c>
      <c r="K159" s="10">
        <f t="shared" si="9"/>
        <v>0</v>
      </c>
      <c r="L159" s="10">
        <f t="shared" si="10"/>
        <v>0</v>
      </c>
    </row>
    <row r="160" spans="1:12" ht="24" customHeight="1" x14ac:dyDescent="0.25">
      <c r="A160" s="7" t="s">
        <v>453</v>
      </c>
      <c r="B160" s="7" t="s">
        <v>454</v>
      </c>
      <c r="C160" s="7" t="s">
        <v>22</v>
      </c>
      <c r="D160" s="7" t="s">
        <v>455</v>
      </c>
      <c r="E160" s="8" t="s">
        <v>110</v>
      </c>
      <c r="F160" s="9">
        <v>333</v>
      </c>
      <c r="G160" s="9"/>
      <c r="H160" s="9">
        <f t="shared" si="8"/>
        <v>0</v>
      </c>
      <c r="I160" s="10">
        <v>13.32</v>
      </c>
      <c r="J160" s="10">
        <v>4435.5600000000004</v>
      </c>
      <c r="K160" s="10">
        <f t="shared" si="9"/>
        <v>0</v>
      </c>
      <c r="L160" s="10">
        <f t="shared" si="10"/>
        <v>0</v>
      </c>
    </row>
    <row r="161" spans="1:12" ht="24" customHeight="1" x14ac:dyDescent="0.25">
      <c r="A161" s="7" t="s">
        <v>456</v>
      </c>
      <c r="B161" s="7" t="s">
        <v>393</v>
      </c>
      <c r="C161" s="7" t="s">
        <v>22</v>
      </c>
      <c r="D161" s="7" t="s">
        <v>394</v>
      </c>
      <c r="E161" s="8" t="s">
        <v>80</v>
      </c>
      <c r="F161" s="9">
        <v>8</v>
      </c>
      <c r="G161" s="9"/>
      <c r="H161" s="9">
        <f t="shared" si="8"/>
        <v>0</v>
      </c>
      <c r="I161" s="10">
        <v>44.77</v>
      </c>
      <c r="J161" s="10">
        <v>358.16</v>
      </c>
      <c r="K161" s="10">
        <f t="shared" si="9"/>
        <v>0</v>
      </c>
      <c r="L161" s="10">
        <f t="shared" si="10"/>
        <v>0</v>
      </c>
    </row>
    <row r="162" spans="1:12" ht="24" customHeight="1" x14ac:dyDescent="0.25">
      <c r="A162" s="7" t="s">
        <v>457</v>
      </c>
      <c r="B162" s="7" t="s">
        <v>454</v>
      </c>
      <c r="C162" s="7" t="s">
        <v>22</v>
      </c>
      <c r="D162" s="7" t="s">
        <v>455</v>
      </c>
      <c r="E162" s="8" t="s">
        <v>110</v>
      </c>
      <c r="F162" s="9">
        <v>61</v>
      </c>
      <c r="G162" s="9"/>
      <c r="H162" s="9">
        <f t="shared" si="8"/>
        <v>0</v>
      </c>
      <c r="I162" s="10">
        <v>13.32</v>
      </c>
      <c r="J162" s="10">
        <v>812.52</v>
      </c>
      <c r="K162" s="10">
        <f t="shared" si="9"/>
        <v>0</v>
      </c>
      <c r="L162" s="10">
        <f t="shared" si="10"/>
        <v>0</v>
      </c>
    </row>
    <row r="163" spans="1:12" ht="24" customHeight="1" x14ac:dyDescent="0.25">
      <c r="A163" s="7" t="s">
        <v>458</v>
      </c>
      <c r="B163" s="7" t="s">
        <v>459</v>
      </c>
      <c r="C163" s="7" t="s">
        <v>22</v>
      </c>
      <c r="D163" s="7" t="s">
        <v>460</v>
      </c>
      <c r="E163" s="8" t="s">
        <v>110</v>
      </c>
      <c r="F163" s="9">
        <v>30</v>
      </c>
      <c r="G163" s="9"/>
      <c r="H163" s="9">
        <f t="shared" si="8"/>
        <v>0</v>
      </c>
      <c r="I163" s="10">
        <v>19.57</v>
      </c>
      <c r="J163" s="10">
        <v>587.1</v>
      </c>
      <c r="K163" s="10">
        <f t="shared" si="9"/>
        <v>0</v>
      </c>
      <c r="L163" s="10">
        <f t="shared" si="10"/>
        <v>0</v>
      </c>
    </row>
    <row r="164" spans="1:12" ht="24" customHeight="1" x14ac:dyDescent="0.25">
      <c r="A164" s="7" t="s">
        <v>461</v>
      </c>
      <c r="B164" s="7" t="s">
        <v>462</v>
      </c>
      <c r="C164" s="7" t="s">
        <v>22</v>
      </c>
      <c r="D164" s="7" t="s">
        <v>463</v>
      </c>
      <c r="E164" s="8" t="s">
        <v>110</v>
      </c>
      <c r="F164" s="9">
        <v>183</v>
      </c>
      <c r="G164" s="9"/>
      <c r="H164" s="9">
        <f t="shared" si="8"/>
        <v>0</v>
      </c>
      <c r="I164" s="10">
        <v>6.12</v>
      </c>
      <c r="J164" s="10">
        <v>1119.96</v>
      </c>
      <c r="K164" s="10">
        <f t="shared" si="9"/>
        <v>0</v>
      </c>
      <c r="L164" s="10">
        <f t="shared" si="10"/>
        <v>0</v>
      </c>
    </row>
    <row r="165" spans="1:12" ht="24" customHeight="1" x14ac:dyDescent="0.25">
      <c r="A165" s="7" t="s">
        <v>464</v>
      </c>
      <c r="B165" s="7" t="s">
        <v>465</v>
      </c>
      <c r="C165" s="7" t="s">
        <v>22</v>
      </c>
      <c r="D165" s="7" t="s">
        <v>466</v>
      </c>
      <c r="E165" s="8" t="s">
        <v>110</v>
      </c>
      <c r="F165" s="9">
        <v>30</v>
      </c>
      <c r="G165" s="9"/>
      <c r="H165" s="9">
        <f t="shared" si="8"/>
        <v>0</v>
      </c>
      <c r="I165" s="10">
        <v>7.36</v>
      </c>
      <c r="J165" s="10">
        <v>220.8</v>
      </c>
      <c r="K165" s="10">
        <f t="shared" si="9"/>
        <v>0</v>
      </c>
      <c r="L165" s="10">
        <f t="shared" si="10"/>
        <v>0</v>
      </c>
    </row>
    <row r="166" spans="1:12" ht="24" customHeight="1" x14ac:dyDescent="0.25">
      <c r="A166" s="7" t="s">
        <v>467</v>
      </c>
      <c r="B166" s="7" t="s">
        <v>468</v>
      </c>
      <c r="C166" s="7" t="s">
        <v>22</v>
      </c>
      <c r="D166" s="7" t="s">
        <v>469</v>
      </c>
      <c r="E166" s="8" t="s">
        <v>110</v>
      </c>
      <c r="F166" s="9">
        <v>90</v>
      </c>
      <c r="G166" s="9"/>
      <c r="H166" s="9">
        <f t="shared" si="8"/>
        <v>0</v>
      </c>
      <c r="I166" s="10">
        <v>12.03</v>
      </c>
      <c r="J166" s="10">
        <v>1082.7</v>
      </c>
      <c r="K166" s="10">
        <f t="shared" si="9"/>
        <v>0</v>
      </c>
      <c r="L166" s="10">
        <f t="shared" si="10"/>
        <v>0</v>
      </c>
    </row>
    <row r="167" spans="1:12" ht="26.1" customHeight="1" x14ac:dyDescent="0.25">
      <c r="A167" s="7" t="s">
        <v>470</v>
      </c>
      <c r="B167" s="7" t="s">
        <v>471</v>
      </c>
      <c r="C167" s="7" t="s">
        <v>22</v>
      </c>
      <c r="D167" s="7" t="s">
        <v>472</v>
      </c>
      <c r="E167" s="8" t="s">
        <v>80</v>
      </c>
      <c r="F167" s="9">
        <v>1</v>
      </c>
      <c r="G167" s="9"/>
      <c r="H167" s="9">
        <f t="shared" si="8"/>
        <v>0</v>
      </c>
      <c r="I167" s="10">
        <v>1566.21</v>
      </c>
      <c r="J167" s="10">
        <v>1566.21</v>
      </c>
      <c r="K167" s="10">
        <f t="shared" si="9"/>
        <v>0</v>
      </c>
      <c r="L167" s="10">
        <f t="shared" si="10"/>
        <v>0</v>
      </c>
    </row>
    <row r="168" spans="1:12" ht="26.1" customHeight="1" x14ac:dyDescent="0.25">
      <c r="A168" s="7" t="s">
        <v>473</v>
      </c>
      <c r="B168" s="7" t="s">
        <v>324</v>
      </c>
      <c r="C168" s="7" t="s">
        <v>22</v>
      </c>
      <c r="D168" s="7" t="s">
        <v>325</v>
      </c>
      <c r="E168" s="8" t="s">
        <v>14</v>
      </c>
      <c r="F168" s="9">
        <v>576</v>
      </c>
      <c r="G168" s="9"/>
      <c r="H168" s="9">
        <f t="shared" si="8"/>
        <v>0</v>
      </c>
      <c r="I168" s="10">
        <v>41.1</v>
      </c>
      <c r="J168" s="10">
        <v>23673.599999999999</v>
      </c>
      <c r="K168" s="10">
        <f t="shared" si="9"/>
        <v>0</v>
      </c>
      <c r="L168" s="10">
        <f t="shared" si="10"/>
        <v>0</v>
      </c>
    </row>
    <row r="169" spans="1:12" ht="26.1" customHeight="1" x14ac:dyDescent="0.25">
      <c r="A169" s="7" t="s">
        <v>474</v>
      </c>
      <c r="B169" s="7" t="s">
        <v>434</v>
      </c>
      <c r="C169" s="7" t="s">
        <v>22</v>
      </c>
      <c r="D169" s="7" t="s">
        <v>435</v>
      </c>
      <c r="E169" s="8" t="s">
        <v>14</v>
      </c>
      <c r="F169" s="9">
        <v>254.35</v>
      </c>
      <c r="G169" s="9"/>
      <c r="H169" s="9">
        <f t="shared" si="8"/>
        <v>0</v>
      </c>
      <c r="I169" s="10">
        <v>68.47</v>
      </c>
      <c r="J169" s="10">
        <v>17415.34</v>
      </c>
      <c r="K169" s="10">
        <f t="shared" si="9"/>
        <v>0</v>
      </c>
      <c r="L169" s="10">
        <f t="shared" si="10"/>
        <v>0</v>
      </c>
    </row>
    <row r="170" spans="1:12" ht="24" customHeight="1" x14ac:dyDescent="0.25">
      <c r="A170" s="3" t="s">
        <v>475</v>
      </c>
      <c r="B170" s="3" t="s">
        <v>8</v>
      </c>
      <c r="C170" s="3"/>
      <c r="D170" s="3" t="s">
        <v>476</v>
      </c>
      <c r="E170" s="4"/>
      <c r="F170" s="5"/>
      <c r="G170" s="9"/>
      <c r="H170" s="9"/>
      <c r="I170" s="6"/>
      <c r="J170" s="6">
        <v>133658.04</v>
      </c>
      <c r="K170" s="17">
        <f>SUM(K171:K183)</f>
        <v>0</v>
      </c>
      <c r="L170" s="17">
        <f>SUM(L171:L183)</f>
        <v>0</v>
      </c>
    </row>
    <row r="171" spans="1:12" ht="39" customHeight="1" x14ac:dyDescent="0.25">
      <c r="A171" s="7" t="s">
        <v>477</v>
      </c>
      <c r="B171" s="7" t="s">
        <v>69</v>
      </c>
      <c r="C171" s="7" t="s">
        <v>12</v>
      </c>
      <c r="D171" s="7" t="s">
        <v>70</v>
      </c>
      <c r="E171" s="8" t="s">
        <v>47</v>
      </c>
      <c r="F171" s="9">
        <v>1.1499999999999999</v>
      </c>
      <c r="G171" s="9"/>
      <c r="H171" s="9">
        <f t="shared" si="8"/>
        <v>0</v>
      </c>
      <c r="I171" s="10">
        <v>112.79</v>
      </c>
      <c r="J171" s="10">
        <v>129.69999999999999</v>
      </c>
      <c r="K171" s="10">
        <f t="shared" si="9"/>
        <v>0</v>
      </c>
      <c r="L171" s="10">
        <f t="shared" si="10"/>
        <v>0</v>
      </c>
    </row>
    <row r="172" spans="1:12" ht="39" customHeight="1" x14ac:dyDescent="0.25">
      <c r="A172" s="7" t="s">
        <v>478</v>
      </c>
      <c r="B172" s="7" t="s">
        <v>311</v>
      </c>
      <c r="C172" s="7" t="s">
        <v>12</v>
      </c>
      <c r="D172" s="7" t="s">
        <v>312</v>
      </c>
      <c r="E172" s="8" t="s">
        <v>14</v>
      </c>
      <c r="F172" s="9">
        <v>3.84</v>
      </c>
      <c r="G172" s="9"/>
      <c r="H172" s="9">
        <f t="shared" si="8"/>
        <v>0</v>
      </c>
      <c r="I172" s="10">
        <v>41.09</v>
      </c>
      <c r="J172" s="10">
        <v>157.78</v>
      </c>
      <c r="K172" s="10">
        <f t="shared" si="9"/>
        <v>0</v>
      </c>
      <c r="L172" s="10">
        <f t="shared" si="10"/>
        <v>0</v>
      </c>
    </row>
    <row r="173" spans="1:12" ht="26.1" customHeight="1" x14ac:dyDescent="0.25">
      <c r="A173" s="7" t="s">
        <v>479</v>
      </c>
      <c r="B173" s="7" t="s">
        <v>314</v>
      </c>
      <c r="C173" s="7" t="s">
        <v>22</v>
      </c>
      <c r="D173" s="7" t="s">
        <v>480</v>
      </c>
      <c r="E173" s="8" t="s">
        <v>47</v>
      </c>
      <c r="F173" s="9">
        <v>6.9</v>
      </c>
      <c r="G173" s="9"/>
      <c r="H173" s="9">
        <f t="shared" si="8"/>
        <v>0</v>
      </c>
      <c r="I173" s="10">
        <v>3105.87</v>
      </c>
      <c r="J173" s="10">
        <v>21430.5</v>
      </c>
      <c r="K173" s="10">
        <f t="shared" si="9"/>
        <v>0</v>
      </c>
      <c r="L173" s="10">
        <f t="shared" si="10"/>
        <v>0</v>
      </c>
    </row>
    <row r="174" spans="1:12" ht="24" customHeight="1" x14ac:dyDescent="0.25">
      <c r="A174" s="7" t="s">
        <v>481</v>
      </c>
      <c r="B174" s="7" t="s">
        <v>482</v>
      </c>
      <c r="C174" s="7" t="s">
        <v>22</v>
      </c>
      <c r="D174" s="7" t="s">
        <v>483</v>
      </c>
      <c r="E174" s="8" t="s">
        <v>80</v>
      </c>
      <c r="F174" s="9">
        <v>6</v>
      </c>
      <c r="G174" s="9"/>
      <c r="H174" s="9">
        <f t="shared" si="8"/>
        <v>0</v>
      </c>
      <c r="I174" s="10">
        <v>2321.2399999999998</v>
      </c>
      <c r="J174" s="10">
        <v>13927.44</v>
      </c>
      <c r="K174" s="10">
        <f t="shared" si="9"/>
        <v>0</v>
      </c>
      <c r="L174" s="10">
        <f t="shared" si="10"/>
        <v>0</v>
      </c>
    </row>
    <row r="175" spans="1:12" ht="26.1" customHeight="1" x14ac:dyDescent="0.25">
      <c r="A175" s="7" t="s">
        <v>484</v>
      </c>
      <c r="B175" s="7" t="s">
        <v>485</v>
      </c>
      <c r="C175" s="7" t="s">
        <v>22</v>
      </c>
      <c r="D175" s="7" t="s">
        <v>486</v>
      </c>
      <c r="E175" s="8" t="s">
        <v>487</v>
      </c>
      <c r="F175" s="9">
        <v>70</v>
      </c>
      <c r="G175" s="9"/>
      <c r="H175" s="9">
        <f t="shared" si="8"/>
        <v>0</v>
      </c>
      <c r="I175" s="10">
        <v>165.05</v>
      </c>
      <c r="J175" s="10">
        <v>11553.5</v>
      </c>
      <c r="K175" s="10">
        <f t="shared" si="9"/>
        <v>0</v>
      </c>
      <c r="L175" s="10">
        <f t="shared" si="10"/>
        <v>0</v>
      </c>
    </row>
    <row r="176" spans="1:12" ht="26.1" customHeight="1" x14ac:dyDescent="0.25">
      <c r="A176" s="7" t="s">
        <v>488</v>
      </c>
      <c r="B176" s="7" t="s">
        <v>489</v>
      </c>
      <c r="C176" s="7" t="s">
        <v>64</v>
      </c>
      <c r="D176" s="7" t="s">
        <v>490</v>
      </c>
      <c r="E176" s="8" t="s">
        <v>80</v>
      </c>
      <c r="F176" s="9">
        <v>1</v>
      </c>
      <c r="G176" s="9"/>
      <c r="H176" s="9">
        <f t="shared" si="8"/>
        <v>0</v>
      </c>
      <c r="I176" s="10">
        <v>4991.66</v>
      </c>
      <c r="J176" s="10">
        <v>4991.66</v>
      </c>
      <c r="K176" s="10">
        <f t="shared" si="9"/>
        <v>0</v>
      </c>
      <c r="L176" s="10">
        <f t="shared" si="10"/>
        <v>0</v>
      </c>
    </row>
    <row r="177" spans="1:12" ht="26.1" customHeight="1" x14ac:dyDescent="0.25">
      <c r="A177" s="7" t="s">
        <v>491</v>
      </c>
      <c r="B177" s="7" t="s">
        <v>492</v>
      </c>
      <c r="C177" s="7" t="s">
        <v>17</v>
      </c>
      <c r="D177" s="7" t="s">
        <v>493</v>
      </c>
      <c r="E177" s="8" t="s">
        <v>19</v>
      </c>
      <c r="F177" s="9">
        <v>24</v>
      </c>
      <c r="G177" s="9"/>
      <c r="H177" s="9">
        <f t="shared" si="8"/>
        <v>0</v>
      </c>
      <c r="I177" s="10">
        <v>1142.26</v>
      </c>
      <c r="J177" s="10">
        <v>27414.240000000002</v>
      </c>
      <c r="K177" s="10">
        <f t="shared" si="9"/>
        <v>0</v>
      </c>
      <c r="L177" s="10">
        <f t="shared" si="10"/>
        <v>0</v>
      </c>
    </row>
    <row r="178" spans="1:12" ht="26.1" customHeight="1" x14ac:dyDescent="0.25">
      <c r="A178" s="7" t="s">
        <v>494</v>
      </c>
      <c r="B178" s="7" t="s">
        <v>495</v>
      </c>
      <c r="C178" s="7" t="s">
        <v>64</v>
      </c>
      <c r="D178" s="7" t="s">
        <v>496</v>
      </c>
      <c r="E178" s="8" t="s">
        <v>372</v>
      </c>
      <c r="F178" s="9">
        <v>7</v>
      </c>
      <c r="G178" s="9"/>
      <c r="H178" s="9">
        <f t="shared" si="8"/>
        <v>0</v>
      </c>
      <c r="I178" s="10">
        <v>741.57</v>
      </c>
      <c r="J178" s="10">
        <v>5190.99</v>
      </c>
      <c r="K178" s="10">
        <f t="shared" si="9"/>
        <v>0</v>
      </c>
      <c r="L178" s="10">
        <f t="shared" si="10"/>
        <v>0</v>
      </c>
    </row>
    <row r="179" spans="1:12" ht="24" customHeight="1" x14ac:dyDescent="0.25">
      <c r="A179" s="7" t="s">
        <v>497</v>
      </c>
      <c r="B179" s="7" t="s">
        <v>498</v>
      </c>
      <c r="C179" s="7" t="s">
        <v>22</v>
      </c>
      <c r="D179" s="7" t="s">
        <v>499</v>
      </c>
      <c r="E179" s="8" t="s">
        <v>110</v>
      </c>
      <c r="F179" s="9">
        <v>250</v>
      </c>
      <c r="G179" s="9"/>
      <c r="H179" s="9">
        <f t="shared" si="8"/>
        <v>0</v>
      </c>
      <c r="I179" s="10">
        <v>20.07</v>
      </c>
      <c r="J179" s="10">
        <v>5017.5</v>
      </c>
      <c r="K179" s="10">
        <f t="shared" si="9"/>
        <v>0</v>
      </c>
      <c r="L179" s="10">
        <f t="shared" si="10"/>
        <v>0</v>
      </c>
    </row>
    <row r="180" spans="1:12" ht="26.1" customHeight="1" x14ac:dyDescent="0.25">
      <c r="A180" s="7" t="s">
        <v>500</v>
      </c>
      <c r="B180" s="7" t="s">
        <v>501</v>
      </c>
      <c r="C180" s="7" t="s">
        <v>17</v>
      </c>
      <c r="D180" s="7" t="s">
        <v>502</v>
      </c>
      <c r="E180" s="8" t="s">
        <v>382</v>
      </c>
      <c r="F180" s="9">
        <v>150</v>
      </c>
      <c r="G180" s="9"/>
      <c r="H180" s="9">
        <f t="shared" si="8"/>
        <v>0</v>
      </c>
      <c r="I180" s="10">
        <v>90.22</v>
      </c>
      <c r="J180" s="10">
        <v>13533</v>
      </c>
      <c r="K180" s="10">
        <f t="shared" si="9"/>
        <v>0</v>
      </c>
      <c r="L180" s="10">
        <f t="shared" si="10"/>
        <v>0</v>
      </c>
    </row>
    <row r="181" spans="1:12" ht="24" customHeight="1" x14ac:dyDescent="0.25">
      <c r="A181" s="7" t="s">
        <v>503</v>
      </c>
      <c r="B181" s="7" t="s">
        <v>504</v>
      </c>
      <c r="C181" s="7" t="s">
        <v>22</v>
      </c>
      <c r="D181" s="7" t="s">
        <v>505</v>
      </c>
      <c r="E181" s="8" t="s">
        <v>110</v>
      </c>
      <c r="F181" s="9">
        <v>250</v>
      </c>
      <c r="G181" s="9"/>
      <c r="H181" s="9">
        <f t="shared" si="8"/>
        <v>0</v>
      </c>
      <c r="I181" s="10">
        <v>68.47</v>
      </c>
      <c r="J181" s="10">
        <v>17117.5</v>
      </c>
      <c r="K181" s="10">
        <f t="shared" si="9"/>
        <v>0</v>
      </c>
      <c r="L181" s="10">
        <f t="shared" si="10"/>
        <v>0</v>
      </c>
    </row>
    <row r="182" spans="1:12" ht="26.1" customHeight="1" x14ac:dyDescent="0.25">
      <c r="A182" s="7" t="s">
        <v>506</v>
      </c>
      <c r="B182" s="7" t="s">
        <v>507</v>
      </c>
      <c r="C182" s="7" t="s">
        <v>22</v>
      </c>
      <c r="D182" s="7" t="s">
        <v>508</v>
      </c>
      <c r="E182" s="8" t="s">
        <v>80</v>
      </c>
      <c r="F182" s="9">
        <v>1</v>
      </c>
      <c r="G182" s="9"/>
      <c r="H182" s="9">
        <f t="shared" si="8"/>
        <v>0</v>
      </c>
      <c r="I182" s="10">
        <v>167.03</v>
      </c>
      <c r="J182" s="10">
        <v>167.03</v>
      </c>
      <c r="K182" s="10">
        <f t="shared" si="9"/>
        <v>0</v>
      </c>
      <c r="L182" s="10">
        <f t="shared" si="10"/>
        <v>0</v>
      </c>
    </row>
    <row r="183" spans="1:12" ht="26.1" customHeight="1" x14ac:dyDescent="0.25">
      <c r="A183" s="7" t="s">
        <v>509</v>
      </c>
      <c r="B183" s="7" t="s">
        <v>510</v>
      </c>
      <c r="C183" s="7" t="s">
        <v>22</v>
      </c>
      <c r="D183" s="7" t="s">
        <v>511</v>
      </c>
      <c r="E183" s="8" t="s">
        <v>110</v>
      </c>
      <c r="F183" s="9">
        <v>120</v>
      </c>
      <c r="G183" s="9"/>
      <c r="H183" s="9">
        <f t="shared" si="8"/>
        <v>0</v>
      </c>
      <c r="I183" s="10">
        <v>108.56</v>
      </c>
      <c r="J183" s="10">
        <v>13027.2</v>
      </c>
      <c r="K183" s="10">
        <f t="shared" si="9"/>
        <v>0</v>
      </c>
      <c r="L183" s="10">
        <f t="shared" si="10"/>
        <v>0</v>
      </c>
    </row>
    <row r="184" spans="1:12" ht="24" customHeight="1" x14ac:dyDescent="0.25">
      <c r="A184" s="3" t="s">
        <v>512</v>
      </c>
      <c r="B184" s="3" t="s">
        <v>8</v>
      </c>
      <c r="C184" s="3"/>
      <c r="D184" s="3" t="s">
        <v>513</v>
      </c>
      <c r="E184" s="4"/>
      <c r="F184" s="5"/>
      <c r="G184" s="9"/>
      <c r="H184" s="9"/>
      <c r="I184" s="6"/>
      <c r="J184" s="6">
        <v>310759.25</v>
      </c>
      <c r="K184" s="17">
        <f>SUM(K185:K186)</f>
        <v>0</v>
      </c>
      <c r="L184" s="17">
        <f>SUM(L185:L186)</f>
        <v>0</v>
      </c>
    </row>
    <row r="185" spans="1:12" ht="65.099999999999994" customHeight="1" x14ac:dyDescent="0.25">
      <c r="A185" s="7" t="s">
        <v>514</v>
      </c>
      <c r="B185" s="7" t="s">
        <v>515</v>
      </c>
      <c r="C185" s="7" t="s">
        <v>12</v>
      </c>
      <c r="D185" s="7" t="s">
        <v>516</v>
      </c>
      <c r="E185" s="8" t="s">
        <v>14</v>
      </c>
      <c r="F185" s="9">
        <v>1472</v>
      </c>
      <c r="G185" s="9"/>
      <c r="H185" s="9">
        <f t="shared" si="8"/>
        <v>0</v>
      </c>
      <c r="I185" s="10">
        <v>197.52</v>
      </c>
      <c r="J185" s="10">
        <v>290749.44</v>
      </c>
      <c r="K185" s="10">
        <f t="shared" si="9"/>
        <v>0</v>
      </c>
      <c r="L185" s="10">
        <f t="shared" si="10"/>
        <v>0</v>
      </c>
    </row>
    <row r="186" spans="1:12" ht="26.1" customHeight="1" x14ac:dyDescent="0.25">
      <c r="A186" s="7" t="s">
        <v>517</v>
      </c>
      <c r="B186" s="7" t="s">
        <v>518</v>
      </c>
      <c r="C186" s="7" t="s">
        <v>22</v>
      </c>
      <c r="D186" s="7" t="s">
        <v>519</v>
      </c>
      <c r="E186" s="8" t="s">
        <v>14</v>
      </c>
      <c r="F186" s="9">
        <v>18.399999999999999</v>
      </c>
      <c r="G186" s="9"/>
      <c r="H186" s="9">
        <f t="shared" si="8"/>
        <v>0</v>
      </c>
      <c r="I186" s="10">
        <v>1087.49</v>
      </c>
      <c r="J186" s="10">
        <v>20009.810000000001</v>
      </c>
      <c r="K186" s="10">
        <f>TRUNC(G186*I186,2)</f>
        <v>0</v>
      </c>
      <c r="L186" s="10">
        <f t="shared" si="10"/>
        <v>0</v>
      </c>
    </row>
    <row r="187" spans="1:12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8">
        <f>J6+J11+J16+J23+J36+J46+J57+J105+J141+J170+J184</f>
        <v>2234113.58</v>
      </c>
      <c r="K187" s="18">
        <f>K6+K11+K16+K23+K36+K46+K57+K105+K141+K170+K184</f>
        <v>622036.57999999996</v>
      </c>
      <c r="L187" s="18">
        <f t="shared" ref="L187" si="11">L6+L11+L16+L23+L36+L46+L57+L105+L141+L170+L184</f>
        <v>622036.57999999996</v>
      </c>
    </row>
    <row r="188" spans="1:12" x14ac:dyDescent="0.25">
      <c r="A188" s="36"/>
      <c r="B188" s="36"/>
      <c r="C188" s="36"/>
      <c r="D188" s="13"/>
      <c r="E188" s="12"/>
    </row>
    <row r="189" spans="1:12" x14ac:dyDescent="0.25">
      <c r="A189" s="36"/>
      <c r="B189" s="36"/>
      <c r="C189" s="36"/>
      <c r="D189" s="13"/>
      <c r="E189" s="12"/>
    </row>
    <row r="190" spans="1:12" x14ac:dyDescent="0.25">
      <c r="A190" s="36"/>
      <c r="B190" s="36"/>
      <c r="C190" s="36"/>
      <c r="D190" s="13"/>
    </row>
    <row r="191" spans="1:12" ht="60" customHeight="1" x14ac:dyDescent="0.25">
      <c r="A191" s="14"/>
      <c r="B191" s="14"/>
      <c r="C191" s="14"/>
      <c r="D191" s="14"/>
    </row>
  </sheetData>
  <mergeCells count="17">
    <mergeCell ref="A190:C190"/>
    <mergeCell ref="A3:L3"/>
    <mergeCell ref="A188:C188"/>
    <mergeCell ref="A189:C189"/>
    <mergeCell ref="A4:A5"/>
    <mergeCell ref="B4:B5"/>
    <mergeCell ref="C4:C5"/>
    <mergeCell ref="D4:D5"/>
    <mergeCell ref="E4:H4"/>
    <mergeCell ref="I4:L4"/>
    <mergeCell ref="I1:L1"/>
    <mergeCell ref="I2:L2"/>
    <mergeCell ref="A1:C2"/>
    <mergeCell ref="E1:F1"/>
    <mergeCell ref="E2:F2"/>
    <mergeCell ref="G1:H1"/>
    <mergeCell ref="G2:H2"/>
  </mergeCells>
  <pageMargins left="0.70866141732283472" right="0.70866141732283472" top="0.35433070866141736" bottom="0.74803149606299213" header="0.31496062992125984" footer="0.31496062992125984"/>
  <pageSetup paperSize="9" scale="6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F42-7FAC-496E-9868-B8E28E346127}">
  <sheetPr>
    <pageSetUpPr fitToPage="1"/>
  </sheetPr>
  <dimension ref="A1:Y207"/>
  <sheetViews>
    <sheetView showWhiteSpace="0" view="pageBreakPreview" zoomScale="60" zoomScaleNormal="90" workbookViewId="0">
      <selection activeCell="E10" sqref="E10:X10"/>
    </sheetView>
  </sheetViews>
  <sheetFormatPr defaultRowHeight="12.75" x14ac:dyDescent="0.2"/>
  <cols>
    <col min="1" max="1" width="10" style="19" bestFit="1" customWidth="1"/>
    <col min="2" max="2" width="11.25" style="19" customWidth="1"/>
    <col min="3" max="3" width="9.625" style="19" customWidth="1"/>
    <col min="4" max="4" width="42.625" style="19" customWidth="1"/>
    <col min="5" max="5" width="11.5" style="19" customWidth="1"/>
    <col min="6" max="6" width="17.125" style="19" customWidth="1"/>
    <col min="7" max="23" width="5" style="19" customWidth="1"/>
    <col min="24" max="25" width="5.75" style="19" customWidth="1"/>
    <col min="26" max="16384" width="9" style="19"/>
  </cols>
  <sheetData>
    <row r="1" spans="1:25" x14ac:dyDescent="0.2">
      <c r="A1" s="44"/>
      <c r="B1" s="45"/>
      <c r="C1" s="46"/>
      <c r="D1" s="15" t="s">
        <v>0</v>
      </c>
      <c r="E1" s="26" t="s">
        <v>1</v>
      </c>
      <c r="F1" s="26"/>
      <c r="G1" s="50" t="s">
        <v>2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 t="s">
        <v>3</v>
      </c>
      <c r="W1" s="51"/>
      <c r="X1" s="51"/>
      <c r="Y1" s="51"/>
    </row>
    <row r="2" spans="1:25" ht="66" customHeight="1" x14ac:dyDescent="0.2">
      <c r="A2" s="47"/>
      <c r="B2" s="48"/>
      <c r="C2" s="49"/>
      <c r="D2" s="15" t="s">
        <v>520</v>
      </c>
      <c r="E2" s="26" t="s">
        <v>4</v>
      </c>
      <c r="F2" s="26"/>
      <c r="G2" s="35" t="s">
        <v>5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26" t="s">
        <v>6</v>
      </c>
      <c r="W2" s="26"/>
      <c r="X2" s="26"/>
      <c r="Y2" s="26"/>
    </row>
    <row r="3" spans="1:25" x14ac:dyDescent="0.2">
      <c r="A3" s="41" t="s">
        <v>535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3"/>
    </row>
    <row r="4" spans="1:25" x14ac:dyDescent="0.2">
      <c r="A4" s="20" t="s">
        <v>522</v>
      </c>
      <c r="B4" s="20" t="s">
        <v>523</v>
      </c>
      <c r="C4" s="20" t="s">
        <v>533</v>
      </c>
      <c r="D4" s="20" t="s">
        <v>524</v>
      </c>
      <c r="E4" s="53" t="s">
        <v>535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20" t="s">
        <v>372</v>
      </c>
    </row>
    <row r="5" spans="1:25" x14ac:dyDescent="0.2">
      <c r="A5" s="21"/>
      <c r="B5" s="21"/>
      <c r="C5" s="21"/>
      <c r="D5" s="21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6"/>
      <c r="Y5" s="21"/>
    </row>
    <row r="6" spans="1:25" x14ac:dyDescent="0.2">
      <c r="A6" s="3" t="s">
        <v>7</v>
      </c>
      <c r="B6" s="3" t="s">
        <v>8</v>
      </c>
      <c r="C6" s="3"/>
      <c r="D6" s="3" t="s">
        <v>9</v>
      </c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6"/>
      <c r="Y6" s="4"/>
    </row>
    <row r="7" spans="1:25" ht="38.25" x14ac:dyDescent="0.2">
      <c r="A7" s="7" t="s">
        <v>10</v>
      </c>
      <c r="B7" s="7" t="s">
        <v>11</v>
      </c>
      <c r="C7" s="7" t="s">
        <v>12</v>
      </c>
      <c r="D7" s="7" t="s">
        <v>13</v>
      </c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6"/>
      <c r="Y7" s="8" t="s">
        <v>14</v>
      </c>
    </row>
    <row r="8" spans="1:25" x14ac:dyDescent="0.2">
      <c r="A8" s="7"/>
      <c r="B8" s="7"/>
      <c r="C8" s="7"/>
      <c r="D8" s="9" t="s">
        <v>536</v>
      </c>
      <c r="E8" s="22">
        <v>6</v>
      </c>
      <c r="F8" s="22" t="s">
        <v>537</v>
      </c>
      <c r="G8" s="22">
        <v>2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 t="s">
        <v>538</v>
      </c>
      <c r="X8" s="22">
        <f>E8*G8</f>
        <v>12</v>
      </c>
      <c r="Y8" s="8"/>
    </row>
    <row r="9" spans="1:25" x14ac:dyDescent="0.2">
      <c r="A9" s="7"/>
      <c r="B9" s="7"/>
      <c r="C9" s="7"/>
      <c r="D9" s="7"/>
      <c r="E9" s="61" t="s">
        <v>539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3"/>
      <c r="W9" s="22" t="s">
        <v>538</v>
      </c>
      <c r="X9" s="22">
        <f>X8</f>
        <v>12</v>
      </c>
      <c r="Y9" s="8"/>
    </row>
    <row r="10" spans="1:25" ht="25.5" x14ac:dyDescent="0.2">
      <c r="A10" s="7" t="s">
        <v>15</v>
      </c>
      <c r="B10" s="7" t="s">
        <v>16</v>
      </c>
      <c r="C10" s="7" t="s">
        <v>17</v>
      </c>
      <c r="D10" s="7" t="s">
        <v>18</v>
      </c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8" t="s">
        <v>19</v>
      </c>
    </row>
    <row r="11" spans="1:25" ht="25.5" x14ac:dyDescent="0.2">
      <c r="A11" s="7" t="s">
        <v>20</v>
      </c>
      <c r="B11" s="7" t="s">
        <v>21</v>
      </c>
      <c r="C11" s="7" t="s">
        <v>22</v>
      </c>
      <c r="D11" s="7" t="s">
        <v>23</v>
      </c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8" t="s">
        <v>24</v>
      </c>
    </row>
    <row r="12" spans="1:25" x14ac:dyDescent="0.2">
      <c r="A12" s="7" t="s">
        <v>25</v>
      </c>
      <c r="B12" s="7" t="s">
        <v>26</v>
      </c>
      <c r="C12" s="7" t="s">
        <v>12</v>
      </c>
      <c r="D12" s="7" t="s">
        <v>27</v>
      </c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8" t="s">
        <v>14</v>
      </c>
    </row>
    <row r="13" spans="1:25" x14ac:dyDescent="0.2">
      <c r="A13" s="7"/>
      <c r="B13" s="7"/>
      <c r="C13" s="7"/>
      <c r="D13" s="9" t="s">
        <v>540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8"/>
    </row>
    <row r="14" spans="1:25" x14ac:dyDescent="0.2">
      <c r="A14" s="7"/>
      <c r="B14" s="7"/>
      <c r="C14" s="7"/>
      <c r="D14" s="7"/>
      <c r="E14" s="22">
        <v>31.5</v>
      </c>
      <c r="F14" s="22" t="s">
        <v>541</v>
      </c>
      <c r="G14" s="22">
        <v>5.5</v>
      </c>
      <c r="H14" s="22" t="s">
        <v>541</v>
      </c>
      <c r="I14" s="22">
        <v>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542</v>
      </c>
      <c r="V14" s="22">
        <v>2</v>
      </c>
      <c r="W14" s="22" t="s">
        <v>538</v>
      </c>
      <c r="X14" s="22">
        <f>(E14+G14+I14)*V14</f>
        <v>80</v>
      </c>
      <c r="Y14" s="8"/>
    </row>
    <row r="15" spans="1:25" x14ac:dyDescent="0.2">
      <c r="A15" s="7"/>
      <c r="B15" s="7"/>
      <c r="C15" s="7"/>
      <c r="D15" s="7"/>
      <c r="E15" s="52" t="s">
        <v>543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23" t="s">
        <v>538</v>
      </c>
      <c r="X15" s="23">
        <f>X14</f>
        <v>80</v>
      </c>
      <c r="Y15" s="8"/>
    </row>
    <row r="16" spans="1:25" x14ac:dyDescent="0.2">
      <c r="A16" s="3" t="s">
        <v>28</v>
      </c>
      <c r="B16" s="3" t="s">
        <v>8</v>
      </c>
      <c r="C16" s="3"/>
      <c r="D16" s="3" t="s">
        <v>29</v>
      </c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4"/>
    </row>
    <row r="17" spans="1:25" ht="25.5" x14ac:dyDescent="0.2">
      <c r="A17" s="7" t="s">
        <v>30</v>
      </c>
      <c r="B17" s="7" t="s">
        <v>31</v>
      </c>
      <c r="C17" s="7" t="s">
        <v>12</v>
      </c>
      <c r="D17" s="7" t="s">
        <v>32</v>
      </c>
      <c r="E17" s="54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8" t="s">
        <v>24</v>
      </c>
    </row>
    <row r="18" spans="1:25" x14ac:dyDescent="0.2">
      <c r="A18" s="7"/>
      <c r="B18" s="7"/>
      <c r="C18" s="7"/>
      <c r="D18" s="9" t="s">
        <v>544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8"/>
    </row>
    <row r="19" spans="1:25" x14ac:dyDescent="0.2">
      <c r="A19" s="7"/>
      <c r="B19" s="7"/>
      <c r="C19" s="7"/>
      <c r="D19" s="7"/>
      <c r="E19" s="22">
        <v>1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542</v>
      </c>
      <c r="V19" s="22">
        <v>1</v>
      </c>
      <c r="W19" s="22" t="s">
        <v>538</v>
      </c>
      <c r="X19" s="22">
        <f>(E19+G19+I19)*V19</f>
        <v>1</v>
      </c>
      <c r="Y19" s="8"/>
    </row>
    <row r="20" spans="1:25" x14ac:dyDescent="0.2">
      <c r="A20" s="7"/>
      <c r="B20" s="7"/>
      <c r="C20" s="7"/>
      <c r="D20" s="7"/>
      <c r="E20" s="52" t="s">
        <v>543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23" t="s">
        <v>538</v>
      </c>
      <c r="X20" s="23">
        <f>X19</f>
        <v>1</v>
      </c>
      <c r="Y20" s="8"/>
    </row>
    <row r="21" spans="1:25" ht="25.5" x14ac:dyDescent="0.2">
      <c r="A21" s="7" t="s">
        <v>33</v>
      </c>
      <c r="B21" s="7" t="s">
        <v>34</v>
      </c>
      <c r="C21" s="7" t="s">
        <v>12</v>
      </c>
      <c r="D21" s="7" t="s">
        <v>35</v>
      </c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8" t="s">
        <v>24</v>
      </c>
    </row>
    <row r="22" spans="1:25" x14ac:dyDescent="0.2">
      <c r="A22" s="7"/>
      <c r="B22" s="7"/>
      <c r="C22" s="7"/>
      <c r="D22" s="9" t="s">
        <v>544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8"/>
    </row>
    <row r="23" spans="1:25" x14ac:dyDescent="0.2">
      <c r="A23" s="7"/>
      <c r="B23" s="7"/>
      <c r="C23" s="7"/>
      <c r="D23" s="7"/>
      <c r="E23" s="22">
        <v>1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">
        <v>542</v>
      </c>
      <c r="V23" s="22">
        <v>1</v>
      </c>
      <c r="W23" s="22" t="s">
        <v>538</v>
      </c>
      <c r="X23" s="22">
        <f>(E23+G23+I23)*V23</f>
        <v>1</v>
      </c>
      <c r="Y23" s="8"/>
    </row>
    <row r="24" spans="1:25" x14ac:dyDescent="0.2">
      <c r="A24" s="7"/>
      <c r="B24" s="7"/>
      <c r="C24" s="7"/>
      <c r="D24" s="7"/>
      <c r="E24" s="52" t="s">
        <v>543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23" t="s">
        <v>538</v>
      </c>
      <c r="X24" s="23">
        <f>X23</f>
        <v>1</v>
      </c>
      <c r="Y24" s="8"/>
    </row>
    <row r="25" spans="1:25" x14ac:dyDescent="0.2">
      <c r="A25" s="7" t="s">
        <v>36</v>
      </c>
      <c r="B25" s="7" t="s">
        <v>37</v>
      </c>
      <c r="C25" s="7" t="s">
        <v>12</v>
      </c>
      <c r="D25" s="7" t="s">
        <v>38</v>
      </c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8" t="s">
        <v>24</v>
      </c>
    </row>
    <row r="26" spans="1:25" x14ac:dyDescent="0.2">
      <c r="A26" s="7"/>
      <c r="B26" s="7"/>
      <c r="C26" s="7"/>
      <c r="D26" s="9" t="s">
        <v>544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8"/>
    </row>
    <row r="27" spans="1:25" x14ac:dyDescent="0.2">
      <c r="A27" s="7"/>
      <c r="B27" s="7"/>
      <c r="C27" s="7"/>
      <c r="D27" s="7"/>
      <c r="E27" s="22">
        <v>1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">
        <v>542</v>
      </c>
      <c r="V27" s="22">
        <v>1</v>
      </c>
      <c r="W27" s="22" t="s">
        <v>538</v>
      </c>
      <c r="X27" s="22">
        <f>(E27+G27+I27)*V27</f>
        <v>1</v>
      </c>
      <c r="Y27" s="8"/>
    </row>
    <row r="28" spans="1:25" x14ac:dyDescent="0.2">
      <c r="A28" s="7"/>
      <c r="B28" s="7"/>
      <c r="C28" s="7"/>
      <c r="D28" s="7"/>
      <c r="E28" s="52" t="s">
        <v>543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23" t="s">
        <v>538</v>
      </c>
      <c r="X28" s="23">
        <f>X27</f>
        <v>1</v>
      </c>
      <c r="Y28" s="8"/>
    </row>
    <row r="29" spans="1:25" ht="25.5" x14ac:dyDescent="0.2">
      <c r="A29" s="7" t="s">
        <v>39</v>
      </c>
      <c r="B29" s="7" t="s">
        <v>40</v>
      </c>
      <c r="C29" s="7" t="s">
        <v>12</v>
      </c>
      <c r="D29" s="7" t="s">
        <v>41</v>
      </c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8" t="s">
        <v>14</v>
      </c>
    </row>
    <row r="30" spans="1:25" x14ac:dyDescent="0.2">
      <c r="A30" s="7"/>
      <c r="B30" s="7"/>
      <c r="C30" s="7"/>
      <c r="D30" s="9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8"/>
    </row>
    <row r="31" spans="1:25" x14ac:dyDescent="0.2">
      <c r="A31" s="7"/>
      <c r="B31" s="7"/>
      <c r="C31" s="7"/>
      <c r="D31" s="7"/>
      <c r="E31" s="22">
        <v>1</v>
      </c>
      <c r="F31" s="22" t="s">
        <v>537</v>
      </c>
      <c r="G31" s="22">
        <v>1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542</v>
      </c>
      <c r="V31" s="22">
        <v>25</v>
      </c>
      <c r="W31" s="22" t="s">
        <v>538</v>
      </c>
      <c r="X31" s="22">
        <f>(E31+G31+I31)*V31</f>
        <v>50</v>
      </c>
      <c r="Y31" s="8"/>
    </row>
    <row r="32" spans="1:25" x14ac:dyDescent="0.2">
      <c r="A32" s="7"/>
      <c r="B32" s="7"/>
      <c r="C32" s="7"/>
      <c r="D32" s="7"/>
      <c r="E32" s="52" t="s">
        <v>543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23" t="s">
        <v>538</v>
      </c>
      <c r="X32" s="23">
        <f>X31</f>
        <v>50</v>
      </c>
      <c r="Y32" s="8"/>
    </row>
    <row r="33" spans="1:25" x14ac:dyDescent="0.2">
      <c r="A33" s="3" t="s">
        <v>42</v>
      </c>
      <c r="B33" s="3" t="s">
        <v>8</v>
      </c>
      <c r="C33" s="3"/>
      <c r="D33" s="3" t="s">
        <v>43</v>
      </c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6"/>
      <c r="Y33" s="4"/>
    </row>
    <row r="34" spans="1:25" ht="25.5" x14ac:dyDescent="0.2">
      <c r="A34" s="7" t="s">
        <v>44</v>
      </c>
      <c r="B34" s="7" t="s">
        <v>45</v>
      </c>
      <c r="C34" s="7" t="s">
        <v>12</v>
      </c>
      <c r="D34" s="7" t="s">
        <v>46</v>
      </c>
      <c r="E34" s="57" t="s">
        <v>545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9"/>
      <c r="Y34" s="8" t="s">
        <v>47</v>
      </c>
    </row>
    <row r="35" spans="1:25" ht="25.5" x14ac:dyDescent="0.2">
      <c r="A35" s="7" t="s">
        <v>48</v>
      </c>
      <c r="B35" s="7" t="s">
        <v>49</v>
      </c>
      <c r="C35" s="7" t="s">
        <v>12</v>
      </c>
      <c r="D35" s="7" t="s">
        <v>50</v>
      </c>
      <c r="E35" s="57" t="s">
        <v>545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9"/>
      <c r="Y35" s="8" t="s">
        <v>47</v>
      </c>
    </row>
    <row r="36" spans="1:25" ht="25.5" x14ac:dyDescent="0.2">
      <c r="A36" s="7" t="s">
        <v>51</v>
      </c>
      <c r="B36" s="7" t="s">
        <v>52</v>
      </c>
      <c r="C36" s="7" t="s">
        <v>17</v>
      </c>
      <c r="D36" s="7" t="s">
        <v>53</v>
      </c>
      <c r="E36" s="57" t="s">
        <v>545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9"/>
      <c r="Y36" s="8" t="s">
        <v>19</v>
      </c>
    </row>
    <row r="37" spans="1:25" ht="25.5" x14ac:dyDescent="0.2">
      <c r="A37" s="7" t="s">
        <v>54</v>
      </c>
      <c r="B37" s="7" t="s">
        <v>55</v>
      </c>
      <c r="C37" s="7" t="s">
        <v>56</v>
      </c>
      <c r="D37" s="7" t="s">
        <v>57</v>
      </c>
      <c r="E37" s="57" t="s">
        <v>545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8" t="s">
        <v>58</v>
      </c>
    </row>
    <row r="38" spans="1:25" ht="51" x14ac:dyDescent="0.2">
      <c r="A38" s="7" t="s">
        <v>59</v>
      </c>
      <c r="B38" s="7" t="s">
        <v>60</v>
      </c>
      <c r="C38" s="7" t="s">
        <v>12</v>
      </c>
      <c r="D38" s="7" t="s">
        <v>61</v>
      </c>
      <c r="E38" s="57" t="s">
        <v>545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9"/>
      <c r="Y38" s="8" t="s">
        <v>47</v>
      </c>
    </row>
    <row r="39" spans="1:25" x14ac:dyDescent="0.2">
      <c r="A39" s="7" t="s">
        <v>62</v>
      </c>
      <c r="B39" s="7" t="s">
        <v>63</v>
      </c>
      <c r="C39" s="7" t="s">
        <v>64</v>
      </c>
      <c r="D39" s="7" t="s">
        <v>65</v>
      </c>
      <c r="E39" s="57" t="s">
        <v>545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9"/>
      <c r="Y39" s="8" t="s">
        <v>47</v>
      </c>
    </row>
    <row r="40" spans="1:25" x14ac:dyDescent="0.2">
      <c r="A40" s="3" t="s">
        <v>66</v>
      </c>
      <c r="B40" s="3" t="s">
        <v>8</v>
      </c>
      <c r="C40" s="3"/>
      <c r="D40" s="3" t="s">
        <v>67</v>
      </c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6"/>
      <c r="Y40" s="4"/>
    </row>
    <row r="41" spans="1:25" ht="38.25" x14ac:dyDescent="0.2">
      <c r="A41" s="7" t="s">
        <v>68</v>
      </c>
      <c r="B41" s="7" t="s">
        <v>69</v>
      </c>
      <c r="C41" s="7" t="s">
        <v>12</v>
      </c>
      <c r="D41" s="7" t="s">
        <v>70</v>
      </c>
      <c r="E41" s="57" t="s">
        <v>545</v>
      </c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9"/>
      <c r="Y41" s="8" t="s">
        <v>47</v>
      </c>
    </row>
    <row r="42" spans="1:25" ht="25.5" x14ac:dyDescent="0.2">
      <c r="A42" s="7" t="s">
        <v>71</v>
      </c>
      <c r="B42" s="7" t="s">
        <v>72</v>
      </c>
      <c r="C42" s="7" t="s">
        <v>12</v>
      </c>
      <c r="D42" s="7" t="s">
        <v>73</v>
      </c>
      <c r="E42" s="57" t="s">
        <v>545</v>
      </c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9"/>
      <c r="Y42" s="8" t="s">
        <v>47</v>
      </c>
    </row>
    <row r="43" spans="1:25" ht="25.5" x14ac:dyDescent="0.2">
      <c r="A43" s="7" t="s">
        <v>74</v>
      </c>
      <c r="B43" s="7" t="s">
        <v>75</v>
      </c>
      <c r="C43" s="7" t="s">
        <v>12</v>
      </c>
      <c r="D43" s="7" t="s">
        <v>76</v>
      </c>
      <c r="E43" s="57" t="s">
        <v>545</v>
      </c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8" t="s">
        <v>14</v>
      </c>
    </row>
    <row r="44" spans="1:25" x14ac:dyDescent="0.2">
      <c r="A44" s="7" t="s">
        <v>77</v>
      </c>
      <c r="B44" s="7" t="s">
        <v>78</v>
      </c>
      <c r="C44" s="7" t="s">
        <v>12</v>
      </c>
      <c r="D44" s="7" t="s">
        <v>79</v>
      </c>
      <c r="E44" s="57" t="s">
        <v>545</v>
      </c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9"/>
      <c r="Y44" s="8" t="s">
        <v>80</v>
      </c>
    </row>
    <row r="45" spans="1:25" ht="38.25" x14ac:dyDescent="0.2">
      <c r="A45" s="7" t="s">
        <v>81</v>
      </c>
      <c r="B45" s="7" t="s">
        <v>82</v>
      </c>
      <c r="C45" s="7" t="s">
        <v>12</v>
      </c>
      <c r="D45" s="7" t="s">
        <v>83</v>
      </c>
      <c r="E45" s="57" t="s">
        <v>545</v>
      </c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9"/>
      <c r="Y45" s="8" t="s">
        <v>47</v>
      </c>
    </row>
    <row r="46" spans="1:25" ht="25.5" x14ac:dyDescent="0.2">
      <c r="A46" s="7" t="s">
        <v>84</v>
      </c>
      <c r="B46" s="7" t="s">
        <v>85</v>
      </c>
      <c r="C46" s="7" t="s">
        <v>12</v>
      </c>
      <c r="D46" s="7" t="s">
        <v>86</v>
      </c>
      <c r="E46" s="57" t="s">
        <v>545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9"/>
      <c r="Y46" s="8" t="s">
        <v>47</v>
      </c>
    </row>
    <row r="47" spans="1:25" ht="25.5" x14ac:dyDescent="0.2">
      <c r="A47" s="7" t="s">
        <v>87</v>
      </c>
      <c r="B47" s="7" t="s">
        <v>88</v>
      </c>
      <c r="C47" s="7" t="s">
        <v>12</v>
      </c>
      <c r="D47" s="7" t="s">
        <v>89</v>
      </c>
      <c r="E47" s="57" t="s">
        <v>545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9"/>
      <c r="Y47" s="8" t="s">
        <v>14</v>
      </c>
    </row>
    <row r="48" spans="1:25" ht="51" x14ac:dyDescent="0.2">
      <c r="A48" s="7" t="s">
        <v>90</v>
      </c>
      <c r="B48" s="7" t="s">
        <v>91</v>
      </c>
      <c r="C48" s="7" t="s">
        <v>12</v>
      </c>
      <c r="D48" s="7" t="s">
        <v>92</v>
      </c>
      <c r="E48" s="57" t="s">
        <v>545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9"/>
      <c r="Y48" s="8" t="s">
        <v>14</v>
      </c>
    </row>
    <row r="49" spans="1:25" ht="51" x14ac:dyDescent="0.2">
      <c r="A49" s="7" t="s">
        <v>93</v>
      </c>
      <c r="B49" s="7" t="s">
        <v>94</v>
      </c>
      <c r="C49" s="7" t="s">
        <v>12</v>
      </c>
      <c r="D49" s="7" t="s">
        <v>95</v>
      </c>
      <c r="E49" s="57" t="s">
        <v>545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8" t="s">
        <v>14</v>
      </c>
    </row>
    <row r="50" spans="1:25" ht="51" x14ac:dyDescent="0.2">
      <c r="A50" s="7" t="s">
        <v>96</v>
      </c>
      <c r="B50" s="7" t="s">
        <v>97</v>
      </c>
      <c r="C50" s="7" t="s">
        <v>12</v>
      </c>
      <c r="D50" s="7" t="s">
        <v>98</v>
      </c>
      <c r="E50" s="57" t="s">
        <v>545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9"/>
      <c r="Y50" s="8" t="s">
        <v>14</v>
      </c>
    </row>
    <row r="51" spans="1:25" ht="25.5" x14ac:dyDescent="0.2">
      <c r="A51" s="7" t="s">
        <v>99</v>
      </c>
      <c r="B51" s="7" t="s">
        <v>100</v>
      </c>
      <c r="C51" s="7" t="s">
        <v>12</v>
      </c>
      <c r="D51" s="7" t="s">
        <v>101</v>
      </c>
      <c r="E51" s="57" t="s">
        <v>545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9"/>
      <c r="Y51" s="8" t="s">
        <v>14</v>
      </c>
    </row>
    <row r="52" spans="1:25" x14ac:dyDescent="0.2">
      <c r="A52" s="7" t="s">
        <v>102</v>
      </c>
      <c r="B52" s="7" t="s">
        <v>103</v>
      </c>
      <c r="C52" s="7" t="s">
        <v>12</v>
      </c>
      <c r="D52" s="7" t="s">
        <v>104</v>
      </c>
      <c r="E52" s="57" t="s">
        <v>545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9"/>
      <c r="Y52" s="8" t="s">
        <v>14</v>
      </c>
    </row>
    <row r="53" spans="1:25" x14ac:dyDescent="0.2">
      <c r="A53" s="3" t="s">
        <v>105</v>
      </c>
      <c r="B53" s="3" t="s">
        <v>8</v>
      </c>
      <c r="C53" s="3"/>
      <c r="D53" s="3" t="s">
        <v>106</v>
      </c>
      <c r="E53" s="54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6"/>
      <c r="Y53" s="4"/>
    </row>
    <row r="54" spans="1:25" ht="38.25" x14ac:dyDescent="0.2">
      <c r="A54" s="7" t="s">
        <v>107</v>
      </c>
      <c r="B54" s="7" t="s">
        <v>108</v>
      </c>
      <c r="C54" s="7" t="s">
        <v>12</v>
      </c>
      <c r="D54" s="7" t="s">
        <v>109</v>
      </c>
      <c r="E54" s="54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6"/>
      <c r="Y54" s="8" t="s">
        <v>110</v>
      </c>
    </row>
    <row r="55" spans="1:25" ht="38.25" x14ac:dyDescent="0.2">
      <c r="A55" s="7" t="s">
        <v>111</v>
      </c>
      <c r="B55" s="7" t="s">
        <v>112</v>
      </c>
      <c r="C55" s="7" t="s">
        <v>12</v>
      </c>
      <c r="D55" s="7" t="s">
        <v>113</v>
      </c>
      <c r="E55" s="54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6"/>
      <c r="Y55" s="8" t="s">
        <v>14</v>
      </c>
    </row>
    <row r="56" spans="1:25" x14ac:dyDescent="0.2">
      <c r="A56" s="7" t="s">
        <v>114</v>
      </c>
      <c r="B56" s="7" t="s">
        <v>115</v>
      </c>
      <c r="C56" s="7" t="s">
        <v>12</v>
      </c>
      <c r="D56" s="7" t="s">
        <v>116</v>
      </c>
      <c r="E56" s="54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6"/>
      <c r="Y56" s="8" t="s">
        <v>47</v>
      </c>
    </row>
    <row r="57" spans="1:25" x14ac:dyDescent="0.2">
      <c r="A57" s="7" t="s">
        <v>117</v>
      </c>
      <c r="B57" s="7" t="s">
        <v>118</v>
      </c>
      <c r="C57" s="7" t="s">
        <v>12</v>
      </c>
      <c r="D57" s="7" t="s">
        <v>119</v>
      </c>
      <c r="E57" s="54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6"/>
      <c r="Y57" s="8" t="s">
        <v>14</v>
      </c>
    </row>
    <row r="58" spans="1:25" x14ac:dyDescent="0.2">
      <c r="A58" s="7" t="s">
        <v>120</v>
      </c>
      <c r="B58" s="7" t="s">
        <v>121</v>
      </c>
      <c r="C58" s="7" t="s">
        <v>17</v>
      </c>
      <c r="D58" s="7" t="s">
        <v>122</v>
      </c>
      <c r="E58" s="54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6"/>
      <c r="Y58" s="8" t="s">
        <v>47</v>
      </c>
    </row>
    <row r="59" spans="1:25" ht="38.25" x14ac:dyDescent="0.2">
      <c r="A59" s="7" t="s">
        <v>123</v>
      </c>
      <c r="B59" s="7" t="s">
        <v>124</v>
      </c>
      <c r="C59" s="7" t="s">
        <v>17</v>
      </c>
      <c r="D59" s="7" t="s">
        <v>125</v>
      </c>
      <c r="E59" s="54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6"/>
      <c r="Y59" s="8" t="s">
        <v>19</v>
      </c>
    </row>
    <row r="60" spans="1:25" ht="38.25" x14ac:dyDescent="0.2">
      <c r="A60" s="7" t="s">
        <v>126</v>
      </c>
      <c r="B60" s="7" t="s">
        <v>127</v>
      </c>
      <c r="C60" s="7" t="s">
        <v>17</v>
      </c>
      <c r="D60" s="7" t="s">
        <v>128</v>
      </c>
      <c r="E60" s="54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6"/>
      <c r="Y60" s="8" t="s">
        <v>19</v>
      </c>
    </row>
    <row r="61" spans="1:25" ht="38.25" x14ac:dyDescent="0.2">
      <c r="A61" s="7" t="s">
        <v>129</v>
      </c>
      <c r="B61" s="7" t="s">
        <v>130</v>
      </c>
      <c r="C61" s="7" t="s">
        <v>64</v>
      </c>
      <c r="D61" s="7" t="s">
        <v>131</v>
      </c>
      <c r="E61" s="54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6"/>
      <c r="Y61" s="8" t="s">
        <v>110</v>
      </c>
    </row>
    <row r="62" spans="1:25" ht="38.25" x14ac:dyDescent="0.2">
      <c r="A62" s="7" t="s">
        <v>132</v>
      </c>
      <c r="B62" s="7" t="s">
        <v>133</v>
      </c>
      <c r="C62" s="7" t="s">
        <v>12</v>
      </c>
      <c r="D62" s="7" t="s">
        <v>134</v>
      </c>
      <c r="E62" s="54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6"/>
      <c r="Y62" s="8" t="s">
        <v>80</v>
      </c>
    </row>
    <row r="63" spans="1:25" x14ac:dyDescent="0.2">
      <c r="A63" s="3" t="s">
        <v>135</v>
      </c>
      <c r="B63" s="3" t="s">
        <v>8</v>
      </c>
      <c r="C63" s="3"/>
      <c r="D63" s="3" t="s">
        <v>136</v>
      </c>
      <c r="E63" s="54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6"/>
      <c r="Y63" s="4"/>
    </row>
    <row r="64" spans="1:25" ht="38.25" x14ac:dyDescent="0.2">
      <c r="A64" s="7" t="s">
        <v>137</v>
      </c>
      <c r="B64" s="7" t="s">
        <v>138</v>
      </c>
      <c r="C64" s="7" t="s">
        <v>12</v>
      </c>
      <c r="D64" s="7" t="s">
        <v>139</v>
      </c>
      <c r="E64" s="54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6"/>
      <c r="Y64" s="8" t="s">
        <v>47</v>
      </c>
    </row>
    <row r="65" spans="1:25" ht="25.5" x14ac:dyDescent="0.2">
      <c r="A65" s="7" t="s">
        <v>140</v>
      </c>
      <c r="B65" s="7" t="s">
        <v>141</v>
      </c>
      <c r="C65" s="7" t="s">
        <v>12</v>
      </c>
      <c r="D65" s="7" t="s">
        <v>142</v>
      </c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6"/>
      <c r="Y65" s="8" t="s">
        <v>14</v>
      </c>
    </row>
    <row r="66" spans="1:25" ht="25.5" x14ac:dyDescent="0.2">
      <c r="A66" s="7" t="s">
        <v>143</v>
      </c>
      <c r="B66" s="7" t="s">
        <v>144</v>
      </c>
      <c r="C66" s="7" t="s">
        <v>12</v>
      </c>
      <c r="D66" s="7" t="s">
        <v>145</v>
      </c>
      <c r="E66" s="54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6"/>
      <c r="Y66" s="8" t="s">
        <v>47</v>
      </c>
    </row>
    <row r="67" spans="1:25" ht="38.25" x14ac:dyDescent="0.2">
      <c r="A67" s="7" t="s">
        <v>146</v>
      </c>
      <c r="B67" s="7" t="s">
        <v>147</v>
      </c>
      <c r="C67" s="7" t="s">
        <v>12</v>
      </c>
      <c r="D67" s="7" t="s">
        <v>148</v>
      </c>
      <c r="E67" s="54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6"/>
      <c r="Y67" s="8" t="s">
        <v>47</v>
      </c>
    </row>
    <row r="68" spans="1:25" x14ac:dyDescent="0.2">
      <c r="A68" s="7" t="s">
        <v>149</v>
      </c>
      <c r="B68" s="7" t="s">
        <v>150</v>
      </c>
      <c r="C68" s="7" t="s">
        <v>22</v>
      </c>
      <c r="D68" s="7" t="s">
        <v>151</v>
      </c>
      <c r="E68" s="54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6"/>
      <c r="Y68" s="8" t="s">
        <v>14</v>
      </c>
    </row>
    <row r="69" spans="1:25" ht="25.5" x14ac:dyDescent="0.2">
      <c r="A69" s="7" t="s">
        <v>152</v>
      </c>
      <c r="B69" s="7" t="s">
        <v>153</v>
      </c>
      <c r="C69" s="7" t="s">
        <v>22</v>
      </c>
      <c r="D69" s="7" t="s">
        <v>154</v>
      </c>
      <c r="E69" s="54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6"/>
      <c r="Y69" s="8" t="s">
        <v>110</v>
      </c>
    </row>
    <row r="70" spans="1:25" ht="25.5" x14ac:dyDescent="0.2">
      <c r="A70" s="7" t="s">
        <v>155</v>
      </c>
      <c r="B70" s="7" t="s">
        <v>156</v>
      </c>
      <c r="C70" s="7" t="s">
        <v>22</v>
      </c>
      <c r="D70" s="7" t="s">
        <v>157</v>
      </c>
      <c r="E70" s="54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6"/>
      <c r="Y70" s="8" t="s">
        <v>14</v>
      </c>
    </row>
    <row r="71" spans="1:25" x14ac:dyDescent="0.2">
      <c r="A71" s="7" t="s">
        <v>158</v>
      </c>
      <c r="B71" s="7" t="s">
        <v>159</v>
      </c>
      <c r="C71" s="7" t="s">
        <v>22</v>
      </c>
      <c r="D71" s="7" t="s">
        <v>160</v>
      </c>
      <c r="E71" s="54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6"/>
      <c r="Y71" s="8" t="s">
        <v>14</v>
      </c>
    </row>
    <row r="72" spans="1:25" x14ac:dyDescent="0.2">
      <c r="A72" s="7" t="s">
        <v>161</v>
      </c>
      <c r="B72" s="7" t="s">
        <v>162</v>
      </c>
      <c r="C72" s="7" t="s">
        <v>22</v>
      </c>
      <c r="D72" s="7" t="s">
        <v>163</v>
      </c>
      <c r="E72" s="54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6"/>
      <c r="Y72" s="8" t="s">
        <v>80</v>
      </c>
    </row>
    <row r="73" spans="1:25" ht="25.5" x14ac:dyDescent="0.2">
      <c r="A73" s="7" t="s">
        <v>164</v>
      </c>
      <c r="B73" s="7" t="s">
        <v>165</v>
      </c>
      <c r="C73" s="7" t="s">
        <v>12</v>
      </c>
      <c r="D73" s="7" t="s">
        <v>166</v>
      </c>
      <c r="E73" s="54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6"/>
      <c r="Y73" s="8" t="s">
        <v>110</v>
      </c>
    </row>
    <row r="74" spans="1:25" x14ac:dyDescent="0.2">
      <c r="A74" s="3" t="s">
        <v>167</v>
      </c>
      <c r="B74" s="3" t="s">
        <v>8</v>
      </c>
      <c r="C74" s="3"/>
      <c r="D74" s="3" t="s">
        <v>168</v>
      </c>
      <c r="E74" s="54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6"/>
      <c r="Y74" s="4"/>
    </row>
    <row r="75" spans="1:25" ht="38.25" x14ac:dyDescent="0.2">
      <c r="A75" s="7" t="s">
        <v>169</v>
      </c>
      <c r="B75" s="7" t="s">
        <v>170</v>
      </c>
      <c r="C75" s="7" t="s">
        <v>12</v>
      </c>
      <c r="D75" s="7" t="s">
        <v>171</v>
      </c>
      <c r="E75" s="54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6"/>
      <c r="Y75" s="8" t="s">
        <v>47</v>
      </c>
    </row>
    <row r="76" spans="1:25" ht="25.5" x14ac:dyDescent="0.2">
      <c r="A76" s="7" t="s">
        <v>172</v>
      </c>
      <c r="B76" s="7" t="s">
        <v>144</v>
      </c>
      <c r="C76" s="7" t="s">
        <v>12</v>
      </c>
      <c r="D76" s="7" t="s">
        <v>145</v>
      </c>
      <c r="E76" s="54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6"/>
      <c r="Y76" s="8" t="s">
        <v>47</v>
      </c>
    </row>
    <row r="77" spans="1:25" ht="38.25" x14ac:dyDescent="0.2">
      <c r="A77" s="7" t="s">
        <v>173</v>
      </c>
      <c r="B77" s="7" t="s">
        <v>82</v>
      </c>
      <c r="C77" s="7" t="s">
        <v>12</v>
      </c>
      <c r="D77" s="7" t="s">
        <v>83</v>
      </c>
      <c r="E77" s="54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6"/>
      <c r="Y77" s="8" t="s">
        <v>47</v>
      </c>
    </row>
    <row r="78" spans="1:25" ht="25.5" x14ac:dyDescent="0.2">
      <c r="A78" s="7" t="s">
        <v>174</v>
      </c>
      <c r="B78" s="7" t="s">
        <v>141</v>
      </c>
      <c r="C78" s="7" t="s">
        <v>12</v>
      </c>
      <c r="D78" s="7" t="s">
        <v>142</v>
      </c>
      <c r="E78" s="54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6"/>
      <c r="Y78" s="8" t="s">
        <v>14</v>
      </c>
    </row>
    <row r="79" spans="1:25" x14ac:dyDescent="0.2">
      <c r="A79" s="7" t="s">
        <v>175</v>
      </c>
      <c r="B79" s="7" t="s">
        <v>78</v>
      </c>
      <c r="C79" s="7" t="s">
        <v>12</v>
      </c>
      <c r="D79" s="7" t="s">
        <v>79</v>
      </c>
      <c r="E79" s="54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6"/>
      <c r="Y79" s="8" t="s">
        <v>80</v>
      </c>
    </row>
    <row r="80" spans="1:25" ht="25.5" x14ac:dyDescent="0.2">
      <c r="A80" s="7" t="s">
        <v>176</v>
      </c>
      <c r="B80" s="7" t="s">
        <v>177</v>
      </c>
      <c r="C80" s="7" t="s">
        <v>12</v>
      </c>
      <c r="D80" s="7" t="s">
        <v>178</v>
      </c>
      <c r="E80" s="54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6"/>
      <c r="Y80" s="8" t="s">
        <v>179</v>
      </c>
    </row>
    <row r="81" spans="1:25" ht="51" x14ac:dyDescent="0.2">
      <c r="A81" s="7" t="s">
        <v>180</v>
      </c>
      <c r="B81" s="7" t="s">
        <v>181</v>
      </c>
      <c r="C81" s="7" t="s">
        <v>12</v>
      </c>
      <c r="D81" s="7" t="s">
        <v>182</v>
      </c>
      <c r="E81" s="54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6"/>
      <c r="Y81" s="8" t="s">
        <v>14</v>
      </c>
    </row>
    <row r="82" spans="1:25" ht="51" x14ac:dyDescent="0.2">
      <c r="A82" s="7" t="s">
        <v>183</v>
      </c>
      <c r="B82" s="7" t="s">
        <v>184</v>
      </c>
      <c r="C82" s="7" t="s">
        <v>12</v>
      </c>
      <c r="D82" s="7" t="s">
        <v>185</v>
      </c>
      <c r="E82" s="54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6"/>
      <c r="Y82" s="8" t="s">
        <v>14</v>
      </c>
    </row>
    <row r="83" spans="1:25" ht="38.25" x14ac:dyDescent="0.2">
      <c r="A83" s="7" t="s">
        <v>186</v>
      </c>
      <c r="B83" s="7" t="s">
        <v>187</v>
      </c>
      <c r="C83" s="7" t="s">
        <v>12</v>
      </c>
      <c r="D83" s="7" t="s">
        <v>188</v>
      </c>
      <c r="E83" s="54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6"/>
      <c r="Y83" s="8" t="s">
        <v>14</v>
      </c>
    </row>
    <row r="84" spans="1:25" ht="25.5" x14ac:dyDescent="0.2">
      <c r="A84" s="7" t="s">
        <v>189</v>
      </c>
      <c r="B84" s="7" t="s">
        <v>190</v>
      </c>
      <c r="C84" s="7" t="s">
        <v>12</v>
      </c>
      <c r="D84" s="7" t="s">
        <v>191</v>
      </c>
      <c r="E84" s="54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6"/>
      <c r="Y84" s="8" t="s">
        <v>110</v>
      </c>
    </row>
    <row r="85" spans="1:25" ht="38.25" x14ac:dyDescent="0.2">
      <c r="A85" s="7" t="s">
        <v>192</v>
      </c>
      <c r="B85" s="7" t="s">
        <v>193</v>
      </c>
      <c r="C85" s="7" t="s">
        <v>12</v>
      </c>
      <c r="D85" s="7" t="s">
        <v>194</v>
      </c>
      <c r="E85" s="54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6"/>
      <c r="Y85" s="8" t="s">
        <v>14</v>
      </c>
    </row>
    <row r="86" spans="1:25" ht="25.5" x14ac:dyDescent="0.2">
      <c r="A86" s="7" t="s">
        <v>195</v>
      </c>
      <c r="B86" s="7" t="s">
        <v>196</v>
      </c>
      <c r="C86" s="7" t="s">
        <v>12</v>
      </c>
      <c r="D86" s="7" t="s">
        <v>197</v>
      </c>
      <c r="E86" s="54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6"/>
      <c r="Y86" s="8" t="s">
        <v>14</v>
      </c>
    </row>
    <row r="87" spans="1:25" x14ac:dyDescent="0.2">
      <c r="A87" s="7" t="s">
        <v>198</v>
      </c>
      <c r="B87" s="7" t="s">
        <v>199</v>
      </c>
      <c r="C87" s="7" t="s">
        <v>22</v>
      </c>
      <c r="D87" s="7" t="s">
        <v>200</v>
      </c>
      <c r="E87" s="54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6"/>
      <c r="Y87" s="8" t="s">
        <v>14</v>
      </c>
    </row>
    <row r="88" spans="1:25" x14ac:dyDescent="0.2">
      <c r="A88" s="7" t="s">
        <v>201</v>
      </c>
      <c r="B88" s="7" t="s">
        <v>202</v>
      </c>
      <c r="C88" s="7" t="s">
        <v>22</v>
      </c>
      <c r="D88" s="7" t="s">
        <v>203</v>
      </c>
      <c r="E88" s="54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6"/>
      <c r="Y88" s="8" t="s">
        <v>110</v>
      </c>
    </row>
    <row r="89" spans="1:25" x14ac:dyDescent="0.2">
      <c r="A89" s="7" t="s">
        <v>204</v>
      </c>
      <c r="B89" s="7" t="s">
        <v>205</v>
      </c>
      <c r="C89" s="7" t="s">
        <v>22</v>
      </c>
      <c r="D89" s="7" t="s">
        <v>206</v>
      </c>
      <c r="E89" s="54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6"/>
      <c r="Y89" s="8" t="s">
        <v>110</v>
      </c>
    </row>
    <row r="90" spans="1:25" ht="25.5" x14ac:dyDescent="0.2">
      <c r="A90" s="7" t="s">
        <v>207</v>
      </c>
      <c r="B90" s="7" t="s">
        <v>208</v>
      </c>
      <c r="C90" s="7" t="s">
        <v>12</v>
      </c>
      <c r="D90" s="7" t="s">
        <v>209</v>
      </c>
      <c r="E90" s="54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6"/>
      <c r="Y90" s="8" t="s">
        <v>80</v>
      </c>
    </row>
    <row r="91" spans="1:25" ht="38.25" x14ac:dyDescent="0.2">
      <c r="A91" s="7" t="s">
        <v>210</v>
      </c>
      <c r="B91" s="7" t="s">
        <v>211</v>
      </c>
      <c r="C91" s="7" t="s">
        <v>12</v>
      </c>
      <c r="D91" s="7" t="s">
        <v>212</v>
      </c>
      <c r="E91" s="54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6"/>
      <c r="Y91" s="8" t="s">
        <v>80</v>
      </c>
    </row>
    <row r="92" spans="1:25" ht="38.25" x14ac:dyDescent="0.2">
      <c r="A92" s="7" t="s">
        <v>213</v>
      </c>
      <c r="B92" s="7" t="s">
        <v>214</v>
      </c>
      <c r="C92" s="7" t="s">
        <v>12</v>
      </c>
      <c r="D92" s="7" t="s">
        <v>215</v>
      </c>
      <c r="E92" s="54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6"/>
      <c r="Y92" s="8" t="s">
        <v>80</v>
      </c>
    </row>
    <row r="93" spans="1:25" ht="63.75" x14ac:dyDescent="0.2">
      <c r="A93" s="7" t="s">
        <v>216</v>
      </c>
      <c r="B93" s="7" t="s">
        <v>217</v>
      </c>
      <c r="C93" s="7" t="s">
        <v>12</v>
      </c>
      <c r="D93" s="7" t="s">
        <v>218</v>
      </c>
      <c r="E93" s="54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6"/>
      <c r="Y93" s="8" t="s">
        <v>80</v>
      </c>
    </row>
    <row r="94" spans="1:25" ht="63.75" x14ac:dyDescent="0.2">
      <c r="A94" s="7" t="s">
        <v>219</v>
      </c>
      <c r="B94" s="7" t="s">
        <v>220</v>
      </c>
      <c r="C94" s="7" t="s">
        <v>12</v>
      </c>
      <c r="D94" s="7" t="s">
        <v>221</v>
      </c>
      <c r="E94" s="54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6"/>
      <c r="Y94" s="8" t="s">
        <v>80</v>
      </c>
    </row>
    <row r="95" spans="1:25" ht="38.25" x14ac:dyDescent="0.2">
      <c r="A95" s="7" t="s">
        <v>222</v>
      </c>
      <c r="B95" s="7" t="s">
        <v>223</v>
      </c>
      <c r="C95" s="7" t="s">
        <v>12</v>
      </c>
      <c r="D95" s="7" t="s">
        <v>224</v>
      </c>
      <c r="E95" s="54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6"/>
      <c r="Y95" s="8" t="s">
        <v>110</v>
      </c>
    </row>
    <row r="96" spans="1:25" ht="38.25" x14ac:dyDescent="0.2">
      <c r="A96" s="7" t="s">
        <v>225</v>
      </c>
      <c r="B96" s="7" t="s">
        <v>226</v>
      </c>
      <c r="C96" s="7" t="s">
        <v>12</v>
      </c>
      <c r="D96" s="7" t="s">
        <v>227</v>
      </c>
      <c r="E96" s="54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6"/>
      <c r="Y96" s="8" t="s">
        <v>110</v>
      </c>
    </row>
    <row r="97" spans="1:25" ht="25.5" x14ac:dyDescent="0.2">
      <c r="A97" s="7" t="s">
        <v>228</v>
      </c>
      <c r="B97" s="7" t="s">
        <v>229</v>
      </c>
      <c r="C97" s="7" t="s">
        <v>12</v>
      </c>
      <c r="D97" s="7" t="s">
        <v>230</v>
      </c>
      <c r="E97" s="54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6"/>
      <c r="Y97" s="8" t="s">
        <v>80</v>
      </c>
    </row>
    <row r="98" spans="1:25" ht="25.5" x14ac:dyDescent="0.2">
      <c r="A98" s="7" t="s">
        <v>231</v>
      </c>
      <c r="B98" s="7" t="s">
        <v>232</v>
      </c>
      <c r="C98" s="7" t="s">
        <v>12</v>
      </c>
      <c r="D98" s="7" t="s">
        <v>233</v>
      </c>
      <c r="E98" s="54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6"/>
      <c r="Y98" s="8" t="s">
        <v>80</v>
      </c>
    </row>
    <row r="99" spans="1:25" ht="38.25" x14ac:dyDescent="0.2">
      <c r="A99" s="7" t="s">
        <v>234</v>
      </c>
      <c r="B99" s="7" t="s">
        <v>235</v>
      </c>
      <c r="C99" s="7" t="s">
        <v>12</v>
      </c>
      <c r="D99" s="7" t="s">
        <v>236</v>
      </c>
      <c r="E99" s="54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6"/>
      <c r="Y99" s="8" t="s">
        <v>80</v>
      </c>
    </row>
    <row r="100" spans="1:25" ht="25.5" x14ac:dyDescent="0.2">
      <c r="A100" s="7" t="s">
        <v>237</v>
      </c>
      <c r="B100" s="7" t="s">
        <v>238</v>
      </c>
      <c r="C100" s="7" t="s">
        <v>12</v>
      </c>
      <c r="D100" s="7" t="s">
        <v>239</v>
      </c>
      <c r="E100" s="54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6"/>
      <c r="Y100" s="8" t="s">
        <v>110</v>
      </c>
    </row>
    <row r="101" spans="1:25" ht="25.5" x14ac:dyDescent="0.2">
      <c r="A101" s="7" t="s">
        <v>240</v>
      </c>
      <c r="B101" s="7" t="s">
        <v>241</v>
      </c>
      <c r="C101" s="7" t="s">
        <v>12</v>
      </c>
      <c r="D101" s="7" t="s">
        <v>242</v>
      </c>
      <c r="E101" s="54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6"/>
      <c r="Y101" s="8" t="s">
        <v>80</v>
      </c>
    </row>
    <row r="102" spans="1:25" ht="51" x14ac:dyDescent="0.2">
      <c r="A102" s="7" t="s">
        <v>243</v>
      </c>
      <c r="B102" s="7" t="s">
        <v>244</v>
      </c>
      <c r="C102" s="7" t="s">
        <v>12</v>
      </c>
      <c r="D102" s="7" t="s">
        <v>245</v>
      </c>
      <c r="E102" s="54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6"/>
      <c r="Y102" s="8" t="s">
        <v>80</v>
      </c>
    </row>
    <row r="103" spans="1:25" ht="38.25" x14ac:dyDescent="0.2">
      <c r="A103" s="7" t="s">
        <v>246</v>
      </c>
      <c r="B103" s="7" t="s">
        <v>247</v>
      </c>
      <c r="C103" s="7" t="s">
        <v>12</v>
      </c>
      <c r="D103" s="7" t="s">
        <v>248</v>
      </c>
      <c r="E103" s="54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6"/>
      <c r="Y103" s="8" t="s">
        <v>80</v>
      </c>
    </row>
    <row r="104" spans="1:25" ht="38.25" x14ac:dyDescent="0.2">
      <c r="A104" s="7" t="s">
        <v>249</v>
      </c>
      <c r="B104" s="7" t="s">
        <v>250</v>
      </c>
      <c r="C104" s="7" t="s">
        <v>12</v>
      </c>
      <c r="D104" s="7" t="s">
        <v>251</v>
      </c>
      <c r="E104" s="54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6"/>
      <c r="Y104" s="8" t="s">
        <v>80</v>
      </c>
    </row>
    <row r="105" spans="1:25" ht="25.5" x14ac:dyDescent="0.2">
      <c r="A105" s="7" t="s">
        <v>252</v>
      </c>
      <c r="B105" s="7" t="s">
        <v>253</v>
      </c>
      <c r="C105" s="7" t="s">
        <v>12</v>
      </c>
      <c r="D105" s="7" t="s">
        <v>254</v>
      </c>
      <c r="E105" s="54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6"/>
      <c r="Y105" s="8" t="s">
        <v>110</v>
      </c>
    </row>
    <row r="106" spans="1:25" ht="25.5" x14ac:dyDescent="0.2">
      <c r="A106" s="7" t="s">
        <v>255</v>
      </c>
      <c r="B106" s="7" t="s">
        <v>256</v>
      </c>
      <c r="C106" s="7" t="s">
        <v>12</v>
      </c>
      <c r="D106" s="7" t="s">
        <v>257</v>
      </c>
      <c r="E106" s="54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6"/>
      <c r="Y106" s="8" t="s">
        <v>110</v>
      </c>
    </row>
    <row r="107" spans="1:25" ht="25.5" x14ac:dyDescent="0.2">
      <c r="A107" s="7" t="s">
        <v>258</v>
      </c>
      <c r="B107" s="7" t="s">
        <v>259</v>
      </c>
      <c r="C107" s="7" t="s">
        <v>12</v>
      </c>
      <c r="D107" s="7" t="s">
        <v>260</v>
      </c>
      <c r="E107" s="54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6"/>
      <c r="Y107" s="8" t="s">
        <v>80</v>
      </c>
    </row>
    <row r="108" spans="1:25" ht="25.5" x14ac:dyDescent="0.2">
      <c r="A108" s="7" t="s">
        <v>261</v>
      </c>
      <c r="B108" s="7" t="s">
        <v>262</v>
      </c>
      <c r="C108" s="7" t="s">
        <v>12</v>
      </c>
      <c r="D108" s="7" t="s">
        <v>263</v>
      </c>
      <c r="E108" s="54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6"/>
      <c r="Y108" s="8" t="s">
        <v>80</v>
      </c>
    </row>
    <row r="109" spans="1:25" ht="38.25" x14ac:dyDescent="0.2">
      <c r="A109" s="7" t="s">
        <v>264</v>
      </c>
      <c r="B109" s="7" t="s">
        <v>265</v>
      </c>
      <c r="C109" s="7" t="s">
        <v>12</v>
      </c>
      <c r="D109" s="7" t="s">
        <v>266</v>
      </c>
      <c r="E109" s="54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6"/>
      <c r="Y109" s="8" t="s">
        <v>80</v>
      </c>
    </row>
    <row r="110" spans="1:25" ht="25.5" x14ac:dyDescent="0.2">
      <c r="A110" s="7" t="s">
        <v>267</v>
      </c>
      <c r="B110" s="7" t="s">
        <v>268</v>
      </c>
      <c r="C110" s="7" t="s">
        <v>12</v>
      </c>
      <c r="D110" s="7" t="s">
        <v>269</v>
      </c>
      <c r="E110" s="54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6"/>
      <c r="Y110" s="8" t="s">
        <v>80</v>
      </c>
    </row>
    <row r="111" spans="1:25" ht="25.5" x14ac:dyDescent="0.2">
      <c r="A111" s="7" t="s">
        <v>270</v>
      </c>
      <c r="B111" s="7" t="s">
        <v>271</v>
      </c>
      <c r="C111" s="7" t="s">
        <v>12</v>
      </c>
      <c r="D111" s="7" t="s">
        <v>272</v>
      </c>
      <c r="E111" s="54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6"/>
      <c r="Y111" s="8" t="s">
        <v>14</v>
      </c>
    </row>
    <row r="112" spans="1:25" x14ac:dyDescent="0.2">
      <c r="A112" s="7" t="s">
        <v>273</v>
      </c>
      <c r="B112" s="7" t="s">
        <v>103</v>
      </c>
      <c r="C112" s="7" t="s">
        <v>12</v>
      </c>
      <c r="D112" s="7" t="s">
        <v>104</v>
      </c>
      <c r="E112" s="54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6"/>
      <c r="Y112" s="8" t="s">
        <v>14</v>
      </c>
    </row>
    <row r="113" spans="1:25" ht="38.25" x14ac:dyDescent="0.2">
      <c r="A113" s="7" t="s">
        <v>274</v>
      </c>
      <c r="B113" s="7" t="s">
        <v>275</v>
      </c>
      <c r="C113" s="7" t="s">
        <v>12</v>
      </c>
      <c r="D113" s="7" t="s">
        <v>276</v>
      </c>
      <c r="E113" s="54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6"/>
      <c r="Y113" s="8" t="s">
        <v>80</v>
      </c>
    </row>
    <row r="114" spans="1:25" ht="38.25" x14ac:dyDescent="0.2">
      <c r="A114" s="7" t="s">
        <v>277</v>
      </c>
      <c r="B114" s="7" t="s">
        <v>278</v>
      </c>
      <c r="C114" s="7" t="s">
        <v>12</v>
      </c>
      <c r="D114" s="7" t="s">
        <v>279</v>
      </c>
      <c r="E114" s="54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6"/>
      <c r="Y114" s="8" t="s">
        <v>80</v>
      </c>
    </row>
    <row r="115" spans="1:25" ht="25.5" x14ac:dyDescent="0.2">
      <c r="A115" s="7" t="s">
        <v>280</v>
      </c>
      <c r="B115" s="7" t="s">
        <v>281</v>
      </c>
      <c r="C115" s="7" t="s">
        <v>12</v>
      </c>
      <c r="D115" s="7" t="s">
        <v>282</v>
      </c>
      <c r="E115" s="54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6"/>
      <c r="Y115" s="8" t="s">
        <v>14</v>
      </c>
    </row>
    <row r="116" spans="1:25" ht="25.5" x14ac:dyDescent="0.2">
      <c r="A116" s="7" t="s">
        <v>283</v>
      </c>
      <c r="B116" s="7" t="s">
        <v>284</v>
      </c>
      <c r="C116" s="7" t="s">
        <v>22</v>
      </c>
      <c r="D116" s="7" t="s">
        <v>285</v>
      </c>
      <c r="E116" s="54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6"/>
      <c r="Y116" s="8" t="s">
        <v>14</v>
      </c>
    </row>
    <row r="117" spans="1:25" ht="38.25" x14ac:dyDescent="0.2">
      <c r="A117" s="7" t="s">
        <v>286</v>
      </c>
      <c r="B117" s="7" t="s">
        <v>287</v>
      </c>
      <c r="C117" s="7" t="s">
        <v>12</v>
      </c>
      <c r="D117" s="7" t="s">
        <v>288</v>
      </c>
      <c r="E117" s="54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6"/>
      <c r="Y117" s="8" t="s">
        <v>14</v>
      </c>
    </row>
    <row r="118" spans="1:25" x14ac:dyDescent="0.2">
      <c r="A118" s="7" t="s">
        <v>289</v>
      </c>
      <c r="B118" s="7" t="s">
        <v>290</v>
      </c>
      <c r="C118" s="7" t="s">
        <v>22</v>
      </c>
      <c r="D118" s="7" t="s">
        <v>291</v>
      </c>
      <c r="E118" s="54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6"/>
      <c r="Y118" s="8" t="s">
        <v>14</v>
      </c>
    </row>
    <row r="119" spans="1:25" x14ac:dyDescent="0.2">
      <c r="A119" s="7" t="s">
        <v>292</v>
      </c>
      <c r="B119" s="7" t="s">
        <v>293</v>
      </c>
      <c r="C119" s="7" t="s">
        <v>22</v>
      </c>
      <c r="D119" s="7" t="s">
        <v>294</v>
      </c>
      <c r="E119" s="54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6"/>
      <c r="Y119" s="8" t="s">
        <v>14</v>
      </c>
    </row>
    <row r="120" spans="1:25" x14ac:dyDescent="0.2">
      <c r="A120" s="7" t="s">
        <v>295</v>
      </c>
      <c r="B120" s="7" t="s">
        <v>296</v>
      </c>
      <c r="C120" s="7" t="s">
        <v>22</v>
      </c>
      <c r="D120" s="7" t="s">
        <v>297</v>
      </c>
      <c r="E120" s="54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6"/>
      <c r="Y120" s="8" t="s">
        <v>80</v>
      </c>
    </row>
    <row r="121" spans="1:25" x14ac:dyDescent="0.2">
      <c r="A121" s="7" t="s">
        <v>298</v>
      </c>
      <c r="B121" s="7" t="s">
        <v>299</v>
      </c>
      <c r="C121" s="7" t="s">
        <v>22</v>
      </c>
      <c r="D121" s="7" t="s">
        <v>300</v>
      </c>
      <c r="E121" s="54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6"/>
      <c r="Y121" s="8" t="s">
        <v>80</v>
      </c>
    </row>
    <row r="122" spans="1:25" x14ac:dyDescent="0.2">
      <c r="A122" s="3" t="s">
        <v>301</v>
      </c>
      <c r="B122" s="3" t="s">
        <v>8</v>
      </c>
      <c r="C122" s="3"/>
      <c r="D122" s="3" t="s">
        <v>302</v>
      </c>
      <c r="E122" s="54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6"/>
      <c r="Y122" s="4"/>
    </row>
    <row r="123" spans="1:25" ht="38.25" x14ac:dyDescent="0.2">
      <c r="A123" s="7" t="s">
        <v>303</v>
      </c>
      <c r="B123" s="7" t="s">
        <v>69</v>
      </c>
      <c r="C123" s="7" t="s">
        <v>12</v>
      </c>
      <c r="D123" s="7" t="s">
        <v>70</v>
      </c>
      <c r="E123" s="54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6"/>
      <c r="Y123" s="8" t="s">
        <v>47</v>
      </c>
    </row>
    <row r="124" spans="1:25" ht="25.5" x14ac:dyDescent="0.2">
      <c r="A124" s="7" t="s">
        <v>304</v>
      </c>
      <c r="B124" s="7" t="s">
        <v>305</v>
      </c>
      <c r="C124" s="7" t="s">
        <v>12</v>
      </c>
      <c r="D124" s="7" t="s">
        <v>306</v>
      </c>
      <c r="E124" s="54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6"/>
      <c r="Y124" s="8" t="s">
        <v>47</v>
      </c>
    </row>
    <row r="125" spans="1:25" ht="25.5" x14ac:dyDescent="0.2">
      <c r="A125" s="7" t="s">
        <v>307</v>
      </c>
      <c r="B125" s="7" t="s">
        <v>308</v>
      </c>
      <c r="C125" s="7" t="s">
        <v>22</v>
      </c>
      <c r="D125" s="7" t="s">
        <v>309</v>
      </c>
      <c r="E125" s="54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6"/>
      <c r="Y125" s="8" t="s">
        <v>47</v>
      </c>
    </row>
    <row r="126" spans="1:25" ht="38.25" x14ac:dyDescent="0.2">
      <c r="A126" s="7" t="s">
        <v>310</v>
      </c>
      <c r="B126" s="7" t="s">
        <v>311</v>
      </c>
      <c r="C126" s="7" t="s">
        <v>12</v>
      </c>
      <c r="D126" s="7" t="s">
        <v>312</v>
      </c>
      <c r="E126" s="54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6"/>
      <c r="Y126" s="8" t="s">
        <v>14</v>
      </c>
    </row>
    <row r="127" spans="1:25" ht="25.5" x14ac:dyDescent="0.2">
      <c r="A127" s="7" t="s">
        <v>313</v>
      </c>
      <c r="B127" s="7" t="s">
        <v>314</v>
      </c>
      <c r="C127" s="7" t="s">
        <v>22</v>
      </c>
      <c r="D127" s="7" t="s">
        <v>315</v>
      </c>
      <c r="E127" s="54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6"/>
      <c r="Y127" s="8" t="s">
        <v>47</v>
      </c>
    </row>
    <row r="128" spans="1:25" ht="25.5" x14ac:dyDescent="0.2">
      <c r="A128" s="7" t="s">
        <v>316</v>
      </c>
      <c r="B128" s="7" t="s">
        <v>314</v>
      </c>
      <c r="C128" s="7" t="s">
        <v>22</v>
      </c>
      <c r="D128" s="7" t="s">
        <v>317</v>
      </c>
      <c r="E128" s="54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6"/>
      <c r="Y128" s="8" t="s">
        <v>47</v>
      </c>
    </row>
    <row r="129" spans="1:25" ht="25.5" x14ac:dyDescent="0.2">
      <c r="A129" s="7" t="s">
        <v>318</v>
      </c>
      <c r="B129" s="7" t="s">
        <v>314</v>
      </c>
      <c r="C129" s="7" t="s">
        <v>22</v>
      </c>
      <c r="D129" s="7" t="s">
        <v>319</v>
      </c>
      <c r="E129" s="54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6"/>
      <c r="Y129" s="8" t="s">
        <v>47</v>
      </c>
    </row>
    <row r="130" spans="1:25" ht="51" x14ac:dyDescent="0.2">
      <c r="A130" s="7" t="s">
        <v>320</v>
      </c>
      <c r="B130" s="7" t="s">
        <v>321</v>
      </c>
      <c r="C130" s="7" t="s">
        <v>12</v>
      </c>
      <c r="D130" s="7" t="s">
        <v>322</v>
      </c>
      <c r="E130" s="54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6"/>
      <c r="Y130" s="8" t="s">
        <v>14</v>
      </c>
    </row>
    <row r="131" spans="1:25" ht="25.5" x14ac:dyDescent="0.2">
      <c r="A131" s="7" t="s">
        <v>323</v>
      </c>
      <c r="B131" s="7" t="s">
        <v>324</v>
      </c>
      <c r="C131" s="7" t="s">
        <v>22</v>
      </c>
      <c r="D131" s="7" t="s">
        <v>325</v>
      </c>
      <c r="E131" s="54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6"/>
      <c r="Y131" s="8" t="s">
        <v>14</v>
      </c>
    </row>
    <row r="132" spans="1:25" ht="51" x14ac:dyDescent="0.2">
      <c r="A132" s="7" t="s">
        <v>326</v>
      </c>
      <c r="B132" s="7" t="s">
        <v>327</v>
      </c>
      <c r="C132" s="7" t="s">
        <v>64</v>
      </c>
      <c r="D132" s="7" t="s">
        <v>328</v>
      </c>
      <c r="E132" s="54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6"/>
      <c r="Y132" s="8" t="s">
        <v>329</v>
      </c>
    </row>
    <row r="133" spans="1:25" x14ac:dyDescent="0.2">
      <c r="A133" s="7" t="s">
        <v>330</v>
      </c>
      <c r="B133" s="7" t="s">
        <v>331</v>
      </c>
      <c r="C133" s="7" t="s">
        <v>22</v>
      </c>
      <c r="D133" s="7" t="s">
        <v>332</v>
      </c>
      <c r="E133" s="54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6"/>
      <c r="Y133" s="8" t="s">
        <v>14</v>
      </c>
    </row>
    <row r="134" spans="1:25" x14ac:dyDescent="0.2">
      <c r="A134" s="7" t="s">
        <v>333</v>
      </c>
      <c r="B134" s="7" t="s">
        <v>334</v>
      </c>
      <c r="C134" s="7" t="s">
        <v>22</v>
      </c>
      <c r="D134" s="7" t="s">
        <v>335</v>
      </c>
      <c r="E134" s="54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6"/>
      <c r="Y134" s="8" t="s">
        <v>14</v>
      </c>
    </row>
    <row r="135" spans="1:25" ht="25.5" x14ac:dyDescent="0.2">
      <c r="A135" s="7" t="s">
        <v>336</v>
      </c>
      <c r="B135" s="7" t="s">
        <v>337</v>
      </c>
      <c r="C135" s="7" t="s">
        <v>22</v>
      </c>
      <c r="D135" s="7" t="s">
        <v>338</v>
      </c>
      <c r="E135" s="54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6"/>
      <c r="Y135" s="8" t="s">
        <v>14</v>
      </c>
    </row>
    <row r="136" spans="1:25" x14ac:dyDescent="0.2">
      <c r="A136" s="7" t="s">
        <v>339</v>
      </c>
      <c r="B136" s="7" t="s">
        <v>340</v>
      </c>
      <c r="C136" s="7" t="s">
        <v>22</v>
      </c>
      <c r="D136" s="7" t="s">
        <v>341</v>
      </c>
      <c r="E136" s="54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6"/>
      <c r="Y136" s="8" t="s">
        <v>14</v>
      </c>
    </row>
    <row r="137" spans="1:25" ht="38.25" x14ac:dyDescent="0.2">
      <c r="A137" s="7" t="s">
        <v>342</v>
      </c>
      <c r="B137" s="7" t="s">
        <v>343</v>
      </c>
      <c r="C137" s="7" t="s">
        <v>12</v>
      </c>
      <c r="D137" s="7" t="s">
        <v>344</v>
      </c>
      <c r="E137" s="54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6"/>
      <c r="Y137" s="8" t="s">
        <v>14</v>
      </c>
    </row>
    <row r="138" spans="1:25" x14ac:dyDescent="0.2">
      <c r="A138" s="7" t="s">
        <v>345</v>
      </c>
      <c r="B138" s="7" t="s">
        <v>346</v>
      </c>
      <c r="C138" s="7" t="s">
        <v>22</v>
      </c>
      <c r="D138" s="7" t="s">
        <v>347</v>
      </c>
      <c r="E138" s="54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6"/>
      <c r="Y138" s="8" t="s">
        <v>80</v>
      </c>
    </row>
    <row r="139" spans="1:25" ht="25.5" x14ac:dyDescent="0.2">
      <c r="A139" s="7" t="s">
        <v>348</v>
      </c>
      <c r="B139" s="7" t="s">
        <v>349</v>
      </c>
      <c r="C139" s="7" t="s">
        <v>22</v>
      </c>
      <c r="D139" s="7" t="s">
        <v>350</v>
      </c>
      <c r="E139" s="54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6"/>
      <c r="Y139" s="8" t="s">
        <v>80</v>
      </c>
    </row>
    <row r="140" spans="1:25" x14ac:dyDescent="0.2">
      <c r="A140" s="7" t="s">
        <v>351</v>
      </c>
      <c r="B140" s="7" t="s">
        <v>352</v>
      </c>
      <c r="C140" s="7" t="s">
        <v>22</v>
      </c>
      <c r="D140" s="7" t="s">
        <v>353</v>
      </c>
      <c r="E140" s="54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6"/>
      <c r="Y140" s="8" t="s">
        <v>80</v>
      </c>
    </row>
    <row r="141" spans="1:25" ht="38.25" x14ac:dyDescent="0.2">
      <c r="A141" s="7" t="s">
        <v>354</v>
      </c>
      <c r="B141" s="7" t="s">
        <v>355</v>
      </c>
      <c r="C141" s="7" t="s">
        <v>12</v>
      </c>
      <c r="D141" s="7" t="s">
        <v>356</v>
      </c>
      <c r="E141" s="54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6"/>
      <c r="Y141" s="8" t="s">
        <v>80</v>
      </c>
    </row>
    <row r="142" spans="1:25" ht="25.5" x14ac:dyDescent="0.2">
      <c r="A142" s="7" t="s">
        <v>357</v>
      </c>
      <c r="B142" s="7" t="s">
        <v>358</v>
      </c>
      <c r="C142" s="7" t="s">
        <v>22</v>
      </c>
      <c r="D142" s="7" t="s">
        <v>359</v>
      </c>
      <c r="E142" s="54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6"/>
      <c r="Y142" s="8" t="s">
        <v>80</v>
      </c>
    </row>
    <row r="143" spans="1:25" x14ac:dyDescent="0.2">
      <c r="A143" s="7" t="s">
        <v>360</v>
      </c>
      <c r="B143" s="7" t="s">
        <v>361</v>
      </c>
      <c r="C143" s="7" t="s">
        <v>22</v>
      </c>
      <c r="D143" s="7" t="s">
        <v>362</v>
      </c>
      <c r="E143" s="54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6"/>
      <c r="Y143" s="8" t="s">
        <v>80</v>
      </c>
    </row>
    <row r="144" spans="1:25" x14ac:dyDescent="0.2">
      <c r="A144" s="7" t="s">
        <v>363</v>
      </c>
      <c r="B144" s="7" t="s">
        <v>364</v>
      </c>
      <c r="C144" s="7" t="s">
        <v>22</v>
      </c>
      <c r="D144" s="7" t="s">
        <v>365</v>
      </c>
      <c r="E144" s="54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6"/>
      <c r="Y144" s="8" t="s">
        <v>14</v>
      </c>
    </row>
    <row r="145" spans="1:25" ht="25.5" x14ac:dyDescent="0.2">
      <c r="A145" s="7" t="s">
        <v>366</v>
      </c>
      <c r="B145" s="7" t="s">
        <v>367</v>
      </c>
      <c r="C145" s="7" t="s">
        <v>22</v>
      </c>
      <c r="D145" s="7" t="s">
        <v>368</v>
      </c>
      <c r="E145" s="54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6"/>
      <c r="Y145" s="8" t="s">
        <v>80</v>
      </c>
    </row>
    <row r="146" spans="1:25" x14ac:dyDescent="0.2">
      <c r="A146" s="7" t="s">
        <v>369</v>
      </c>
      <c r="B146" s="7" t="s">
        <v>370</v>
      </c>
      <c r="C146" s="7" t="s">
        <v>64</v>
      </c>
      <c r="D146" s="7" t="s">
        <v>371</v>
      </c>
      <c r="E146" s="54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6"/>
      <c r="Y146" s="8" t="s">
        <v>372</v>
      </c>
    </row>
    <row r="147" spans="1:25" x14ac:dyDescent="0.2">
      <c r="A147" s="7" t="s">
        <v>373</v>
      </c>
      <c r="B147" s="7" t="s">
        <v>374</v>
      </c>
      <c r="C147" s="7" t="s">
        <v>64</v>
      </c>
      <c r="D147" s="7" t="s">
        <v>375</v>
      </c>
      <c r="E147" s="54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6"/>
      <c r="Y147" s="8" t="s">
        <v>372</v>
      </c>
    </row>
    <row r="148" spans="1:25" x14ac:dyDescent="0.2">
      <c r="A148" s="7" t="s">
        <v>376</v>
      </c>
      <c r="B148" s="7" t="s">
        <v>377</v>
      </c>
      <c r="C148" s="7" t="s">
        <v>22</v>
      </c>
      <c r="D148" s="7" t="s">
        <v>378</v>
      </c>
      <c r="E148" s="54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6"/>
      <c r="Y148" s="8" t="s">
        <v>110</v>
      </c>
    </row>
    <row r="149" spans="1:25" x14ac:dyDescent="0.2">
      <c r="A149" s="7" t="s">
        <v>379</v>
      </c>
      <c r="B149" s="7" t="s">
        <v>380</v>
      </c>
      <c r="C149" s="7" t="s">
        <v>17</v>
      </c>
      <c r="D149" s="7" t="s">
        <v>381</v>
      </c>
      <c r="E149" s="54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6"/>
      <c r="Y149" s="8" t="s">
        <v>382</v>
      </c>
    </row>
    <row r="150" spans="1:25" x14ac:dyDescent="0.2">
      <c r="A150" s="7" t="s">
        <v>383</v>
      </c>
      <c r="B150" s="7" t="s">
        <v>384</v>
      </c>
      <c r="C150" s="7" t="s">
        <v>22</v>
      </c>
      <c r="D150" s="7" t="s">
        <v>385</v>
      </c>
      <c r="E150" s="54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6"/>
      <c r="Y150" s="8" t="s">
        <v>110</v>
      </c>
    </row>
    <row r="151" spans="1:25" ht="38.25" x14ac:dyDescent="0.2">
      <c r="A151" s="7" t="s">
        <v>386</v>
      </c>
      <c r="B151" s="7" t="s">
        <v>387</v>
      </c>
      <c r="C151" s="7" t="s">
        <v>12</v>
      </c>
      <c r="D151" s="7" t="s">
        <v>388</v>
      </c>
      <c r="E151" s="54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6"/>
      <c r="Y151" s="8" t="s">
        <v>110</v>
      </c>
    </row>
    <row r="152" spans="1:25" ht="25.5" x14ac:dyDescent="0.2">
      <c r="A152" s="7" t="s">
        <v>389</v>
      </c>
      <c r="B152" s="7" t="s">
        <v>390</v>
      </c>
      <c r="C152" s="7" t="s">
        <v>64</v>
      </c>
      <c r="D152" s="7" t="s">
        <v>391</v>
      </c>
      <c r="E152" s="54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6"/>
      <c r="Y152" s="8" t="s">
        <v>80</v>
      </c>
    </row>
    <row r="153" spans="1:25" x14ac:dyDescent="0.2">
      <c r="A153" s="7" t="s">
        <v>392</v>
      </c>
      <c r="B153" s="7" t="s">
        <v>393</v>
      </c>
      <c r="C153" s="7" t="s">
        <v>22</v>
      </c>
      <c r="D153" s="7" t="s">
        <v>394</v>
      </c>
      <c r="E153" s="54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6"/>
      <c r="Y153" s="8" t="s">
        <v>80</v>
      </c>
    </row>
    <row r="154" spans="1:25" ht="25.5" x14ac:dyDescent="0.2">
      <c r="A154" s="7" t="s">
        <v>395</v>
      </c>
      <c r="B154" s="7" t="s">
        <v>396</v>
      </c>
      <c r="C154" s="7" t="s">
        <v>22</v>
      </c>
      <c r="D154" s="7" t="s">
        <v>397</v>
      </c>
      <c r="E154" s="54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6"/>
      <c r="Y154" s="8" t="s">
        <v>80</v>
      </c>
    </row>
    <row r="155" spans="1:25" x14ac:dyDescent="0.2">
      <c r="A155" s="7" t="s">
        <v>398</v>
      </c>
      <c r="B155" s="7" t="s">
        <v>399</v>
      </c>
      <c r="C155" s="7" t="s">
        <v>17</v>
      </c>
      <c r="D155" s="7" t="s">
        <v>400</v>
      </c>
      <c r="E155" s="54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6"/>
      <c r="Y155" s="8" t="s">
        <v>19</v>
      </c>
    </row>
    <row r="156" spans="1:25" x14ac:dyDescent="0.2">
      <c r="A156" s="7" t="s">
        <v>401</v>
      </c>
      <c r="B156" s="7" t="s">
        <v>402</v>
      </c>
      <c r="C156" s="7" t="s">
        <v>17</v>
      </c>
      <c r="D156" s="7" t="s">
        <v>403</v>
      </c>
      <c r="E156" s="54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6"/>
      <c r="Y156" s="8" t="s">
        <v>382</v>
      </c>
    </row>
    <row r="157" spans="1:25" ht="25.5" x14ac:dyDescent="0.2">
      <c r="A157" s="7" t="s">
        <v>404</v>
      </c>
      <c r="B157" s="7" t="s">
        <v>405</v>
      </c>
      <c r="C157" s="7" t="s">
        <v>17</v>
      </c>
      <c r="D157" s="7" t="s">
        <v>406</v>
      </c>
      <c r="E157" s="54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6"/>
      <c r="Y157" s="8" t="s">
        <v>382</v>
      </c>
    </row>
    <row r="158" spans="1:25" x14ac:dyDescent="0.2">
      <c r="A158" s="3" t="s">
        <v>407</v>
      </c>
      <c r="B158" s="3" t="s">
        <v>8</v>
      </c>
      <c r="C158" s="3"/>
      <c r="D158" s="3" t="s">
        <v>408</v>
      </c>
      <c r="E158" s="54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6"/>
      <c r="Y158" s="4"/>
    </row>
    <row r="159" spans="1:25" x14ac:dyDescent="0.2">
      <c r="A159" s="7" t="s">
        <v>409</v>
      </c>
      <c r="B159" s="7" t="s">
        <v>410</v>
      </c>
      <c r="C159" s="7" t="s">
        <v>22</v>
      </c>
      <c r="D159" s="7" t="s">
        <v>411</v>
      </c>
      <c r="E159" s="54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6"/>
      <c r="Y159" s="8" t="s">
        <v>47</v>
      </c>
    </row>
    <row r="160" spans="1:25" ht="38.25" x14ac:dyDescent="0.2">
      <c r="A160" s="7" t="s">
        <v>412</v>
      </c>
      <c r="B160" s="7" t="s">
        <v>311</v>
      </c>
      <c r="C160" s="7" t="s">
        <v>12</v>
      </c>
      <c r="D160" s="7" t="s">
        <v>312</v>
      </c>
      <c r="E160" s="54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6"/>
      <c r="Y160" s="8" t="s">
        <v>14</v>
      </c>
    </row>
    <row r="161" spans="1:25" ht="25.5" x14ac:dyDescent="0.2">
      <c r="A161" s="7" t="s">
        <v>413</v>
      </c>
      <c r="B161" s="7" t="s">
        <v>314</v>
      </c>
      <c r="C161" s="7" t="s">
        <v>22</v>
      </c>
      <c r="D161" s="7" t="s">
        <v>414</v>
      </c>
      <c r="E161" s="54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6"/>
      <c r="Y161" s="8" t="s">
        <v>47</v>
      </c>
    </row>
    <row r="162" spans="1:25" ht="25.5" x14ac:dyDescent="0.2">
      <c r="A162" s="7" t="s">
        <v>415</v>
      </c>
      <c r="B162" s="7" t="s">
        <v>314</v>
      </c>
      <c r="C162" s="7" t="s">
        <v>22</v>
      </c>
      <c r="D162" s="7" t="s">
        <v>416</v>
      </c>
      <c r="E162" s="54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6"/>
      <c r="Y162" s="8" t="s">
        <v>47</v>
      </c>
    </row>
    <row r="163" spans="1:25" ht="25.5" x14ac:dyDescent="0.2">
      <c r="A163" s="7" t="s">
        <v>417</v>
      </c>
      <c r="B163" s="7" t="s">
        <v>314</v>
      </c>
      <c r="C163" s="7" t="s">
        <v>22</v>
      </c>
      <c r="D163" s="7" t="s">
        <v>418</v>
      </c>
      <c r="E163" s="54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6"/>
      <c r="Y163" s="8" t="s">
        <v>47</v>
      </c>
    </row>
    <row r="164" spans="1:25" ht="25.5" x14ac:dyDescent="0.2">
      <c r="A164" s="7" t="s">
        <v>419</v>
      </c>
      <c r="B164" s="7" t="s">
        <v>314</v>
      </c>
      <c r="C164" s="7" t="s">
        <v>22</v>
      </c>
      <c r="D164" s="7" t="s">
        <v>420</v>
      </c>
      <c r="E164" s="54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6"/>
      <c r="Y164" s="8" t="s">
        <v>47</v>
      </c>
    </row>
    <row r="165" spans="1:25" ht="25.5" x14ac:dyDescent="0.2">
      <c r="A165" s="7" t="s">
        <v>421</v>
      </c>
      <c r="B165" s="7" t="s">
        <v>422</v>
      </c>
      <c r="C165" s="7" t="s">
        <v>22</v>
      </c>
      <c r="D165" s="7" t="s">
        <v>423</v>
      </c>
      <c r="E165" s="54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6"/>
      <c r="Y165" s="8" t="s">
        <v>47</v>
      </c>
    </row>
    <row r="166" spans="1:25" ht="38.25" x14ac:dyDescent="0.2">
      <c r="A166" s="7" t="s">
        <v>424</v>
      </c>
      <c r="B166" s="7" t="s">
        <v>425</v>
      </c>
      <c r="C166" s="7" t="s">
        <v>56</v>
      </c>
      <c r="D166" s="7" t="s">
        <v>426</v>
      </c>
      <c r="E166" s="54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6"/>
      <c r="Y166" s="8" t="s">
        <v>47</v>
      </c>
    </row>
    <row r="167" spans="1:25" ht="25.5" x14ac:dyDescent="0.2">
      <c r="A167" s="7" t="s">
        <v>427</v>
      </c>
      <c r="B167" s="7" t="s">
        <v>428</v>
      </c>
      <c r="C167" s="7" t="s">
        <v>22</v>
      </c>
      <c r="D167" s="7" t="s">
        <v>429</v>
      </c>
      <c r="E167" s="54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6"/>
      <c r="Y167" s="8" t="s">
        <v>14</v>
      </c>
    </row>
    <row r="168" spans="1:25" ht="63.75" x14ac:dyDescent="0.2">
      <c r="A168" s="7" t="s">
        <v>430</v>
      </c>
      <c r="B168" s="7" t="s">
        <v>431</v>
      </c>
      <c r="C168" s="7" t="s">
        <v>12</v>
      </c>
      <c r="D168" s="7" t="s">
        <v>432</v>
      </c>
      <c r="E168" s="54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6"/>
      <c r="Y168" s="8" t="s">
        <v>14</v>
      </c>
    </row>
    <row r="169" spans="1:25" ht="25.5" x14ac:dyDescent="0.2">
      <c r="A169" s="7" t="s">
        <v>433</v>
      </c>
      <c r="B169" s="7" t="s">
        <v>434</v>
      </c>
      <c r="C169" s="7" t="s">
        <v>22</v>
      </c>
      <c r="D169" s="7" t="s">
        <v>435</v>
      </c>
      <c r="E169" s="54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6"/>
      <c r="Y169" s="8" t="s">
        <v>14</v>
      </c>
    </row>
    <row r="170" spans="1:25" ht="25.5" x14ac:dyDescent="0.2">
      <c r="A170" s="7" t="s">
        <v>436</v>
      </c>
      <c r="B170" s="7" t="s">
        <v>437</v>
      </c>
      <c r="C170" s="7" t="s">
        <v>22</v>
      </c>
      <c r="D170" s="7" t="s">
        <v>438</v>
      </c>
      <c r="E170" s="54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6"/>
      <c r="Y170" s="8" t="s">
        <v>14</v>
      </c>
    </row>
    <row r="171" spans="1:25" ht="25.5" x14ac:dyDescent="0.2">
      <c r="A171" s="7" t="s">
        <v>439</v>
      </c>
      <c r="B171" s="7" t="s">
        <v>440</v>
      </c>
      <c r="C171" s="7" t="s">
        <v>12</v>
      </c>
      <c r="D171" s="7" t="s">
        <v>441</v>
      </c>
      <c r="E171" s="54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6"/>
      <c r="Y171" s="8" t="s">
        <v>14</v>
      </c>
    </row>
    <row r="172" spans="1:25" ht="38.25" x14ac:dyDescent="0.2">
      <c r="A172" s="7" t="s">
        <v>442</v>
      </c>
      <c r="B172" s="7" t="s">
        <v>443</v>
      </c>
      <c r="C172" s="7" t="s">
        <v>64</v>
      </c>
      <c r="D172" s="7" t="s">
        <v>444</v>
      </c>
      <c r="E172" s="54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6"/>
      <c r="Y172" s="8" t="s">
        <v>14</v>
      </c>
    </row>
    <row r="173" spans="1:25" x14ac:dyDescent="0.2">
      <c r="A173" s="7" t="s">
        <v>445</v>
      </c>
      <c r="B173" s="7" t="s">
        <v>331</v>
      </c>
      <c r="C173" s="7" t="s">
        <v>22</v>
      </c>
      <c r="D173" s="7" t="s">
        <v>332</v>
      </c>
      <c r="E173" s="54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6"/>
      <c r="Y173" s="8" t="s">
        <v>14</v>
      </c>
    </row>
    <row r="174" spans="1:25" x14ac:dyDescent="0.2">
      <c r="A174" s="7" t="s">
        <v>446</v>
      </c>
      <c r="B174" s="7" t="s">
        <v>334</v>
      </c>
      <c r="C174" s="7" t="s">
        <v>22</v>
      </c>
      <c r="D174" s="7" t="s">
        <v>335</v>
      </c>
      <c r="E174" s="54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6"/>
      <c r="Y174" s="8" t="s">
        <v>14</v>
      </c>
    </row>
    <row r="175" spans="1:25" ht="25.5" x14ac:dyDescent="0.2">
      <c r="A175" s="7" t="s">
        <v>447</v>
      </c>
      <c r="B175" s="7" t="s">
        <v>448</v>
      </c>
      <c r="C175" s="7" t="s">
        <v>64</v>
      </c>
      <c r="D175" s="7" t="s">
        <v>449</v>
      </c>
      <c r="E175" s="54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6"/>
      <c r="Y175" s="8" t="s">
        <v>372</v>
      </c>
    </row>
    <row r="176" spans="1:25" x14ac:dyDescent="0.2">
      <c r="A176" s="7" t="s">
        <v>450</v>
      </c>
      <c r="B176" s="7" t="s">
        <v>451</v>
      </c>
      <c r="C176" s="7" t="s">
        <v>22</v>
      </c>
      <c r="D176" s="7" t="s">
        <v>452</v>
      </c>
      <c r="E176" s="54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6"/>
      <c r="Y176" s="8" t="s">
        <v>110</v>
      </c>
    </row>
    <row r="177" spans="1:25" x14ac:dyDescent="0.2">
      <c r="A177" s="7" t="s">
        <v>453</v>
      </c>
      <c r="B177" s="7" t="s">
        <v>454</v>
      </c>
      <c r="C177" s="7" t="s">
        <v>22</v>
      </c>
      <c r="D177" s="7" t="s">
        <v>455</v>
      </c>
      <c r="E177" s="54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6"/>
      <c r="Y177" s="8" t="s">
        <v>110</v>
      </c>
    </row>
    <row r="178" spans="1:25" x14ac:dyDescent="0.2">
      <c r="A178" s="7" t="s">
        <v>456</v>
      </c>
      <c r="B178" s="7" t="s">
        <v>393</v>
      </c>
      <c r="C178" s="7" t="s">
        <v>22</v>
      </c>
      <c r="D178" s="7" t="s">
        <v>394</v>
      </c>
      <c r="E178" s="54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6"/>
      <c r="Y178" s="8" t="s">
        <v>80</v>
      </c>
    </row>
    <row r="179" spans="1:25" x14ac:dyDescent="0.2">
      <c r="A179" s="7" t="s">
        <v>457</v>
      </c>
      <c r="B179" s="7" t="s">
        <v>454</v>
      </c>
      <c r="C179" s="7" t="s">
        <v>22</v>
      </c>
      <c r="D179" s="7" t="s">
        <v>455</v>
      </c>
      <c r="E179" s="54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6"/>
      <c r="Y179" s="8" t="s">
        <v>110</v>
      </c>
    </row>
    <row r="180" spans="1:25" x14ac:dyDescent="0.2">
      <c r="A180" s="7" t="s">
        <v>458</v>
      </c>
      <c r="B180" s="7" t="s">
        <v>459</v>
      </c>
      <c r="C180" s="7" t="s">
        <v>22</v>
      </c>
      <c r="D180" s="7" t="s">
        <v>460</v>
      </c>
      <c r="E180" s="54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6"/>
      <c r="Y180" s="8" t="s">
        <v>110</v>
      </c>
    </row>
    <row r="181" spans="1:25" x14ac:dyDescent="0.2">
      <c r="A181" s="7" t="s">
        <v>461</v>
      </c>
      <c r="B181" s="7" t="s">
        <v>462</v>
      </c>
      <c r="C181" s="7" t="s">
        <v>22</v>
      </c>
      <c r="D181" s="7" t="s">
        <v>463</v>
      </c>
      <c r="E181" s="54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6"/>
      <c r="Y181" s="8" t="s">
        <v>110</v>
      </c>
    </row>
    <row r="182" spans="1:25" x14ac:dyDescent="0.2">
      <c r="A182" s="7" t="s">
        <v>464</v>
      </c>
      <c r="B182" s="7" t="s">
        <v>465</v>
      </c>
      <c r="C182" s="7" t="s">
        <v>22</v>
      </c>
      <c r="D182" s="7" t="s">
        <v>466</v>
      </c>
      <c r="E182" s="54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6"/>
      <c r="Y182" s="8" t="s">
        <v>110</v>
      </c>
    </row>
    <row r="183" spans="1:25" x14ac:dyDescent="0.2">
      <c r="A183" s="7" t="s">
        <v>467</v>
      </c>
      <c r="B183" s="7" t="s">
        <v>468</v>
      </c>
      <c r="C183" s="7" t="s">
        <v>22</v>
      </c>
      <c r="D183" s="7" t="s">
        <v>469</v>
      </c>
      <c r="E183" s="54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6"/>
      <c r="Y183" s="8" t="s">
        <v>110</v>
      </c>
    </row>
    <row r="184" spans="1:25" ht="25.5" x14ac:dyDescent="0.2">
      <c r="A184" s="7" t="s">
        <v>470</v>
      </c>
      <c r="B184" s="7" t="s">
        <v>471</v>
      </c>
      <c r="C184" s="7" t="s">
        <v>22</v>
      </c>
      <c r="D184" s="7" t="s">
        <v>472</v>
      </c>
      <c r="E184" s="54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6"/>
      <c r="Y184" s="8" t="s">
        <v>80</v>
      </c>
    </row>
    <row r="185" spans="1:25" ht="25.5" x14ac:dyDescent="0.2">
      <c r="A185" s="7" t="s">
        <v>473</v>
      </c>
      <c r="B185" s="7" t="s">
        <v>324</v>
      </c>
      <c r="C185" s="7" t="s">
        <v>22</v>
      </c>
      <c r="D185" s="7" t="s">
        <v>325</v>
      </c>
      <c r="E185" s="54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6"/>
      <c r="Y185" s="8" t="s">
        <v>14</v>
      </c>
    </row>
    <row r="186" spans="1:25" ht="25.5" x14ac:dyDescent="0.2">
      <c r="A186" s="7" t="s">
        <v>474</v>
      </c>
      <c r="B186" s="7" t="s">
        <v>434</v>
      </c>
      <c r="C186" s="7" t="s">
        <v>22</v>
      </c>
      <c r="D186" s="7" t="s">
        <v>435</v>
      </c>
      <c r="E186" s="54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6"/>
      <c r="Y186" s="8" t="s">
        <v>14</v>
      </c>
    </row>
    <row r="187" spans="1:25" x14ac:dyDescent="0.2">
      <c r="A187" s="3" t="s">
        <v>475</v>
      </c>
      <c r="B187" s="3" t="s">
        <v>8</v>
      </c>
      <c r="C187" s="3"/>
      <c r="D187" s="3" t="s">
        <v>476</v>
      </c>
      <c r="E187" s="54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6"/>
      <c r="Y187" s="4"/>
    </row>
    <row r="188" spans="1:25" ht="38.25" x14ac:dyDescent="0.2">
      <c r="A188" s="7" t="s">
        <v>477</v>
      </c>
      <c r="B188" s="7" t="s">
        <v>69</v>
      </c>
      <c r="C188" s="7" t="s">
        <v>12</v>
      </c>
      <c r="D188" s="7" t="s">
        <v>70</v>
      </c>
      <c r="E188" s="54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6"/>
      <c r="Y188" s="8" t="s">
        <v>47</v>
      </c>
    </row>
    <row r="189" spans="1:25" ht="38.25" x14ac:dyDescent="0.2">
      <c r="A189" s="7" t="s">
        <v>478</v>
      </c>
      <c r="B189" s="7" t="s">
        <v>311</v>
      </c>
      <c r="C189" s="7" t="s">
        <v>12</v>
      </c>
      <c r="D189" s="7" t="s">
        <v>312</v>
      </c>
      <c r="E189" s="54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6"/>
      <c r="Y189" s="8" t="s">
        <v>14</v>
      </c>
    </row>
    <row r="190" spans="1:25" ht="25.5" x14ac:dyDescent="0.2">
      <c r="A190" s="7" t="s">
        <v>479</v>
      </c>
      <c r="B190" s="7" t="s">
        <v>314</v>
      </c>
      <c r="C190" s="7" t="s">
        <v>22</v>
      </c>
      <c r="D190" s="7" t="s">
        <v>480</v>
      </c>
      <c r="E190" s="54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6"/>
      <c r="Y190" s="8" t="s">
        <v>47</v>
      </c>
    </row>
    <row r="191" spans="1:25" x14ac:dyDescent="0.2">
      <c r="A191" s="7" t="s">
        <v>481</v>
      </c>
      <c r="B191" s="7" t="s">
        <v>482</v>
      </c>
      <c r="C191" s="7" t="s">
        <v>22</v>
      </c>
      <c r="D191" s="7" t="s">
        <v>483</v>
      </c>
      <c r="E191" s="54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6"/>
      <c r="Y191" s="8" t="s">
        <v>80</v>
      </c>
    </row>
    <row r="192" spans="1:25" ht="25.5" x14ac:dyDescent="0.2">
      <c r="A192" s="7" t="s">
        <v>484</v>
      </c>
      <c r="B192" s="7" t="s">
        <v>485</v>
      </c>
      <c r="C192" s="7" t="s">
        <v>22</v>
      </c>
      <c r="D192" s="7" t="s">
        <v>486</v>
      </c>
      <c r="E192" s="54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6"/>
      <c r="Y192" s="8" t="s">
        <v>487</v>
      </c>
    </row>
    <row r="193" spans="1:25" ht="25.5" x14ac:dyDescent="0.2">
      <c r="A193" s="7" t="s">
        <v>488</v>
      </c>
      <c r="B193" s="7" t="s">
        <v>489</v>
      </c>
      <c r="C193" s="7" t="s">
        <v>64</v>
      </c>
      <c r="D193" s="7" t="s">
        <v>490</v>
      </c>
      <c r="E193" s="54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6"/>
      <c r="Y193" s="8" t="s">
        <v>80</v>
      </c>
    </row>
    <row r="194" spans="1:25" ht="25.5" x14ac:dyDescent="0.2">
      <c r="A194" s="7" t="s">
        <v>491</v>
      </c>
      <c r="B194" s="7" t="s">
        <v>492</v>
      </c>
      <c r="C194" s="7" t="s">
        <v>17</v>
      </c>
      <c r="D194" s="7" t="s">
        <v>493</v>
      </c>
      <c r="E194" s="54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6"/>
      <c r="Y194" s="8" t="s">
        <v>19</v>
      </c>
    </row>
    <row r="195" spans="1:25" ht="25.5" x14ac:dyDescent="0.2">
      <c r="A195" s="7" t="s">
        <v>494</v>
      </c>
      <c r="B195" s="7" t="s">
        <v>495</v>
      </c>
      <c r="C195" s="7" t="s">
        <v>64</v>
      </c>
      <c r="D195" s="7" t="s">
        <v>496</v>
      </c>
      <c r="E195" s="54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6"/>
      <c r="Y195" s="8" t="s">
        <v>372</v>
      </c>
    </row>
    <row r="196" spans="1:25" x14ac:dyDescent="0.2">
      <c r="A196" s="7" t="s">
        <v>497</v>
      </c>
      <c r="B196" s="7" t="s">
        <v>498</v>
      </c>
      <c r="C196" s="7" t="s">
        <v>22</v>
      </c>
      <c r="D196" s="7" t="s">
        <v>499</v>
      </c>
      <c r="E196" s="54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6"/>
      <c r="Y196" s="8" t="s">
        <v>110</v>
      </c>
    </row>
    <row r="197" spans="1:25" ht="25.5" x14ac:dyDescent="0.2">
      <c r="A197" s="7" t="s">
        <v>500</v>
      </c>
      <c r="B197" s="7" t="s">
        <v>501</v>
      </c>
      <c r="C197" s="7" t="s">
        <v>17</v>
      </c>
      <c r="D197" s="7" t="s">
        <v>502</v>
      </c>
      <c r="E197" s="54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6"/>
      <c r="Y197" s="8" t="s">
        <v>382</v>
      </c>
    </row>
    <row r="198" spans="1:25" x14ac:dyDescent="0.2">
      <c r="A198" s="7" t="s">
        <v>503</v>
      </c>
      <c r="B198" s="7" t="s">
        <v>504</v>
      </c>
      <c r="C198" s="7" t="s">
        <v>22</v>
      </c>
      <c r="D198" s="7" t="s">
        <v>505</v>
      </c>
      <c r="E198" s="54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6"/>
      <c r="Y198" s="8" t="s">
        <v>110</v>
      </c>
    </row>
    <row r="199" spans="1:25" ht="25.5" x14ac:dyDescent="0.2">
      <c r="A199" s="7" t="s">
        <v>506</v>
      </c>
      <c r="B199" s="7" t="s">
        <v>507</v>
      </c>
      <c r="C199" s="7" t="s">
        <v>22</v>
      </c>
      <c r="D199" s="7" t="s">
        <v>508</v>
      </c>
      <c r="E199" s="54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6"/>
      <c r="Y199" s="8" t="s">
        <v>80</v>
      </c>
    </row>
    <row r="200" spans="1:25" ht="25.5" x14ac:dyDescent="0.2">
      <c r="A200" s="7" t="s">
        <v>509</v>
      </c>
      <c r="B200" s="7" t="s">
        <v>510</v>
      </c>
      <c r="C200" s="7" t="s">
        <v>22</v>
      </c>
      <c r="D200" s="7" t="s">
        <v>511</v>
      </c>
      <c r="E200" s="54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6"/>
      <c r="Y200" s="8" t="s">
        <v>110</v>
      </c>
    </row>
    <row r="201" spans="1:25" x14ac:dyDescent="0.2">
      <c r="A201" s="3" t="s">
        <v>512</v>
      </c>
      <c r="B201" s="3" t="s">
        <v>8</v>
      </c>
      <c r="C201" s="3"/>
      <c r="D201" s="3" t="s">
        <v>513</v>
      </c>
      <c r="E201" s="54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6"/>
      <c r="Y201" s="4"/>
    </row>
    <row r="202" spans="1:25" ht="63.75" x14ac:dyDescent="0.2">
      <c r="A202" s="7" t="s">
        <v>514</v>
      </c>
      <c r="B202" s="7" t="s">
        <v>515</v>
      </c>
      <c r="C202" s="7" t="s">
        <v>12</v>
      </c>
      <c r="D202" s="7" t="s">
        <v>516</v>
      </c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8" t="s">
        <v>14</v>
      </c>
    </row>
    <row r="203" spans="1:25" ht="25.5" x14ac:dyDescent="0.2">
      <c r="A203" s="7" t="s">
        <v>517</v>
      </c>
      <c r="B203" s="7" t="s">
        <v>518</v>
      </c>
      <c r="C203" s="7" t="s">
        <v>22</v>
      </c>
      <c r="D203" s="7" t="s">
        <v>519</v>
      </c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8" t="s">
        <v>14</v>
      </c>
    </row>
    <row r="204" spans="1:25" x14ac:dyDescent="0.2">
      <c r="A204" s="36"/>
      <c r="B204" s="36"/>
      <c r="C204" s="36"/>
      <c r="D204" s="13"/>
      <c r="E204" s="12"/>
    </row>
    <row r="205" spans="1:25" x14ac:dyDescent="0.2">
      <c r="A205" s="36"/>
      <c r="B205" s="36"/>
      <c r="C205" s="36"/>
      <c r="D205" s="13"/>
      <c r="E205" s="12"/>
    </row>
    <row r="206" spans="1:25" x14ac:dyDescent="0.2">
      <c r="A206" s="36"/>
      <c r="B206" s="36"/>
      <c r="C206" s="36"/>
      <c r="D206" s="13"/>
    </row>
    <row r="207" spans="1:25" x14ac:dyDescent="0.2">
      <c r="A207" s="14"/>
      <c r="B207" s="14"/>
      <c r="C207" s="14"/>
      <c r="D207" s="14"/>
    </row>
  </sheetData>
  <mergeCells count="200">
    <mergeCell ref="E202:X202"/>
    <mergeCell ref="E203:X203"/>
    <mergeCell ref="E9:V9"/>
    <mergeCell ref="E196:X196"/>
    <mergeCell ref="E197:X197"/>
    <mergeCell ref="E198:X198"/>
    <mergeCell ref="E199:X199"/>
    <mergeCell ref="E200:X200"/>
    <mergeCell ref="E201:X201"/>
    <mergeCell ref="E190:X190"/>
    <mergeCell ref="E191:X191"/>
    <mergeCell ref="E192:X192"/>
    <mergeCell ref="E193:X193"/>
    <mergeCell ref="E194:X194"/>
    <mergeCell ref="E195:X195"/>
    <mergeCell ref="E184:X184"/>
    <mergeCell ref="E185:X185"/>
    <mergeCell ref="E186:X186"/>
    <mergeCell ref="E187:X187"/>
    <mergeCell ref="E188:X188"/>
    <mergeCell ref="E189:X189"/>
    <mergeCell ref="E178:X178"/>
    <mergeCell ref="E179:X179"/>
    <mergeCell ref="E180:X180"/>
    <mergeCell ref="E181:X181"/>
    <mergeCell ref="E182:X182"/>
    <mergeCell ref="E183:X183"/>
    <mergeCell ref="E172:X172"/>
    <mergeCell ref="E173:X173"/>
    <mergeCell ref="E174:X174"/>
    <mergeCell ref="E175:X175"/>
    <mergeCell ref="E176:X176"/>
    <mergeCell ref="E177:X177"/>
    <mergeCell ref="E166:X166"/>
    <mergeCell ref="E167:X167"/>
    <mergeCell ref="E168:X168"/>
    <mergeCell ref="E169:X169"/>
    <mergeCell ref="E170:X170"/>
    <mergeCell ref="E171:X171"/>
    <mergeCell ref="E160:X160"/>
    <mergeCell ref="E161:X161"/>
    <mergeCell ref="E162:X162"/>
    <mergeCell ref="E163:X163"/>
    <mergeCell ref="E164:X164"/>
    <mergeCell ref="E165:X165"/>
    <mergeCell ref="E154:X154"/>
    <mergeCell ref="E155:X155"/>
    <mergeCell ref="E156:X156"/>
    <mergeCell ref="E157:X157"/>
    <mergeCell ref="E158:X158"/>
    <mergeCell ref="E159:X159"/>
    <mergeCell ref="E148:X148"/>
    <mergeCell ref="E149:X149"/>
    <mergeCell ref="E150:X150"/>
    <mergeCell ref="E151:X151"/>
    <mergeCell ref="E152:X152"/>
    <mergeCell ref="E153:X153"/>
    <mergeCell ref="E142:X142"/>
    <mergeCell ref="E143:X143"/>
    <mergeCell ref="E144:X144"/>
    <mergeCell ref="E145:X145"/>
    <mergeCell ref="E146:X146"/>
    <mergeCell ref="E147:X147"/>
    <mergeCell ref="E136:X136"/>
    <mergeCell ref="E137:X137"/>
    <mergeCell ref="E138:X138"/>
    <mergeCell ref="E139:X139"/>
    <mergeCell ref="E140:X140"/>
    <mergeCell ref="E141:X141"/>
    <mergeCell ref="E130:X130"/>
    <mergeCell ref="E131:X131"/>
    <mergeCell ref="E132:X132"/>
    <mergeCell ref="E133:X133"/>
    <mergeCell ref="E134:X134"/>
    <mergeCell ref="E135:X135"/>
    <mergeCell ref="E124:X124"/>
    <mergeCell ref="E125:X125"/>
    <mergeCell ref="E126:X126"/>
    <mergeCell ref="E127:X127"/>
    <mergeCell ref="E128:X128"/>
    <mergeCell ref="E129:X129"/>
    <mergeCell ref="E118:X118"/>
    <mergeCell ref="E119:X119"/>
    <mergeCell ref="E120:X120"/>
    <mergeCell ref="E121:X121"/>
    <mergeCell ref="E122:X122"/>
    <mergeCell ref="E123:X123"/>
    <mergeCell ref="E112:X112"/>
    <mergeCell ref="E113:X113"/>
    <mergeCell ref="E114:X114"/>
    <mergeCell ref="E115:X115"/>
    <mergeCell ref="E116:X116"/>
    <mergeCell ref="E117:X117"/>
    <mergeCell ref="E106:X106"/>
    <mergeCell ref="E107:X107"/>
    <mergeCell ref="E108:X108"/>
    <mergeCell ref="E109:X109"/>
    <mergeCell ref="E110:X110"/>
    <mergeCell ref="E111:X111"/>
    <mergeCell ref="E100:X100"/>
    <mergeCell ref="E101:X101"/>
    <mergeCell ref="E102:X102"/>
    <mergeCell ref="E103:X103"/>
    <mergeCell ref="E104:X104"/>
    <mergeCell ref="E105:X105"/>
    <mergeCell ref="E94:X94"/>
    <mergeCell ref="E95:X95"/>
    <mergeCell ref="E96:X96"/>
    <mergeCell ref="E97:X97"/>
    <mergeCell ref="E98:X98"/>
    <mergeCell ref="E99:X99"/>
    <mergeCell ref="E88:X88"/>
    <mergeCell ref="E89:X89"/>
    <mergeCell ref="E90:X90"/>
    <mergeCell ref="E91:X91"/>
    <mergeCell ref="E92:X92"/>
    <mergeCell ref="E93:X93"/>
    <mergeCell ref="E82:X82"/>
    <mergeCell ref="E83:X83"/>
    <mergeCell ref="E84:X84"/>
    <mergeCell ref="E85:X85"/>
    <mergeCell ref="E86:X86"/>
    <mergeCell ref="E87:X87"/>
    <mergeCell ref="E76:X76"/>
    <mergeCell ref="E77:X77"/>
    <mergeCell ref="E78:X78"/>
    <mergeCell ref="E79:X79"/>
    <mergeCell ref="E80:X80"/>
    <mergeCell ref="E81:X81"/>
    <mergeCell ref="E70:X70"/>
    <mergeCell ref="E71:X71"/>
    <mergeCell ref="E72:X72"/>
    <mergeCell ref="E73:X73"/>
    <mergeCell ref="E74:X74"/>
    <mergeCell ref="E75:X75"/>
    <mergeCell ref="E64:X64"/>
    <mergeCell ref="E65:X65"/>
    <mergeCell ref="E66:X66"/>
    <mergeCell ref="E67:X67"/>
    <mergeCell ref="E68:X68"/>
    <mergeCell ref="E69:X69"/>
    <mergeCell ref="E58:X58"/>
    <mergeCell ref="E59:X59"/>
    <mergeCell ref="E60:X60"/>
    <mergeCell ref="E61:X61"/>
    <mergeCell ref="E62:X62"/>
    <mergeCell ref="E63:X63"/>
    <mergeCell ref="E52:X52"/>
    <mergeCell ref="E53:X53"/>
    <mergeCell ref="E54:X54"/>
    <mergeCell ref="E55:X55"/>
    <mergeCell ref="E56:X56"/>
    <mergeCell ref="E57:X57"/>
    <mergeCell ref="E29:X29"/>
    <mergeCell ref="E33:X33"/>
    <mergeCell ref="E46:X46"/>
    <mergeCell ref="E47:X47"/>
    <mergeCell ref="E48:X48"/>
    <mergeCell ref="E49:X49"/>
    <mergeCell ref="E50:X50"/>
    <mergeCell ref="E51:X51"/>
    <mergeCell ref="E40:X40"/>
    <mergeCell ref="E41:X41"/>
    <mergeCell ref="E42:X42"/>
    <mergeCell ref="E43:X43"/>
    <mergeCell ref="E44:X44"/>
    <mergeCell ref="E45:X45"/>
    <mergeCell ref="A204:C204"/>
    <mergeCell ref="A205:C205"/>
    <mergeCell ref="A206:C206"/>
    <mergeCell ref="E4:X4"/>
    <mergeCell ref="E5:X5"/>
    <mergeCell ref="E6:X6"/>
    <mergeCell ref="E7:X7"/>
    <mergeCell ref="E10:X10"/>
    <mergeCell ref="E11:X11"/>
    <mergeCell ref="E12:X12"/>
    <mergeCell ref="E20:V20"/>
    <mergeCell ref="E24:V24"/>
    <mergeCell ref="E28:V28"/>
    <mergeCell ref="E32:V32"/>
    <mergeCell ref="E34:X34"/>
    <mergeCell ref="E35:X35"/>
    <mergeCell ref="E36:X36"/>
    <mergeCell ref="E37:X37"/>
    <mergeCell ref="E38:X38"/>
    <mergeCell ref="E39:X39"/>
    <mergeCell ref="E16:X16"/>
    <mergeCell ref="E17:X17"/>
    <mergeCell ref="E21:X21"/>
    <mergeCell ref="E25:X25"/>
    <mergeCell ref="A3:Y3"/>
    <mergeCell ref="A1:C2"/>
    <mergeCell ref="E1:F1"/>
    <mergeCell ref="G1:U1"/>
    <mergeCell ref="V1:Y1"/>
    <mergeCell ref="E2:F2"/>
    <mergeCell ref="G2:U2"/>
    <mergeCell ref="V2:Y2"/>
    <mergeCell ref="E15:V15"/>
  </mergeCells>
  <pageMargins left="0.70866141732283472" right="0.70866141732283472" top="0.28999999999999998" bottom="0.47" header="0.31496062992125984" footer="0.31496062992125984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</vt:lpstr>
      <vt:lpstr>MEMORIAL DE 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JONIO SILVA</cp:lastModifiedBy>
  <cp:revision>0</cp:revision>
  <cp:lastPrinted>2026-04-23T16:53:04Z</cp:lastPrinted>
  <dcterms:created xsi:type="dcterms:W3CDTF">2026-04-08T14:39:50Z</dcterms:created>
  <dcterms:modified xsi:type="dcterms:W3CDTF">2026-04-23T17:00:53Z</dcterms:modified>
</cp:coreProperties>
</file>