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5.xml" ContentType="application/vnd.ms-excel.controlpropertie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d.docs.live.net/1a0541162aadb2f2/Prefeitura Municipal de Coremas/Licitações/2023/TP 04.2023 - Pavimentação em paralelepípedo diversas ruas - próximo de Zé Buriti/APROVADO/PROJETO/"/>
    </mc:Choice>
  </mc:AlternateContent>
  <xr:revisionPtr revIDLastSave="3" documentId="8_{123FB904-4751-40EA-A57F-7EF47B3446AC}" xr6:coauthVersionLast="47" xr6:coauthVersionMax="47" xr10:uidLastSave="{AEB779B1-2CC9-45A2-9A46-604481D0D3DB}"/>
  <bookViews>
    <workbookView xWindow="-120" yWindow="-120" windowWidth="20730" windowHeight="11040" tabRatio="703" firstSheet="1" activeTab="1" xr2:uid="{00000000-000D-0000-FFFF-FFFF00000000}"/>
  </bookViews>
  <sheets>
    <sheet name="DADOS" sheetId="18" r:id="rId1"/>
    <sheet name="Eventograma_e_Quantitativos" sheetId="6" r:id="rId2"/>
    <sheet name="Detalhamento" sheetId="13" r:id="rId3"/>
    <sheet name="Cronograma" sheetId="8" r:id="rId4"/>
    <sheet name="PLE" sheetId="10" r:id="rId5"/>
    <sheet name="Resumo_de_Acompanhamento" sheetId="16" r:id="rId6"/>
    <sheet name="CronoPrev" sheetId="19" state="hidden" r:id="rId7"/>
  </sheets>
  <definedNames>
    <definedName name="_xlnm._FilterDatabase" localSheetId="0">DADOS!#REF!</definedName>
    <definedName name="_xlnm._FilterDatabase" localSheetId="2" hidden="1">Detalhamento!$A$16:$J$39</definedName>
    <definedName name="activatedados.form2">IF(ISNUMBER(Eventograma_e_Quantitativos!$K1),Eventograma_e_Quantitativos!$K1&amp;"-"&amp;INDEX(Eventos,Eventograma_e_Quantitativos!$K1,2),"")</definedName>
    <definedName name="_xlnm.Print_Area" localSheetId="3">Cronograma!$B$20:$BB$49</definedName>
    <definedName name="_xlnm.Print_Area" localSheetId="0">DADOS!$A$2:$H$31</definedName>
    <definedName name="_xlnm.Print_Area" localSheetId="2">Detalhamento!$E$2:$W$43</definedName>
    <definedName name="_xlnm.Print_Area" localSheetId="1">Eventograma_e_Quantitativos!$C$4:$Y$44</definedName>
    <definedName name="_xlnm.Print_Area" localSheetId="4">PLE!$B$20:$BB$51</definedName>
    <definedName name="_xlnm.Print_Area" localSheetId="5">Resumo_de_Acompanhamento!$B$2:$P$45</definedName>
    <definedName name="artExec">DADOS!$D$26</definedName>
    <definedName name="artFiscal">DADOS!$D$23</definedName>
    <definedName name="cargoTomador">DADOS!$C$30</definedName>
    <definedName name="creaExec">DADOS!$C$26</definedName>
    <definedName name="creaFiscal">DADOS!$C$23</definedName>
    <definedName name="creaPLE">DADOS!$C$20</definedName>
    <definedName name="Cronograma">Cronograma!$B$38:$BB$43</definedName>
    <definedName name="Cronograma.LinhaPadrão">Cronograma!$19:$19</definedName>
    <definedName name="Cronograma.MesesQuadro">COUNTA(OFFSET(Cronograma,0,0,,1))*4</definedName>
    <definedName name="Cronograma.NumPeríodos">MAX(Cronograma.Períodos)</definedName>
    <definedName name="Cronograma.Padrão">Cronograma!$B$38:$BB$43</definedName>
    <definedName name="Cronograma.Períodos">OFFSET(Cronograma!$E$33,1,0):OFFSET(Cronograma!$BB$38,-1,0)</definedName>
    <definedName name="Cronograma.Períodos.LinhaPadrão">Cronograma!$B$19:$BB$19</definedName>
    <definedName name="CronoPrev">OFFSET(CronoPrev!$B$13,1,0):OFFSET(CronoPrev!$G$26,-1,0)</definedName>
    <definedName name="CronoPrev.LinhaPadrão">CronoPrev!$B$8:$G$8</definedName>
    <definedName name="DADOS.LinhaPadrão">DADOS!$A$1:$C$1</definedName>
    <definedName name="dataInicioObra">DADOS!$H$13</definedName>
    <definedName name="deactivatedados.form1">IF(Eventograma_e_Quantitativos!B1="","",VALUE(LEFT(Eventograma_e_Quantitativos!B1,(FIND("-",Eventograma_e_Quantitativos!B1,1))-1)))</definedName>
    <definedName name="Detalhamento">OFFSET(Detalhamento!$A$16,1,0):OFFSET(Detalhamento!$A$40,-1,0)</definedName>
    <definedName name="Detalhamento.Filtro">Detalhamento!$A$16:$J$16</definedName>
    <definedName name="Detalhamento.Imprimir">Detalhamento!$E$2:OFFSET(Detalhamento!$K$43,0,MAX(TRUNC(numFrentes/6,0)+IF(MOD(numFrentes,6)&lt;&gt;0,1,0),1)*6)</definedName>
    <definedName name="Detalhamento.LinhaPadrão">Detalhamento!$1:$1</definedName>
    <definedName name="Detalhamento.OpçãoServiços">Detalhamento!$B$12</definedName>
    <definedName name="Detalhamento.OpçõesExibição">Detalhamento!$B$6:$B$7</definedName>
    <definedName name="Detalhamento.OpçõesServiços">Detalhamento!$B$9:$B$11</definedName>
    <definedName name="Eventograma_e_Quantitativos.Imprimir">Eventograma_e_Quantitativos!$C$4:OFFSET(Eventograma_e_Quantitativos!$M$44,0,MAX(TRUNC(numFrentes/6,0)+IF(MOD(numFrentes,6)&lt;&gt;0,1,0),1)*6)</definedName>
    <definedName name="Eventograma_e_Quantitativos.LinhaPadrão">Eventograma_e_Quantitativos!$1:$1</definedName>
    <definedName name="Eventos">OFFSET(DADOS!$A$33,1,0):OFFSET(DADOS!$C$38,-1,0)</definedName>
    <definedName name="EventosVariaveis">OFFSET(DADOS!$A$34,1,0):OFFSET(DADOS!$C$38,-1,0)</definedName>
    <definedName name="FaltaEvento">Eventograma_e_Quantitativos!$B$16</definedName>
    <definedName name="hoje">TODAY()</definedName>
    <definedName name="Import.Ação">DADOS!$F$7</definedName>
    <definedName name="Import.CNPJ">DADOS!$D$13</definedName>
    <definedName name="Import.Convênio">DADOS!$B$7</definedName>
    <definedName name="Import.CR">DADOS!$A$7</definedName>
    <definedName name="Import.CTEF">DADOS!$A$13</definedName>
    <definedName name="Import.DataAssinaturaCR">DADOS!$H$7</definedName>
    <definedName name="Import.DataInícioObra">DADOS!$H$13</definedName>
    <definedName name="Import.Descrição">Eventograma_e_Quantitativos!$E$18:$E$35</definedName>
    <definedName name="Import.Empresa">DADOS!$B$13</definedName>
    <definedName name="Import.FrenteDeObra">Eventograma_e_Quantitativos!$N$15:$BK$15</definedName>
    <definedName name="Import.Gestor">DADOS!$D$7</definedName>
    <definedName name="Import.Gigov">DADOS!$C$7</definedName>
    <definedName name="Import.Item">OFFSET(Eventograma_e_Quantitativos!$D$17,1,0):OFFSET(Eventograma_e_Quantitativos!$D$37,-1,0)</definedName>
    <definedName name="Import.Localidade">DADOS!$E$10</definedName>
    <definedName name="Import.Município">DADOS!$D$10</definedName>
    <definedName name="Import.numEventos">OFFSET(Eventograma_e_Quantitativos!$K$17,1,0):OFFSET(Eventograma_e_Quantitativos!$K$37,-1,0)</definedName>
    <definedName name="Import.ObjetoCR">DADOS!$F$10</definedName>
    <definedName name="Import.ObjetoCTEF">DADOS!$E$13</definedName>
    <definedName name="Import.PLE">OFFSET(PLE!$E$33,1,0):OFFSET(PLE!$BB$38,-1,0)</definedName>
    <definedName name="Import.PLQ">OFFSET(Eventograma_e_Quantitativos!$N$17,1,0):OFFSET(Eventograma_e_Quantitativos!$BK$37,-1,0)</definedName>
    <definedName name="Import.PreçoTotal">OFFSET(Eventograma_e_Quantitativos!$I$17,1,0):OFFSET(Eventograma_e_Quantitativos!$I$37,-1,0)</definedName>
    <definedName name="Import.Programa">DADOS!$E$7</definedName>
    <definedName name="Import.Proponente">DADOS!$A$10</definedName>
    <definedName name="Import.Unidade">OFFSET(Eventograma_e_Quantitativos!$F$17,1,0):OFFSET(Eventograma_e_Quantitativos!$F$37,-1,0)</definedName>
    <definedName name="Item" localSheetId="1">Eventograma_e_Quantitativos!$D1</definedName>
    <definedName name="LForçamento">OFFSET(Eventograma_e_Quantitativos!$37:$37,-1,0)</definedName>
    <definedName name="LIorçamento">OFFSET(Eventograma_e_Quantitativos!$17:$17,1,0)</definedName>
    <definedName name="mais_um">OFFSET(Detalhamento!A1,-1,0)+1</definedName>
    <definedName name="mediçao">PLE!$AX$28</definedName>
    <definedName name="Medições">PLE!$B$38:$BB$45</definedName>
    <definedName name="Medições.Padrão">PLE!$B$38:$BB$45</definedName>
    <definedName name="Nível" localSheetId="2">Detalhamento!$B1</definedName>
    <definedName name="Nível" localSheetId="1">Eventograma_e_Quantitativos!$C1</definedName>
    <definedName name="nomeTomador">DADOS!$A$30</definedName>
    <definedName name="NumEvento" localSheetId="1">Eventograma_e_Quantitativos!$K1</definedName>
    <definedName name="numEventos">COUNT(OFFSET(Eventos,0,0,,1))</definedName>
    <definedName name="numFrentes">COUNTIF(Eventograma_e_Quantitativos!$N$15:$BK$15,"&lt;&gt;"&amp;"")</definedName>
    <definedName name="periodoMediçao">INDEX(Resumo_de_Acompanhamento!$C$14:$C$37,mediçao)</definedName>
    <definedName name="PLE">OFFSET(PLE!$E$33,1,0):OFFSET(PLE!$BB$38,-1,0)</definedName>
    <definedName name="PLE.LinhaPadrão">PLE!$B$19:$BB$19</definedName>
    <definedName name="PreçoServiçoPorFrente">OFFSET(Eventograma_e_Quantitativos!$BM$17,1,0):OFFSET(Eventograma_e_Quantitativos!$DJ$37,-1,0)</definedName>
    <definedName name="PreçoServiçosPorFrente.Executados">OFFSET(Eventograma_e_Quantitativos!$DM$17,1,0):OFFSET(Eventograma_e_Quantitativos!$FJ$37,-1,0)</definedName>
    <definedName name="PreçoTotal" localSheetId="1">Eventograma_e_Quantitativos!$I1</definedName>
    <definedName name="PreçoUnit" localSheetId="1">Eventograma_e_Quantitativos!$H1</definedName>
    <definedName name="respExec">DADOS!$A$26</definedName>
    <definedName name="respFiscal">DADOS!$A$23</definedName>
    <definedName name="respPLE">DADOS!$A$20</definedName>
    <definedName name="Resumo_de_Acompanhamento">OFFSET(Resumo_de_Acompanhamento!$B$13,1,0):OFFSET(Resumo_de_Acompanhamento!$M$38,-1,0)</definedName>
    <definedName name="Resumo_de_Acompanhamento.LinhaPadrão">Resumo_de_Acompanhamento!$B$1:$M$1</definedName>
    <definedName name="SENHAGT" hidden="1">"eventosglobais"</definedName>
    <definedName name="TituloEventos">OFFSET(DADOS!$J$33,1,0):OFFSET(DADOS!$J$38,-1,0)</definedName>
    <definedName name="_xlnm.Print_Titles" localSheetId="3">Cronograma!$B:$J,Cronograma!$30:$33</definedName>
    <definedName name="_xlnm.Print_Titles" localSheetId="2">Detalhamento!$E:$K,Detalhamento!$13:$16</definedName>
    <definedName name="_xlnm.Print_Titles" localSheetId="1">Eventograma_e_Quantitativos!$C:$M,Eventograma_e_Quantitativos!$15:$17</definedName>
    <definedName name="_xlnm.Print_Titles" localSheetId="4">PLE!$B:$D,PLE!$30:$33</definedName>
    <definedName name="TotalEventos">SUM(TotalPorEvento)</definedName>
    <definedName name="TotalPorEvento">Eventograma_e_Quantitativos!$I$37:OFFSET(Eventograma_e_Quantitativos!$I$41,-1,0)</definedName>
    <definedName name="últimaMedição">MAX(Import.PLE)</definedName>
    <definedName name="ValoresPorEvento">Eventograma_e_Quantitativos!$N$37:OFFSET(Eventograma_e_Quantitativos!$BK$41,-1,0)</definedName>
    <definedName name="ValoresPorEvento.LinhaPadrão">Eventograma_e_Quantitativos!$3:$3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6" l="1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DK34" i="6"/>
  <c r="DJ34" i="6"/>
  <c r="DI34" i="6"/>
  <c r="DH34" i="6"/>
  <c r="DG34" i="6"/>
  <c r="DF34" i="6"/>
  <c r="DE34" i="6"/>
  <c r="DD34" i="6"/>
  <c r="DC34" i="6"/>
  <c r="DB34" i="6"/>
  <c r="DA34" i="6"/>
  <c r="CZ34" i="6"/>
  <c r="CY34" i="6"/>
  <c r="CX34" i="6"/>
  <c r="CW34" i="6"/>
  <c r="CV34" i="6"/>
  <c r="CU34" i="6"/>
  <c r="CT34" i="6"/>
  <c r="CS34" i="6"/>
  <c r="CR34" i="6"/>
  <c r="CQ34" i="6"/>
  <c r="CP34" i="6"/>
  <c r="CO34" i="6"/>
  <c r="CN34" i="6"/>
  <c r="CM34" i="6"/>
  <c r="CL34" i="6"/>
  <c r="CK34" i="6"/>
  <c r="CJ34" i="6"/>
  <c r="CI34" i="6"/>
  <c r="CH34" i="6"/>
  <c r="CG34" i="6"/>
  <c r="CF34" i="6"/>
  <c r="CE34" i="6"/>
  <c r="CD34" i="6"/>
  <c r="CC34" i="6"/>
  <c r="CB34" i="6"/>
  <c r="CA34" i="6"/>
  <c r="BZ34" i="6"/>
  <c r="BY34" i="6"/>
  <c r="BX34" i="6"/>
  <c r="BW34" i="6"/>
  <c r="BV34" i="6"/>
  <c r="BU34" i="6"/>
  <c r="C34" i="6"/>
  <c r="G34" i="6" s="1"/>
  <c r="H34" i="6" s="1"/>
  <c r="B34" i="6"/>
  <c r="DK36" i="6"/>
  <c r="DJ36" i="6"/>
  <c r="DI36" i="6"/>
  <c r="DH36" i="6"/>
  <c r="DG36" i="6"/>
  <c r="DF36" i="6"/>
  <c r="DE36" i="6"/>
  <c r="DD36" i="6"/>
  <c r="DC36" i="6"/>
  <c r="DB36" i="6"/>
  <c r="DA36" i="6"/>
  <c r="CZ36" i="6"/>
  <c r="CY36" i="6"/>
  <c r="CX36" i="6"/>
  <c r="CW36" i="6"/>
  <c r="CV36" i="6"/>
  <c r="CU36" i="6"/>
  <c r="CT36" i="6"/>
  <c r="CS36" i="6"/>
  <c r="CR36" i="6"/>
  <c r="CQ36" i="6"/>
  <c r="CP36" i="6"/>
  <c r="CO36" i="6"/>
  <c r="CN36" i="6"/>
  <c r="CM36" i="6"/>
  <c r="CL36" i="6"/>
  <c r="CK36" i="6"/>
  <c r="CJ36" i="6"/>
  <c r="CI36" i="6"/>
  <c r="CH36" i="6"/>
  <c r="CG36" i="6"/>
  <c r="CF36" i="6"/>
  <c r="CE36" i="6"/>
  <c r="CD36" i="6"/>
  <c r="CC36" i="6"/>
  <c r="CB36" i="6"/>
  <c r="CA36" i="6"/>
  <c r="BZ36" i="6"/>
  <c r="BY36" i="6"/>
  <c r="BX36" i="6"/>
  <c r="BW36" i="6"/>
  <c r="BV36" i="6"/>
  <c r="BU36" i="6"/>
  <c r="C36" i="6"/>
  <c r="G36" i="6" s="1"/>
  <c r="H36" i="6" s="1"/>
  <c r="B36" i="6"/>
  <c r="BT36" i="6" l="1"/>
  <c r="BT34" i="6"/>
  <c r="BS34" i="6"/>
  <c r="BS36" i="6"/>
  <c r="BR36" i="6"/>
  <c r="BR34" i="6"/>
  <c r="BQ34" i="6"/>
  <c r="BQ36" i="6"/>
  <c r="BP34" i="6"/>
  <c r="BP36" i="6"/>
  <c r="BO36" i="6"/>
  <c r="BO34" i="6"/>
  <c r="BN34" i="6"/>
  <c r="BM34" i="6"/>
  <c r="BN36" i="6"/>
  <c r="BM36" i="6"/>
  <c r="G20" i="13"/>
  <c r="G32" i="13" l="1"/>
  <c r="G36" i="13" l="1"/>
  <c r="DK30" i="6" l="1"/>
  <c r="DJ30" i="6"/>
  <c r="DI30" i="6"/>
  <c r="DH30" i="6"/>
  <c r="DG30" i="6"/>
  <c r="DF30" i="6"/>
  <c r="DE30" i="6"/>
  <c r="DD30" i="6"/>
  <c r="DC30" i="6"/>
  <c r="DB30" i="6"/>
  <c r="DA30" i="6"/>
  <c r="CZ30" i="6"/>
  <c r="CY30" i="6"/>
  <c r="CX30" i="6"/>
  <c r="CW30" i="6"/>
  <c r="CV30" i="6"/>
  <c r="CU30" i="6"/>
  <c r="CT30" i="6"/>
  <c r="CS30" i="6"/>
  <c r="CR30" i="6"/>
  <c r="CQ30" i="6"/>
  <c r="CP30" i="6"/>
  <c r="CO30" i="6"/>
  <c r="CN30" i="6"/>
  <c r="CM30" i="6"/>
  <c r="CL30" i="6"/>
  <c r="CK30" i="6"/>
  <c r="CJ30" i="6"/>
  <c r="CI30" i="6"/>
  <c r="CH30" i="6"/>
  <c r="CG30" i="6"/>
  <c r="CF30" i="6"/>
  <c r="CE30" i="6"/>
  <c r="CD30" i="6"/>
  <c r="CC30" i="6"/>
  <c r="CB30" i="6"/>
  <c r="CA30" i="6"/>
  <c r="BZ30" i="6"/>
  <c r="BY30" i="6"/>
  <c r="BX30" i="6"/>
  <c r="BW30" i="6"/>
  <c r="BV30" i="6"/>
  <c r="BU30" i="6"/>
  <c r="C30" i="6"/>
  <c r="B30" i="6"/>
  <c r="DK27" i="6"/>
  <c r="DJ27" i="6"/>
  <c r="DI27" i="6"/>
  <c r="DH27" i="6"/>
  <c r="DG27" i="6"/>
  <c r="DF27" i="6"/>
  <c r="DE27" i="6"/>
  <c r="DD27" i="6"/>
  <c r="DC27" i="6"/>
  <c r="DB27" i="6"/>
  <c r="DA27" i="6"/>
  <c r="CZ27" i="6"/>
  <c r="CY27" i="6"/>
  <c r="CX27" i="6"/>
  <c r="CW27" i="6"/>
  <c r="CV27" i="6"/>
  <c r="CU27" i="6"/>
  <c r="CT27" i="6"/>
  <c r="CS27" i="6"/>
  <c r="CR27" i="6"/>
  <c r="CQ27" i="6"/>
  <c r="CP27" i="6"/>
  <c r="CO27" i="6"/>
  <c r="CN27" i="6"/>
  <c r="CM27" i="6"/>
  <c r="CL27" i="6"/>
  <c r="CK27" i="6"/>
  <c r="CJ27" i="6"/>
  <c r="CI27" i="6"/>
  <c r="CH27" i="6"/>
  <c r="CG27" i="6"/>
  <c r="CF27" i="6"/>
  <c r="CE27" i="6"/>
  <c r="CD27" i="6"/>
  <c r="CC27" i="6"/>
  <c r="CB27" i="6"/>
  <c r="CA27" i="6"/>
  <c r="BZ27" i="6"/>
  <c r="BY27" i="6"/>
  <c r="BX27" i="6"/>
  <c r="BW27" i="6"/>
  <c r="BV27" i="6"/>
  <c r="BU27" i="6"/>
  <c r="C27" i="6"/>
  <c r="G27" i="6" s="1"/>
  <c r="H27" i="6" s="1"/>
  <c r="B27" i="6"/>
  <c r="BT27" i="6" l="1"/>
  <c r="BR27" i="6"/>
  <c r="BS27" i="6"/>
  <c r="BQ27" i="6"/>
  <c r="G30" i="6"/>
  <c r="H30" i="6" s="1"/>
  <c r="BT30" i="6" s="1"/>
  <c r="B32" i="13"/>
  <c r="I32" i="13" s="1"/>
  <c r="BP27" i="6"/>
  <c r="BN27" i="6"/>
  <c r="BO27" i="6"/>
  <c r="BM27" i="6"/>
  <c r="FC19" i="6"/>
  <c r="FJ18" i="6"/>
  <c r="FH19" i="6"/>
  <c r="FA28" i="6"/>
  <c r="BK40" i="6"/>
  <c r="BJ40" i="6"/>
  <c r="BI40" i="6"/>
  <c r="BH40" i="6"/>
  <c r="BG40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G40" i="6"/>
  <c r="H40" i="6" s="1"/>
  <c r="B40" i="6"/>
  <c r="FJ19" i="6"/>
  <c r="FG19" i="6"/>
  <c r="FB19" i="6"/>
  <c r="FA19" i="6"/>
  <c r="EY19" i="6"/>
  <c r="EW19" i="6"/>
  <c r="EQ19" i="6"/>
  <c r="EP19" i="6"/>
  <c r="EO19" i="6"/>
  <c r="EL19" i="6"/>
  <c r="EG19" i="6"/>
  <c r="EE19" i="6"/>
  <c r="ED19" i="6"/>
  <c r="EA19" i="6"/>
  <c r="DV19" i="6"/>
  <c r="DU19" i="6"/>
  <c r="DS19" i="6"/>
  <c r="DQ19" i="6"/>
  <c r="FI18" i="6"/>
  <c r="FH18" i="6"/>
  <c r="FG18" i="6"/>
  <c r="FE18" i="6"/>
  <c r="FD18" i="6"/>
  <c r="FC18" i="6"/>
  <c r="FA18" i="6"/>
  <c r="EZ18" i="6"/>
  <c r="EY18" i="6"/>
  <c r="EW18" i="6"/>
  <c r="EV18" i="6"/>
  <c r="EU18" i="6"/>
  <c r="ES18" i="6"/>
  <c r="ER18" i="6"/>
  <c r="EQ18" i="6"/>
  <c r="EO18" i="6"/>
  <c r="EN18" i="6"/>
  <c r="EM18" i="6"/>
  <c r="EK18" i="6"/>
  <c r="EJ18" i="6"/>
  <c r="EI18" i="6"/>
  <c r="EG18" i="6"/>
  <c r="EF18" i="6"/>
  <c r="EE18" i="6"/>
  <c r="EC18" i="6"/>
  <c r="EB18" i="6"/>
  <c r="EA18" i="6"/>
  <c r="DY18" i="6"/>
  <c r="DX18" i="6"/>
  <c r="DW18" i="6"/>
  <c r="DU18" i="6"/>
  <c r="DT18" i="6"/>
  <c r="DS18" i="6"/>
  <c r="DQ18" i="6"/>
  <c r="DP18" i="6"/>
  <c r="DO18" i="6"/>
  <c r="DM18" i="6"/>
  <c r="K37" i="6"/>
  <c r="E37" i="6" s="1"/>
  <c r="K1" i="6"/>
  <c r="FI1" i="6" s="1"/>
  <c r="K3" i="6"/>
  <c r="L3" i="6" s="1"/>
  <c r="J34" i="18"/>
  <c r="DK35" i="6"/>
  <c r="DJ35" i="6"/>
  <c r="DI35" i="6"/>
  <c r="DH35" i="6"/>
  <c r="DG35" i="6"/>
  <c r="DF35" i="6"/>
  <c r="DE35" i="6"/>
  <c r="DD35" i="6"/>
  <c r="DC35" i="6"/>
  <c r="DB35" i="6"/>
  <c r="DA35" i="6"/>
  <c r="CZ35" i="6"/>
  <c r="CY35" i="6"/>
  <c r="CX35" i="6"/>
  <c r="CW35" i="6"/>
  <c r="CV35" i="6"/>
  <c r="CU35" i="6"/>
  <c r="CT35" i="6"/>
  <c r="CS35" i="6"/>
  <c r="CR35" i="6"/>
  <c r="CQ35" i="6"/>
  <c r="CP35" i="6"/>
  <c r="CO35" i="6"/>
  <c r="CN35" i="6"/>
  <c r="CM35" i="6"/>
  <c r="CL35" i="6"/>
  <c r="CK35" i="6"/>
  <c r="CJ35" i="6"/>
  <c r="CI35" i="6"/>
  <c r="CH35" i="6"/>
  <c r="CG35" i="6"/>
  <c r="CF35" i="6"/>
  <c r="CE35" i="6"/>
  <c r="CD35" i="6"/>
  <c r="CC35" i="6"/>
  <c r="CB35" i="6"/>
  <c r="CA35" i="6"/>
  <c r="BZ35" i="6"/>
  <c r="BY35" i="6"/>
  <c r="BX35" i="6"/>
  <c r="BW35" i="6"/>
  <c r="BV35" i="6"/>
  <c r="BU35" i="6"/>
  <c r="C35" i="6"/>
  <c r="G35" i="6" s="1"/>
  <c r="H35" i="6" s="1"/>
  <c r="B35" i="6"/>
  <c r="DK33" i="6"/>
  <c r="DJ33" i="6"/>
  <c r="DI33" i="6"/>
  <c r="DH33" i="6"/>
  <c r="DG33" i="6"/>
  <c r="DF33" i="6"/>
  <c r="DE33" i="6"/>
  <c r="DD33" i="6"/>
  <c r="DC33" i="6"/>
  <c r="DB33" i="6"/>
  <c r="DA33" i="6"/>
  <c r="CZ33" i="6"/>
  <c r="CY33" i="6"/>
  <c r="CX33" i="6"/>
  <c r="CW33" i="6"/>
  <c r="CV33" i="6"/>
  <c r="CU33" i="6"/>
  <c r="CT33" i="6"/>
  <c r="CS33" i="6"/>
  <c r="CR33" i="6"/>
  <c r="CQ33" i="6"/>
  <c r="CP33" i="6"/>
  <c r="CO33" i="6"/>
  <c r="CN33" i="6"/>
  <c r="CM33" i="6"/>
  <c r="CL33" i="6"/>
  <c r="CK33" i="6"/>
  <c r="CJ33" i="6"/>
  <c r="CI33" i="6"/>
  <c r="CH33" i="6"/>
  <c r="CG33" i="6"/>
  <c r="CF33" i="6"/>
  <c r="CE33" i="6"/>
  <c r="CD33" i="6"/>
  <c r="CC33" i="6"/>
  <c r="CB33" i="6"/>
  <c r="CA33" i="6"/>
  <c r="BZ33" i="6"/>
  <c r="BY33" i="6"/>
  <c r="BX33" i="6"/>
  <c r="BW33" i="6"/>
  <c r="BV33" i="6"/>
  <c r="BU33" i="6"/>
  <c r="C33" i="6"/>
  <c r="B33" i="6"/>
  <c r="DK32" i="6"/>
  <c r="DJ32" i="6"/>
  <c r="DI32" i="6"/>
  <c r="DH32" i="6"/>
  <c r="DG32" i="6"/>
  <c r="DF32" i="6"/>
  <c r="DE32" i="6"/>
  <c r="DD32" i="6"/>
  <c r="DC32" i="6"/>
  <c r="DB32" i="6"/>
  <c r="DA32" i="6"/>
  <c r="CZ32" i="6"/>
  <c r="CY32" i="6"/>
  <c r="CX32" i="6"/>
  <c r="CW32" i="6"/>
  <c r="CV32" i="6"/>
  <c r="CU32" i="6"/>
  <c r="CT32" i="6"/>
  <c r="CS32" i="6"/>
  <c r="CR32" i="6"/>
  <c r="CQ32" i="6"/>
  <c r="CP32" i="6"/>
  <c r="CO32" i="6"/>
  <c r="CN32" i="6"/>
  <c r="CM32" i="6"/>
  <c r="CL32" i="6"/>
  <c r="CK32" i="6"/>
  <c r="CJ32" i="6"/>
  <c r="CI32" i="6"/>
  <c r="CH32" i="6"/>
  <c r="CG32" i="6"/>
  <c r="CF32" i="6"/>
  <c r="CE32" i="6"/>
  <c r="CD32" i="6"/>
  <c r="CC32" i="6"/>
  <c r="CB32" i="6"/>
  <c r="CA32" i="6"/>
  <c r="BZ32" i="6"/>
  <c r="BY32" i="6"/>
  <c r="BX32" i="6"/>
  <c r="BW32" i="6"/>
  <c r="BV32" i="6"/>
  <c r="BU32" i="6"/>
  <c r="C32" i="6"/>
  <c r="G32" i="6" s="1"/>
  <c r="H32" i="6" s="1"/>
  <c r="B32" i="6"/>
  <c r="DK31" i="6"/>
  <c r="DJ31" i="6"/>
  <c r="DI31" i="6"/>
  <c r="DH31" i="6"/>
  <c r="DG31" i="6"/>
  <c r="DF31" i="6"/>
  <c r="DE31" i="6"/>
  <c r="DD31" i="6"/>
  <c r="DC31" i="6"/>
  <c r="DB31" i="6"/>
  <c r="DA31" i="6"/>
  <c r="CZ31" i="6"/>
  <c r="CY31" i="6"/>
  <c r="CX31" i="6"/>
  <c r="CW31" i="6"/>
  <c r="CV31" i="6"/>
  <c r="CU31" i="6"/>
  <c r="CT31" i="6"/>
  <c r="CS31" i="6"/>
  <c r="CR31" i="6"/>
  <c r="CQ31" i="6"/>
  <c r="CP31" i="6"/>
  <c r="CO31" i="6"/>
  <c r="CN31" i="6"/>
  <c r="CM31" i="6"/>
  <c r="CL31" i="6"/>
  <c r="CK31" i="6"/>
  <c r="CJ31" i="6"/>
  <c r="CI31" i="6"/>
  <c r="CH31" i="6"/>
  <c r="CG31" i="6"/>
  <c r="CF31" i="6"/>
  <c r="CE31" i="6"/>
  <c r="CD31" i="6"/>
  <c r="CC31" i="6"/>
  <c r="CB31" i="6"/>
  <c r="CA31" i="6"/>
  <c r="BZ31" i="6"/>
  <c r="BY31" i="6"/>
  <c r="BX31" i="6"/>
  <c r="BW31" i="6"/>
  <c r="BV31" i="6"/>
  <c r="BU31" i="6"/>
  <c r="C31" i="6"/>
  <c r="G31" i="6" s="1"/>
  <c r="H31" i="6" s="1"/>
  <c r="B31" i="6"/>
  <c r="DK29" i="6"/>
  <c r="DK28" i="6"/>
  <c r="DK26" i="6"/>
  <c r="DK25" i="6"/>
  <c r="DK24" i="6"/>
  <c r="DK23" i="6"/>
  <c r="DK22" i="6"/>
  <c r="DK21" i="6"/>
  <c r="DK20" i="6"/>
  <c r="DK19" i="6"/>
  <c r="DK18" i="6"/>
  <c r="DJ29" i="6"/>
  <c r="DI29" i="6"/>
  <c r="DH29" i="6"/>
  <c r="DG29" i="6"/>
  <c r="DF29" i="6"/>
  <c r="DE29" i="6"/>
  <c r="DD29" i="6"/>
  <c r="DC29" i="6"/>
  <c r="DB29" i="6"/>
  <c r="DA29" i="6"/>
  <c r="CZ29" i="6"/>
  <c r="CY29" i="6"/>
  <c r="CX29" i="6"/>
  <c r="CW29" i="6"/>
  <c r="CV29" i="6"/>
  <c r="CU29" i="6"/>
  <c r="CT29" i="6"/>
  <c r="CS29" i="6"/>
  <c r="CR29" i="6"/>
  <c r="CQ29" i="6"/>
  <c r="CP29" i="6"/>
  <c r="CO29" i="6"/>
  <c r="CN29" i="6"/>
  <c r="CM29" i="6"/>
  <c r="CL29" i="6"/>
  <c r="CK29" i="6"/>
  <c r="CJ29" i="6"/>
  <c r="CI29" i="6"/>
  <c r="CH29" i="6"/>
  <c r="CG29" i="6"/>
  <c r="CF29" i="6"/>
  <c r="CE29" i="6"/>
  <c r="CD29" i="6"/>
  <c r="CC29" i="6"/>
  <c r="CB29" i="6"/>
  <c r="CA29" i="6"/>
  <c r="BZ29" i="6"/>
  <c r="BY29" i="6"/>
  <c r="BX29" i="6"/>
  <c r="BW29" i="6"/>
  <c r="BV29" i="6"/>
  <c r="BU29" i="6"/>
  <c r="C29" i="6"/>
  <c r="G29" i="6" s="1"/>
  <c r="H29" i="6" s="1"/>
  <c r="B29" i="6"/>
  <c r="DJ28" i="6"/>
  <c r="DI28" i="6"/>
  <c r="DH28" i="6"/>
  <c r="DG28" i="6"/>
  <c r="DF28" i="6"/>
  <c r="DE28" i="6"/>
  <c r="DD28" i="6"/>
  <c r="DC28" i="6"/>
  <c r="DB28" i="6"/>
  <c r="DA28" i="6"/>
  <c r="CZ28" i="6"/>
  <c r="CY28" i="6"/>
  <c r="CX28" i="6"/>
  <c r="CW28" i="6"/>
  <c r="CV28" i="6"/>
  <c r="CU28" i="6"/>
  <c r="CT28" i="6"/>
  <c r="CS28" i="6"/>
  <c r="CR28" i="6"/>
  <c r="CQ28" i="6"/>
  <c r="CP28" i="6"/>
  <c r="CO28" i="6"/>
  <c r="CN28" i="6"/>
  <c r="CM28" i="6"/>
  <c r="CL28" i="6"/>
  <c r="CK28" i="6"/>
  <c r="CJ28" i="6"/>
  <c r="CI28" i="6"/>
  <c r="CH28" i="6"/>
  <c r="CG28" i="6"/>
  <c r="CF28" i="6"/>
  <c r="CE28" i="6"/>
  <c r="CD28" i="6"/>
  <c r="CC28" i="6"/>
  <c r="CB28" i="6"/>
  <c r="CA28" i="6"/>
  <c r="BZ28" i="6"/>
  <c r="BY28" i="6"/>
  <c r="BX28" i="6"/>
  <c r="BW28" i="6"/>
  <c r="BV28" i="6"/>
  <c r="BU28" i="6"/>
  <c r="C28" i="6"/>
  <c r="G28" i="6" s="1"/>
  <c r="H28" i="6" s="1"/>
  <c r="BM28" i="6" s="1"/>
  <c r="B28" i="6"/>
  <c r="DJ26" i="6"/>
  <c r="DI26" i="6"/>
  <c r="DH26" i="6"/>
  <c r="DG26" i="6"/>
  <c r="DF26" i="6"/>
  <c r="DE26" i="6"/>
  <c r="DD26" i="6"/>
  <c r="DC26" i="6"/>
  <c r="DB26" i="6"/>
  <c r="DA26" i="6"/>
  <c r="CZ26" i="6"/>
  <c r="CY26" i="6"/>
  <c r="CX26" i="6"/>
  <c r="CW26" i="6"/>
  <c r="CV26" i="6"/>
  <c r="CU26" i="6"/>
  <c r="CT26" i="6"/>
  <c r="CS26" i="6"/>
  <c r="CR26" i="6"/>
  <c r="CQ26" i="6"/>
  <c r="CP26" i="6"/>
  <c r="CO26" i="6"/>
  <c r="CN26" i="6"/>
  <c r="CM26" i="6"/>
  <c r="CL26" i="6"/>
  <c r="CK26" i="6"/>
  <c r="CJ26" i="6"/>
  <c r="CI26" i="6"/>
  <c r="CH26" i="6"/>
  <c r="CG26" i="6"/>
  <c r="CF26" i="6"/>
  <c r="CE26" i="6"/>
  <c r="CD26" i="6"/>
  <c r="CC26" i="6"/>
  <c r="CB26" i="6"/>
  <c r="CA26" i="6"/>
  <c r="BZ26" i="6"/>
  <c r="BY26" i="6"/>
  <c r="BX26" i="6"/>
  <c r="BW26" i="6"/>
  <c r="BV26" i="6"/>
  <c r="BU26" i="6"/>
  <c r="C26" i="6"/>
  <c r="B26" i="6"/>
  <c r="DJ25" i="6"/>
  <c r="DI25" i="6"/>
  <c r="DH25" i="6"/>
  <c r="DG25" i="6"/>
  <c r="DF25" i="6"/>
  <c r="DE25" i="6"/>
  <c r="DD25" i="6"/>
  <c r="DC25" i="6"/>
  <c r="DB25" i="6"/>
  <c r="DA25" i="6"/>
  <c r="CZ25" i="6"/>
  <c r="CY25" i="6"/>
  <c r="CX25" i="6"/>
  <c r="CW25" i="6"/>
  <c r="CV25" i="6"/>
  <c r="CU25" i="6"/>
  <c r="CT25" i="6"/>
  <c r="CS25" i="6"/>
  <c r="CR25" i="6"/>
  <c r="CQ25" i="6"/>
  <c r="CP25" i="6"/>
  <c r="CO25" i="6"/>
  <c r="CN25" i="6"/>
  <c r="CM25" i="6"/>
  <c r="CL25" i="6"/>
  <c r="CK25" i="6"/>
  <c r="CJ25" i="6"/>
  <c r="CI25" i="6"/>
  <c r="CH25" i="6"/>
  <c r="CG25" i="6"/>
  <c r="CF25" i="6"/>
  <c r="CE25" i="6"/>
  <c r="CD25" i="6"/>
  <c r="CC25" i="6"/>
  <c r="CB25" i="6"/>
  <c r="CA25" i="6"/>
  <c r="BZ25" i="6"/>
  <c r="BY25" i="6"/>
  <c r="BX25" i="6"/>
  <c r="BW25" i="6"/>
  <c r="BV25" i="6"/>
  <c r="BU25" i="6"/>
  <c r="C25" i="6"/>
  <c r="G25" i="6" s="1"/>
  <c r="H25" i="6" s="1"/>
  <c r="B25" i="6"/>
  <c r="DJ24" i="6"/>
  <c r="DI24" i="6"/>
  <c r="DH24" i="6"/>
  <c r="DG24" i="6"/>
  <c r="DF24" i="6"/>
  <c r="DE24" i="6"/>
  <c r="DD24" i="6"/>
  <c r="DC24" i="6"/>
  <c r="DC18" i="6"/>
  <c r="DC19" i="6"/>
  <c r="DC20" i="6"/>
  <c r="DC21" i="6"/>
  <c r="DC22" i="6"/>
  <c r="DC23" i="6"/>
  <c r="DB24" i="6"/>
  <c r="DA24" i="6"/>
  <c r="CZ24" i="6"/>
  <c r="CY24" i="6"/>
  <c r="CY18" i="6"/>
  <c r="CY19" i="6"/>
  <c r="CY20" i="6"/>
  <c r="CY21" i="6"/>
  <c r="CY22" i="6"/>
  <c r="CY23" i="6"/>
  <c r="CX24" i="6"/>
  <c r="CW24" i="6"/>
  <c r="CV24" i="6"/>
  <c r="CU24" i="6"/>
  <c r="CU18" i="6"/>
  <c r="CU19" i="6"/>
  <c r="CU20" i="6"/>
  <c r="CU21" i="6"/>
  <c r="CU22" i="6"/>
  <c r="CU23" i="6"/>
  <c r="CT24" i="6"/>
  <c r="CS24" i="6"/>
  <c r="CR24" i="6"/>
  <c r="CQ24" i="6"/>
  <c r="CP24" i="6"/>
  <c r="CO24" i="6"/>
  <c r="CN24" i="6"/>
  <c r="CM24" i="6"/>
  <c r="CM18" i="6"/>
  <c r="CM19" i="6"/>
  <c r="CM20" i="6"/>
  <c r="CM21" i="6"/>
  <c r="CM22" i="6"/>
  <c r="CM23" i="6"/>
  <c r="CL24" i="6"/>
  <c r="CK24" i="6"/>
  <c r="CJ24" i="6"/>
  <c r="CI24" i="6"/>
  <c r="CI18" i="6"/>
  <c r="CI19" i="6"/>
  <c r="CI20" i="6"/>
  <c r="CI21" i="6"/>
  <c r="CI22" i="6"/>
  <c r="CI23" i="6"/>
  <c r="CH24" i="6"/>
  <c r="CG24" i="6"/>
  <c r="CF24" i="6"/>
  <c r="CE24" i="6"/>
  <c r="CD24" i="6"/>
  <c r="CC24" i="6"/>
  <c r="CB24" i="6"/>
  <c r="CA24" i="6"/>
  <c r="BZ24" i="6"/>
  <c r="BY24" i="6"/>
  <c r="BX24" i="6"/>
  <c r="BW24" i="6"/>
  <c r="BV24" i="6"/>
  <c r="BU24" i="6"/>
  <c r="C24" i="6"/>
  <c r="G24" i="6" s="1"/>
  <c r="H24" i="6" s="1"/>
  <c r="B24" i="6"/>
  <c r="A1" i="13"/>
  <c r="H1" i="13" s="1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BF37" i="6"/>
  <c r="BG37" i="6"/>
  <c r="BH37" i="6"/>
  <c r="BI37" i="6"/>
  <c r="BJ37" i="6"/>
  <c r="BK37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BG38" i="6"/>
  <c r="BH38" i="6"/>
  <c r="BI38" i="6"/>
  <c r="BJ38" i="6"/>
  <c r="BK38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BC20" i="10"/>
  <c r="C42" i="6"/>
  <c r="E41" i="13" s="1"/>
  <c r="B47" i="8"/>
  <c r="B42" i="16"/>
  <c r="B48" i="10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20" i="6"/>
  <c r="B22" i="6"/>
  <c r="B23" i="6"/>
  <c r="BI13" i="13"/>
  <c r="BH13" i="13"/>
  <c r="BH25" i="13" s="1"/>
  <c r="BG13" i="13"/>
  <c r="BF13" i="13"/>
  <c r="BE13" i="13"/>
  <c r="BD13" i="13"/>
  <c r="BC13" i="13"/>
  <c r="BB13" i="13"/>
  <c r="BA13" i="13"/>
  <c r="AZ13" i="13"/>
  <c r="AZ24" i="13" s="1"/>
  <c r="AY13" i="13"/>
  <c r="AX13" i="13"/>
  <c r="AW13" i="13"/>
  <c r="AV13" i="13"/>
  <c r="AU13" i="13"/>
  <c r="AT13" i="13"/>
  <c r="AT20" i="13" s="1"/>
  <c r="AS13" i="13"/>
  <c r="AR13" i="13"/>
  <c r="AR21" i="13" s="1"/>
  <c r="AQ13" i="13"/>
  <c r="AP13" i="13"/>
  <c r="AO13" i="13"/>
  <c r="AN13" i="13"/>
  <c r="AM13" i="13"/>
  <c r="AL13" i="13"/>
  <c r="AL32" i="13" s="1"/>
  <c r="AK13" i="13"/>
  <c r="AJ13" i="13"/>
  <c r="AJ35" i="13" s="1"/>
  <c r="AI13" i="13"/>
  <c r="AH13" i="13"/>
  <c r="AG13" i="13"/>
  <c r="AF13" i="13"/>
  <c r="AE13" i="13"/>
  <c r="AD13" i="13"/>
  <c r="AC13" i="13"/>
  <c r="AB13" i="13"/>
  <c r="AB30" i="13" s="1"/>
  <c r="AA13" i="13"/>
  <c r="Z13" i="13"/>
  <c r="Y13" i="13"/>
  <c r="X13" i="13"/>
  <c r="W13" i="13"/>
  <c r="V13" i="13"/>
  <c r="V27" i="13" s="1"/>
  <c r="U13" i="13"/>
  <c r="T13" i="13"/>
  <c r="S13" i="13"/>
  <c r="R13" i="13"/>
  <c r="Q13" i="13"/>
  <c r="P13" i="13"/>
  <c r="O13" i="13"/>
  <c r="N13" i="13"/>
  <c r="M13" i="13"/>
  <c r="L13" i="13"/>
  <c r="B14" i="19"/>
  <c r="B15" i="19" s="1"/>
  <c r="C15" i="19" s="1"/>
  <c r="C13" i="19"/>
  <c r="B34" i="10"/>
  <c r="B34" i="8"/>
  <c r="C20" i="6"/>
  <c r="G20" i="6" s="1"/>
  <c r="H20" i="6" s="1"/>
  <c r="C22" i="6"/>
  <c r="G22" i="6" s="1"/>
  <c r="H22" i="6" s="1"/>
  <c r="C23" i="6"/>
  <c r="G23" i="6" s="1"/>
  <c r="H23" i="6" s="1"/>
  <c r="BM23" i="6" s="1"/>
  <c r="P43" i="6"/>
  <c r="Z42" i="13" s="1"/>
  <c r="C21" i="6"/>
  <c r="DJ23" i="6"/>
  <c r="DJ18" i="6"/>
  <c r="DJ19" i="6"/>
  <c r="DJ20" i="6"/>
  <c r="DJ21" i="6"/>
  <c r="DJ22" i="6"/>
  <c r="DI23" i="6"/>
  <c r="DH23" i="6"/>
  <c r="DG23" i="6"/>
  <c r="DF23" i="6"/>
  <c r="DF18" i="6"/>
  <c r="DF19" i="6"/>
  <c r="DF20" i="6"/>
  <c r="DF21" i="6"/>
  <c r="DF22" i="6"/>
  <c r="DE23" i="6"/>
  <c r="DD23" i="6"/>
  <c r="DB23" i="6"/>
  <c r="DB18" i="6"/>
  <c r="DB19" i="6"/>
  <c r="DB20" i="6"/>
  <c r="DB21" i="6"/>
  <c r="DB22" i="6"/>
  <c r="DA23" i="6"/>
  <c r="CZ23" i="6"/>
  <c r="CX23" i="6"/>
  <c r="CX18" i="6"/>
  <c r="CX19" i="6"/>
  <c r="CX20" i="6"/>
  <c r="CX21" i="6"/>
  <c r="CX22" i="6"/>
  <c r="CW23" i="6"/>
  <c r="CV23" i="6"/>
  <c r="CT23" i="6"/>
  <c r="CS23" i="6"/>
  <c r="CR23" i="6"/>
  <c r="CQ23" i="6"/>
  <c r="CP23" i="6"/>
  <c r="CP18" i="6"/>
  <c r="CP19" i="6"/>
  <c r="CP20" i="6"/>
  <c r="CP21" i="6"/>
  <c r="CP22" i="6"/>
  <c r="CO23" i="6"/>
  <c r="CN23" i="6"/>
  <c r="CL23" i="6"/>
  <c r="CL18" i="6"/>
  <c r="CL19" i="6"/>
  <c r="CL20" i="6"/>
  <c r="CL21" i="6"/>
  <c r="CL22" i="6"/>
  <c r="CK23" i="6"/>
  <c r="CJ23" i="6"/>
  <c r="CH23" i="6"/>
  <c r="CG23" i="6"/>
  <c r="CF23" i="6"/>
  <c r="CE23" i="6"/>
  <c r="CD23" i="6"/>
  <c r="CC23" i="6"/>
  <c r="CB23" i="6"/>
  <c r="CA23" i="6"/>
  <c r="BZ23" i="6"/>
  <c r="BY23" i="6"/>
  <c r="BX23" i="6"/>
  <c r="BW23" i="6"/>
  <c r="BV23" i="6"/>
  <c r="BU23" i="6"/>
  <c r="DI22" i="6"/>
  <c r="DI18" i="6"/>
  <c r="DI19" i="6"/>
  <c r="DI20" i="6"/>
  <c r="DI21" i="6"/>
  <c r="DH22" i="6"/>
  <c r="DG22" i="6"/>
  <c r="DE22" i="6"/>
  <c r="DD22" i="6"/>
  <c r="DA22" i="6"/>
  <c r="CZ22" i="6"/>
  <c r="CW22" i="6"/>
  <c r="CV22" i="6"/>
  <c r="CT22" i="6"/>
  <c r="CS22" i="6"/>
  <c r="CR22" i="6"/>
  <c r="CQ22" i="6"/>
  <c r="CO22" i="6"/>
  <c r="CO18" i="6"/>
  <c r="CO19" i="6"/>
  <c r="CO20" i="6"/>
  <c r="CO21" i="6"/>
  <c r="CN22" i="6"/>
  <c r="CK22" i="6"/>
  <c r="CJ22" i="6"/>
  <c r="CH22" i="6"/>
  <c r="CG22" i="6"/>
  <c r="CG18" i="6"/>
  <c r="CG19" i="6"/>
  <c r="CG20" i="6"/>
  <c r="CG21" i="6"/>
  <c r="CF22" i="6"/>
  <c r="CE22" i="6"/>
  <c r="CD22" i="6"/>
  <c r="CC22" i="6"/>
  <c r="CB22" i="6"/>
  <c r="CA22" i="6"/>
  <c r="BZ22" i="6"/>
  <c r="BY22" i="6"/>
  <c r="BX22" i="6"/>
  <c r="BW22" i="6"/>
  <c r="BV22" i="6"/>
  <c r="BU22" i="6"/>
  <c r="BU18" i="6"/>
  <c r="BU19" i="6"/>
  <c r="BU20" i="6"/>
  <c r="BU21" i="6"/>
  <c r="DH21" i="6"/>
  <c r="DG21" i="6"/>
  <c r="DE21" i="6"/>
  <c r="DD21" i="6"/>
  <c r="DA21" i="6"/>
  <c r="CZ21" i="6"/>
  <c r="CW21" i="6"/>
  <c r="CV21" i="6"/>
  <c r="CT21" i="6"/>
  <c r="CS21" i="6"/>
  <c r="CR21" i="6"/>
  <c r="CQ21" i="6"/>
  <c r="CN21" i="6"/>
  <c r="CK21" i="6"/>
  <c r="CJ21" i="6"/>
  <c r="CH21" i="6"/>
  <c r="CF21" i="6"/>
  <c r="CE21" i="6"/>
  <c r="CD21" i="6"/>
  <c r="CC21" i="6"/>
  <c r="CB21" i="6"/>
  <c r="CA21" i="6"/>
  <c r="BZ21" i="6"/>
  <c r="BY21" i="6"/>
  <c r="BX21" i="6"/>
  <c r="BW21" i="6"/>
  <c r="BV21" i="6"/>
  <c r="B21" i="6"/>
  <c r="G17" i="13"/>
  <c r="D1" i="16"/>
  <c r="J1" i="16" s="1"/>
  <c r="G1" i="16"/>
  <c r="H1" i="16" s="1"/>
  <c r="E1" i="16"/>
  <c r="F1" i="16" s="1"/>
  <c r="B1" i="16"/>
  <c r="B14" i="16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  <c r="B35" i="16" s="1"/>
  <c r="B36" i="16" s="1"/>
  <c r="B37" i="16" s="1"/>
  <c r="D15" i="16"/>
  <c r="J15" i="16" s="1"/>
  <c r="G41" i="10"/>
  <c r="K41" i="10" s="1"/>
  <c r="O41" i="10" s="1"/>
  <c r="S41" i="10" s="1"/>
  <c r="W41" i="10" s="1"/>
  <c r="AA41" i="10" s="1"/>
  <c r="AE41" i="10" s="1"/>
  <c r="D16" i="16"/>
  <c r="J16" i="16" s="1"/>
  <c r="D17" i="16"/>
  <c r="J17" i="16" s="1"/>
  <c r="D18" i="16"/>
  <c r="J18" i="16" s="1"/>
  <c r="D19" i="16"/>
  <c r="J19" i="16" s="1"/>
  <c r="D20" i="16"/>
  <c r="J20" i="16" s="1"/>
  <c r="D21" i="16"/>
  <c r="J21" i="16" s="1"/>
  <c r="D22" i="16"/>
  <c r="J22" i="16" s="1"/>
  <c r="D23" i="16"/>
  <c r="J23" i="16" s="1"/>
  <c r="D24" i="16"/>
  <c r="J24" i="16" s="1"/>
  <c r="D25" i="16"/>
  <c r="J25" i="16" s="1"/>
  <c r="D26" i="16"/>
  <c r="J26" i="16" s="1"/>
  <c r="D27" i="16"/>
  <c r="J27" i="16" s="1"/>
  <c r="D28" i="16"/>
  <c r="J28" i="16" s="1"/>
  <c r="D29" i="16"/>
  <c r="J29" i="16" s="1"/>
  <c r="D30" i="16"/>
  <c r="J30" i="16" s="1"/>
  <c r="D31" i="16"/>
  <c r="J31" i="16" s="1"/>
  <c r="D32" i="16"/>
  <c r="J32" i="16" s="1"/>
  <c r="D33" i="16"/>
  <c r="J33" i="16" s="1"/>
  <c r="D34" i="16"/>
  <c r="J34" i="16" s="1"/>
  <c r="D35" i="16"/>
  <c r="J35" i="16" s="1"/>
  <c r="D36" i="16"/>
  <c r="J36" i="16" s="1"/>
  <c r="D37" i="16"/>
  <c r="J37" i="16" s="1"/>
  <c r="D14" i="16"/>
  <c r="J14" i="16" s="1"/>
  <c r="DK1" i="6"/>
  <c r="C19" i="6"/>
  <c r="G19" i="6" s="1"/>
  <c r="H19" i="6" s="1"/>
  <c r="BM19" i="6" s="1"/>
  <c r="C18" i="6"/>
  <c r="B17" i="13" s="1"/>
  <c r="F17" i="13" s="1"/>
  <c r="C1" i="6"/>
  <c r="G1" i="6" s="1"/>
  <c r="H1" i="6" s="1"/>
  <c r="BM1" i="6" s="1"/>
  <c r="L45" i="16"/>
  <c r="L44" i="16"/>
  <c r="L43" i="16"/>
  <c r="B8" i="19"/>
  <c r="C8" i="19" s="1"/>
  <c r="D8" i="19" s="1"/>
  <c r="E8" i="19" s="1"/>
  <c r="B1" i="10"/>
  <c r="B1" i="8"/>
  <c r="G3" i="6"/>
  <c r="H3" i="6" s="1"/>
  <c r="B3" i="6"/>
  <c r="DJ1" i="6"/>
  <c r="DI1" i="6"/>
  <c r="DH1" i="6"/>
  <c r="DG1" i="6"/>
  <c r="DF1" i="6"/>
  <c r="DE1" i="6"/>
  <c r="DD1" i="6"/>
  <c r="DC1" i="6"/>
  <c r="DB1" i="6"/>
  <c r="DA1" i="6"/>
  <c r="CZ1" i="6"/>
  <c r="CY1" i="6"/>
  <c r="CX1" i="6"/>
  <c r="CW1" i="6"/>
  <c r="CV1" i="6"/>
  <c r="CU1" i="6"/>
  <c r="CT1" i="6"/>
  <c r="CS1" i="6"/>
  <c r="CR1" i="6"/>
  <c r="CQ1" i="6"/>
  <c r="CP1" i="6"/>
  <c r="CO1" i="6"/>
  <c r="CN1" i="6"/>
  <c r="CM1" i="6"/>
  <c r="CL1" i="6"/>
  <c r="CK1" i="6"/>
  <c r="CJ1" i="6"/>
  <c r="CI1" i="6"/>
  <c r="CH1" i="6"/>
  <c r="CG1" i="6"/>
  <c r="CF1" i="6"/>
  <c r="CE1" i="6"/>
  <c r="CD1" i="6"/>
  <c r="CC1" i="6"/>
  <c r="CB1" i="6"/>
  <c r="CA1" i="6"/>
  <c r="BZ1" i="6"/>
  <c r="BW1" i="6"/>
  <c r="BU1" i="6"/>
  <c r="BS1" i="6"/>
  <c r="B1" i="6"/>
  <c r="A1" i="18"/>
  <c r="J1" i="18" s="1"/>
  <c r="BY1" i="6"/>
  <c r="BT1" i="6"/>
  <c r="BX1" i="6"/>
  <c r="BV1" i="6"/>
  <c r="BZ18" i="6"/>
  <c r="CA18" i="6"/>
  <c r="CB18" i="6"/>
  <c r="CB19" i="6"/>
  <c r="CB20" i="6"/>
  <c r="CC18" i="6"/>
  <c r="CD18" i="6"/>
  <c r="CE18" i="6"/>
  <c r="CF18" i="6"/>
  <c r="CF19" i="6"/>
  <c r="CF20" i="6"/>
  <c r="CH18" i="6"/>
  <c r="CJ18" i="6"/>
  <c r="CJ19" i="6"/>
  <c r="CJ20" i="6"/>
  <c r="CK18" i="6"/>
  <c r="CN18" i="6"/>
  <c r="CN19" i="6"/>
  <c r="CN20" i="6"/>
  <c r="CQ18" i="6"/>
  <c r="CR18" i="6"/>
  <c r="CR19" i="6"/>
  <c r="CR20" i="6"/>
  <c r="CS18" i="6"/>
  <c r="CT18" i="6"/>
  <c r="CV18" i="6"/>
  <c r="CV19" i="6"/>
  <c r="CV20" i="6"/>
  <c r="CW18" i="6"/>
  <c r="CZ18" i="6"/>
  <c r="CZ19" i="6"/>
  <c r="CZ20" i="6"/>
  <c r="DA18" i="6"/>
  <c r="DD18" i="6"/>
  <c r="DD19" i="6"/>
  <c r="DD20" i="6"/>
  <c r="DE18" i="6"/>
  <c r="DG18" i="6"/>
  <c r="DH18" i="6"/>
  <c r="DH19" i="6"/>
  <c r="DH20" i="6"/>
  <c r="BZ19" i="6"/>
  <c r="CA19" i="6"/>
  <c r="CC19" i="6"/>
  <c r="CD19" i="6"/>
  <c r="CE19" i="6"/>
  <c r="CE20" i="6"/>
  <c r="CH19" i="6"/>
  <c r="CK19" i="6"/>
  <c r="CQ19" i="6"/>
  <c r="CQ20" i="6"/>
  <c r="CS19" i="6"/>
  <c r="CT19" i="6"/>
  <c r="CW19" i="6"/>
  <c r="DA19" i="6"/>
  <c r="DE19" i="6"/>
  <c r="DG19" i="6"/>
  <c r="DG20" i="6"/>
  <c r="BZ20" i="6"/>
  <c r="CD20" i="6"/>
  <c r="CH20" i="6"/>
  <c r="CT20" i="6"/>
  <c r="CA20" i="6"/>
  <c r="CC20" i="6"/>
  <c r="CK20" i="6"/>
  <c r="CS20" i="6"/>
  <c r="CW20" i="6"/>
  <c r="DA20" i="6"/>
  <c r="DE20" i="6"/>
  <c r="BA29" i="10"/>
  <c r="BB29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J30" i="10"/>
  <c r="AK30" i="10"/>
  <c r="AL30" i="10"/>
  <c r="AM30" i="10"/>
  <c r="AN30" i="10"/>
  <c r="AO30" i="10"/>
  <c r="AP30" i="10"/>
  <c r="AQ30" i="10"/>
  <c r="AR30" i="10"/>
  <c r="AS30" i="10"/>
  <c r="AT30" i="10"/>
  <c r="AU30" i="10"/>
  <c r="AV30" i="10"/>
  <c r="AW30" i="10"/>
  <c r="AX30" i="10"/>
  <c r="AY30" i="10"/>
  <c r="AZ30" i="10"/>
  <c r="BA30" i="10"/>
  <c r="BB30" i="10"/>
  <c r="AS49" i="10"/>
  <c r="AS50" i="10"/>
  <c r="AS51" i="10"/>
  <c r="BC2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BA30" i="8"/>
  <c r="BB30" i="8"/>
  <c r="G39" i="8"/>
  <c r="K39" i="8" s="1"/>
  <c r="O39" i="8" s="1"/>
  <c r="S39" i="8" s="1"/>
  <c r="W39" i="8" s="1"/>
  <c r="AA39" i="8" s="1"/>
  <c r="AE39" i="8" s="1"/>
  <c r="AI39" i="8" s="1"/>
  <c r="AR48" i="8"/>
  <c r="AR49" i="8"/>
  <c r="B18" i="6"/>
  <c r="H17" i="13"/>
  <c r="B19" i="6"/>
  <c r="BY19" i="6"/>
  <c r="BY18" i="6"/>
  <c r="BY20" i="6"/>
  <c r="B37" i="6"/>
  <c r="G37" i="6"/>
  <c r="H37" i="6" s="1"/>
  <c r="B38" i="6"/>
  <c r="G38" i="6"/>
  <c r="H38" i="6" s="1"/>
  <c r="B39" i="6"/>
  <c r="G39" i="6"/>
  <c r="H39" i="6" s="1"/>
  <c r="V43" i="6"/>
  <c r="AB43" i="6"/>
  <c r="AH43" i="6"/>
  <c r="AN43" i="6"/>
  <c r="AT43" i="6"/>
  <c r="AZ43" i="6"/>
  <c r="BF43" i="6"/>
  <c r="P44" i="6"/>
  <c r="AX43" i="13" s="1"/>
  <c r="V44" i="6"/>
  <c r="AB44" i="6"/>
  <c r="AH44" i="6"/>
  <c r="AN44" i="6"/>
  <c r="AT44" i="6"/>
  <c r="AZ44" i="6"/>
  <c r="BF44" i="6"/>
  <c r="BX20" i="6"/>
  <c r="BV20" i="6"/>
  <c r="BW20" i="6"/>
  <c r="BV19" i="6"/>
  <c r="BW19" i="6"/>
  <c r="BX19" i="6"/>
  <c r="BW18" i="6"/>
  <c r="BX18" i="6"/>
  <c r="BV18" i="6"/>
  <c r="E26" i="16"/>
  <c r="E27" i="16"/>
  <c r="E28" i="16"/>
  <c r="E29" i="16"/>
  <c r="E30" i="16"/>
  <c r="E31" i="16"/>
  <c r="E32" i="16"/>
  <c r="E33" i="16"/>
  <c r="G27" i="16"/>
  <c r="G26" i="16"/>
  <c r="G28" i="16"/>
  <c r="G30" i="16"/>
  <c r="G31" i="16"/>
  <c r="G29" i="16"/>
  <c r="G32" i="16"/>
  <c r="G33" i="16"/>
  <c r="E34" i="16"/>
  <c r="G34" i="16"/>
  <c r="G35" i="16"/>
  <c r="E35" i="16"/>
  <c r="G36" i="16"/>
  <c r="E36" i="16"/>
  <c r="E37" i="16"/>
  <c r="G37" i="16"/>
  <c r="E17" i="13"/>
  <c r="AB31" i="13"/>
  <c r="AR23" i="13"/>
  <c r="AP35" i="13"/>
  <c r="AP22" i="13"/>
  <c r="BF31" i="13"/>
  <c r="AP17" i="13"/>
  <c r="X18" i="13"/>
  <c r="EP1" i="6"/>
  <c r="EK28" i="6"/>
  <c r="EY28" i="6"/>
  <c r="EH28" i="6"/>
  <c r="X1" i="13"/>
  <c r="BF18" i="13"/>
  <c r="EL28" i="6"/>
  <c r="DU28" i="6"/>
  <c r="EI28" i="6"/>
  <c r="FJ28" i="6"/>
  <c r="DT28" i="6"/>
  <c r="EU28" i="6"/>
  <c r="EE28" i="6"/>
  <c r="DO28" i="6"/>
  <c r="EW28" i="6"/>
  <c r="EG28" i="6"/>
  <c r="DQ28" i="6"/>
  <c r="ER28" i="6"/>
  <c r="FF28" i="6"/>
  <c r="DZ28" i="6"/>
  <c r="DV28" i="6"/>
  <c r="EF28" i="6"/>
  <c r="ET28" i="6"/>
  <c r="FG28" i="6"/>
  <c r="EQ28" i="6"/>
  <c r="EA28" i="6"/>
  <c r="FI28" i="6"/>
  <c r="ES28" i="6"/>
  <c r="EC28" i="6"/>
  <c r="DM28" i="6"/>
  <c r="EJ28" i="6"/>
  <c r="EX28" i="6"/>
  <c r="DR28" i="6"/>
  <c r="FD28" i="6"/>
  <c r="DX28" i="6"/>
  <c r="ED28" i="6"/>
  <c r="FC28" i="6"/>
  <c r="EM28" i="6"/>
  <c r="DW28" i="6"/>
  <c r="FE28" i="6"/>
  <c r="EO28" i="6"/>
  <c r="DY28" i="6"/>
  <c r="FH28" i="6"/>
  <c r="EB28" i="6"/>
  <c r="EP28" i="6"/>
  <c r="FB28" i="6"/>
  <c r="EV28" i="6"/>
  <c r="DP28" i="6"/>
  <c r="DN28" i="6"/>
  <c r="EN28" i="6"/>
  <c r="EZ28" i="6"/>
  <c r="DS28" i="6"/>
  <c r="DO21" i="6"/>
  <c r="EL21" i="6"/>
  <c r="EG21" i="6"/>
  <c r="DT23" i="6"/>
  <c r="FH21" i="6"/>
  <c r="EW21" i="6"/>
  <c r="EF23" i="6"/>
  <c r="DM23" i="6"/>
  <c r="FD23" i="6"/>
  <c r="FE21" i="6"/>
  <c r="ED21" i="6"/>
  <c r="DP21" i="6"/>
  <c r="DO23" i="6"/>
  <c r="EM23" i="6"/>
  <c r="ED23" i="6"/>
  <c r="DN23" i="6"/>
  <c r="DU23" i="6"/>
  <c r="ET23" i="6"/>
  <c r="EL23" i="6"/>
  <c r="DQ21" i="6"/>
  <c r="EO21" i="6"/>
  <c r="EB23" i="6"/>
  <c r="EV23" i="6"/>
  <c r="DV21" i="6"/>
  <c r="FI23" i="6"/>
  <c r="EA21" i="6"/>
  <c r="EV21" i="6"/>
  <c r="ET21" i="6"/>
  <c r="EQ23" i="6"/>
  <c r="FB21" i="6"/>
  <c r="EN21" i="6"/>
  <c r="EC23" i="6"/>
  <c r="EZ23" i="6"/>
  <c r="EU23" i="6"/>
  <c r="FE23" i="6"/>
  <c r="EM21" i="6"/>
  <c r="EF21" i="6"/>
  <c r="EK21" i="6"/>
  <c r="FG23" i="6"/>
  <c r="EE23" i="6"/>
  <c r="EJ21" i="6"/>
  <c r="DR23" i="6"/>
  <c r="FJ23" i="6"/>
  <c r="EX23" i="6"/>
  <c r="DW21" i="6"/>
  <c r="FA21" i="6"/>
  <c r="DY23" i="6"/>
  <c r="ES21" i="6"/>
  <c r="EK23" i="6"/>
  <c r="DX23" i="6"/>
  <c r="EP21" i="6"/>
  <c r="FJ21" i="6"/>
  <c r="FI21" i="6"/>
  <c r="DU21" i="6"/>
  <c r="FH23" i="6"/>
  <c r="ER23" i="6"/>
  <c r="FC21" i="6"/>
  <c r="EC21" i="6"/>
  <c r="DR21" i="6"/>
  <c r="EJ23" i="6"/>
  <c r="EI23" i="6"/>
  <c r="FA23" i="6"/>
  <c r="EG23" i="6"/>
  <c r="EI21" i="6"/>
  <c r="DZ21" i="6"/>
  <c r="EY23" i="6"/>
  <c r="EU21" i="6"/>
  <c r="DN21" i="6"/>
  <c r="FD21" i="6"/>
  <c r="ES23" i="6"/>
  <c r="DW23" i="6"/>
  <c r="DP23" i="6"/>
  <c r="ER21" i="6"/>
  <c r="FF23" i="6"/>
  <c r="EA23" i="6"/>
  <c r="EH21" i="6"/>
  <c r="FF21" i="6"/>
  <c r="FC23" i="6"/>
  <c r="DZ23" i="6"/>
  <c r="EW23" i="6"/>
  <c r="FB23" i="6"/>
  <c r="EN23" i="6"/>
  <c r="EH23" i="6"/>
  <c r="DQ23" i="6"/>
  <c r="FG21" i="6"/>
  <c r="EQ21" i="6"/>
  <c r="DS21" i="6"/>
  <c r="DY21" i="6"/>
  <c r="EP23" i="6"/>
  <c r="EB21" i="6"/>
  <c r="EX21" i="6"/>
  <c r="DX21" i="6"/>
  <c r="DV23" i="6"/>
  <c r="DT21" i="6"/>
  <c r="EY21" i="6"/>
  <c r="EZ21" i="6"/>
  <c r="EE21" i="6"/>
  <c r="DM21" i="6"/>
  <c r="DS23" i="6"/>
  <c r="EO23" i="6"/>
  <c r="U3" i="6" l="1"/>
  <c r="BT20" i="6"/>
  <c r="BT29" i="6"/>
  <c r="BH34" i="13"/>
  <c r="AZ25" i="13"/>
  <c r="AJ17" i="13"/>
  <c r="BT28" i="6"/>
  <c r="BT31" i="6"/>
  <c r="BT25" i="6"/>
  <c r="BT22" i="6"/>
  <c r="BT32" i="6"/>
  <c r="BT24" i="6"/>
  <c r="BT35" i="6"/>
  <c r="U37" i="6"/>
  <c r="S19" i="13" s="1"/>
  <c r="BT23" i="6"/>
  <c r="BT19" i="6"/>
  <c r="BR23" i="6"/>
  <c r="BS32" i="6"/>
  <c r="BS29" i="6"/>
  <c r="BR20" i="6"/>
  <c r="BS35" i="6"/>
  <c r="BR22" i="6"/>
  <c r="BS24" i="6"/>
  <c r="BS25" i="6"/>
  <c r="BQ22" i="6"/>
  <c r="BR35" i="6"/>
  <c r="BS31" i="6"/>
  <c r="BS22" i="6"/>
  <c r="BR29" i="6"/>
  <c r="BR1" i="6"/>
  <c r="BS23" i="6"/>
  <c r="BQ20" i="6"/>
  <c r="BR19" i="6"/>
  <c r="BQ25" i="6"/>
  <c r="BS20" i="6"/>
  <c r="BR30" i="6"/>
  <c r="BS30" i="6"/>
  <c r="BS28" i="6"/>
  <c r="BS19" i="6"/>
  <c r="BR28" i="6"/>
  <c r="BR32" i="6"/>
  <c r="BR25" i="6"/>
  <c r="BR31" i="6"/>
  <c r="BR24" i="6"/>
  <c r="BQ19" i="6"/>
  <c r="BQ32" i="6"/>
  <c r="BQ1" i="6"/>
  <c r="BQ24" i="6"/>
  <c r="BQ29" i="6"/>
  <c r="BQ31" i="6"/>
  <c r="BQ35" i="6"/>
  <c r="BQ23" i="6"/>
  <c r="BQ28" i="6"/>
  <c r="BM30" i="6"/>
  <c r="BQ30" i="6"/>
  <c r="AT17" i="13"/>
  <c r="BN30" i="6"/>
  <c r="BP30" i="6"/>
  <c r="BO30" i="6"/>
  <c r="G33" i="6"/>
  <c r="H33" i="6" s="1"/>
  <c r="BT33" i="6" s="1"/>
  <c r="B36" i="13"/>
  <c r="I36" i="13" s="1"/>
  <c r="G21" i="6"/>
  <c r="H21" i="6" s="1"/>
  <c r="BT21" i="6" s="1"/>
  <c r="B20" i="13"/>
  <c r="I20" i="13" s="1"/>
  <c r="AZ34" i="13"/>
  <c r="BH22" i="13"/>
  <c r="AR32" i="13"/>
  <c r="BH31" i="13"/>
  <c r="AZ23" i="13"/>
  <c r="AJ22" i="13"/>
  <c r="BP23" i="6"/>
  <c r="AJ24" i="13"/>
  <c r="BH21" i="13"/>
  <c r="AZ29" i="13"/>
  <c r="AJ28" i="13"/>
  <c r="AJ34" i="13"/>
  <c r="AJ31" i="13"/>
  <c r="AZ31" i="13"/>
  <c r="AB29" i="13"/>
  <c r="BH24" i="13"/>
  <c r="AJ18" i="13"/>
  <c r="AZ33" i="13"/>
  <c r="AJ26" i="13"/>
  <c r="BH26" i="13"/>
  <c r="BH23" i="13"/>
  <c r="AR19" i="13"/>
  <c r="AR24" i="13"/>
  <c r="AJ1" i="13"/>
  <c r="BH35" i="13"/>
  <c r="BH30" i="13"/>
  <c r="AZ17" i="13"/>
  <c r="AR28" i="13"/>
  <c r="AB22" i="13"/>
  <c r="BH20" i="13"/>
  <c r="AR17" i="13"/>
  <c r="BN19" i="6"/>
  <c r="O1" i="13"/>
  <c r="W26" i="13"/>
  <c r="W38" i="13"/>
  <c r="W39" i="13"/>
  <c r="W37" i="13"/>
  <c r="AE17" i="13"/>
  <c r="AE37" i="13"/>
  <c r="AE38" i="13"/>
  <c r="AE39" i="13"/>
  <c r="AM26" i="13"/>
  <c r="AM38" i="13"/>
  <c r="AM37" i="13"/>
  <c r="AM39" i="13"/>
  <c r="AU19" i="13"/>
  <c r="AU37" i="13"/>
  <c r="AU38" i="13"/>
  <c r="AU39" i="13"/>
  <c r="BC26" i="13"/>
  <c r="BC38" i="13"/>
  <c r="BC39" i="13"/>
  <c r="BC37" i="13"/>
  <c r="P25" i="13"/>
  <c r="P39" i="13"/>
  <c r="P37" i="13"/>
  <c r="P38" i="13"/>
  <c r="X31" i="13"/>
  <c r="X37" i="13"/>
  <c r="X39" i="13"/>
  <c r="X38" i="13"/>
  <c r="AF32" i="13"/>
  <c r="AF37" i="13"/>
  <c r="AF39" i="13"/>
  <c r="AF38" i="13"/>
  <c r="AN39" i="13"/>
  <c r="AN38" i="13"/>
  <c r="AN37" i="13"/>
  <c r="AV36" i="13"/>
  <c r="AV37" i="13"/>
  <c r="AV39" i="13"/>
  <c r="AV38" i="13"/>
  <c r="BD28" i="13"/>
  <c r="BD37" i="13"/>
  <c r="BD39" i="13"/>
  <c r="BD38" i="13"/>
  <c r="Q39" i="13"/>
  <c r="Q38" i="13"/>
  <c r="Q37" i="13"/>
  <c r="Y18" i="13"/>
  <c r="Y39" i="13"/>
  <c r="Y38" i="13"/>
  <c r="Y37" i="13"/>
  <c r="AG25" i="13"/>
  <c r="AG39" i="13"/>
  <c r="AG38" i="13"/>
  <c r="AG37" i="13"/>
  <c r="AO31" i="13"/>
  <c r="AO39" i="13"/>
  <c r="AO38" i="13"/>
  <c r="AO37" i="13"/>
  <c r="AW25" i="13"/>
  <c r="AW39" i="13"/>
  <c r="AW38" i="13"/>
  <c r="AW37" i="13"/>
  <c r="BE32" i="13"/>
  <c r="BE39" i="13"/>
  <c r="BE38" i="13"/>
  <c r="BE37" i="13"/>
  <c r="R1" i="13"/>
  <c r="R39" i="13"/>
  <c r="R38" i="13"/>
  <c r="R37" i="13"/>
  <c r="Z34" i="13"/>
  <c r="Z39" i="13"/>
  <c r="Z37" i="13"/>
  <c r="Z38" i="13"/>
  <c r="AH36" i="13"/>
  <c r="AH39" i="13"/>
  <c r="AH38" i="13"/>
  <c r="AH37" i="13"/>
  <c r="AP18" i="13"/>
  <c r="AP39" i="13"/>
  <c r="AP37" i="13"/>
  <c r="AP38" i="13"/>
  <c r="AX24" i="13"/>
  <c r="AX39" i="13"/>
  <c r="AX38" i="13"/>
  <c r="AX37" i="13"/>
  <c r="BF34" i="13"/>
  <c r="BF39" i="13"/>
  <c r="BF37" i="13"/>
  <c r="BF38" i="13"/>
  <c r="S26" i="13"/>
  <c r="S39" i="13"/>
  <c r="S38" i="13"/>
  <c r="S37" i="13"/>
  <c r="AA32" i="13"/>
  <c r="AA39" i="13"/>
  <c r="AA38" i="13"/>
  <c r="AA37" i="13"/>
  <c r="AI22" i="13"/>
  <c r="AI39" i="13"/>
  <c r="AI38" i="13"/>
  <c r="AI37" i="13"/>
  <c r="AQ17" i="13"/>
  <c r="AQ39" i="13"/>
  <c r="AQ37" i="13"/>
  <c r="AQ38" i="13"/>
  <c r="AY26" i="13"/>
  <c r="AY39" i="13"/>
  <c r="AY38" i="13"/>
  <c r="AY37" i="13"/>
  <c r="BG32" i="13"/>
  <c r="BG39" i="13"/>
  <c r="BG38" i="13"/>
  <c r="BG37" i="13"/>
  <c r="L17" i="13"/>
  <c r="T30" i="13"/>
  <c r="T39" i="13"/>
  <c r="T38" i="13"/>
  <c r="T37" i="13"/>
  <c r="AB39" i="13"/>
  <c r="AB38" i="13"/>
  <c r="AB37" i="13"/>
  <c r="AJ30" i="13"/>
  <c r="AJ39" i="13"/>
  <c r="AJ38" i="13"/>
  <c r="AJ37" i="13"/>
  <c r="AR27" i="13"/>
  <c r="AR39" i="13"/>
  <c r="AR38" i="13"/>
  <c r="AR37" i="13"/>
  <c r="AZ32" i="13"/>
  <c r="AZ39" i="13"/>
  <c r="AZ38" i="13"/>
  <c r="AZ37" i="13"/>
  <c r="BH36" i="13"/>
  <c r="BH39" i="13"/>
  <c r="BH38" i="13"/>
  <c r="BH37" i="13"/>
  <c r="M18" i="13"/>
  <c r="U36" i="13"/>
  <c r="U39" i="13"/>
  <c r="U37" i="13"/>
  <c r="U38" i="13"/>
  <c r="AC25" i="13"/>
  <c r="AC39" i="13"/>
  <c r="AC38" i="13"/>
  <c r="AC37" i="13"/>
  <c r="AK36" i="13"/>
  <c r="AK39" i="13"/>
  <c r="AK37" i="13"/>
  <c r="AK38" i="13"/>
  <c r="AS36" i="13"/>
  <c r="AS39" i="13"/>
  <c r="AS38" i="13"/>
  <c r="AS37" i="13"/>
  <c r="BA34" i="13"/>
  <c r="BA39" i="13"/>
  <c r="BA37" i="13"/>
  <c r="BA38" i="13"/>
  <c r="BI18" i="13"/>
  <c r="BI39" i="13"/>
  <c r="BI38" i="13"/>
  <c r="BI37" i="13"/>
  <c r="V18" i="13"/>
  <c r="V38" i="13"/>
  <c r="V37" i="13"/>
  <c r="V39" i="13"/>
  <c r="AD21" i="13"/>
  <c r="AD38" i="13"/>
  <c r="AD37" i="13"/>
  <c r="AD39" i="13"/>
  <c r="AL36" i="13"/>
  <c r="AL37" i="13"/>
  <c r="AL38" i="13"/>
  <c r="AL39" i="13"/>
  <c r="AT37" i="13"/>
  <c r="AT38" i="13"/>
  <c r="AT39" i="13"/>
  <c r="BB36" i="13"/>
  <c r="BB38" i="13"/>
  <c r="BB37" i="13"/>
  <c r="BB39" i="13"/>
  <c r="BB17" i="13"/>
  <c r="V19" i="13"/>
  <c r="BO23" i="6"/>
  <c r="AJ27" i="13"/>
  <c r="AZ26" i="13"/>
  <c r="BB28" i="13"/>
  <c r="BH28" i="13"/>
  <c r="BH29" i="13"/>
  <c r="BH18" i="13"/>
  <c r="W34" i="13"/>
  <c r="AB17" i="13"/>
  <c r="AZ1" i="13"/>
  <c r="AR25" i="13"/>
  <c r="AJ21" i="13"/>
  <c r="AB23" i="13"/>
  <c r="BB18" i="13"/>
  <c r="AT33" i="13"/>
  <c r="BB1" i="13"/>
  <c r="AT35" i="13"/>
  <c r="BN23" i="6"/>
  <c r="AZ35" i="13"/>
  <c r="BB29" i="13"/>
  <c r="BH19" i="13"/>
  <c r="BH1" i="13"/>
  <c r="AZ18" i="13"/>
  <c r="AR35" i="13"/>
  <c r="BD29" i="13"/>
  <c r="AR20" i="13"/>
  <c r="AR29" i="13"/>
  <c r="AJ23" i="13"/>
  <c r="AB25" i="13"/>
  <c r="AL19" i="13"/>
  <c r="V28" i="13"/>
  <c r="AJ19" i="13"/>
  <c r="BB35" i="13"/>
  <c r="AZ27" i="13"/>
  <c r="X26" i="13"/>
  <c r="BH27" i="13"/>
  <c r="O23" i="13"/>
  <c r="AR18" i="13"/>
  <c r="AB35" i="13"/>
  <c r="AZ28" i="13"/>
  <c r="AR22" i="13"/>
  <c r="AR30" i="13"/>
  <c r="AJ32" i="13"/>
  <c r="AB27" i="13"/>
  <c r="V26" i="13"/>
  <c r="BB34" i="13"/>
  <c r="BB26" i="13"/>
  <c r="AL20" i="13"/>
  <c r="AJ25" i="13"/>
  <c r="AZ19" i="13"/>
  <c r="AL22" i="13"/>
  <c r="BH32" i="13"/>
  <c r="BH17" i="13"/>
  <c r="BH33" i="13"/>
  <c r="AB18" i="13"/>
  <c r="AT34" i="13"/>
  <c r="V25" i="13"/>
  <c r="AT18" i="13"/>
  <c r="AZ21" i="13"/>
  <c r="AR26" i="13"/>
  <c r="AR1" i="13"/>
  <c r="AB20" i="13"/>
  <c r="AB1" i="13"/>
  <c r="AK26" i="13"/>
  <c r="U21" i="13"/>
  <c r="EO1" i="6"/>
  <c r="EN1" i="6"/>
  <c r="FC1" i="6"/>
  <c r="DU1" i="6"/>
  <c r="BP19" i="6"/>
  <c r="DW1" i="6"/>
  <c r="S29" i="13"/>
  <c r="AC29" i="13"/>
  <c r="BB24" i="13"/>
  <c r="AL23" i="13"/>
  <c r="BB31" i="13"/>
  <c r="AK29" i="13"/>
  <c r="AT21" i="13"/>
  <c r="AT22" i="13"/>
  <c r="AT1" i="13"/>
  <c r="AL26" i="13"/>
  <c r="V29" i="13"/>
  <c r="V30" i="13"/>
  <c r="AC26" i="13"/>
  <c r="BB25" i="13"/>
  <c r="BB33" i="13"/>
  <c r="BB20" i="13"/>
  <c r="AL17" i="13"/>
  <c r="AT23" i="13"/>
  <c r="AT24" i="13"/>
  <c r="AL28" i="13"/>
  <c r="V32" i="13"/>
  <c r="V34" i="13"/>
  <c r="BI24" i="13"/>
  <c r="AK30" i="13"/>
  <c r="AL35" i="13"/>
  <c r="BI31" i="13"/>
  <c r="BB30" i="13"/>
  <c r="BB21" i="13"/>
  <c r="V17" i="13"/>
  <c r="AT25" i="13"/>
  <c r="AT26" i="13"/>
  <c r="AL31" i="13"/>
  <c r="V31" i="13"/>
  <c r="BI28" i="13"/>
  <c r="AL34" i="13"/>
  <c r="BI20" i="13"/>
  <c r="BB22" i="13"/>
  <c r="BB19" i="13"/>
  <c r="AT27" i="13"/>
  <c r="AT28" i="13"/>
  <c r="AL21" i="13"/>
  <c r="AL1" i="13"/>
  <c r="V20" i="13"/>
  <c r="V33" i="13"/>
  <c r="BP28" i="6"/>
  <c r="BO28" i="6"/>
  <c r="AL24" i="13"/>
  <c r="AL33" i="13"/>
  <c r="BB32" i="13"/>
  <c r="BI23" i="13"/>
  <c r="AT29" i="13"/>
  <c r="AT30" i="13"/>
  <c r="AL27" i="13"/>
  <c r="V21" i="13"/>
  <c r="V22" i="13"/>
  <c r="V35" i="13"/>
  <c r="M25" i="13"/>
  <c r="BN28" i="6"/>
  <c r="AK21" i="13"/>
  <c r="AL25" i="13"/>
  <c r="AL30" i="13"/>
  <c r="BB23" i="13"/>
  <c r="AL18" i="13"/>
  <c r="AK17" i="13"/>
  <c r="AT19" i="13"/>
  <c r="BB27" i="13"/>
  <c r="AT32" i="13"/>
  <c r="AT31" i="13"/>
  <c r="AL29" i="13"/>
  <c r="V23" i="13"/>
  <c r="V24" i="13"/>
  <c r="V1" i="13"/>
  <c r="BE21" i="13"/>
  <c r="BF19" i="13"/>
  <c r="BF29" i="13"/>
  <c r="BN1" i="6"/>
  <c r="BF30" i="13"/>
  <c r="AX20" i="13"/>
  <c r="AG26" i="13"/>
  <c r="Q32" i="13"/>
  <c r="BP1" i="6"/>
  <c r="BF20" i="13"/>
  <c r="R25" i="13"/>
  <c r="AG1" i="13"/>
  <c r="BP22" i="6"/>
  <c r="BP31" i="6"/>
  <c r="R36" i="13"/>
  <c r="Z43" i="13"/>
  <c r="AP20" i="13"/>
  <c r="R26" i="13"/>
  <c r="Y20" i="13"/>
  <c r="AX36" i="13"/>
  <c r="Y32" i="13"/>
  <c r="BF33" i="13"/>
  <c r="AP33" i="13"/>
  <c r="BO1" i="6"/>
  <c r="BP35" i="6"/>
  <c r="S36" i="13"/>
  <c r="AY36" i="13"/>
  <c r="AK18" i="13"/>
  <c r="AC34" i="13"/>
  <c r="BI21" i="13"/>
  <c r="AK35" i="13"/>
  <c r="BI35" i="13"/>
  <c r="AC20" i="13"/>
  <c r="BO29" i="6"/>
  <c r="BO32" i="6"/>
  <c r="Z36" i="13"/>
  <c r="BF36" i="13"/>
  <c r="AC23" i="13"/>
  <c r="BI26" i="13"/>
  <c r="AK32" i="13"/>
  <c r="AK22" i="13"/>
  <c r="AC33" i="13"/>
  <c r="BI34" i="13"/>
  <c r="AC22" i="13"/>
  <c r="AA36" i="13"/>
  <c r="BG36" i="13"/>
  <c r="AK27" i="13"/>
  <c r="BI30" i="13"/>
  <c r="BI33" i="13"/>
  <c r="AK31" i="13"/>
  <c r="AK1" i="13"/>
  <c r="BI27" i="13"/>
  <c r="BI29" i="13"/>
  <c r="BA33" i="13"/>
  <c r="AC30" i="13"/>
  <c r="AC24" i="13"/>
  <c r="BI22" i="13"/>
  <c r="AK34" i="13"/>
  <c r="AK23" i="13"/>
  <c r="AK25" i="13"/>
  <c r="AC27" i="13"/>
  <c r="AC21" i="13"/>
  <c r="AS26" i="13"/>
  <c r="AC35" i="13"/>
  <c r="BI19" i="13"/>
  <c r="AI36" i="13"/>
  <c r="AC31" i="13"/>
  <c r="BI17" i="13"/>
  <c r="BI1" i="13"/>
  <c r="AK33" i="13"/>
  <c r="AK20" i="13"/>
  <c r="M1" i="13"/>
  <c r="AC19" i="13"/>
  <c r="AS34" i="13"/>
  <c r="AP36" i="13"/>
  <c r="AC32" i="13"/>
  <c r="AC18" i="13"/>
  <c r="BI25" i="13"/>
  <c r="AK19" i="13"/>
  <c r="AK28" i="13"/>
  <c r="AK24" i="13"/>
  <c r="AC1" i="13"/>
  <c r="AQ36" i="13"/>
  <c r="X25" i="13"/>
  <c r="BI32" i="13"/>
  <c r="T36" i="13"/>
  <c r="AB36" i="13"/>
  <c r="AJ36" i="13"/>
  <c r="AR36" i="13"/>
  <c r="AZ36" i="13"/>
  <c r="AE25" i="13"/>
  <c r="AE22" i="13"/>
  <c r="X28" i="13"/>
  <c r="O27" i="13"/>
  <c r="AF30" i="13"/>
  <c r="BP25" i="6"/>
  <c r="AC36" i="13"/>
  <c r="BA36" i="13"/>
  <c r="BI36" i="13"/>
  <c r="X27" i="13"/>
  <c r="BC29" i="13"/>
  <c r="AF34" i="13"/>
  <c r="V36" i="13"/>
  <c r="AD36" i="13"/>
  <c r="AT36" i="13"/>
  <c r="X32" i="13"/>
  <c r="AU23" i="13"/>
  <c r="AC17" i="13"/>
  <c r="AC28" i="13"/>
  <c r="W36" i="13"/>
  <c r="AE36" i="13"/>
  <c r="AM36" i="13"/>
  <c r="AU36" i="13"/>
  <c r="BC36" i="13"/>
  <c r="AE29" i="13"/>
  <c r="X30" i="13"/>
  <c r="P36" i="13"/>
  <c r="X36" i="13"/>
  <c r="AF36" i="13"/>
  <c r="AN36" i="13"/>
  <c r="BD36" i="13"/>
  <c r="X21" i="13"/>
  <c r="AE34" i="13"/>
  <c r="AM20" i="13"/>
  <c r="Q36" i="13"/>
  <c r="Y36" i="13"/>
  <c r="AG36" i="13"/>
  <c r="AO36" i="13"/>
  <c r="AW36" i="13"/>
  <c r="BE36" i="13"/>
  <c r="BP29" i="6"/>
  <c r="BN20" i="6"/>
  <c r="BP24" i="6"/>
  <c r="BO35" i="6"/>
  <c r="BN29" i="6"/>
  <c r="BP32" i="6"/>
  <c r="BN32" i="6"/>
  <c r="BN22" i="6"/>
  <c r="BO24" i="6"/>
  <c r="BP20" i="6"/>
  <c r="BO20" i="6"/>
  <c r="BN25" i="6"/>
  <c r="BO31" i="6"/>
  <c r="BO25" i="6"/>
  <c r="BO19" i="6"/>
  <c r="BN24" i="6"/>
  <c r="BN35" i="6"/>
  <c r="BN31" i="6"/>
  <c r="BO22" i="6"/>
  <c r="DN19" i="6"/>
  <c r="DY19" i="6"/>
  <c r="EI19" i="6"/>
  <c r="ET19" i="6"/>
  <c r="FE19" i="6"/>
  <c r="DO19" i="6"/>
  <c r="DZ19" i="6"/>
  <c r="EK19" i="6"/>
  <c r="EU19" i="6"/>
  <c r="FF19" i="6"/>
  <c r="DR19" i="6"/>
  <c r="EC19" i="6"/>
  <c r="EM19" i="6"/>
  <c r="EX19" i="6"/>
  <c r="FI19" i="6"/>
  <c r="DM19" i="6"/>
  <c r="DW19" i="6"/>
  <c r="EH19" i="6"/>
  <c r="ES19" i="6"/>
  <c r="G18" i="6"/>
  <c r="H18" i="6" s="1"/>
  <c r="DR18" i="6"/>
  <c r="DZ18" i="6"/>
  <c r="EH18" i="6"/>
  <c r="EP18" i="6"/>
  <c r="EX18" i="6"/>
  <c r="FF18" i="6"/>
  <c r="DP19" i="6"/>
  <c r="DX19" i="6"/>
  <c r="EF19" i="6"/>
  <c r="EN19" i="6"/>
  <c r="EV19" i="6"/>
  <c r="FD19" i="6"/>
  <c r="DN18" i="6"/>
  <c r="DV18" i="6"/>
  <c r="ED18" i="6"/>
  <c r="EL18" i="6"/>
  <c r="ET18" i="6"/>
  <c r="FB18" i="6"/>
  <c r="DT19" i="6"/>
  <c r="EB19" i="6"/>
  <c r="EJ19" i="6"/>
  <c r="ER19" i="6"/>
  <c r="EZ19" i="6"/>
  <c r="G39" i="13"/>
  <c r="B39" i="13"/>
  <c r="AP19" i="13"/>
  <c r="BF21" i="13"/>
  <c r="BF24" i="13"/>
  <c r="BF1" i="13"/>
  <c r="AP25" i="13"/>
  <c r="AP28" i="13"/>
  <c r="Z21" i="13"/>
  <c r="AB19" i="13"/>
  <c r="AZ20" i="13"/>
  <c r="AZ30" i="13"/>
  <c r="AR31" i="13"/>
  <c r="AR34" i="13"/>
  <c r="AJ29" i="13"/>
  <c r="AB24" i="13"/>
  <c r="AB33" i="13"/>
  <c r="BF17" i="13"/>
  <c r="BF23" i="13"/>
  <c r="BF26" i="13"/>
  <c r="AP27" i="13"/>
  <c r="AP32" i="13"/>
  <c r="Z22" i="13"/>
  <c r="AY19" i="13"/>
  <c r="AZ22" i="13"/>
  <c r="AR33" i="13"/>
  <c r="AJ33" i="13"/>
  <c r="AB26" i="13"/>
  <c r="AB34" i="13"/>
  <c r="AP34" i="13"/>
  <c r="BF25" i="13"/>
  <c r="BF28" i="13"/>
  <c r="AP29" i="13"/>
  <c r="BF27" i="13"/>
  <c r="BF32" i="13"/>
  <c r="AP30" i="13"/>
  <c r="AP31" i="13"/>
  <c r="AP21" i="13"/>
  <c r="AP24" i="13"/>
  <c r="AP1" i="13"/>
  <c r="R33" i="13"/>
  <c r="BF22" i="13"/>
  <c r="BF35" i="13"/>
  <c r="AP23" i="13"/>
  <c r="AP26" i="13"/>
  <c r="EJ1" i="6"/>
  <c r="EY1" i="6"/>
  <c r="DS1" i="6"/>
  <c r="EL1" i="6"/>
  <c r="DY1" i="6"/>
  <c r="S24" i="13"/>
  <c r="AY21" i="13"/>
  <c r="S1" i="13"/>
  <c r="AQ25" i="13"/>
  <c r="EF1" i="6"/>
  <c r="EU1" i="6"/>
  <c r="DO1" i="6"/>
  <c r="EH1" i="6"/>
  <c r="AY25" i="13"/>
  <c r="AQ22" i="13"/>
  <c r="EB1" i="6"/>
  <c r="EQ1" i="6"/>
  <c r="FJ1" i="6"/>
  <c r="ED1" i="6"/>
  <c r="AY31" i="13"/>
  <c r="S28" i="13"/>
  <c r="FD1" i="6"/>
  <c r="DX1" i="6"/>
  <c r="EM1" i="6"/>
  <c r="FF1" i="6"/>
  <c r="DZ1" i="6"/>
  <c r="AQ26" i="13"/>
  <c r="S18" i="13"/>
  <c r="AY35" i="13"/>
  <c r="EZ1" i="6"/>
  <c r="DT1" i="6"/>
  <c r="EI1" i="6"/>
  <c r="FB1" i="6"/>
  <c r="DV1" i="6"/>
  <c r="S22" i="13"/>
  <c r="EW1" i="6"/>
  <c r="AY28" i="13"/>
  <c r="BM20" i="6"/>
  <c r="EV1" i="6"/>
  <c r="DP1" i="6"/>
  <c r="EE1" i="6"/>
  <c r="EX1" i="6"/>
  <c r="DR1" i="6"/>
  <c r="FA1" i="6"/>
  <c r="AQ1" i="13"/>
  <c r="EG1" i="6"/>
  <c r="ER1" i="6"/>
  <c r="FG1" i="6"/>
  <c r="EA1" i="6"/>
  <c r="ET1" i="6"/>
  <c r="DN1" i="6"/>
  <c r="FE1" i="6"/>
  <c r="EK1" i="6"/>
  <c r="AY32" i="13"/>
  <c r="S25" i="13"/>
  <c r="DQ1" i="6"/>
  <c r="AU34" i="13"/>
  <c r="AF43" i="13"/>
  <c r="AE33" i="13"/>
  <c r="O28" i="13"/>
  <c r="AE1" i="13"/>
  <c r="AE35" i="13"/>
  <c r="AE31" i="13"/>
  <c r="X20" i="13"/>
  <c r="X34" i="13"/>
  <c r="O24" i="13"/>
  <c r="BC27" i="13"/>
  <c r="BC1" i="13"/>
  <c r="AM34" i="13"/>
  <c r="AE32" i="13"/>
  <c r="W32" i="13"/>
  <c r="AM17" i="13"/>
  <c r="BC20" i="13"/>
  <c r="AJ20" i="13"/>
  <c r="AF27" i="13"/>
  <c r="AB28" i="13"/>
  <c r="AB32" i="13"/>
  <c r="AE28" i="13"/>
  <c r="AM31" i="13"/>
  <c r="W20" i="13"/>
  <c r="A35" i="18"/>
  <c r="AM21" i="13"/>
  <c r="AE19" i="13"/>
  <c r="N43" i="13"/>
  <c r="AM24" i="13"/>
  <c r="BC22" i="13"/>
  <c r="BC34" i="13"/>
  <c r="AM23" i="13"/>
  <c r="AM33" i="13"/>
  <c r="W21" i="13"/>
  <c r="W31" i="13"/>
  <c r="AM22" i="13"/>
  <c r="BC30" i="13"/>
  <c r="AF20" i="13"/>
  <c r="X33" i="13"/>
  <c r="T43" i="13"/>
  <c r="AE30" i="13"/>
  <c r="BC24" i="13"/>
  <c r="BC32" i="13"/>
  <c r="AU24" i="13"/>
  <c r="AE26" i="13"/>
  <c r="X22" i="13"/>
  <c r="O34" i="13"/>
  <c r="O25" i="13"/>
  <c r="AL43" i="13"/>
  <c r="W24" i="13"/>
  <c r="BC19" i="13"/>
  <c r="AM25" i="13"/>
  <c r="AM35" i="13"/>
  <c r="W23" i="13"/>
  <c r="W33" i="13"/>
  <c r="BC18" i="13"/>
  <c r="W22" i="13"/>
  <c r="BC28" i="13"/>
  <c r="AF24" i="13"/>
  <c r="AE24" i="13"/>
  <c r="O33" i="13"/>
  <c r="O18" i="13"/>
  <c r="O17" i="13"/>
  <c r="BC21" i="13"/>
  <c r="BC31" i="13"/>
  <c r="AM27" i="13"/>
  <c r="AM1" i="13"/>
  <c r="W25" i="13"/>
  <c r="W35" i="13"/>
  <c r="AM18" i="13"/>
  <c r="AM28" i="13"/>
  <c r="AF19" i="13"/>
  <c r="X17" i="13"/>
  <c r="AF33" i="13"/>
  <c r="W30" i="13"/>
  <c r="W17" i="13"/>
  <c r="O22" i="13"/>
  <c r="AM30" i="13"/>
  <c r="BC23" i="13"/>
  <c r="BC33" i="13"/>
  <c r="AM29" i="13"/>
  <c r="AE21" i="13"/>
  <c r="W27" i="13"/>
  <c r="W1" i="13"/>
  <c r="W18" i="13"/>
  <c r="AM19" i="13"/>
  <c r="W28" i="13"/>
  <c r="AF21" i="13"/>
  <c r="B35" i="10"/>
  <c r="B36" i="10" s="1"/>
  <c r="AE27" i="13"/>
  <c r="AE18" i="13"/>
  <c r="AE20" i="13"/>
  <c r="W19" i="13"/>
  <c r="X35" i="13"/>
  <c r="X29" i="13"/>
  <c r="O26" i="13"/>
  <c r="AF18" i="13"/>
  <c r="BC25" i="13"/>
  <c r="BC35" i="13"/>
  <c r="AM32" i="13"/>
  <c r="AE23" i="13"/>
  <c r="W29" i="13"/>
  <c r="BC17" i="13"/>
  <c r="X19" i="13"/>
  <c r="AN24" i="13"/>
  <c r="AF23" i="13"/>
  <c r="Q25" i="13"/>
  <c r="AQ33" i="13"/>
  <c r="AQ32" i="13"/>
  <c r="BG26" i="13"/>
  <c r="AG21" i="13"/>
  <c r="AG23" i="13"/>
  <c r="AW32" i="13"/>
  <c r="AG28" i="13"/>
  <c r="Y22" i="13"/>
  <c r="Y34" i="13"/>
  <c r="AY23" i="13"/>
  <c r="AY33" i="13"/>
  <c r="AQ31" i="13"/>
  <c r="S27" i="13"/>
  <c r="Y21" i="13"/>
  <c r="AF22" i="13"/>
  <c r="AF25" i="13"/>
  <c r="AF1" i="13"/>
  <c r="X24" i="13"/>
  <c r="AY20" i="13"/>
  <c r="AW31" i="13"/>
  <c r="AG33" i="13"/>
  <c r="Y24" i="13"/>
  <c r="Y23" i="13"/>
  <c r="Y29" i="13"/>
  <c r="Q26" i="13"/>
  <c r="AQ18" i="13"/>
  <c r="Y25" i="13"/>
  <c r="S20" i="13"/>
  <c r="AQ19" i="13"/>
  <c r="Q31" i="13"/>
  <c r="AG19" i="13"/>
  <c r="AG17" i="13"/>
  <c r="AG35" i="13"/>
  <c r="Y26" i="13"/>
  <c r="Y1" i="13"/>
  <c r="S32" i="13"/>
  <c r="AY27" i="13"/>
  <c r="AY1" i="13"/>
  <c r="AA27" i="13"/>
  <c r="S34" i="13"/>
  <c r="AA30" i="13"/>
  <c r="AN27" i="13"/>
  <c r="AF26" i="13"/>
  <c r="AF29" i="13"/>
  <c r="X23" i="13"/>
  <c r="AI28" i="10"/>
  <c r="AG31" i="13"/>
  <c r="AG18" i="13"/>
  <c r="Q34" i="13"/>
  <c r="AQ27" i="13"/>
  <c r="AG30" i="13"/>
  <c r="Y28" i="13"/>
  <c r="Q20" i="13"/>
  <c r="BG24" i="13"/>
  <c r="AA17" i="13"/>
  <c r="AY29" i="13"/>
  <c r="AQ21" i="13"/>
  <c r="AA31" i="13"/>
  <c r="AF28" i="13"/>
  <c r="AF31" i="13"/>
  <c r="Q17" i="13"/>
  <c r="Y31" i="13"/>
  <c r="Q18" i="13"/>
  <c r="Q23" i="13"/>
  <c r="Q1" i="13"/>
  <c r="AQ34" i="13"/>
  <c r="AG29" i="13"/>
  <c r="AY17" i="13"/>
  <c r="AQ28" i="13"/>
  <c r="Y19" i="13"/>
  <c r="Y17" i="13"/>
  <c r="AG20" i="13"/>
  <c r="AG32" i="13"/>
  <c r="Y30" i="13"/>
  <c r="Q22" i="13"/>
  <c r="AA24" i="13"/>
  <c r="BG27" i="13"/>
  <c r="AY30" i="13"/>
  <c r="AQ23" i="13"/>
  <c r="AA1" i="13"/>
  <c r="S31" i="13"/>
  <c r="Q24" i="13"/>
  <c r="Q27" i="13"/>
  <c r="AQ35" i="13"/>
  <c r="Q29" i="13"/>
  <c r="S17" i="13"/>
  <c r="Y27" i="13"/>
  <c r="BE22" i="13"/>
  <c r="AG22" i="13"/>
  <c r="AG34" i="13"/>
  <c r="Y33" i="13"/>
  <c r="Q28" i="13"/>
  <c r="BG31" i="13"/>
  <c r="AY34" i="13"/>
  <c r="AQ29" i="13"/>
  <c r="S33" i="13"/>
  <c r="AF17" i="13"/>
  <c r="AF35" i="13"/>
  <c r="BM24" i="6"/>
  <c r="Q33" i="13"/>
  <c r="AQ20" i="13"/>
  <c r="AQ24" i="13"/>
  <c r="AY22" i="13"/>
  <c r="AY24" i="13"/>
  <c r="AY18" i="13"/>
  <c r="AG24" i="13"/>
  <c r="Y35" i="13"/>
  <c r="BG1" i="13"/>
  <c r="AQ30" i="13"/>
  <c r="S23" i="13"/>
  <c r="B16" i="19"/>
  <c r="C16" i="19" s="1"/>
  <c r="D16" i="19" s="1"/>
  <c r="C14" i="19"/>
  <c r="D14" i="19" s="1"/>
  <c r="E14" i="19" s="1"/>
  <c r="G18" i="13"/>
  <c r="H18" i="13"/>
  <c r="B18" i="13"/>
  <c r="J18" i="13" s="1"/>
  <c r="E18" i="13"/>
  <c r="L18" i="13"/>
  <c r="B27" i="13"/>
  <c r="I27" i="13" s="1"/>
  <c r="AB21" i="13"/>
  <c r="BM25" i="6"/>
  <c r="BM32" i="6"/>
  <c r="BE27" i="13"/>
  <c r="Z23" i="13"/>
  <c r="Z24" i="13"/>
  <c r="Z31" i="13"/>
  <c r="R27" i="13"/>
  <c r="R28" i="13"/>
  <c r="BE24" i="13"/>
  <c r="AW33" i="13"/>
  <c r="AW34" i="13"/>
  <c r="AO21" i="13"/>
  <c r="BM35" i="6"/>
  <c r="BE26" i="13"/>
  <c r="BE20" i="13"/>
  <c r="BE29" i="13"/>
  <c r="BE31" i="13"/>
  <c r="Z25" i="13"/>
  <c r="Z26" i="13"/>
  <c r="Z33" i="13"/>
  <c r="Z1" i="13"/>
  <c r="R29" i="13"/>
  <c r="BE19" i="13"/>
  <c r="AW35" i="13"/>
  <c r="G26" i="6"/>
  <c r="H26" i="6" s="1"/>
  <c r="BE18" i="13"/>
  <c r="AW27" i="13"/>
  <c r="BE33" i="13"/>
  <c r="BE28" i="13"/>
  <c r="BE23" i="13"/>
  <c r="Z17" i="13"/>
  <c r="AH21" i="13"/>
  <c r="Z27" i="13"/>
  <c r="Z28" i="13"/>
  <c r="Z35" i="13"/>
  <c r="R32" i="13"/>
  <c r="AW19" i="13"/>
  <c r="AW20" i="13"/>
  <c r="BE35" i="13"/>
  <c r="AW21" i="13"/>
  <c r="Z19" i="13"/>
  <c r="AH20" i="13"/>
  <c r="Z29" i="13"/>
  <c r="Z30" i="13"/>
  <c r="R34" i="13"/>
  <c r="BE17" i="13"/>
  <c r="AW22" i="13"/>
  <c r="AW1" i="13"/>
  <c r="AO35" i="13"/>
  <c r="Z18" i="13"/>
  <c r="AR42" i="13"/>
  <c r="AW18" i="13"/>
  <c r="BE34" i="13"/>
  <c r="BE25" i="13"/>
  <c r="R17" i="13"/>
  <c r="Z32" i="13"/>
  <c r="R20" i="13"/>
  <c r="AW17" i="13"/>
  <c r="BE1" i="13"/>
  <c r="AW24" i="13"/>
  <c r="R18" i="13"/>
  <c r="AW29" i="13"/>
  <c r="R22" i="13"/>
  <c r="BE30" i="13"/>
  <c r="AW26" i="13"/>
  <c r="Z20" i="13"/>
  <c r="R23" i="13"/>
  <c r="R24" i="13"/>
  <c r="R31" i="13"/>
  <c r="AW23" i="13"/>
  <c r="AW28" i="13"/>
  <c r="AW30" i="13"/>
  <c r="BM31" i="6"/>
  <c r="BM29" i="6"/>
  <c r="L37" i="6"/>
  <c r="BM22" i="6"/>
  <c r="G1" i="13"/>
  <c r="L1" i="13"/>
  <c r="B1" i="13"/>
  <c r="F1" i="13" s="1"/>
  <c r="E1" i="13"/>
  <c r="AF42" i="13"/>
  <c r="BD42" i="13"/>
  <c r="N42" i="13"/>
  <c r="T42" i="13"/>
  <c r="AL42" i="13"/>
  <c r="AX42" i="13"/>
  <c r="BA14" i="13"/>
  <c r="X14" i="13"/>
  <c r="M27" i="13"/>
  <c r="M34" i="13"/>
  <c r="M24" i="13"/>
  <c r="M22" i="13"/>
  <c r="AO25" i="13"/>
  <c r="AI25" i="13"/>
  <c r="AA29" i="13"/>
  <c r="AA33" i="13"/>
  <c r="AO29" i="13"/>
  <c r="AV17" i="13"/>
  <c r="BD31" i="13"/>
  <c r="AV20" i="13"/>
  <c r="AV21" i="13"/>
  <c r="BD43" i="13"/>
  <c r="AN14" i="13"/>
  <c r="M23" i="13"/>
  <c r="AO17" i="13"/>
  <c r="AO20" i="13"/>
  <c r="AA35" i="13"/>
  <c r="BD1" i="13"/>
  <c r="BD35" i="13"/>
  <c r="AV22" i="13"/>
  <c r="AV23" i="13"/>
  <c r="AV30" i="13"/>
  <c r="AA14" i="13"/>
  <c r="AF14" i="13"/>
  <c r="AK14" i="13"/>
  <c r="AW14" i="13"/>
  <c r="AC14" i="13"/>
  <c r="AT14" i="13"/>
  <c r="BB14" i="13"/>
  <c r="M28" i="13"/>
  <c r="M33" i="13"/>
  <c r="AA28" i="13"/>
  <c r="AA20" i="13"/>
  <c r="AO22" i="13"/>
  <c r="AO1" i="13"/>
  <c r="AA34" i="13"/>
  <c r="AV24" i="13"/>
  <c r="AV25" i="13"/>
  <c r="AV32" i="13"/>
  <c r="U14" i="13"/>
  <c r="BG14" i="13"/>
  <c r="AQ14" i="13"/>
  <c r="Y14" i="13"/>
  <c r="AO27" i="13"/>
  <c r="AO24" i="13"/>
  <c r="BD20" i="13"/>
  <c r="BD21" i="13"/>
  <c r="BD30" i="13"/>
  <c r="AV26" i="13"/>
  <c r="AV27" i="13"/>
  <c r="AV34" i="13"/>
  <c r="T34" i="13"/>
  <c r="BD18" i="13"/>
  <c r="AA18" i="13"/>
  <c r="AO26" i="13"/>
  <c r="AO30" i="13"/>
  <c r="AA19" i="13"/>
  <c r="AA21" i="13"/>
  <c r="BD22" i="13"/>
  <c r="BD23" i="13"/>
  <c r="BD32" i="13"/>
  <c r="AV28" i="13"/>
  <c r="AV29" i="13"/>
  <c r="AV1" i="13"/>
  <c r="T29" i="13"/>
  <c r="M17" i="13"/>
  <c r="AO19" i="13"/>
  <c r="AO28" i="13"/>
  <c r="AO32" i="13"/>
  <c r="AA23" i="13"/>
  <c r="BD33" i="13"/>
  <c r="AA22" i="13"/>
  <c r="BD19" i="13"/>
  <c r="BD24" i="13"/>
  <c r="BD25" i="13"/>
  <c r="BD34" i="13"/>
  <c r="AV35" i="13"/>
  <c r="AV31" i="13"/>
  <c r="AO23" i="13"/>
  <c r="M26" i="13"/>
  <c r="AA26" i="13"/>
  <c r="AV18" i="13"/>
  <c r="AO33" i="13"/>
  <c r="AO34" i="13"/>
  <c r="AA25" i="13"/>
  <c r="AV19" i="13"/>
  <c r="BD17" i="13"/>
  <c r="BD26" i="13"/>
  <c r="BD27" i="13"/>
  <c r="AV33" i="13"/>
  <c r="AO18" i="13"/>
  <c r="AM14" i="13"/>
  <c r="N28" i="13"/>
  <c r="N27" i="13"/>
  <c r="AU18" i="13"/>
  <c r="T23" i="13"/>
  <c r="AU28" i="13"/>
  <c r="AU25" i="13"/>
  <c r="T31" i="13"/>
  <c r="T32" i="13"/>
  <c r="T27" i="13"/>
  <c r="T21" i="13"/>
  <c r="T24" i="13"/>
  <c r="N34" i="13"/>
  <c r="N26" i="13"/>
  <c r="N22" i="13"/>
  <c r="N18" i="13"/>
  <c r="AH17" i="13"/>
  <c r="AH34" i="13"/>
  <c r="BA19" i="13"/>
  <c r="BA32" i="13"/>
  <c r="BG25" i="13"/>
  <c r="N17" i="13"/>
  <c r="BA18" i="13"/>
  <c r="T14" i="13"/>
  <c r="AB14" i="13"/>
  <c r="AR14" i="13"/>
  <c r="AZ14" i="13"/>
  <c r="BH14" i="13"/>
  <c r="W14" i="13"/>
  <c r="N33" i="13"/>
  <c r="BA23" i="13"/>
  <c r="AH23" i="13"/>
  <c r="AH22" i="13"/>
  <c r="AU32" i="13"/>
  <c r="BG28" i="13"/>
  <c r="BA20" i="13"/>
  <c r="BA35" i="13"/>
  <c r="BG29" i="13"/>
  <c r="BG33" i="13"/>
  <c r="BG17" i="13"/>
  <c r="BE14" i="13"/>
  <c r="BI14" i="13"/>
  <c r="BD14" i="13"/>
  <c r="BF14" i="13"/>
  <c r="P28" i="16"/>
  <c r="AU27" i="13"/>
  <c r="AU22" i="13"/>
  <c r="BA21" i="13"/>
  <c r="AU31" i="13"/>
  <c r="T19" i="13"/>
  <c r="N24" i="13"/>
  <c r="AH25" i="13"/>
  <c r="AH24" i="13"/>
  <c r="AH31" i="13"/>
  <c r="AH1" i="13"/>
  <c r="BA22" i="13"/>
  <c r="BG30" i="13"/>
  <c r="BG35" i="13"/>
  <c r="BG22" i="13"/>
  <c r="AH18" i="13"/>
  <c r="AO14" i="13"/>
  <c r="AI14" i="13"/>
  <c r="AY14" i="13"/>
  <c r="T26" i="13"/>
  <c r="N25" i="13"/>
  <c r="N1" i="13"/>
  <c r="AH27" i="13"/>
  <c r="AH26" i="13"/>
  <c r="AH33" i="13"/>
  <c r="BA24" i="13"/>
  <c r="BG34" i="13"/>
  <c r="AS14" i="13"/>
  <c r="AU14" i="13"/>
  <c r="T33" i="13"/>
  <c r="AU29" i="13"/>
  <c r="AU35" i="13"/>
  <c r="T18" i="13"/>
  <c r="T20" i="13"/>
  <c r="AU33" i="13"/>
  <c r="AH29" i="13"/>
  <c r="AH28" i="13"/>
  <c r="AH35" i="13"/>
  <c r="BG20" i="13"/>
  <c r="BA26" i="13"/>
  <c r="BA1" i="13"/>
  <c r="BG19" i="13"/>
  <c r="V14" i="13"/>
  <c r="BA27" i="13"/>
  <c r="AU17" i="13"/>
  <c r="AU21" i="13"/>
  <c r="AU26" i="13"/>
  <c r="AU20" i="13"/>
  <c r="T25" i="13"/>
  <c r="T28" i="13"/>
  <c r="T22" i="13"/>
  <c r="T1" i="13"/>
  <c r="N23" i="13"/>
  <c r="AH19" i="13"/>
  <c r="AH30" i="13"/>
  <c r="AH32" i="13"/>
  <c r="BG18" i="13"/>
  <c r="BA17" i="13"/>
  <c r="BA28" i="13"/>
  <c r="BG21" i="13"/>
  <c r="T17" i="13"/>
  <c r="AR43" i="13"/>
  <c r="BC14" i="13"/>
  <c r="AU30" i="13"/>
  <c r="AU1" i="13"/>
  <c r="T35" i="13"/>
  <c r="BA29" i="13"/>
  <c r="BA25" i="13"/>
  <c r="BA31" i="13"/>
  <c r="BA30" i="13"/>
  <c r="BG23" i="13"/>
  <c r="J17" i="13"/>
  <c r="I17" i="13"/>
  <c r="E3" i="6"/>
  <c r="AM39" i="8"/>
  <c r="C15" i="6"/>
  <c r="AV14" i="13"/>
  <c r="AI41" i="10"/>
  <c r="DL23" i="6"/>
  <c r="AD27" i="13"/>
  <c r="AX35" i="13"/>
  <c r="U19" i="13"/>
  <c r="U22" i="13"/>
  <c r="AS25" i="13"/>
  <c r="AS35" i="13"/>
  <c r="AS17" i="13"/>
  <c r="AS33" i="13"/>
  <c r="AS19" i="13"/>
  <c r="AS21" i="13"/>
  <c r="AS27" i="13"/>
  <c r="AS1" i="13"/>
  <c r="AS28" i="13"/>
  <c r="AS32" i="13"/>
  <c r="AS30" i="13"/>
  <c r="AS24" i="13"/>
  <c r="AS31" i="13"/>
  <c r="AS18" i="13"/>
  <c r="AS20" i="13"/>
  <c r="AS29" i="13"/>
  <c r="AS23" i="13"/>
  <c r="AS22" i="13"/>
  <c r="AH14" i="13"/>
  <c r="AX14" i="13"/>
  <c r="AE14" i="13"/>
  <c r="AD35" i="13"/>
  <c r="AD32" i="13"/>
  <c r="AD19" i="13"/>
  <c r="AD33" i="13"/>
  <c r="AD28" i="13"/>
  <c r="AD1" i="13"/>
  <c r="AD26" i="13"/>
  <c r="AD17" i="13"/>
  <c r="AD18" i="13"/>
  <c r="AD24" i="13"/>
  <c r="AD34" i="13"/>
  <c r="AD31" i="13"/>
  <c r="AD29" i="13"/>
  <c r="AD30" i="13"/>
  <c r="AD25" i="13"/>
  <c r="AD23" i="13"/>
  <c r="AD20" i="13"/>
  <c r="AJ14" i="13"/>
  <c r="AN1" i="13"/>
  <c r="AN30" i="13"/>
  <c r="AN21" i="13"/>
  <c r="AN18" i="13"/>
  <c r="AN35" i="13"/>
  <c r="AN31" i="13"/>
  <c r="AN28" i="13"/>
  <c r="AN19" i="13"/>
  <c r="AN29" i="13"/>
  <c r="AN26" i="13"/>
  <c r="AN33" i="13"/>
  <c r="AN34" i="13"/>
  <c r="AN25" i="13"/>
  <c r="AN22" i="13"/>
  <c r="AN17" i="13"/>
  <c r="AN32" i="13"/>
  <c r="AN23" i="13"/>
  <c r="AN20" i="13"/>
  <c r="P32" i="16"/>
  <c r="P33" i="16"/>
  <c r="P23" i="16"/>
  <c r="P27" i="16"/>
  <c r="P19" i="16"/>
  <c r="P20" i="16"/>
  <c r="P24" i="16"/>
  <c r="P25" i="16"/>
  <c r="P18" i="16"/>
  <c r="P22" i="16"/>
  <c r="P29" i="16"/>
  <c r="P21" i="16"/>
  <c r="P31" i="16"/>
  <c r="P26" i="16"/>
  <c r="DL28" i="6"/>
  <c r="AX29" i="13"/>
  <c r="AX17" i="13"/>
  <c r="AX32" i="13"/>
  <c r="AX27" i="13"/>
  <c r="AX28" i="13"/>
  <c r="AX23" i="13"/>
  <c r="AX26" i="13"/>
  <c r="AX21" i="13"/>
  <c r="AX33" i="13"/>
  <c r="AX22" i="13"/>
  <c r="AX31" i="13"/>
  <c r="AX34" i="13"/>
  <c r="AX19" i="13"/>
  <c r="AX18" i="13"/>
  <c r="AX30" i="13"/>
  <c r="AX1" i="13"/>
  <c r="AX25" i="13"/>
  <c r="Z14" i="13"/>
  <c r="AP14" i="13"/>
  <c r="AG14" i="13"/>
  <c r="AL14" i="13"/>
  <c r="U32" i="13"/>
  <c r="U31" i="13"/>
  <c r="U25" i="13"/>
  <c r="U30" i="13"/>
  <c r="U28" i="13"/>
  <c r="U1" i="13"/>
  <c r="U26" i="13"/>
  <c r="U18" i="13"/>
  <c r="U24" i="13"/>
  <c r="U17" i="13"/>
  <c r="U33" i="13"/>
  <c r="U29" i="13"/>
  <c r="U35" i="13"/>
  <c r="U20" i="13"/>
  <c r="U34" i="13"/>
  <c r="U23" i="13"/>
  <c r="U27" i="13"/>
  <c r="AI33" i="13"/>
  <c r="AI18" i="13"/>
  <c r="AI31" i="13"/>
  <c r="AI20" i="13"/>
  <c r="AI1" i="13"/>
  <c r="AI30" i="13"/>
  <c r="AI19" i="13"/>
  <c r="AI29" i="13"/>
  <c r="AI32" i="13"/>
  <c r="AI17" i="13"/>
  <c r="AI27" i="13"/>
  <c r="AI26" i="13"/>
  <c r="AI23" i="13"/>
  <c r="AI28" i="13"/>
  <c r="AI24" i="13"/>
  <c r="AI35" i="13"/>
  <c r="AI34" i="13"/>
  <c r="AI21" i="13"/>
  <c r="AD14" i="13"/>
  <c r="DL21" i="6"/>
  <c r="AD22" i="13"/>
  <c r="P34" i="13"/>
  <c r="P17" i="13"/>
  <c r="P24" i="13"/>
  <c r="P33" i="13"/>
  <c r="P28" i="13"/>
  <c r="P23" i="13"/>
  <c r="P29" i="13"/>
  <c r="P26" i="13"/>
  <c r="P18" i="13"/>
  <c r="P31" i="13"/>
  <c r="P27" i="13"/>
  <c r="P22" i="13"/>
  <c r="P32" i="13"/>
  <c r="P20" i="13"/>
  <c r="P1" i="13"/>
  <c r="AG27" i="13"/>
  <c r="DM1" i="6"/>
  <c r="P30" i="16"/>
  <c r="EC1" i="6"/>
  <c r="ES1" i="6"/>
  <c r="FH1" i="6"/>
  <c r="BS26" i="6" l="1"/>
  <c r="BT26" i="6"/>
  <c r="BS18" i="6"/>
  <c r="BT18" i="6"/>
  <c r="BR33" i="6"/>
  <c r="BS33" i="6"/>
  <c r="BO33" i="6"/>
  <c r="BP33" i="6"/>
  <c r="BR21" i="6"/>
  <c r="BS21" i="6"/>
  <c r="BQ18" i="6"/>
  <c r="BR18" i="6"/>
  <c r="BQ26" i="6"/>
  <c r="BR26" i="6"/>
  <c r="BM21" i="6"/>
  <c r="BQ21" i="6"/>
  <c r="BN33" i="6"/>
  <c r="BQ33" i="6"/>
  <c r="BM33" i="6"/>
  <c r="BN21" i="6"/>
  <c r="BO21" i="6"/>
  <c r="BP21" i="6"/>
  <c r="BO26" i="6"/>
  <c r="BP26" i="6"/>
  <c r="BO18" i="6"/>
  <c r="BP18" i="6"/>
  <c r="BM26" i="6"/>
  <c r="BN26" i="6"/>
  <c r="BM18" i="6"/>
  <c r="BN18" i="6"/>
  <c r="DL18" i="6"/>
  <c r="DL19" i="6"/>
  <c r="A36" i="18"/>
  <c r="D15" i="19"/>
  <c r="E15" i="19" s="1"/>
  <c r="E16" i="19" s="1"/>
  <c r="K38" i="6"/>
  <c r="I39" i="13"/>
  <c r="I18" i="13"/>
  <c r="F18" i="13"/>
  <c r="B35" i="8"/>
  <c r="B36" i="8" s="1"/>
  <c r="B37" i="8" s="1"/>
  <c r="J35" i="18"/>
  <c r="B17" i="19"/>
  <c r="B18" i="19" s="1"/>
  <c r="B19" i="19" s="1"/>
  <c r="C19" i="19" s="1"/>
  <c r="H27" i="13"/>
  <c r="E27" i="13"/>
  <c r="F27" i="13" s="1"/>
  <c r="G27" i="13"/>
  <c r="I1" i="13"/>
  <c r="J1" i="13"/>
  <c r="AQ39" i="8"/>
  <c r="B37" i="10"/>
  <c r="DL1" i="6"/>
  <c r="AM41" i="10"/>
  <c r="U38" i="6" l="1"/>
  <c r="S21" i="13" s="1"/>
  <c r="S14" i="13"/>
  <c r="R14" i="13"/>
  <c r="P14" i="13"/>
  <c r="Q14" i="13"/>
  <c r="E20" i="13"/>
  <c r="F20" i="13" s="1"/>
  <c r="DR20" i="6"/>
  <c r="EB24" i="6"/>
  <c r="FD22" i="6"/>
  <c r="EP22" i="6"/>
  <c r="FB24" i="6"/>
  <c r="EH22" i="6"/>
  <c r="EU22" i="6"/>
  <c r="EB22" i="6"/>
  <c r="EX22" i="6"/>
  <c r="DU22" i="6"/>
  <c r="DR22" i="6"/>
  <c r="EC25" i="6"/>
  <c r="EK22" i="6"/>
  <c r="DO22" i="6"/>
  <c r="DZ22" i="6"/>
  <c r="EV20" i="6"/>
  <c r="DP22" i="6"/>
  <c r="EN22" i="6"/>
  <c r="K39" i="6"/>
  <c r="U39" i="6" s="1"/>
  <c r="S30" i="13" s="1"/>
  <c r="EO20" i="6"/>
  <c r="EE22" i="6"/>
  <c r="EZ22" i="6"/>
  <c r="FC22" i="6"/>
  <c r="EC22" i="6"/>
  <c r="ED25" i="6"/>
  <c r="EZ20" i="6"/>
  <c r="ES22" i="6"/>
  <c r="DX22" i="6"/>
  <c r="FG22" i="6"/>
  <c r="ER22" i="6"/>
  <c r="EK20" i="6"/>
  <c r="FH22" i="6"/>
  <c r="EM22" i="6"/>
  <c r="EF22" i="6"/>
  <c r="FF22" i="6"/>
  <c r="DT20" i="6"/>
  <c r="DT22" i="6"/>
  <c r="FA22" i="6"/>
  <c r="DM22" i="6"/>
  <c r="FH27" i="6"/>
  <c r="ES27" i="6"/>
  <c r="FF27" i="6"/>
  <c r="FJ27" i="6"/>
  <c r="FB27" i="6"/>
  <c r="EN27" i="6"/>
  <c r="FG27" i="6"/>
  <c r="DU27" i="6"/>
  <c r="DV27" i="6"/>
  <c r="DM27" i="6"/>
  <c r="EV27" i="6"/>
  <c r="DT27" i="6"/>
  <c r="ET27" i="6"/>
  <c r="EH27" i="6"/>
  <c r="DY27" i="6"/>
  <c r="FD27" i="6"/>
  <c r="EB27" i="6"/>
  <c r="DZ27" i="6"/>
  <c r="EU27" i="6"/>
  <c r="EL27" i="6"/>
  <c r="DS27" i="6"/>
  <c r="EJ27" i="6"/>
  <c r="DN27" i="6"/>
  <c r="FA27" i="6"/>
  <c r="FI27" i="6"/>
  <c r="EX27" i="6"/>
  <c r="EA27" i="6"/>
  <c r="ER27" i="6"/>
  <c r="DR27" i="6"/>
  <c r="EM27" i="6"/>
  <c r="ED27" i="6"/>
  <c r="DW27" i="6"/>
  <c r="DO27" i="6"/>
  <c r="DP27" i="6"/>
  <c r="EI27" i="6"/>
  <c r="EZ27" i="6"/>
  <c r="FE27" i="6"/>
  <c r="EE27" i="6"/>
  <c r="DQ27" i="6"/>
  <c r="FC27" i="6"/>
  <c r="EK27" i="6"/>
  <c r="EC27" i="6"/>
  <c r="DX27" i="6"/>
  <c r="EQ27" i="6"/>
  <c r="EP27" i="6"/>
  <c r="EG27" i="6"/>
  <c r="EW27" i="6"/>
  <c r="EO27" i="6"/>
  <c r="EF27" i="6"/>
  <c r="EY27" i="6"/>
  <c r="N14" i="13"/>
  <c r="O14" i="13"/>
  <c r="L14" i="13"/>
  <c r="M14" i="13"/>
  <c r="L38" i="6"/>
  <c r="A37" i="18"/>
  <c r="FD26" i="6"/>
  <c r="EB26" i="6"/>
  <c r="DT26" i="6"/>
  <c r="J36" i="18"/>
  <c r="E38" i="6"/>
  <c r="H20" i="13" s="1"/>
  <c r="EI26" i="6"/>
  <c r="DY26" i="6"/>
  <c r="FI26" i="6"/>
  <c r="FE26" i="6"/>
  <c r="DV26" i="6"/>
  <c r="EL26" i="6"/>
  <c r="DU26" i="6"/>
  <c r="FH26" i="6"/>
  <c r="EK26" i="6"/>
  <c r="ES26" i="6"/>
  <c r="EP26" i="6"/>
  <c r="DO26" i="6"/>
  <c r="EX26" i="6"/>
  <c r="FF26" i="6"/>
  <c r="DS26" i="6"/>
  <c r="EO26" i="6"/>
  <c r="DQ26" i="6"/>
  <c r="EV26" i="6"/>
  <c r="ED26" i="6"/>
  <c r="EZ26" i="6"/>
  <c r="EY26" i="6"/>
  <c r="ER26" i="6"/>
  <c r="DR25" i="6"/>
  <c r="FA25" i="6"/>
  <c r="DX20" i="6"/>
  <c r="EJ26" i="6"/>
  <c r="FJ26" i="6"/>
  <c r="EU26" i="6"/>
  <c r="EG26" i="6"/>
  <c r="EM26" i="6"/>
  <c r="FA26" i="6"/>
  <c r="DQ25" i="6"/>
  <c r="EA25" i="6"/>
  <c r="DS25" i="6"/>
  <c r="FJ25" i="6"/>
  <c r="DY20" i="6"/>
  <c r="EY20" i="6"/>
  <c r="ET26" i="6"/>
  <c r="EQ26" i="6"/>
  <c r="EC26" i="6"/>
  <c r="DR26" i="6"/>
  <c r="DZ26" i="6"/>
  <c r="EH26" i="6"/>
  <c r="EL25" i="6"/>
  <c r="EM25" i="6"/>
  <c r="DV25" i="6"/>
  <c r="EN25" i="6"/>
  <c r="DW20" i="6"/>
  <c r="DS20" i="6"/>
  <c r="EW26" i="6"/>
  <c r="EF26" i="6"/>
  <c r="EN26" i="6"/>
  <c r="DW26" i="6"/>
  <c r="EA26" i="6"/>
  <c r="EE26" i="6"/>
  <c r="EX25" i="6"/>
  <c r="ES20" i="6"/>
  <c r="EA20" i="6"/>
  <c r="FB26" i="6"/>
  <c r="DP26" i="6"/>
  <c r="DX26" i="6"/>
  <c r="DN26" i="6"/>
  <c r="FC26" i="6"/>
  <c r="FG26" i="6"/>
  <c r="DM26" i="6"/>
  <c r="FC25" i="6"/>
  <c r="EW25" i="6"/>
  <c r="FI25" i="6"/>
  <c r="DN20" i="6"/>
  <c r="ED20" i="6"/>
  <c r="EU20" i="6"/>
  <c r="DU20" i="6"/>
  <c r="EH20" i="6"/>
  <c r="EF20" i="6"/>
  <c r="FA20" i="6"/>
  <c r="EJ20" i="6"/>
  <c r="EN20" i="6"/>
  <c r="EL20" i="6"/>
  <c r="EI20" i="6"/>
  <c r="FE20" i="6"/>
  <c r="EH25" i="6"/>
  <c r="DP25" i="6"/>
  <c r="EG25" i="6"/>
  <c r="EB25" i="6"/>
  <c r="EJ25" i="6"/>
  <c r="DU25" i="6"/>
  <c r="ES25" i="6"/>
  <c r="DZ25" i="6"/>
  <c r="EP25" i="6"/>
  <c r="FG25" i="6"/>
  <c r="EE25" i="6"/>
  <c r="FE25" i="6"/>
  <c r="EK25" i="6"/>
  <c r="EY25" i="6"/>
  <c r="DT25" i="6"/>
  <c r="DN25" i="6"/>
  <c r="EV25" i="6"/>
  <c r="FB25" i="6"/>
  <c r="EU25" i="6"/>
  <c r="EQ25" i="6"/>
  <c r="EO25" i="6"/>
  <c r="DY25" i="6"/>
  <c r="FH25" i="6"/>
  <c r="EI25" i="6"/>
  <c r="FD25" i="6"/>
  <c r="ER25" i="6"/>
  <c r="FF25" i="6"/>
  <c r="DM25" i="6"/>
  <c r="ET25" i="6"/>
  <c r="DO25" i="6"/>
  <c r="EZ25" i="6"/>
  <c r="DW25" i="6"/>
  <c r="DX25" i="6"/>
  <c r="FC20" i="6"/>
  <c r="FB20" i="6"/>
  <c r="DO20" i="6"/>
  <c r="EC20" i="6"/>
  <c r="DM20" i="6"/>
  <c r="FF20" i="6"/>
  <c r="EX20" i="6"/>
  <c r="FI22" i="6"/>
  <c r="FB22" i="6"/>
  <c r="DY22" i="6"/>
  <c r="EQ22" i="6"/>
  <c r="DN22" i="6"/>
  <c r="EW22" i="6"/>
  <c r="FJ22" i="6"/>
  <c r="EG22" i="6"/>
  <c r="EY22" i="6"/>
  <c r="EO22" i="6"/>
  <c r="FE22" i="6"/>
  <c r="DV22" i="6"/>
  <c r="DW22" i="6"/>
  <c r="ED22" i="6"/>
  <c r="DS22" i="6"/>
  <c r="ET22" i="6"/>
  <c r="EI22" i="6"/>
  <c r="EJ22" i="6"/>
  <c r="EL22" i="6"/>
  <c r="EA22" i="6"/>
  <c r="EV22" i="6"/>
  <c r="DQ22" i="6"/>
  <c r="EG20" i="6"/>
  <c r="EE20" i="6"/>
  <c r="ER20" i="6"/>
  <c r="DZ20" i="6"/>
  <c r="EP20" i="6"/>
  <c r="EQ20" i="6"/>
  <c r="EF25" i="6"/>
  <c r="DV20" i="6"/>
  <c r="FH20" i="6"/>
  <c r="FJ20" i="6"/>
  <c r="EB20" i="6"/>
  <c r="FG20" i="6"/>
  <c r="DQ20" i="6"/>
  <c r="DP20" i="6"/>
  <c r="ET20" i="6"/>
  <c r="FD20" i="6"/>
  <c r="FI20" i="6"/>
  <c r="EM20" i="6"/>
  <c r="EW20" i="6"/>
  <c r="FF24" i="6"/>
  <c r="DQ24" i="6"/>
  <c r="ET24" i="6"/>
  <c r="EA24" i="6"/>
  <c r="EQ24" i="6"/>
  <c r="DT24" i="6"/>
  <c r="EL24" i="6"/>
  <c r="EO24" i="6"/>
  <c r="EE24" i="6"/>
  <c r="FA24" i="6"/>
  <c r="EW24" i="6"/>
  <c r="EN24" i="6"/>
  <c r="EI24" i="6"/>
  <c r="ER24" i="6"/>
  <c r="DO24" i="6"/>
  <c r="FC24" i="6"/>
  <c r="DX24" i="6"/>
  <c r="EY24" i="6"/>
  <c r="FG24" i="6"/>
  <c r="EM24" i="6"/>
  <c r="EG24" i="6"/>
  <c r="DP24" i="6"/>
  <c r="EH24" i="6"/>
  <c r="DR24" i="6"/>
  <c r="FD24" i="6"/>
  <c r="EC24" i="6"/>
  <c r="DU24" i="6"/>
  <c r="EF24" i="6"/>
  <c r="EJ24" i="6"/>
  <c r="EV24" i="6"/>
  <c r="DW24" i="6"/>
  <c r="DS24" i="6"/>
  <c r="EU24" i="6"/>
  <c r="ED24" i="6"/>
  <c r="EK24" i="6"/>
  <c r="FI24" i="6"/>
  <c r="FH24" i="6"/>
  <c r="FJ24" i="6"/>
  <c r="EP24" i="6"/>
  <c r="DN24" i="6"/>
  <c r="DZ24" i="6"/>
  <c r="EX24" i="6"/>
  <c r="EZ24" i="6"/>
  <c r="FE24" i="6"/>
  <c r="DV24" i="6"/>
  <c r="DM24" i="6"/>
  <c r="DY24" i="6"/>
  <c r="ES24" i="6"/>
  <c r="C18" i="19"/>
  <c r="D19" i="19" s="1"/>
  <c r="C17" i="19"/>
  <c r="D17" i="19" s="1"/>
  <c r="E17" i="19" s="1"/>
  <c r="B20" i="19"/>
  <c r="B21" i="19" s="1"/>
  <c r="C21" i="19" s="1"/>
  <c r="EK29" i="6"/>
  <c r="EY31" i="6"/>
  <c r="DS31" i="6"/>
  <c r="EV31" i="6"/>
  <c r="ER32" i="6"/>
  <c r="EU32" i="6"/>
  <c r="EI32" i="6"/>
  <c r="EQ32" i="6"/>
  <c r="EC32" i="6"/>
  <c r="FB32" i="6"/>
  <c r="EX32" i="6"/>
  <c r="H33" i="13"/>
  <c r="G33" i="13"/>
  <c r="B33" i="13"/>
  <c r="AQ41" i="10"/>
  <c r="AU39" i="8"/>
  <c r="S39" i="6" l="1"/>
  <c r="Q30" i="13" s="1"/>
  <c r="EX29" i="6"/>
  <c r="FD29" i="6"/>
  <c r="FJ29" i="6"/>
  <c r="FG29" i="6"/>
  <c r="DM29" i="6"/>
  <c r="EN31" i="6"/>
  <c r="EK32" i="6"/>
  <c r="ED32" i="6"/>
  <c r="DS32" i="6"/>
  <c r="FJ32" i="6"/>
  <c r="FE32" i="6"/>
  <c r="DZ32" i="6"/>
  <c r="DQ32" i="6"/>
  <c r="DY32" i="6"/>
  <c r="DP32" i="6"/>
  <c r="FG32" i="6"/>
  <c r="EG32" i="6"/>
  <c r="EN32" i="6"/>
  <c r="DU32" i="6"/>
  <c r="DT32" i="6"/>
  <c r="EB32" i="6"/>
  <c r="FH32" i="6"/>
  <c r="EH32" i="6"/>
  <c r="EL32" i="6"/>
  <c r="EZ31" i="6"/>
  <c r="ED31" i="6"/>
  <c r="FJ31" i="6"/>
  <c r="FC31" i="6"/>
  <c r="DO31" i="6"/>
  <c r="FG31" i="6"/>
  <c r="DN31" i="6"/>
  <c r="EU31" i="6"/>
  <c r="ES31" i="6"/>
  <c r="DZ31" i="6"/>
  <c r="EO32" i="6"/>
  <c r="DW32" i="6"/>
  <c r="EY32" i="6"/>
  <c r="FA32" i="6"/>
  <c r="DR32" i="6"/>
  <c r="FI32" i="6"/>
  <c r="DO32" i="6"/>
  <c r="ET32" i="6"/>
  <c r="EW32" i="6"/>
  <c r="DN32" i="6"/>
  <c r="DV32" i="6"/>
  <c r="EV32" i="6"/>
  <c r="EJ32" i="6"/>
  <c r="ES32" i="6"/>
  <c r="EE32" i="6"/>
  <c r="DX32" i="6"/>
  <c r="EM32" i="6"/>
  <c r="EF32" i="6"/>
  <c r="FC32" i="6"/>
  <c r="FF32" i="6"/>
  <c r="EA32" i="6"/>
  <c r="FD32" i="6"/>
  <c r="EP32" i="6"/>
  <c r="DM32" i="6"/>
  <c r="EZ32" i="6"/>
  <c r="DT31" i="6"/>
  <c r="EO31" i="6"/>
  <c r="FF31" i="6"/>
  <c r="EQ31" i="6"/>
  <c r="EF31" i="6"/>
  <c r="EM31" i="6"/>
  <c r="EA31" i="6"/>
  <c r="E33" i="13"/>
  <c r="F33" i="13" s="1"/>
  <c r="EC31" i="6"/>
  <c r="EK31" i="6"/>
  <c r="FB31" i="6"/>
  <c r="EG31" i="6"/>
  <c r="EB31" i="6"/>
  <c r="ER31" i="6"/>
  <c r="DX31" i="6"/>
  <c r="DP31" i="6"/>
  <c r="FH31" i="6"/>
  <c r="DV31" i="6"/>
  <c r="ET31" i="6"/>
  <c r="FI31" i="6"/>
  <c r="DR31" i="6"/>
  <c r="EI31" i="6"/>
  <c r="EJ31" i="6"/>
  <c r="DU31" i="6"/>
  <c r="DY31" i="6"/>
  <c r="EP31" i="6"/>
  <c r="EX31" i="6"/>
  <c r="FD31" i="6"/>
  <c r="DQ31" i="6"/>
  <c r="FA31" i="6"/>
  <c r="FE31" i="6"/>
  <c r="DW31" i="6"/>
  <c r="EE31" i="6"/>
  <c r="DM31" i="6"/>
  <c r="EW31" i="6"/>
  <c r="EH31" i="6"/>
  <c r="EL31" i="6"/>
  <c r="E32" i="13"/>
  <c r="F32" i="13" s="1"/>
  <c r="L39" i="6"/>
  <c r="E39" i="6"/>
  <c r="ET29" i="6"/>
  <c r="DX29" i="6"/>
  <c r="ES29" i="6"/>
  <c r="DO29" i="6"/>
  <c r="DS29" i="6"/>
  <c r="DU29" i="6"/>
  <c r="FB29" i="6"/>
  <c r="EU29" i="6"/>
  <c r="EC29" i="6"/>
  <c r="DW29" i="6"/>
  <c r="FF29" i="6"/>
  <c r="EG29" i="6"/>
  <c r="ED29" i="6"/>
  <c r="DP29" i="6"/>
  <c r="EY29" i="6"/>
  <c r="EZ29" i="6"/>
  <c r="DQ29" i="6"/>
  <c r="FC29" i="6"/>
  <c r="EH29" i="6"/>
  <c r="EL29" i="6"/>
  <c r="DN29" i="6"/>
  <c r="EE29" i="6"/>
  <c r="DR29" i="6"/>
  <c r="EI29" i="6"/>
  <c r="EJ29" i="6"/>
  <c r="FE29" i="6"/>
  <c r="FH29" i="6"/>
  <c r="FA29" i="6"/>
  <c r="EW29" i="6"/>
  <c r="DY29" i="6"/>
  <c r="EM29" i="6"/>
  <c r="DV29" i="6"/>
  <c r="EO29" i="6"/>
  <c r="ER29" i="6"/>
  <c r="EV29" i="6"/>
  <c r="DT29" i="6"/>
  <c r="FI29" i="6"/>
  <c r="EN29" i="6"/>
  <c r="EP29" i="6"/>
  <c r="EF29" i="6"/>
  <c r="EA29" i="6"/>
  <c r="EB29" i="6"/>
  <c r="DZ29" i="6"/>
  <c r="EQ29" i="6"/>
  <c r="K40" i="6"/>
  <c r="U40" i="6" s="1"/>
  <c r="S35" i="13" s="1"/>
  <c r="H32" i="13"/>
  <c r="DL27" i="6"/>
  <c r="EW30" i="6"/>
  <c r="EH30" i="6"/>
  <c r="DU30" i="6"/>
  <c r="EK30" i="6"/>
  <c r="DW30" i="6"/>
  <c r="EO30" i="6"/>
  <c r="FF30" i="6"/>
  <c r="DQ30" i="6"/>
  <c r="FB30" i="6"/>
  <c r="FA30" i="6"/>
  <c r="DV30" i="6"/>
  <c r="EP30" i="6"/>
  <c r="ES30" i="6"/>
  <c r="DP30" i="6"/>
  <c r="EA30" i="6"/>
  <c r="EB30" i="6"/>
  <c r="EM30" i="6"/>
  <c r="FH30" i="6"/>
  <c r="FE30" i="6"/>
  <c r="DX30" i="6"/>
  <c r="EI30" i="6"/>
  <c r="EJ30" i="6"/>
  <c r="FC30" i="6"/>
  <c r="DN30" i="6"/>
  <c r="EF30" i="6"/>
  <c r="EQ30" i="6"/>
  <c r="ER30" i="6"/>
  <c r="FI30" i="6"/>
  <c r="ED30" i="6"/>
  <c r="DM30" i="6"/>
  <c r="EN30" i="6"/>
  <c r="EY30" i="6"/>
  <c r="EZ30" i="6"/>
  <c r="EC30" i="6"/>
  <c r="EU30" i="6"/>
  <c r="DY30" i="6"/>
  <c r="EV30" i="6"/>
  <c r="FG30" i="6"/>
  <c r="ET30" i="6"/>
  <c r="DO30" i="6"/>
  <c r="EL30" i="6"/>
  <c r="FD30" i="6"/>
  <c r="FJ30" i="6"/>
  <c r="EG30" i="6"/>
  <c r="DR30" i="6"/>
  <c r="EX30" i="6"/>
  <c r="DZ30" i="6"/>
  <c r="EE30" i="6"/>
  <c r="DS30" i="6"/>
  <c r="DT30" i="6"/>
  <c r="J37" i="18"/>
  <c r="C20" i="19"/>
  <c r="D20" i="19" s="1"/>
  <c r="DL26" i="6"/>
  <c r="DL24" i="6"/>
  <c r="B22" i="19"/>
  <c r="C22" i="19" s="1"/>
  <c r="DL20" i="6"/>
  <c r="DL22" i="6"/>
  <c r="P15" i="16" s="1"/>
  <c r="DL25" i="6"/>
  <c r="D18" i="19"/>
  <c r="E18" i="19" s="1"/>
  <c r="E19" i="19" s="1"/>
  <c r="I33" i="13"/>
  <c r="B24" i="13"/>
  <c r="G24" i="13"/>
  <c r="H24" i="13"/>
  <c r="E24" i="13"/>
  <c r="C37" i="10"/>
  <c r="C36" i="8"/>
  <c r="C34" i="10"/>
  <c r="C35" i="8"/>
  <c r="C36" i="10"/>
  <c r="C35" i="10"/>
  <c r="C1" i="10"/>
  <c r="C37" i="8"/>
  <c r="C1" i="8"/>
  <c r="C34" i="8"/>
  <c r="AU41" i="10"/>
  <c r="AY39" i="8"/>
  <c r="R3" i="6" l="1"/>
  <c r="S37" i="6"/>
  <c r="Q19" i="13" s="1"/>
  <c r="T3" i="6"/>
  <c r="R37" i="6"/>
  <c r="P19" i="13" s="1"/>
  <c r="S3" i="6"/>
  <c r="R38" i="6"/>
  <c r="P21" i="13" s="1"/>
  <c r="S38" i="6"/>
  <c r="Q21" i="13" s="1"/>
  <c r="T38" i="6"/>
  <c r="R21" i="13" s="1"/>
  <c r="T39" i="6"/>
  <c r="R30" i="13" s="1"/>
  <c r="R39" i="6"/>
  <c r="P30" i="13" s="1"/>
  <c r="T37" i="6"/>
  <c r="R19" i="13" s="1"/>
  <c r="S40" i="6"/>
  <c r="Q35" i="13" s="1"/>
  <c r="T40" i="6"/>
  <c r="R35" i="13" s="1"/>
  <c r="E40" i="6"/>
  <c r="R40" i="6"/>
  <c r="P35" i="13" s="1"/>
  <c r="FJ34" i="6"/>
  <c r="EF34" i="6"/>
  <c r="DQ34" i="6"/>
  <c r="DZ34" i="6"/>
  <c r="EA34" i="6"/>
  <c r="ER34" i="6"/>
  <c r="FA34" i="6"/>
  <c r="DO34" i="6"/>
  <c r="EP34" i="6"/>
  <c r="EQ34" i="6"/>
  <c r="FH34" i="6"/>
  <c r="DN34" i="6"/>
  <c r="DW34" i="6"/>
  <c r="EX34" i="6"/>
  <c r="DM34" i="6"/>
  <c r="DP34" i="6"/>
  <c r="DR34" i="6"/>
  <c r="FB34" i="6"/>
  <c r="EV34" i="6"/>
  <c r="DY34" i="6"/>
  <c r="EH34" i="6"/>
  <c r="EI34" i="6"/>
  <c r="EZ34" i="6"/>
  <c r="FI34" i="6"/>
  <c r="EG34" i="6"/>
  <c r="EO34" i="6"/>
  <c r="EY34" i="6"/>
  <c r="DV34" i="6"/>
  <c r="EJ34" i="6"/>
  <c r="EE34" i="6"/>
  <c r="EW34" i="6"/>
  <c r="FF34" i="6"/>
  <c r="FG34" i="6"/>
  <c r="DU34" i="6"/>
  <c r="ED34" i="6"/>
  <c r="EM34" i="6"/>
  <c r="FE34" i="6"/>
  <c r="DX34" i="6"/>
  <c r="DT34" i="6"/>
  <c r="EC34" i="6"/>
  <c r="EL34" i="6"/>
  <c r="EU34" i="6"/>
  <c r="EN34" i="6"/>
  <c r="FD34" i="6"/>
  <c r="EB34" i="6"/>
  <c r="EK34" i="6"/>
  <c r="ET34" i="6"/>
  <c r="FC34" i="6"/>
  <c r="DS34" i="6"/>
  <c r="ES34" i="6"/>
  <c r="FI36" i="6"/>
  <c r="EF36" i="6"/>
  <c r="ET36" i="6"/>
  <c r="FC36" i="6"/>
  <c r="DR36" i="6"/>
  <c r="DS36" i="6"/>
  <c r="EB36" i="6"/>
  <c r="EK36" i="6"/>
  <c r="EJ36" i="6"/>
  <c r="FJ36" i="6"/>
  <c r="DQ36" i="6"/>
  <c r="EI36" i="6"/>
  <c r="ER36" i="6"/>
  <c r="EV36" i="6"/>
  <c r="DO36" i="6"/>
  <c r="EP36" i="6"/>
  <c r="EZ36" i="6"/>
  <c r="ED36" i="6"/>
  <c r="DP36" i="6"/>
  <c r="EU36" i="6"/>
  <c r="FD36" i="6"/>
  <c r="FB36" i="6"/>
  <c r="DX36" i="6"/>
  <c r="DZ36" i="6"/>
  <c r="EA36" i="6"/>
  <c r="ES36" i="6"/>
  <c r="EN36" i="6"/>
  <c r="EH36" i="6"/>
  <c r="FA36" i="6"/>
  <c r="DY36" i="6"/>
  <c r="EQ36" i="6"/>
  <c r="DN36" i="6"/>
  <c r="DW36" i="6"/>
  <c r="EG36" i="6"/>
  <c r="EX36" i="6"/>
  <c r="EY36" i="6"/>
  <c r="FH36" i="6"/>
  <c r="DV36" i="6"/>
  <c r="EE36" i="6"/>
  <c r="EO36" i="6"/>
  <c r="FF36" i="6"/>
  <c r="FG36" i="6"/>
  <c r="DM36" i="6"/>
  <c r="EM36" i="6"/>
  <c r="EW36" i="6"/>
  <c r="DU36" i="6"/>
  <c r="EL36" i="6"/>
  <c r="FE36" i="6"/>
  <c r="DT36" i="6"/>
  <c r="EC36" i="6"/>
  <c r="DL32" i="6"/>
  <c r="E39" i="13"/>
  <c r="F39" i="13" s="1"/>
  <c r="DL31" i="6"/>
  <c r="L40" i="6"/>
  <c r="DL29" i="6"/>
  <c r="E36" i="13"/>
  <c r="F36" i="13" s="1"/>
  <c r="P3" i="6"/>
  <c r="P37" i="6"/>
  <c r="O39" i="6"/>
  <c r="O40" i="6"/>
  <c r="M32" i="13" s="1"/>
  <c r="P38" i="6"/>
  <c r="Q40" i="6"/>
  <c r="Q3" i="6"/>
  <c r="O3" i="6"/>
  <c r="DL30" i="6"/>
  <c r="O39" i="13"/>
  <c r="N36" i="13"/>
  <c r="H39" i="13"/>
  <c r="H36" i="13"/>
  <c r="Q37" i="6"/>
  <c r="O19" i="13" s="1"/>
  <c r="P40" i="6"/>
  <c r="Q38" i="6"/>
  <c r="O21" i="13" s="1"/>
  <c r="O38" i="6"/>
  <c r="O37" i="6"/>
  <c r="P39" i="6"/>
  <c r="Q39" i="6"/>
  <c r="O30" i="13" s="1"/>
  <c r="EI35" i="6"/>
  <c r="EC35" i="6"/>
  <c r="EW35" i="6"/>
  <c r="DU35" i="6"/>
  <c r="EO35" i="6"/>
  <c r="FC35" i="6"/>
  <c r="DZ33" i="6"/>
  <c r="EL35" i="6"/>
  <c r="DN35" i="6"/>
  <c r="ED35" i="6"/>
  <c r="DM35" i="6"/>
  <c r="FF35" i="6"/>
  <c r="FG35" i="6"/>
  <c r="EP33" i="6"/>
  <c r="DZ35" i="6"/>
  <c r="DX35" i="6"/>
  <c r="FH35" i="6"/>
  <c r="DT35" i="6"/>
  <c r="EP35" i="6"/>
  <c r="EV35" i="6"/>
  <c r="FB33" i="6"/>
  <c r="N37" i="6"/>
  <c r="EM35" i="6"/>
  <c r="EH35" i="6"/>
  <c r="EE35" i="6"/>
  <c r="FJ35" i="6"/>
  <c r="EB35" i="6"/>
  <c r="EQ35" i="6"/>
  <c r="FD33" i="6"/>
  <c r="ET33" i="6"/>
  <c r="N3" i="6"/>
  <c r="EF35" i="6"/>
  <c r="FB35" i="6"/>
  <c r="DR35" i="6"/>
  <c r="DW35" i="6"/>
  <c r="EA35" i="6"/>
  <c r="DY35" i="6"/>
  <c r="EH33" i="6"/>
  <c r="EA33" i="6"/>
  <c r="EF33" i="6"/>
  <c r="B16" i="6"/>
  <c r="FI33" i="6"/>
  <c r="EG35" i="6"/>
  <c r="ER35" i="6"/>
  <c r="EJ35" i="6"/>
  <c r="DQ35" i="6"/>
  <c r="EX35" i="6"/>
  <c r="EK35" i="6"/>
  <c r="EU35" i="6"/>
  <c r="EN35" i="6"/>
  <c r="DS33" i="6"/>
  <c r="DP33" i="6"/>
  <c r="DV35" i="6"/>
  <c r="ES35" i="6"/>
  <c r="DS35" i="6"/>
  <c r="ET35" i="6"/>
  <c r="DO35" i="6"/>
  <c r="EY35" i="6"/>
  <c r="ES33" i="6"/>
  <c r="EE33" i="6"/>
  <c r="FE35" i="6"/>
  <c r="FD35" i="6"/>
  <c r="DP35" i="6"/>
  <c r="FA35" i="6"/>
  <c r="FI35" i="6"/>
  <c r="EZ35" i="6"/>
  <c r="N38" i="6"/>
  <c r="EC33" i="6"/>
  <c r="EW33" i="6"/>
  <c r="DX33" i="6"/>
  <c r="DM33" i="6"/>
  <c r="EI33" i="6"/>
  <c r="EM33" i="6"/>
  <c r="EU33" i="6"/>
  <c r="EJ33" i="6"/>
  <c r="DN33" i="6"/>
  <c r="EX33" i="6"/>
  <c r="DV33" i="6"/>
  <c r="N40" i="6"/>
  <c r="N39" i="6"/>
  <c r="FE33" i="6"/>
  <c r="EB33" i="6"/>
  <c r="DW33" i="6"/>
  <c r="FG33" i="6"/>
  <c r="EV33" i="6"/>
  <c r="DT33" i="6"/>
  <c r="ED33" i="6"/>
  <c r="FH33" i="6"/>
  <c r="DQ33" i="6"/>
  <c r="FC33" i="6"/>
  <c r="ER33" i="6"/>
  <c r="EK33" i="6"/>
  <c r="EZ33" i="6"/>
  <c r="EQ33" i="6"/>
  <c r="EG33" i="6"/>
  <c r="EL33" i="6"/>
  <c r="EN33" i="6"/>
  <c r="FA33" i="6"/>
  <c r="EO33" i="6"/>
  <c r="DU33" i="6"/>
  <c r="FF33" i="6"/>
  <c r="DO33" i="6"/>
  <c r="EY33" i="6"/>
  <c r="DY33" i="6"/>
  <c r="DR33" i="6"/>
  <c r="FJ33" i="6"/>
  <c r="B23" i="19"/>
  <c r="B24" i="19" s="1"/>
  <c r="D21" i="19"/>
  <c r="E20" i="19"/>
  <c r="L36" i="13"/>
  <c r="P16" i="16"/>
  <c r="G31" i="13"/>
  <c r="L22" i="13"/>
  <c r="E31" i="13"/>
  <c r="H31" i="13"/>
  <c r="B31" i="13"/>
  <c r="I24" i="13"/>
  <c r="F24" i="13"/>
  <c r="D22" i="19"/>
  <c r="AY41" i="10"/>
  <c r="DL34" i="6" l="1"/>
  <c r="DL36" i="6"/>
  <c r="M21" i="13"/>
  <c r="M39" i="13"/>
  <c r="N19" i="13"/>
  <c r="L21" i="13"/>
  <c r="L38" i="13"/>
  <c r="L39" i="13"/>
  <c r="N30" i="13"/>
  <c r="L19" i="13"/>
  <c r="M19" i="13"/>
  <c r="N21" i="13"/>
  <c r="M38" i="13"/>
  <c r="M30" i="13"/>
  <c r="N32" i="13"/>
  <c r="N20" i="13"/>
  <c r="N37" i="13"/>
  <c r="O32" i="13"/>
  <c r="I3" i="6"/>
  <c r="M29" i="13"/>
  <c r="L37" i="13"/>
  <c r="M20" i="13"/>
  <c r="M37" i="13"/>
  <c r="O20" i="13"/>
  <c r="O37" i="13"/>
  <c r="N31" i="13"/>
  <c r="N39" i="13"/>
  <c r="O31" i="13"/>
  <c r="O36" i="13"/>
  <c r="N35" i="13"/>
  <c r="O29" i="13"/>
  <c r="O38" i="13"/>
  <c r="N29" i="13"/>
  <c r="N38" i="13"/>
  <c r="M31" i="13"/>
  <c r="M36" i="13"/>
  <c r="M35" i="13"/>
  <c r="I40" i="6"/>
  <c r="O35" i="13"/>
  <c r="I38" i="6"/>
  <c r="I39" i="6"/>
  <c r="L20" i="13"/>
  <c r="I37" i="6"/>
  <c r="DL35" i="6"/>
  <c r="DL33" i="6"/>
  <c r="C23" i="19"/>
  <c r="D23" i="19" s="1"/>
  <c r="E21" i="19"/>
  <c r="E22" i="19" s="1"/>
  <c r="H25" i="13"/>
  <c r="L23" i="13"/>
  <c r="G25" i="13"/>
  <c r="B25" i="13"/>
  <c r="E25" i="13"/>
  <c r="F31" i="13"/>
  <c r="I31" i="13"/>
  <c r="B25" i="19"/>
  <c r="C25" i="19" s="1"/>
  <c r="C24" i="19"/>
  <c r="J20" i="13" l="1"/>
  <c r="AU43" i="10"/>
  <c r="E24" i="16" s="1"/>
  <c r="AI43" i="10"/>
  <c r="E21" i="16" s="1"/>
  <c r="P17" i="16"/>
  <c r="AM41" i="8"/>
  <c r="AM40" i="8" s="1"/>
  <c r="F22" i="19" s="1"/>
  <c r="AA41" i="8"/>
  <c r="AA40" i="8" s="1"/>
  <c r="F19" i="19" s="1"/>
  <c r="AM43" i="10"/>
  <c r="E22" i="16" s="1"/>
  <c r="AA43" i="10"/>
  <c r="E19" i="16" s="1"/>
  <c r="W41" i="8"/>
  <c r="W40" i="8" s="1"/>
  <c r="F18" i="19" s="1"/>
  <c r="S41" i="8"/>
  <c r="S40" i="8" s="1"/>
  <c r="F17" i="19" s="1"/>
  <c r="W43" i="10"/>
  <c r="E18" i="16" s="1"/>
  <c r="O41" i="8"/>
  <c r="O40" i="8" s="1"/>
  <c r="F16" i="19" s="1"/>
  <c r="O43" i="10"/>
  <c r="E16" i="16" s="1"/>
  <c r="AQ41" i="8"/>
  <c r="AQ40" i="8" s="1"/>
  <c r="F23" i="19" s="1"/>
  <c r="AY41" i="8"/>
  <c r="AY40" i="8" s="1"/>
  <c r="F25" i="19" s="1"/>
  <c r="AU41" i="8"/>
  <c r="AU40" i="8" s="1"/>
  <c r="F24" i="19" s="1"/>
  <c r="AI41" i="8"/>
  <c r="AI40" i="8" s="1"/>
  <c r="F21" i="19" s="1"/>
  <c r="AQ43" i="10"/>
  <c r="E23" i="16" s="1"/>
  <c r="G45" i="10"/>
  <c r="G44" i="10" s="1"/>
  <c r="AA28" i="10" s="1"/>
  <c r="G43" i="10"/>
  <c r="E14" i="16" s="1"/>
  <c r="F14" i="16" s="1"/>
  <c r="F39" i="16" s="1"/>
  <c r="K41" i="8"/>
  <c r="K40" i="8" s="1"/>
  <c r="F15" i="19" s="1"/>
  <c r="S43" i="10"/>
  <c r="E17" i="16" s="1"/>
  <c r="G41" i="8"/>
  <c r="G40" i="8" s="1"/>
  <c r="F14" i="19" s="1"/>
  <c r="G14" i="19" s="1"/>
  <c r="K43" i="10"/>
  <c r="K42" i="10" s="1"/>
  <c r="G15" i="16" s="1"/>
  <c r="M10" i="16"/>
  <c r="AE43" i="10"/>
  <c r="E20" i="16" s="1"/>
  <c r="AY43" i="10"/>
  <c r="E25" i="16" s="1"/>
  <c r="AE41" i="8"/>
  <c r="AE40" i="8" s="1"/>
  <c r="F20" i="19" s="1"/>
  <c r="G43" i="8"/>
  <c r="G42" i="8" s="1"/>
  <c r="E23" i="19"/>
  <c r="G38" i="13"/>
  <c r="H38" i="13"/>
  <c r="L24" i="13"/>
  <c r="J24" i="13" s="1"/>
  <c r="B38" i="13"/>
  <c r="E38" i="13"/>
  <c r="I25" i="13"/>
  <c r="F25" i="13"/>
  <c r="C29" i="16"/>
  <c r="C21" i="16"/>
  <c r="C17" i="16"/>
  <c r="C23" i="16"/>
  <c r="C1" i="16"/>
  <c r="C36" i="16"/>
  <c r="C19" i="16"/>
  <c r="C16" i="16"/>
  <c r="D24" i="19"/>
  <c r="C27" i="16"/>
  <c r="C35" i="16"/>
  <c r="C26" i="16"/>
  <c r="C24" i="16"/>
  <c r="D25" i="19"/>
  <c r="C33" i="16"/>
  <c r="C28" i="16"/>
  <c r="C31" i="16"/>
  <c r="C14" i="16"/>
  <c r="C34" i="16"/>
  <c r="C18" i="16"/>
  <c r="C15" i="16"/>
  <c r="C20" i="16"/>
  <c r="C32" i="16"/>
  <c r="C30" i="16"/>
  <c r="C25" i="16"/>
  <c r="C22" i="16"/>
  <c r="C37" i="16"/>
  <c r="AU42" i="10" l="1"/>
  <c r="G24" i="16" s="1"/>
  <c r="AI42" i="10"/>
  <c r="G21" i="16" s="1"/>
  <c r="AM42" i="10"/>
  <c r="G22" i="16" s="1"/>
  <c r="I21" i="16"/>
  <c r="I29" i="16"/>
  <c r="AA42" i="10"/>
  <c r="G19" i="16" s="1"/>
  <c r="AQ42" i="10"/>
  <c r="G23" i="16" s="1"/>
  <c r="AY42" i="10"/>
  <c r="G25" i="16" s="1"/>
  <c r="W42" i="10"/>
  <c r="G18" i="16" s="1"/>
  <c r="O42" i="10"/>
  <c r="G16" i="16" s="1"/>
  <c r="K43" i="8"/>
  <c r="O43" i="8" s="1"/>
  <c r="F8" i="19"/>
  <c r="G8" i="19" s="1"/>
  <c r="K45" i="10"/>
  <c r="O45" i="10" s="1"/>
  <c r="G15" i="19"/>
  <c r="G16" i="19" s="1"/>
  <c r="G17" i="19" s="1"/>
  <c r="G18" i="19" s="1"/>
  <c r="G19" i="19" s="1"/>
  <c r="G20" i="19" s="1"/>
  <c r="G21" i="19" s="1"/>
  <c r="G22" i="19" s="1"/>
  <c r="G23" i="19" s="1"/>
  <c r="G24" i="19" s="1"/>
  <c r="G25" i="19" s="1"/>
  <c r="S42" i="10"/>
  <c r="G17" i="16" s="1"/>
  <c r="G42" i="10"/>
  <c r="G14" i="16" s="1"/>
  <c r="H14" i="16" s="1"/>
  <c r="H39" i="16" s="1"/>
  <c r="AE42" i="10"/>
  <c r="G20" i="16" s="1"/>
  <c r="E15" i="16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E24" i="19"/>
  <c r="E25" i="19" s="1"/>
  <c r="I38" i="13"/>
  <c r="F38" i="13"/>
  <c r="H19" i="13"/>
  <c r="L25" i="13"/>
  <c r="J25" i="13" s="1"/>
  <c r="G19" i="13"/>
  <c r="E19" i="13"/>
  <c r="B19" i="13"/>
  <c r="P14" i="16"/>
  <c r="I37" i="16"/>
  <c r="I34" i="16"/>
  <c r="I35" i="16"/>
  <c r="I23" i="16"/>
  <c r="I15" i="16"/>
  <c r="I22" i="16"/>
  <c r="I14" i="16"/>
  <c r="I27" i="16"/>
  <c r="I17" i="16"/>
  <c r="I25" i="16"/>
  <c r="I32" i="16"/>
  <c r="I31" i="16"/>
  <c r="I30" i="16"/>
  <c r="I28" i="16"/>
  <c r="I16" i="16"/>
  <c r="I33" i="16"/>
  <c r="I19" i="16"/>
  <c r="I20" i="16"/>
  <c r="I36" i="16"/>
  <c r="I24" i="16"/>
  <c r="I18" i="16"/>
  <c r="I26" i="16"/>
  <c r="I1" i="16"/>
  <c r="K42" i="8" l="1"/>
  <c r="K44" i="10"/>
  <c r="H15" i="16"/>
  <c r="H16" i="16" s="1"/>
  <c r="K16" i="16" s="1"/>
  <c r="L16" i="16" s="1"/>
  <c r="M16" i="16" s="1"/>
  <c r="F19" i="13"/>
  <c r="I19" i="13"/>
  <c r="H30" i="13"/>
  <c r="E30" i="13"/>
  <c r="L26" i="13"/>
  <c r="G30" i="13"/>
  <c r="B30" i="13"/>
  <c r="S43" i="8"/>
  <c r="O42" i="8"/>
  <c r="S45" i="10"/>
  <c r="O44" i="10"/>
  <c r="K14" i="16"/>
  <c r="L14" i="16" s="1"/>
  <c r="L39" i="16" s="1"/>
  <c r="K1" i="16"/>
  <c r="L1" i="16" s="1"/>
  <c r="M1" i="16" s="1"/>
  <c r="H17" i="16" l="1"/>
  <c r="K17" i="16" s="1"/>
  <c r="L17" i="16" s="1"/>
  <c r="M17" i="16" s="1"/>
  <c r="K15" i="16"/>
  <c r="L15" i="16" s="1"/>
  <c r="M15" i="16" s="1"/>
  <c r="E34" i="13"/>
  <c r="H34" i="13"/>
  <c r="L27" i="13"/>
  <c r="J27" i="13" s="1"/>
  <c r="G34" i="13"/>
  <c r="B34" i="13"/>
  <c r="I30" i="13"/>
  <c r="F30" i="13"/>
  <c r="W45" i="10"/>
  <c r="S44" i="10"/>
  <c r="W43" i="8"/>
  <c r="S42" i="8"/>
  <c r="M14" i="16"/>
  <c r="M39" i="16" s="1"/>
  <c r="H18" i="16" l="1"/>
  <c r="H19" i="16" s="1"/>
  <c r="I34" i="13"/>
  <c r="F34" i="13"/>
  <c r="H23" i="13"/>
  <c r="G23" i="13"/>
  <c r="L28" i="13"/>
  <c r="B23" i="13"/>
  <c r="E23" i="13"/>
  <c r="AA43" i="8"/>
  <c r="W42" i="8"/>
  <c r="AA45" i="10"/>
  <c r="W44" i="10"/>
  <c r="K18" i="16" l="1"/>
  <c r="L18" i="16" s="1"/>
  <c r="M18" i="16" s="1"/>
  <c r="I23" i="13"/>
  <c r="F23" i="13"/>
  <c r="L29" i="13"/>
  <c r="G21" i="13"/>
  <c r="E21" i="13"/>
  <c r="H21" i="13"/>
  <c r="B21" i="13"/>
  <c r="AE45" i="10"/>
  <c r="AA44" i="10"/>
  <c r="AE43" i="8"/>
  <c r="AA42" i="8"/>
  <c r="K19" i="16"/>
  <c r="L19" i="16" s="1"/>
  <c r="M19" i="16" s="1"/>
  <c r="H20" i="16"/>
  <c r="H22" i="13" l="1"/>
  <c r="G22" i="13"/>
  <c r="L30" i="13"/>
  <c r="E22" i="13"/>
  <c r="B22" i="13"/>
  <c r="F21" i="13"/>
  <c r="I21" i="13"/>
  <c r="AI43" i="8"/>
  <c r="AE42" i="8"/>
  <c r="AI45" i="10"/>
  <c r="AE44" i="10"/>
  <c r="K20" i="16"/>
  <c r="L20" i="16" s="1"/>
  <c r="M20" i="16" s="1"/>
  <c r="H21" i="16"/>
  <c r="F22" i="13" l="1"/>
  <c r="I22" i="13"/>
  <c r="H37" i="13"/>
  <c r="L31" i="13"/>
  <c r="G37" i="13"/>
  <c r="E37" i="13"/>
  <c r="B37" i="13"/>
  <c r="AM45" i="10"/>
  <c r="AI44" i="10"/>
  <c r="AM43" i="8"/>
  <c r="AI42" i="8"/>
  <c r="K21" i="16"/>
  <c r="L21" i="16" s="1"/>
  <c r="M21" i="16" s="1"/>
  <c r="H22" i="16"/>
  <c r="J31" i="13" l="1"/>
  <c r="J23" i="13"/>
  <c r="L32" i="13"/>
  <c r="I37" i="13"/>
  <c r="F37" i="13"/>
  <c r="AQ43" i="8"/>
  <c r="AM42" i="8"/>
  <c r="AQ45" i="10"/>
  <c r="AM44" i="10"/>
  <c r="K22" i="16"/>
  <c r="L22" i="16" s="1"/>
  <c r="M22" i="16" s="1"/>
  <c r="H23" i="16"/>
  <c r="J36" i="13" l="1"/>
  <c r="J32" i="13"/>
  <c r="J19" i="13"/>
  <c r="H28" i="13"/>
  <c r="G28" i="13"/>
  <c r="B28" i="13"/>
  <c r="E28" i="13"/>
  <c r="L33" i="13"/>
  <c r="J33" i="13" s="1"/>
  <c r="AU43" i="8"/>
  <c r="AQ42" i="8"/>
  <c r="AU45" i="10"/>
  <c r="AQ44" i="10"/>
  <c r="K23" i="16"/>
  <c r="L23" i="16" s="1"/>
  <c r="M23" i="16" s="1"/>
  <c r="H24" i="16"/>
  <c r="J22" i="13" l="1"/>
  <c r="J30" i="13"/>
  <c r="G29" i="13"/>
  <c r="E29" i="13"/>
  <c r="B29" i="13"/>
  <c r="H29" i="13"/>
  <c r="L34" i="13"/>
  <c r="J28" i="13"/>
  <c r="I28" i="13"/>
  <c r="F28" i="13"/>
  <c r="AY45" i="10"/>
  <c r="AY44" i="10" s="1"/>
  <c r="AU44" i="10"/>
  <c r="AY43" i="8"/>
  <c r="AY42" i="8" s="1"/>
  <c r="AU42" i="8"/>
  <c r="K24" i="16"/>
  <c r="L24" i="16" s="1"/>
  <c r="M24" i="16" s="1"/>
  <c r="H25" i="16"/>
  <c r="J38" i="13" l="1"/>
  <c r="J34" i="13"/>
  <c r="J29" i="13"/>
  <c r="F29" i="13"/>
  <c r="I29" i="13"/>
  <c r="G35" i="13"/>
  <c r="B35" i="13"/>
  <c r="I35" i="13" s="1"/>
  <c r="E35" i="13"/>
  <c r="L35" i="13"/>
  <c r="J39" i="13" s="1"/>
  <c r="H35" i="13"/>
  <c r="K25" i="16"/>
  <c r="L25" i="16" s="1"/>
  <c r="M25" i="16" s="1"/>
  <c r="H26" i="16"/>
  <c r="F35" i="13" l="1"/>
  <c r="J35" i="13"/>
  <c r="J37" i="13"/>
  <c r="G26" i="13"/>
  <c r="B26" i="13"/>
  <c r="I26" i="13" s="1"/>
  <c r="E26" i="13"/>
  <c r="J21" i="13"/>
  <c r="H26" i="13"/>
  <c r="K26" i="16"/>
  <c r="L26" i="16" s="1"/>
  <c r="M26" i="16" s="1"/>
  <c r="H27" i="16"/>
  <c r="F26" i="13" l="1"/>
  <c r="J26" i="13"/>
  <c r="E14" i="13"/>
  <c r="K27" i="16"/>
  <c r="L27" i="16" s="1"/>
  <c r="M27" i="16" s="1"/>
  <c r="H28" i="16"/>
  <c r="K28" i="16" l="1"/>
  <c r="L28" i="16" s="1"/>
  <c r="M28" i="16" s="1"/>
  <c r="H29" i="16"/>
  <c r="H30" i="16" l="1"/>
  <c r="K29" i="16"/>
  <c r="L29" i="16" s="1"/>
  <c r="M29" i="16" s="1"/>
  <c r="H31" i="16" l="1"/>
  <c r="K30" i="16"/>
  <c r="L30" i="16" s="1"/>
  <c r="M30" i="16" s="1"/>
  <c r="K31" i="16" l="1"/>
  <c r="L31" i="16" s="1"/>
  <c r="M31" i="16" s="1"/>
  <c r="H32" i="16"/>
  <c r="H33" i="16" l="1"/>
  <c r="K32" i="16"/>
  <c r="L32" i="16" s="1"/>
  <c r="M32" i="16" s="1"/>
  <c r="K33" i="16" l="1"/>
  <c r="L33" i="16" s="1"/>
  <c r="M33" i="16" s="1"/>
  <c r="H34" i="16"/>
  <c r="H35" i="16" l="1"/>
  <c r="K34" i="16"/>
  <c r="L34" i="16" s="1"/>
  <c r="M34" i="16" s="1"/>
  <c r="H36" i="16" l="1"/>
  <c r="K35" i="16"/>
  <c r="L35" i="16" s="1"/>
  <c r="M35" i="16" s="1"/>
  <c r="K36" i="16" l="1"/>
  <c r="L36" i="16" s="1"/>
  <c r="M36" i="16" s="1"/>
  <c r="H37" i="16"/>
  <c r="K37" i="16" s="1"/>
  <c r="L37" i="16" s="1"/>
  <c r="M37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Lenz Leite</author>
  </authors>
  <commentList>
    <comment ref="B34" authorId="0" shapeId="0" xr:uid="{00000000-0006-0000-0000-000001000000}">
      <text>
        <r>
          <rPr>
            <sz val="9"/>
            <color indexed="81"/>
            <rFont val="Segoe UI"/>
            <family val="2"/>
          </rPr>
          <t>O evento de administração local é fixo, de uso opcional.
Os serviços agrupados neste evento serão medidos proporcionalmente à execução dos demais eventos.</t>
        </r>
      </text>
    </comment>
  </commentList>
</comments>
</file>

<file path=xl/sharedStrings.xml><?xml version="1.0" encoding="utf-8"?>
<sst xmlns="http://schemas.openxmlformats.org/spreadsheetml/2006/main" count="341" uniqueCount="217">
  <si>
    <t>Descrição</t>
  </si>
  <si>
    <t>Item</t>
  </si>
  <si>
    <t>Evento</t>
  </si>
  <si>
    <t>Unid.</t>
  </si>
  <si>
    <t>Qtde.</t>
  </si>
  <si>
    <t>Item Orç</t>
  </si>
  <si>
    <t>Linha Orç</t>
  </si>
  <si>
    <t>Nível</t>
  </si>
  <si>
    <t>Período</t>
  </si>
  <si>
    <t>Acumulado</t>
  </si>
  <si>
    <t>%</t>
  </si>
  <si>
    <t>R$</t>
  </si>
  <si>
    <t>Cronograma</t>
  </si>
  <si>
    <t>N.º do Período</t>
  </si>
  <si>
    <t>Data Base</t>
  </si>
  <si>
    <t>No mês</t>
  </si>
  <si>
    <t>% Global Previsto</t>
  </si>
  <si>
    <t>PREVISTO</t>
  </si>
  <si>
    <t>ACOMPANHAMENTO</t>
  </si>
  <si>
    <t>Equivalente dias-obra</t>
  </si>
  <si>
    <t>Data da medição</t>
  </si>
  <si>
    <t>N.º da Medição</t>
  </si>
  <si>
    <t>% Atraso
/ Adiant.</t>
  </si>
  <si>
    <t>Total por Frente (R$):</t>
  </si>
  <si>
    <t>Preço Total (R$)</t>
  </si>
  <si>
    <t>Preço Unit. (R$)</t>
  </si>
  <si>
    <t>Prazo Decorrido (dias)</t>
  </si>
  <si>
    <t>Dias Adiant. / Atraso:</t>
  </si>
  <si>
    <t>Frentes de Obra:</t>
  </si>
  <si>
    <t>GIGOV</t>
  </si>
  <si>
    <t>GESTOR</t>
  </si>
  <si>
    <t>PROGRAMA</t>
  </si>
  <si>
    <t>AÇÃO / MODALIDADE</t>
  </si>
  <si>
    <t>PROPONENTE / TOMADOR</t>
  </si>
  <si>
    <t>MUNICÍPIO / UF</t>
  </si>
  <si>
    <t>LOCALIDADE / ENDEREÇO</t>
  </si>
  <si>
    <t>OBJETO</t>
  </si>
  <si>
    <t>VR - VOLTA REDONDA</t>
  </si>
  <si>
    <t>VT - VITORIA</t>
  </si>
  <si>
    <t>Frente de Obra:</t>
  </si>
  <si>
    <t>PLE - Planilha de Levantamento de Eventos</t>
  </si>
  <si>
    <t>Responsável Técnico:</t>
  </si>
  <si>
    <t>CREA / CAU:</t>
  </si>
  <si>
    <t>Local e Data</t>
  </si>
  <si>
    <t>ART:</t>
  </si>
  <si>
    <t>Nome</t>
  </si>
  <si>
    <t>Cargo</t>
  </si>
  <si>
    <r>
      <t xml:space="preserve">Grau de Sigilo
</t>
    </r>
    <r>
      <rPr>
        <b/>
        <sz val="9"/>
        <color indexed="8"/>
        <rFont val="Arial"/>
        <family val="2"/>
      </rPr>
      <t>#PUBLICO</t>
    </r>
  </si>
  <si>
    <r>
      <rPr>
        <b/>
        <sz val="9"/>
        <color indexed="8"/>
        <rFont val="Arial"/>
        <family val="2"/>
      </rPr>
      <t xml:space="preserve">                 PLE - Planilha de Levantamento de Eventos</t>
    </r>
    <r>
      <rPr>
        <sz val="9"/>
        <color indexed="8"/>
        <rFont val="Arial"/>
        <family val="2"/>
      </rPr>
      <t xml:space="preserve">
                 Detalhamento de Eventos                          </t>
    </r>
  </si>
  <si>
    <r>
      <t xml:space="preserve">                          </t>
    </r>
    <r>
      <rPr>
        <b/>
        <sz val="9"/>
        <color indexed="8"/>
        <rFont val="Arial"/>
        <family val="2"/>
      </rPr>
      <t>PLE - Planilha de Levantamento de Eventos</t>
    </r>
    <r>
      <rPr>
        <sz val="9"/>
        <color indexed="8"/>
        <rFont val="Arial"/>
        <family val="2"/>
      </rPr>
      <t xml:space="preserve">
                          Eventograma e Quantitativos</t>
    </r>
  </si>
  <si>
    <t>DATA ASSINATURA</t>
  </si>
  <si>
    <t>Informe abaixo o NÚMERO DO PERÍODO em que os eventos serão concluídos (medição por eventos)</t>
  </si>
  <si>
    <t>Resp. Tec. Fiscal.:</t>
  </si>
  <si>
    <t>Elaboração do documento</t>
  </si>
  <si>
    <t>Fiscalização</t>
  </si>
  <si>
    <t>Execução</t>
  </si>
  <si>
    <t>CREA/CAU</t>
  </si>
  <si>
    <t>ART/RRT</t>
  </si>
  <si>
    <t>RESPONSÁVEIS TÉCNICOS:</t>
  </si>
  <si>
    <t>REPRESENTANTE TOMADOR / AG. PROMOTOR / TOMADOR</t>
  </si>
  <si>
    <t>INSTRUÇÕES DE USO E PREENCHIMENTO</t>
  </si>
  <si>
    <t>Informações gerais:</t>
  </si>
  <si>
    <t>Instruções de preenchimento:</t>
  </si>
  <si>
    <t>Orientações ao Tomador/Construtora:</t>
  </si>
  <si>
    <r>
      <t>1.</t>
    </r>
    <r>
      <rPr>
        <sz val="10"/>
        <color indexed="8"/>
        <rFont val="Times New Roman"/>
        <family val="1"/>
      </rPr>
      <t xml:space="preserve">   </t>
    </r>
    <r>
      <rPr>
        <sz val="10"/>
        <color indexed="8"/>
        <rFont val="Arial"/>
        <family val="2"/>
      </rPr>
      <t>Este documento somente pode ser utilizado nas versões do Excel 2003 ou superior. Não devem ser utilizadas versões do BROffice.</t>
    </r>
  </si>
  <si>
    <r>
      <t>2.</t>
    </r>
    <r>
      <rPr>
        <sz val="10"/>
        <color indexed="8"/>
        <rFont val="Times New Roman"/>
        <family val="1"/>
      </rPr>
      <t xml:space="preserve">   </t>
    </r>
    <r>
      <rPr>
        <sz val="10"/>
        <color indexed="8"/>
        <rFont val="Arial"/>
        <family val="2"/>
      </rPr>
      <t>Para funcionamento pleno desse arquivo, a Segurança de Macros do Excel deve ser habilitada.</t>
    </r>
  </si>
  <si>
    <r>
      <t>a.</t>
    </r>
    <r>
      <rPr>
        <sz val="10"/>
        <color indexed="8"/>
        <rFont val="Times New Roman"/>
        <family val="1"/>
      </rPr>
      <t xml:space="preserve">      </t>
    </r>
    <r>
      <rPr>
        <sz val="10"/>
        <color indexed="8"/>
        <rFont val="Arial"/>
        <family val="2"/>
      </rPr>
      <t>Na Versão Excel 2003, selecione na Faixa de Opções: Ferramentas --&gt; Macro --&gt; Segurança --&gt; Na aba Nível de Segurança selecione a Opção "Baixo" --&gt; Clique em OK --&gt; Feche e abra o Excel novamente para utilizar a Planilha.</t>
    </r>
  </si>
  <si>
    <r>
      <t>3.</t>
    </r>
    <r>
      <rPr>
        <sz val="10"/>
        <color indexed="8"/>
        <rFont val="Times New Roman"/>
        <family val="1"/>
      </rPr>
      <t xml:space="preserve">   </t>
    </r>
    <r>
      <rPr>
        <sz val="10"/>
        <color indexed="8"/>
        <rFont val="Arial"/>
        <family val="2"/>
      </rPr>
      <t>O Preenchimento deve ser feito somente nas células em amarelo. As demais células são de preenchimento Automático e estão bloqueadas para edição.</t>
    </r>
  </si>
  <si>
    <r>
      <t xml:space="preserve">Aba </t>
    </r>
    <r>
      <rPr>
        <b/>
        <sz val="10"/>
        <color indexed="8"/>
        <rFont val="Arial"/>
        <family val="2"/>
      </rPr>
      <t>DADOS</t>
    </r>
  </si>
  <si>
    <r>
      <t>1º passo:</t>
    </r>
    <r>
      <rPr>
        <sz val="10"/>
        <color indexed="8"/>
        <rFont val="Arial"/>
        <family val="2"/>
      </rPr>
      <t xml:space="preserve"> Na aba Dados, preencher os dados do contrato e identificação dos responsáveis;</t>
    </r>
  </si>
  <si>
    <r>
      <t xml:space="preserve">Aba </t>
    </r>
    <r>
      <rPr>
        <b/>
        <sz val="10"/>
        <color indexed="8"/>
        <rFont val="Arial"/>
        <family val="2"/>
      </rPr>
      <t>EVENTOGRAMA E QUANTITATIVOS</t>
    </r>
  </si>
  <si>
    <r>
      <t>7º passo:</t>
    </r>
    <r>
      <rPr>
        <sz val="10"/>
        <color indexed="8"/>
        <rFont val="Arial"/>
        <family val="2"/>
      </rPr>
      <t xml:space="preserve"> Informar as quantidades de cada serviço por frente de obra;</t>
    </r>
  </si>
  <si>
    <r>
      <t xml:space="preserve">Aba </t>
    </r>
    <r>
      <rPr>
        <b/>
        <sz val="10"/>
        <color indexed="8"/>
        <rFont val="Arial"/>
        <family val="2"/>
      </rPr>
      <t>DETALHAMENTO DE EVENTOS</t>
    </r>
  </si>
  <si>
    <r>
      <t>·</t>
    </r>
    <r>
      <rPr>
        <sz val="10"/>
        <color indexed="8"/>
        <rFont val="Times New Roman"/>
        <family val="1"/>
      </rPr>
      <t xml:space="preserve">         </t>
    </r>
    <r>
      <rPr>
        <sz val="10"/>
        <color indexed="8"/>
        <rFont val="Arial"/>
        <family val="2"/>
      </rPr>
      <t>os serviços que compõem cada evento;</t>
    </r>
  </si>
  <si>
    <r>
      <t>·</t>
    </r>
    <r>
      <rPr>
        <sz val="10"/>
        <color indexed="8"/>
        <rFont val="Times New Roman"/>
        <family val="1"/>
      </rPr>
      <t xml:space="preserve">         </t>
    </r>
    <r>
      <rPr>
        <sz val="10"/>
        <color indexed="8"/>
        <rFont val="Arial"/>
        <family val="2"/>
      </rPr>
      <t>os quantitativos de cada serviço por frente de obra e por evento;</t>
    </r>
  </si>
  <si>
    <r>
      <t>·</t>
    </r>
    <r>
      <rPr>
        <sz val="10"/>
        <color indexed="8"/>
        <rFont val="Times New Roman"/>
        <family val="1"/>
      </rPr>
      <t xml:space="preserve">         </t>
    </r>
    <r>
      <rPr>
        <sz val="10"/>
        <color indexed="8"/>
        <rFont val="Arial"/>
        <family val="2"/>
      </rPr>
      <t>o valor total de cada evento;</t>
    </r>
  </si>
  <si>
    <r>
      <t>·</t>
    </r>
    <r>
      <rPr>
        <sz val="10"/>
        <color indexed="8"/>
        <rFont val="Times New Roman"/>
        <family val="1"/>
      </rPr>
      <t xml:space="preserve">         </t>
    </r>
    <r>
      <rPr>
        <sz val="10"/>
        <color indexed="8"/>
        <rFont val="Arial"/>
        <family val="2"/>
      </rPr>
      <t>o valor total de cada frente de obra.</t>
    </r>
  </si>
  <si>
    <r>
      <t xml:space="preserve">Aba </t>
    </r>
    <r>
      <rPr>
        <b/>
        <sz val="10"/>
        <color indexed="8"/>
        <rFont val="Arial"/>
        <family val="2"/>
      </rPr>
      <t>CRONOGRAMA</t>
    </r>
  </si>
  <si>
    <r>
      <t xml:space="preserve">Aba </t>
    </r>
    <r>
      <rPr>
        <b/>
        <sz val="10"/>
        <color indexed="8"/>
        <rFont val="Arial"/>
        <family val="2"/>
      </rPr>
      <t>RESUMO DE ACOMPANHAMENTO</t>
    </r>
  </si>
  <si>
    <r>
      <t xml:space="preserve">Aba </t>
    </r>
    <r>
      <rPr>
        <b/>
        <sz val="10"/>
        <color indexed="8"/>
        <rFont val="Arial"/>
        <family val="2"/>
      </rPr>
      <t>PLE</t>
    </r>
  </si>
  <si>
    <r>
      <t>Obs.1:</t>
    </r>
    <r>
      <rPr>
        <sz val="10"/>
        <color indexed="8"/>
        <rFont val="Arial"/>
        <family val="2"/>
      </rPr>
      <t xml:space="preserve"> Apenas preencher os eventos concluídos em sua totalidade. Não são considerados para fins de desembolso eventos parcialmente concluídos.</t>
    </r>
  </si>
  <si>
    <r>
      <t>Obs.2:</t>
    </r>
    <r>
      <rPr>
        <sz val="10"/>
        <color indexed="8"/>
        <rFont val="Arial"/>
        <family val="2"/>
      </rPr>
      <t xml:space="preserve"> Não devem ser alterados os eventos já preenchidos em medições anteriores.</t>
    </r>
  </si>
  <si>
    <r>
      <t xml:space="preserve">                   b.</t>
    </r>
    <r>
      <rPr>
        <sz val="10"/>
        <color indexed="8"/>
        <rFont val="Times New Roman"/>
        <family val="1"/>
      </rPr>
      <t xml:space="preserve">      </t>
    </r>
    <r>
      <rPr>
        <sz val="10"/>
        <color indexed="8"/>
        <rFont val="Arial"/>
        <family val="2"/>
      </rPr>
      <t>Na Versão Excel 2007 ou superior, selecione na Faixa de Opções: Arquivo --&gt; Opções --&gt; Central de Confiabilidade --&gt; Configurações da Central de Confiabilidade --&gt; Configurações de Macro --&gt; Habilitar todas as Macros --&gt; Clique em OK --&gt; Feche e abra o excel novamente para utilizar a Planilha.</t>
    </r>
  </si>
  <si>
    <t>-</t>
  </si>
  <si>
    <t>Informe abaixo o NÚMERO DA MEDIÇÃO em que os eventos foram concluídos (medição por eventos)</t>
  </si>
  <si>
    <t>METAS</t>
  </si>
  <si>
    <t>#
Meta</t>
  </si>
  <si>
    <t>Dias
Atraso (-)
Adiant. (+)</t>
  </si>
  <si>
    <t>Medição:</t>
  </si>
  <si>
    <t>Nº CTEF</t>
  </si>
  <si>
    <t>EMPRESA EXECUTORA</t>
  </si>
  <si>
    <t>CNPJ</t>
  </si>
  <si>
    <t>INÍCIO DA OBRA</t>
  </si>
  <si>
    <t>OBJETO DO CTEF</t>
  </si>
  <si>
    <t>Núm. Evento</t>
  </si>
  <si>
    <t>Nº do Evento</t>
  </si>
  <si>
    <t>Título dos Eventos</t>
  </si>
  <si>
    <t>Título dos Eventos / Descrição Serviço</t>
  </si>
  <si>
    <r>
      <t>Obs.2</t>
    </r>
    <r>
      <rPr>
        <sz val="10"/>
        <color indexed="8"/>
        <rFont val="Arial"/>
        <family val="2"/>
      </rPr>
      <t>: Deve ser atribuído um número de evento para tod</t>
    </r>
    <r>
      <rPr>
        <sz val="10"/>
        <rFont val="Arial"/>
        <family val="2"/>
      </rPr>
      <t xml:space="preserve">os os </t>
    </r>
    <r>
      <rPr>
        <i/>
        <sz val="10"/>
        <rFont val="Arial"/>
        <family val="2"/>
      </rPr>
      <t>serviços</t>
    </r>
    <r>
      <rPr>
        <sz val="10"/>
        <rFont val="Arial"/>
        <family val="2"/>
      </rPr>
      <t xml:space="preserve"> da p</t>
    </r>
    <r>
      <rPr>
        <sz val="10"/>
        <color indexed="8"/>
        <rFont val="Arial"/>
        <family val="2"/>
      </rPr>
      <t>lanilha orçamentária.</t>
    </r>
  </si>
  <si>
    <r>
      <t>Obs.3:</t>
    </r>
    <r>
      <rPr>
        <sz val="10"/>
        <color indexed="8"/>
        <rFont val="Arial"/>
        <family val="2"/>
      </rPr>
      <t xml:space="preserve"> Não deve ser preenchido número de evento para </t>
    </r>
    <r>
      <rPr>
        <i/>
        <sz val="10"/>
        <color indexed="8"/>
        <rFont val="Arial"/>
        <family val="2"/>
      </rPr>
      <t>metas</t>
    </r>
    <r>
      <rPr>
        <sz val="10"/>
        <color indexed="8"/>
        <rFont val="Arial"/>
        <family val="2"/>
      </rPr>
      <t xml:space="preserve"> e </t>
    </r>
    <r>
      <rPr>
        <i/>
        <sz val="10"/>
        <color indexed="8"/>
        <rFont val="Arial"/>
        <family val="2"/>
      </rPr>
      <t>níveis</t>
    </r>
    <r>
      <rPr>
        <sz val="10"/>
        <color indexed="8"/>
        <rFont val="Arial"/>
        <family val="2"/>
      </rPr>
      <t>.</t>
    </r>
  </si>
  <si>
    <r>
      <t>·</t>
    </r>
    <r>
      <rPr>
        <sz val="10"/>
        <color indexed="8"/>
        <rFont val="Times New Roman"/>
        <family val="1"/>
      </rPr>
      <t xml:space="preserve">         </t>
    </r>
    <r>
      <rPr>
        <sz val="10"/>
        <color indexed="8"/>
        <rFont val="Arial"/>
        <family val="2"/>
      </rPr>
      <t>o valor total de cada agrupador;</t>
    </r>
  </si>
  <si>
    <t>meta</t>
  </si>
  <si>
    <t>Preço do Serviço por frente</t>
  </si>
  <si>
    <t>Preço dos Serviços executados</t>
  </si>
  <si>
    <t>% Global</t>
  </si>
  <si>
    <t>Parcela</t>
  </si>
  <si>
    <r>
      <t xml:space="preserve">Grau de Sigilo
</t>
    </r>
    <r>
      <rPr>
        <b/>
        <sz val="11"/>
        <color indexed="8"/>
        <rFont val="Arial"/>
        <family val="2"/>
      </rPr>
      <t>#PUBLICO</t>
    </r>
  </si>
  <si>
    <r>
      <t xml:space="preserve">                </t>
    </r>
    <r>
      <rPr>
        <b/>
        <sz val="11"/>
        <color indexed="8"/>
        <rFont val="Arial"/>
        <family val="2"/>
      </rPr>
      <t>PLE - Planilha de Levantamento de Eventos</t>
    </r>
    <r>
      <rPr>
        <sz val="11"/>
        <color indexed="8"/>
        <rFont val="Arial"/>
        <family val="2"/>
      </rPr>
      <t xml:space="preserve">
                Cronograma</t>
    </r>
  </si>
  <si>
    <t>Medições</t>
  </si>
  <si>
    <t>Datas das medições</t>
  </si>
  <si>
    <t>% Realizado Acum.:</t>
  </si>
  <si>
    <t>Período:</t>
  </si>
  <si>
    <r>
      <t xml:space="preserve">                </t>
    </r>
    <r>
      <rPr>
        <b/>
        <sz val="11"/>
        <color indexed="8"/>
        <rFont val="Arial"/>
        <family val="2"/>
      </rPr>
      <t>PLE - Planilha de Levantamento de Eventos</t>
    </r>
    <r>
      <rPr>
        <sz val="11"/>
        <color indexed="8"/>
        <rFont val="Arial"/>
        <family val="2"/>
      </rPr>
      <t xml:space="preserve">
                Planilha de Levantamento de Eventos</t>
    </r>
  </si>
  <si>
    <t>Valores Medidos Acum. (R$)</t>
  </si>
  <si>
    <t>No Período</t>
  </si>
  <si>
    <t>Valores Medidos (R$)</t>
  </si>
  <si>
    <r>
      <t xml:space="preserve">     </t>
    </r>
    <r>
      <rPr>
        <b/>
        <sz val="8"/>
        <color indexed="8"/>
        <rFont val="Arial"/>
        <family val="2"/>
      </rPr>
      <t>PLE - Planilha de Levantamento de Eventos</t>
    </r>
    <r>
      <rPr>
        <sz val="8"/>
        <color indexed="8"/>
        <rFont val="Arial"/>
        <family val="2"/>
      </rPr>
      <t xml:space="preserve">
     Resumo de Acompanhamento</t>
    </r>
  </si>
  <si>
    <r>
      <t xml:space="preserve">Grau de Sigilo
</t>
    </r>
    <r>
      <rPr>
        <b/>
        <sz val="8"/>
        <color indexed="8"/>
        <rFont val="Arial"/>
        <family val="2"/>
      </rPr>
      <t>#PUBLICO</t>
    </r>
  </si>
  <si>
    <t>Total Medido Acumulado</t>
  </si>
  <si>
    <t>Todos</t>
  </si>
  <si>
    <t>Executados</t>
  </si>
  <si>
    <t>A Executar</t>
  </si>
  <si>
    <t>Eventos</t>
  </si>
  <si>
    <t>Orçamento</t>
  </si>
  <si>
    <t>EVENTOS</t>
  </si>
  <si>
    <t>Núm do Evento</t>
  </si>
  <si>
    <r>
      <t>2º passo:</t>
    </r>
    <r>
      <rPr>
        <sz val="10"/>
        <color indexed="8"/>
        <rFont val="Arial"/>
        <family val="2"/>
      </rPr>
      <t xml:space="preserve"> Incluir e nomear os eventos (pode ser alterado posteriormente também);</t>
    </r>
  </si>
  <si>
    <r>
      <t>3º passo</t>
    </r>
    <r>
      <rPr>
        <sz val="10"/>
        <color indexed="8"/>
        <rFont val="Arial"/>
        <family val="2"/>
      </rPr>
      <t>: Na aba Eventograma e Quantitativos, preencher os campos item, descrição e unidade a partir da planilha orçamentária da empresa vencedora da licitação;</t>
    </r>
  </si>
  <si>
    <r>
      <t>4º passo:</t>
    </r>
    <r>
      <rPr>
        <sz val="10"/>
        <color indexed="8"/>
        <rFont val="Arial"/>
        <family val="2"/>
      </rPr>
      <t xml:space="preserve"> Em seguida, preencher as células da coluna Preço Total habilitadas na cor amarela somente para os ite</t>
    </r>
    <r>
      <rPr>
        <sz val="10"/>
        <rFont val="Arial"/>
        <family val="2"/>
      </rPr>
      <t xml:space="preserve">ns de </t>
    </r>
    <r>
      <rPr>
        <i/>
        <sz val="10"/>
        <rFont val="Arial"/>
        <family val="2"/>
      </rPr>
      <t>serviço;</t>
    </r>
  </si>
  <si>
    <r>
      <t>5º passo:</t>
    </r>
    <r>
      <rPr>
        <sz val="10"/>
        <color indexed="8"/>
        <rFont val="Arial"/>
        <family val="2"/>
      </rPr>
      <t xml:space="preserve"> Preencher as frentes de obra;</t>
    </r>
  </si>
  <si>
    <r>
      <t>6º passo:</t>
    </r>
    <r>
      <rPr>
        <sz val="10"/>
        <color indexed="8"/>
        <rFont val="Arial"/>
        <family val="2"/>
      </rPr>
      <t xml:space="preserve"> Agrupar os eventos a partir do preenchimento de números inteiros sequenciais para cada serviço na coluna Núm. Evento;</t>
    </r>
  </si>
  <si>
    <r>
      <rPr>
        <sz val="10"/>
        <color indexed="8"/>
        <rFont val="Arial"/>
        <family val="2"/>
      </rPr>
      <t xml:space="preserve">Planilha gerada de forma automática a partir dos dados informados na aba </t>
    </r>
    <r>
      <rPr>
        <i/>
        <sz val="10"/>
        <color indexed="8"/>
        <rFont val="Arial"/>
        <family val="2"/>
      </rPr>
      <t>Eventograma e Quantitativos</t>
    </r>
    <r>
      <rPr>
        <sz val="10"/>
        <color indexed="8"/>
        <rFont val="Arial"/>
        <family val="2"/>
      </rPr>
      <t xml:space="preserve"> e tem por objetivo discriminar:</t>
    </r>
  </si>
  <si>
    <r>
      <t>9º passo:</t>
    </r>
    <r>
      <rPr>
        <sz val="10"/>
        <color indexed="8"/>
        <rFont val="Arial"/>
        <family val="2"/>
      </rPr>
      <t xml:space="preserve"> Informar nos campos em amarelo o número do período em que o evento será concluído. Se necessário, poderão ser usados os botões "Adicionar Ano" e "Excluir Ano" pra compatibilizar o cronograma mostrado abaixo com a necessidade do empreendimento.</t>
    </r>
  </si>
  <si>
    <r>
      <t>10º passo:</t>
    </r>
    <r>
      <rPr>
        <sz val="10"/>
        <color indexed="8"/>
        <rFont val="Arial"/>
        <family val="2"/>
      </rPr>
      <t xml:space="preserve"> Selecionar o número da medição a ser feita.</t>
    </r>
  </si>
  <si>
    <r>
      <t>11º passo:</t>
    </r>
    <r>
      <rPr>
        <sz val="10"/>
        <color indexed="8"/>
        <rFont val="Arial"/>
        <family val="2"/>
      </rPr>
      <t xml:space="preserve"> Digitar a data da medição no quadro abaixo.</t>
    </r>
  </si>
  <si>
    <r>
      <t>12º passo:</t>
    </r>
    <r>
      <rPr>
        <sz val="10"/>
        <color indexed="8"/>
        <rFont val="Arial"/>
        <family val="2"/>
      </rPr>
      <t xml:space="preserve"> Preencher os campos em amarelo com o um número inteiro referente à medição em questão (período em que os eventos foram executados).</t>
    </r>
  </si>
  <si>
    <t>Planilha gerada automaticamente com o resumo do acompanhamento, inclusive o total por meta (para preenchimento do RRE) e comparação do cronograma previsto com o cronograma realizado.</t>
  </si>
  <si>
    <r>
      <t xml:space="preserve">                    Obs.1:</t>
    </r>
    <r>
      <rPr>
        <sz val="10"/>
        <color indexed="8"/>
        <rFont val="Arial"/>
        <family val="2"/>
      </rPr>
      <t xml:space="preserve"> Serviços com mesmo número pertencerão ao mesmo agrupador de eventos.</t>
    </r>
  </si>
  <si>
    <r>
      <t>8º passo:</t>
    </r>
    <r>
      <rPr>
        <sz val="10"/>
        <color indexed="8"/>
        <rFont val="Arial"/>
        <family val="2"/>
      </rPr>
      <t xml:space="preserve"> Verificar se os preços totais dos serviços e o valor total do orçamento estão iguais aos da planilha orçamentária proposta pela empresa vencedora da licitação.</t>
    </r>
  </si>
  <si>
    <r>
      <t>Obs.4:</t>
    </r>
    <r>
      <rPr>
        <sz val="10"/>
        <color indexed="8"/>
        <rFont val="Arial"/>
        <family val="2"/>
      </rPr>
      <t xml:space="preserve"> Todos os serviços do orçamento precisam estar com Evento definido para acessar as abas Detalhamento, Cronograma, PLE e Resumo de Acompanhamento.</t>
    </r>
  </si>
  <si>
    <t>Título do Evento</t>
  </si>
  <si>
    <r>
      <t xml:space="preserve">                    Obs.1:</t>
    </r>
    <r>
      <rPr>
        <sz val="10"/>
        <color indexed="8"/>
        <rFont val="Arial"/>
        <family val="2"/>
      </rPr>
      <t xml:space="preserve"> A planilha considera como itens de serviço aqueles que possuem os campos unidade e preço total preenchidos. Caso esses campos não sejam preenchidos, a planilha considera o item como um totalizador, preenchendo-o de cinza.</t>
    </r>
  </si>
  <si>
    <t>É possível visualizar os valores/quantidades no modo Eventos ou modo Orçamento, e visualizar os valores/quantidades em sua Totalidade, ou somente os Executados, ou somente os A Executar.</t>
  </si>
  <si>
    <r>
      <t>2.</t>
    </r>
    <r>
      <rPr>
        <sz val="10"/>
        <color indexed="8"/>
        <rFont val="Times New Roman"/>
        <family val="1"/>
      </rPr>
      <t xml:space="preserve">   </t>
    </r>
    <r>
      <rPr>
        <sz val="10"/>
        <color indexed="8"/>
        <rFont val="Arial"/>
        <family val="2"/>
      </rPr>
      <t>Os dados preenchidos na aba Eventograma e Quantitativos não devem ser alterados ao longo do acompanhamento da obra, apenas no caso de reprogramação, quando deverá ser submetido a reanálise e aceite pela CAIXA.</t>
    </r>
  </si>
  <si>
    <r>
      <t>3.</t>
    </r>
    <r>
      <rPr>
        <sz val="10"/>
        <color indexed="8"/>
        <rFont val="Times New Roman"/>
        <family val="1"/>
      </rPr>
      <t xml:space="preserve">   </t>
    </r>
    <r>
      <rPr>
        <sz val="10"/>
        <color indexed="8"/>
        <rFont val="Arial"/>
        <family val="2"/>
      </rPr>
      <t>A cada solicitação de recursos, a Planilha de Levantamento de Eventos (PLE) deverá ser preenchida pelo Tomador e encaminhada à CAIXA em conjunto com a planilha Resumo de Acompanhamento.</t>
    </r>
  </si>
  <si>
    <t xml:space="preserve"> </t>
  </si>
  <si>
    <t>Nº OPERAÇÃO</t>
  </si>
  <si>
    <t>Nº SICONV</t>
  </si>
  <si>
    <t>Administração Local</t>
  </si>
  <si>
    <t>v006</t>
  </si>
  <si>
    <t>A administração local será proporcional a execução dos demais eventos, independente de frentes de obra.</t>
  </si>
  <si>
    <t>A administração local será proporcional a execução dos demais eventos, indenpendente de frentes de obra.</t>
  </si>
  <si>
    <r>
      <t>1.</t>
    </r>
    <r>
      <rPr>
        <sz val="10"/>
        <color indexed="8"/>
        <rFont val="Times New Roman"/>
        <family val="1"/>
      </rPr>
      <t xml:space="preserve">   </t>
    </r>
    <r>
      <rPr>
        <sz val="10"/>
        <color indexed="8"/>
        <rFont val="Arial"/>
        <family val="2"/>
      </rPr>
      <t>Os formulários Eventograma e Quantitativos, Detalhamento de Eventos e Cronograma devem ser encaminhados para verificação e aceite pela CAIXA, na fase de análise de engenharia</t>
    </r>
  </si>
  <si>
    <t>e posteriormente na verificação do processo licitatório atualizada com os preços da proposta vencedora da licitação.</t>
  </si>
  <si>
    <t>Agrupador de Eventos</t>
  </si>
  <si>
    <t>MDR</t>
  </si>
  <si>
    <t>APOIO À POLITICA NACIONAL DE DESENVOLVIMENTO URBANO</t>
  </si>
  <si>
    <t>ZONA URBANO</t>
  </si>
  <si>
    <t>PAVIMENTAÇÃO</t>
  </si>
  <si>
    <t>CALÇADAS E RAMPAS</t>
  </si>
  <si>
    <t>SINALIZAÇÃO E SERVIÇOS FINAIS</t>
  </si>
  <si>
    <t>I</t>
  </si>
  <si>
    <t>PAVIMENTAÇÃO DE RUAS</t>
  </si>
  <si>
    <t>SERVIÇOS PRELIMINARES</t>
  </si>
  <si>
    <t>Placa indicativa da obra em chapa de aço galvanizado (4,0m x 2,0m)</t>
  </si>
  <si>
    <t>m²</t>
  </si>
  <si>
    <t>1.1</t>
  </si>
  <si>
    <t>SERVIÇOS DE TERRAPLENAGEM</t>
  </si>
  <si>
    <t>Regularização e compactação de sub-leito até 20cm de espessura</t>
  </si>
  <si>
    <t>2.1</t>
  </si>
  <si>
    <t>Serviços topográficos para pavimentação (locação e nivelamento), inclusive nota de serviços, acompanhamento e greide</t>
  </si>
  <si>
    <t>Assentamento de guia (meio-fio) em trecho reto, confeccionada em concreto pré-fabricado, dimensões 100x15x13x30 cm (comprimento x base inferior x base superior x altura), para vias urbanas (uso viário)</t>
  </si>
  <si>
    <t>Revestimento em paralelepipedo inclusive colchão de areia rejuntado no traço 1:3 (Cimento e areia)</t>
  </si>
  <si>
    <t>m</t>
  </si>
  <si>
    <t>3.1</t>
  </si>
  <si>
    <t>3.2</t>
  </si>
  <si>
    <t>3.3</t>
  </si>
  <si>
    <t>SERVIÇOS COMPLEMENTARES</t>
  </si>
  <si>
    <t>Execução de passeio (calçada) em concreto moldado in loco, feito em obra, acabamento convencional, não armado, espessura 6 cm</t>
  </si>
  <si>
    <t>Execução de rampa em concreto moldado in loco, feito em obra, acabamento convencional, não armado, conforme ABNT NBR 9050/2004</t>
  </si>
  <si>
    <t>Piso tátil em rampas e calçadas para acessibilidade (rota acessível)</t>
  </si>
  <si>
    <t>Pintura acrílica em piso cimentado da rampa, 2 demãos</t>
  </si>
  <si>
    <t>Caiação em meio-fio</t>
  </si>
  <si>
    <t>m³</t>
  </si>
  <si>
    <t>4.1</t>
  </si>
  <si>
    <t>4.2</t>
  </si>
  <si>
    <t>4.3</t>
  </si>
  <si>
    <t>4.4</t>
  </si>
  <si>
    <t>4.5</t>
  </si>
  <si>
    <t>JOÃO PESSOA</t>
  </si>
  <si>
    <t>PAVIMENTAÇÃO EM PARALELEPÍPEDO</t>
  </si>
  <si>
    <t>Fornecimento e aplicação de meio fio em pedra granitica.(Cordão)</t>
  </si>
  <si>
    <t>3.4</t>
  </si>
  <si>
    <t>Alvenaria de vedação de blocos cerâmicos furados na horizontal de 9x19x19cm (espessura 9cm)para execução de passeio e argamassa de assentamento com preparo em betoneira</t>
  </si>
  <si>
    <t>4.7</t>
  </si>
  <si>
    <t>DESENVOLVIMENTO REGIONAL, TERRITORIAL E URBANO</t>
  </si>
  <si>
    <t>4.8</t>
  </si>
  <si>
    <t>Placa esmaltada para identificação de número de rua, dimensões 45x20cm</t>
  </si>
  <si>
    <t>unid</t>
  </si>
  <si>
    <t>Sinalização permanente, vertical, com placa octogonal de aço, padrão DNER, largura 0,60m, com tubo de aço galvanizado de 2,10m, já sendo descontado a altura que ficará contido na base, fixado com base de concreto 40 x 40 x 50</t>
  </si>
  <si>
    <t>4.6</t>
  </si>
  <si>
    <t>1080659-09</t>
  </si>
  <si>
    <t>923417/2021</t>
  </si>
  <si>
    <t>PREFEITURA MUNICIPAL DE COREMAS</t>
  </si>
  <si>
    <t>COREMAS/PB</t>
  </si>
  <si>
    <t>2-PAVIMENTAÇÃO</t>
  </si>
  <si>
    <t>3-CALÇADAS E RAMPAS</t>
  </si>
  <si>
    <t>4-SINALIZAÇÃO E SERVIÇOS FINAIS</t>
  </si>
  <si>
    <t>Rua Oficial de Justiça Vicente Gregório Antão</t>
  </si>
  <si>
    <t>Rua Francisca Garrido de Sousa</t>
  </si>
  <si>
    <t>Rua Francisco Batista Silva</t>
  </si>
  <si>
    <t>Rua Bartolomeu Buriti</t>
  </si>
  <si>
    <t>Rua Maria Farias de Assis</t>
  </si>
  <si>
    <t>Rua Roberto Wilson Moura</t>
  </si>
  <si>
    <t>Rua Cícero Eufrásio da Silva</t>
  </si>
  <si>
    <t>Rua Firmino da Silva Lacerda</t>
  </si>
  <si>
    <t>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</si>
</sst>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"/>
    <numFmt numFmtId="165" formatCode="&quot;Mês &quot;00"/>
    <numFmt numFmtId="166" formatCode="##&quot;.&quot;###&quot;.&quot;###&quot;/&quot;000#&quot;-&quot;##"/>
    <numFmt numFmtId="167" formatCode="_-#,##0.00_-;\-#,##0.00_-;_-&quot;-&quot;??_-;_-@_-"/>
    <numFmt numFmtId="168" formatCode="&quot;Medição &quot;00"/>
    <numFmt numFmtId="169" formatCode="dd/mm/yy;@"/>
    <numFmt numFmtId="170" formatCode="_-&quot;R$&quot;\ #,##0.00_-;\-&quot;R$&quot;\ #,##0.00_-;_-&quot;R$&quot;\ &quot;-&quot;??_-;_-@_-"/>
    <numFmt numFmtId="171" formatCode="_-#,##0.00_-;\-#,##0.00_-;_-&quot;-&quot;_-;_-@_-"/>
    <numFmt numFmtId="172" formatCode="General;General;"/>
    <numFmt numFmtId="173" formatCode="_(* #,##0.00_);_(* \(#,##0.00\);_(* &quot;-&quot;??_);_(@_)"/>
    <numFmt numFmtId="174" formatCode="0.00;;"/>
  </numFmts>
  <fonts count="50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7.5"/>
      <name val="Arial"/>
      <family val="2"/>
    </font>
    <font>
      <b/>
      <sz val="8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Times New Roman"/>
      <family val="1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0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9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b/>
      <sz val="8"/>
      <color indexed="8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sz val="8"/>
      <color indexed="22"/>
      <name val="Arial"/>
      <family val="2"/>
    </font>
    <font>
      <sz val="9"/>
      <color indexed="8"/>
      <name val="Calibri"/>
      <family val="2"/>
    </font>
    <font>
      <sz val="8"/>
      <color indexed="23"/>
      <name val="Arial"/>
      <family val="2"/>
    </font>
    <font>
      <sz val="9"/>
      <color indexed="23"/>
      <name val="Arial"/>
      <family val="2"/>
    </font>
    <font>
      <b/>
      <sz val="8"/>
      <color indexed="23"/>
      <name val="Arial"/>
      <family val="2"/>
    </font>
    <font>
      <b/>
      <u/>
      <sz val="10"/>
      <color indexed="8"/>
      <name val="Arial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Calibri"/>
      <family val="2"/>
    </font>
    <font>
      <sz val="8"/>
      <color indexed="22"/>
      <name val="Arial"/>
      <family val="2"/>
    </font>
    <font>
      <sz val="11"/>
      <color indexed="8"/>
      <name val="Arial"/>
      <family val="2"/>
    </font>
    <font>
      <sz val="9"/>
      <color indexed="9"/>
      <name val="Arial"/>
      <family val="2"/>
    </font>
    <font>
      <b/>
      <sz val="12"/>
      <color indexed="8"/>
      <name val="Arial"/>
      <family val="2"/>
    </font>
    <font>
      <b/>
      <sz val="9"/>
      <color indexed="8"/>
      <name val="Arial"/>
      <family val="2"/>
    </font>
    <font>
      <sz val="12"/>
      <name val="Arial"/>
      <family val="2"/>
    </font>
    <font>
      <sz val="9"/>
      <color indexed="8"/>
      <name val="Arial Narrow"/>
      <family val="2"/>
    </font>
    <font>
      <sz val="1"/>
      <color indexed="8"/>
      <name val="Arial"/>
      <family val="2"/>
    </font>
    <font>
      <sz val="9"/>
      <color indexed="81"/>
      <name val="Segoe UI"/>
      <family val="2"/>
    </font>
    <font>
      <sz val="8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23"/>
      </left>
      <right style="hair">
        <color indexed="23"/>
      </right>
      <top/>
      <bottom/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hair">
        <color indexed="64"/>
      </top>
      <bottom style="thin">
        <color indexed="23"/>
      </bottom>
      <diagonal/>
    </border>
    <border>
      <left/>
      <right/>
      <top style="hair">
        <color indexed="64"/>
      </top>
      <bottom style="thin">
        <color indexed="23"/>
      </bottom>
      <diagonal/>
    </border>
    <border>
      <left/>
      <right style="thin">
        <color indexed="23"/>
      </right>
      <top style="hair">
        <color indexed="64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hair">
        <color indexed="64"/>
      </bottom>
      <diagonal/>
    </border>
    <border>
      <left/>
      <right/>
      <top style="thin">
        <color indexed="23"/>
      </top>
      <bottom style="hair">
        <color indexed="64"/>
      </bottom>
      <diagonal/>
    </border>
    <border>
      <left/>
      <right style="thin">
        <color indexed="23"/>
      </right>
      <top style="thin">
        <color indexed="23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64"/>
      </top>
      <bottom style="thin">
        <color indexed="23"/>
      </bottom>
      <diagonal/>
    </border>
    <border>
      <left style="thin">
        <color indexed="23"/>
      </left>
      <right style="hair">
        <color indexed="64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hair">
        <color indexed="23"/>
      </bottom>
      <diagonal/>
    </border>
    <border>
      <left/>
      <right style="thin">
        <color indexed="23"/>
      </right>
      <top style="thin">
        <color indexed="23"/>
      </top>
      <bottom style="hair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 style="hair">
        <color indexed="23"/>
      </top>
      <bottom style="thin">
        <color indexed="23"/>
      </bottom>
      <diagonal/>
    </border>
    <border>
      <left/>
      <right style="thin">
        <color indexed="23"/>
      </right>
      <top style="hair">
        <color indexed="23"/>
      </top>
      <bottom style="thin">
        <color indexed="23"/>
      </bottom>
      <diagonal/>
    </border>
    <border>
      <left style="thin">
        <color indexed="23"/>
      </left>
      <right/>
      <top/>
      <bottom style="hair">
        <color indexed="23"/>
      </bottom>
      <diagonal/>
    </border>
    <border>
      <left/>
      <right style="thin">
        <color indexed="23"/>
      </right>
      <top/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6">
    <xf numFmtId="0" fontId="0" fillId="0" borderId="0"/>
    <xf numFmtId="44" fontId="22" fillId="0" borderId="0" applyFont="0" applyFill="0" applyBorder="0" applyAlignment="0" applyProtection="0"/>
    <xf numFmtId="0" fontId="9" fillId="0" borderId="0"/>
    <xf numFmtId="0" fontId="6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</cellStyleXfs>
  <cellXfs count="283">
    <xf numFmtId="0" fontId="0" fillId="0" borderId="0" xfId="0"/>
    <xf numFmtId="0" fontId="7" fillId="0" borderId="2" xfId="3" applyFont="1" applyBorder="1" applyAlignment="1">
      <alignment vertical="top"/>
    </xf>
    <xf numFmtId="0" fontId="9" fillId="0" borderId="0" xfId="2"/>
    <xf numFmtId="0" fontId="2" fillId="0" borderId="0" xfId="2" applyFont="1" applyAlignment="1">
      <alignment horizontal="center"/>
    </xf>
    <xf numFmtId="0" fontId="9" fillId="0" borderId="0" xfId="2" applyAlignment="1">
      <alignment horizontal="left"/>
    </xf>
    <xf numFmtId="0" fontId="9" fillId="0" borderId="0" xfId="2" applyAlignment="1">
      <alignment horizontal="left" wrapText="1"/>
    </xf>
    <xf numFmtId="0" fontId="7" fillId="0" borderId="3" xfId="2" applyFont="1" applyBorder="1"/>
    <xf numFmtId="0" fontId="7" fillId="0" borderId="4" xfId="2" applyFont="1" applyBorder="1"/>
    <xf numFmtId="0" fontId="7" fillId="0" borderId="2" xfId="2" applyFont="1" applyBorder="1"/>
    <xf numFmtId="0" fontId="9" fillId="0" borderId="5" xfId="2" applyBorder="1" applyAlignment="1">
      <alignment horizontal="left"/>
    </xf>
    <xf numFmtId="0" fontId="2" fillId="0" borderId="5" xfId="2" applyFont="1" applyBorder="1" applyAlignment="1">
      <alignment horizontal="left"/>
    </xf>
    <xf numFmtId="0" fontId="7" fillId="0" borderId="3" xfId="2" applyFont="1" applyBorder="1" applyAlignment="1">
      <alignment horizontal="left"/>
    </xf>
    <xf numFmtId="0" fontId="7" fillId="0" borderId="4" xfId="2" applyFont="1" applyBorder="1" applyAlignment="1">
      <alignment horizontal="left"/>
    </xf>
    <xf numFmtId="0" fontId="7" fillId="0" borderId="2" xfId="2" applyFont="1" applyBorder="1" applyAlignment="1">
      <alignment horizontal="left"/>
    </xf>
    <xf numFmtId="0" fontId="7" fillId="0" borderId="0" xfId="2" applyFont="1" applyAlignment="1">
      <alignment horizontal="left"/>
    </xf>
    <xf numFmtId="0" fontId="23" fillId="0" borderId="0" xfId="0" applyFont="1"/>
    <xf numFmtId="0" fontId="23" fillId="0" borderId="4" xfId="0" applyFont="1" applyBorder="1" applyAlignment="1">
      <alignment horizontal="left"/>
    </xf>
    <xf numFmtId="0" fontId="23" fillId="0" borderId="2" xfId="0" applyFont="1" applyBorder="1" applyAlignment="1">
      <alignment horizontal="left"/>
    </xf>
    <xf numFmtId="0" fontId="24" fillId="0" borderId="0" xfId="2" applyFont="1" applyAlignment="1">
      <alignment horizontal="left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5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0" fontId="27" fillId="0" borderId="0" xfId="0" applyFont="1"/>
    <xf numFmtId="0" fontId="3" fillId="0" borderId="0" xfId="0" applyFont="1"/>
    <xf numFmtId="0" fontId="28" fillId="0" borderId="0" xfId="0" applyFont="1"/>
    <xf numFmtId="0" fontId="27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wrapText="1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5" fillId="0" borderId="6" xfId="0" applyFont="1" applyBorder="1" applyAlignment="1">
      <alignment horizontal="center"/>
    </xf>
    <xf numFmtId="10" fontId="25" fillId="0" borderId="6" xfId="4" applyNumberFormat="1" applyFont="1" applyBorder="1" applyAlignment="1" applyProtection="1">
      <alignment horizontal="center"/>
    </xf>
    <xf numFmtId="43" fontId="25" fillId="0" borderId="0" xfId="5" applyFont="1" applyAlignment="1" applyProtection="1">
      <alignment horizontal="left"/>
    </xf>
    <xf numFmtId="0" fontId="25" fillId="0" borderId="7" xfId="0" applyFont="1" applyBorder="1"/>
    <xf numFmtId="0" fontId="25" fillId="0" borderId="0" xfId="0" applyFont="1" applyAlignment="1">
      <alignment horizontal="right"/>
    </xf>
    <xf numFmtId="0" fontId="25" fillId="0" borderId="0" xfId="0" applyFont="1" applyAlignment="1">
      <alignment horizontal="center" vertical="center" wrapText="1"/>
    </xf>
    <xf numFmtId="14" fontId="29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wrapText="1"/>
    </xf>
    <xf numFmtId="14" fontId="25" fillId="0" borderId="6" xfId="0" applyNumberFormat="1" applyFont="1" applyBorder="1" applyAlignment="1">
      <alignment horizontal="center"/>
    </xf>
    <xf numFmtId="10" fontId="25" fillId="0" borderId="6" xfId="0" applyNumberFormat="1" applyFont="1" applyBorder="1" applyAlignment="1">
      <alignment horizontal="center"/>
    </xf>
    <xf numFmtId="0" fontId="27" fillId="2" borderId="8" xfId="0" applyFont="1" applyFill="1" applyBorder="1"/>
    <xf numFmtId="0" fontId="25" fillId="2" borderId="9" xfId="0" applyFont="1" applyFill="1" applyBorder="1"/>
    <xf numFmtId="0" fontId="30" fillId="2" borderId="9" xfId="0" applyFont="1" applyFill="1" applyBorder="1"/>
    <xf numFmtId="10" fontId="27" fillId="2" borderId="9" xfId="0" applyNumberFormat="1" applyFont="1" applyFill="1" applyBorder="1"/>
    <xf numFmtId="0" fontId="27" fillId="2" borderId="9" xfId="0" applyFont="1" applyFill="1" applyBorder="1" applyAlignment="1">
      <alignment horizontal="right"/>
    </xf>
    <xf numFmtId="10" fontId="25" fillId="2" borderId="10" xfId="4" applyNumberFormat="1" applyFont="1" applyFill="1" applyBorder="1" applyProtection="1"/>
    <xf numFmtId="0" fontId="27" fillId="0" borderId="0" xfId="0" applyFont="1" applyAlignment="1">
      <alignment horizontal="right"/>
    </xf>
    <xf numFmtId="0" fontId="25" fillId="0" borderId="11" xfId="0" applyFont="1" applyBorder="1" applyAlignment="1">
      <alignment horizontal="center"/>
    </xf>
    <xf numFmtId="0" fontId="26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1" fillId="0" borderId="0" xfId="0" applyFont="1"/>
    <xf numFmtId="0" fontId="1" fillId="0" borderId="7" xfId="0" applyFont="1" applyBorder="1"/>
    <xf numFmtId="0" fontId="1" fillId="0" borderId="0" xfId="0" applyFont="1" applyAlignment="1">
      <alignment horizontal="right"/>
    </xf>
    <xf numFmtId="0" fontId="26" fillId="0" borderId="4" xfId="0" applyFont="1" applyBorder="1" applyAlignment="1">
      <alignment vertical="center" wrapText="1"/>
    </xf>
    <xf numFmtId="0" fontId="26" fillId="0" borderId="12" xfId="0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right" vertical="center"/>
    </xf>
    <xf numFmtId="0" fontId="25" fillId="2" borderId="1" xfId="0" applyFont="1" applyFill="1" applyBorder="1" applyAlignment="1">
      <alignment horizontal="center" textRotation="90" wrapText="1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center"/>
    </xf>
    <xf numFmtId="43" fontId="25" fillId="0" borderId="0" xfId="5" applyFont="1" applyProtection="1"/>
    <xf numFmtId="0" fontId="32" fillId="0" borderId="0" xfId="0" applyFont="1"/>
    <xf numFmtId="0" fontId="33" fillId="0" borderId="0" xfId="0" applyFont="1" applyAlignment="1">
      <alignment vertical="center"/>
    </xf>
    <xf numFmtId="0" fontId="32" fillId="0" borderId="0" xfId="0" applyFont="1" applyAlignment="1">
      <alignment horizontal="center" textRotation="90"/>
    </xf>
    <xf numFmtId="43" fontId="1" fillId="0" borderId="0" xfId="5" applyFont="1" applyAlignment="1" applyProtection="1">
      <alignment horizontal="center"/>
    </xf>
    <xf numFmtId="0" fontId="25" fillId="0" borderId="1" xfId="0" applyFont="1" applyBorder="1" applyAlignment="1" applyProtection="1">
      <alignment horizontal="center" textRotation="90" wrapText="1"/>
      <protection locked="0"/>
    </xf>
    <xf numFmtId="0" fontId="25" fillId="0" borderId="0" xfId="0" applyFont="1" applyAlignment="1">
      <alignment horizontal="center" textRotation="90"/>
    </xf>
    <xf numFmtId="10" fontId="34" fillId="0" borderId="0" xfId="0" applyNumberFormat="1" applyFont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43" fontId="4" fillId="0" borderId="1" xfId="5" applyFont="1" applyBorder="1" applyAlignment="1" applyProtection="1">
      <alignment horizontal="center" vertical="center" wrapText="1"/>
    </xf>
    <xf numFmtId="43" fontId="27" fillId="0" borderId="1" xfId="5" applyFont="1" applyBorder="1" applyAlignment="1" applyProtection="1">
      <alignment horizontal="center" vertical="center" wrapText="1"/>
    </xf>
    <xf numFmtId="0" fontId="27" fillId="0" borderId="0" xfId="0" applyFont="1" applyAlignment="1">
      <alignment wrapText="1"/>
    </xf>
    <xf numFmtId="0" fontId="34" fillId="0" borderId="0" xfId="0" applyFont="1" applyAlignment="1">
      <alignment horizontal="center"/>
    </xf>
    <xf numFmtId="43" fontId="4" fillId="0" borderId="0" xfId="5" applyFont="1" applyAlignment="1" applyProtection="1">
      <alignment horizontal="center" wrapText="1"/>
    </xf>
    <xf numFmtId="43" fontId="27" fillId="0" borderId="0" xfId="5" applyFont="1" applyAlignment="1" applyProtection="1">
      <alignment wrapText="1"/>
    </xf>
    <xf numFmtId="10" fontId="25" fillId="0" borderId="6" xfId="4" applyNumberFormat="1" applyFont="1" applyBorder="1" applyAlignment="1" applyProtection="1">
      <alignment horizontal="left" vertical="center" shrinkToFit="1"/>
    </xf>
    <xf numFmtId="43" fontId="1" fillId="0" borderId="6" xfId="5" applyFont="1" applyBorder="1" applyAlignment="1" applyProtection="1">
      <alignment horizontal="center" vertical="center"/>
    </xf>
    <xf numFmtId="43" fontId="25" fillId="0" borderId="6" xfId="5" applyFont="1" applyBorder="1" applyAlignment="1" applyProtection="1">
      <alignment vertical="center"/>
    </xf>
    <xf numFmtId="43" fontId="25" fillId="0" borderId="13" xfId="5" applyFont="1" applyBorder="1" applyAlignment="1" applyProtection="1">
      <alignment vertical="center"/>
    </xf>
    <xf numFmtId="0" fontId="25" fillId="0" borderId="13" xfId="0" applyFont="1" applyBorder="1" applyAlignment="1">
      <alignment vertical="center" wrapText="1"/>
    </xf>
    <xf numFmtId="10" fontId="25" fillId="0" borderId="0" xfId="4" applyNumberFormat="1" applyFont="1" applyAlignment="1" applyProtection="1">
      <alignment horizontal="center" vertical="center"/>
    </xf>
    <xf numFmtId="0" fontId="26" fillId="0" borderId="0" xfId="0" applyFont="1"/>
    <xf numFmtId="0" fontId="1" fillId="0" borderId="5" xfId="0" applyFont="1" applyBorder="1" applyAlignment="1">
      <alignment horizontal="right"/>
    </xf>
    <xf numFmtId="0" fontId="2" fillId="0" borderId="0" xfId="2" applyFont="1"/>
    <xf numFmtId="49" fontId="2" fillId="0" borderId="0" xfId="2" applyNumberFormat="1" applyFont="1" applyAlignment="1" applyProtection="1">
      <alignment horizontal="left"/>
      <protection locked="0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left" vertical="center" indent="2"/>
    </xf>
    <xf numFmtId="0" fontId="36" fillId="0" borderId="0" xfId="0" applyFont="1" applyAlignment="1">
      <alignment horizontal="left" vertical="center" indent="7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left" vertical="center" indent="9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/>
    <xf numFmtId="0" fontId="29" fillId="0" borderId="0" xfId="0" applyFont="1" applyAlignment="1">
      <alignment horizont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/>
    </xf>
    <xf numFmtId="43" fontId="39" fillId="0" borderId="14" xfId="5" applyFont="1" applyBorder="1" applyAlignment="1" applyProtection="1"/>
    <xf numFmtId="0" fontId="7" fillId="0" borderId="2" xfId="3" applyFont="1" applyBorder="1" applyAlignment="1">
      <alignment horizontal="left" vertical="top"/>
    </xf>
    <xf numFmtId="0" fontId="16" fillId="0" borderId="2" xfId="0" applyFont="1" applyBorder="1"/>
    <xf numFmtId="0" fontId="7" fillId="0" borderId="2" xfId="0" applyFont="1" applyBorder="1"/>
    <xf numFmtId="0" fontId="16" fillId="0" borderId="2" xfId="0" applyFont="1" applyBorder="1" applyAlignment="1">
      <alignment horizontal="center"/>
    </xf>
    <xf numFmtId="0" fontId="8" fillId="0" borderId="2" xfId="3" applyFont="1" applyBorder="1" applyAlignment="1">
      <alignment horizontal="center" vertical="top"/>
    </xf>
    <xf numFmtId="49" fontId="36" fillId="3" borderId="12" xfId="0" applyNumberFormat="1" applyFont="1" applyFill="1" applyBorder="1" applyProtection="1">
      <protection locked="0"/>
    </xf>
    <xf numFmtId="166" fontId="2" fillId="3" borderId="12" xfId="0" applyNumberFormat="1" applyFont="1" applyFill="1" applyBorder="1" applyAlignment="1" applyProtection="1">
      <alignment horizontal="left" vertical="top" wrapText="1"/>
      <protection locked="0"/>
    </xf>
    <xf numFmtId="14" fontId="36" fillId="3" borderId="12" xfId="0" applyNumberFormat="1" applyFont="1" applyFill="1" applyBorder="1" applyAlignment="1" applyProtection="1">
      <alignment horizontal="center"/>
      <protection locked="0"/>
    </xf>
    <xf numFmtId="49" fontId="2" fillId="3" borderId="12" xfId="2" applyNumberFormat="1" applyFont="1" applyFill="1" applyBorder="1" applyAlignment="1" applyProtection="1">
      <alignment horizontal="left"/>
      <protection locked="0"/>
    </xf>
    <xf numFmtId="0" fontId="0" fillId="3" borderId="12" xfId="0" applyFill="1" applyBorder="1" applyAlignment="1" applyProtection="1">
      <alignment horizontal="left"/>
      <protection locked="0"/>
    </xf>
    <xf numFmtId="49" fontId="2" fillId="3" borderId="12" xfId="0" applyNumberFormat="1" applyFont="1" applyFill="1" applyBorder="1" applyAlignment="1" applyProtection="1">
      <alignment horizontal="left" vertical="top" wrapText="1"/>
      <protection locked="0"/>
    </xf>
    <xf numFmtId="0" fontId="37" fillId="0" borderId="0" xfId="0" applyFont="1" applyAlignment="1">
      <alignment horizontal="left" vertical="center"/>
    </xf>
    <xf numFmtId="0" fontId="25" fillId="0" borderId="6" xfId="0" applyFont="1" applyBorder="1" applyAlignment="1" applyProtection="1">
      <alignment vertical="center" wrapText="1"/>
      <protection hidden="1"/>
    </xf>
    <xf numFmtId="1" fontId="40" fillId="0" borderId="0" xfId="4" applyNumberFormat="1" applyFont="1" applyAlignment="1" applyProtection="1">
      <alignment horizontal="center" vertical="center"/>
    </xf>
    <xf numFmtId="43" fontId="1" fillId="0" borderId="6" xfId="5" applyFont="1" applyFill="1" applyBorder="1" applyAlignment="1" applyProtection="1">
      <alignment horizontal="center" vertical="center" shrinkToFit="1"/>
    </xf>
    <xf numFmtId="0" fontId="25" fillId="0" borderId="6" xfId="0" quotePrefix="1" applyFont="1" applyBorder="1" applyAlignment="1">
      <alignment horizontal="left" vertical="center"/>
    </xf>
    <xf numFmtId="0" fontId="25" fillId="0" borderId="6" xfId="0" applyFont="1" applyBorder="1" applyAlignment="1">
      <alignment vertical="center" wrapText="1"/>
    </xf>
    <xf numFmtId="0" fontId="25" fillId="0" borderId="6" xfId="0" applyFont="1" applyBorder="1" applyAlignment="1">
      <alignment horizontal="center" vertic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right"/>
    </xf>
    <xf numFmtId="1" fontId="25" fillId="0" borderId="0" xfId="4" applyNumberFormat="1" applyFont="1" applyAlignment="1" applyProtection="1">
      <alignment horizontal="center" vertical="center"/>
    </xf>
    <xf numFmtId="0" fontId="38" fillId="0" borderId="0" xfId="0" applyFont="1" applyAlignment="1">
      <alignment horizontal="center" vertical="center" wrapText="1"/>
    </xf>
    <xf numFmtId="0" fontId="36" fillId="0" borderId="6" xfId="0" applyFont="1" applyBorder="1" applyAlignment="1">
      <alignment horizontal="center"/>
    </xf>
    <xf numFmtId="0" fontId="36" fillId="3" borderId="6" xfId="5" applyNumberFormat="1" applyFont="1" applyFill="1" applyBorder="1" applyAlignment="1" applyProtection="1">
      <alignment horizontal="center"/>
      <protection locked="0"/>
    </xf>
    <xf numFmtId="0" fontId="38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right"/>
    </xf>
    <xf numFmtId="169" fontId="7" fillId="0" borderId="0" xfId="0" applyNumberFormat="1" applyFont="1" applyAlignment="1">
      <alignment horizontal="right"/>
    </xf>
    <xf numFmtId="0" fontId="41" fillId="0" borderId="0" xfId="0" applyFont="1" applyAlignment="1">
      <alignment horizontal="left" vertical="center"/>
    </xf>
    <xf numFmtId="10" fontId="25" fillId="2" borderId="9" xfId="0" applyNumberFormat="1" applyFont="1" applyFill="1" applyBorder="1"/>
    <xf numFmtId="0" fontId="25" fillId="0" borderId="12" xfId="0" applyFont="1" applyBorder="1" applyAlignment="1">
      <alignment horizontal="center" vertical="center" wrapText="1"/>
    </xf>
    <xf numFmtId="1" fontId="25" fillId="0" borderId="6" xfId="0" applyNumberFormat="1" applyFont="1" applyBorder="1" applyAlignment="1">
      <alignment horizontal="center"/>
    </xf>
    <xf numFmtId="0" fontId="25" fillId="3" borderId="6" xfId="0" applyFont="1" applyFill="1" applyBorder="1" applyAlignment="1" applyProtection="1">
      <alignment horizontal="center" vertical="center"/>
      <protection locked="0"/>
    </xf>
    <xf numFmtId="0" fontId="25" fillId="3" borderId="6" xfId="0" applyFont="1" applyFill="1" applyBorder="1" applyAlignment="1" applyProtection="1">
      <alignment horizontal="left" vertical="center"/>
      <protection locked="0"/>
    </xf>
    <xf numFmtId="0" fontId="25" fillId="3" borderId="6" xfId="0" applyFont="1" applyFill="1" applyBorder="1" applyAlignment="1" applyProtection="1">
      <alignment vertical="center" wrapText="1"/>
      <protection locked="0"/>
    </xf>
    <xf numFmtId="0" fontId="1" fillId="2" borderId="9" xfId="4" applyNumberFormat="1" applyFont="1" applyFill="1" applyBorder="1" applyAlignment="1" applyProtection="1">
      <alignment horizontal="center"/>
    </xf>
    <xf numFmtId="170" fontId="25" fillId="2" borderId="9" xfId="1" applyNumberFormat="1" applyFont="1" applyFill="1" applyBorder="1" applyAlignment="1" applyProtection="1">
      <alignment shrinkToFit="1"/>
    </xf>
    <xf numFmtId="43" fontId="25" fillId="0" borderId="0" xfId="5" applyFont="1" applyFill="1" applyProtection="1"/>
    <xf numFmtId="171" fontId="27" fillId="2" borderId="1" xfId="5" applyNumberFormat="1" applyFont="1" applyFill="1" applyBorder="1" applyAlignment="1" applyProtection="1">
      <alignment horizontal="center" shrinkToFit="1"/>
    </xf>
    <xf numFmtId="171" fontId="25" fillId="0" borderId="6" xfId="5" applyNumberFormat="1" applyFont="1" applyBorder="1" applyAlignment="1" applyProtection="1">
      <alignment horizontal="center" shrinkToFit="1"/>
    </xf>
    <xf numFmtId="0" fontId="23" fillId="0" borderId="15" xfId="0" applyFont="1" applyBorder="1"/>
    <xf numFmtId="0" fontId="10" fillId="2" borderId="16" xfId="2" applyFont="1" applyFill="1" applyBorder="1" applyAlignment="1">
      <alignment vertical="center" wrapText="1"/>
    </xf>
    <xf numFmtId="0" fontId="10" fillId="2" borderId="17" xfId="2" applyFont="1" applyFill="1" applyBorder="1" applyAlignment="1">
      <alignment vertical="center" wrapText="1"/>
    </xf>
    <xf numFmtId="0" fontId="42" fillId="0" borderId="0" xfId="0" applyFont="1" applyAlignment="1">
      <alignment vertical="center"/>
    </xf>
    <xf numFmtId="0" fontId="36" fillId="0" borderId="15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6" fillId="0" borderId="0" xfId="0" applyFont="1" applyProtection="1">
      <protection locked="0"/>
    </xf>
    <xf numFmtId="0" fontId="25" fillId="0" borderId="0" xfId="0" applyFont="1" applyProtection="1">
      <protection locked="0"/>
    </xf>
    <xf numFmtId="172" fontId="25" fillId="0" borderId="6" xfId="0" applyNumberFormat="1" applyFont="1" applyBorder="1" applyAlignment="1">
      <alignment horizontal="left"/>
    </xf>
    <xf numFmtId="172" fontId="25" fillId="0" borderId="6" xfId="0" applyNumberFormat="1" applyFont="1" applyBorder="1" applyAlignment="1">
      <alignment horizontal="center"/>
    </xf>
    <xf numFmtId="1" fontId="25" fillId="0" borderId="0" xfId="0" applyNumberFormat="1" applyFont="1" applyProtection="1">
      <protection locked="0"/>
    </xf>
    <xf numFmtId="0" fontId="0" fillId="0" borderId="0" xfId="0" applyAlignment="1">
      <alignment vertical="center"/>
    </xf>
    <xf numFmtId="0" fontId="45" fillId="2" borderId="18" xfId="2" applyFont="1" applyFill="1" applyBorder="1" applyAlignment="1">
      <alignment vertical="center" wrapText="1"/>
    </xf>
    <xf numFmtId="3" fontId="45" fillId="2" borderId="19" xfId="2" applyNumberFormat="1" applyFont="1" applyFill="1" applyBorder="1" applyAlignment="1">
      <alignment horizontal="left" vertical="center" wrapText="1"/>
    </xf>
    <xf numFmtId="0" fontId="25" fillId="4" borderId="1" xfId="0" applyFont="1" applyFill="1" applyBorder="1" applyAlignment="1" applyProtection="1">
      <alignment horizontal="center" textRotation="90" wrapText="1"/>
      <protection locked="0"/>
    </xf>
    <xf numFmtId="0" fontId="21" fillId="4" borderId="1" xfId="0" applyFont="1" applyFill="1" applyBorder="1" applyAlignment="1" applyProtection="1">
      <alignment horizontal="center" textRotation="90" wrapText="1"/>
      <protection locked="0"/>
    </xf>
    <xf numFmtId="0" fontId="1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3" fillId="0" borderId="0" xfId="0" applyFont="1" applyAlignment="1">
      <alignment horizontal="left" vertical="center" indent="2"/>
    </xf>
    <xf numFmtId="0" fontId="46" fillId="0" borderId="6" xfId="0" applyFont="1" applyBorder="1" applyAlignment="1">
      <alignment horizontal="left"/>
    </xf>
    <xf numFmtId="0" fontId="46" fillId="2" borderId="1" xfId="0" applyFont="1" applyFill="1" applyBorder="1" applyAlignment="1">
      <alignment horizontal="center" textRotation="90"/>
    </xf>
    <xf numFmtId="43" fontId="47" fillId="0" borderId="0" xfId="5" applyFont="1" applyFill="1" applyAlignment="1" applyProtection="1">
      <alignment horizontal="left"/>
    </xf>
    <xf numFmtId="0" fontId="25" fillId="6" borderId="6" xfId="0" applyFont="1" applyFill="1" applyBorder="1" applyAlignment="1" applyProtection="1">
      <alignment vertical="center" wrapText="1"/>
      <protection locked="0" hidden="1"/>
    </xf>
    <xf numFmtId="0" fontId="25" fillId="0" borderId="6" xfId="0" applyFont="1" applyBorder="1" applyAlignment="1" applyProtection="1">
      <alignment horizontal="center" vertical="center"/>
      <protection locked="0"/>
    </xf>
    <xf numFmtId="0" fontId="21" fillId="3" borderId="6" xfId="0" applyFont="1" applyFill="1" applyBorder="1" applyAlignment="1" applyProtection="1">
      <alignment horizontal="left" vertical="center"/>
      <protection locked="0"/>
    </xf>
    <xf numFmtId="0" fontId="21" fillId="3" borderId="6" xfId="0" applyFont="1" applyFill="1" applyBorder="1" applyAlignment="1" applyProtection="1">
      <alignment vertical="center" wrapText="1"/>
      <protection locked="0"/>
    </xf>
    <xf numFmtId="0" fontId="21" fillId="3" borderId="6" xfId="0" applyFont="1" applyFill="1" applyBorder="1" applyAlignment="1" applyProtection="1">
      <alignment horizontal="center" vertical="center"/>
      <protection locked="0"/>
    </xf>
    <xf numFmtId="0" fontId="13" fillId="3" borderId="12" xfId="0" applyFont="1" applyFill="1" applyBorder="1" applyAlignment="1" applyProtection="1">
      <alignment vertical="top" wrapText="1"/>
      <protection locked="0"/>
    </xf>
    <xf numFmtId="14" fontId="13" fillId="3" borderId="12" xfId="0" applyNumberFormat="1" applyFont="1" applyFill="1" applyBorder="1" applyAlignment="1" applyProtection="1">
      <alignment horizontal="center" vertical="top" wrapText="1"/>
      <protection locked="0"/>
    </xf>
    <xf numFmtId="43" fontId="1" fillId="0" borderId="6" xfId="5" applyFont="1" applyBorder="1" applyAlignment="1" applyProtection="1">
      <alignment horizontal="center" vertical="center" shrinkToFit="1"/>
    </xf>
    <xf numFmtId="43" fontId="25" fillId="0" borderId="6" xfId="5" applyFont="1" applyBorder="1" applyAlignment="1" applyProtection="1">
      <alignment vertical="center" shrinkToFit="1"/>
    </xf>
    <xf numFmtId="43" fontId="25" fillId="3" borderId="6" xfId="5" applyFont="1" applyFill="1" applyBorder="1" applyAlignment="1" applyProtection="1">
      <alignment vertical="center" shrinkToFit="1"/>
      <protection locked="0"/>
    </xf>
    <xf numFmtId="0" fontId="13" fillId="7" borderId="11" xfId="5" applyNumberFormat="1" applyFont="1" applyFill="1" applyBorder="1" applyAlignment="1" applyProtection="1">
      <alignment horizontal="left"/>
    </xf>
    <xf numFmtId="0" fontId="36" fillId="7" borderId="20" xfId="5" applyNumberFormat="1" applyFont="1" applyFill="1" applyBorder="1" applyAlignment="1" applyProtection="1">
      <alignment horizontal="center"/>
    </xf>
    <xf numFmtId="0" fontId="36" fillId="7" borderId="14" xfId="5" applyNumberFormat="1" applyFont="1" applyFill="1" applyBorder="1" applyAlignment="1" applyProtection="1">
      <alignment horizontal="center"/>
    </xf>
    <xf numFmtId="43" fontId="25" fillId="0" borderId="6" xfId="5" applyFont="1" applyBorder="1" applyAlignment="1" applyProtection="1">
      <alignment shrinkToFit="1"/>
    </xf>
    <xf numFmtId="173" fontId="25" fillId="3" borderId="6" xfId="5" applyNumberFormat="1" applyFont="1" applyFill="1" applyBorder="1" applyAlignment="1" applyProtection="1">
      <alignment horizontal="center" vertical="center" shrinkToFit="1"/>
      <protection locked="0"/>
    </xf>
    <xf numFmtId="174" fontId="25" fillId="0" borderId="6" xfId="0" applyNumberFormat="1" applyFont="1" applyBorder="1" applyAlignment="1">
      <alignment horizontal="left" wrapText="1"/>
    </xf>
    <xf numFmtId="0" fontId="21" fillId="6" borderId="6" xfId="0" applyFont="1" applyFill="1" applyBorder="1" applyAlignment="1" applyProtection="1">
      <alignment vertical="center" wrapText="1"/>
      <protection locked="0" hidden="1"/>
    </xf>
    <xf numFmtId="0" fontId="20" fillId="0" borderId="1" xfId="0" applyFont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left" vertical="top" wrapText="1"/>
      <protection locked="0"/>
    </xf>
    <xf numFmtId="0" fontId="2" fillId="3" borderId="12" xfId="0" applyFont="1" applyFill="1" applyBorder="1" applyAlignment="1" applyProtection="1">
      <alignment horizontal="left" vertical="top" wrapText="1"/>
      <protection locked="0"/>
    </xf>
    <xf numFmtId="0" fontId="36" fillId="0" borderId="0" xfId="0" applyFont="1" applyAlignment="1">
      <alignment horizontal="left" vertical="center" wrapText="1"/>
    </xf>
    <xf numFmtId="0" fontId="7" fillId="0" borderId="3" xfId="3" applyFont="1" applyBorder="1" applyAlignment="1">
      <alignment horizontal="left" vertical="top"/>
    </xf>
    <xf numFmtId="0" fontId="7" fillId="0" borderId="0" xfId="3" applyFont="1" applyAlignment="1">
      <alignment horizontal="left" vertical="top"/>
    </xf>
    <xf numFmtId="0" fontId="7" fillId="0" borderId="4" xfId="3" applyFont="1" applyBorder="1" applyAlignment="1">
      <alignment horizontal="left" vertical="top"/>
    </xf>
    <xf numFmtId="49" fontId="13" fillId="3" borderId="18" xfId="0" applyNumberFormat="1" applyFont="1" applyFill="1" applyBorder="1" applyAlignment="1" applyProtection="1">
      <alignment horizontal="left" vertical="top" wrapText="1"/>
      <protection locked="0"/>
    </xf>
    <xf numFmtId="49" fontId="36" fillId="3" borderId="7" xfId="0" applyNumberFormat="1" applyFont="1" applyFill="1" applyBorder="1" applyAlignment="1" applyProtection="1">
      <alignment horizontal="left" vertical="top" wrapText="1"/>
      <protection locked="0"/>
    </xf>
    <xf numFmtId="49" fontId="36" fillId="3" borderId="17" xfId="0" applyNumberFormat="1" applyFont="1" applyFill="1" applyBorder="1" applyAlignment="1" applyProtection="1">
      <alignment horizontal="left" vertical="top" wrapText="1"/>
      <protection locked="0"/>
    </xf>
    <xf numFmtId="0" fontId="16" fillId="0" borderId="3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43" fillId="4" borderId="21" xfId="0" applyFont="1" applyFill="1" applyBorder="1" applyAlignment="1">
      <alignment horizontal="center" vertical="center"/>
    </xf>
    <xf numFmtId="0" fontId="43" fillId="4" borderId="22" xfId="0" applyFont="1" applyFill="1" applyBorder="1" applyAlignment="1">
      <alignment horizontal="center" vertical="center"/>
    </xf>
    <xf numFmtId="0" fontId="13" fillId="3" borderId="15" xfId="0" applyFont="1" applyFill="1" applyBorder="1" applyAlignment="1" applyProtection="1">
      <alignment horizontal="left" vertical="center"/>
      <protection locked="0"/>
    </xf>
    <xf numFmtId="0" fontId="36" fillId="3" borderId="15" xfId="0" applyFont="1" applyFill="1" applyBorder="1" applyAlignment="1" applyProtection="1">
      <alignment horizontal="left" vertical="center"/>
      <protection locked="0"/>
    </xf>
    <xf numFmtId="0" fontId="36" fillId="3" borderId="18" xfId="0" applyFont="1" applyFill="1" applyBorder="1" applyAlignment="1" applyProtection="1">
      <alignment horizontal="left" vertical="top" wrapText="1"/>
      <protection locked="0"/>
    </xf>
    <xf numFmtId="0" fontId="36" fillId="3" borderId="7" xfId="0" applyFont="1" applyFill="1" applyBorder="1" applyAlignment="1" applyProtection="1">
      <alignment horizontal="left" vertical="top" wrapText="1"/>
      <protection locked="0"/>
    </xf>
    <xf numFmtId="0" fontId="2" fillId="3" borderId="18" xfId="2" applyFont="1" applyFill="1" applyBorder="1" applyAlignment="1" applyProtection="1">
      <alignment horizontal="left"/>
      <protection locked="0"/>
    </xf>
    <xf numFmtId="0" fontId="2" fillId="3" borderId="17" xfId="2" applyFont="1" applyFill="1" applyBorder="1" applyAlignment="1" applyProtection="1">
      <alignment horizontal="left"/>
      <protection locked="0"/>
    </xf>
    <xf numFmtId="0" fontId="36" fillId="3" borderId="18" xfId="0" applyFont="1" applyFill="1" applyBorder="1" applyAlignment="1" applyProtection="1">
      <alignment horizontal="left"/>
      <protection locked="0"/>
    </xf>
    <xf numFmtId="0" fontId="36" fillId="3" borderId="7" xfId="0" applyFont="1" applyFill="1" applyBorder="1" applyAlignment="1" applyProtection="1">
      <alignment horizontal="left"/>
      <protection locked="0"/>
    </xf>
    <xf numFmtId="0" fontId="13" fillId="0" borderId="15" xfId="0" applyFont="1" applyBorder="1" applyAlignment="1">
      <alignment horizontal="left" vertical="center"/>
    </xf>
    <xf numFmtId="0" fontId="36" fillId="0" borderId="15" xfId="0" applyFont="1" applyBorder="1" applyAlignment="1">
      <alignment horizontal="left" vertical="center"/>
    </xf>
    <xf numFmtId="0" fontId="23" fillId="0" borderId="21" xfId="0" applyFont="1" applyBorder="1"/>
    <xf numFmtId="0" fontId="23" fillId="0" borderId="23" xfId="0" applyFont="1" applyBorder="1"/>
    <xf numFmtId="0" fontId="10" fillId="2" borderId="5" xfId="2" applyFont="1" applyFill="1" applyBorder="1" applyAlignment="1">
      <alignment horizontal="center" vertical="center" wrapText="1"/>
    </xf>
    <xf numFmtId="0" fontId="10" fillId="2" borderId="7" xfId="2" applyFont="1" applyFill="1" applyBorder="1" applyAlignment="1">
      <alignment horizontal="center" vertical="center" wrapText="1"/>
    </xf>
    <xf numFmtId="0" fontId="13" fillId="3" borderId="18" xfId="0" applyFont="1" applyFill="1" applyBorder="1" applyAlignment="1" applyProtection="1">
      <alignment horizontal="left" vertical="top" wrapText="1"/>
      <protection locked="0"/>
    </xf>
    <xf numFmtId="0" fontId="0" fillId="3" borderId="18" xfId="0" applyFill="1" applyBorder="1" applyAlignment="1" applyProtection="1">
      <alignment horizontal="left"/>
      <protection locked="0"/>
    </xf>
    <xf numFmtId="0" fontId="0" fillId="3" borderId="17" xfId="0" applyFill="1" applyBorder="1" applyAlignment="1" applyProtection="1">
      <alignment horizontal="left"/>
      <protection locked="0"/>
    </xf>
    <xf numFmtId="0" fontId="36" fillId="3" borderId="17" xfId="0" applyFont="1" applyFill="1" applyBorder="1" applyAlignment="1" applyProtection="1">
      <alignment horizontal="left" vertical="top" wrapText="1"/>
      <protection locked="0"/>
    </xf>
    <xf numFmtId="0" fontId="25" fillId="0" borderId="5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6" fillId="0" borderId="18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26" fillId="0" borderId="7" xfId="0" applyFont="1" applyBorder="1" applyAlignment="1" applyProtection="1">
      <alignment horizontal="left"/>
      <protection locked="0"/>
    </xf>
    <xf numFmtId="0" fontId="26" fillId="0" borderId="7" xfId="0" applyFont="1" applyBorder="1" applyAlignment="1">
      <alignment horizontal="left"/>
    </xf>
    <xf numFmtId="167" fontId="36" fillId="0" borderId="24" xfId="5" applyNumberFormat="1" applyFont="1" applyBorder="1" applyAlignment="1" applyProtection="1">
      <alignment horizontal="center" shrinkToFit="1"/>
    </xf>
    <xf numFmtId="167" fontId="36" fillId="0" borderId="25" xfId="5" applyNumberFormat="1" applyFont="1" applyBorder="1" applyAlignment="1" applyProtection="1">
      <alignment horizontal="center" shrinkToFit="1"/>
    </xf>
    <xf numFmtId="167" fontId="36" fillId="0" borderId="26" xfId="5" applyNumberFormat="1" applyFont="1" applyBorder="1" applyAlignment="1" applyProtection="1">
      <alignment horizontal="center" shrinkToFit="1"/>
    </xf>
    <xf numFmtId="10" fontId="36" fillId="0" borderId="27" xfId="4" applyNumberFormat="1" applyFont="1" applyBorder="1" applyAlignment="1" applyProtection="1">
      <alignment horizontal="center"/>
    </xf>
    <xf numFmtId="10" fontId="36" fillId="0" borderId="28" xfId="4" applyNumberFormat="1" applyFont="1" applyBorder="1" applyAlignment="1" applyProtection="1">
      <alignment horizontal="center"/>
    </xf>
    <xf numFmtId="10" fontId="36" fillId="0" borderId="29" xfId="4" applyNumberFormat="1" applyFont="1" applyBorder="1" applyAlignment="1" applyProtection="1">
      <alignment horizontal="center"/>
    </xf>
    <xf numFmtId="0" fontId="38" fillId="0" borderId="40" xfId="0" applyFont="1" applyBorder="1" applyAlignment="1">
      <alignment horizontal="center"/>
    </xf>
    <xf numFmtId="0" fontId="38" fillId="0" borderId="41" xfId="0" applyFont="1" applyBorder="1" applyAlignment="1">
      <alignment horizontal="center"/>
    </xf>
    <xf numFmtId="0" fontId="23" fillId="0" borderId="36" xfId="0" applyFont="1" applyBorder="1" applyAlignment="1">
      <alignment horizontal="right" vertical="center"/>
    </xf>
    <xf numFmtId="0" fontId="23" fillId="0" borderId="37" xfId="0" applyFont="1" applyBorder="1" applyAlignment="1">
      <alignment horizontal="right" vertical="center"/>
    </xf>
    <xf numFmtId="0" fontId="23" fillId="0" borderId="38" xfId="0" applyFont="1" applyBorder="1" applyAlignment="1">
      <alignment horizontal="right" vertical="center"/>
    </xf>
    <xf numFmtId="0" fontId="23" fillId="0" borderId="39" xfId="0" applyFont="1" applyBorder="1" applyAlignment="1">
      <alignment horizontal="right" vertical="center"/>
    </xf>
    <xf numFmtId="0" fontId="38" fillId="0" borderId="42" xfId="0" applyFont="1" applyBorder="1" applyAlignment="1">
      <alignment horizontal="center"/>
    </xf>
    <xf numFmtId="0" fontId="38" fillId="0" borderId="43" xfId="0" applyFont="1" applyBorder="1" applyAlignment="1">
      <alignment horizontal="center"/>
    </xf>
    <xf numFmtId="0" fontId="27" fillId="2" borderId="30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8" fillId="2" borderId="30" xfId="0" applyFont="1" applyFill="1" applyBorder="1" applyAlignment="1">
      <alignment horizontal="center" vertical="center"/>
    </xf>
    <xf numFmtId="0" fontId="38" fillId="2" borderId="31" xfId="0" applyFont="1" applyFill="1" applyBorder="1" applyAlignment="1">
      <alignment horizontal="center" vertical="center"/>
    </xf>
    <xf numFmtId="0" fontId="23" fillId="2" borderId="32" xfId="0" applyFont="1" applyFill="1" applyBorder="1" applyAlignment="1">
      <alignment horizontal="center"/>
    </xf>
    <xf numFmtId="0" fontId="23" fillId="2" borderId="33" xfId="0" applyFont="1" applyFill="1" applyBorder="1" applyAlignment="1">
      <alignment horizontal="center"/>
    </xf>
    <xf numFmtId="0" fontId="38" fillId="0" borderId="34" xfId="0" applyFont="1" applyBorder="1" applyAlignment="1">
      <alignment horizontal="center"/>
    </xf>
    <xf numFmtId="0" fontId="38" fillId="0" borderId="35" xfId="0" applyFont="1" applyBorder="1" applyAlignment="1">
      <alignment horizontal="center"/>
    </xf>
    <xf numFmtId="0" fontId="41" fillId="0" borderId="18" xfId="0" applyFont="1" applyBorder="1" applyAlignment="1">
      <alignment horizontal="center" vertical="center" wrapText="1"/>
    </xf>
    <xf numFmtId="0" fontId="41" fillId="0" borderId="7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 wrapText="1"/>
    </xf>
    <xf numFmtId="0" fontId="27" fillId="2" borderId="10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left" vertical="center" wrapText="1"/>
    </xf>
    <xf numFmtId="165" fontId="38" fillId="2" borderId="8" xfId="4" applyNumberFormat="1" applyFont="1" applyFill="1" applyBorder="1" applyAlignment="1" applyProtection="1">
      <alignment horizontal="center"/>
    </xf>
    <xf numFmtId="165" fontId="38" fillId="2" borderId="9" xfId="4" applyNumberFormat="1" applyFont="1" applyFill="1" applyBorder="1" applyAlignment="1" applyProtection="1">
      <alignment horizontal="center"/>
    </xf>
    <xf numFmtId="165" fontId="38" fillId="2" borderId="10" xfId="4" applyNumberFormat="1" applyFont="1" applyFill="1" applyBorder="1" applyAlignment="1" applyProtection="1">
      <alignment horizontal="center"/>
    </xf>
    <xf numFmtId="10" fontId="36" fillId="0" borderId="27" xfId="4" applyNumberFormat="1" applyFont="1" applyBorder="1" applyAlignment="1" applyProtection="1">
      <alignment horizontal="center" shrinkToFit="1"/>
    </xf>
    <xf numFmtId="10" fontId="36" fillId="0" borderId="28" xfId="4" applyNumberFormat="1" applyFont="1" applyBorder="1" applyAlignment="1" applyProtection="1">
      <alignment horizontal="center" shrinkToFit="1"/>
    </xf>
    <xf numFmtId="10" fontId="36" fillId="0" borderId="29" xfId="4" applyNumberFormat="1" applyFont="1" applyBorder="1" applyAlignment="1" applyProtection="1">
      <alignment horizontal="center" shrinkToFit="1"/>
    </xf>
    <xf numFmtId="168" fontId="44" fillId="2" borderId="8" xfId="4" applyNumberFormat="1" applyFont="1" applyFill="1" applyBorder="1" applyAlignment="1" applyProtection="1">
      <alignment horizontal="center"/>
    </xf>
    <xf numFmtId="168" fontId="44" fillId="2" borderId="9" xfId="4" applyNumberFormat="1" applyFont="1" applyFill="1" applyBorder="1" applyAlignment="1" applyProtection="1">
      <alignment horizontal="center"/>
    </xf>
    <xf numFmtId="168" fontId="44" fillId="2" borderId="10" xfId="4" applyNumberFormat="1" applyFont="1" applyFill="1" applyBorder="1" applyAlignment="1" applyProtection="1">
      <alignment horizontal="center"/>
    </xf>
    <xf numFmtId="0" fontId="26" fillId="0" borderId="0" xfId="0" applyFont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/>
    </xf>
    <xf numFmtId="0" fontId="27" fillId="2" borderId="9" xfId="0" applyFont="1" applyFill="1" applyBorder="1" applyAlignment="1">
      <alignment horizontal="center" vertical="center"/>
    </xf>
    <xf numFmtId="0" fontId="27" fillId="2" borderId="10" xfId="0" applyFont="1" applyFill="1" applyBorder="1" applyAlignment="1">
      <alignment horizontal="center" vertical="center"/>
    </xf>
    <xf numFmtId="164" fontId="10" fillId="5" borderId="18" xfId="0" applyNumberFormat="1" applyFont="1" applyFill="1" applyBorder="1" applyAlignment="1" applyProtection="1">
      <alignment horizontal="center" wrapText="1"/>
      <protection locked="0"/>
    </xf>
    <xf numFmtId="164" fontId="10" fillId="5" borderId="7" xfId="0" applyNumberFormat="1" applyFont="1" applyFill="1" applyBorder="1" applyAlignment="1" applyProtection="1">
      <alignment horizontal="center" wrapText="1"/>
      <protection locked="0"/>
    </xf>
    <xf numFmtId="164" fontId="10" fillId="5" borderId="17" xfId="0" applyNumberFormat="1" applyFont="1" applyFill="1" applyBorder="1" applyAlignment="1" applyProtection="1">
      <alignment horizontal="center" wrapText="1"/>
      <protection locked="0"/>
    </xf>
    <xf numFmtId="14" fontId="10" fillId="0" borderId="18" xfId="0" applyNumberFormat="1" applyFont="1" applyBorder="1" applyAlignment="1" applyProtection="1">
      <alignment horizontal="center" shrinkToFit="1"/>
      <protection hidden="1"/>
    </xf>
    <xf numFmtId="14" fontId="10" fillId="0" borderId="7" xfId="0" applyNumberFormat="1" applyFont="1" applyBorder="1" applyAlignment="1" applyProtection="1">
      <alignment horizontal="center" shrinkToFit="1"/>
      <protection hidden="1"/>
    </xf>
    <xf numFmtId="14" fontId="10" fillId="0" borderId="17" xfId="0" applyNumberFormat="1" applyFont="1" applyBorder="1" applyAlignment="1" applyProtection="1">
      <alignment horizontal="center" shrinkToFit="1"/>
      <protection hidden="1"/>
    </xf>
    <xf numFmtId="14" fontId="36" fillId="3" borderId="8" xfId="4" applyNumberFormat="1" applyFont="1" applyFill="1" applyBorder="1" applyAlignment="1" applyProtection="1">
      <alignment horizontal="center"/>
      <protection locked="0"/>
    </xf>
    <xf numFmtId="14" fontId="36" fillId="3" borderId="9" xfId="4" applyNumberFormat="1" applyFont="1" applyFill="1" applyBorder="1" applyAlignment="1" applyProtection="1">
      <alignment horizontal="center"/>
      <protection locked="0"/>
    </xf>
    <xf numFmtId="14" fontId="36" fillId="3" borderId="10" xfId="4" applyNumberFormat="1" applyFont="1" applyFill="1" applyBorder="1" applyAlignment="1" applyProtection="1">
      <alignment horizontal="center"/>
      <protection locked="0"/>
    </xf>
    <xf numFmtId="10" fontId="10" fillId="0" borderId="18" xfId="4" applyNumberFormat="1" applyFont="1" applyFill="1" applyBorder="1" applyAlignment="1" applyProtection="1">
      <alignment horizontal="center" wrapText="1"/>
    </xf>
    <xf numFmtId="10" fontId="10" fillId="0" borderId="7" xfId="4" applyNumberFormat="1" applyFont="1" applyFill="1" applyBorder="1" applyAlignment="1" applyProtection="1">
      <alignment horizontal="center" wrapText="1"/>
    </xf>
    <xf numFmtId="10" fontId="10" fillId="0" borderId="17" xfId="4" applyNumberFormat="1" applyFont="1" applyFill="1" applyBorder="1" applyAlignment="1" applyProtection="1">
      <alignment horizont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44" xfId="0" applyFont="1" applyFill="1" applyBorder="1" applyAlignment="1">
      <alignment horizontal="center" vertical="center" wrapText="1"/>
    </xf>
    <xf numFmtId="0" fontId="27" fillId="2" borderId="45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27" fillId="2" borderId="1" xfId="0" applyFont="1" applyFill="1" applyBorder="1" applyAlignment="1">
      <alignment horizontal="center" vertical="center"/>
    </xf>
  </cellXfs>
  <cellStyles count="6">
    <cellStyle name="Moeda" xfId="1" builtinId="4"/>
    <cellStyle name="Normal" xfId="0" builtinId="0"/>
    <cellStyle name="Normal 2" xfId="2" xr:uid="{00000000-0005-0000-0000-000002000000}"/>
    <cellStyle name="Normal_FICHA DE VERIFICAÇÃO PRELIMINAR - Plano R" xfId="3" xr:uid="{00000000-0005-0000-0000-000003000000}"/>
    <cellStyle name="Porcentagem" xfId="4" builtinId="5"/>
    <cellStyle name="Vírgula" xfId="5" builtinId="3"/>
  </cellStyles>
  <dxfs count="47">
    <dxf>
      <font>
        <color theme="0"/>
      </font>
      <border>
        <left/>
        <right/>
        <bottom/>
      </border>
    </dxf>
    <dxf>
      <font>
        <color theme="0"/>
      </font>
      <border>
        <left/>
        <right/>
        <bottom/>
      </border>
    </dxf>
    <dxf>
      <font>
        <color theme="0"/>
      </font>
    </dxf>
    <dxf>
      <font>
        <color theme="0"/>
      </font>
    </dxf>
    <dxf>
      <font>
        <b/>
        <i val="0"/>
      </font>
      <fill>
        <patternFill>
          <bgColor theme="9"/>
        </patternFill>
      </fill>
    </dxf>
    <dxf>
      <font>
        <color theme="0"/>
      </font>
    </dxf>
    <dxf>
      <font>
        <b/>
        <i val="0"/>
      </font>
      <fill>
        <patternFill>
          <bgColor theme="9"/>
        </patternFill>
      </fill>
    </dxf>
    <dxf>
      <font>
        <color theme="0"/>
      </font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9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9"/>
        </patternFill>
      </fill>
    </dxf>
    <dxf>
      <font>
        <color rgb="FFFFFF99"/>
      </font>
    </dxf>
    <dxf>
      <font>
        <color theme="0"/>
      </font>
      <fill>
        <patternFill patternType="none">
          <bgColor indexed="65"/>
        </patternFill>
      </fill>
      <border>
        <left/>
        <right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bottom/>
      </border>
    </dxf>
    <dxf>
      <font>
        <color theme="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indexed="65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rgb="FFFFFF99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  <border>
        <left/>
        <right/>
        <top/>
        <bottom/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2" fmlaLink="$B$12" fmlaRange="Detalhamento.OpçõesServiços" noThreeD="1" sel="1" val="0"/>
</file>

<file path=xl/ctrlProps/ctrlProp2.xml><?xml version="1.0" encoding="utf-8"?>
<formControlPr xmlns="http://schemas.microsoft.com/office/spreadsheetml/2009/9/main" objectType="Drop" dropStyle="combo" dx="22" fmlaLink="$B$8" fmlaRange="Detalhamento.OpçõesExibição" noThreeD="1" sel="1" val="0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Label" lockText="1"/>
</file>

<file path=xl/ctrlProps/ctrlProp5.xml><?xml version="1.0" encoding="utf-8"?>
<formControlPr xmlns="http://schemas.microsoft.com/office/spreadsheetml/2009/9/main" objectType="Spin" dx="22" fmlaLink="$AX$28" max="99" min="1" page="10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1304926</xdr:colOff>
      <xdr:row>20</xdr:row>
      <xdr:rowOff>0</xdr:rowOff>
    </xdr:from>
    <xdr:to>
      <xdr:col>4</xdr:col>
      <xdr:colOff>2554942</xdr:colOff>
      <xdr:row>22</xdr:row>
      <xdr:rowOff>112058</xdr:rowOff>
    </xdr:to>
    <xdr:sp macro="[0]!Importar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781926" y="2644588"/>
          <a:ext cx="1250016" cy="459441"/>
        </a:xfrm>
        <a:prstGeom prst="rect">
          <a:avLst/>
        </a:prstGeom>
        <a:solidFill>
          <a:schemeClr val="bg2">
            <a:lumMod val="90000"/>
          </a:schemeClr>
        </a:solidFill>
        <a:ln w="6350">
          <a:solidFill>
            <a:schemeClr val="accent1">
              <a:shade val="50000"/>
            </a:schemeClr>
          </a:solidFill>
        </a:ln>
        <a:effectLst>
          <a:outerShdw dist="63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Importar PO</a:t>
          </a:r>
        </a:p>
        <a:p>
          <a:pPr algn="ctr"/>
          <a:r>
            <a:rPr lang="pt-B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(MO 27476)</a:t>
          </a:r>
        </a:p>
      </xdr:txBody>
    </xdr:sp>
    <xdr:clientData fPrintsWithSheet="0"/>
  </xdr:twoCellAnchor>
  <xdr:twoCellAnchor editAs="absolute">
    <xdr:from>
      <xdr:col>3</xdr:col>
      <xdr:colOff>257736</xdr:colOff>
      <xdr:row>32</xdr:row>
      <xdr:rowOff>0</xdr:rowOff>
    </xdr:from>
    <xdr:to>
      <xdr:col>3</xdr:col>
      <xdr:colOff>1501589</xdr:colOff>
      <xdr:row>34</xdr:row>
      <xdr:rowOff>22411</xdr:rowOff>
    </xdr:to>
    <xdr:sp macro="[0]!EditarPlan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661648" y="3720353"/>
          <a:ext cx="1243853" cy="425823"/>
        </a:xfrm>
        <a:prstGeom prst="rect">
          <a:avLst/>
        </a:prstGeom>
        <a:solidFill>
          <a:schemeClr val="bg2">
            <a:lumMod val="90000"/>
          </a:schemeClr>
        </a:solidFill>
        <a:ln w="6350">
          <a:solidFill>
            <a:schemeClr val="accent1">
              <a:shade val="50000"/>
            </a:schemeClr>
          </a:solidFill>
        </a:ln>
        <a:effectLst>
          <a:outerShdw dist="63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Editar Eventos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4</xdr:col>
      <xdr:colOff>142875</xdr:colOff>
      <xdr:row>3</xdr:row>
      <xdr:rowOff>285750</xdr:rowOff>
    </xdr:to>
    <xdr:pic>
      <xdr:nvPicPr>
        <xdr:cNvPr id="91725" name="Picture 1">
          <a:extLst>
            <a:ext uri="{FF2B5EF4-FFF2-40B4-BE49-F238E27FC236}">
              <a16:creationId xmlns:a16="http://schemas.microsoft.com/office/drawing/2014/main" id="{00000000-0008-0000-0100-00004D66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90500"/>
          <a:ext cx="11715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126626</xdr:colOff>
      <xdr:row>14</xdr:row>
      <xdr:rowOff>498662</xdr:rowOff>
    </xdr:from>
    <xdr:to>
      <xdr:col>8</xdr:col>
      <xdr:colOff>605118</xdr:colOff>
      <xdr:row>14</xdr:row>
      <xdr:rowOff>818030</xdr:rowOff>
    </xdr:to>
    <xdr:sp macro="[0]!EditarPlan" textlink="">
      <xdr:nvSpPr>
        <xdr:cNvPr id="14" name="Retângul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5561479" y="2179544"/>
          <a:ext cx="1117227" cy="319368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chemeClr val="accent1">
              <a:shade val="50000"/>
            </a:schemeClr>
          </a:solidFill>
        </a:ln>
        <a:effectLst>
          <a:outerShdw dist="63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>
              <a:solidFill>
                <a:sysClr val="windowText" lastClr="000000"/>
              </a:solidFill>
            </a:rPr>
            <a:t>Editar Planilha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5</xdr:row>
          <xdr:rowOff>0</xdr:rowOff>
        </xdr:from>
        <xdr:to>
          <xdr:col>19</xdr:col>
          <xdr:colOff>0</xdr:colOff>
          <xdr:row>13</xdr:row>
          <xdr:rowOff>85725</xdr:rowOff>
        </xdr:to>
        <xdr:pic>
          <xdr:nvPicPr>
            <xdr:cNvPr id="91727" name="Imagem 2">
              <a:extLst>
                <a:ext uri="{FF2B5EF4-FFF2-40B4-BE49-F238E27FC236}">
                  <a16:creationId xmlns:a16="http://schemas.microsoft.com/office/drawing/2014/main" id="{00000000-0008-0000-0100-00004F6601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DADOS!A6:H16" spid="_x0000_s11431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52400" y="609600"/>
              <a:ext cx="11944350" cy="11906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561975</xdr:colOff>
          <xdr:row>5</xdr:row>
          <xdr:rowOff>0</xdr:rowOff>
        </xdr:from>
        <xdr:to>
          <xdr:col>24</xdr:col>
          <xdr:colOff>561975</xdr:colOff>
          <xdr:row>13</xdr:row>
          <xdr:rowOff>85725</xdr:rowOff>
        </xdr:to>
        <xdr:pic>
          <xdr:nvPicPr>
            <xdr:cNvPr id="91728" name="Imagem 4">
              <a:extLst>
                <a:ext uri="{FF2B5EF4-FFF2-40B4-BE49-F238E27FC236}">
                  <a16:creationId xmlns:a16="http://schemas.microsoft.com/office/drawing/2014/main" id="{00000000-0008-0000-0100-0000506601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DADOS!A6:H16" spid="_x0000_s114314"/>
                </a:ext>
              </a:extLst>
            </xdr:cNvPicPr>
          </xdr:nvPicPr>
          <xdr:blipFill>
            <a:blip xmlns:r="http://schemas.openxmlformats.org/officeDocument/2006/relationships" r:embed="rId2"/>
            <a:srcRect l="71931" r="2"/>
            <a:stretch>
              <a:fillRect/>
            </a:stretch>
          </xdr:blipFill>
          <xdr:spPr bwMode="auto">
            <a:xfrm>
              <a:off x="12096750" y="609600"/>
              <a:ext cx="3371850" cy="11906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0</xdr:colOff>
          <xdr:row>5</xdr:row>
          <xdr:rowOff>0</xdr:rowOff>
        </xdr:from>
        <xdr:to>
          <xdr:col>30</xdr:col>
          <xdr:colOff>561975</xdr:colOff>
          <xdr:row>13</xdr:row>
          <xdr:rowOff>85725</xdr:rowOff>
        </xdr:to>
        <xdr:pic>
          <xdr:nvPicPr>
            <xdr:cNvPr id="91729" name="Imagem 5">
              <a:extLst>
                <a:ext uri="{FF2B5EF4-FFF2-40B4-BE49-F238E27FC236}">
                  <a16:creationId xmlns:a16="http://schemas.microsoft.com/office/drawing/2014/main" id="{00000000-0008-0000-0100-0000516601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DADOS!A6:H16" spid="_x0000_s114315"/>
                </a:ext>
              </a:extLst>
            </xdr:cNvPicPr>
          </xdr:nvPicPr>
          <xdr:blipFill>
            <a:blip xmlns:r="http://schemas.openxmlformats.org/officeDocument/2006/relationships" r:embed="rId2"/>
            <a:srcRect l="71931" r="2"/>
            <a:stretch>
              <a:fillRect/>
            </a:stretch>
          </xdr:blipFill>
          <xdr:spPr bwMode="auto">
            <a:xfrm>
              <a:off x="15468600" y="609600"/>
              <a:ext cx="3371850" cy="11906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0</xdr:colOff>
          <xdr:row>5</xdr:row>
          <xdr:rowOff>0</xdr:rowOff>
        </xdr:from>
        <xdr:to>
          <xdr:col>36</xdr:col>
          <xdr:colOff>561975</xdr:colOff>
          <xdr:row>13</xdr:row>
          <xdr:rowOff>85725</xdr:rowOff>
        </xdr:to>
        <xdr:pic>
          <xdr:nvPicPr>
            <xdr:cNvPr id="91730" name="Imagem 6">
              <a:extLst>
                <a:ext uri="{FF2B5EF4-FFF2-40B4-BE49-F238E27FC236}">
                  <a16:creationId xmlns:a16="http://schemas.microsoft.com/office/drawing/2014/main" id="{00000000-0008-0000-0100-0000526601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DADOS!A6:H16" spid="_x0000_s114316"/>
                </a:ext>
              </a:extLst>
            </xdr:cNvPicPr>
          </xdr:nvPicPr>
          <xdr:blipFill>
            <a:blip xmlns:r="http://schemas.openxmlformats.org/officeDocument/2006/relationships" r:embed="rId3"/>
            <a:srcRect l="71931" r="2"/>
            <a:stretch>
              <a:fillRect/>
            </a:stretch>
          </xdr:blipFill>
          <xdr:spPr bwMode="auto">
            <a:xfrm>
              <a:off x="18840450" y="609600"/>
              <a:ext cx="3371850" cy="11906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37</xdr:col>
          <xdr:colOff>0</xdr:colOff>
          <xdr:row>5</xdr:row>
          <xdr:rowOff>0</xdr:rowOff>
        </xdr:from>
        <xdr:to>
          <xdr:col>42</xdr:col>
          <xdr:colOff>561975</xdr:colOff>
          <xdr:row>13</xdr:row>
          <xdr:rowOff>85725</xdr:rowOff>
        </xdr:to>
        <xdr:pic>
          <xdr:nvPicPr>
            <xdr:cNvPr id="91731" name="Imagem 7">
              <a:extLst>
                <a:ext uri="{FF2B5EF4-FFF2-40B4-BE49-F238E27FC236}">
                  <a16:creationId xmlns:a16="http://schemas.microsoft.com/office/drawing/2014/main" id="{00000000-0008-0000-0100-0000536601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DADOS!A6:H16" spid="_x0000_s114317"/>
                </a:ext>
              </a:extLst>
            </xdr:cNvPicPr>
          </xdr:nvPicPr>
          <xdr:blipFill>
            <a:blip xmlns:r="http://schemas.openxmlformats.org/officeDocument/2006/relationships" r:embed="rId2"/>
            <a:srcRect l="71931" r="2"/>
            <a:stretch>
              <a:fillRect/>
            </a:stretch>
          </xdr:blipFill>
          <xdr:spPr bwMode="auto">
            <a:xfrm>
              <a:off x="22212300" y="609600"/>
              <a:ext cx="3371850" cy="11906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43</xdr:col>
          <xdr:colOff>0</xdr:colOff>
          <xdr:row>5</xdr:row>
          <xdr:rowOff>0</xdr:rowOff>
        </xdr:from>
        <xdr:to>
          <xdr:col>48</xdr:col>
          <xdr:colOff>561975</xdr:colOff>
          <xdr:row>13</xdr:row>
          <xdr:rowOff>85725</xdr:rowOff>
        </xdr:to>
        <xdr:pic>
          <xdr:nvPicPr>
            <xdr:cNvPr id="91732" name="Imagem 8">
              <a:extLst>
                <a:ext uri="{FF2B5EF4-FFF2-40B4-BE49-F238E27FC236}">
                  <a16:creationId xmlns:a16="http://schemas.microsoft.com/office/drawing/2014/main" id="{00000000-0008-0000-0100-0000546601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DADOS!A6:H16" spid="_x0000_s114318"/>
                </a:ext>
              </a:extLst>
            </xdr:cNvPicPr>
          </xdr:nvPicPr>
          <xdr:blipFill>
            <a:blip xmlns:r="http://schemas.openxmlformats.org/officeDocument/2006/relationships" r:embed="rId3"/>
            <a:srcRect l="71931" r="2"/>
            <a:stretch>
              <a:fillRect/>
            </a:stretch>
          </xdr:blipFill>
          <xdr:spPr bwMode="auto">
            <a:xfrm>
              <a:off x="25584150" y="609600"/>
              <a:ext cx="3371850" cy="11906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5</xdr:row>
          <xdr:rowOff>0</xdr:rowOff>
        </xdr:from>
        <xdr:to>
          <xdr:col>54</xdr:col>
          <xdr:colOff>561975</xdr:colOff>
          <xdr:row>13</xdr:row>
          <xdr:rowOff>85725</xdr:rowOff>
        </xdr:to>
        <xdr:pic>
          <xdr:nvPicPr>
            <xdr:cNvPr id="91733" name="Imagem 9">
              <a:extLst>
                <a:ext uri="{FF2B5EF4-FFF2-40B4-BE49-F238E27FC236}">
                  <a16:creationId xmlns:a16="http://schemas.microsoft.com/office/drawing/2014/main" id="{00000000-0008-0000-0100-0000556601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DADOS!A6:H16" spid="_x0000_s114319"/>
                </a:ext>
              </a:extLst>
            </xdr:cNvPicPr>
          </xdr:nvPicPr>
          <xdr:blipFill>
            <a:blip xmlns:r="http://schemas.openxmlformats.org/officeDocument/2006/relationships" r:embed="rId2"/>
            <a:srcRect l="71931" r="2"/>
            <a:stretch>
              <a:fillRect/>
            </a:stretch>
          </xdr:blipFill>
          <xdr:spPr bwMode="auto">
            <a:xfrm>
              <a:off x="28956000" y="609600"/>
              <a:ext cx="3371850" cy="11906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55</xdr:col>
          <xdr:colOff>0</xdr:colOff>
          <xdr:row>5</xdr:row>
          <xdr:rowOff>0</xdr:rowOff>
        </xdr:from>
        <xdr:to>
          <xdr:col>60</xdr:col>
          <xdr:colOff>561975</xdr:colOff>
          <xdr:row>13</xdr:row>
          <xdr:rowOff>85725</xdr:rowOff>
        </xdr:to>
        <xdr:pic>
          <xdr:nvPicPr>
            <xdr:cNvPr id="91734" name="Imagem 10">
              <a:extLst>
                <a:ext uri="{FF2B5EF4-FFF2-40B4-BE49-F238E27FC236}">
                  <a16:creationId xmlns:a16="http://schemas.microsoft.com/office/drawing/2014/main" id="{00000000-0008-0000-0100-0000566601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DADOS!A6:H16" spid="_x0000_s114320"/>
                </a:ext>
              </a:extLst>
            </xdr:cNvPicPr>
          </xdr:nvPicPr>
          <xdr:blipFill>
            <a:blip xmlns:r="http://schemas.openxmlformats.org/officeDocument/2006/relationships" r:embed="rId2"/>
            <a:srcRect l="71931" r="2"/>
            <a:stretch>
              <a:fillRect/>
            </a:stretch>
          </xdr:blipFill>
          <xdr:spPr bwMode="auto">
            <a:xfrm>
              <a:off x="32327850" y="609600"/>
              <a:ext cx="3371850" cy="11906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85725</xdr:colOff>
      <xdr:row>14</xdr:row>
      <xdr:rowOff>85725</xdr:rowOff>
    </xdr:from>
    <xdr:to>
      <xdr:col>4</xdr:col>
      <xdr:colOff>390525</xdr:colOff>
      <xdr:row>14</xdr:row>
      <xdr:rowOff>405093</xdr:rowOff>
    </xdr:to>
    <xdr:sp macro="[0]!escondeCabecalhos" textlink="">
      <xdr:nvSpPr>
        <xdr:cNvPr id="12" name="Retângul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238125" y="1943100"/>
          <a:ext cx="1333500" cy="319368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accent1">
              <a:shade val="50000"/>
            </a:schemeClr>
          </a:solidFill>
        </a:ln>
        <a:effectLst>
          <a:outerShdw dist="63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>
              <a:solidFill>
                <a:sysClr val="windowText" lastClr="000000"/>
              </a:solidFill>
            </a:rPr>
            <a:t>Ocultar Cabeçalhos</a:t>
          </a:r>
        </a:p>
      </xdr:txBody>
    </xdr:sp>
    <xdr:clientData fPrintsWithSheet="0"/>
  </xdr:twoCellAnchor>
  <xdr:twoCellAnchor>
    <xdr:from>
      <xdr:col>4</xdr:col>
      <xdr:colOff>485775</xdr:colOff>
      <xdr:row>14</xdr:row>
      <xdr:rowOff>85725</xdr:rowOff>
    </xdr:from>
    <xdr:to>
      <xdr:col>4</xdr:col>
      <xdr:colOff>1819275</xdr:colOff>
      <xdr:row>14</xdr:row>
      <xdr:rowOff>405093</xdr:rowOff>
    </xdr:to>
    <xdr:sp macro="[0]!reexibeCabecalhos" textlink="">
      <xdr:nvSpPr>
        <xdr:cNvPr id="13" name="Retângul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666875" y="1943100"/>
          <a:ext cx="1333500" cy="319368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accent1">
              <a:shade val="50000"/>
            </a:schemeClr>
          </a:solidFill>
        </a:ln>
        <a:effectLst>
          <a:outerShdw dist="63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>
              <a:solidFill>
                <a:sysClr val="windowText" lastClr="000000"/>
              </a:solidFill>
            </a:rPr>
            <a:t>Reexibir Cabeçalhos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7</xdr:col>
      <xdr:colOff>76200</xdr:colOff>
      <xdr:row>1</xdr:row>
      <xdr:rowOff>285750</xdr:rowOff>
    </xdr:to>
    <xdr:pic>
      <xdr:nvPicPr>
        <xdr:cNvPr id="85788" name="Picture 1">
          <a:extLst>
            <a:ext uri="{FF2B5EF4-FFF2-40B4-BE49-F238E27FC236}">
              <a16:creationId xmlns:a16="http://schemas.microsoft.com/office/drawing/2014/main" id="{00000000-0008-0000-0200-00001C4F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620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12</xdr:row>
          <xdr:rowOff>238125</xdr:rowOff>
        </xdr:from>
        <xdr:to>
          <xdr:col>7</xdr:col>
          <xdr:colOff>1314450</xdr:colOff>
          <xdr:row>12</xdr:row>
          <xdr:rowOff>438150</xdr:rowOff>
        </xdr:to>
        <xdr:sp macro="" textlink="">
          <xdr:nvSpPr>
            <xdr:cNvPr id="62881" name="Drop Down 2465" hidden="1">
              <a:extLst>
                <a:ext uri="{63B3BB69-23CF-44E3-9099-C40C66FF867C}">
                  <a14:compatExt spid="_x0000_s62881"/>
                </a:ext>
                <a:ext uri="{FF2B5EF4-FFF2-40B4-BE49-F238E27FC236}">
                  <a16:creationId xmlns:a16="http://schemas.microsoft.com/office/drawing/2014/main" id="{00000000-0008-0000-0200-0000A1F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514350</xdr:colOff>
          <xdr:row>12</xdr:row>
          <xdr:rowOff>523875</xdr:rowOff>
        </xdr:from>
        <xdr:to>
          <xdr:col>7</xdr:col>
          <xdr:colOff>1314450</xdr:colOff>
          <xdr:row>12</xdr:row>
          <xdr:rowOff>723900</xdr:rowOff>
        </xdr:to>
        <xdr:sp macro="" textlink="">
          <xdr:nvSpPr>
            <xdr:cNvPr id="63010" name="SelecionaExibição" hidden="1">
              <a:extLst>
                <a:ext uri="{63B3BB69-23CF-44E3-9099-C40C66FF867C}">
                  <a14:compatExt spid="_x0000_s63010"/>
                </a:ext>
                <a:ext uri="{FF2B5EF4-FFF2-40B4-BE49-F238E27FC236}">
                  <a16:creationId xmlns:a16="http://schemas.microsoft.com/office/drawing/2014/main" id="{00000000-0008-0000-0200-000022F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</xdr:colOff>
          <xdr:row>12</xdr:row>
          <xdr:rowOff>238125</xdr:rowOff>
        </xdr:from>
        <xdr:to>
          <xdr:col>6</xdr:col>
          <xdr:colOff>476250</xdr:colOff>
          <xdr:row>12</xdr:row>
          <xdr:rowOff>447675</xdr:rowOff>
        </xdr:to>
        <xdr:sp macro="" textlink="">
          <xdr:nvSpPr>
            <xdr:cNvPr id="63019" name="Label 2603" hidden="1">
              <a:extLst>
                <a:ext uri="{63B3BB69-23CF-44E3-9099-C40C66FF867C}">
                  <a14:compatExt spid="_x0000_s63019"/>
                </a:ext>
                <a:ext uri="{FF2B5EF4-FFF2-40B4-BE49-F238E27FC236}">
                  <a16:creationId xmlns:a16="http://schemas.microsoft.com/office/drawing/2014/main" id="{00000000-0008-0000-0200-00002BF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Serviços: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66675</xdr:colOff>
          <xdr:row>12</xdr:row>
          <xdr:rowOff>514350</xdr:rowOff>
        </xdr:from>
        <xdr:to>
          <xdr:col>6</xdr:col>
          <xdr:colOff>466725</xdr:colOff>
          <xdr:row>12</xdr:row>
          <xdr:rowOff>762000</xdr:rowOff>
        </xdr:to>
        <xdr:sp macro="" textlink="">
          <xdr:nvSpPr>
            <xdr:cNvPr id="63020" name="Label 2604" hidden="1">
              <a:extLst>
                <a:ext uri="{63B3BB69-23CF-44E3-9099-C40C66FF867C}">
                  <a14:compatExt spid="_x0000_s63020"/>
                </a:ext>
                <a:ext uri="{FF2B5EF4-FFF2-40B4-BE49-F238E27FC236}">
                  <a16:creationId xmlns:a16="http://schemas.microsoft.com/office/drawing/2014/main" id="{00000000-0008-0000-0200-00002CF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Modo de Exibição: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</xdr:row>
          <xdr:rowOff>142875</xdr:rowOff>
        </xdr:from>
        <xdr:to>
          <xdr:col>17</xdr:col>
          <xdr:colOff>19050</xdr:colOff>
          <xdr:row>10</xdr:row>
          <xdr:rowOff>114300</xdr:rowOff>
        </xdr:to>
        <xdr:pic>
          <xdr:nvPicPr>
            <xdr:cNvPr id="85789" name="Imagem 2">
              <a:extLst>
                <a:ext uri="{FF2B5EF4-FFF2-40B4-BE49-F238E27FC236}">
                  <a16:creationId xmlns:a16="http://schemas.microsoft.com/office/drawing/2014/main" id="{00000000-0008-0000-0200-00001D4F01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DADOS!A6:H16" spid="_x0000_s10930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0" y="447675"/>
              <a:ext cx="10839450" cy="11144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9525</xdr:colOff>
          <xdr:row>2</xdr:row>
          <xdr:rowOff>142875</xdr:rowOff>
        </xdr:from>
        <xdr:to>
          <xdr:col>22</xdr:col>
          <xdr:colOff>809625</xdr:colOff>
          <xdr:row>10</xdr:row>
          <xdr:rowOff>114300</xdr:rowOff>
        </xdr:to>
        <xdr:pic>
          <xdr:nvPicPr>
            <xdr:cNvPr id="85790" name="Imagem 3">
              <a:extLst>
                <a:ext uri="{FF2B5EF4-FFF2-40B4-BE49-F238E27FC236}">
                  <a16:creationId xmlns:a16="http://schemas.microsoft.com/office/drawing/2014/main" id="{00000000-0008-0000-0200-00001E4F01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DADOS!A6:H16" spid="_x0000_s109302"/>
                </a:ext>
              </a:extLst>
            </xdr:cNvPicPr>
          </xdr:nvPicPr>
          <xdr:blipFill>
            <a:blip xmlns:r="http://schemas.openxmlformats.org/officeDocument/2006/relationships" r:embed="rId2"/>
            <a:srcRect l="55278"/>
            <a:stretch>
              <a:fillRect/>
            </a:stretch>
          </xdr:blipFill>
          <xdr:spPr bwMode="auto">
            <a:xfrm>
              <a:off x="10829925" y="447675"/>
              <a:ext cx="4848225" cy="11144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9525</xdr:colOff>
          <xdr:row>2</xdr:row>
          <xdr:rowOff>142875</xdr:rowOff>
        </xdr:from>
        <xdr:to>
          <xdr:col>28</xdr:col>
          <xdr:colOff>809625</xdr:colOff>
          <xdr:row>10</xdr:row>
          <xdr:rowOff>123825</xdr:rowOff>
        </xdr:to>
        <xdr:pic>
          <xdr:nvPicPr>
            <xdr:cNvPr id="85791" name="Imagem 4">
              <a:extLst>
                <a:ext uri="{FF2B5EF4-FFF2-40B4-BE49-F238E27FC236}">
                  <a16:creationId xmlns:a16="http://schemas.microsoft.com/office/drawing/2014/main" id="{00000000-0008-0000-0200-00001F4F01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DADOS!A6:H16" spid="_x0000_s109303"/>
                </a:ext>
              </a:extLst>
            </xdr:cNvPicPr>
          </xdr:nvPicPr>
          <xdr:blipFill>
            <a:blip xmlns:r="http://schemas.openxmlformats.org/officeDocument/2006/relationships" r:embed="rId3"/>
            <a:srcRect l="55278"/>
            <a:stretch>
              <a:fillRect/>
            </a:stretch>
          </xdr:blipFill>
          <xdr:spPr bwMode="auto">
            <a:xfrm>
              <a:off x="15687675" y="447675"/>
              <a:ext cx="4848225" cy="11239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0</xdr:colOff>
          <xdr:row>3</xdr:row>
          <xdr:rowOff>0</xdr:rowOff>
        </xdr:from>
        <xdr:to>
          <xdr:col>34</xdr:col>
          <xdr:colOff>800100</xdr:colOff>
          <xdr:row>10</xdr:row>
          <xdr:rowOff>123825</xdr:rowOff>
        </xdr:to>
        <xdr:pic>
          <xdr:nvPicPr>
            <xdr:cNvPr id="85792" name="Imagem 5">
              <a:extLst>
                <a:ext uri="{FF2B5EF4-FFF2-40B4-BE49-F238E27FC236}">
                  <a16:creationId xmlns:a16="http://schemas.microsoft.com/office/drawing/2014/main" id="{00000000-0008-0000-0200-0000204F01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DADOS!A6:H16" spid="_x0000_s109304"/>
                </a:ext>
              </a:extLst>
            </xdr:cNvPicPr>
          </xdr:nvPicPr>
          <xdr:blipFill>
            <a:blip xmlns:r="http://schemas.openxmlformats.org/officeDocument/2006/relationships" r:embed="rId2"/>
            <a:srcRect l="55278"/>
            <a:stretch>
              <a:fillRect/>
            </a:stretch>
          </xdr:blipFill>
          <xdr:spPr bwMode="auto">
            <a:xfrm>
              <a:off x="20535900" y="447675"/>
              <a:ext cx="4848225" cy="11239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35</xdr:col>
          <xdr:colOff>0</xdr:colOff>
          <xdr:row>3</xdr:row>
          <xdr:rowOff>0</xdr:rowOff>
        </xdr:from>
        <xdr:to>
          <xdr:col>40</xdr:col>
          <xdr:colOff>800100</xdr:colOff>
          <xdr:row>10</xdr:row>
          <xdr:rowOff>123825</xdr:rowOff>
        </xdr:to>
        <xdr:pic>
          <xdr:nvPicPr>
            <xdr:cNvPr id="85793" name="Imagem 6">
              <a:extLst>
                <a:ext uri="{FF2B5EF4-FFF2-40B4-BE49-F238E27FC236}">
                  <a16:creationId xmlns:a16="http://schemas.microsoft.com/office/drawing/2014/main" id="{00000000-0008-0000-0200-0000214F01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DADOS!A6:H16" spid="_x0000_s109305"/>
                </a:ext>
              </a:extLst>
            </xdr:cNvPicPr>
          </xdr:nvPicPr>
          <xdr:blipFill>
            <a:blip xmlns:r="http://schemas.openxmlformats.org/officeDocument/2006/relationships" r:embed="rId2"/>
            <a:srcRect l="55278"/>
            <a:stretch>
              <a:fillRect/>
            </a:stretch>
          </xdr:blipFill>
          <xdr:spPr bwMode="auto">
            <a:xfrm>
              <a:off x="25393650" y="447675"/>
              <a:ext cx="4848225" cy="11239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0</xdr:colOff>
          <xdr:row>3</xdr:row>
          <xdr:rowOff>0</xdr:rowOff>
        </xdr:from>
        <xdr:to>
          <xdr:col>46</xdr:col>
          <xdr:colOff>800100</xdr:colOff>
          <xdr:row>10</xdr:row>
          <xdr:rowOff>123825</xdr:rowOff>
        </xdr:to>
        <xdr:pic>
          <xdr:nvPicPr>
            <xdr:cNvPr id="85794" name="Imagem 7">
              <a:extLst>
                <a:ext uri="{FF2B5EF4-FFF2-40B4-BE49-F238E27FC236}">
                  <a16:creationId xmlns:a16="http://schemas.microsoft.com/office/drawing/2014/main" id="{00000000-0008-0000-0200-0000224F01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DADOS!A6:H16" spid="_x0000_s109306"/>
                </a:ext>
              </a:extLst>
            </xdr:cNvPicPr>
          </xdr:nvPicPr>
          <xdr:blipFill>
            <a:blip xmlns:r="http://schemas.openxmlformats.org/officeDocument/2006/relationships" r:embed="rId2"/>
            <a:srcRect l="55278"/>
            <a:stretch>
              <a:fillRect/>
            </a:stretch>
          </xdr:blipFill>
          <xdr:spPr bwMode="auto">
            <a:xfrm>
              <a:off x="30251400" y="447675"/>
              <a:ext cx="4848225" cy="11239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47</xdr:col>
          <xdr:colOff>0</xdr:colOff>
          <xdr:row>3</xdr:row>
          <xdr:rowOff>0</xdr:rowOff>
        </xdr:from>
        <xdr:to>
          <xdr:col>52</xdr:col>
          <xdr:colOff>800100</xdr:colOff>
          <xdr:row>10</xdr:row>
          <xdr:rowOff>123825</xdr:rowOff>
        </xdr:to>
        <xdr:pic>
          <xdr:nvPicPr>
            <xdr:cNvPr id="85795" name="Imagem 8">
              <a:extLst>
                <a:ext uri="{FF2B5EF4-FFF2-40B4-BE49-F238E27FC236}">
                  <a16:creationId xmlns:a16="http://schemas.microsoft.com/office/drawing/2014/main" id="{00000000-0008-0000-0200-0000234F01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DADOS!A6:H16" spid="_x0000_s109307"/>
                </a:ext>
              </a:extLst>
            </xdr:cNvPicPr>
          </xdr:nvPicPr>
          <xdr:blipFill>
            <a:blip xmlns:r="http://schemas.openxmlformats.org/officeDocument/2006/relationships" r:embed="rId3"/>
            <a:srcRect l="55278"/>
            <a:stretch>
              <a:fillRect/>
            </a:stretch>
          </xdr:blipFill>
          <xdr:spPr bwMode="auto">
            <a:xfrm>
              <a:off x="35109150" y="447675"/>
              <a:ext cx="4848225" cy="11239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52</xdr:col>
          <xdr:colOff>809625</xdr:colOff>
          <xdr:row>3</xdr:row>
          <xdr:rowOff>0</xdr:rowOff>
        </xdr:from>
        <xdr:to>
          <xdr:col>58</xdr:col>
          <xdr:colOff>800100</xdr:colOff>
          <xdr:row>10</xdr:row>
          <xdr:rowOff>123825</xdr:rowOff>
        </xdr:to>
        <xdr:pic>
          <xdr:nvPicPr>
            <xdr:cNvPr id="85796" name="Imagem 9">
              <a:extLst>
                <a:ext uri="{FF2B5EF4-FFF2-40B4-BE49-F238E27FC236}">
                  <a16:creationId xmlns:a16="http://schemas.microsoft.com/office/drawing/2014/main" id="{00000000-0008-0000-0200-0000244F01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DADOS!A6:H16" spid="_x0000_s109308"/>
                </a:ext>
              </a:extLst>
            </xdr:cNvPicPr>
          </xdr:nvPicPr>
          <xdr:blipFill>
            <a:blip xmlns:r="http://schemas.openxmlformats.org/officeDocument/2006/relationships" r:embed="rId3"/>
            <a:srcRect l="55278"/>
            <a:stretch>
              <a:fillRect/>
            </a:stretch>
          </xdr:blipFill>
          <xdr:spPr bwMode="auto">
            <a:xfrm>
              <a:off x="39966900" y="447675"/>
              <a:ext cx="4848225" cy="11239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2</xdr:col>
      <xdr:colOff>1181100</xdr:colOff>
      <xdr:row>19</xdr:row>
      <xdr:rowOff>381000</xdr:rowOff>
    </xdr:to>
    <xdr:pic>
      <xdr:nvPicPr>
        <xdr:cNvPr id="90363" name="Picture 1">
          <a:extLst>
            <a:ext uri="{FF2B5EF4-FFF2-40B4-BE49-F238E27FC236}">
              <a16:creationId xmlns:a16="http://schemas.microsoft.com/office/drawing/2014/main" id="{00000000-0008-0000-0300-0000FB6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90500"/>
          <a:ext cx="15525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25</xdr:col>
      <xdr:colOff>38100</xdr:colOff>
      <xdr:row>18</xdr:row>
      <xdr:rowOff>95250</xdr:rowOff>
    </xdr:from>
    <xdr:to>
      <xdr:col>30</xdr:col>
      <xdr:colOff>9525</xdr:colOff>
      <xdr:row>19</xdr:row>
      <xdr:rowOff>180975</xdr:rowOff>
    </xdr:to>
    <xdr:sp macro="[0]!AdicionarAno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6762750" y="95250"/>
          <a:ext cx="1114425" cy="276225"/>
        </a:xfrm>
        <a:prstGeom prst="rect">
          <a:avLst/>
        </a:prstGeom>
        <a:solidFill>
          <a:schemeClr val="bg2">
            <a:lumMod val="90000"/>
          </a:schemeClr>
        </a:solidFill>
        <a:ln w="6350">
          <a:solidFill>
            <a:schemeClr val="accent1">
              <a:shade val="50000"/>
            </a:schemeClr>
          </a:solidFill>
        </a:ln>
        <a:effectLst>
          <a:outerShdw dist="63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Adicionar Ano</a:t>
          </a:r>
        </a:p>
      </xdr:txBody>
    </xdr:sp>
    <xdr:clientData fPrintsWithSheet="0"/>
  </xdr:twoCellAnchor>
  <xdr:twoCellAnchor editAs="absolute">
    <xdr:from>
      <xdr:col>30</xdr:col>
      <xdr:colOff>133350</xdr:colOff>
      <xdr:row>18</xdr:row>
      <xdr:rowOff>95250</xdr:rowOff>
    </xdr:from>
    <xdr:to>
      <xdr:col>35</xdr:col>
      <xdr:colOff>104775</xdr:colOff>
      <xdr:row>19</xdr:row>
      <xdr:rowOff>180975</xdr:rowOff>
    </xdr:to>
    <xdr:sp macro="[0]!ExcluirAno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8001000" y="95250"/>
          <a:ext cx="1114425" cy="276225"/>
        </a:xfrm>
        <a:prstGeom prst="rect">
          <a:avLst/>
        </a:prstGeom>
        <a:solidFill>
          <a:schemeClr val="bg2">
            <a:lumMod val="90000"/>
          </a:schemeClr>
        </a:solidFill>
        <a:ln w="6350">
          <a:solidFill>
            <a:schemeClr val="accent1">
              <a:shade val="50000"/>
            </a:schemeClr>
          </a:solidFill>
        </a:ln>
        <a:effectLst>
          <a:outerShdw dist="63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Excluir Ano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21</xdr:row>
          <xdr:rowOff>85725</xdr:rowOff>
        </xdr:from>
        <xdr:to>
          <xdr:col>54</xdr:col>
          <xdr:colOff>0</xdr:colOff>
          <xdr:row>27</xdr:row>
          <xdr:rowOff>95250</xdr:rowOff>
        </xdr:to>
        <xdr:pic>
          <xdr:nvPicPr>
            <xdr:cNvPr id="90366" name="Imagem 1">
              <a:extLst>
                <a:ext uri="{FF2B5EF4-FFF2-40B4-BE49-F238E27FC236}">
                  <a16:creationId xmlns:a16="http://schemas.microsoft.com/office/drawing/2014/main" id="{00000000-0008-0000-0300-0000FE6001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DADOS!A6:H13" spid="_x0000_s9061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61925" y="752475"/>
              <a:ext cx="13192125" cy="11239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18</xdr:row>
      <xdr:rowOff>161925</xdr:rowOff>
    </xdr:from>
    <xdr:to>
      <xdr:col>2</xdr:col>
      <xdr:colOff>1228725</xdr:colOff>
      <xdr:row>20</xdr:row>
      <xdr:rowOff>0</xdr:rowOff>
    </xdr:to>
    <xdr:pic>
      <xdr:nvPicPr>
        <xdr:cNvPr id="89363" name="Picture 1">
          <a:extLst>
            <a:ext uri="{FF2B5EF4-FFF2-40B4-BE49-F238E27FC236}">
              <a16:creationId xmlns:a16="http://schemas.microsoft.com/office/drawing/2014/main" id="{00000000-0008-0000-0400-0000135D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0"/>
          <a:ext cx="15906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26</xdr:col>
      <xdr:colOff>201706</xdr:colOff>
      <xdr:row>19</xdr:row>
      <xdr:rowOff>44823</xdr:rowOff>
    </xdr:from>
    <xdr:to>
      <xdr:col>31</xdr:col>
      <xdr:colOff>195543</xdr:colOff>
      <xdr:row>20</xdr:row>
      <xdr:rowOff>56028</xdr:rowOff>
    </xdr:to>
    <xdr:sp macro="[0]!AdicionarMedições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7048500" y="44823"/>
          <a:ext cx="1114425" cy="403411"/>
        </a:xfrm>
        <a:prstGeom prst="rect">
          <a:avLst/>
        </a:prstGeom>
        <a:solidFill>
          <a:schemeClr val="bg2">
            <a:lumMod val="90000"/>
          </a:schemeClr>
        </a:solidFill>
        <a:ln w="6350">
          <a:solidFill>
            <a:schemeClr val="accent1">
              <a:shade val="50000"/>
            </a:schemeClr>
          </a:solidFill>
        </a:ln>
        <a:effectLst>
          <a:outerShdw dist="63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Adicionar 12 medições</a:t>
          </a:r>
        </a:p>
      </xdr:txBody>
    </xdr:sp>
    <xdr:clientData fPrintsWithSheet="0"/>
  </xdr:twoCellAnchor>
  <xdr:twoCellAnchor editAs="absolute">
    <xdr:from>
      <xdr:col>32</xdr:col>
      <xdr:colOff>95250</xdr:colOff>
      <xdr:row>19</xdr:row>
      <xdr:rowOff>44823</xdr:rowOff>
    </xdr:from>
    <xdr:to>
      <xdr:col>37</xdr:col>
      <xdr:colOff>89087</xdr:colOff>
      <xdr:row>20</xdr:row>
      <xdr:rowOff>56028</xdr:rowOff>
    </xdr:to>
    <xdr:sp macro="[0]!ExcluirMedições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286750" y="44823"/>
          <a:ext cx="1114425" cy="403411"/>
        </a:xfrm>
        <a:prstGeom prst="rect">
          <a:avLst/>
        </a:prstGeom>
        <a:solidFill>
          <a:schemeClr val="bg2">
            <a:lumMod val="90000"/>
          </a:schemeClr>
        </a:solidFill>
        <a:ln w="6350">
          <a:solidFill>
            <a:schemeClr val="accent1">
              <a:shade val="50000"/>
            </a:schemeClr>
          </a:solidFill>
        </a:ln>
        <a:effectLst>
          <a:outerShdw dist="63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Excluir 12 Medições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52</xdr:col>
          <xdr:colOff>228600</xdr:colOff>
          <xdr:row>26</xdr:row>
          <xdr:rowOff>142875</xdr:rowOff>
        </xdr:from>
        <xdr:to>
          <xdr:col>53</xdr:col>
          <xdr:colOff>228600</xdr:colOff>
          <xdr:row>28</xdr:row>
          <xdr:rowOff>0</xdr:rowOff>
        </xdr:to>
        <xdr:sp macro="" textlink="">
          <xdr:nvSpPr>
            <xdr:cNvPr id="19021" name="Spinner 1613" hidden="1">
              <a:extLst>
                <a:ext uri="{63B3BB69-23CF-44E3-9099-C40C66FF867C}">
                  <a14:compatExt spid="_x0000_s19021"/>
                </a:ext>
                <a:ext uri="{FF2B5EF4-FFF2-40B4-BE49-F238E27FC236}">
                  <a16:creationId xmlns:a16="http://schemas.microsoft.com/office/drawing/2014/main" id="{00000000-0008-0000-0400-00004D4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21</xdr:row>
          <xdr:rowOff>76200</xdr:rowOff>
        </xdr:from>
        <xdr:to>
          <xdr:col>54</xdr:col>
          <xdr:colOff>9525</xdr:colOff>
          <xdr:row>26</xdr:row>
          <xdr:rowOff>47625</xdr:rowOff>
        </xdr:to>
        <xdr:pic>
          <xdr:nvPicPr>
            <xdr:cNvPr id="89366" name="Imagem 1">
              <a:extLst>
                <a:ext uri="{FF2B5EF4-FFF2-40B4-BE49-F238E27FC236}">
                  <a16:creationId xmlns:a16="http://schemas.microsoft.com/office/drawing/2014/main" id="{00000000-0008-0000-0400-0000165D01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DADOS!A6:H13" spid="_x0000_s8961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61925" y="552450"/>
              <a:ext cx="13192125" cy="11239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0</xdr:rowOff>
    </xdr:from>
    <xdr:to>
      <xdr:col>3</xdr:col>
      <xdr:colOff>647700</xdr:colOff>
      <xdr:row>2</xdr:row>
      <xdr:rowOff>9525</xdr:rowOff>
    </xdr:to>
    <xdr:pic>
      <xdr:nvPicPr>
        <xdr:cNvPr id="35427" name="Picture 1">
          <a:extLst>
            <a:ext uri="{FF2B5EF4-FFF2-40B4-BE49-F238E27FC236}">
              <a16:creationId xmlns:a16="http://schemas.microsoft.com/office/drawing/2014/main" id="{00000000-0008-0000-0500-0000638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10953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</xdr:row>
          <xdr:rowOff>85725</xdr:rowOff>
        </xdr:from>
        <xdr:to>
          <xdr:col>15</xdr:col>
          <xdr:colOff>942975</xdr:colOff>
          <xdr:row>9</xdr:row>
          <xdr:rowOff>0</xdr:rowOff>
        </xdr:to>
        <xdr:pic>
          <xdr:nvPicPr>
            <xdr:cNvPr id="35428" name="Imagem 2">
              <a:extLst>
                <a:ext uri="{FF2B5EF4-FFF2-40B4-BE49-F238E27FC236}">
                  <a16:creationId xmlns:a16="http://schemas.microsoft.com/office/drawing/2014/main" id="{00000000-0008-0000-0500-0000648A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DADOS!A6:H14" spid="_x0000_s3567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04775" y="352425"/>
              <a:ext cx="8429625" cy="7620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9">
    <pageSetUpPr fitToPage="1"/>
  </sheetPr>
  <dimension ref="A1:IU125"/>
  <sheetViews>
    <sheetView showGridLines="0" topLeftCell="A10" zoomScaleNormal="100" workbookViewId="0">
      <selection activeCell="D19" sqref="D19"/>
    </sheetView>
  </sheetViews>
  <sheetFormatPr defaultColWidth="0" defaultRowHeight="12.75" x14ac:dyDescent="0.2"/>
  <cols>
    <col min="1" max="1" width="16.7109375" style="4" customWidth="1"/>
    <col min="2" max="2" width="16.7109375" style="2" customWidth="1"/>
    <col min="3" max="3" width="32.7109375" style="2" customWidth="1"/>
    <col min="4" max="4" width="31.140625" style="3" customWidth="1"/>
    <col min="5" max="5" width="40.7109375" style="2" customWidth="1"/>
    <col min="6" max="6" width="42.85546875" style="2" customWidth="1"/>
    <col min="7" max="7" width="12.85546875" style="2" customWidth="1"/>
    <col min="8" max="8" width="16.7109375" style="2" customWidth="1"/>
    <col min="9" max="9" width="3.7109375" style="2" customWidth="1"/>
    <col min="10" max="250" width="9.140625" style="2" hidden="1" customWidth="1"/>
    <col min="251" max="252" width="16.7109375" style="2" hidden="1" customWidth="1"/>
    <col min="253" max="253" width="32.7109375" style="2" hidden="1" customWidth="1"/>
    <col min="254" max="254" width="31.140625" style="2" hidden="1" customWidth="1"/>
    <col min="255" max="255" width="40.7109375" style="2" hidden="1" customWidth="1"/>
    <col min="256" max="16384" width="55.7109375" style="2" hidden="1"/>
  </cols>
  <sheetData>
    <row r="1" spans="1:10" ht="16.5" hidden="1" customHeight="1" x14ac:dyDescent="0.2">
      <c r="A1" s="150" t="e">
        <f ca="1">OFFSET(A1,-1,0)+1</f>
        <v>#REF!</v>
      </c>
      <c r="B1" s="200"/>
      <c r="C1" s="200"/>
      <c r="J1" s="2" t="e">
        <f ca="1">CONCATENATE(A1,"-",B1)</f>
        <v>#REF!</v>
      </c>
    </row>
    <row r="2" spans="1:10" ht="12.75" customHeight="1" x14ac:dyDescent="0.2">
      <c r="A2" s="159">
        <v>27477</v>
      </c>
      <c r="B2" s="211" t="s">
        <v>40</v>
      </c>
      <c r="C2" s="211"/>
      <c r="D2" s="211"/>
      <c r="E2" s="211"/>
      <c r="F2" s="211"/>
      <c r="G2" s="211"/>
      <c r="H2" s="147"/>
    </row>
    <row r="3" spans="1:10" ht="13.5" customHeight="1" x14ac:dyDescent="0.2">
      <c r="A3" s="158" t="s">
        <v>149</v>
      </c>
      <c r="B3" s="212"/>
      <c r="C3" s="212"/>
      <c r="D3" s="212"/>
      <c r="E3" s="212"/>
      <c r="F3" s="212"/>
      <c r="G3" s="212"/>
      <c r="H3" s="148"/>
    </row>
    <row r="4" spans="1:10" ht="12.75" customHeight="1" x14ac:dyDescent="0.25">
      <c r="A4"/>
      <c r="B4"/>
      <c r="C4"/>
      <c r="D4"/>
      <c r="E4"/>
      <c r="F4"/>
      <c r="G4"/>
      <c r="H4"/>
      <c r="I4"/>
    </row>
    <row r="5" spans="1:10" x14ac:dyDescent="0.2">
      <c r="A5" s="5"/>
    </row>
    <row r="6" spans="1:10" s="91" customFormat="1" ht="12.75" customHeight="1" x14ac:dyDescent="0.2">
      <c r="A6" s="1" t="s">
        <v>146</v>
      </c>
      <c r="B6" s="106" t="s">
        <v>147</v>
      </c>
      <c r="C6" s="1" t="s">
        <v>29</v>
      </c>
      <c r="D6" s="1" t="s">
        <v>30</v>
      </c>
      <c r="E6" s="1" t="s">
        <v>31</v>
      </c>
      <c r="F6" s="189" t="s">
        <v>32</v>
      </c>
      <c r="G6" s="190"/>
      <c r="H6" s="110" t="s">
        <v>50</v>
      </c>
    </row>
    <row r="7" spans="1:10" s="91" customFormat="1" ht="12.75" customHeight="1" x14ac:dyDescent="0.2">
      <c r="A7" s="116" t="s">
        <v>201</v>
      </c>
      <c r="B7" s="187" t="s">
        <v>202</v>
      </c>
      <c r="C7" s="173" t="s">
        <v>189</v>
      </c>
      <c r="D7" s="186" t="s">
        <v>155</v>
      </c>
      <c r="E7" s="186" t="s">
        <v>195</v>
      </c>
      <c r="F7" s="213" t="s">
        <v>156</v>
      </c>
      <c r="G7" s="202"/>
      <c r="H7" s="174">
        <v>44498</v>
      </c>
    </row>
    <row r="8" spans="1:10" s="91" customFormat="1" ht="12.75" customHeight="1" x14ac:dyDescent="0.2"/>
    <row r="9" spans="1:10" s="91" customFormat="1" ht="12.75" customHeight="1" x14ac:dyDescent="0.2">
      <c r="A9" s="189" t="s">
        <v>33</v>
      </c>
      <c r="B9" s="190"/>
      <c r="C9" s="191"/>
      <c r="D9" s="1" t="s">
        <v>34</v>
      </c>
      <c r="E9" s="1" t="s">
        <v>35</v>
      </c>
      <c r="F9" s="189" t="s">
        <v>36</v>
      </c>
      <c r="G9" s="190"/>
      <c r="H9" s="191"/>
    </row>
    <row r="10" spans="1:10" s="91" customFormat="1" ht="12.75" customHeight="1" x14ac:dyDescent="0.2">
      <c r="A10" s="192" t="s">
        <v>203</v>
      </c>
      <c r="B10" s="193"/>
      <c r="C10" s="194"/>
      <c r="D10" s="186" t="s">
        <v>204</v>
      </c>
      <c r="E10" s="173" t="s">
        <v>157</v>
      </c>
      <c r="F10" s="213" t="s">
        <v>190</v>
      </c>
      <c r="G10" s="202"/>
      <c r="H10" s="216"/>
    </row>
    <row r="11" spans="1:10" s="91" customFormat="1" ht="6" customHeight="1" x14ac:dyDescent="0.2"/>
    <row r="12" spans="1:10" s="91" customFormat="1" x14ac:dyDescent="0.2">
      <c r="A12" s="107" t="s">
        <v>89</v>
      </c>
      <c r="B12" s="195" t="s">
        <v>90</v>
      </c>
      <c r="C12" s="196"/>
      <c r="D12" s="108" t="s">
        <v>91</v>
      </c>
      <c r="E12" s="189" t="s">
        <v>93</v>
      </c>
      <c r="F12" s="190"/>
      <c r="G12" s="190"/>
      <c r="H12" s="109" t="s">
        <v>92</v>
      </c>
    </row>
    <row r="13" spans="1:10" s="91" customFormat="1" x14ac:dyDescent="0.2">
      <c r="A13" s="111"/>
      <c r="B13" s="205"/>
      <c r="C13" s="206"/>
      <c r="D13" s="112"/>
      <c r="E13" s="201"/>
      <c r="F13" s="202"/>
      <c r="G13" s="202"/>
      <c r="H13" s="113"/>
    </row>
    <row r="14" spans="1:10" ht="6" customHeight="1" x14ac:dyDescent="0.2">
      <c r="A14" s="2"/>
      <c r="D14" s="2"/>
    </row>
    <row r="15" spans="1:10" ht="5.25" customHeight="1" x14ac:dyDescent="0.25">
      <c r="A15"/>
      <c r="B15"/>
      <c r="C15"/>
      <c r="D15"/>
      <c r="E15"/>
      <c r="F15"/>
      <c r="G15"/>
      <c r="H15"/>
    </row>
    <row r="16" spans="1:10" ht="4.5" customHeight="1" x14ac:dyDescent="0.25">
      <c r="A16"/>
      <c r="B16"/>
      <c r="C16"/>
      <c r="D16"/>
      <c r="E16"/>
      <c r="F16"/>
      <c r="G16"/>
      <c r="H16"/>
    </row>
    <row r="18" spans="1:8" ht="12.75" customHeight="1" x14ac:dyDescent="0.2">
      <c r="A18" s="14" t="s">
        <v>58</v>
      </c>
    </row>
    <row r="19" spans="1:8" ht="12.75" customHeight="1" x14ac:dyDescent="0.25">
      <c r="A19" s="6" t="s">
        <v>53</v>
      </c>
      <c r="B19" s="7"/>
      <c r="C19" s="8" t="s">
        <v>56</v>
      </c>
      <c r="D19" s="91"/>
      <c r="G19"/>
      <c r="H19"/>
    </row>
    <row r="20" spans="1:8" ht="12.75" customHeight="1" x14ac:dyDescent="0.25">
      <c r="A20" s="203"/>
      <c r="B20" s="204"/>
      <c r="C20" s="114"/>
      <c r="D20" s="92"/>
      <c r="G20"/>
      <c r="H20"/>
    </row>
    <row r="21" spans="1:8" ht="12.75" customHeight="1" x14ac:dyDescent="0.25">
      <c r="G21"/>
      <c r="H21"/>
    </row>
    <row r="22" spans="1:8" ht="15" x14ac:dyDescent="0.25">
      <c r="A22" s="6" t="s">
        <v>54</v>
      </c>
      <c r="B22" s="7"/>
      <c r="C22" s="8" t="s">
        <v>56</v>
      </c>
      <c r="D22" s="8" t="s">
        <v>57</v>
      </c>
      <c r="G22"/>
      <c r="H22"/>
    </row>
    <row r="23" spans="1:8" ht="15" x14ac:dyDescent="0.25">
      <c r="A23" s="203" t="s">
        <v>216</v>
      </c>
      <c r="B23" s="204"/>
      <c r="C23" s="114"/>
      <c r="D23" s="114"/>
      <c r="G23"/>
      <c r="H23"/>
    </row>
    <row r="24" spans="1:8" x14ac:dyDescent="0.2">
      <c r="A24" s="9"/>
      <c r="B24" s="9"/>
      <c r="C24" s="9"/>
      <c r="D24" s="10"/>
    </row>
    <row r="25" spans="1:8" ht="12.75" hidden="1" customHeight="1" x14ac:dyDescent="0.2">
      <c r="A25" s="11" t="s">
        <v>55</v>
      </c>
      <c r="B25" s="12"/>
      <c r="C25" s="13" t="s">
        <v>56</v>
      </c>
      <c r="D25" s="13" t="s">
        <v>57</v>
      </c>
    </row>
    <row r="26" spans="1:8" hidden="1" x14ac:dyDescent="0.2">
      <c r="A26" s="203"/>
      <c r="B26" s="204"/>
      <c r="C26" s="114"/>
      <c r="D26" s="114"/>
    </row>
    <row r="27" spans="1:8" ht="15" hidden="1" x14ac:dyDescent="0.25">
      <c r="A27"/>
      <c r="B27"/>
      <c r="C27"/>
      <c r="D27"/>
      <c r="E27"/>
      <c r="F27"/>
      <c r="G27"/>
      <c r="H27"/>
    </row>
    <row r="28" spans="1:8" ht="15" hidden="1" x14ac:dyDescent="0.25">
      <c r="A28" s="14" t="s">
        <v>59</v>
      </c>
      <c r="B28" s="15"/>
      <c r="C28" s="15"/>
      <c r="D28"/>
      <c r="E28"/>
      <c r="F28"/>
      <c r="G28"/>
      <c r="H28"/>
    </row>
    <row r="29" spans="1:8" ht="15" hidden="1" x14ac:dyDescent="0.25">
      <c r="A29" s="11" t="s">
        <v>45</v>
      </c>
      <c r="B29" s="16"/>
      <c r="C29" s="17" t="s">
        <v>46</v>
      </c>
      <c r="D29"/>
      <c r="E29"/>
      <c r="F29"/>
      <c r="G29"/>
      <c r="H29"/>
    </row>
    <row r="30" spans="1:8" ht="15" hidden="1" x14ac:dyDescent="0.25">
      <c r="A30" s="214"/>
      <c r="B30" s="215"/>
      <c r="C30" s="115"/>
      <c r="D30"/>
      <c r="E30"/>
      <c r="F30"/>
      <c r="G30"/>
      <c r="H30"/>
    </row>
    <row r="31" spans="1:8" ht="15" x14ac:dyDescent="0.25">
      <c r="A31"/>
      <c r="B31"/>
      <c r="C31"/>
      <c r="D31"/>
      <c r="E31"/>
      <c r="F31"/>
      <c r="G31"/>
      <c r="H31"/>
    </row>
    <row r="32" spans="1:8" ht="15" x14ac:dyDescent="0.25">
      <c r="A32" s="14" t="s">
        <v>124</v>
      </c>
      <c r="B32"/>
      <c r="C32"/>
      <c r="D32"/>
      <c r="E32"/>
      <c r="F32"/>
      <c r="G32"/>
      <c r="H32"/>
    </row>
    <row r="33" spans="1:10" ht="15.75" customHeight="1" x14ac:dyDescent="0.25">
      <c r="A33" s="146" t="s">
        <v>125</v>
      </c>
      <c r="B33" s="209" t="s">
        <v>140</v>
      </c>
      <c r="C33" s="210"/>
      <c r="D33"/>
      <c r="E33"/>
      <c r="F33"/>
      <c r="G33"/>
      <c r="H33"/>
    </row>
    <row r="34" spans="1:10" ht="15.75" customHeight="1" x14ac:dyDescent="0.25">
      <c r="A34" s="150">
        <v>1</v>
      </c>
      <c r="B34" s="207" t="s">
        <v>148</v>
      </c>
      <c r="C34" s="208"/>
      <c r="D34"/>
      <c r="E34"/>
      <c r="F34"/>
      <c r="G34"/>
      <c r="H34"/>
      <c r="J34" s="2" t="str">
        <f>CONCATENATE(A34,"-",B34)</f>
        <v>1-Administração Local</v>
      </c>
    </row>
    <row r="35" spans="1:10" ht="15.75" customHeight="1" x14ac:dyDescent="0.25">
      <c r="A35" s="150">
        <f ca="1">OFFSET(A35,-1,0)+1</f>
        <v>2</v>
      </c>
      <c r="B35" s="199" t="s">
        <v>158</v>
      </c>
      <c r="C35" s="200"/>
      <c r="D35"/>
      <c r="E35"/>
      <c r="F35"/>
      <c r="G35"/>
      <c r="H35"/>
      <c r="J35" s="2" t="str">
        <f ca="1">CONCATENATE(A35,"-",B35)</f>
        <v>2-PAVIMENTAÇÃO</v>
      </c>
    </row>
    <row r="36" spans="1:10" ht="15.75" customHeight="1" x14ac:dyDescent="0.25">
      <c r="A36" s="150">
        <f ca="1">OFFSET(A36,-1,0)+1</f>
        <v>3</v>
      </c>
      <c r="B36" s="199" t="s">
        <v>159</v>
      </c>
      <c r="C36" s="200"/>
      <c r="D36"/>
      <c r="E36"/>
      <c r="F36"/>
      <c r="G36"/>
      <c r="H36"/>
      <c r="J36" s="2" t="str">
        <f ca="1">CONCATENATE(A36,"-",B36)</f>
        <v>3-CALÇADAS E RAMPAS</v>
      </c>
    </row>
    <row r="37" spans="1:10" ht="16.5" customHeight="1" x14ac:dyDescent="0.2">
      <c r="A37" s="150">
        <f ca="1">OFFSET(A37,-1,0)+1</f>
        <v>4</v>
      </c>
      <c r="B37" s="199" t="s">
        <v>160</v>
      </c>
      <c r="C37" s="200"/>
      <c r="J37" s="2" t="str">
        <f ca="1">CONCATENATE(A37,"-",B37)</f>
        <v>4-SINALIZAÇÃO E SERVIÇOS FINAIS</v>
      </c>
    </row>
    <row r="38" spans="1:10" ht="15" x14ac:dyDescent="0.25">
      <c r="A38" s="157"/>
      <c r="B38"/>
      <c r="C38"/>
      <c r="D38"/>
      <c r="E38"/>
      <c r="F38"/>
      <c r="G38"/>
      <c r="H38"/>
    </row>
    <row r="39" spans="1:10" ht="15" x14ac:dyDescent="0.25">
      <c r="A39"/>
      <c r="B39"/>
      <c r="C39"/>
      <c r="D39"/>
      <c r="E39"/>
      <c r="F39"/>
      <c r="G39"/>
      <c r="H39"/>
    </row>
    <row r="40" spans="1:10" s="198" customFormat="1" ht="25.5" customHeight="1" x14ac:dyDescent="0.25">
      <c r="A40" s="197" t="s">
        <v>60</v>
      </c>
    </row>
    <row r="41" spans="1:10" ht="15" x14ac:dyDescent="0.25">
      <c r="A41"/>
      <c r="B41"/>
      <c r="C41"/>
      <c r="D41"/>
      <c r="E41"/>
      <c r="F41"/>
      <c r="G41"/>
      <c r="H41"/>
    </row>
    <row r="42" spans="1:10" ht="15" x14ac:dyDescent="0.25">
      <c r="A42" s="93" t="s">
        <v>61</v>
      </c>
      <c r="B42"/>
      <c r="C42"/>
      <c r="D42"/>
      <c r="E42"/>
      <c r="F42"/>
      <c r="G42"/>
      <c r="H42"/>
    </row>
    <row r="43" spans="1:10" ht="15" x14ac:dyDescent="0.25">
      <c r="A43" s="94"/>
      <c r="B43"/>
      <c r="C43"/>
      <c r="D43"/>
      <c r="E43"/>
      <c r="F43"/>
      <c r="G43"/>
      <c r="H43"/>
    </row>
    <row r="44" spans="1:10" ht="15" x14ac:dyDescent="0.25">
      <c r="A44" s="95" t="s">
        <v>64</v>
      </c>
      <c r="B44"/>
      <c r="C44"/>
      <c r="D44"/>
      <c r="E44"/>
      <c r="F44"/>
      <c r="G44"/>
      <c r="H44"/>
    </row>
    <row r="45" spans="1:10" ht="15" x14ac:dyDescent="0.25">
      <c r="A45" s="95"/>
      <c r="B45"/>
      <c r="C45"/>
      <c r="D45"/>
      <c r="E45"/>
      <c r="F45"/>
      <c r="G45"/>
      <c r="H45"/>
    </row>
    <row r="46" spans="1:10" ht="15" x14ac:dyDescent="0.25">
      <c r="A46" s="95" t="s">
        <v>65</v>
      </c>
      <c r="B46"/>
      <c r="C46"/>
      <c r="D46"/>
      <c r="E46"/>
      <c r="F46"/>
      <c r="G46"/>
      <c r="H46"/>
    </row>
    <row r="47" spans="1:10" ht="15" x14ac:dyDescent="0.25">
      <c r="A47" s="94"/>
      <c r="B47"/>
      <c r="C47"/>
      <c r="D47"/>
      <c r="E47"/>
      <c r="F47"/>
      <c r="G47"/>
      <c r="H47"/>
    </row>
    <row r="48" spans="1:10" ht="15" x14ac:dyDescent="0.25">
      <c r="A48" s="96" t="s">
        <v>66</v>
      </c>
      <c r="B48"/>
      <c r="C48"/>
      <c r="D48"/>
      <c r="E48"/>
      <c r="F48"/>
      <c r="G48"/>
      <c r="H48"/>
    </row>
    <row r="49" spans="1:9" ht="29.25" customHeight="1" x14ac:dyDescent="0.2">
      <c r="A49" s="188" t="s">
        <v>82</v>
      </c>
      <c r="B49" s="188"/>
      <c r="C49" s="188"/>
      <c r="D49" s="188"/>
      <c r="E49" s="188"/>
      <c r="F49" s="188"/>
      <c r="G49" s="188"/>
      <c r="H49" s="188"/>
      <c r="I49" s="188"/>
    </row>
    <row r="50" spans="1:9" ht="15" x14ac:dyDescent="0.25">
      <c r="A50" s="94"/>
      <c r="B50"/>
      <c r="C50"/>
      <c r="D50"/>
      <c r="E50"/>
      <c r="F50"/>
      <c r="G50"/>
      <c r="H50"/>
    </row>
    <row r="51" spans="1:9" ht="15" x14ac:dyDescent="0.25">
      <c r="A51" s="95" t="s">
        <v>67</v>
      </c>
      <c r="B51"/>
      <c r="C51"/>
      <c r="D51"/>
      <c r="E51"/>
      <c r="F51"/>
      <c r="G51"/>
      <c r="H51"/>
    </row>
    <row r="52" spans="1:9" ht="15" x14ac:dyDescent="0.25">
      <c r="A52" s="94"/>
      <c r="B52"/>
      <c r="C52"/>
      <c r="D52"/>
      <c r="E52"/>
      <c r="F52"/>
      <c r="G52"/>
      <c r="H52"/>
    </row>
    <row r="53" spans="1:9" ht="15" x14ac:dyDescent="0.25">
      <c r="A53" s="93" t="s">
        <v>62</v>
      </c>
      <c r="B53"/>
      <c r="C53"/>
      <c r="D53"/>
      <c r="E53"/>
      <c r="F53"/>
      <c r="G53"/>
      <c r="H53"/>
    </row>
    <row r="54" spans="1:9" ht="15" x14ac:dyDescent="0.25">
      <c r="A54" s="94"/>
      <c r="B54"/>
      <c r="C54"/>
      <c r="D54"/>
      <c r="E54"/>
      <c r="F54"/>
      <c r="G54"/>
      <c r="H54"/>
    </row>
    <row r="55" spans="1:9" ht="15" x14ac:dyDescent="0.25">
      <c r="A55" s="94" t="s">
        <v>68</v>
      </c>
      <c r="B55"/>
      <c r="C55"/>
      <c r="D55"/>
      <c r="E55"/>
      <c r="F55"/>
      <c r="G55"/>
      <c r="H55"/>
    </row>
    <row r="56" spans="1:9" ht="15" x14ac:dyDescent="0.25">
      <c r="A56" s="94"/>
      <c r="B56"/>
      <c r="C56"/>
      <c r="D56"/>
      <c r="E56"/>
      <c r="F56"/>
      <c r="G56"/>
      <c r="H56"/>
    </row>
    <row r="57" spans="1:9" ht="15" x14ac:dyDescent="0.25">
      <c r="A57" s="97" t="s">
        <v>69</v>
      </c>
      <c r="B57"/>
      <c r="C57"/>
      <c r="D57"/>
      <c r="E57"/>
      <c r="F57"/>
      <c r="G57"/>
      <c r="H57"/>
    </row>
    <row r="58" spans="1:9" ht="15" x14ac:dyDescent="0.25">
      <c r="A58" s="94"/>
      <c r="B58"/>
      <c r="C58"/>
      <c r="D58"/>
      <c r="E58"/>
      <c r="F58"/>
      <c r="G58"/>
      <c r="H58"/>
    </row>
    <row r="59" spans="1:9" ht="15" x14ac:dyDescent="0.25">
      <c r="A59" s="97" t="s">
        <v>126</v>
      </c>
      <c r="B59"/>
      <c r="C59"/>
      <c r="D59"/>
      <c r="E59"/>
      <c r="F59"/>
      <c r="G59"/>
      <c r="H59"/>
    </row>
    <row r="60" spans="1:9" ht="15" x14ac:dyDescent="0.25">
      <c r="A60" s="94"/>
      <c r="B60"/>
      <c r="C60"/>
      <c r="D60"/>
      <c r="E60"/>
      <c r="F60"/>
      <c r="G60"/>
      <c r="H60"/>
    </row>
    <row r="61" spans="1:9" ht="15" x14ac:dyDescent="0.25">
      <c r="A61" s="94" t="s">
        <v>70</v>
      </c>
      <c r="B61"/>
      <c r="C61"/>
      <c r="D61"/>
      <c r="E61"/>
      <c r="F61"/>
      <c r="G61"/>
      <c r="H61"/>
    </row>
    <row r="62" spans="1:9" ht="15" x14ac:dyDescent="0.25">
      <c r="A62" s="94"/>
      <c r="B62"/>
      <c r="C62"/>
      <c r="D62"/>
      <c r="E62"/>
      <c r="F62"/>
      <c r="G62"/>
      <c r="H62"/>
    </row>
    <row r="63" spans="1:9" ht="15" x14ac:dyDescent="0.25">
      <c r="A63" s="97" t="s">
        <v>127</v>
      </c>
      <c r="B63"/>
      <c r="C63"/>
      <c r="D63"/>
      <c r="E63"/>
      <c r="F63"/>
      <c r="G63"/>
      <c r="H63"/>
    </row>
    <row r="64" spans="1:9" ht="15" x14ac:dyDescent="0.25">
      <c r="A64" s="94"/>
      <c r="B64"/>
      <c r="C64"/>
      <c r="D64"/>
      <c r="E64"/>
      <c r="F64"/>
      <c r="G64"/>
      <c r="H64"/>
    </row>
    <row r="65" spans="1:8" ht="15" x14ac:dyDescent="0.25">
      <c r="A65" s="97" t="s">
        <v>128</v>
      </c>
      <c r="B65"/>
      <c r="C65"/>
      <c r="D65"/>
      <c r="E65"/>
      <c r="F65"/>
      <c r="G65"/>
      <c r="H65"/>
    </row>
    <row r="66" spans="1:8" ht="15" x14ac:dyDescent="0.25">
      <c r="A66" s="97"/>
      <c r="B66"/>
      <c r="C66"/>
      <c r="D66"/>
      <c r="E66"/>
      <c r="F66"/>
      <c r="G66"/>
      <c r="H66"/>
    </row>
    <row r="67" spans="1:8" ht="15" x14ac:dyDescent="0.25">
      <c r="A67" s="117" t="s">
        <v>141</v>
      </c>
      <c r="B67"/>
      <c r="C67"/>
      <c r="D67"/>
      <c r="E67"/>
      <c r="F67"/>
      <c r="G67"/>
      <c r="H67"/>
    </row>
    <row r="68" spans="1:8" ht="15" x14ac:dyDescent="0.25">
      <c r="A68" s="97"/>
      <c r="B68"/>
      <c r="C68"/>
      <c r="D68"/>
      <c r="E68"/>
      <c r="F68"/>
      <c r="G68"/>
      <c r="H68"/>
    </row>
    <row r="69" spans="1:8" ht="15" x14ac:dyDescent="0.25">
      <c r="A69" s="97" t="s">
        <v>129</v>
      </c>
      <c r="B69"/>
      <c r="C69"/>
      <c r="D69"/>
      <c r="E69"/>
      <c r="F69"/>
      <c r="G69"/>
      <c r="H69"/>
    </row>
    <row r="70" spans="1:8" ht="15" x14ac:dyDescent="0.25">
      <c r="A70" s="94"/>
      <c r="B70"/>
      <c r="C70"/>
      <c r="D70"/>
      <c r="E70"/>
      <c r="F70"/>
      <c r="G70"/>
      <c r="H70"/>
    </row>
    <row r="71" spans="1:8" ht="15" x14ac:dyDescent="0.25">
      <c r="A71" s="97" t="s">
        <v>130</v>
      </c>
      <c r="B71"/>
      <c r="C71"/>
      <c r="D71"/>
      <c r="E71"/>
      <c r="F71"/>
      <c r="G71"/>
      <c r="H71"/>
    </row>
    <row r="72" spans="1:8" ht="15" x14ac:dyDescent="0.25">
      <c r="A72" s="94"/>
      <c r="B72"/>
      <c r="C72"/>
      <c r="D72"/>
      <c r="E72"/>
      <c r="F72"/>
      <c r="G72"/>
      <c r="H72"/>
    </row>
    <row r="73" spans="1:8" ht="15" x14ac:dyDescent="0.25">
      <c r="A73" s="117" t="s">
        <v>137</v>
      </c>
      <c r="B73"/>
      <c r="C73"/>
      <c r="D73"/>
      <c r="E73"/>
      <c r="F73"/>
      <c r="G73"/>
      <c r="H73"/>
    </row>
    <row r="74" spans="1:8" ht="15" x14ac:dyDescent="0.25">
      <c r="A74" s="98" t="s">
        <v>98</v>
      </c>
      <c r="B74"/>
      <c r="C74"/>
      <c r="D74"/>
      <c r="E74"/>
      <c r="F74"/>
      <c r="G74"/>
      <c r="H74"/>
    </row>
    <row r="75" spans="1:8" ht="15" x14ac:dyDescent="0.25">
      <c r="A75" s="98" t="s">
        <v>99</v>
      </c>
      <c r="B75"/>
      <c r="C75"/>
      <c r="D75"/>
      <c r="E75"/>
      <c r="F75"/>
      <c r="G75"/>
      <c r="H75"/>
    </row>
    <row r="76" spans="1:8" ht="15" x14ac:dyDescent="0.25">
      <c r="A76" s="98" t="s">
        <v>139</v>
      </c>
      <c r="B76"/>
      <c r="C76"/>
      <c r="D76"/>
      <c r="E76"/>
      <c r="F76"/>
      <c r="G76"/>
      <c r="H76"/>
    </row>
    <row r="77" spans="1:8" ht="15" x14ac:dyDescent="0.25">
      <c r="A77" s="94"/>
      <c r="B77"/>
      <c r="C77"/>
      <c r="D77"/>
      <c r="E77"/>
      <c r="F77"/>
      <c r="G77"/>
      <c r="H77"/>
    </row>
    <row r="78" spans="1:8" ht="15" x14ac:dyDescent="0.25">
      <c r="A78" s="97" t="s">
        <v>71</v>
      </c>
      <c r="B78"/>
      <c r="C78"/>
      <c r="D78"/>
      <c r="E78"/>
      <c r="F78"/>
      <c r="G78"/>
      <c r="H78"/>
    </row>
    <row r="79" spans="1:8" ht="15" x14ac:dyDescent="0.25">
      <c r="A79" s="94"/>
      <c r="B79"/>
      <c r="C79"/>
      <c r="D79"/>
      <c r="E79"/>
      <c r="F79"/>
      <c r="G79"/>
      <c r="H79"/>
    </row>
    <row r="80" spans="1:8" ht="15" x14ac:dyDescent="0.25">
      <c r="A80" s="97" t="s">
        <v>138</v>
      </c>
      <c r="B80"/>
      <c r="C80"/>
      <c r="D80"/>
      <c r="E80"/>
      <c r="F80"/>
      <c r="G80"/>
      <c r="H80"/>
    </row>
    <row r="81" spans="1:8" ht="15" x14ac:dyDescent="0.25">
      <c r="A81" s="94"/>
      <c r="B81"/>
      <c r="C81"/>
      <c r="D81"/>
      <c r="E81"/>
      <c r="F81"/>
      <c r="G81"/>
      <c r="H81"/>
    </row>
    <row r="82" spans="1:8" ht="15" x14ac:dyDescent="0.25">
      <c r="A82" s="94" t="s">
        <v>72</v>
      </c>
      <c r="B82"/>
      <c r="C82"/>
      <c r="D82"/>
      <c r="E82"/>
      <c r="F82"/>
      <c r="G82"/>
      <c r="H82"/>
    </row>
    <row r="83" spans="1:8" ht="15" x14ac:dyDescent="0.25">
      <c r="A83" s="94"/>
      <c r="B83"/>
      <c r="C83"/>
      <c r="D83"/>
      <c r="E83"/>
      <c r="F83"/>
      <c r="G83"/>
      <c r="H83"/>
    </row>
    <row r="84" spans="1:8" ht="15" x14ac:dyDescent="0.25">
      <c r="A84" s="162" t="s">
        <v>131</v>
      </c>
      <c r="B84"/>
      <c r="C84"/>
      <c r="D84"/>
      <c r="E84"/>
      <c r="F84"/>
      <c r="G84"/>
      <c r="H84"/>
    </row>
    <row r="85" spans="1:8" ht="15" x14ac:dyDescent="0.25">
      <c r="A85" s="94" t="s">
        <v>73</v>
      </c>
      <c r="B85"/>
      <c r="C85"/>
      <c r="D85"/>
      <c r="E85"/>
      <c r="F85"/>
      <c r="G85"/>
      <c r="H85"/>
    </row>
    <row r="86" spans="1:8" ht="15" x14ac:dyDescent="0.25">
      <c r="A86" s="94" t="s">
        <v>74</v>
      </c>
      <c r="B86"/>
      <c r="C86"/>
      <c r="D86"/>
      <c r="E86"/>
      <c r="F86"/>
      <c r="G86"/>
      <c r="H86"/>
    </row>
    <row r="87" spans="1:8" ht="15" x14ac:dyDescent="0.25">
      <c r="A87" s="94" t="s">
        <v>75</v>
      </c>
      <c r="B87"/>
      <c r="C87"/>
      <c r="D87"/>
      <c r="E87"/>
      <c r="F87"/>
      <c r="G87"/>
      <c r="H87"/>
    </row>
    <row r="88" spans="1:8" ht="15" x14ac:dyDescent="0.25">
      <c r="A88" s="94" t="s">
        <v>100</v>
      </c>
      <c r="B88"/>
      <c r="C88"/>
      <c r="D88"/>
      <c r="E88"/>
      <c r="F88"/>
      <c r="G88"/>
      <c r="H88"/>
    </row>
    <row r="89" spans="1:8" ht="15" x14ac:dyDescent="0.25">
      <c r="A89" s="94" t="s">
        <v>76</v>
      </c>
      <c r="B89"/>
      <c r="C89"/>
      <c r="D89"/>
      <c r="E89"/>
      <c r="F89"/>
      <c r="G89"/>
      <c r="H89"/>
    </row>
    <row r="90" spans="1:8" ht="15" x14ac:dyDescent="0.25">
      <c r="A90" s="94"/>
      <c r="B90"/>
      <c r="C90"/>
      <c r="D90"/>
      <c r="E90"/>
      <c r="F90"/>
      <c r="G90"/>
      <c r="H90"/>
    </row>
    <row r="91" spans="1:8" ht="15" x14ac:dyDescent="0.25">
      <c r="A91" s="162" t="s">
        <v>142</v>
      </c>
      <c r="B91"/>
      <c r="C91"/>
      <c r="D91"/>
      <c r="E91"/>
      <c r="F91"/>
      <c r="G91"/>
      <c r="H91"/>
    </row>
    <row r="92" spans="1:8" ht="15" x14ac:dyDescent="0.25">
      <c r="A92" s="94"/>
      <c r="B92"/>
      <c r="C92"/>
      <c r="D92"/>
      <c r="E92"/>
      <c r="F92"/>
      <c r="G92"/>
      <c r="H92"/>
    </row>
    <row r="93" spans="1:8" ht="15" x14ac:dyDescent="0.25">
      <c r="A93" s="94" t="s">
        <v>77</v>
      </c>
      <c r="B93"/>
      <c r="C93"/>
      <c r="D93"/>
      <c r="E93"/>
      <c r="F93"/>
      <c r="G93"/>
      <c r="H93"/>
    </row>
    <row r="94" spans="1:8" ht="15" x14ac:dyDescent="0.25">
      <c r="A94" s="94"/>
      <c r="B94"/>
      <c r="C94"/>
      <c r="D94"/>
      <c r="E94"/>
      <c r="F94"/>
      <c r="G94"/>
      <c r="H94"/>
    </row>
    <row r="95" spans="1:8" ht="15" x14ac:dyDescent="0.25">
      <c r="A95" s="163" t="s">
        <v>132</v>
      </c>
      <c r="B95"/>
      <c r="C95"/>
      <c r="D95"/>
      <c r="E95"/>
      <c r="F95"/>
      <c r="G95"/>
      <c r="H95"/>
    </row>
    <row r="96" spans="1:8" ht="15" x14ac:dyDescent="0.25">
      <c r="A96" s="94"/>
      <c r="B96"/>
      <c r="C96"/>
      <c r="D96"/>
      <c r="E96"/>
      <c r="F96"/>
      <c r="G96"/>
      <c r="H96"/>
    </row>
    <row r="97" spans="1:8" ht="15" x14ac:dyDescent="0.25">
      <c r="A97" s="94" t="s">
        <v>79</v>
      </c>
      <c r="B97"/>
      <c r="C97"/>
      <c r="D97"/>
      <c r="E97"/>
      <c r="F97"/>
      <c r="G97"/>
      <c r="H97"/>
    </row>
    <row r="98" spans="1:8" ht="15" x14ac:dyDescent="0.25">
      <c r="A98" s="94"/>
      <c r="B98"/>
      <c r="C98"/>
      <c r="D98"/>
      <c r="E98"/>
      <c r="F98"/>
      <c r="G98"/>
      <c r="H98"/>
    </row>
    <row r="99" spans="1:8" ht="15" x14ac:dyDescent="0.25">
      <c r="A99" s="97" t="s">
        <v>133</v>
      </c>
      <c r="B99"/>
      <c r="C99"/>
      <c r="D99"/>
      <c r="E99"/>
      <c r="F99"/>
      <c r="G99"/>
      <c r="H99"/>
    </row>
    <row r="100" spans="1:8" ht="15" x14ac:dyDescent="0.25">
      <c r="A100" s="94"/>
      <c r="B100"/>
      <c r="C100"/>
      <c r="D100"/>
      <c r="E100"/>
      <c r="F100"/>
      <c r="G100"/>
      <c r="H100"/>
    </row>
    <row r="101" spans="1:8" ht="15" x14ac:dyDescent="0.25">
      <c r="A101" s="97" t="s">
        <v>134</v>
      </c>
      <c r="B101"/>
      <c r="C101"/>
      <c r="D101"/>
      <c r="E101"/>
      <c r="F101"/>
      <c r="G101"/>
      <c r="H101"/>
    </row>
    <row r="102" spans="1:8" ht="15" x14ac:dyDescent="0.25">
      <c r="A102" s="94"/>
      <c r="B102"/>
      <c r="C102"/>
      <c r="D102"/>
      <c r="E102"/>
      <c r="F102"/>
      <c r="G102"/>
      <c r="H102"/>
    </row>
    <row r="103" spans="1:8" ht="15" x14ac:dyDescent="0.25">
      <c r="A103" s="97" t="s">
        <v>135</v>
      </c>
      <c r="B103"/>
      <c r="C103"/>
      <c r="D103"/>
      <c r="E103"/>
      <c r="F103"/>
      <c r="G103"/>
      <c r="H103"/>
    </row>
    <row r="104" spans="1:8" ht="15" x14ac:dyDescent="0.25">
      <c r="A104" s="94"/>
      <c r="B104"/>
      <c r="C104"/>
      <c r="D104"/>
      <c r="E104"/>
      <c r="F104"/>
      <c r="G104"/>
      <c r="H104"/>
    </row>
    <row r="105" spans="1:8" ht="15" x14ac:dyDescent="0.25">
      <c r="A105" s="98" t="s">
        <v>80</v>
      </c>
      <c r="B105"/>
      <c r="C105"/>
      <c r="D105"/>
      <c r="E105"/>
      <c r="F105"/>
      <c r="G105"/>
      <c r="H105"/>
    </row>
    <row r="106" spans="1:8" ht="15" x14ac:dyDescent="0.25">
      <c r="A106" s="98" t="s">
        <v>81</v>
      </c>
      <c r="C106"/>
      <c r="D106"/>
      <c r="E106"/>
      <c r="F106"/>
      <c r="G106"/>
      <c r="H106"/>
    </row>
    <row r="107" spans="1:8" ht="15" x14ac:dyDescent="0.25">
      <c r="A107" s="94"/>
      <c r="B107"/>
      <c r="C107"/>
      <c r="D107"/>
      <c r="E107"/>
      <c r="F107"/>
      <c r="G107"/>
      <c r="H107"/>
    </row>
    <row r="108" spans="1:8" ht="15" x14ac:dyDescent="0.25">
      <c r="A108" s="94" t="s">
        <v>78</v>
      </c>
      <c r="B108"/>
      <c r="C108"/>
      <c r="D108"/>
      <c r="E108"/>
      <c r="F108"/>
      <c r="G108"/>
      <c r="H108"/>
    </row>
    <row r="109" spans="1:8" ht="15" x14ac:dyDescent="0.25">
      <c r="A109" s="94"/>
      <c r="B109"/>
      <c r="C109"/>
      <c r="D109"/>
      <c r="E109"/>
      <c r="F109"/>
      <c r="G109"/>
      <c r="H109"/>
    </row>
    <row r="110" spans="1:8" ht="15" x14ac:dyDescent="0.25">
      <c r="A110" s="162" t="s">
        <v>136</v>
      </c>
      <c r="B110"/>
      <c r="C110"/>
      <c r="D110"/>
      <c r="E110"/>
      <c r="F110"/>
      <c r="G110"/>
      <c r="H110"/>
    </row>
    <row r="111" spans="1:8" ht="15" x14ac:dyDescent="0.25">
      <c r="A111" s="94"/>
      <c r="B111"/>
      <c r="C111"/>
      <c r="D111"/>
      <c r="E111"/>
      <c r="F111"/>
      <c r="G111"/>
      <c r="H111"/>
    </row>
    <row r="112" spans="1:8" ht="15" x14ac:dyDescent="0.25">
      <c r="A112" s="94"/>
      <c r="B112"/>
      <c r="C112"/>
      <c r="D112"/>
      <c r="E112"/>
      <c r="F112"/>
      <c r="G112"/>
      <c r="H112"/>
    </row>
    <row r="113" spans="1:8" ht="15" x14ac:dyDescent="0.25">
      <c r="A113" s="94"/>
      <c r="B113"/>
      <c r="C113"/>
      <c r="D113"/>
      <c r="E113"/>
      <c r="F113"/>
      <c r="G113"/>
      <c r="H113"/>
    </row>
    <row r="114" spans="1:8" ht="15" x14ac:dyDescent="0.25">
      <c r="A114" s="94"/>
      <c r="B114"/>
      <c r="C114"/>
      <c r="D114"/>
      <c r="E114"/>
      <c r="F114"/>
      <c r="G114"/>
      <c r="H114"/>
    </row>
    <row r="115" spans="1:8" ht="15" x14ac:dyDescent="0.25">
      <c r="A115" s="93" t="s">
        <v>63</v>
      </c>
      <c r="B115"/>
      <c r="C115"/>
      <c r="D115"/>
      <c r="E115"/>
      <c r="F115"/>
      <c r="G115"/>
      <c r="H115"/>
    </row>
    <row r="116" spans="1:8" ht="15" x14ac:dyDescent="0.25">
      <c r="A116" s="94"/>
      <c r="B116"/>
      <c r="C116"/>
      <c r="D116"/>
      <c r="E116"/>
      <c r="F116"/>
      <c r="G116"/>
      <c r="H116"/>
    </row>
    <row r="117" spans="1:8" ht="15" x14ac:dyDescent="0.25">
      <c r="A117" s="94"/>
      <c r="B117"/>
      <c r="C117"/>
      <c r="D117"/>
      <c r="E117"/>
      <c r="F117"/>
      <c r="G117"/>
      <c r="H117"/>
    </row>
    <row r="118" spans="1:8" ht="15" customHeight="1" x14ac:dyDescent="0.25">
      <c r="A118" s="164" t="s">
        <v>152</v>
      </c>
      <c r="B118"/>
      <c r="C118"/>
      <c r="D118"/>
      <c r="E118"/>
      <c r="F118"/>
      <c r="G118"/>
      <c r="H118"/>
    </row>
    <row r="119" spans="1:8" ht="15" customHeight="1" x14ac:dyDescent="0.25">
      <c r="A119" s="164" t="s">
        <v>153</v>
      </c>
      <c r="B119"/>
      <c r="C119"/>
      <c r="D119"/>
      <c r="E119"/>
      <c r="F119"/>
      <c r="G119"/>
      <c r="H119"/>
    </row>
    <row r="120" spans="1:8" ht="15" x14ac:dyDescent="0.25">
      <c r="A120" s="94"/>
      <c r="B120"/>
      <c r="C120"/>
      <c r="D120"/>
      <c r="E120"/>
      <c r="F120"/>
      <c r="G120"/>
      <c r="H120"/>
    </row>
    <row r="121" spans="1:8" ht="15" x14ac:dyDescent="0.25">
      <c r="A121" s="164" t="s">
        <v>143</v>
      </c>
      <c r="B121"/>
      <c r="C121"/>
      <c r="D121"/>
      <c r="E121"/>
      <c r="F121"/>
      <c r="G121"/>
      <c r="H121"/>
    </row>
    <row r="122" spans="1:8" ht="15" x14ac:dyDescent="0.25">
      <c r="A122" s="94"/>
      <c r="B122"/>
      <c r="C122"/>
      <c r="D122"/>
      <c r="E122"/>
      <c r="F122"/>
      <c r="G122"/>
      <c r="H122"/>
    </row>
    <row r="123" spans="1:8" ht="15" x14ac:dyDescent="0.25">
      <c r="A123" s="164" t="s">
        <v>144</v>
      </c>
      <c r="B123"/>
      <c r="C123"/>
      <c r="D123"/>
      <c r="E123"/>
      <c r="F123"/>
      <c r="G123"/>
      <c r="H123"/>
    </row>
    <row r="124" spans="1:8" x14ac:dyDescent="0.2">
      <c r="A124" s="18" t="s">
        <v>37</v>
      </c>
    </row>
    <row r="125" spans="1:8" x14ac:dyDescent="0.2">
      <c r="A125" s="18" t="s">
        <v>38</v>
      </c>
    </row>
  </sheetData>
  <sheetProtection algorithmName="SHA-512" hashValue="EG2DbcgcRn5pes4TdwKzI3jtU6Gn84dGst9294MVimGM25yHvdMNpyQH+X5BP0Z/PMaQMb9PuQTjgz8HHQryjw==" saltValue="Ly7luN6lkdGFALVxWaLzdw==" spinCount="100000" sheet="1" objects="1" scenarios="1"/>
  <mergeCells count="23">
    <mergeCell ref="B1:C1"/>
    <mergeCell ref="A23:B23"/>
    <mergeCell ref="A20:B20"/>
    <mergeCell ref="B13:C13"/>
    <mergeCell ref="B35:C35"/>
    <mergeCell ref="B34:C34"/>
    <mergeCell ref="A26:B26"/>
    <mergeCell ref="B33:C33"/>
    <mergeCell ref="B2:G3"/>
    <mergeCell ref="F6:G6"/>
    <mergeCell ref="F7:G7"/>
    <mergeCell ref="E12:G12"/>
    <mergeCell ref="A30:B30"/>
    <mergeCell ref="F10:H10"/>
    <mergeCell ref="A49:I49"/>
    <mergeCell ref="A9:C9"/>
    <mergeCell ref="A10:C10"/>
    <mergeCell ref="F9:H9"/>
    <mergeCell ref="B12:C12"/>
    <mergeCell ref="A40:XFD40"/>
    <mergeCell ref="B36:C36"/>
    <mergeCell ref="E13:G13"/>
    <mergeCell ref="B37:C37"/>
  </mergeCells>
  <phoneticPr fontId="0" type="noConversion"/>
  <pageMargins left="0.75" right="0.75" top="1" bottom="1" header="0.49212598499999999" footer="0.49212598499999999"/>
  <pageSetup paperSize="9" scale="39" fitToHeight="2" orientation="portrait" horizontalDpi="4294967295" verticalDpi="4294967295" r:id="rId1"/>
  <headerFooter alignWithMargins="0">
    <oddFooter>&amp;L27.477 v006   micro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4"/>
  <dimension ref="B1:FJ49"/>
  <sheetViews>
    <sheetView showGridLines="0" tabSelected="1" topLeftCell="A2" zoomScaleNormal="100" zoomScaleSheetLayoutView="100" workbookViewId="0">
      <selection activeCell="L20" sqref="L20"/>
    </sheetView>
  </sheetViews>
  <sheetFormatPr defaultColWidth="7.85546875" defaultRowHeight="11.25" x14ac:dyDescent="0.2"/>
  <cols>
    <col min="1" max="1" width="2.28515625" style="21" customWidth="1"/>
    <col min="2" max="2" width="11.42578125" style="68" hidden="1" customWidth="1"/>
    <col min="3" max="3" width="7.85546875" style="21" customWidth="1"/>
    <col min="4" max="4" width="7.5703125" style="21" customWidth="1"/>
    <col min="5" max="5" width="44" style="21" customWidth="1"/>
    <col min="6" max="6" width="9.140625" style="21" customWidth="1"/>
    <col min="7" max="7" width="10.5703125" style="57" bestFit="1" customWidth="1"/>
    <col min="8" max="8" width="9.5703125" style="21" customWidth="1"/>
    <col min="9" max="9" width="11" style="21" customWidth="1"/>
    <col min="10" max="10" width="0.85546875" style="21" customWidth="1"/>
    <col min="11" max="11" width="9.140625" style="21" hidden="1" customWidth="1"/>
    <col min="12" max="12" width="27.140625" style="21" customWidth="1"/>
    <col min="13" max="13" width="0.85546875" style="21" customWidth="1"/>
    <col min="14" max="63" width="8.42578125" style="21" customWidth="1"/>
    <col min="64" max="64" width="1.42578125" style="21" customWidth="1"/>
    <col min="65" max="166" width="7.85546875" style="21" hidden="1" customWidth="1"/>
    <col min="167" max="167" width="7.85546875" style="21" customWidth="1"/>
    <col min="168" max="16384" width="7.85546875" style="21"/>
  </cols>
  <sheetData>
    <row r="1" spans="2:166" s="88" customFormat="1" hidden="1" x14ac:dyDescent="0.25">
      <c r="B1" s="119">
        <f ca="1">ROW(Nível)-ROW(LIorçamento)+1</f>
        <v>-16</v>
      </c>
      <c r="C1" s="83" t="str">
        <f>IF(D1="","",IF(ISNUMBER(VALUE(D1)),"Meta",IF(AND(F1&lt;&gt;"",I1&lt;&gt;""),"Serviço","Nível")))</f>
        <v/>
      </c>
      <c r="D1" s="139"/>
      <c r="E1" s="140"/>
      <c r="F1" s="138"/>
      <c r="G1" s="175" t="str">
        <f>IF(Nível="Serviço",SUMIF($N$15:$BK$15,"&lt;&gt;"&amp;"",N1:BK1),"")</f>
        <v/>
      </c>
      <c r="H1" s="176" t="str">
        <f>IF(AND(ISNUMBER(G1),G1&lt;&gt;0),I1/G1,IF(G1=0,0,""))</f>
        <v/>
      </c>
      <c r="I1" s="177"/>
      <c r="J1" s="86"/>
      <c r="K1" s="169" t="str">
        <f>IF(L1="","",VALUE(LEFT(L1,(FIND("-",L1,1))-1)))</f>
        <v/>
      </c>
      <c r="L1" s="168"/>
      <c r="M1" s="87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/>
      <c r="BF1" s="182"/>
      <c r="BG1" s="182"/>
      <c r="BH1" s="182"/>
      <c r="BI1" s="182"/>
      <c r="BJ1" s="182"/>
      <c r="BK1" s="182"/>
      <c r="BM1" s="120">
        <f t="shared" ref="BM1:CR1" si="0">IF(N$15="",0,IF(ISNUMBER(PreçoUnit),PreçoUnit*INDEX(Import.PLQ,$B1,BM$16),0))</f>
        <v>0</v>
      </c>
      <c r="BN1" s="120">
        <f t="shared" si="0"/>
        <v>0</v>
      </c>
      <c r="BO1" s="120">
        <f t="shared" si="0"/>
        <v>0</v>
      </c>
      <c r="BP1" s="120">
        <f t="shared" si="0"/>
        <v>0</v>
      </c>
      <c r="BQ1" s="120">
        <f t="shared" si="0"/>
        <v>0</v>
      </c>
      <c r="BR1" s="120">
        <f t="shared" si="0"/>
        <v>0</v>
      </c>
      <c r="BS1" s="120">
        <f t="shared" si="0"/>
        <v>0</v>
      </c>
      <c r="BT1" s="120">
        <f t="shared" si="0"/>
        <v>0</v>
      </c>
      <c r="BU1" s="120">
        <f t="shared" si="0"/>
        <v>0</v>
      </c>
      <c r="BV1" s="120">
        <f t="shared" si="0"/>
        <v>0</v>
      </c>
      <c r="BW1" s="120">
        <f t="shared" si="0"/>
        <v>0</v>
      </c>
      <c r="BX1" s="120">
        <f t="shared" si="0"/>
        <v>0</v>
      </c>
      <c r="BY1" s="120">
        <f t="shared" si="0"/>
        <v>0</v>
      </c>
      <c r="BZ1" s="120">
        <f t="shared" si="0"/>
        <v>0</v>
      </c>
      <c r="CA1" s="120">
        <f t="shared" si="0"/>
        <v>0</v>
      </c>
      <c r="CB1" s="120">
        <f t="shared" si="0"/>
        <v>0</v>
      </c>
      <c r="CC1" s="120">
        <f t="shared" si="0"/>
        <v>0</v>
      </c>
      <c r="CD1" s="120">
        <f t="shared" si="0"/>
        <v>0</v>
      </c>
      <c r="CE1" s="120">
        <f t="shared" si="0"/>
        <v>0</v>
      </c>
      <c r="CF1" s="120">
        <f t="shared" si="0"/>
        <v>0</v>
      </c>
      <c r="CG1" s="120">
        <f t="shared" si="0"/>
        <v>0</v>
      </c>
      <c r="CH1" s="120">
        <f t="shared" si="0"/>
        <v>0</v>
      </c>
      <c r="CI1" s="120">
        <f t="shared" si="0"/>
        <v>0</v>
      </c>
      <c r="CJ1" s="120">
        <f t="shared" si="0"/>
        <v>0</v>
      </c>
      <c r="CK1" s="120">
        <f t="shared" si="0"/>
        <v>0</v>
      </c>
      <c r="CL1" s="120">
        <f t="shared" si="0"/>
        <v>0</v>
      </c>
      <c r="CM1" s="120">
        <f t="shared" si="0"/>
        <v>0</v>
      </c>
      <c r="CN1" s="120">
        <f t="shared" si="0"/>
        <v>0</v>
      </c>
      <c r="CO1" s="120">
        <f t="shared" si="0"/>
        <v>0</v>
      </c>
      <c r="CP1" s="120">
        <f t="shared" si="0"/>
        <v>0</v>
      </c>
      <c r="CQ1" s="120">
        <f t="shared" si="0"/>
        <v>0</v>
      </c>
      <c r="CR1" s="120">
        <f t="shared" si="0"/>
        <v>0</v>
      </c>
      <c r="CS1" s="120">
        <f t="shared" ref="CS1:DJ1" si="1">IF(AT$15="",0,IF(ISNUMBER(PreçoUnit),PreçoUnit*INDEX(Import.PLQ,$B1,CS$16),0))</f>
        <v>0</v>
      </c>
      <c r="CT1" s="120">
        <f t="shared" si="1"/>
        <v>0</v>
      </c>
      <c r="CU1" s="120">
        <f t="shared" si="1"/>
        <v>0</v>
      </c>
      <c r="CV1" s="120">
        <f t="shared" si="1"/>
        <v>0</v>
      </c>
      <c r="CW1" s="120">
        <f t="shared" si="1"/>
        <v>0</v>
      </c>
      <c r="CX1" s="120">
        <f t="shared" si="1"/>
        <v>0</v>
      </c>
      <c r="CY1" s="120">
        <f t="shared" si="1"/>
        <v>0</v>
      </c>
      <c r="CZ1" s="120">
        <f t="shared" si="1"/>
        <v>0</v>
      </c>
      <c r="DA1" s="120">
        <f t="shared" si="1"/>
        <v>0</v>
      </c>
      <c r="DB1" s="120">
        <f t="shared" si="1"/>
        <v>0</v>
      </c>
      <c r="DC1" s="120">
        <f t="shared" si="1"/>
        <v>0</v>
      </c>
      <c r="DD1" s="120">
        <f t="shared" si="1"/>
        <v>0</v>
      </c>
      <c r="DE1" s="120">
        <f t="shared" si="1"/>
        <v>0</v>
      </c>
      <c r="DF1" s="120">
        <f t="shared" si="1"/>
        <v>0</v>
      </c>
      <c r="DG1" s="120">
        <f t="shared" si="1"/>
        <v>0</v>
      </c>
      <c r="DH1" s="120">
        <f t="shared" si="1"/>
        <v>0</v>
      </c>
      <c r="DI1" s="120">
        <f t="shared" si="1"/>
        <v>0</v>
      </c>
      <c r="DJ1" s="120">
        <f t="shared" si="1"/>
        <v>0</v>
      </c>
      <c r="DK1" s="127">
        <f>IF(D1="",0,IF(ISNUMBER(VALUE(D1)),VALUE(D1),LEFT(D1,FIND(".",D1)-1)))</f>
        <v>0</v>
      </c>
      <c r="DL1" s="127">
        <f ca="1">SUM(DM1:FJ1)</f>
        <v>0</v>
      </c>
      <c r="DM1" s="120">
        <f ca="1">IF($K1&lt;&gt;1,IF(ISNUMBER(INDEX(Import.PLE,$K1,DM$16)),IF(INDEX(Import.PLE,$K1,DM$16)&lt;=mediçao,BM1,0),0),PLE!$AA$28*BM1)</f>
        <v>0</v>
      </c>
      <c r="DN1" s="120">
        <f ca="1">IF($K1&lt;&gt;1,IF(ISNUMBER(INDEX(Import.PLE,$K1,DN$16)),IF(INDEX(Import.PLE,$K1,DN$16)&lt;=mediçao,BN1,0),0),PLE!$AA$28*BN1)</f>
        <v>0</v>
      </c>
      <c r="DO1" s="120">
        <f ca="1">IF($K1&lt;&gt;1,IF(ISNUMBER(INDEX(Import.PLE,$K1,DO$16)),IF(INDEX(Import.PLE,$K1,DO$16)&lt;=mediçao,BO1,0),0),PLE!$AA$28*BO1)</f>
        <v>0</v>
      </c>
      <c r="DP1" s="120">
        <f ca="1">IF($K1&lt;&gt;1,IF(ISNUMBER(INDEX(Import.PLE,$K1,DP$16)),IF(INDEX(Import.PLE,$K1,DP$16)&lt;=mediçao,BP1,0),0),PLE!$AA$28*BP1)</f>
        <v>0</v>
      </c>
      <c r="DQ1" s="120">
        <f ca="1">IF($K1&lt;&gt;1,IF(ISNUMBER(INDEX(Import.PLE,$K1,DQ$16)),IF(INDEX(Import.PLE,$K1,DQ$16)&lt;=mediçao,BQ1,0),0),PLE!$AA$28*BQ1)</f>
        <v>0</v>
      </c>
      <c r="DR1" s="120">
        <f ca="1">IF($K1&lt;&gt;1,IF(ISNUMBER(INDEX(Import.PLE,$K1,DR$16)),IF(INDEX(Import.PLE,$K1,DR$16)&lt;=mediçao,BR1,0),0),PLE!$AA$28*BR1)</f>
        <v>0</v>
      </c>
      <c r="DS1" s="120">
        <f ca="1">IF($K1&lt;&gt;1,IF(ISNUMBER(INDEX(Import.PLE,$K1,DS$16)),IF(INDEX(Import.PLE,$K1,DS$16)&lt;=mediçao,BS1,0),0),PLE!$AA$28*BS1)</f>
        <v>0</v>
      </c>
      <c r="DT1" s="120">
        <f ca="1">IF($K1&lt;&gt;1,IF(ISNUMBER(INDEX(Import.PLE,$K1,DT$16)),IF(INDEX(Import.PLE,$K1,DT$16)&lt;=mediçao,BT1,0),0),PLE!$AA$28*BT1)</f>
        <v>0</v>
      </c>
      <c r="DU1" s="120">
        <f ca="1">IF($K1&lt;&gt;1,IF(ISNUMBER(INDEX(Import.PLE,$K1,DU$16)),IF(INDEX(Import.PLE,$K1,DU$16)&lt;=mediçao,BU1,0),0),PLE!$AA$28*BU1)</f>
        <v>0</v>
      </c>
      <c r="DV1" s="120">
        <f ca="1">IF($K1&lt;&gt;1,IF(ISNUMBER(INDEX(Import.PLE,$K1,DV$16)),IF(INDEX(Import.PLE,$K1,DV$16)&lt;=mediçao,BV1,0),0),PLE!$AA$28*BV1)</f>
        <v>0</v>
      </c>
      <c r="DW1" s="120">
        <f ca="1">IF($K1&lt;&gt;1,IF(ISNUMBER(INDEX(Import.PLE,$K1,DW$16)),IF(INDEX(Import.PLE,$K1,DW$16)&lt;=mediçao,BW1,0),0),PLE!$AA$28*BW1)</f>
        <v>0</v>
      </c>
      <c r="DX1" s="120">
        <f ca="1">IF($K1&lt;&gt;1,IF(ISNUMBER(INDEX(Import.PLE,$K1,DX$16)),IF(INDEX(Import.PLE,$K1,DX$16)&lt;=mediçao,BX1,0),0),PLE!$AA$28*BX1)</f>
        <v>0</v>
      </c>
      <c r="DY1" s="120">
        <f ca="1">IF($K1&lt;&gt;1,IF(ISNUMBER(INDEX(Import.PLE,$K1,DY$16)),IF(INDEX(Import.PLE,$K1,DY$16)&lt;=mediçao,BY1,0),0),PLE!$AA$28*BY1)</f>
        <v>0</v>
      </c>
      <c r="DZ1" s="120">
        <f ca="1">IF($K1&lt;&gt;1,IF(ISNUMBER(INDEX(Import.PLE,$K1,DZ$16)),IF(INDEX(Import.PLE,$K1,DZ$16)&lt;=mediçao,BZ1,0),0),PLE!$AA$28*BZ1)</f>
        <v>0</v>
      </c>
      <c r="EA1" s="120">
        <f ca="1">IF($K1&lt;&gt;1,IF(ISNUMBER(INDEX(Import.PLE,$K1,EA$16)),IF(INDEX(Import.PLE,$K1,EA$16)&lt;=mediçao,CA1,0),0),PLE!$AA$28*CA1)</f>
        <v>0</v>
      </c>
      <c r="EB1" s="120">
        <f ca="1">IF($K1&lt;&gt;1,IF(ISNUMBER(INDEX(Import.PLE,$K1,EB$16)),IF(INDEX(Import.PLE,$K1,EB$16)&lt;=mediçao,CB1,0),0),PLE!$AA$28*CB1)</f>
        <v>0</v>
      </c>
      <c r="EC1" s="120">
        <f ca="1">IF($K1&lt;&gt;1,IF(ISNUMBER(INDEX(Import.PLE,$K1,EC$16)),IF(INDEX(Import.PLE,$K1,EC$16)&lt;=mediçao,CC1,0),0),PLE!$AA$28*CC1)</f>
        <v>0</v>
      </c>
      <c r="ED1" s="120">
        <f ca="1">IF($K1&lt;&gt;1,IF(ISNUMBER(INDEX(Import.PLE,$K1,ED$16)),IF(INDEX(Import.PLE,$K1,ED$16)&lt;=mediçao,CD1,0),0),PLE!$AA$28*CD1)</f>
        <v>0</v>
      </c>
      <c r="EE1" s="120">
        <f ca="1">IF($K1&lt;&gt;1,IF(ISNUMBER(INDEX(Import.PLE,$K1,EE$16)),IF(INDEX(Import.PLE,$K1,EE$16)&lt;=mediçao,CE1,0),0),PLE!$AA$28*CE1)</f>
        <v>0</v>
      </c>
      <c r="EF1" s="120">
        <f ca="1">IF($K1&lt;&gt;1,IF(ISNUMBER(INDEX(Import.PLE,$K1,EF$16)),IF(INDEX(Import.PLE,$K1,EF$16)&lt;=mediçao,CF1,0),0),PLE!$AA$28*CF1)</f>
        <v>0</v>
      </c>
      <c r="EG1" s="120">
        <f ca="1">IF($K1&lt;&gt;1,IF(ISNUMBER(INDEX(Import.PLE,$K1,EG$16)),IF(INDEX(Import.PLE,$K1,EG$16)&lt;=mediçao,CG1,0),0),PLE!$AA$28*CG1)</f>
        <v>0</v>
      </c>
      <c r="EH1" s="120">
        <f ca="1">IF($K1&lt;&gt;1,IF(ISNUMBER(INDEX(Import.PLE,$K1,EH$16)),IF(INDEX(Import.PLE,$K1,EH$16)&lt;=mediçao,CH1,0),0),PLE!$AA$28*CH1)</f>
        <v>0</v>
      </c>
      <c r="EI1" s="120">
        <f ca="1">IF($K1&lt;&gt;1,IF(ISNUMBER(INDEX(Import.PLE,$K1,EI$16)),IF(INDEX(Import.PLE,$K1,EI$16)&lt;=mediçao,CI1,0),0),PLE!$AA$28*CI1)</f>
        <v>0</v>
      </c>
      <c r="EJ1" s="120">
        <f ca="1">IF($K1&lt;&gt;1,IF(ISNUMBER(INDEX(Import.PLE,$K1,EJ$16)),IF(INDEX(Import.PLE,$K1,EJ$16)&lt;=mediçao,CJ1,0),0),PLE!$AA$28*CJ1)</f>
        <v>0</v>
      </c>
      <c r="EK1" s="120">
        <f ca="1">IF($K1&lt;&gt;1,IF(ISNUMBER(INDEX(Import.PLE,$K1,EK$16)),IF(INDEX(Import.PLE,$K1,EK$16)&lt;=mediçao,CK1,0),0),PLE!$AA$28*CK1)</f>
        <v>0</v>
      </c>
      <c r="EL1" s="120">
        <f ca="1">IF($K1&lt;&gt;1,IF(ISNUMBER(INDEX(Import.PLE,$K1,EL$16)),IF(INDEX(Import.PLE,$K1,EL$16)&lt;=mediçao,CL1,0),0),PLE!$AA$28*CL1)</f>
        <v>0</v>
      </c>
      <c r="EM1" s="120">
        <f ca="1">IF($K1&lt;&gt;1,IF(ISNUMBER(INDEX(Import.PLE,$K1,EM$16)),IF(INDEX(Import.PLE,$K1,EM$16)&lt;=mediçao,CM1,0),0),PLE!$AA$28*CM1)</f>
        <v>0</v>
      </c>
      <c r="EN1" s="120">
        <f ca="1">IF($K1&lt;&gt;1,IF(ISNUMBER(INDEX(Import.PLE,$K1,EN$16)),IF(INDEX(Import.PLE,$K1,EN$16)&lt;=mediçao,CN1,0),0),PLE!$AA$28*CN1)</f>
        <v>0</v>
      </c>
      <c r="EO1" s="120">
        <f ca="1">IF($K1&lt;&gt;1,IF(ISNUMBER(INDEX(Import.PLE,$K1,EO$16)),IF(INDEX(Import.PLE,$K1,EO$16)&lt;=mediçao,CO1,0),0),PLE!$AA$28*CO1)</f>
        <v>0</v>
      </c>
      <c r="EP1" s="120">
        <f ca="1">IF($K1&lt;&gt;1,IF(ISNUMBER(INDEX(Import.PLE,$K1,EP$16)),IF(INDEX(Import.PLE,$K1,EP$16)&lt;=mediçao,CP1,0),0),PLE!$AA$28*CP1)</f>
        <v>0</v>
      </c>
      <c r="EQ1" s="120">
        <f ca="1">IF($K1&lt;&gt;1,IF(ISNUMBER(INDEX(Import.PLE,$K1,EQ$16)),IF(INDEX(Import.PLE,$K1,EQ$16)&lt;=mediçao,CQ1,0),0),PLE!$AA$28*CQ1)</f>
        <v>0</v>
      </c>
      <c r="ER1" s="120">
        <f ca="1">IF($K1&lt;&gt;1,IF(ISNUMBER(INDEX(Import.PLE,$K1,ER$16)),IF(INDEX(Import.PLE,$K1,ER$16)&lt;=mediçao,CR1,0),0),PLE!$AA$28*CR1)</f>
        <v>0</v>
      </c>
      <c r="ES1" s="120">
        <f ca="1">IF($K1&lt;&gt;1,IF(ISNUMBER(INDEX(Import.PLE,$K1,ES$16)),IF(INDEX(Import.PLE,$K1,ES$16)&lt;=mediçao,CS1,0),0),PLE!$AA$28*CS1)</f>
        <v>0</v>
      </c>
      <c r="ET1" s="120">
        <f ca="1">IF($K1&lt;&gt;1,IF(ISNUMBER(INDEX(Import.PLE,$K1,ET$16)),IF(INDEX(Import.PLE,$K1,ET$16)&lt;=mediçao,CT1,0),0),PLE!$AA$28*CT1)</f>
        <v>0</v>
      </c>
      <c r="EU1" s="120">
        <f ca="1">IF($K1&lt;&gt;1,IF(ISNUMBER(INDEX(Import.PLE,$K1,EU$16)),IF(INDEX(Import.PLE,$K1,EU$16)&lt;=mediçao,CU1,0),0),PLE!$AA$28*CU1)</f>
        <v>0</v>
      </c>
      <c r="EV1" s="120">
        <f ca="1">IF($K1&lt;&gt;1,IF(ISNUMBER(INDEX(Import.PLE,$K1,EV$16)),IF(INDEX(Import.PLE,$K1,EV$16)&lt;=mediçao,CV1,0),0),PLE!$AA$28*CV1)</f>
        <v>0</v>
      </c>
      <c r="EW1" s="120">
        <f ca="1">IF($K1&lt;&gt;1,IF(ISNUMBER(INDEX(Import.PLE,$K1,EW$16)),IF(INDEX(Import.PLE,$K1,EW$16)&lt;=mediçao,CW1,0),0),PLE!$AA$28*CW1)</f>
        <v>0</v>
      </c>
      <c r="EX1" s="120">
        <f ca="1">IF($K1&lt;&gt;1,IF(ISNUMBER(INDEX(Import.PLE,$K1,EX$16)),IF(INDEX(Import.PLE,$K1,EX$16)&lt;=mediçao,CX1,0),0),PLE!$AA$28*CX1)</f>
        <v>0</v>
      </c>
      <c r="EY1" s="120">
        <f ca="1">IF($K1&lt;&gt;1,IF(ISNUMBER(INDEX(Import.PLE,$K1,EY$16)),IF(INDEX(Import.PLE,$K1,EY$16)&lt;=mediçao,CY1,0),0),PLE!$AA$28*CY1)</f>
        <v>0</v>
      </c>
      <c r="EZ1" s="120">
        <f ca="1">IF($K1&lt;&gt;1,IF(ISNUMBER(INDEX(Import.PLE,$K1,EZ$16)),IF(INDEX(Import.PLE,$K1,EZ$16)&lt;=mediçao,CZ1,0),0),PLE!$AA$28*CZ1)</f>
        <v>0</v>
      </c>
      <c r="FA1" s="120">
        <f ca="1">IF($K1&lt;&gt;1,IF(ISNUMBER(INDEX(Import.PLE,$K1,FA$16)),IF(INDEX(Import.PLE,$K1,FA$16)&lt;=mediçao,DA1,0),0),PLE!$AA$28*DA1)</f>
        <v>0</v>
      </c>
      <c r="FB1" s="120">
        <f ca="1">IF($K1&lt;&gt;1,IF(ISNUMBER(INDEX(Import.PLE,$K1,FB$16)),IF(INDEX(Import.PLE,$K1,FB$16)&lt;=mediçao,DB1,0),0),PLE!$AA$28*DB1)</f>
        <v>0</v>
      </c>
      <c r="FC1" s="120">
        <f ca="1">IF($K1&lt;&gt;1,IF(ISNUMBER(INDEX(Import.PLE,$K1,FC$16)),IF(INDEX(Import.PLE,$K1,FC$16)&lt;=mediçao,DC1,0),0),PLE!$AA$28*DC1)</f>
        <v>0</v>
      </c>
      <c r="FD1" s="120">
        <f ca="1">IF($K1&lt;&gt;1,IF(ISNUMBER(INDEX(Import.PLE,$K1,FD$16)),IF(INDEX(Import.PLE,$K1,FD$16)&lt;=mediçao,DD1,0),0),PLE!$AA$28*DD1)</f>
        <v>0</v>
      </c>
      <c r="FE1" s="120">
        <f ca="1">IF($K1&lt;&gt;1,IF(ISNUMBER(INDEX(Import.PLE,$K1,FE$16)),IF(INDEX(Import.PLE,$K1,FE$16)&lt;=mediçao,DE1,0),0),PLE!$AA$28*DE1)</f>
        <v>0</v>
      </c>
      <c r="FF1" s="120">
        <f ca="1">IF($K1&lt;&gt;1,IF(ISNUMBER(INDEX(Import.PLE,$K1,FF$16)),IF(INDEX(Import.PLE,$K1,FF$16)&lt;=mediçao,DF1,0),0),PLE!$AA$28*DF1)</f>
        <v>0</v>
      </c>
      <c r="FG1" s="120">
        <f ca="1">IF($K1&lt;&gt;1,IF(ISNUMBER(INDEX(Import.PLE,$K1,FG$16)),IF(INDEX(Import.PLE,$K1,FG$16)&lt;=mediçao,DG1,0),0),PLE!$AA$28*DG1)</f>
        <v>0</v>
      </c>
      <c r="FH1" s="120">
        <f ca="1">IF($K1&lt;&gt;1,IF(ISNUMBER(INDEX(Import.PLE,$K1,FH$16)),IF(INDEX(Import.PLE,$K1,FH$16)&lt;=mediçao,DH1,0),0),PLE!$AA$28*DH1)</f>
        <v>0</v>
      </c>
      <c r="FI1" s="120">
        <f ca="1">IF($K1&lt;&gt;1,IF(ISNUMBER(INDEX(Import.PLE,$K1,FI$16)),IF(INDEX(Import.PLE,$K1,FI$16)&lt;=mediçao,DI1,0),0),PLE!$AA$28*DI1)</f>
        <v>0</v>
      </c>
      <c r="FJ1" s="120">
        <f ca="1">IF($K1&lt;&gt;1,IF(ISNUMBER(INDEX(Import.PLE,$K1,FJ$16)),IF(INDEX(Import.PLE,$K1,FJ$16)&lt;=mediçao,DJ1,0),0),PLE!$AA$28*DJ1)</f>
        <v>0</v>
      </c>
    </row>
    <row r="2" spans="2:166" customFormat="1" ht="15" x14ac:dyDescent="0.25"/>
    <row r="3" spans="2:166" s="88" customFormat="1" ht="15" hidden="1" x14ac:dyDescent="0.25">
      <c r="B3" s="119">
        <f ca="1">ROW(Nível)-ROW(LIorçamento)+1</f>
        <v>-14</v>
      </c>
      <c r="C3" s="83" t="s">
        <v>2</v>
      </c>
      <c r="D3" s="121" t="s">
        <v>2</v>
      </c>
      <c r="E3" s="122" t="e">
        <f ca="1">INDEX(Eventos,K3,2)</f>
        <v>#VALUE!</v>
      </c>
      <c r="F3" s="123" t="s">
        <v>11</v>
      </c>
      <c r="G3" s="84" t="str">
        <f>IF(Nível="Serviço",SUMIF($N$15:$BK$15,"&lt;&gt;"&amp;"",N3:BK3),"")</f>
        <v/>
      </c>
      <c r="H3" s="85" t="str">
        <f>IF(AND(ISNUMBER(G3),G3&lt;&gt;0),I3/G3,IF(G3=0,0,""))</f>
        <v/>
      </c>
      <c r="I3" s="85">
        <f ca="1">SUM(N3:BK3)</f>
        <v>0</v>
      </c>
      <c r="J3" s="86"/>
      <c r="K3" s="123" t="e">
        <f ca="1">INDEX(Eventos,ROW(Nível)-ROW(LForçamento),1)</f>
        <v>#VALUE!</v>
      </c>
      <c r="L3" s="118" t="e">
        <f ca="1">IF(AND(NumEvento&lt;&gt;"",Nível="Serviço"),INDEX(Eventos,NumEvento,2),"")</f>
        <v>#VALUE!</v>
      </c>
      <c r="M3" s="87"/>
      <c r="N3" s="120">
        <f t="shared" ref="N3:BK3" ca="1" si="2">IF(N$15="",0,SUMIF(Import.numEventos,$K3,OFFSET(PreçoServiçoPorFrente,0,N$16-1,,1)))</f>
        <v>0</v>
      </c>
      <c r="O3" s="120">
        <f t="shared" ca="1" si="2"/>
        <v>0</v>
      </c>
      <c r="P3" s="120">
        <f t="shared" ca="1" si="2"/>
        <v>0</v>
      </c>
      <c r="Q3" s="120">
        <f t="shared" ca="1" si="2"/>
        <v>0</v>
      </c>
      <c r="R3" s="120">
        <f t="shared" ca="1" si="2"/>
        <v>0</v>
      </c>
      <c r="S3" s="120">
        <f t="shared" ca="1" si="2"/>
        <v>0</v>
      </c>
      <c r="T3" s="120">
        <f t="shared" ca="1" si="2"/>
        <v>0</v>
      </c>
      <c r="U3" s="120">
        <f t="shared" ca="1" si="2"/>
        <v>0</v>
      </c>
      <c r="V3" s="120">
        <f t="shared" ca="1" si="2"/>
        <v>0</v>
      </c>
      <c r="W3" s="120">
        <f t="shared" ca="1" si="2"/>
        <v>0</v>
      </c>
      <c r="X3" s="120">
        <f t="shared" ca="1" si="2"/>
        <v>0</v>
      </c>
      <c r="Y3" s="120">
        <f t="shared" ca="1" si="2"/>
        <v>0</v>
      </c>
      <c r="Z3" s="120">
        <f t="shared" ca="1" si="2"/>
        <v>0</v>
      </c>
      <c r="AA3" s="120">
        <f t="shared" ca="1" si="2"/>
        <v>0</v>
      </c>
      <c r="AB3" s="120">
        <f t="shared" ca="1" si="2"/>
        <v>0</v>
      </c>
      <c r="AC3" s="120">
        <f t="shared" ca="1" si="2"/>
        <v>0</v>
      </c>
      <c r="AD3" s="120">
        <f t="shared" ca="1" si="2"/>
        <v>0</v>
      </c>
      <c r="AE3" s="120">
        <f t="shared" ca="1" si="2"/>
        <v>0</v>
      </c>
      <c r="AF3" s="120">
        <f t="shared" ca="1" si="2"/>
        <v>0</v>
      </c>
      <c r="AG3" s="120">
        <f t="shared" ca="1" si="2"/>
        <v>0</v>
      </c>
      <c r="AH3" s="120">
        <f t="shared" ca="1" si="2"/>
        <v>0</v>
      </c>
      <c r="AI3" s="120">
        <f t="shared" ca="1" si="2"/>
        <v>0</v>
      </c>
      <c r="AJ3" s="120">
        <f t="shared" ca="1" si="2"/>
        <v>0</v>
      </c>
      <c r="AK3" s="120">
        <f t="shared" ca="1" si="2"/>
        <v>0</v>
      </c>
      <c r="AL3" s="120">
        <f t="shared" ca="1" si="2"/>
        <v>0</v>
      </c>
      <c r="AM3" s="120">
        <f t="shared" ca="1" si="2"/>
        <v>0</v>
      </c>
      <c r="AN3" s="120">
        <f t="shared" ca="1" si="2"/>
        <v>0</v>
      </c>
      <c r="AO3" s="120">
        <f t="shared" ca="1" si="2"/>
        <v>0</v>
      </c>
      <c r="AP3" s="120">
        <f t="shared" ca="1" si="2"/>
        <v>0</v>
      </c>
      <c r="AQ3" s="120">
        <f t="shared" ca="1" si="2"/>
        <v>0</v>
      </c>
      <c r="AR3" s="120">
        <f t="shared" ca="1" si="2"/>
        <v>0</v>
      </c>
      <c r="AS3" s="120">
        <f t="shared" ca="1" si="2"/>
        <v>0</v>
      </c>
      <c r="AT3" s="120">
        <f t="shared" ca="1" si="2"/>
        <v>0</v>
      </c>
      <c r="AU3" s="120">
        <f t="shared" ca="1" si="2"/>
        <v>0</v>
      </c>
      <c r="AV3" s="120">
        <f t="shared" ca="1" si="2"/>
        <v>0</v>
      </c>
      <c r="AW3" s="120">
        <f t="shared" ca="1" si="2"/>
        <v>0</v>
      </c>
      <c r="AX3" s="120">
        <f t="shared" ca="1" si="2"/>
        <v>0</v>
      </c>
      <c r="AY3" s="120">
        <f t="shared" ca="1" si="2"/>
        <v>0</v>
      </c>
      <c r="AZ3" s="120">
        <f t="shared" ca="1" si="2"/>
        <v>0</v>
      </c>
      <c r="BA3" s="120">
        <f t="shared" ca="1" si="2"/>
        <v>0</v>
      </c>
      <c r="BB3" s="120">
        <f t="shared" ca="1" si="2"/>
        <v>0</v>
      </c>
      <c r="BC3" s="120">
        <f t="shared" ca="1" si="2"/>
        <v>0</v>
      </c>
      <c r="BD3" s="120">
        <f t="shared" ca="1" si="2"/>
        <v>0</v>
      </c>
      <c r="BE3" s="120">
        <f t="shared" ca="1" si="2"/>
        <v>0</v>
      </c>
      <c r="BF3" s="120">
        <f t="shared" ca="1" si="2"/>
        <v>0</v>
      </c>
      <c r="BG3" s="120">
        <f t="shared" ca="1" si="2"/>
        <v>0</v>
      </c>
      <c r="BH3" s="120">
        <f t="shared" ca="1" si="2"/>
        <v>0</v>
      </c>
      <c r="BI3" s="120">
        <f t="shared" ca="1" si="2"/>
        <v>0</v>
      </c>
      <c r="BJ3" s="120">
        <f t="shared" ca="1" si="2"/>
        <v>0</v>
      </c>
      <c r="BK3" s="120">
        <f t="shared" ca="1" si="2"/>
        <v>0</v>
      </c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</row>
    <row r="4" spans="2:166" s="26" customFormat="1" ht="24.75" customHeight="1" x14ac:dyDescent="0.25">
      <c r="B4" s="69"/>
      <c r="E4" s="221" t="s">
        <v>49</v>
      </c>
      <c r="F4" s="221"/>
      <c r="G4" s="221"/>
      <c r="H4" s="221"/>
      <c r="I4" s="221"/>
      <c r="J4" s="221"/>
      <c r="K4" s="221"/>
      <c r="L4" s="221"/>
      <c r="R4" s="219" t="s">
        <v>47</v>
      </c>
      <c r="S4" s="220"/>
      <c r="X4" s="219" t="s">
        <v>47</v>
      </c>
      <c r="Y4" s="220"/>
      <c r="AD4" s="219" t="s">
        <v>47</v>
      </c>
      <c r="AE4" s="220"/>
      <c r="AJ4" s="219" t="s">
        <v>47</v>
      </c>
      <c r="AK4" s="220"/>
      <c r="AP4" s="219" t="s">
        <v>47</v>
      </c>
      <c r="AQ4" s="220"/>
      <c r="AV4" s="219" t="s">
        <v>47</v>
      </c>
      <c r="AW4" s="220"/>
      <c r="BB4" s="219" t="s">
        <v>47</v>
      </c>
      <c r="BC4" s="220"/>
      <c r="BH4" s="219" t="s">
        <v>47</v>
      </c>
      <c r="BI4" s="220"/>
    </row>
    <row r="5" spans="2:166" ht="8.25" customHeight="1" x14ac:dyDescent="0.2">
      <c r="E5" s="44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44"/>
      <c r="S5" s="19"/>
    </row>
    <row r="13" spans="2:166" ht="8.25" customHeight="1" x14ac:dyDescent="0.2"/>
    <row r="14" spans="2:166" ht="11.25" customHeight="1" x14ac:dyDescent="0.2">
      <c r="BM14" s="21" t="s">
        <v>102</v>
      </c>
      <c r="DM14" s="21" t="s">
        <v>103</v>
      </c>
    </row>
    <row r="15" spans="2:166" s="73" customFormat="1" ht="90.75" customHeight="1" x14ac:dyDescent="0.2">
      <c r="B15" s="70"/>
      <c r="C15" s="20" t="str">
        <f>"Valor Total do Orçamento: R$ "&amp;TEXT(SUMIF(C18:C40,"Serviço",I18:I40),"#.#0,00")</f>
        <v>Valor Total do Orçamento: R$ 797.972,21</v>
      </c>
      <c r="D15" s="30"/>
      <c r="E15" s="30"/>
      <c r="F15" s="19"/>
      <c r="G15" s="71"/>
      <c r="H15" s="67"/>
      <c r="I15" s="41"/>
      <c r="J15" s="21"/>
      <c r="K15" s="19"/>
      <c r="L15" s="63" t="s">
        <v>28</v>
      </c>
      <c r="M15" s="53"/>
      <c r="N15" s="161" t="s">
        <v>208</v>
      </c>
      <c r="O15" s="161" t="s">
        <v>209</v>
      </c>
      <c r="P15" s="161" t="s">
        <v>210</v>
      </c>
      <c r="Q15" s="161" t="s">
        <v>211</v>
      </c>
      <c r="R15" s="161" t="s">
        <v>212</v>
      </c>
      <c r="S15" s="161" t="s">
        <v>213</v>
      </c>
      <c r="T15" s="161" t="s">
        <v>214</v>
      </c>
      <c r="U15" s="161" t="s">
        <v>215</v>
      </c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160"/>
      <c r="AY15" s="160"/>
      <c r="AZ15" s="160"/>
      <c r="BA15" s="160"/>
      <c r="BB15" s="160"/>
      <c r="BC15" s="160"/>
      <c r="BD15" s="160"/>
      <c r="BE15" s="160"/>
      <c r="BF15" s="160"/>
      <c r="BG15" s="160"/>
      <c r="BH15" s="160"/>
      <c r="BI15" s="160"/>
      <c r="BJ15" s="160"/>
      <c r="BK15" s="160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2"/>
      <c r="CD15" s="72"/>
      <c r="CE15" s="72"/>
      <c r="CF15" s="72"/>
      <c r="CG15" s="72"/>
      <c r="CH15" s="72"/>
      <c r="CI15" s="72"/>
      <c r="CJ15" s="72"/>
      <c r="CK15" s="72"/>
      <c r="CL15" s="72"/>
      <c r="CM15" s="72"/>
      <c r="CN15" s="72"/>
      <c r="CO15" s="72"/>
      <c r="CP15" s="72"/>
      <c r="CQ15" s="72"/>
      <c r="CR15" s="72"/>
      <c r="CS15" s="72"/>
      <c r="CT15" s="72"/>
      <c r="CU15" s="72"/>
      <c r="CV15" s="72"/>
      <c r="CW15" s="72"/>
      <c r="CX15" s="72"/>
      <c r="CY15" s="72"/>
      <c r="CZ15" s="72"/>
      <c r="DA15" s="72"/>
      <c r="DB15" s="72"/>
      <c r="DC15" s="72"/>
      <c r="DD15" s="72"/>
      <c r="DE15" s="72"/>
      <c r="DF15" s="72"/>
      <c r="DG15" s="72"/>
      <c r="DH15" s="72"/>
      <c r="DI15" s="72"/>
      <c r="DJ15" s="72"/>
      <c r="DM15" s="72"/>
      <c r="DN15" s="72"/>
      <c r="DO15" s="72"/>
      <c r="DP15" s="72"/>
      <c r="DQ15" s="72"/>
      <c r="DR15" s="72"/>
      <c r="DS15" s="72"/>
      <c r="DT15" s="72"/>
      <c r="DU15" s="72"/>
      <c r="DV15" s="72"/>
      <c r="DW15" s="72"/>
      <c r="DX15" s="72"/>
      <c r="DY15" s="72"/>
      <c r="DZ15" s="72"/>
      <c r="EA15" s="72"/>
      <c r="EB15" s="72"/>
      <c r="EC15" s="72"/>
      <c r="ED15" s="72"/>
      <c r="EE15" s="72"/>
      <c r="EF15" s="72"/>
      <c r="EG15" s="72"/>
      <c r="EH15" s="72"/>
      <c r="EI15" s="72"/>
      <c r="EJ15" s="72"/>
      <c r="EK15" s="72"/>
      <c r="EL15" s="72"/>
      <c r="EM15" s="72"/>
      <c r="EN15" s="72"/>
      <c r="EO15" s="72"/>
      <c r="EP15" s="72"/>
      <c r="EQ15" s="72"/>
      <c r="ER15" s="72"/>
      <c r="ES15" s="72"/>
      <c r="ET15" s="72"/>
      <c r="EU15" s="72"/>
      <c r="EV15" s="72"/>
      <c r="EW15" s="72"/>
      <c r="EX15" s="72"/>
      <c r="EY15" s="72"/>
      <c r="EZ15" s="72"/>
      <c r="FA15" s="72"/>
      <c r="FB15" s="72"/>
      <c r="FC15" s="72"/>
      <c r="FD15" s="72"/>
      <c r="FE15" s="72"/>
      <c r="FF15" s="72"/>
      <c r="FG15" s="72"/>
      <c r="FH15" s="72"/>
      <c r="FI15" s="72"/>
      <c r="FJ15" s="72"/>
    </row>
    <row r="16" spans="2:166" s="36" customFormat="1" ht="35.25" customHeight="1" x14ac:dyDescent="0.2">
      <c r="B16" s="74" t="b">
        <f ca="1">COUNTA(OFFSET(Eventograma_e_Quantitativos!$K$17,1,0):OFFSET(Eventograma_e_Quantitativos!$K$37,-1,0))-COUNTBLANK(OFFSET(Eventograma_e_Quantitativos!$L$17,1,0):OFFSET(Eventograma_e_Quantitativos!$L$37,-1,0))&lt;COUNTIF(OFFSET(Eventograma_e_Quantitativos!$C$17,1,0):OFFSET(Eventograma_e_Quantitativos!$C$37,-1,0),"Serviço")</f>
        <v>0</v>
      </c>
      <c r="C16" s="75" t="s">
        <v>7</v>
      </c>
      <c r="D16" s="75" t="s">
        <v>1</v>
      </c>
      <c r="E16" s="76" t="s">
        <v>0</v>
      </c>
      <c r="F16" s="76" t="s">
        <v>3</v>
      </c>
      <c r="G16" s="77" t="s">
        <v>4</v>
      </c>
      <c r="H16" s="78" t="s">
        <v>25</v>
      </c>
      <c r="I16" s="78" t="s">
        <v>24</v>
      </c>
      <c r="J16" s="79"/>
      <c r="K16" s="76" t="s">
        <v>94</v>
      </c>
      <c r="L16" s="185" t="s">
        <v>154</v>
      </c>
      <c r="M16" s="79"/>
      <c r="N16" s="75">
        <v>1</v>
      </c>
      <c r="O16" s="75">
        <v>2</v>
      </c>
      <c r="P16" s="75">
        <v>3</v>
      </c>
      <c r="Q16" s="75">
        <v>4</v>
      </c>
      <c r="R16" s="75">
        <v>5</v>
      </c>
      <c r="S16" s="75">
        <v>6</v>
      </c>
      <c r="T16" s="75">
        <v>7</v>
      </c>
      <c r="U16" s="75">
        <v>8</v>
      </c>
      <c r="V16" s="75">
        <v>9</v>
      </c>
      <c r="W16" s="75">
        <v>10</v>
      </c>
      <c r="X16" s="75">
        <v>11</v>
      </c>
      <c r="Y16" s="75">
        <v>12</v>
      </c>
      <c r="Z16" s="75">
        <v>13</v>
      </c>
      <c r="AA16" s="75">
        <v>14</v>
      </c>
      <c r="AB16" s="75">
        <v>15</v>
      </c>
      <c r="AC16" s="75">
        <v>16</v>
      </c>
      <c r="AD16" s="75">
        <v>17</v>
      </c>
      <c r="AE16" s="75">
        <v>18</v>
      </c>
      <c r="AF16" s="75">
        <v>19</v>
      </c>
      <c r="AG16" s="75">
        <v>20</v>
      </c>
      <c r="AH16" s="75">
        <v>21</v>
      </c>
      <c r="AI16" s="75">
        <v>22</v>
      </c>
      <c r="AJ16" s="75">
        <v>23</v>
      </c>
      <c r="AK16" s="75">
        <v>24</v>
      </c>
      <c r="AL16" s="75">
        <v>25</v>
      </c>
      <c r="AM16" s="75">
        <v>26</v>
      </c>
      <c r="AN16" s="75">
        <v>27</v>
      </c>
      <c r="AO16" s="75">
        <v>28</v>
      </c>
      <c r="AP16" s="75">
        <v>29</v>
      </c>
      <c r="AQ16" s="75">
        <v>30</v>
      </c>
      <c r="AR16" s="75">
        <v>31</v>
      </c>
      <c r="AS16" s="75">
        <v>32</v>
      </c>
      <c r="AT16" s="75">
        <v>33</v>
      </c>
      <c r="AU16" s="75">
        <v>34</v>
      </c>
      <c r="AV16" s="75">
        <v>35</v>
      </c>
      <c r="AW16" s="75">
        <v>36</v>
      </c>
      <c r="AX16" s="75">
        <v>37</v>
      </c>
      <c r="AY16" s="75">
        <v>38</v>
      </c>
      <c r="AZ16" s="75">
        <v>39</v>
      </c>
      <c r="BA16" s="75">
        <v>40</v>
      </c>
      <c r="BB16" s="75">
        <v>41</v>
      </c>
      <c r="BC16" s="75">
        <v>42</v>
      </c>
      <c r="BD16" s="75">
        <v>43</v>
      </c>
      <c r="BE16" s="75">
        <v>44</v>
      </c>
      <c r="BF16" s="75">
        <v>45</v>
      </c>
      <c r="BG16" s="75">
        <v>46</v>
      </c>
      <c r="BH16" s="75">
        <v>47</v>
      </c>
      <c r="BI16" s="75">
        <v>48</v>
      </c>
      <c r="BJ16" s="75">
        <v>49</v>
      </c>
      <c r="BK16" s="75">
        <v>50</v>
      </c>
      <c r="BM16" s="75">
        <v>1</v>
      </c>
      <c r="BN16" s="75">
        <v>2</v>
      </c>
      <c r="BO16" s="75">
        <v>3</v>
      </c>
      <c r="BP16" s="75">
        <v>4</v>
      </c>
      <c r="BQ16" s="75">
        <v>5</v>
      </c>
      <c r="BR16" s="75">
        <v>6</v>
      </c>
      <c r="BS16" s="75">
        <v>7</v>
      </c>
      <c r="BT16" s="75">
        <v>8</v>
      </c>
      <c r="BU16" s="75">
        <v>9</v>
      </c>
      <c r="BV16" s="75">
        <v>10</v>
      </c>
      <c r="BW16" s="75">
        <v>11</v>
      </c>
      <c r="BX16" s="75">
        <v>12</v>
      </c>
      <c r="BY16" s="75">
        <v>13</v>
      </c>
      <c r="BZ16" s="75">
        <v>14</v>
      </c>
      <c r="CA16" s="75">
        <v>15</v>
      </c>
      <c r="CB16" s="75">
        <v>16</v>
      </c>
      <c r="CC16" s="75">
        <v>17</v>
      </c>
      <c r="CD16" s="75">
        <v>18</v>
      </c>
      <c r="CE16" s="75">
        <v>19</v>
      </c>
      <c r="CF16" s="75">
        <v>20</v>
      </c>
      <c r="CG16" s="75">
        <v>21</v>
      </c>
      <c r="CH16" s="75">
        <v>22</v>
      </c>
      <c r="CI16" s="75">
        <v>23</v>
      </c>
      <c r="CJ16" s="75">
        <v>24</v>
      </c>
      <c r="CK16" s="75">
        <v>25</v>
      </c>
      <c r="CL16" s="75">
        <v>26</v>
      </c>
      <c r="CM16" s="75">
        <v>27</v>
      </c>
      <c r="CN16" s="75">
        <v>28</v>
      </c>
      <c r="CO16" s="75">
        <v>29</v>
      </c>
      <c r="CP16" s="75">
        <v>30</v>
      </c>
      <c r="CQ16" s="75">
        <v>31</v>
      </c>
      <c r="CR16" s="75">
        <v>32</v>
      </c>
      <c r="CS16" s="75">
        <v>33</v>
      </c>
      <c r="CT16" s="75">
        <v>34</v>
      </c>
      <c r="CU16" s="75">
        <v>35</v>
      </c>
      <c r="CV16" s="75">
        <v>36</v>
      </c>
      <c r="CW16" s="75">
        <v>37</v>
      </c>
      <c r="CX16" s="75">
        <v>38</v>
      </c>
      <c r="CY16" s="75">
        <v>39</v>
      </c>
      <c r="CZ16" s="75">
        <v>40</v>
      </c>
      <c r="DA16" s="75">
        <v>41</v>
      </c>
      <c r="DB16" s="75">
        <v>42</v>
      </c>
      <c r="DC16" s="75">
        <v>43</v>
      </c>
      <c r="DD16" s="75">
        <v>44</v>
      </c>
      <c r="DE16" s="75">
        <v>45</v>
      </c>
      <c r="DF16" s="75">
        <v>46</v>
      </c>
      <c r="DG16" s="75">
        <v>47</v>
      </c>
      <c r="DH16" s="75">
        <v>48</v>
      </c>
      <c r="DI16" s="75">
        <v>49</v>
      </c>
      <c r="DJ16" s="75">
        <v>50</v>
      </c>
      <c r="DK16" s="36" t="s">
        <v>101</v>
      </c>
      <c r="DM16" s="75">
        <v>1</v>
      </c>
      <c r="DN16" s="75">
        <v>2</v>
      </c>
      <c r="DO16" s="75">
        <v>3</v>
      </c>
      <c r="DP16" s="75">
        <v>4</v>
      </c>
      <c r="DQ16" s="75">
        <v>5</v>
      </c>
      <c r="DR16" s="75">
        <v>6</v>
      </c>
      <c r="DS16" s="75">
        <v>7</v>
      </c>
      <c r="DT16" s="75">
        <v>8</v>
      </c>
      <c r="DU16" s="75">
        <v>9</v>
      </c>
      <c r="DV16" s="75">
        <v>10</v>
      </c>
      <c r="DW16" s="75">
        <v>11</v>
      </c>
      <c r="DX16" s="75">
        <v>12</v>
      </c>
      <c r="DY16" s="75">
        <v>13</v>
      </c>
      <c r="DZ16" s="75">
        <v>14</v>
      </c>
      <c r="EA16" s="75">
        <v>15</v>
      </c>
      <c r="EB16" s="75">
        <v>16</v>
      </c>
      <c r="EC16" s="75">
        <v>17</v>
      </c>
      <c r="ED16" s="75">
        <v>18</v>
      </c>
      <c r="EE16" s="75">
        <v>19</v>
      </c>
      <c r="EF16" s="75">
        <v>20</v>
      </c>
      <c r="EG16" s="75">
        <v>21</v>
      </c>
      <c r="EH16" s="75">
        <v>22</v>
      </c>
      <c r="EI16" s="75">
        <v>23</v>
      </c>
      <c r="EJ16" s="75">
        <v>24</v>
      </c>
      <c r="EK16" s="75">
        <v>25</v>
      </c>
      <c r="EL16" s="75">
        <v>26</v>
      </c>
      <c r="EM16" s="75">
        <v>27</v>
      </c>
      <c r="EN16" s="75">
        <v>28</v>
      </c>
      <c r="EO16" s="75">
        <v>29</v>
      </c>
      <c r="EP16" s="75">
        <v>30</v>
      </c>
      <c r="EQ16" s="75">
        <v>31</v>
      </c>
      <c r="ER16" s="75">
        <v>32</v>
      </c>
      <c r="ES16" s="75">
        <v>33</v>
      </c>
      <c r="ET16" s="75">
        <v>34</v>
      </c>
      <c r="EU16" s="75">
        <v>35</v>
      </c>
      <c r="EV16" s="75">
        <v>36</v>
      </c>
      <c r="EW16" s="75">
        <v>37</v>
      </c>
      <c r="EX16" s="75">
        <v>38</v>
      </c>
      <c r="EY16" s="75">
        <v>39</v>
      </c>
      <c r="EZ16" s="75">
        <v>40</v>
      </c>
      <c r="FA16" s="75">
        <v>41</v>
      </c>
      <c r="FB16" s="75">
        <v>42</v>
      </c>
      <c r="FC16" s="75">
        <v>43</v>
      </c>
      <c r="FD16" s="75">
        <v>44</v>
      </c>
      <c r="FE16" s="75">
        <v>45</v>
      </c>
      <c r="FF16" s="75">
        <v>46</v>
      </c>
      <c r="FG16" s="75">
        <v>47</v>
      </c>
      <c r="FH16" s="75">
        <v>48</v>
      </c>
      <c r="FI16" s="75">
        <v>49</v>
      </c>
      <c r="FJ16" s="75">
        <v>50</v>
      </c>
    </row>
    <row r="17" spans="2:166" s="36" customFormat="1" ht="4.5" customHeight="1" x14ac:dyDescent="0.2">
      <c r="B17" s="80"/>
      <c r="D17" s="35"/>
      <c r="E17" s="79"/>
      <c r="F17" s="34"/>
      <c r="G17" s="81"/>
      <c r="H17" s="82"/>
      <c r="I17" s="79"/>
      <c r="J17" s="79"/>
      <c r="K17" s="34"/>
      <c r="L17" s="79"/>
      <c r="M17" s="79"/>
    </row>
    <row r="18" spans="2:166" s="88" customFormat="1" x14ac:dyDescent="0.25">
      <c r="B18" s="119">
        <f t="shared" ref="B18:B40" ca="1" si="3">ROW(Nível)-ROW(LIorçamento)+1</f>
        <v>1</v>
      </c>
      <c r="C18" s="83" t="str">
        <f t="shared" ref="C18:C35" si="4">IF(D18="","",IF(ISNUMBER(VALUE(D18)),"Meta",IF(AND(F18&lt;&gt;"",I18&lt;&gt;""),"Serviço","Nível")))</f>
        <v>Nível</v>
      </c>
      <c r="D18" s="170" t="s">
        <v>161</v>
      </c>
      <c r="E18" s="171" t="s">
        <v>162</v>
      </c>
      <c r="F18" s="138"/>
      <c r="G18" s="175" t="str">
        <f t="shared" ref="G18:G39" si="5">IF(Nível="Serviço",SUMIF($N$15:$BK$15,"&lt;&gt;"&amp;"",N18:BK18),"")</f>
        <v/>
      </c>
      <c r="H18" s="176" t="str">
        <f t="shared" ref="H18:H35" si="6">IF(AND(ISNUMBER(G18),G18&lt;&gt;0),I18/G18,IF(G18=0,0,""))</f>
        <v/>
      </c>
      <c r="I18" s="177"/>
      <c r="J18" s="86"/>
      <c r="K18" s="169" t="str">
        <f>deactivatedados.form1</f>
        <v/>
      </c>
      <c r="L18" s="168"/>
      <c r="M18" s="87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182"/>
      <c r="AZ18" s="182"/>
      <c r="BA18" s="182"/>
      <c r="BB18" s="182"/>
      <c r="BC18" s="182"/>
      <c r="BD18" s="182"/>
      <c r="BE18" s="182"/>
      <c r="BF18" s="182"/>
      <c r="BG18" s="182"/>
      <c r="BH18" s="182"/>
      <c r="BI18" s="182"/>
      <c r="BJ18" s="182"/>
      <c r="BK18" s="182"/>
      <c r="BM18" s="120">
        <f t="shared" ref="BM18:BM36" si="7">IF(N$15="",0,IF(ISNUMBER(PreçoUnit),PreçoUnit*INDEX(Import.PLQ,$B18,BM$16),0))</f>
        <v>0</v>
      </c>
      <c r="BN18" s="120">
        <f t="shared" ref="BN18:BN36" si="8">IF(O$15="",0,IF(ISNUMBER(PreçoUnit),PreçoUnit*INDEX(Import.PLQ,$B18,BN$16),0))</f>
        <v>0</v>
      </c>
      <c r="BO18" s="120">
        <f t="shared" ref="BO18:BO36" si="9">IF(P$15="",0,IF(ISNUMBER(PreçoUnit),PreçoUnit*INDEX(Import.PLQ,$B18,BO$16),0))</f>
        <v>0</v>
      </c>
      <c r="BP18" s="120">
        <f t="shared" ref="BP18:BP36" si="10">IF(Q$15="",0,IF(ISNUMBER(PreçoUnit),PreçoUnit*INDEX(Import.PLQ,$B18,BP$16),0))</f>
        <v>0</v>
      </c>
      <c r="BQ18" s="120">
        <f t="shared" ref="BQ18:BQ36" si="11">IF(R$15="",0,IF(ISNUMBER(PreçoUnit),PreçoUnit*INDEX(Import.PLQ,$B18,BQ$16),0))</f>
        <v>0</v>
      </c>
      <c r="BR18" s="120">
        <f t="shared" ref="BR18:BR36" si="12">IF(S$15="",0,IF(ISNUMBER(PreçoUnit),PreçoUnit*INDEX(Import.PLQ,$B18,BR$16),0))</f>
        <v>0</v>
      </c>
      <c r="BS18" s="120">
        <f t="shared" ref="BS18:BS36" si="13">IF(T$15="",0,IF(ISNUMBER(PreçoUnit),PreçoUnit*INDEX(Import.PLQ,$B18,BS$16),0))</f>
        <v>0</v>
      </c>
      <c r="BT18" s="120">
        <f t="shared" ref="BT18:BT36" si="14">IF(U$15="",0,IF(ISNUMBER(PreçoUnit),PreçoUnit*INDEX(Import.PLQ,$B18,BT$16),0))</f>
        <v>0</v>
      </c>
      <c r="BU18" s="120">
        <f t="shared" ref="BU18:BU36" si="15">IF(V$15="",0,IF(ISNUMBER(PreçoUnit),PreçoUnit*INDEX(Import.PLQ,$B18,BU$16),0))</f>
        <v>0</v>
      </c>
      <c r="BV18" s="120">
        <f t="shared" ref="BV18:BV36" si="16">IF(W$15="",0,IF(ISNUMBER(PreçoUnit),PreçoUnit*INDEX(Import.PLQ,$B18,BV$16),0))</f>
        <v>0</v>
      </c>
      <c r="BW18" s="120">
        <f t="shared" ref="BW18:BW36" si="17">IF(X$15="",0,IF(ISNUMBER(PreçoUnit),PreçoUnit*INDEX(Import.PLQ,$B18,BW$16),0))</f>
        <v>0</v>
      </c>
      <c r="BX18" s="120">
        <f t="shared" ref="BX18:BX36" si="18">IF(Y$15="",0,IF(ISNUMBER(PreçoUnit),PreçoUnit*INDEX(Import.PLQ,$B18,BX$16),0))</f>
        <v>0</v>
      </c>
      <c r="BY18" s="120">
        <f t="shared" ref="BY18:BY36" si="19">IF(Z$15="",0,IF(ISNUMBER(PreçoUnit),PreçoUnit*INDEX(Import.PLQ,$B18,BY$16),0))</f>
        <v>0</v>
      </c>
      <c r="BZ18" s="120">
        <f t="shared" ref="BZ18:BZ36" si="20">IF(AA$15="",0,IF(ISNUMBER(PreçoUnit),PreçoUnit*INDEX(Import.PLQ,$B18,BZ$16),0))</f>
        <v>0</v>
      </c>
      <c r="CA18" s="120">
        <f t="shared" ref="CA18:CA36" si="21">IF(AB$15="",0,IF(ISNUMBER(PreçoUnit),PreçoUnit*INDEX(Import.PLQ,$B18,CA$16),0))</f>
        <v>0</v>
      </c>
      <c r="CB18" s="120">
        <f t="shared" ref="CB18:CB36" si="22">IF(AC$15="",0,IF(ISNUMBER(PreçoUnit),PreçoUnit*INDEX(Import.PLQ,$B18,CB$16),0))</f>
        <v>0</v>
      </c>
      <c r="CC18" s="120">
        <f t="shared" ref="CC18:CC36" si="23">IF(AD$15="",0,IF(ISNUMBER(PreçoUnit),PreçoUnit*INDEX(Import.PLQ,$B18,CC$16),0))</f>
        <v>0</v>
      </c>
      <c r="CD18" s="120">
        <f t="shared" ref="CD18:CD36" si="24">IF(AE$15="",0,IF(ISNUMBER(PreçoUnit),PreçoUnit*INDEX(Import.PLQ,$B18,CD$16),0))</f>
        <v>0</v>
      </c>
      <c r="CE18" s="120">
        <f t="shared" ref="CE18:CE36" si="25">IF(AF$15="",0,IF(ISNUMBER(PreçoUnit),PreçoUnit*INDEX(Import.PLQ,$B18,CE$16),0))</f>
        <v>0</v>
      </c>
      <c r="CF18" s="120">
        <f t="shared" ref="CF18:CF36" si="26">IF(AG$15="",0,IF(ISNUMBER(PreçoUnit),PreçoUnit*INDEX(Import.PLQ,$B18,CF$16),0))</f>
        <v>0</v>
      </c>
      <c r="CG18" s="120">
        <f t="shared" ref="CG18:CG36" si="27">IF(AH$15="",0,IF(ISNUMBER(PreçoUnit),PreçoUnit*INDEX(Import.PLQ,$B18,CG$16),0))</f>
        <v>0</v>
      </c>
      <c r="CH18" s="120">
        <f t="shared" ref="CH18:CH36" si="28">IF(AI$15="",0,IF(ISNUMBER(PreçoUnit),PreçoUnit*INDEX(Import.PLQ,$B18,CH$16),0))</f>
        <v>0</v>
      </c>
      <c r="CI18" s="120">
        <f t="shared" ref="CI18:CI36" si="29">IF(AJ$15="",0,IF(ISNUMBER(PreçoUnit),PreçoUnit*INDEX(Import.PLQ,$B18,CI$16),0))</f>
        <v>0</v>
      </c>
      <c r="CJ18" s="120">
        <f t="shared" ref="CJ18:CJ36" si="30">IF(AK$15="",0,IF(ISNUMBER(PreçoUnit),PreçoUnit*INDEX(Import.PLQ,$B18,CJ$16),0))</f>
        <v>0</v>
      </c>
      <c r="CK18" s="120">
        <f t="shared" ref="CK18:CK36" si="31">IF(AL$15="",0,IF(ISNUMBER(PreçoUnit),PreçoUnit*INDEX(Import.PLQ,$B18,CK$16),0))</f>
        <v>0</v>
      </c>
      <c r="CL18" s="120">
        <f t="shared" ref="CL18:CL36" si="32">IF(AM$15="",0,IF(ISNUMBER(PreçoUnit),PreçoUnit*INDEX(Import.PLQ,$B18,CL$16),0))</f>
        <v>0</v>
      </c>
      <c r="CM18" s="120">
        <f t="shared" ref="CM18:CM36" si="33">IF(AN$15="",0,IF(ISNUMBER(PreçoUnit),PreçoUnit*INDEX(Import.PLQ,$B18,CM$16),0))</f>
        <v>0</v>
      </c>
      <c r="CN18" s="120">
        <f t="shared" ref="CN18:CN36" si="34">IF(AO$15="",0,IF(ISNUMBER(PreçoUnit),PreçoUnit*INDEX(Import.PLQ,$B18,CN$16),0))</f>
        <v>0</v>
      </c>
      <c r="CO18" s="120">
        <f t="shared" ref="CO18:CO36" si="35">IF(AP$15="",0,IF(ISNUMBER(PreçoUnit),PreçoUnit*INDEX(Import.PLQ,$B18,CO$16),0))</f>
        <v>0</v>
      </c>
      <c r="CP18" s="120">
        <f t="shared" ref="CP18:CP36" si="36">IF(AQ$15="",0,IF(ISNUMBER(PreçoUnit),PreçoUnit*INDEX(Import.PLQ,$B18,CP$16),0))</f>
        <v>0</v>
      </c>
      <c r="CQ18" s="120">
        <f t="shared" ref="CQ18:CQ36" si="37">IF(AR$15="",0,IF(ISNUMBER(PreçoUnit),PreçoUnit*INDEX(Import.PLQ,$B18,CQ$16),0))</f>
        <v>0</v>
      </c>
      <c r="CR18" s="120">
        <f t="shared" ref="CR18:CR36" si="38">IF(AS$15="",0,IF(ISNUMBER(PreçoUnit),PreçoUnit*INDEX(Import.PLQ,$B18,CR$16),0))</f>
        <v>0</v>
      </c>
      <c r="CS18" s="120">
        <f t="shared" ref="CS18:CS36" si="39">IF(AT$15="",0,IF(ISNUMBER(PreçoUnit),PreçoUnit*INDEX(Import.PLQ,$B18,CS$16),0))</f>
        <v>0</v>
      </c>
      <c r="CT18" s="120">
        <f t="shared" ref="CT18:CT36" si="40">IF(AU$15="",0,IF(ISNUMBER(PreçoUnit),PreçoUnit*INDEX(Import.PLQ,$B18,CT$16),0))</f>
        <v>0</v>
      </c>
      <c r="CU18" s="120">
        <f t="shared" ref="CU18:CU36" si="41">IF(AV$15="",0,IF(ISNUMBER(PreçoUnit),PreçoUnit*INDEX(Import.PLQ,$B18,CU$16),0))</f>
        <v>0</v>
      </c>
      <c r="CV18" s="120">
        <f t="shared" ref="CV18:CV36" si="42">IF(AW$15="",0,IF(ISNUMBER(PreçoUnit),PreçoUnit*INDEX(Import.PLQ,$B18,CV$16),0))</f>
        <v>0</v>
      </c>
      <c r="CW18" s="120">
        <f t="shared" ref="CW18:CW36" si="43">IF(AX$15="",0,IF(ISNUMBER(PreçoUnit),PreçoUnit*INDEX(Import.PLQ,$B18,CW$16),0))</f>
        <v>0</v>
      </c>
      <c r="CX18" s="120">
        <f t="shared" ref="CX18:CX36" si="44">IF(AY$15="",0,IF(ISNUMBER(PreçoUnit),PreçoUnit*INDEX(Import.PLQ,$B18,CX$16),0))</f>
        <v>0</v>
      </c>
      <c r="CY18" s="120">
        <f t="shared" ref="CY18:CY36" si="45">IF(AZ$15="",0,IF(ISNUMBER(PreçoUnit),PreçoUnit*INDEX(Import.PLQ,$B18,CY$16),0))</f>
        <v>0</v>
      </c>
      <c r="CZ18" s="120">
        <f t="shared" ref="CZ18:CZ36" si="46">IF(BA$15="",0,IF(ISNUMBER(PreçoUnit),PreçoUnit*INDEX(Import.PLQ,$B18,CZ$16),0))</f>
        <v>0</v>
      </c>
      <c r="DA18" s="120">
        <f t="shared" ref="DA18:DA36" si="47">IF(BB$15="",0,IF(ISNUMBER(PreçoUnit),PreçoUnit*INDEX(Import.PLQ,$B18,DA$16),0))</f>
        <v>0</v>
      </c>
      <c r="DB18" s="120">
        <f t="shared" ref="DB18:DB36" si="48">IF(BC$15="",0,IF(ISNUMBER(PreçoUnit),PreçoUnit*INDEX(Import.PLQ,$B18,DB$16),0))</f>
        <v>0</v>
      </c>
      <c r="DC18" s="120">
        <f t="shared" ref="DC18:DC36" si="49">IF(BD$15="",0,IF(ISNUMBER(PreçoUnit),PreçoUnit*INDEX(Import.PLQ,$B18,DC$16),0))</f>
        <v>0</v>
      </c>
      <c r="DD18" s="120">
        <f t="shared" ref="DD18:DD36" si="50">IF(BE$15="",0,IF(ISNUMBER(PreçoUnit),PreçoUnit*INDEX(Import.PLQ,$B18,DD$16),0))</f>
        <v>0</v>
      </c>
      <c r="DE18" s="120">
        <f t="shared" ref="DE18:DE36" si="51">IF(BF$15="",0,IF(ISNUMBER(PreçoUnit),PreçoUnit*INDEX(Import.PLQ,$B18,DE$16),0))</f>
        <v>0</v>
      </c>
      <c r="DF18" s="120">
        <f t="shared" ref="DF18:DF36" si="52">IF(BG$15="",0,IF(ISNUMBER(PreçoUnit),PreçoUnit*INDEX(Import.PLQ,$B18,DF$16),0))</f>
        <v>0</v>
      </c>
      <c r="DG18" s="120">
        <f t="shared" ref="DG18:DG36" si="53">IF(BH$15="",0,IF(ISNUMBER(PreçoUnit),PreçoUnit*INDEX(Import.PLQ,$B18,DG$16),0))</f>
        <v>0</v>
      </c>
      <c r="DH18" s="120">
        <f t="shared" ref="DH18:DH36" si="54">IF(BI$15="",0,IF(ISNUMBER(PreçoUnit),PreçoUnit*INDEX(Import.PLQ,$B18,DH$16),0))</f>
        <v>0</v>
      </c>
      <c r="DI18" s="120">
        <f t="shared" ref="DI18:DI36" si="55">IF(BJ$15="",0,IF(ISNUMBER(PreçoUnit),PreçoUnit*INDEX(Import.PLQ,$B18,DI$16),0))</f>
        <v>0</v>
      </c>
      <c r="DJ18" s="120">
        <f t="shared" ref="DJ18:DJ36" si="56">IF(BK$15="",0,IF(ISNUMBER(PreçoUnit),PreçoUnit*INDEX(Import.PLQ,$B18,DJ$16),0))</f>
        <v>0</v>
      </c>
      <c r="DK18" s="127" t="e">
        <f t="shared" ref="DK18:DK35" si="57">IF(D18="",0,IF(ISNUMBER(VALUE(D18)),VALUE(D18),LEFT(D18,FIND(".",D18)-1)))</f>
        <v>#VALUE!</v>
      </c>
      <c r="DL18" s="127">
        <f t="shared" ref="DL18:DL35" ca="1" si="58">SUM(DM18:FJ18)</f>
        <v>0</v>
      </c>
      <c r="DM18" s="120">
        <f ca="1">IF($K18&lt;&gt;1,IF(ISNUMBER(INDEX(Import.PLE,$K18,DM$16)),IF(INDEX(Import.PLE,$K18,DM$16)&lt;=mediçao,BM18,0),0),PLE!$AA$28*BM18)</f>
        <v>0</v>
      </c>
      <c r="DN18" s="120">
        <f ca="1">IF($K18&lt;&gt;1,IF(ISNUMBER(INDEX(Import.PLE,$K18,DN$16)),IF(INDEX(Import.PLE,$K18,DN$16)&lt;=mediçao,BN18,0),0),PLE!$AA$28*BN18)</f>
        <v>0</v>
      </c>
      <c r="DO18" s="120">
        <f ca="1">IF($K18&lt;&gt;1,IF(ISNUMBER(INDEX(Import.PLE,$K18,DO$16)),IF(INDEX(Import.PLE,$K18,DO$16)&lt;=mediçao,BO18,0),0),PLE!$AA$28*BO18)</f>
        <v>0</v>
      </c>
      <c r="DP18" s="120">
        <f ca="1">IF($K18&lt;&gt;1,IF(ISNUMBER(INDEX(Import.PLE,$K18,DP$16)),IF(INDEX(Import.PLE,$K18,DP$16)&lt;=mediçao,BP18,0),0),PLE!$AA$28*BP18)</f>
        <v>0</v>
      </c>
      <c r="DQ18" s="120">
        <f ca="1">IF($K18&lt;&gt;1,IF(ISNUMBER(INDEX(Import.PLE,$K18,DQ$16)),IF(INDEX(Import.PLE,$K18,DQ$16)&lt;=mediçao,BQ18,0),0),PLE!$AA$28*BQ18)</f>
        <v>0</v>
      </c>
      <c r="DR18" s="120">
        <f ca="1">IF($K18&lt;&gt;1,IF(ISNUMBER(INDEX(Import.PLE,$K18,DR$16)),IF(INDEX(Import.PLE,$K18,DR$16)&lt;=mediçao,BR18,0),0),PLE!$AA$28*BR18)</f>
        <v>0</v>
      </c>
      <c r="DS18" s="120">
        <f ca="1">IF($K18&lt;&gt;1,IF(ISNUMBER(INDEX(Import.PLE,$K18,DS$16)),IF(INDEX(Import.PLE,$K18,DS$16)&lt;=mediçao,BS18,0),0),PLE!$AA$28*BS18)</f>
        <v>0</v>
      </c>
      <c r="DT18" s="120">
        <f ca="1">IF($K18&lt;&gt;1,IF(ISNUMBER(INDEX(Import.PLE,$K18,DT$16)),IF(INDEX(Import.PLE,$K18,DT$16)&lt;=mediçao,BT18,0),0),PLE!$AA$28*BT18)</f>
        <v>0</v>
      </c>
      <c r="DU18" s="120">
        <f ca="1">IF($K18&lt;&gt;1,IF(ISNUMBER(INDEX(Import.PLE,$K18,DU$16)),IF(INDEX(Import.PLE,$K18,DU$16)&lt;=mediçao,BU18,0),0),PLE!$AA$28*BU18)</f>
        <v>0</v>
      </c>
      <c r="DV18" s="120">
        <f ca="1">IF($K18&lt;&gt;1,IF(ISNUMBER(INDEX(Import.PLE,$K18,DV$16)),IF(INDEX(Import.PLE,$K18,DV$16)&lt;=mediçao,BV18,0),0),PLE!$AA$28*BV18)</f>
        <v>0</v>
      </c>
      <c r="DW18" s="120">
        <f ca="1">IF($K18&lt;&gt;1,IF(ISNUMBER(INDEX(Import.PLE,$K18,DW$16)),IF(INDEX(Import.PLE,$K18,DW$16)&lt;=mediçao,BW18,0),0),PLE!$AA$28*BW18)</f>
        <v>0</v>
      </c>
      <c r="DX18" s="120">
        <f ca="1">IF($K18&lt;&gt;1,IF(ISNUMBER(INDEX(Import.PLE,$K18,DX$16)),IF(INDEX(Import.PLE,$K18,DX$16)&lt;=mediçao,BX18,0),0),PLE!$AA$28*BX18)</f>
        <v>0</v>
      </c>
      <c r="DY18" s="120">
        <f ca="1">IF($K18&lt;&gt;1,IF(ISNUMBER(INDEX(Import.PLE,$K18,DY$16)),IF(INDEX(Import.PLE,$K18,DY$16)&lt;=mediçao,BY18,0),0),PLE!$AA$28*BY18)</f>
        <v>0</v>
      </c>
      <c r="DZ18" s="120">
        <f ca="1">IF($K18&lt;&gt;1,IF(ISNUMBER(INDEX(Import.PLE,$K18,DZ$16)),IF(INDEX(Import.PLE,$K18,DZ$16)&lt;=mediçao,BZ18,0),0),PLE!$AA$28*BZ18)</f>
        <v>0</v>
      </c>
      <c r="EA18" s="120">
        <f ca="1">IF($K18&lt;&gt;1,IF(ISNUMBER(INDEX(Import.PLE,$K18,EA$16)),IF(INDEX(Import.PLE,$K18,EA$16)&lt;=mediçao,CA18,0),0),PLE!$AA$28*CA18)</f>
        <v>0</v>
      </c>
      <c r="EB18" s="120">
        <f ca="1">IF($K18&lt;&gt;1,IF(ISNUMBER(INDEX(Import.PLE,$K18,EB$16)),IF(INDEX(Import.PLE,$K18,EB$16)&lt;=mediçao,CB18,0),0),PLE!$AA$28*CB18)</f>
        <v>0</v>
      </c>
      <c r="EC18" s="120">
        <f ca="1">IF($K18&lt;&gt;1,IF(ISNUMBER(INDEX(Import.PLE,$K18,EC$16)),IF(INDEX(Import.PLE,$K18,EC$16)&lt;=mediçao,CC18,0),0),PLE!$AA$28*CC18)</f>
        <v>0</v>
      </c>
      <c r="ED18" s="120">
        <f ca="1">IF($K18&lt;&gt;1,IF(ISNUMBER(INDEX(Import.PLE,$K18,ED$16)),IF(INDEX(Import.PLE,$K18,ED$16)&lt;=mediçao,CD18,0),0),PLE!$AA$28*CD18)</f>
        <v>0</v>
      </c>
      <c r="EE18" s="120">
        <f ca="1">IF($K18&lt;&gt;1,IF(ISNUMBER(INDEX(Import.PLE,$K18,EE$16)),IF(INDEX(Import.PLE,$K18,EE$16)&lt;=mediçao,CE18,0),0),PLE!$AA$28*CE18)</f>
        <v>0</v>
      </c>
      <c r="EF18" s="120">
        <f ca="1">IF($K18&lt;&gt;1,IF(ISNUMBER(INDEX(Import.PLE,$K18,EF$16)),IF(INDEX(Import.PLE,$K18,EF$16)&lt;=mediçao,CF18,0),0),PLE!$AA$28*CF18)</f>
        <v>0</v>
      </c>
      <c r="EG18" s="120">
        <f ca="1">IF($K18&lt;&gt;1,IF(ISNUMBER(INDEX(Import.PLE,$K18,EG$16)),IF(INDEX(Import.PLE,$K18,EG$16)&lt;=mediçao,CG18,0),0),PLE!$AA$28*CG18)</f>
        <v>0</v>
      </c>
      <c r="EH18" s="120">
        <f ca="1">IF($K18&lt;&gt;1,IF(ISNUMBER(INDEX(Import.PLE,$K18,EH$16)),IF(INDEX(Import.PLE,$K18,EH$16)&lt;=mediçao,CH18,0),0),PLE!$AA$28*CH18)</f>
        <v>0</v>
      </c>
      <c r="EI18" s="120">
        <f ca="1">IF($K18&lt;&gt;1,IF(ISNUMBER(INDEX(Import.PLE,$K18,EI$16)),IF(INDEX(Import.PLE,$K18,EI$16)&lt;=mediçao,CI18,0),0),PLE!$AA$28*CI18)</f>
        <v>0</v>
      </c>
      <c r="EJ18" s="120">
        <f ca="1">IF($K18&lt;&gt;1,IF(ISNUMBER(INDEX(Import.PLE,$K18,EJ$16)),IF(INDEX(Import.PLE,$K18,EJ$16)&lt;=mediçao,CJ18,0),0),PLE!$AA$28*CJ18)</f>
        <v>0</v>
      </c>
      <c r="EK18" s="120">
        <f ca="1">IF($K18&lt;&gt;1,IF(ISNUMBER(INDEX(Import.PLE,$K18,EK$16)),IF(INDEX(Import.PLE,$K18,EK$16)&lt;=mediçao,CK18,0),0),PLE!$AA$28*CK18)</f>
        <v>0</v>
      </c>
      <c r="EL18" s="120">
        <f ca="1">IF($K18&lt;&gt;1,IF(ISNUMBER(INDEX(Import.PLE,$K18,EL$16)),IF(INDEX(Import.PLE,$K18,EL$16)&lt;=mediçao,CL18,0),0),PLE!$AA$28*CL18)</f>
        <v>0</v>
      </c>
      <c r="EM18" s="120">
        <f ca="1">IF($K18&lt;&gt;1,IF(ISNUMBER(INDEX(Import.PLE,$K18,EM$16)),IF(INDEX(Import.PLE,$K18,EM$16)&lt;=mediçao,CM18,0),0),PLE!$AA$28*CM18)</f>
        <v>0</v>
      </c>
      <c r="EN18" s="120">
        <f ca="1">IF($K18&lt;&gt;1,IF(ISNUMBER(INDEX(Import.PLE,$K18,EN$16)),IF(INDEX(Import.PLE,$K18,EN$16)&lt;=mediçao,CN18,0),0),PLE!$AA$28*CN18)</f>
        <v>0</v>
      </c>
      <c r="EO18" s="120">
        <f ca="1">IF($K18&lt;&gt;1,IF(ISNUMBER(INDEX(Import.PLE,$K18,EO$16)),IF(INDEX(Import.PLE,$K18,EO$16)&lt;=mediçao,CO18,0),0),PLE!$AA$28*CO18)</f>
        <v>0</v>
      </c>
      <c r="EP18" s="120">
        <f ca="1">IF($K18&lt;&gt;1,IF(ISNUMBER(INDEX(Import.PLE,$K18,EP$16)),IF(INDEX(Import.PLE,$K18,EP$16)&lt;=mediçao,CP18,0),0),PLE!$AA$28*CP18)</f>
        <v>0</v>
      </c>
      <c r="EQ18" s="120">
        <f ca="1">IF($K18&lt;&gt;1,IF(ISNUMBER(INDEX(Import.PLE,$K18,EQ$16)),IF(INDEX(Import.PLE,$K18,EQ$16)&lt;=mediçao,CQ18,0),0),PLE!$AA$28*CQ18)</f>
        <v>0</v>
      </c>
      <c r="ER18" s="120">
        <f ca="1">IF($K18&lt;&gt;1,IF(ISNUMBER(INDEX(Import.PLE,$K18,ER$16)),IF(INDEX(Import.PLE,$K18,ER$16)&lt;=mediçao,CR18,0),0),PLE!$AA$28*CR18)</f>
        <v>0</v>
      </c>
      <c r="ES18" s="120">
        <f ca="1">IF($K18&lt;&gt;1,IF(ISNUMBER(INDEX(Import.PLE,$K18,ES$16)),IF(INDEX(Import.PLE,$K18,ES$16)&lt;=mediçao,CS18,0),0),PLE!$AA$28*CS18)</f>
        <v>0</v>
      </c>
      <c r="ET18" s="120">
        <f ca="1">IF($K18&lt;&gt;1,IF(ISNUMBER(INDEX(Import.PLE,$K18,ET$16)),IF(INDEX(Import.PLE,$K18,ET$16)&lt;=mediçao,CT18,0),0),PLE!$AA$28*CT18)</f>
        <v>0</v>
      </c>
      <c r="EU18" s="120">
        <f ca="1">IF($K18&lt;&gt;1,IF(ISNUMBER(INDEX(Import.PLE,$K18,EU$16)),IF(INDEX(Import.PLE,$K18,EU$16)&lt;=mediçao,CU18,0),0),PLE!$AA$28*CU18)</f>
        <v>0</v>
      </c>
      <c r="EV18" s="120">
        <f ca="1">IF($K18&lt;&gt;1,IF(ISNUMBER(INDEX(Import.PLE,$K18,EV$16)),IF(INDEX(Import.PLE,$K18,EV$16)&lt;=mediçao,CV18,0),0),PLE!$AA$28*CV18)</f>
        <v>0</v>
      </c>
      <c r="EW18" s="120">
        <f ca="1">IF($K18&lt;&gt;1,IF(ISNUMBER(INDEX(Import.PLE,$K18,EW$16)),IF(INDEX(Import.PLE,$K18,EW$16)&lt;=mediçao,CW18,0),0),PLE!$AA$28*CW18)</f>
        <v>0</v>
      </c>
      <c r="EX18" s="120">
        <f ca="1">IF($K18&lt;&gt;1,IF(ISNUMBER(INDEX(Import.PLE,$K18,EX$16)),IF(INDEX(Import.PLE,$K18,EX$16)&lt;=mediçao,CX18,0),0),PLE!$AA$28*CX18)</f>
        <v>0</v>
      </c>
      <c r="EY18" s="120">
        <f ca="1">IF($K18&lt;&gt;1,IF(ISNUMBER(INDEX(Import.PLE,$K18,EY$16)),IF(INDEX(Import.PLE,$K18,EY$16)&lt;=mediçao,CY18,0),0),PLE!$AA$28*CY18)</f>
        <v>0</v>
      </c>
      <c r="EZ18" s="120">
        <f ca="1">IF($K18&lt;&gt;1,IF(ISNUMBER(INDEX(Import.PLE,$K18,EZ$16)),IF(INDEX(Import.PLE,$K18,EZ$16)&lt;=mediçao,CZ18,0),0),PLE!$AA$28*CZ18)</f>
        <v>0</v>
      </c>
      <c r="FA18" s="120">
        <f ca="1">IF($K18&lt;&gt;1,IF(ISNUMBER(INDEX(Import.PLE,$K18,FA$16)),IF(INDEX(Import.PLE,$K18,FA$16)&lt;=mediçao,DA18,0),0),PLE!$AA$28*DA18)</f>
        <v>0</v>
      </c>
      <c r="FB18" s="120">
        <f ca="1">IF($K18&lt;&gt;1,IF(ISNUMBER(INDEX(Import.PLE,$K18,FB$16)),IF(INDEX(Import.PLE,$K18,FB$16)&lt;=mediçao,DB18,0),0),PLE!$AA$28*DB18)</f>
        <v>0</v>
      </c>
      <c r="FC18" s="120">
        <f ca="1">IF($K18&lt;&gt;1,IF(ISNUMBER(INDEX(Import.PLE,$K18,FC$16)),IF(INDEX(Import.PLE,$K18,FC$16)&lt;=mediçao,DC18,0),0),PLE!$AA$28*DC18)</f>
        <v>0</v>
      </c>
      <c r="FD18" s="120">
        <f ca="1">IF($K18&lt;&gt;1,IF(ISNUMBER(INDEX(Import.PLE,$K18,FD$16)),IF(INDEX(Import.PLE,$K18,FD$16)&lt;=mediçao,DD18,0),0),PLE!$AA$28*DD18)</f>
        <v>0</v>
      </c>
      <c r="FE18" s="120">
        <f ca="1">IF($K18&lt;&gt;1,IF(ISNUMBER(INDEX(Import.PLE,$K18,FE$16)),IF(INDEX(Import.PLE,$K18,FE$16)&lt;=mediçao,DE18,0),0),PLE!$AA$28*DE18)</f>
        <v>0</v>
      </c>
      <c r="FF18" s="120">
        <f ca="1">IF($K18&lt;&gt;1,IF(ISNUMBER(INDEX(Import.PLE,$K18,FF$16)),IF(INDEX(Import.PLE,$K18,FF$16)&lt;=mediçao,DF18,0),0),PLE!$AA$28*DF18)</f>
        <v>0</v>
      </c>
      <c r="FG18" s="120">
        <f ca="1">IF($K18&lt;&gt;1,IF(ISNUMBER(INDEX(Import.PLE,$K18,FG$16)),IF(INDEX(Import.PLE,$K18,FG$16)&lt;=mediçao,DG18,0),0),PLE!$AA$28*DG18)</f>
        <v>0</v>
      </c>
      <c r="FH18" s="120">
        <f ca="1">IF($K18&lt;&gt;1,IF(ISNUMBER(INDEX(Import.PLE,$K18,FH$16)),IF(INDEX(Import.PLE,$K18,FH$16)&lt;=mediçao,DH18,0),0),PLE!$AA$28*DH18)</f>
        <v>0</v>
      </c>
      <c r="FI18" s="120">
        <f ca="1">IF($K18&lt;&gt;1,IF(ISNUMBER(INDEX(Import.PLE,$K18,FI$16)),IF(INDEX(Import.PLE,$K18,FI$16)&lt;=mediçao,DI18,0),0),PLE!$AA$28*DI18)</f>
        <v>0</v>
      </c>
      <c r="FJ18" s="120">
        <f ca="1">IF($K18&lt;&gt;1,IF(ISNUMBER(INDEX(Import.PLE,$K18,FJ$16)),IF(INDEX(Import.PLE,$K18,FJ$16)&lt;=mediçao,DJ18,0),0),PLE!$AA$28*DJ18)</f>
        <v>0</v>
      </c>
    </row>
    <row r="19" spans="2:166" s="88" customFormat="1" x14ac:dyDescent="0.25">
      <c r="B19" s="119">
        <f t="shared" ca="1" si="3"/>
        <v>2</v>
      </c>
      <c r="C19" s="83" t="str">
        <f t="shared" si="4"/>
        <v>Meta</v>
      </c>
      <c r="D19" s="170">
        <v>1</v>
      </c>
      <c r="E19" s="171" t="s">
        <v>163</v>
      </c>
      <c r="F19" s="138"/>
      <c r="G19" s="175" t="str">
        <f t="shared" si="5"/>
        <v/>
      </c>
      <c r="H19" s="176" t="str">
        <f t="shared" si="6"/>
        <v/>
      </c>
      <c r="I19" s="177"/>
      <c r="J19" s="86"/>
      <c r="K19" s="169" t="str">
        <f>deactivatedados.form1</f>
        <v/>
      </c>
      <c r="L19" s="168"/>
      <c r="M19" s="87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2"/>
      <c r="AU19" s="182"/>
      <c r="AV19" s="182"/>
      <c r="AW19" s="182"/>
      <c r="AX19" s="182"/>
      <c r="AY19" s="182"/>
      <c r="AZ19" s="182"/>
      <c r="BA19" s="182"/>
      <c r="BB19" s="182"/>
      <c r="BC19" s="182"/>
      <c r="BD19" s="182"/>
      <c r="BE19" s="182"/>
      <c r="BF19" s="182"/>
      <c r="BG19" s="182"/>
      <c r="BH19" s="182"/>
      <c r="BI19" s="182"/>
      <c r="BJ19" s="182"/>
      <c r="BK19" s="182"/>
      <c r="BM19" s="120">
        <f t="shared" si="7"/>
        <v>0</v>
      </c>
      <c r="BN19" s="120">
        <f t="shared" si="8"/>
        <v>0</v>
      </c>
      <c r="BO19" s="120">
        <f t="shared" si="9"/>
        <v>0</v>
      </c>
      <c r="BP19" s="120">
        <f t="shared" si="10"/>
        <v>0</v>
      </c>
      <c r="BQ19" s="120">
        <f t="shared" si="11"/>
        <v>0</v>
      </c>
      <c r="BR19" s="120">
        <f t="shared" si="12"/>
        <v>0</v>
      </c>
      <c r="BS19" s="120">
        <f t="shared" si="13"/>
        <v>0</v>
      </c>
      <c r="BT19" s="120">
        <f t="shared" si="14"/>
        <v>0</v>
      </c>
      <c r="BU19" s="120">
        <f t="shared" si="15"/>
        <v>0</v>
      </c>
      <c r="BV19" s="120">
        <f t="shared" si="16"/>
        <v>0</v>
      </c>
      <c r="BW19" s="120">
        <f t="shared" si="17"/>
        <v>0</v>
      </c>
      <c r="BX19" s="120">
        <f t="shared" si="18"/>
        <v>0</v>
      </c>
      <c r="BY19" s="120">
        <f t="shared" si="19"/>
        <v>0</v>
      </c>
      <c r="BZ19" s="120">
        <f t="shared" si="20"/>
        <v>0</v>
      </c>
      <c r="CA19" s="120">
        <f t="shared" si="21"/>
        <v>0</v>
      </c>
      <c r="CB19" s="120">
        <f t="shared" si="22"/>
        <v>0</v>
      </c>
      <c r="CC19" s="120">
        <f t="shared" si="23"/>
        <v>0</v>
      </c>
      <c r="CD19" s="120">
        <f t="shared" si="24"/>
        <v>0</v>
      </c>
      <c r="CE19" s="120">
        <f t="shared" si="25"/>
        <v>0</v>
      </c>
      <c r="CF19" s="120">
        <f t="shared" si="26"/>
        <v>0</v>
      </c>
      <c r="CG19" s="120">
        <f t="shared" si="27"/>
        <v>0</v>
      </c>
      <c r="CH19" s="120">
        <f t="shared" si="28"/>
        <v>0</v>
      </c>
      <c r="CI19" s="120">
        <f t="shared" si="29"/>
        <v>0</v>
      </c>
      <c r="CJ19" s="120">
        <f t="shared" si="30"/>
        <v>0</v>
      </c>
      <c r="CK19" s="120">
        <f t="shared" si="31"/>
        <v>0</v>
      </c>
      <c r="CL19" s="120">
        <f t="shared" si="32"/>
        <v>0</v>
      </c>
      <c r="CM19" s="120">
        <f t="shared" si="33"/>
        <v>0</v>
      </c>
      <c r="CN19" s="120">
        <f t="shared" si="34"/>
        <v>0</v>
      </c>
      <c r="CO19" s="120">
        <f t="shared" si="35"/>
        <v>0</v>
      </c>
      <c r="CP19" s="120">
        <f t="shared" si="36"/>
        <v>0</v>
      </c>
      <c r="CQ19" s="120">
        <f t="shared" si="37"/>
        <v>0</v>
      </c>
      <c r="CR19" s="120">
        <f t="shared" si="38"/>
        <v>0</v>
      </c>
      <c r="CS19" s="120">
        <f t="shared" si="39"/>
        <v>0</v>
      </c>
      <c r="CT19" s="120">
        <f t="shared" si="40"/>
        <v>0</v>
      </c>
      <c r="CU19" s="120">
        <f t="shared" si="41"/>
        <v>0</v>
      </c>
      <c r="CV19" s="120">
        <f t="shared" si="42"/>
        <v>0</v>
      </c>
      <c r="CW19" s="120">
        <f t="shared" si="43"/>
        <v>0</v>
      </c>
      <c r="CX19" s="120">
        <f t="shared" si="44"/>
        <v>0</v>
      </c>
      <c r="CY19" s="120">
        <f t="shared" si="45"/>
        <v>0</v>
      </c>
      <c r="CZ19" s="120">
        <f t="shared" si="46"/>
        <v>0</v>
      </c>
      <c r="DA19" s="120">
        <f t="shared" si="47"/>
        <v>0</v>
      </c>
      <c r="DB19" s="120">
        <f t="shared" si="48"/>
        <v>0</v>
      </c>
      <c r="DC19" s="120">
        <f t="shared" si="49"/>
        <v>0</v>
      </c>
      <c r="DD19" s="120">
        <f t="shared" si="50"/>
        <v>0</v>
      </c>
      <c r="DE19" s="120">
        <f t="shared" si="51"/>
        <v>0</v>
      </c>
      <c r="DF19" s="120">
        <f t="shared" si="52"/>
        <v>0</v>
      </c>
      <c r="DG19" s="120">
        <f t="shared" si="53"/>
        <v>0</v>
      </c>
      <c r="DH19" s="120">
        <f t="shared" si="54"/>
        <v>0</v>
      </c>
      <c r="DI19" s="120">
        <f t="shared" si="55"/>
        <v>0</v>
      </c>
      <c r="DJ19" s="120">
        <f t="shared" si="56"/>
        <v>0</v>
      </c>
      <c r="DK19" s="127">
        <f t="shared" si="57"/>
        <v>1</v>
      </c>
      <c r="DL19" s="127">
        <f t="shared" ca="1" si="58"/>
        <v>0</v>
      </c>
      <c r="DM19" s="120">
        <f ca="1">IF($K19&lt;&gt;1,IF(ISNUMBER(INDEX(Import.PLE,$K19,DM$16)),IF(INDEX(Import.PLE,$K19,DM$16)&lt;=mediçao,BM19,0),0),PLE!$AA$28*BM19)</f>
        <v>0</v>
      </c>
      <c r="DN19" s="120">
        <f ca="1">IF($K19&lt;&gt;1,IF(ISNUMBER(INDEX(Import.PLE,$K19,DN$16)),IF(INDEX(Import.PLE,$K19,DN$16)&lt;=mediçao,BN19,0),0),PLE!$AA$28*BN19)</f>
        <v>0</v>
      </c>
      <c r="DO19" s="120">
        <f ca="1">IF($K19&lt;&gt;1,IF(ISNUMBER(INDEX(Import.PLE,$K19,DO$16)),IF(INDEX(Import.PLE,$K19,DO$16)&lt;=mediçao,BO19,0),0),PLE!$AA$28*BO19)</f>
        <v>0</v>
      </c>
      <c r="DP19" s="120">
        <f ca="1">IF($K19&lt;&gt;1,IF(ISNUMBER(INDEX(Import.PLE,$K19,DP$16)),IF(INDEX(Import.PLE,$K19,DP$16)&lt;=mediçao,BP19,0),0),PLE!$AA$28*BP19)</f>
        <v>0</v>
      </c>
      <c r="DQ19" s="120">
        <f ca="1">IF($K19&lt;&gt;1,IF(ISNUMBER(INDEX(Import.PLE,$K19,DQ$16)),IF(INDEX(Import.PLE,$K19,DQ$16)&lt;=mediçao,BQ19,0),0),PLE!$AA$28*BQ19)</f>
        <v>0</v>
      </c>
      <c r="DR19" s="120">
        <f ca="1">IF($K19&lt;&gt;1,IF(ISNUMBER(INDEX(Import.PLE,$K19,DR$16)),IF(INDEX(Import.PLE,$K19,DR$16)&lt;=mediçao,BR19,0),0),PLE!$AA$28*BR19)</f>
        <v>0</v>
      </c>
      <c r="DS19" s="120">
        <f ca="1">IF($K19&lt;&gt;1,IF(ISNUMBER(INDEX(Import.PLE,$K19,DS$16)),IF(INDEX(Import.PLE,$K19,DS$16)&lt;=mediçao,BS19,0),0),PLE!$AA$28*BS19)</f>
        <v>0</v>
      </c>
      <c r="DT19" s="120">
        <f ca="1">IF($K19&lt;&gt;1,IF(ISNUMBER(INDEX(Import.PLE,$K19,DT$16)),IF(INDEX(Import.PLE,$K19,DT$16)&lt;=mediçao,BT19,0),0),PLE!$AA$28*BT19)</f>
        <v>0</v>
      </c>
      <c r="DU19" s="120">
        <f ca="1">IF($K19&lt;&gt;1,IF(ISNUMBER(INDEX(Import.PLE,$K19,DU$16)),IF(INDEX(Import.PLE,$K19,DU$16)&lt;=mediçao,BU19,0),0),PLE!$AA$28*BU19)</f>
        <v>0</v>
      </c>
      <c r="DV19" s="120">
        <f ca="1">IF($K19&lt;&gt;1,IF(ISNUMBER(INDEX(Import.PLE,$K19,DV$16)),IF(INDEX(Import.PLE,$K19,DV$16)&lt;=mediçao,BV19,0),0),PLE!$AA$28*BV19)</f>
        <v>0</v>
      </c>
      <c r="DW19" s="120">
        <f ca="1">IF($K19&lt;&gt;1,IF(ISNUMBER(INDEX(Import.PLE,$K19,DW$16)),IF(INDEX(Import.PLE,$K19,DW$16)&lt;=mediçao,BW19,0),0),PLE!$AA$28*BW19)</f>
        <v>0</v>
      </c>
      <c r="DX19" s="120">
        <f ca="1">IF($K19&lt;&gt;1,IF(ISNUMBER(INDEX(Import.PLE,$K19,DX$16)),IF(INDEX(Import.PLE,$K19,DX$16)&lt;=mediçao,BX19,0),0),PLE!$AA$28*BX19)</f>
        <v>0</v>
      </c>
      <c r="DY19" s="120">
        <f ca="1">IF($K19&lt;&gt;1,IF(ISNUMBER(INDEX(Import.PLE,$K19,DY$16)),IF(INDEX(Import.PLE,$K19,DY$16)&lt;=mediçao,BY19,0),0),PLE!$AA$28*BY19)</f>
        <v>0</v>
      </c>
      <c r="DZ19" s="120">
        <f ca="1">IF($K19&lt;&gt;1,IF(ISNUMBER(INDEX(Import.PLE,$K19,DZ$16)),IF(INDEX(Import.PLE,$K19,DZ$16)&lt;=mediçao,BZ19,0),0),PLE!$AA$28*BZ19)</f>
        <v>0</v>
      </c>
      <c r="EA19" s="120">
        <f ca="1">IF($K19&lt;&gt;1,IF(ISNUMBER(INDEX(Import.PLE,$K19,EA$16)),IF(INDEX(Import.PLE,$K19,EA$16)&lt;=mediçao,CA19,0),0),PLE!$AA$28*CA19)</f>
        <v>0</v>
      </c>
      <c r="EB19" s="120">
        <f ca="1">IF($K19&lt;&gt;1,IF(ISNUMBER(INDEX(Import.PLE,$K19,EB$16)),IF(INDEX(Import.PLE,$K19,EB$16)&lt;=mediçao,CB19,0),0),PLE!$AA$28*CB19)</f>
        <v>0</v>
      </c>
      <c r="EC19" s="120">
        <f ca="1">IF($K19&lt;&gt;1,IF(ISNUMBER(INDEX(Import.PLE,$K19,EC$16)),IF(INDEX(Import.PLE,$K19,EC$16)&lt;=mediçao,CC19,0),0),PLE!$AA$28*CC19)</f>
        <v>0</v>
      </c>
      <c r="ED19" s="120">
        <f ca="1">IF($K19&lt;&gt;1,IF(ISNUMBER(INDEX(Import.PLE,$K19,ED$16)),IF(INDEX(Import.PLE,$K19,ED$16)&lt;=mediçao,CD19,0),0),PLE!$AA$28*CD19)</f>
        <v>0</v>
      </c>
      <c r="EE19" s="120">
        <f ca="1">IF($K19&lt;&gt;1,IF(ISNUMBER(INDEX(Import.PLE,$K19,EE$16)),IF(INDEX(Import.PLE,$K19,EE$16)&lt;=mediçao,CE19,0),0),PLE!$AA$28*CE19)</f>
        <v>0</v>
      </c>
      <c r="EF19" s="120">
        <f ca="1">IF($K19&lt;&gt;1,IF(ISNUMBER(INDEX(Import.PLE,$K19,EF$16)),IF(INDEX(Import.PLE,$K19,EF$16)&lt;=mediçao,CF19,0),0),PLE!$AA$28*CF19)</f>
        <v>0</v>
      </c>
      <c r="EG19" s="120">
        <f ca="1">IF($K19&lt;&gt;1,IF(ISNUMBER(INDEX(Import.PLE,$K19,EG$16)),IF(INDEX(Import.PLE,$K19,EG$16)&lt;=mediçao,CG19,0),0),PLE!$AA$28*CG19)</f>
        <v>0</v>
      </c>
      <c r="EH19" s="120">
        <f ca="1">IF($K19&lt;&gt;1,IF(ISNUMBER(INDEX(Import.PLE,$K19,EH$16)),IF(INDEX(Import.PLE,$K19,EH$16)&lt;=mediçao,CH19,0),0),PLE!$AA$28*CH19)</f>
        <v>0</v>
      </c>
      <c r="EI19" s="120">
        <f ca="1">IF($K19&lt;&gt;1,IF(ISNUMBER(INDEX(Import.PLE,$K19,EI$16)),IF(INDEX(Import.PLE,$K19,EI$16)&lt;=mediçao,CI19,0),0),PLE!$AA$28*CI19)</f>
        <v>0</v>
      </c>
      <c r="EJ19" s="120">
        <f ca="1">IF($K19&lt;&gt;1,IF(ISNUMBER(INDEX(Import.PLE,$K19,EJ$16)),IF(INDEX(Import.PLE,$K19,EJ$16)&lt;=mediçao,CJ19,0),0),PLE!$AA$28*CJ19)</f>
        <v>0</v>
      </c>
      <c r="EK19" s="120">
        <f ca="1">IF($K19&lt;&gt;1,IF(ISNUMBER(INDEX(Import.PLE,$K19,EK$16)),IF(INDEX(Import.PLE,$K19,EK$16)&lt;=mediçao,CK19,0),0),PLE!$AA$28*CK19)</f>
        <v>0</v>
      </c>
      <c r="EL19" s="120">
        <f ca="1">IF($K19&lt;&gt;1,IF(ISNUMBER(INDEX(Import.PLE,$K19,EL$16)),IF(INDEX(Import.PLE,$K19,EL$16)&lt;=mediçao,CL19,0),0),PLE!$AA$28*CL19)</f>
        <v>0</v>
      </c>
      <c r="EM19" s="120">
        <f ca="1">IF($K19&lt;&gt;1,IF(ISNUMBER(INDEX(Import.PLE,$K19,EM$16)),IF(INDEX(Import.PLE,$K19,EM$16)&lt;=mediçao,CM19,0),0),PLE!$AA$28*CM19)</f>
        <v>0</v>
      </c>
      <c r="EN19" s="120">
        <f ca="1">IF($K19&lt;&gt;1,IF(ISNUMBER(INDEX(Import.PLE,$K19,EN$16)),IF(INDEX(Import.PLE,$K19,EN$16)&lt;=mediçao,CN19,0),0),PLE!$AA$28*CN19)</f>
        <v>0</v>
      </c>
      <c r="EO19" s="120">
        <f ca="1">IF($K19&lt;&gt;1,IF(ISNUMBER(INDEX(Import.PLE,$K19,EO$16)),IF(INDEX(Import.PLE,$K19,EO$16)&lt;=mediçao,CO19,0),0),PLE!$AA$28*CO19)</f>
        <v>0</v>
      </c>
      <c r="EP19" s="120">
        <f ca="1">IF($K19&lt;&gt;1,IF(ISNUMBER(INDEX(Import.PLE,$K19,EP$16)),IF(INDEX(Import.PLE,$K19,EP$16)&lt;=mediçao,CP19,0),0),PLE!$AA$28*CP19)</f>
        <v>0</v>
      </c>
      <c r="EQ19" s="120">
        <f ca="1">IF($K19&lt;&gt;1,IF(ISNUMBER(INDEX(Import.PLE,$K19,EQ$16)),IF(INDEX(Import.PLE,$K19,EQ$16)&lt;=mediçao,CQ19,0),0),PLE!$AA$28*CQ19)</f>
        <v>0</v>
      </c>
      <c r="ER19" s="120">
        <f ca="1">IF($K19&lt;&gt;1,IF(ISNUMBER(INDEX(Import.PLE,$K19,ER$16)),IF(INDEX(Import.PLE,$K19,ER$16)&lt;=mediçao,CR19,0),0),PLE!$AA$28*CR19)</f>
        <v>0</v>
      </c>
      <c r="ES19" s="120">
        <f ca="1">IF($K19&lt;&gt;1,IF(ISNUMBER(INDEX(Import.PLE,$K19,ES$16)),IF(INDEX(Import.PLE,$K19,ES$16)&lt;=mediçao,CS19,0),0),PLE!$AA$28*CS19)</f>
        <v>0</v>
      </c>
      <c r="ET19" s="120">
        <f ca="1">IF($K19&lt;&gt;1,IF(ISNUMBER(INDEX(Import.PLE,$K19,ET$16)),IF(INDEX(Import.PLE,$K19,ET$16)&lt;=mediçao,CT19,0),0),PLE!$AA$28*CT19)</f>
        <v>0</v>
      </c>
      <c r="EU19" s="120">
        <f ca="1">IF($K19&lt;&gt;1,IF(ISNUMBER(INDEX(Import.PLE,$K19,EU$16)),IF(INDEX(Import.PLE,$K19,EU$16)&lt;=mediçao,CU19,0),0),PLE!$AA$28*CU19)</f>
        <v>0</v>
      </c>
      <c r="EV19" s="120">
        <f ca="1">IF($K19&lt;&gt;1,IF(ISNUMBER(INDEX(Import.PLE,$K19,EV$16)),IF(INDEX(Import.PLE,$K19,EV$16)&lt;=mediçao,CV19,0),0),PLE!$AA$28*CV19)</f>
        <v>0</v>
      </c>
      <c r="EW19" s="120">
        <f ca="1">IF($K19&lt;&gt;1,IF(ISNUMBER(INDEX(Import.PLE,$K19,EW$16)),IF(INDEX(Import.PLE,$K19,EW$16)&lt;=mediçao,CW19,0),0),PLE!$AA$28*CW19)</f>
        <v>0</v>
      </c>
      <c r="EX19" s="120">
        <f ca="1">IF($K19&lt;&gt;1,IF(ISNUMBER(INDEX(Import.PLE,$K19,EX$16)),IF(INDEX(Import.PLE,$K19,EX$16)&lt;=mediçao,CX19,0),0),PLE!$AA$28*CX19)</f>
        <v>0</v>
      </c>
      <c r="EY19" s="120">
        <f ca="1">IF($K19&lt;&gt;1,IF(ISNUMBER(INDEX(Import.PLE,$K19,EY$16)),IF(INDEX(Import.PLE,$K19,EY$16)&lt;=mediçao,CY19,0),0),PLE!$AA$28*CY19)</f>
        <v>0</v>
      </c>
      <c r="EZ19" s="120">
        <f ca="1">IF($K19&lt;&gt;1,IF(ISNUMBER(INDEX(Import.PLE,$K19,EZ$16)),IF(INDEX(Import.PLE,$K19,EZ$16)&lt;=mediçao,CZ19,0),0),PLE!$AA$28*CZ19)</f>
        <v>0</v>
      </c>
      <c r="FA19" s="120">
        <f ca="1">IF($K19&lt;&gt;1,IF(ISNUMBER(INDEX(Import.PLE,$K19,FA$16)),IF(INDEX(Import.PLE,$K19,FA$16)&lt;=mediçao,DA19,0),0),PLE!$AA$28*DA19)</f>
        <v>0</v>
      </c>
      <c r="FB19" s="120">
        <f ca="1">IF($K19&lt;&gt;1,IF(ISNUMBER(INDEX(Import.PLE,$K19,FB$16)),IF(INDEX(Import.PLE,$K19,FB$16)&lt;=mediçao,DB19,0),0),PLE!$AA$28*DB19)</f>
        <v>0</v>
      </c>
      <c r="FC19" s="120">
        <f ca="1">IF($K19&lt;&gt;1,IF(ISNUMBER(INDEX(Import.PLE,$K19,FC$16)),IF(INDEX(Import.PLE,$K19,FC$16)&lt;=mediçao,DC19,0),0),PLE!$AA$28*DC19)</f>
        <v>0</v>
      </c>
      <c r="FD19" s="120">
        <f ca="1">IF($K19&lt;&gt;1,IF(ISNUMBER(INDEX(Import.PLE,$K19,FD$16)),IF(INDEX(Import.PLE,$K19,FD$16)&lt;=mediçao,DD19,0),0),PLE!$AA$28*DD19)</f>
        <v>0</v>
      </c>
      <c r="FE19" s="120">
        <f ca="1">IF($K19&lt;&gt;1,IF(ISNUMBER(INDEX(Import.PLE,$K19,FE$16)),IF(INDEX(Import.PLE,$K19,FE$16)&lt;=mediçao,DE19,0),0),PLE!$AA$28*DE19)</f>
        <v>0</v>
      </c>
      <c r="FF19" s="120">
        <f ca="1">IF($K19&lt;&gt;1,IF(ISNUMBER(INDEX(Import.PLE,$K19,FF$16)),IF(INDEX(Import.PLE,$K19,FF$16)&lt;=mediçao,DF19,0),0),PLE!$AA$28*DF19)</f>
        <v>0</v>
      </c>
      <c r="FG19" s="120">
        <f ca="1">IF($K19&lt;&gt;1,IF(ISNUMBER(INDEX(Import.PLE,$K19,FG$16)),IF(INDEX(Import.PLE,$K19,FG$16)&lt;=mediçao,DG19,0),0),PLE!$AA$28*DG19)</f>
        <v>0</v>
      </c>
      <c r="FH19" s="120">
        <f ca="1">IF($K19&lt;&gt;1,IF(ISNUMBER(INDEX(Import.PLE,$K19,FH$16)),IF(INDEX(Import.PLE,$K19,FH$16)&lt;=mediçao,DH19,0),0),PLE!$AA$28*DH19)</f>
        <v>0</v>
      </c>
      <c r="FI19" s="120">
        <f ca="1">IF($K19&lt;&gt;1,IF(ISNUMBER(INDEX(Import.PLE,$K19,FI$16)),IF(INDEX(Import.PLE,$K19,FI$16)&lt;=mediçao,DI19,0),0),PLE!$AA$28*DI19)</f>
        <v>0</v>
      </c>
      <c r="FJ19" s="120">
        <f ca="1">IF($K19&lt;&gt;1,IF(ISNUMBER(INDEX(Import.PLE,$K19,FJ$16)),IF(INDEX(Import.PLE,$K19,FJ$16)&lt;=mediçao,DJ19,0),0),PLE!$AA$28*DJ19)</f>
        <v>0</v>
      </c>
    </row>
    <row r="20" spans="2:166" s="88" customFormat="1" ht="22.5" x14ac:dyDescent="0.25">
      <c r="B20" s="119">
        <f t="shared" ca="1" si="3"/>
        <v>3</v>
      </c>
      <c r="C20" s="83" t="str">
        <f t="shared" si="4"/>
        <v>Serviço</v>
      </c>
      <c r="D20" s="170" t="s">
        <v>166</v>
      </c>
      <c r="E20" s="171" t="s">
        <v>164</v>
      </c>
      <c r="F20" s="172" t="s">
        <v>165</v>
      </c>
      <c r="G20" s="175">
        <f t="shared" si="5"/>
        <v>8</v>
      </c>
      <c r="H20" s="176">
        <f t="shared" si="6"/>
        <v>170.69</v>
      </c>
      <c r="I20" s="177">
        <v>1365.52</v>
      </c>
      <c r="J20" s="86"/>
      <c r="K20" s="169">
        <f>deactivatedados.form1</f>
        <v>2</v>
      </c>
      <c r="L20" s="168" t="s">
        <v>205</v>
      </c>
      <c r="M20" s="87"/>
      <c r="N20" s="182">
        <v>8</v>
      </c>
      <c r="O20" s="182">
        <v>0</v>
      </c>
      <c r="P20" s="182">
        <v>0</v>
      </c>
      <c r="Q20" s="182">
        <v>0</v>
      </c>
      <c r="R20" s="182">
        <v>0</v>
      </c>
      <c r="S20" s="182">
        <v>0</v>
      </c>
      <c r="T20" s="182">
        <v>0</v>
      </c>
      <c r="U20" s="182">
        <v>0</v>
      </c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2"/>
      <c r="AX20" s="182"/>
      <c r="AY20" s="182"/>
      <c r="AZ20" s="182"/>
      <c r="BA20" s="182"/>
      <c r="BB20" s="182"/>
      <c r="BC20" s="182"/>
      <c r="BD20" s="182"/>
      <c r="BE20" s="182"/>
      <c r="BF20" s="182"/>
      <c r="BG20" s="182"/>
      <c r="BH20" s="182"/>
      <c r="BI20" s="182"/>
      <c r="BJ20" s="182"/>
      <c r="BK20" s="182"/>
      <c r="BM20" s="120">
        <f t="shared" ca="1" si="7"/>
        <v>1365.52</v>
      </c>
      <c r="BN20" s="120">
        <f t="shared" ca="1" si="8"/>
        <v>0</v>
      </c>
      <c r="BO20" s="120">
        <f t="shared" ca="1" si="9"/>
        <v>0</v>
      </c>
      <c r="BP20" s="120">
        <f t="shared" ca="1" si="10"/>
        <v>0</v>
      </c>
      <c r="BQ20" s="120">
        <f t="shared" ca="1" si="11"/>
        <v>0</v>
      </c>
      <c r="BR20" s="120">
        <f t="shared" ca="1" si="12"/>
        <v>0</v>
      </c>
      <c r="BS20" s="120">
        <f t="shared" ca="1" si="13"/>
        <v>0</v>
      </c>
      <c r="BT20" s="120">
        <f t="shared" ca="1" si="14"/>
        <v>0</v>
      </c>
      <c r="BU20" s="120">
        <f t="shared" si="15"/>
        <v>0</v>
      </c>
      <c r="BV20" s="120">
        <f t="shared" si="16"/>
        <v>0</v>
      </c>
      <c r="BW20" s="120">
        <f t="shared" si="17"/>
        <v>0</v>
      </c>
      <c r="BX20" s="120">
        <f t="shared" si="18"/>
        <v>0</v>
      </c>
      <c r="BY20" s="120">
        <f t="shared" si="19"/>
        <v>0</v>
      </c>
      <c r="BZ20" s="120">
        <f t="shared" si="20"/>
        <v>0</v>
      </c>
      <c r="CA20" s="120">
        <f t="shared" si="21"/>
        <v>0</v>
      </c>
      <c r="CB20" s="120">
        <f t="shared" si="22"/>
        <v>0</v>
      </c>
      <c r="CC20" s="120">
        <f t="shared" si="23"/>
        <v>0</v>
      </c>
      <c r="CD20" s="120">
        <f t="shared" si="24"/>
        <v>0</v>
      </c>
      <c r="CE20" s="120">
        <f t="shared" si="25"/>
        <v>0</v>
      </c>
      <c r="CF20" s="120">
        <f t="shared" si="26"/>
        <v>0</v>
      </c>
      <c r="CG20" s="120">
        <f t="shared" si="27"/>
        <v>0</v>
      </c>
      <c r="CH20" s="120">
        <f t="shared" si="28"/>
        <v>0</v>
      </c>
      <c r="CI20" s="120">
        <f t="shared" si="29"/>
        <v>0</v>
      </c>
      <c r="CJ20" s="120">
        <f t="shared" si="30"/>
        <v>0</v>
      </c>
      <c r="CK20" s="120">
        <f t="shared" si="31"/>
        <v>0</v>
      </c>
      <c r="CL20" s="120">
        <f t="shared" si="32"/>
        <v>0</v>
      </c>
      <c r="CM20" s="120">
        <f t="shared" si="33"/>
        <v>0</v>
      </c>
      <c r="CN20" s="120">
        <f t="shared" si="34"/>
        <v>0</v>
      </c>
      <c r="CO20" s="120">
        <f t="shared" si="35"/>
        <v>0</v>
      </c>
      <c r="CP20" s="120">
        <f t="shared" si="36"/>
        <v>0</v>
      </c>
      <c r="CQ20" s="120">
        <f t="shared" si="37"/>
        <v>0</v>
      </c>
      <c r="CR20" s="120">
        <f t="shared" si="38"/>
        <v>0</v>
      </c>
      <c r="CS20" s="120">
        <f t="shared" si="39"/>
        <v>0</v>
      </c>
      <c r="CT20" s="120">
        <f t="shared" si="40"/>
        <v>0</v>
      </c>
      <c r="CU20" s="120">
        <f t="shared" si="41"/>
        <v>0</v>
      </c>
      <c r="CV20" s="120">
        <f t="shared" si="42"/>
        <v>0</v>
      </c>
      <c r="CW20" s="120">
        <f t="shared" si="43"/>
        <v>0</v>
      </c>
      <c r="CX20" s="120">
        <f t="shared" si="44"/>
        <v>0</v>
      </c>
      <c r="CY20" s="120">
        <f t="shared" si="45"/>
        <v>0</v>
      </c>
      <c r="CZ20" s="120">
        <f t="shared" si="46"/>
        <v>0</v>
      </c>
      <c r="DA20" s="120">
        <f t="shared" si="47"/>
        <v>0</v>
      </c>
      <c r="DB20" s="120">
        <f t="shared" si="48"/>
        <v>0</v>
      </c>
      <c r="DC20" s="120">
        <f t="shared" si="49"/>
        <v>0</v>
      </c>
      <c r="DD20" s="120">
        <f t="shared" si="50"/>
        <v>0</v>
      </c>
      <c r="DE20" s="120">
        <f t="shared" si="51"/>
        <v>0</v>
      </c>
      <c r="DF20" s="120">
        <f t="shared" si="52"/>
        <v>0</v>
      </c>
      <c r="DG20" s="120">
        <f t="shared" si="53"/>
        <v>0</v>
      </c>
      <c r="DH20" s="120">
        <f t="shared" si="54"/>
        <v>0</v>
      </c>
      <c r="DI20" s="120">
        <f t="shared" si="55"/>
        <v>0</v>
      </c>
      <c r="DJ20" s="120">
        <f t="shared" si="56"/>
        <v>0</v>
      </c>
      <c r="DK20" s="127" t="str">
        <f t="shared" si="57"/>
        <v>1</v>
      </c>
      <c r="DL20" s="127">
        <f t="shared" ca="1" si="58"/>
        <v>0</v>
      </c>
      <c r="DM20" s="120">
        <f ca="1">IF($K20&lt;&gt;1,IF(ISNUMBER(INDEX(Import.PLE,$K20,DM$16)),IF(INDEX(Import.PLE,$K20,DM$16)&lt;=mediçao,BM20,0),0),PLE!$AA$28*BM20)</f>
        <v>0</v>
      </c>
      <c r="DN20" s="120">
        <f ca="1">IF($K20&lt;&gt;1,IF(ISNUMBER(INDEX(Import.PLE,$K20,DN$16)),IF(INDEX(Import.PLE,$K20,DN$16)&lt;=mediçao,BN20,0),0),PLE!$AA$28*BN20)</f>
        <v>0</v>
      </c>
      <c r="DO20" s="120">
        <f ca="1">IF($K20&lt;&gt;1,IF(ISNUMBER(INDEX(Import.PLE,$K20,DO$16)),IF(INDEX(Import.PLE,$K20,DO$16)&lt;=mediçao,BO20,0),0),PLE!$AA$28*BO20)</f>
        <v>0</v>
      </c>
      <c r="DP20" s="120">
        <f ca="1">IF($K20&lt;&gt;1,IF(ISNUMBER(INDEX(Import.PLE,$K20,DP$16)),IF(INDEX(Import.PLE,$K20,DP$16)&lt;=mediçao,BP20,0),0),PLE!$AA$28*BP20)</f>
        <v>0</v>
      </c>
      <c r="DQ20" s="120">
        <f ca="1">IF($K20&lt;&gt;1,IF(ISNUMBER(INDEX(Import.PLE,$K20,DQ$16)),IF(INDEX(Import.PLE,$K20,DQ$16)&lt;=mediçao,BQ20,0),0),PLE!$AA$28*BQ20)</f>
        <v>0</v>
      </c>
      <c r="DR20" s="120">
        <f ca="1">IF($K20&lt;&gt;1,IF(ISNUMBER(INDEX(Import.PLE,$K20,DR$16)),IF(INDEX(Import.PLE,$K20,DR$16)&lt;=mediçao,BR20,0),0),PLE!$AA$28*BR20)</f>
        <v>0</v>
      </c>
      <c r="DS20" s="120">
        <f ca="1">IF($K20&lt;&gt;1,IF(ISNUMBER(INDEX(Import.PLE,$K20,DS$16)),IF(INDEX(Import.PLE,$K20,DS$16)&lt;=mediçao,BS20,0),0),PLE!$AA$28*BS20)</f>
        <v>0</v>
      </c>
      <c r="DT20" s="120">
        <f ca="1">IF($K20&lt;&gt;1,IF(ISNUMBER(INDEX(Import.PLE,$K20,DT$16)),IF(INDEX(Import.PLE,$K20,DT$16)&lt;=mediçao,BT20,0),0),PLE!$AA$28*BT20)</f>
        <v>0</v>
      </c>
      <c r="DU20" s="120">
        <f ca="1">IF($K20&lt;&gt;1,IF(ISNUMBER(INDEX(Import.PLE,$K20,DU$16)),IF(INDEX(Import.PLE,$K20,DU$16)&lt;=mediçao,BU20,0),0),PLE!$AA$28*BU20)</f>
        <v>0</v>
      </c>
      <c r="DV20" s="120">
        <f ca="1">IF($K20&lt;&gt;1,IF(ISNUMBER(INDEX(Import.PLE,$K20,DV$16)),IF(INDEX(Import.PLE,$K20,DV$16)&lt;=mediçao,BV20,0),0),PLE!$AA$28*BV20)</f>
        <v>0</v>
      </c>
      <c r="DW20" s="120">
        <f ca="1">IF($K20&lt;&gt;1,IF(ISNUMBER(INDEX(Import.PLE,$K20,DW$16)),IF(INDEX(Import.PLE,$K20,DW$16)&lt;=mediçao,BW20,0),0),PLE!$AA$28*BW20)</f>
        <v>0</v>
      </c>
      <c r="DX20" s="120">
        <f ca="1">IF($K20&lt;&gt;1,IF(ISNUMBER(INDEX(Import.PLE,$K20,DX$16)),IF(INDEX(Import.PLE,$K20,DX$16)&lt;=mediçao,BX20,0),0),PLE!$AA$28*BX20)</f>
        <v>0</v>
      </c>
      <c r="DY20" s="120">
        <f ca="1">IF($K20&lt;&gt;1,IF(ISNUMBER(INDEX(Import.PLE,$K20,DY$16)),IF(INDEX(Import.PLE,$K20,DY$16)&lt;=mediçao,BY20,0),0),PLE!$AA$28*BY20)</f>
        <v>0</v>
      </c>
      <c r="DZ20" s="120">
        <f ca="1">IF($K20&lt;&gt;1,IF(ISNUMBER(INDEX(Import.PLE,$K20,DZ$16)),IF(INDEX(Import.PLE,$K20,DZ$16)&lt;=mediçao,BZ20,0),0),PLE!$AA$28*BZ20)</f>
        <v>0</v>
      </c>
      <c r="EA20" s="120">
        <f ca="1">IF($K20&lt;&gt;1,IF(ISNUMBER(INDEX(Import.PLE,$K20,EA$16)),IF(INDEX(Import.PLE,$K20,EA$16)&lt;=mediçao,CA20,0),0),PLE!$AA$28*CA20)</f>
        <v>0</v>
      </c>
      <c r="EB20" s="120">
        <f ca="1">IF($K20&lt;&gt;1,IF(ISNUMBER(INDEX(Import.PLE,$K20,EB$16)),IF(INDEX(Import.PLE,$K20,EB$16)&lt;=mediçao,CB20,0),0),PLE!$AA$28*CB20)</f>
        <v>0</v>
      </c>
      <c r="EC20" s="120">
        <f ca="1">IF($K20&lt;&gt;1,IF(ISNUMBER(INDEX(Import.PLE,$K20,EC$16)),IF(INDEX(Import.PLE,$K20,EC$16)&lt;=mediçao,CC20,0),0),PLE!$AA$28*CC20)</f>
        <v>0</v>
      </c>
      <c r="ED20" s="120">
        <f ca="1">IF($K20&lt;&gt;1,IF(ISNUMBER(INDEX(Import.PLE,$K20,ED$16)),IF(INDEX(Import.PLE,$K20,ED$16)&lt;=mediçao,CD20,0),0),PLE!$AA$28*CD20)</f>
        <v>0</v>
      </c>
      <c r="EE20" s="120">
        <f ca="1">IF($K20&lt;&gt;1,IF(ISNUMBER(INDEX(Import.PLE,$K20,EE$16)),IF(INDEX(Import.PLE,$K20,EE$16)&lt;=mediçao,CE20,0),0),PLE!$AA$28*CE20)</f>
        <v>0</v>
      </c>
      <c r="EF20" s="120">
        <f ca="1">IF($K20&lt;&gt;1,IF(ISNUMBER(INDEX(Import.PLE,$K20,EF$16)),IF(INDEX(Import.PLE,$K20,EF$16)&lt;=mediçao,CF20,0),0),PLE!$AA$28*CF20)</f>
        <v>0</v>
      </c>
      <c r="EG20" s="120">
        <f ca="1">IF($K20&lt;&gt;1,IF(ISNUMBER(INDEX(Import.PLE,$K20,EG$16)),IF(INDEX(Import.PLE,$K20,EG$16)&lt;=mediçao,CG20,0),0),PLE!$AA$28*CG20)</f>
        <v>0</v>
      </c>
      <c r="EH20" s="120">
        <f ca="1">IF($K20&lt;&gt;1,IF(ISNUMBER(INDEX(Import.PLE,$K20,EH$16)),IF(INDEX(Import.PLE,$K20,EH$16)&lt;=mediçao,CH20,0),0),PLE!$AA$28*CH20)</f>
        <v>0</v>
      </c>
      <c r="EI20" s="120">
        <f ca="1">IF($K20&lt;&gt;1,IF(ISNUMBER(INDEX(Import.PLE,$K20,EI$16)),IF(INDEX(Import.PLE,$K20,EI$16)&lt;=mediçao,CI20,0),0),PLE!$AA$28*CI20)</f>
        <v>0</v>
      </c>
      <c r="EJ20" s="120">
        <f ca="1">IF($K20&lt;&gt;1,IF(ISNUMBER(INDEX(Import.PLE,$K20,EJ$16)),IF(INDEX(Import.PLE,$K20,EJ$16)&lt;=mediçao,CJ20,0),0),PLE!$AA$28*CJ20)</f>
        <v>0</v>
      </c>
      <c r="EK20" s="120">
        <f ca="1">IF($K20&lt;&gt;1,IF(ISNUMBER(INDEX(Import.PLE,$K20,EK$16)),IF(INDEX(Import.PLE,$K20,EK$16)&lt;=mediçao,CK20,0),0),PLE!$AA$28*CK20)</f>
        <v>0</v>
      </c>
      <c r="EL20" s="120">
        <f ca="1">IF($K20&lt;&gt;1,IF(ISNUMBER(INDEX(Import.PLE,$K20,EL$16)),IF(INDEX(Import.PLE,$K20,EL$16)&lt;=mediçao,CL20,0),0),PLE!$AA$28*CL20)</f>
        <v>0</v>
      </c>
      <c r="EM20" s="120">
        <f ca="1">IF($K20&lt;&gt;1,IF(ISNUMBER(INDEX(Import.PLE,$K20,EM$16)),IF(INDEX(Import.PLE,$K20,EM$16)&lt;=mediçao,CM20,0),0),PLE!$AA$28*CM20)</f>
        <v>0</v>
      </c>
      <c r="EN20" s="120">
        <f ca="1">IF($K20&lt;&gt;1,IF(ISNUMBER(INDEX(Import.PLE,$K20,EN$16)),IF(INDEX(Import.PLE,$K20,EN$16)&lt;=mediçao,CN20,0),0),PLE!$AA$28*CN20)</f>
        <v>0</v>
      </c>
      <c r="EO20" s="120">
        <f ca="1">IF($K20&lt;&gt;1,IF(ISNUMBER(INDEX(Import.PLE,$K20,EO$16)),IF(INDEX(Import.PLE,$K20,EO$16)&lt;=mediçao,CO20,0),0),PLE!$AA$28*CO20)</f>
        <v>0</v>
      </c>
      <c r="EP20" s="120">
        <f ca="1">IF($K20&lt;&gt;1,IF(ISNUMBER(INDEX(Import.PLE,$K20,EP$16)),IF(INDEX(Import.PLE,$K20,EP$16)&lt;=mediçao,CP20,0),0),PLE!$AA$28*CP20)</f>
        <v>0</v>
      </c>
      <c r="EQ20" s="120">
        <f ca="1">IF($K20&lt;&gt;1,IF(ISNUMBER(INDEX(Import.PLE,$K20,EQ$16)),IF(INDEX(Import.PLE,$K20,EQ$16)&lt;=mediçao,CQ20,0),0),PLE!$AA$28*CQ20)</f>
        <v>0</v>
      </c>
      <c r="ER20" s="120">
        <f ca="1">IF($K20&lt;&gt;1,IF(ISNUMBER(INDEX(Import.PLE,$K20,ER$16)),IF(INDEX(Import.PLE,$K20,ER$16)&lt;=mediçao,CR20,0),0),PLE!$AA$28*CR20)</f>
        <v>0</v>
      </c>
      <c r="ES20" s="120">
        <f ca="1">IF($K20&lt;&gt;1,IF(ISNUMBER(INDEX(Import.PLE,$K20,ES$16)),IF(INDEX(Import.PLE,$K20,ES$16)&lt;=mediçao,CS20,0),0),PLE!$AA$28*CS20)</f>
        <v>0</v>
      </c>
      <c r="ET20" s="120">
        <f ca="1">IF($K20&lt;&gt;1,IF(ISNUMBER(INDEX(Import.PLE,$K20,ET$16)),IF(INDEX(Import.PLE,$K20,ET$16)&lt;=mediçao,CT20,0),0),PLE!$AA$28*CT20)</f>
        <v>0</v>
      </c>
      <c r="EU20" s="120">
        <f ca="1">IF($K20&lt;&gt;1,IF(ISNUMBER(INDEX(Import.PLE,$K20,EU$16)),IF(INDEX(Import.PLE,$K20,EU$16)&lt;=mediçao,CU20,0),0),PLE!$AA$28*CU20)</f>
        <v>0</v>
      </c>
      <c r="EV20" s="120">
        <f ca="1">IF($K20&lt;&gt;1,IF(ISNUMBER(INDEX(Import.PLE,$K20,EV$16)),IF(INDEX(Import.PLE,$K20,EV$16)&lt;=mediçao,CV20,0),0),PLE!$AA$28*CV20)</f>
        <v>0</v>
      </c>
      <c r="EW20" s="120">
        <f ca="1">IF($K20&lt;&gt;1,IF(ISNUMBER(INDEX(Import.PLE,$K20,EW$16)),IF(INDEX(Import.PLE,$K20,EW$16)&lt;=mediçao,CW20,0),0),PLE!$AA$28*CW20)</f>
        <v>0</v>
      </c>
      <c r="EX20" s="120">
        <f ca="1">IF($K20&lt;&gt;1,IF(ISNUMBER(INDEX(Import.PLE,$K20,EX$16)),IF(INDEX(Import.PLE,$K20,EX$16)&lt;=mediçao,CX20,0),0),PLE!$AA$28*CX20)</f>
        <v>0</v>
      </c>
      <c r="EY20" s="120">
        <f ca="1">IF($K20&lt;&gt;1,IF(ISNUMBER(INDEX(Import.PLE,$K20,EY$16)),IF(INDEX(Import.PLE,$K20,EY$16)&lt;=mediçao,CY20,0),0),PLE!$AA$28*CY20)</f>
        <v>0</v>
      </c>
      <c r="EZ20" s="120">
        <f ca="1">IF($K20&lt;&gt;1,IF(ISNUMBER(INDEX(Import.PLE,$K20,EZ$16)),IF(INDEX(Import.PLE,$K20,EZ$16)&lt;=mediçao,CZ20,0),0),PLE!$AA$28*CZ20)</f>
        <v>0</v>
      </c>
      <c r="FA20" s="120">
        <f ca="1">IF($K20&lt;&gt;1,IF(ISNUMBER(INDEX(Import.PLE,$K20,FA$16)),IF(INDEX(Import.PLE,$K20,FA$16)&lt;=mediçao,DA20,0),0),PLE!$AA$28*DA20)</f>
        <v>0</v>
      </c>
      <c r="FB20" s="120">
        <f ca="1">IF($K20&lt;&gt;1,IF(ISNUMBER(INDEX(Import.PLE,$K20,FB$16)),IF(INDEX(Import.PLE,$K20,FB$16)&lt;=mediçao,DB20,0),0),PLE!$AA$28*DB20)</f>
        <v>0</v>
      </c>
      <c r="FC20" s="120">
        <f ca="1">IF($K20&lt;&gt;1,IF(ISNUMBER(INDEX(Import.PLE,$K20,FC$16)),IF(INDEX(Import.PLE,$K20,FC$16)&lt;=mediçao,DC20,0),0),PLE!$AA$28*DC20)</f>
        <v>0</v>
      </c>
      <c r="FD20" s="120">
        <f ca="1">IF($K20&lt;&gt;1,IF(ISNUMBER(INDEX(Import.PLE,$K20,FD$16)),IF(INDEX(Import.PLE,$K20,FD$16)&lt;=mediçao,DD20,0),0),PLE!$AA$28*DD20)</f>
        <v>0</v>
      </c>
      <c r="FE20" s="120">
        <f ca="1">IF($K20&lt;&gt;1,IF(ISNUMBER(INDEX(Import.PLE,$K20,FE$16)),IF(INDEX(Import.PLE,$K20,FE$16)&lt;=mediçao,DE20,0),0),PLE!$AA$28*DE20)</f>
        <v>0</v>
      </c>
      <c r="FF20" s="120">
        <f ca="1">IF($K20&lt;&gt;1,IF(ISNUMBER(INDEX(Import.PLE,$K20,FF$16)),IF(INDEX(Import.PLE,$K20,FF$16)&lt;=mediçao,DF20,0),0),PLE!$AA$28*DF20)</f>
        <v>0</v>
      </c>
      <c r="FG20" s="120">
        <f ca="1">IF($K20&lt;&gt;1,IF(ISNUMBER(INDEX(Import.PLE,$K20,FG$16)),IF(INDEX(Import.PLE,$K20,FG$16)&lt;=mediçao,DG20,0),0),PLE!$AA$28*DG20)</f>
        <v>0</v>
      </c>
      <c r="FH20" s="120">
        <f ca="1">IF($K20&lt;&gt;1,IF(ISNUMBER(INDEX(Import.PLE,$K20,FH$16)),IF(INDEX(Import.PLE,$K20,FH$16)&lt;=mediçao,DH20,0),0),PLE!$AA$28*DH20)</f>
        <v>0</v>
      </c>
      <c r="FI20" s="120">
        <f ca="1">IF($K20&lt;&gt;1,IF(ISNUMBER(INDEX(Import.PLE,$K20,FI$16)),IF(INDEX(Import.PLE,$K20,FI$16)&lt;=mediçao,DI20,0),0),PLE!$AA$28*DI20)</f>
        <v>0</v>
      </c>
      <c r="FJ20" s="120">
        <f ca="1">IF($K20&lt;&gt;1,IF(ISNUMBER(INDEX(Import.PLE,$K20,FJ$16)),IF(INDEX(Import.PLE,$K20,FJ$16)&lt;=mediçao,DJ20,0),0),PLE!$AA$28*DJ20)</f>
        <v>0</v>
      </c>
    </row>
    <row r="21" spans="2:166" s="88" customFormat="1" x14ac:dyDescent="0.25">
      <c r="B21" s="119">
        <f t="shared" ca="1" si="3"/>
        <v>4</v>
      </c>
      <c r="C21" s="83" t="str">
        <f t="shared" si="4"/>
        <v>Meta</v>
      </c>
      <c r="D21" s="139">
        <v>2</v>
      </c>
      <c r="E21" s="171" t="s">
        <v>167</v>
      </c>
      <c r="F21" s="172"/>
      <c r="G21" s="175" t="str">
        <f t="shared" si="5"/>
        <v/>
      </c>
      <c r="H21" s="176" t="str">
        <f t="shared" si="6"/>
        <v/>
      </c>
      <c r="I21" s="177"/>
      <c r="J21" s="86"/>
      <c r="K21" s="169" t="str">
        <f>deactivatedados.form1</f>
        <v/>
      </c>
      <c r="L21" s="168"/>
      <c r="M21" s="87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  <c r="AT21" s="182"/>
      <c r="AU21" s="182"/>
      <c r="AV21" s="182"/>
      <c r="AW21" s="182"/>
      <c r="AX21" s="182"/>
      <c r="AY21" s="182"/>
      <c r="AZ21" s="182"/>
      <c r="BA21" s="182"/>
      <c r="BB21" s="182"/>
      <c r="BC21" s="182"/>
      <c r="BD21" s="182"/>
      <c r="BE21" s="182"/>
      <c r="BF21" s="182"/>
      <c r="BG21" s="182"/>
      <c r="BH21" s="182"/>
      <c r="BI21" s="182"/>
      <c r="BJ21" s="182"/>
      <c r="BK21" s="182"/>
      <c r="BM21" s="120">
        <f t="shared" si="7"/>
        <v>0</v>
      </c>
      <c r="BN21" s="120">
        <f t="shared" si="8"/>
        <v>0</v>
      </c>
      <c r="BO21" s="120">
        <f t="shared" si="9"/>
        <v>0</v>
      </c>
      <c r="BP21" s="120">
        <f t="shared" si="10"/>
        <v>0</v>
      </c>
      <c r="BQ21" s="120">
        <f t="shared" si="11"/>
        <v>0</v>
      </c>
      <c r="BR21" s="120">
        <f t="shared" si="12"/>
        <v>0</v>
      </c>
      <c r="BS21" s="120">
        <f t="shared" si="13"/>
        <v>0</v>
      </c>
      <c r="BT21" s="120">
        <f t="shared" si="14"/>
        <v>0</v>
      </c>
      <c r="BU21" s="120">
        <f t="shared" si="15"/>
        <v>0</v>
      </c>
      <c r="BV21" s="120">
        <f t="shared" si="16"/>
        <v>0</v>
      </c>
      <c r="BW21" s="120">
        <f t="shared" si="17"/>
        <v>0</v>
      </c>
      <c r="BX21" s="120">
        <f t="shared" si="18"/>
        <v>0</v>
      </c>
      <c r="BY21" s="120">
        <f t="shared" si="19"/>
        <v>0</v>
      </c>
      <c r="BZ21" s="120">
        <f t="shared" si="20"/>
        <v>0</v>
      </c>
      <c r="CA21" s="120">
        <f t="shared" si="21"/>
        <v>0</v>
      </c>
      <c r="CB21" s="120">
        <f t="shared" si="22"/>
        <v>0</v>
      </c>
      <c r="CC21" s="120">
        <f t="shared" si="23"/>
        <v>0</v>
      </c>
      <c r="CD21" s="120">
        <f t="shared" si="24"/>
        <v>0</v>
      </c>
      <c r="CE21" s="120">
        <f t="shared" si="25"/>
        <v>0</v>
      </c>
      <c r="CF21" s="120">
        <f t="shared" si="26"/>
        <v>0</v>
      </c>
      <c r="CG21" s="120">
        <f t="shared" si="27"/>
        <v>0</v>
      </c>
      <c r="CH21" s="120">
        <f t="shared" si="28"/>
        <v>0</v>
      </c>
      <c r="CI21" s="120">
        <f t="shared" si="29"/>
        <v>0</v>
      </c>
      <c r="CJ21" s="120">
        <f t="shared" si="30"/>
        <v>0</v>
      </c>
      <c r="CK21" s="120">
        <f t="shared" si="31"/>
        <v>0</v>
      </c>
      <c r="CL21" s="120">
        <f t="shared" si="32"/>
        <v>0</v>
      </c>
      <c r="CM21" s="120">
        <f t="shared" si="33"/>
        <v>0</v>
      </c>
      <c r="CN21" s="120">
        <f t="shared" si="34"/>
        <v>0</v>
      </c>
      <c r="CO21" s="120">
        <f t="shared" si="35"/>
        <v>0</v>
      </c>
      <c r="CP21" s="120">
        <f t="shared" si="36"/>
        <v>0</v>
      </c>
      <c r="CQ21" s="120">
        <f t="shared" si="37"/>
        <v>0</v>
      </c>
      <c r="CR21" s="120">
        <f t="shared" si="38"/>
        <v>0</v>
      </c>
      <c r="CS21" s="120">
        <f t="shared" si="39"/>
        <v>0</v>
      </c>
      <c r="CT21" s="120">
        <f t="shared" si="40"/>
        <v>0</v>
      </c>
      <c r="CU21" s="120">
        <f t="shared" si="41"/>
        <v>0</v>
      </c>
      <c r="CV21" s="120">
        <f t="shared" si="42"/>
        <v>0</v>
      </c>
      <c r="CW21" s="120">
        <f t="shared" si="43"/>
        <v>0</v>
      </c>
      <c r="CX21" s="120">
        <f t="shared" si="44"/>
        <v>0</v>
      </c>
      <c r="CY21" s="120">
        <f t="shared" si="45"/>
        <v>0</v>
      </c>
      <c r="CZ21" s="120">
        <f t="shared" si="46"/>
        <v>0</v>
      </c>
      <c r="DA21" s="120">
        <f t="shared" si="47"/>
        <v>0</v>
      </c>
      <c r="DB21" s="120">
        <f t="shared" si="48"/>
        <v>0</v>
      </c>
      <c r="DC21" s="120">
        <f t="shared" si="49"/>
        <v>0</v>
      </c>
      <c r="DD21" s="120">
        <f t="shared" si="50"/>
        <v>0</v>
      </c>
      <c r="DE21" s="120">
        <f t="shared" si="51"/>
        <v>0</v>
      </c>
      <c r="DF21" s="120">
        <f t="shared" si="52"/>
        <v>0</v>
      </c>
      <c r="DG21" s="120">
        <f t="shared" si="53"/>
        <v>0</v>
      </c>
      <c r="DH21" s="120">
        <f t="shared" si="54"/>
        <v>0</v>
      </c>
      <c r="DI21" s="120">
        <f t="shared" si="55"/>
        <v>0</v>
      </c>
      <c r="DJ21" s="120">
        <f t="shared" si="56"/>
        <v>0</v>
      </c>
      <c r="DK21" s="127">
        <f t="shared" si="57"/>
        <v>2</v>
      </c>
      <c r="DL21" s="127">
        <f t="shared" ca="1" si="58"/>
        <v>0</v>
      </c>
      <c r="DM21" s="120">
        <f ca="1">IF($K21&lt;&gt;1,IF(ISNUMBER(INDEX(Import.PLE,$K21,DM$16)),IF(INDEX(Import.PLE,$K21,DM$16)&lt;=mediçao,BM21,0),0),PLE!$AA$28*BM21)</f>
        <v>0</v>
      </c>
      <c r="DN21" s="120">
        <f ca="1">IF($K21&lt;&gt;1,IF(ISNUMBER(INDEX(Import.PLE,$K21,DN$16)),IF(INDEX(Import.PLE,$K21,DN$16)&lt;=mediçao,BN21,0),0),PLE!$AA$28*BN21)</f>
        <v>0</v>
      </c>
      <c r="DO21" s="120">
        <f ca="1">IF($K21&lt;&gt;1,IF(ISNUMBER(INDEX(Import.PLE,$K21,DO$16)),IF(INDEX(Import.PLE,$K21,DO$16)&lt;=mediçao,BO21,0),0),PLE!$AA$28*BO21)</f>
        <v>0</v>
      </c>
      <c r="DP21" s="120">
        <f ca="1">IF($K21&lt;&gt;1,IF(ISNUMBER(INDEX(Import.PLE,$K21,DP$16)),IF(INDEX(Import.PLE,$K21,DP$16)&lt;=mediçao,BP21,0),0),PLE!$AA$28*BP21)</f>
        <v>0</v>
      </c>
      <c r="DQ21" s="120">
        <f ca="1">IF($K21&lt;&gt;1,IF(ISNUMBER(INDEX(Import.PLE,$K21,DQ$16)),IF(INDEX(Import.PLE,$K21,DQ$16)&lt;=mediçao,BQ21,0),0),PLE!$AA$28*BQ21)</f>
        <v>0</v>
      </c>
      <c r="DR21" s="120">
        <f ca="1">IF($K21&lt;&gt;1,IF(ISNUMBER(INDEX(Import.PLE,$K21,DR$16)),IF(INDEX(Import.PLE,$K21,DR$16)&lt;=mediçao,BR21,0),0),PLE!$AA$28*BR21)</f>
        <v>0</v>
      </c>
      <c r="DS21" s="120">
        <f ca="1">IF($K21&lt;&gt;1,IF(ISNUMBER(INDEX(Import.PLE,$K21,DS$16)),IF(INDEX(Import.PLE,$K21,DS$16)&lt;=mediçao,BS21,0),0),PLE!$AA$28*BS21)</f>
        <v>0</v>
      </c>
      <c r="DT21" s="120">
        <f ca="1">IF($K21&lt;&gt;1,IF(ISNUMBER(INDEX(Import.PLE,$K21,DT$16)),IF(INDEX(Import.PLE,$K21,DT$16)&lt;=mediçao,BT21,0),0),PLE!$AA$28*BT21)</f>
        <v>0</v>
      </c>
      <c r="DU21" s="120">
        <f ca="1">IF($K21&lt;&gt;1,IF(ISNUMBER(INDEX(Import.PLE,$K21,DU$16)),IF(INDEX(Import.PLE,$K21,DU$16)&lt;=mediçao,BU21,0),0),PLE!$AA$28*BU21)</f>
        <v>0</v>
      </c>
      <c r="DV21" s="120">
        <f ca="1">IF($K21&lt;&gt;1,IF(ISNUMBER(INDEX(Import.PLE,$K21,DV$16)),IF(INDEX(Import.PLE,$K21,DV$16)&lt;=mediçao,BV21,0),0),PLE!$AA$28*BV21)</f>
        <v>0</v>
      </c>
      <c r="DW21" s="120">
        <f ca="1">IF($K21&lt;&gt;1,IF(ISNUMBER(INDEX(Import.PLE,$K21,DW$16)),IF(INDEX(Import.PLE,$K21,DW$16)&lt;=mediçao,BW21,0),0),PLE!$AA$28*BW21)</f>
        <v>0</v>
      </c>
      <c r="DX21" s="120">
        <f ca="1">IF($K21&lt;&gt;1,IF(ISNUMBER(INDEX(Import.PLE,$K21,DX$16)),IF(INDEX(Import.PLE,$K21,DX$16)&lt;=mediçao,BX21,0),0),PLE!$AA$28*BX21)</f>
        <v>0</v>
      </c>
      <c r="DY21" s="120">
        <f ca="1">IF($K21&lt;&gt;1,IF(ISNUMBER(INDEX(Import.PLE,$K21,DY$16)),IF(INDEX(Import.PLE,$K21,DY$16)&lt;=mediçao,BY21,0),0),PLE!$AA$28*BY21)</f>
        <v>0</v>
      </c>
      <c r="DZ21" s="120">
        <f ca="1">IF($K21&lt;&gt;1,IF(ISNUMBER(INDEX(Import.PLE,$K21,DZ$16)),IF(INDEX(Import.PLE,$K21,DZ$16)&lt;=mediçao,BZ21,0),0),PLE!$AA$28*BZ21)</f>
        <v>0</v>
      </c>
      <c r="EA21" s="120">
        <f ca="1">IF($K21&lt;&gt;1,IF(ISNUMBER(INDEX(Import.PLE,$K21,EA$16)),IF(INDEX(Import.PLE,$K21,EA$16)&lt;=mediçao,CA21,0),0),PLE!$AA$28*CA21)</f>
        <v>0</v>
      </c>
      <c r="EB21" s="120">
        <f ca="1">IF($K21&lt;&gt;1,IF(ISNUMBER(INDEX(Import.PLE,$K21,EB$16)),IF(INDEX(Import.PLE,$K21,EB$16)&lt;=mediçao,CB21,0),0),PLE!$AA$28*CB21)</f>
        <v>0</v>
      </c>
      <c r="EC21" s="120">
        <f ca="1">IF($K21&lt;&gt;1,IF(ISNUMBER(INDEX(Import.PLE,$K21,EC$16)),IF(INDEX(Import.PLE,$K21,EC$16)&lt;=mediçao,CC21,0),0),PLE!$AA$28*CC21)</f>
        <v>0</v>
      </c>
      <c r="ED21" s="120">
        <f ca="1">IF($K21&lt;&gt;1,IF(ISNUMBER(INDEX(Import.PLE,$K21,ED$16)),IF(INDEX(Import.PLE,$K21,ED$16)&lt;=mediçao,CD21,0),0),PLE!$AA$28*CD21)</f>
        <v>0</v>
      </c>
      <c r="EE21" s="120">
        <f ca="1">IF($K21&lt;&gt;1,IF(ISNUMBER(INDEX(Import.PLE,$K21,EE$16)),IF(INDEX(Import.PLE,$K21,EE$16)&lt;=mediçao,CE21,0),0),PLE!$AA$28*CE21)</f>
        <v>0</v>
      </c>
      <c r="EF21" s="120">
        <f ca="1">IF($K21&lt;&gt;1,IF(ISNUMBER(INDEX(Import.PLE,$K21,EF$16)),IF(INDEX(Import.PLE,$K21,EF$16)&lt;=mediçao,CF21,0),0),PLE!$AA$28*CF21)</f>
        <v>0</v>
      </c>
      <c r="EG21" s="120">
        <f ca="1">IF($K21&lt;&gt;1,IF(ISNUMBER(INDEX(Import.PLE,$K21,EG$16)),IF(INDEX(Import.PLE,$K21,EG$16)&lt;=mediçao,CG21,0),0),PLE!$AA$28*CG21)</f>
        <v>0</v>
      </c>
      <c r="EH21" s="120">
        <f ca="1">IF($K21&lt;&gt;1,IF(ISNUMBER(INDEX(Import.PLE,$K21,EH$16)),IF(INDEX(Import.PLE,$K21,EH$16)&lt;=mediçao,CH21,0),0),PLE!$AA$28*CH21)</f>
        <v>0</v>
      </c>
      <c r="EI21" s="120">
        <f ca="1">IF($K21&lt;&gt;1,IF(ISNUMBER(INDEX(Import.PLE,$K21,EI$16)),IF(INDEX(Import.PLE,$K21,EI$16)&lt;=mediçao,CI21,0),0),PLE!$AA$28*CI21)</f>
        <v>0</v>
      </c>
      <c r="EJ21" s="120">
        <f ca="1">IF($K21&lt;&gt;1,IF(ISNUMBER(INDEX(Import.PLE,$K21,EJ$16)),IF(INDEX(Import.PLE,$K21,EJ$16)&lt;=mediçao,CJ21,0),0),PLE!$AA$28*CJ21)</f>
        <v>0</v>
      </c>
      <c r="EK21" s="120">
        <f ca="1">IF($K21&lt;&gt;1,IF(ISNUMBER(INDEX(Import.PLE,$K21,EK$16)),IF(INDEX(Import.PLE,$K21,EK$16)&lt;=mediçao,CK21,0),0),PLE!$AA$28*CK21)</f>
        <v>0</v>
      </c>
      <c r="EL21" s="120">
        <f ca="1">IF($K21&lt;&gt;1,IF(ISNUMBER(INDEX(Import.PLE,$K21,EL$16)),IF(INDEX(Import.PLE,$K21,EL$16)&lt;=mediçao,CL21,0),0),PLE!$AA$28*CL21)</f>
        <v>0</v>
      </c>
      <c r="EM21" s="120">
        <f ca="1">IF($K21&lt;&gt;1,IF(ISNUMBER(INDEX(Import.PLE,$K21,EM$16)),IF(INDEX(Import.PLE,$K21,EM$16)&lt;=mediçao,CM21,0),0),PLE!$AA$28*CM21)</f>
        <v>0</v>
      </c>
      <c r="EN21" s="120">
        <f ca="1">IF($K21&lt;&gt;1,IF(ISNUMBER(INDEX(Import.PLE,$K21,EN$16)),IF(INDEX(Import.PLE,$K21,EN$16)&lt;=mediçao,CN21,0),0),PLE!$AA$28*CN21)</f>
        <v>0</v>
      </c>
      <c r="EO21" s="120">
        <f ca="1">IF($K21&lt;&gt;1,IF(ISNUMBER(INDEX(Import.PLE,$K21,EO$16)),IF(INDEX(Import.PLE,$K21,EO$16)&lt;=mediçao,CO21,0),0),PLE!$AA$28*CO21)</f>
        <v>0</v>
      </c>
      <c r="EP21" s="120">
        <f ca="1">IF($K21&lt;&gt;1,IF(ISNUMBER(INDEX(Import.PLE,$K21,EP$16)),IF(INDEX(Import.PLE,$K21,EP$16)&lt;=mediçao,CP21,0),0),PLE!$AA$28*CP21)</f>
        <v>0</v>
      </c>
      <c r="EQ21" s="120">
        <f ca="1">IF($K21&lt;&gt;1,IF(ISNUMBER(INDEX(Import.PLE,$K21,EQ$16)),IF(INDEX(Import.PLE,$K21,EQ$16)&lt;=mediçao,CQ21,0),0),PLE!$AA$28*CQ21)</f>
        <v>0</v>
      </c>
      <c r="ER21" s="120">
        <f ca="1">IF($K21&lt;&gt;1,IF(ISNUMBER(INDEX(Import.PLE,$K21,ER$16)),IF(INDEX(Import.PLE,$K21,ER$16)&lt;=mediçao,CR21,0),0),PLE!$AA$28*CR21)</f>
        <v>0</v>
      </c>
      <c r="ES21" s="120">
        <f ca="1">IF($K21&lt;&gt;1,IF(ISNUMBER(INDEX(Import.PLE,$K21,ES$16)),IF(INDEX(Import.PLE,$K21,ES$16)&lt;=mediçao,CS21,0),0),PLE!$AA$28*CS21)</f>
        <v>0</v>
      </c>
      <c r="ET21" s="120">
        <f ca="1">IF($K21&lt;&gt;1,IF(ISNUMBER(INDEX(Import.PLE,$K21,ET$16)),IF(INDEX(Import.PLE,$K21,ET$16)&lt;=mediçao,CT21,0),0),PLE!$AA$28*CT21)</f>
        <v>0</v>
      </c>
      <c r="EU21" s="120">
        <f ca="1">IF($K21&lt;&gt;1,IF(ISNUMBER(INDEX(Import.PLE,$K21,EU$16)),IF(INDEX(Import.PLE,$K21,EU$16)&lt;=mediçao,CU21,0),0),PLE!$AA$28*CU21)</f>
        <v>0</v>
      </c>
      <c r="EV21" s="120">
        <f ca="1">IF($K21&lt;&gt;1,IF(ISNUMBER(INDEX(Import.PLE,$K21,EV$16)),IF(INDEX(Import.PLE,$K21,EV$16)&lt;=mediçao,CV21,0),0),PLE!$AA$28*CV21)</f>
        <v>0</v>
      </c>
      <c r="EW21" s="120">
        <f ca="1">IF($K21&lt;&gt;1,IF(ISNUMBER(INDEX(Import.PLE,$K21,EW$16)),IF(INDEX(Import.PLE,$K21,EW$16)&lt;=mediçao,CW21,0),0),PLE!$AA$28*CW21)</f>
        <v>0</v>
      </c>
      <c r="EX21" s="120">
        <f ca="1">IF($K21&lt;&gt;1,IF(ISNUMBER(INDEX(Import.PLE,$K21,EX$16)),IF(INDEX(Import.PLE,$K21,EX$16)&lt;=mediçao,CX21,0),0),PLE!$AA$28*CX21)</f>
        <v>0</v>
      </c>
      <c r="EY21" s="120">
        <f ca="1">IF($K21&lt;&gt;1,IF(ISNUMBER(INDEX(Import.PLE,$K21,EY$16)),IF(INDEX(Import.PLE,$K21,EY$16)&lt;=mediçao,CY21,0),0),PLE!$AA$28*CY21)</f>
        <v>0</v>
      </c>
      <c r="EZ21" s="120">
        <f ca="1">IF($K21&lt;&gt;1,IF(ISNUMBER(INDEX(Import.PLE,$K21,EZ$16)),IF(INDEX(Import.PLE,$K21,EZ$16)&lt;=mediçao,CZ21,0),0),PLE!$AA$28*CZ21)</f>
        <v>0</v>
      </c>
      <c r="FA21" s="120">
        <f ca="1">IF($K21&lt;&gt;1,IF(ISNUMBER(INDEX(Import.PLE,$K21,FA$16)),IF(INDEX(Import.PLE,$K21,FA$16)&lt;=mediçao,DA21,0),0),PLE!$AA$28*DA21)</f>
        <v>0</v>
      </c>
      <c r="FB21" s="120">
        <f ca="1">IF($K21&lt;&gt;1,IF(ISNUMBER(INDEX(Import.PLE,$K21,FB$16)),IF(INDEX(Import.PLE,$K21,FB$16)&lt;=mediçao,DB21,0),0),PLE!$AA$28*DB21)</f>
        <v>0</v>
      </c>
      <c r="FC21" s="120">
        <f ca="1">IF($K21&lt;&gt;1,IF(ISNUMBER(INDEX(Import.PLE,$K21,FC$16)),IF(INDEX(Import.PLE,$K21,FC$16)&lt;=mediçao,DC21,0),0),PLE!$AA$28*DC21)</f>
        <v>0</v>
      </c>
      <c r="FD21" s="120">
        <f ca="1">IF($K21&lt;&gt;1,IF(ISNUMBER(INDEX(Import.PLE,$K21,FD$16)),IF(INDEX(Import.PLE,$K21,FD$16)&lt;=mediçao,DD21,0),0),PLE!$AA$28*DD21)</f>
        <v>0</v>
      </c>
      <c r="FE21" s="120">
        <f ca="1">IF($K21&lt;&gt;1,IF(ISNUMBER(INDEX(Import.PLE,$K21,FE$16)),IF(INDEX(Import.PLE,$K21,FE$16)&lt;=mediçao,DE21,0),0),PLE!$AA$28*DE21)</f>
        <v>0</v>
      </c>
      <c r="FF21" s="120">
        <f ca="1">IF($K21&lt;&gt;1,IF(ISNUMBER(INDEX(Import.PLE,$K21,FF$16)),IF(INDEX(Import.PLE,$K21,FF$16)&lt;=mediçao,DF21,0),0),PLE!$AA$28*DF21)</f>
        <v>0</v>
      </c>
      <c r="FG21" s="120">
        <f ca="1">IF($K21&lt;&gt;1,IF(ISNUMBER(INDEX(Import.PLE,$K21,FG$16)),IF(INDEX(Import.PLE,$K21,FG$16)&lt;=mediçao,DG21,0),0),PLE!$AA$28*DG21)</f>
        <v>0</v>
      </c>
      <c r="FH21" s="120">
        <f ca="1">IF($K21&lt;&gt;1,IF(ISNUMBER(INDEX(Import.PLE,$K21,FH$16)),IF(INDEX(Import.PLE,$K21,FH$16)&lt;=mediçao,DH21,0),0),PLE!$AA$28*DH21)</f>
        <v>0</v>
      </c>
      <c r="FI21" s="120">
        <f ca="1">IF($K21&lt;&gt;1,IF(ISNUMBER(INDEX(Import.PLE,$K21,FI$16)),IF(INDEX(Import.PLE,$K21,FI$16)&lt;=mediçao,DI21,0),0),PLE!$AA$28*DI21)</f>
        <v>0</v>
      </c>
      <c r="FJ21" s="120">
        <f ca="1">IF($K21&lt;&gt;1,IF(ISNUMBER(INDEX(Import.PLE,$K21,FJ$16)),IF(INDEX(Import.PLE,$K21,FJ$16)&lt;=mediçao,DJ21,0),0),PLE!$AA$28*DJ21)</f>
        <v>0</v>
      </c>
    </row>
    <row r="22" spans="2:166" s="88" customFormat="1" ht="22.5" x14ac:dyDescent="0.25">
      <c r="B22" s="119">
        <f t="shared" ca="1" si="3"/>
        <v>5</v>
      </c>
      <c r="C22" s="83" t="str">
        <f t="shared" si="4"/>
        <v>Serviço</v>
      </c>
      <c r="D22" s="170" t="s">
        <v>169</v>
      </c>
      <c r="E22" s="171" t="s">
        <v>168</v>
      </c>
      <c r="F22" s="172" t="s">
        <v>165</v>
      </c>
      <c r="G22" s="175">
        <f t="shared" si="5"/>
        <v>5349.12</v>
      </c>
      <c r="H22" s="176">
        <f t="shared" si="6"/>
        <v>2.5999996261067242</v>
      </c>
      <c r="I22" s="177">
        <v>13907.71</v>
      </c>
      <c r="J22" s="86"/>
      <c r="K22" s="169">
        <f>deactivatedados.form1</f>
        <v>2</v>
      </c>
      <c r="L22" s="168" t="s">
        <v>205</v>
      </c>
      <c r="M22" s="87"/>
      <c r="N22" s="182">
        <v>1102.8499999999999</v>
      </c>
      <c r="O22" s="182">
        <v>452.76</v>
      </c>
      <c r="P22" s="182">
        <v>727.62</v>
      </c>
      <c r="Q22" s="182">
        <v>1032.9000000000001</v>
      </c>
      <c r="R22" s="182">
        <v>390.01</v>
      </c>
      <c r="S22" s="182">
        <v>733.74</v>
      </c>
      <c r="T22" s="182">
        <v>523.79999999999995</v>
      </c>
      <c r="U22" s="182">
        <v>385.44</v>
      </c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2"/>
      <c r="BB22" s="182"/>
      <c r="BC22" s="182"/>
      <c r="BD22" s="182"/>
      <c r="BE22" s="182"/>
      <c r="BF22" s="182"/>
      <c r="BG22" s="182"/>
      <c r="BH22" s="182"/>
      <c r="BI22" s="182"/>
      <c r="BJ22" s="182"/>
      <c r="BK22" s="182"/>
      <c r="BM22" s="120">
        <f t="shared" ca="1" si="7"/>
        <v>2867.4095876518004</v>
      </c>
      <c r="BN22" s="120">
        <f t="shared" ca="1" si="8"/>
        <v>1177.1758307160803</v>
      </c>
      <c r="BO22" s="120">
        <f t="shared" ca="1" si="9"/>
        <v>1891.8117279477747</v>
      </c>
      <c r="BP22" s="120">
        <f t="shared" ca="1" si="10"/>
        <v>2685.5396138056358</v>
      </c>
      <c r="BQ22" s="120">
        <f t="shared" ca="1" si="11"/>
        <v>1014.0258541778835</v>
      </c>
      <c r="BR22" s="120">
        <f t="shared" ca="1" si="12"/>
        <v>1907.7237256595479</v>
      </c>
      <c r="BS22" s="120">
        <f t="shared" ca="1" si="13"/>
        <v>1361.879804154702</v>
      </c>
      <c r="BT22" s="120">
        <f t="shared" ca="1" si="14"/>
        <v>1002.1438558865758</v>
      </c>
      <c r="BU22" s="120">
        <f t="shared" si="15"/>
        <v>0</v>
      </c>
      <c r="BV22" s="120">
        <f t="shared" si="16"/>
        <v>0</v>
      </c>
      <c r="BW22" s="120">
        <f t="shared" si="17"/>
        <v>0</v>
      </c>
      <c r="BX22" s="120">
        <f t="shared" si="18"/>
        <v>0</v>
      </c>
      <c r="BY22" s="120">
        <f t="shared" si="19"/>
        <v>0</v>
      </c>
      <c r="BZ22" s="120">
        <f t="shared" si="20"/>
        <v>0</v>
      </c>
      <c r="CA22" s="120">
        <f t="shared" si="21"/>
        <v>0</v>
      </c>
      <c r="CB22" s="120">
        <f t="shared" si="22"/>
        <v>0</v>
      </c>
      <c r="CC22" s="120">
        <f t="shared" si="23"/>
        <v>0</v>
      </c>
      <c r="CD22" s="120">
        <f t="shared" si="24"/>
        <v>0</v>
      </c>
      <c r="CE22" s="120">
        <f t="shared" si="25"/>
        <v>0</v>
      </c>
      <c r="CF22" s="120">
        <f t="shared" si="26"/>
        <v>0</v>
      </c>
      <c r="CG22" s="120">
        <f t="shared" si="27"/>
        <v>0</v>
      </c>
      <c r="CH22" s="120">
        <f t="shared" si="28"/>
        <v>0</v>
      </c>
      <c r="CI22" s="120">
        <f t="shared" si="29"/>
        <v>0</v>
      </c>
      <c r="CJ22" s="120">
        <f t="shared" si="30"/>
        <v>0</v>
      </c>
      <c r="CK22" s="120">
        <f t="shared" si="31"/>
        <v>0</v>
      </c>
      <c r="CL22" s="120">
        <f t="shared" si="32"/>
        <v>0</v>
      </c>
      <c r="CM22" s="120">
        <f t="shared" si="33"/>
        <v>0</v>
      </c>
      <c r="CN22" s="120">
        <f t="shared" si="34"/>
        <v>0</v>
      </c>
      <c r="CO22" s="120">
        <f t="shared" si="35"/>
        <v>0</v>
      </c>
      <c r="CP22" s="120">
        <f t="shared" si="36"/>
        <v>0</v>
      </c>
      <c r="CQ22" s="120">
        <f t="shared" si="37"/>
        <v>0</v>
      </c>
      <c r="CR22" s="120">
        <f t="shared" si="38"/>
        <v>0</v>
      </c>
      <c r="CS22" s="120">
        <f t="shared" si="39"/>
        <v>0</v>
      </c>
      <c r="CT22" s="120">
        <f t="shared" si="40"/>
        <v>0</v>
      </c>
      <c r="CU22" s="120">
        <f t="shared" si="41"/>
        <v>0</v>
      </c>
      <c r="CV22" s="120">
        <f t="shared" si="42"/>
        <v>0</v>
      </c>
      <c r="CW22" s="120">
        <f t="shared" si="43"/>
        <v>0</v>
      </c>
      <c r="CX22" s="120">
        <f t="shared" si="44"/>
        <v>0</v>
      </c>
      <c r="CY22" s="120">
        <f t="shared" si="45"/>
        <v>0</v>
      </c>
      <c r="CZ22" s="120">
        <f t="shared" si="46"/>
        <v>0</v>
      </c>
      <c r="DA22" s="120">
        <f t="shared" si="47"/>
        <v>0</v>
      </c>
      <c r="DB22" s="120">
        <f t="shared" si="48"/>
        <v>0</v>
      </c>
      <c r="DC22" s="120">
        <f t="shared" si="49"/>
        <v>0</v>
      </c>
      <c r="DD22" s="120">
        <f t="shared" si="50"/>
        <v>0</v>
      </c>
      <c r="DE22" s="120">
        <f t="shared" si="51"/>
        <v>0</v>
      </c>
      <c r="DF22" s="120">
        <f t="shared" si="52"/>
        <v>0</v>
      </c>
      <c r="DG22" s="120">
        <f t="shared" si="53"/>
        <v>0</v>
      </c>
      <c r="DH22" s="120">
        <f t="shared" si="54"/>
        <v>0</v>
      </c>
      <c r="DI22" s="120">
        <f t="shared" si="55"/>
        <v>0</v>
      </c>
      <c r="DJ22" s="120">
        <f t="shared" si="56"/>
        <v>0</v>
      </c>
      <c r="DK22" s="127" t="str">
        <f t="shared" si="57"/>
        <v>2</v>
      </c>
      <c r="DL22" s="127">
        <f t="shared" ca="1" si="58"/>
        <v>0</v>
      </c>
      <c r="DM22" s="120">
        <f ca="1">IF($K22&lt;&gt;1,IF(ISNUMBER(INDEX(Import.PLE,$K22,DM$16)),IF(INDEX(Import.PLE,$K22,DM$16)&lt;=mediçao,BM22,0),0),PLE!$AA$28*BM22)</f>
        <v>0</v>
      </c>
      <c r="DN22" s="120">
        <f ca="1">IF($K22&lt;&gt;1,IF(ISNUMBER(INDEX(Import.PLE,$K22,DN$16)),IF(INDEX(Import.PLE,$K22,DN$16)&lt;=mediçao,BN22,0),0),PLE!$AA$28*BN22)</f>
        <v>0</v>
      </c>
      <c r="DO22" s="120">
        <f ca="1">IF($K22&lt;&gt;1,IF(ISNUMBER(INDEX(Import.PLE,$K22,DO$16)),IF(INDEX(Import.PLE,$K22,DO$16)&lt;=mediçao,BO22,0),0),PLE!$AA$28*BO22)</f>
        <v>0</v>
      </c>
      <c r="DP22" s="120">
        <f ca="1">IF($K22&lt;&gt;1,IF(ISNUMBER(INDEX(Import.PLE,$K22,DP$16)),IF(INDEX(Import.PLE,$K22,DP$16)&lt;=mediçao,BP22,0),0),PLE!$AA$28*BP22)</f>
        <v>0</v>
      </c>
      <c r="DQ22" s="120">
        <f ca="1">IF($K22&lt;&gt;1,IF(ISNUMBER(INDEX(Import.PLE,$K22,DQ$16)),IF(INDEX(Import.PLE,$K22,DQ$16)&lt;=mediçao,BQ22,0),0),PLE!$AA$28*BQ22)</f>
        <v>0</v>
      </c>
      <c r="DR22" s="120">
        <f ca="1">IF($K22&lt;&gt;1,IF(ISNUMBER(INDEX(Import.PLE,$K22,DR$16)),IF(INDEX(Import.PLE,$K22,DR$16)&lt;=mediçao,BR22,0),0),PLE!$AA$28*BR22)</f>
        <v>0</v>
      </c>
      <c r="DS22" s="120">
        <f ca="1">IF($K22&lt;&gt;1,IF(ISNUMBER(INDEX(Import.PLE,$K22,DS$16)),IF(INDEX(Import.PLE,$K22,DS$16)&lt;=mediçao,BS22,0),0),PLE!$AA$28*BS22)</f>
        <v>0</v>
      </c>
      <c r="DT22" s="120">
        <f ca="1">IF($K22&lt;&gt;1,IF(ISNUMBER(INDEX(Import.PLE,$K22,DT$16)),IF(INDEX(Import.PLE,$K22,DT$16)&lt;=mediçao,BT22,0),0),PLE!$AA$28*BT22)</f>
        <v>0</v>
      </c>
      <c r="DU22" s="120">
        <f ca="1">IF($K22&lt;&gt;1,IF(ISNUMBER(INDEX(Import.PLE,$K22,DU$16)),IF(INDEX(Import.PLE,$K22,DU$16)&lt;=mediçao,BU22,0),0),PLE!$AA$28*BU22)</f>
        <v>0</v>
      </c>
      <c r="DV22" s="120">
        <f ca="1">IF($K22&lt;&gt;1,IF(ISNUMBER(INDEX(Import.PLE,$K22,DV$16)),IF(INDEX(Import.PLE,$K22,DV$16)&lt;=mediçao,BV22,0),0),PLE!$AA$28*BV22)</f>
        <v>0</v>
      </c>
      <c r="DW22" s="120">
        <f ca="1">IF($K22&lt;&gt;1,IF(ISNUMBER(INDEX(Import.PLE,$K22,DW$16)),IF(INDEX(Import.PLE,$K22,DW$16)&lt;=mediçao,BW22,0),0),PLE!$AA$28*BW22)</f>
        <v>0</v>
      </c>
      <c r="DX22" s="120">
        <f ca="1">IF($K22&lt;&gt;1,IF(ISNUMBER(INDEX(Import.PLE,$K22,DX$16)),IF(INDEX(Import.PLE,$K22,DX$16)&lt;=mediçao,BX22,0),0),PLE!$AA$28*BX22)</f>
        <v>0</v>
      </c>
      <c r="DY22" s="120">
        <f ca="1">IF($K22&lt;&gt;1,IF(ISNUMBER(INDEX(Import.PLE,$K22,DY$16)),IF(INDEX(Import.PLE,$K22,DY$16)&lt;=mediçao,BY22,0),0),PLE!$AA$28*BY22)</f>
        <v>0</v>
      </c>
      <c r="DZ22" s="120">
        <f ca="1">IF($K22&lt;&gt;1,IF(ISNUMBER(INDEX(Import.PLE,$K22,DZ$16)),IF(INDEX(Import.PLE,$K22,DZ$16)&lt;=mediçao,BZ22,0),0),PLE!$AA$28*BZ22)</f>
        <v>0</v>
      </c>
      <c r="EA22" s="120">
        <f ca="1">IF($K22&lt;&gt;1,IF(ISNUMBER(INDEX(Import.PLE,$K22,EA$16)),IF(INDEX(Import.PLE,$K22,EA$16)&lt;=mediçao,CA22,0),0),PLE!$AA$28*CA22)</f>
        <v>0</v>
      </c>
      <c r="EB22" s="120">
        <f ca="1">IF($K22&lt;&gt;1,IF(ISNUMBER(INDEX(Import.PLE,$K22,EB$16)),IF(INDEX(Import.PLE,$K22,EB$16)&lt;=mediçao,CB22,0),0),PLE!$AA$28*CB22)</f>
        <v>0</v>
      </c>
      <c r="EC22" s="120">
        <f ca="1">IF($K22&lt;&gt;1,IF(ISNUMBER(INDEX(Import.PLE,$K22,EC$16)),IF(INDEX(Import.PLE,$K22,EC$16)&lt;=mediçao,CC22,0),0),PLE!$AA$28*CC22)</f>
        <v>0</v>
      </c>
      <c r="ED22" s="120">
        <f ca="1">IF($K22&lt;&gt;1,IF(ISNUMBER(INDEX(Import.PLE,$K22,ED$16)),IF(INDEX(Import.PLE,$K22,ED$16)&lt;=mediçao,CD22,0),0),PLE!$AA$28*CD22)</f>
        <v>0</v>
      </c>
      <c r="EE22" s="120">
        <f ca="1">IF($K22&lt;&gt;1,IF(ISNUMBER(INDEX(Import.PLE,$K22,EE$16)),IF(INDEX(Import.PLE,$K22,EE$16)&lt;=mediçao,CE22,0),0),PLE!$AA$28*CE22)</f>
        <v>0</v>
      </c>
      <c r="EF22" s="120">
        <f ca="1">IF($K22&lt;&gt;1,IF(ISNUMBER(INDEX(Import.PLE,$K22,EF$16)),IF(INDEX(Import.PLE,$K22,EF$16)&lt;=mediçao,CF22,0),0),PLE!$AA$28*CF22)</f>
        <v>0</v>
      </c>
      <c r="EG22" s="120">
        <f ca="1">IF($K22&lt;&gt;1,IF(ISNUMBER(INDEX(Import.PLE,$K22,EG$16)),IF(INDEX(Import.PLE,$K22,EG$16)&lt;=mediçao,CG22,0),0),PLE!$AA$28*CG22)</f>
        <v>0</v>
      </c>
      <c r="EH22" s="120">
        <f ca="1">IF($K22&lt;&gt;1,IF(ISNUMBER(INDEX(Import.PLE,$K22,EH$16)),IF(INDEX(Import.PLE,$K22,EH$16)&lt;=mediçao,CH22,0),0),PLE!$AA$28*CH22)</f>
        <v>0</v>
      </c>
      <c r="EI22" s="120">
        <f ca="1">IF($K22&lt;&gt;1,IF(ISNUMBER(INDEX(Import.PLE,$K22,EI$16)),IF(INDEX(Import.PLE,$K22,EI$16)&lt;=mediçao,CI22,0),0),PLE!$AA$28*CI22)</f>
        <v>0</v>
      </c>
      <c r="EJ22" s="120">
        <f ca="1">IF($K22&lt;&gt;1,IF(ISNUMBER(INDEX(Import.PLE,$K22,EJ$16)),IF(INDEX(Import.PLE,$K22,EJ$16)&lt;=mediçao,CJ22,0),0),PLE!$AA$28*CJ22)</f>
        <v>0</v>
      </c>
      <c r="EK22" s="120">
        <f ca="1">IF($K22&lt;&gt;1,IF(ISNUMBER(INDEX(Import.PLE,$K22,EK$16)),IF(INDEX(Import.PLE,$K22,EK$16)&lt;=mediçao,CK22,0),0),PLE!$AA$28*CK22)</f>
        <v>0</v>
      </c>
      <c r="EL22" s="120">
        <f ca="1">IF($K22&lt;&gt;1,IF(ISNUMBER(INDEX(Import.PLE,$K22,EL$16)),IF(INDEX(Import.PLE,$K22,EL$16)&lt;=mediçao,CL22,0),0),PLE!$AA$28*CL22)</f>
        <v>0</v>
      </c>
      <c r="EM22" s="120">
        <f ca="1">IF($K22&lt;&gt;1,IF(ISNUMBER(INDEX(Import.PLE,$K22,EM$16)),IF(INDEX(Import.PLE,$K22,EM$16)&lt;=mediçao,CM22,0),0),PLE!$AA$28*CM22)</f>
        <v>0</v>
      </c>
      <c r="EN22" s="120">
        <f ca="1">IF($K22&lt;&gt;1,IF(ISNUMBER(INDEX(Import.PLE,$K22,EN$16)),IF(INDEX(Import.PLE,$K22,EN$16)&lt;=mediçao,CN22,0),0),PLE!$AA$28*CN22)</f>
        <v>0</v>
      </c>
      <c r="EO22" s="120">
        <f ca="1">IF($K22&lt;&gt;1,IF(ISNUMBER(INDEX(Import.PLE,$K22,EO$16)),IF(INDEX(Import.PLE,$K22,EO$16)&lt;=mediçao,CO22,0),0),PLE!$AA$28*CO22)</f>
        <v>0</v>
      </c>
      <c r="EP22" s="120">
        <f ca="1">IF($K22&lt;&gt;1,IF(ISNUMBER(INDEX(Import.PLE,$K22,EP$16)),IF(INDEX(Import.PLE,$K22,EP$16)&lt;=mediçao,CP22,0),0),PLE!$AA$28*CP22)</f>
        <v>0</v>
      </c>
      <c r="EQ22" s="120">
        <f ca="1">IF($K22&lt;&gt;1,IF(ISNUMBER(INDEX(Import.PLE,$K22,EQ$16)),IF(INDEX(Import.PLE,$K22,EQ$16)&lt;=mediçao,CQ22,0),0),PLE!$AA$28*CQ22)</f>
        <v>0</v>
      </c>
      <c r="ER22" s="120">
        <f ca="1">IF($K22&lt;&gt;1,IF(ISNUMBER(INDEX(Import.PLE,$K22,ER$16)),IF(INDEX(Import.PLE,$K22,ER$16)&lt;=mediçao,CR22,0),0),PLE!$AA$28*CR22)</f>
        <v>0</v>
      </c>
      <c r="ES22" s="120">
        <f ca="1">IF($K22&lt;&gt;1,IF(ISNUMBER(INDEX(Import.PLE,$K22,ES$16)),IF(INDEX(Import.PLE,$K22,ES$16)&lt;=mediçao,CS22,0),0),PLE!$AA$28*CS22)</f>
        <v>0</v>
      </c>
      <c r="ET22" s="120">
        <f ca="1">IF($K22&lt;&gt;1,IF(ISNUMBER(INDEX(Import.PLE,$K22,ET$16)),IF(INDEX(Import.PLE,$K22,ET$16)&lt;=mediçao,CT22,0),0),PLE!$AA$28*CT22)</f>
        <v>0</v>
      </c>
      <c r="EU22" s="120">
        <f ca="1">IF($K22&lt;&gt;1,IF(ISNUMBER(INDEX(Import.PLE,$K22,EU$16)),IF(INDEX(Import.PLE,$K22,EU$16)&lt;=mediçao,CU22,0),0),PLE!$AA$28*CU22)</f>
        <v>0</v>
      </c>
      <c r="EV22" s="120">
        <f ca="1">IF($K22&lt;&gt;1,IF(ISNUMBER(INDEX(Import.PLE,$K22,EV$16)),IF(INDEX(Import.PLE,$K22,EV$16)&lt;=mediçao,CV22,0),0),PLE!$AA$28*CV22)</f>
        <v>0</v>
      </c>
      <c r="EW22" s="120">
        <f ca="1">IF($K22&lt;&gt;1,IF(ISNUMBER(INDEX(Import.PLE,$K22,EW$16)),IF(INDEX(Import.PLE,$K22,EW$16)&lt;=mediçao,CW22,0),0),PLE!$AA$28*CW22)</f>
        <v>0</v>
      </c>
      <c r="EX22" s="120">
        <f ca="1">IF($K22&lt;&gt;1,IF(ISNUMBER(INDEX(Import.PLE,$K22,EX$16)),IF(INDEX(Import.PLE,$K22,EX$16)&lt;=mediçao,CX22,0),0),PLE!$AA$28*CX22)</f>
        <v>0</v>
      </c>
      <c r="EY22" s="120">
        <f ca="1">IF($K22&lt;&gt;1,IF(ISNUMBER(INDEX(Import.PLE,$K22,EY$16)),IF(INDEX(Import.PLE,$K22,EY$16)&lt;=mediçao,CY22,0),0),PLE!$AA$28*CY22)</f>
        <v>0</v>
      </c>
      <c r="EZ22" s="120">
        <f ca="1">IF($K22&lt;&gt;1,IF(ISNUMBER(INDEX(Import.PLE,$K22,EZ$16)),IF(INDEX(Import.PLE,$K22,EZ$16)&lt;=mediçao,CZ22,0),0),PLE!$AA$28*CZ22)</f>
        <v>0</v>
      </c>
      <c r="FA22" s="120">
        <f ca="1">IF($K22&lt;&gt;1,IF(ISNUMBER(INDEX(Import.PLE,$K22,FA$16)),IF(INDEX(Import.PLE,$K22,FA$16)&lt;=mediçao,DA22,0),0),PLE!$AA$28*DA22)</f>
        <v>0</v>
      </c>
      <c r="FB22" s="120">
        <f ca="1">IF($K22&lt;&gt;1,IF(ISNUMBER(INDEX(Import.PLE,$K22,FB$16)),IF(INDEX(Import.PLE,$K22,FB$16)&lt;=mediçao,DB22,0),0),PLE!$AA$28*DB22)</f>
        <v>0</v>
      </c>
      <c r="FC22" s="120">
        <f ca="1">IF($K22&lt;&gt;1,IF(ISNUMBER(INDEX(Import.PLE,$K22,FC$16)),IF(INDEX(Import.PLE,$K22,FC$16)&lt;=mediçao,DC22,0),0),PLE!$AA$28*DC22)</f>
        <v>0</v>
      </c>
      <c r="FD22" s="120">
        <f ca="1">IF($K22&lt;&gt;1,IF(ISNUMBER(INDEX(Import.PLE,$K22,FD$16)),IF(INDEX(Import.PLE,$K22,FD$16)&lt;=mediçao,DD22,0),0),PLE!$AA$28*DD22)</f>
        <v>0</v>
      </c>
      <c r="FE22" s="120">
        <f ca="1">IF($K22&lt;&gt;1,IF(ISNUMBER(INDEX(Import.PLE,$K22,FE$16)),IF(INDEX(Import.PLE,$K22,FE$16)&lt;=mediçao,DE22,0),0),PLE!$AA$28*DE22)</f>
        <v>0</v>
      </c>
      <c r="FF22" s="120">
        <f ca="1">IF($K22&lt;&gt;1,IF(ISNUMBER(INDEX(Import.PLE,$K22,FF$16)),IF(INDEX(Import.PLE,$K22,FF$16)&lt;=mediçao,DF22,0),0),PLE!$AA$28*DF22)</f>
        <v>0</v>
      </c>
      <c r="FG22" s="120">
        <f ca="1">IF($K22&lt;&gt;1,IF(ISNUMBER(INDEX(Import.PLE,$K22,FG$16)),IF(INDEX(Import.PLE,$K22,FG$16)&lt;=mediçao,DG22,0),0),PLE!$AA$28*DG22)</f>
        <v>0</v>
      </c>
      <c r="FH22" s="120">
        <f ca="1">IF($K22&lt;&gt;1,IF(ISNUMBER(INDEX(Import.PLE,$K22,FH$16)),IF(INDEX(Import.PLE,$K22,FH$16)&lt;=mediçao,DH22,0),0),PLE!$AA$28*DH22)</f>
        <v>0</v>
      </c>
      <c r="FI22" s="120">
        <f ca="1">IF($K22&lt;&gt;1,IF(ISNUMBER(INDEX(Import.PLE,$K22,FI$16)),IF(INDEX(Import.PLE,$K22,FI$16)&lt;=mediçao,DI22,0),0),PLE!$AA$28*DI22)</f>
        <v>0</v>
      </c>
      <c r="FJ22" s="120">
        <f ca="1">IF($K22&lt;&gt;1,IF(ISNUMBER(INDEX(Import.PLE,$K22,FJ$16)),IF(INDEX(Import.PLE,$K22,FJ$16)&lt;=mediçao,DJ22,0),0),PLE!$AA$28*DJ22)</f>
        <v>0</v>
      </c>
    </row>
    <row r="23" spans="2:166" s="88" customFormat="1" x14ac:dyDescent="0.25">
      <c r="B23" s="119">
        <f t="shared" ca="1" si="3"/>
        <v>6</v>
      </c>
      <c r="C23" s="83" t="str">
        <f t="shared" si="4"/>
        <v>Meta</v>
      </c>
      <c r="D23" s="139">
        <v>3</v>
      </c>
      <c r="E23" s="171" t="s">
        <v>158</v>
      </c>
      <c r="F23" s="138"/>
      <c r="G23" s="175" t="str">
        <f t="shared" si="5"/>
        <v/>
      </c>
      <c r="H23" s="176" t="str">
        <f t="shared" si="6"/>
        <v/>
      </c>
      <c r="I23" s="177"/>
      <c r="J23" s="86"/>
      <c r="K23" s="169" t="str">
        <f>deactivatedados.form1</f>
        <v/>
      </c>
      <c r="L23" s="168"/>
      <c r="M23" s="87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182"/>
      <c r="AW23" s="182"/>
      <c r="AX23" s="182"/>
      <c r="AY23" s="182"/>
      <c r="AZ23" s="182"/>
      <c r="BA23" s="182"/>
      <c r="BB23" s="182"/>
      <c r="BC23" s="182"/>
      <c r="BD23" s="182"/>
      <c r="BE23" s="182"/>
      <c r="BF23" s="182"/>
      <c r="BG23" s="182"/>
      <c r="BH23" s="182"/>
      <c r="BI23" s="182"/>
      <c r="BJ23" s="182"/>
      <c r="BK23" s="182"/>
      <c r="BM23" s="120">
        <f t="shared" si="7"/>
        <v>0</v>
      </c>
      <c r="BN23" s="120">
        <f t="shared" si="8"/>
        <v>0</v>
      </c>
      <c r="BO23" s="120">
        <f t="shared" si="9"/>
        <v>0</v>
      </c>
      <c r="BP23" s="120">
        <f t="shared" si="10"/>
        <v>0</v>
      </c>
      <c r="BQ23" s="120">
        <f t="shared" si="11"/>
        <v>0</v>
      </c>
      <c r="BR23" s="120">
        <f t="shared" si="12"/>
        <v>0</v>
      </c>
      <c r="BS23" s="120">
        <f t="shared" si="13"/>
        <v>0</v>
      </c>
      <c r="BT23" s="120">
        <f t="shared" si="14"/>
        <v>0</v>
      </c>
      <c r="BU23" s="120">
        <f t="shared" si="15"/>
        <v>0</v>
      </c>
      <c r="BV23" s="120">
        <f t="shared" si="16"/>
        <v>0</v>
      </c>
      <c r="BW23" s="120">
        <f t="shared" si="17"/>
        <v>0</v>
      </c>
      <c r="BX23" s="120">
        <f t="shared" si="18"/>
        <v>0</v>
      </c>
      <c r="BY23" s="120">
        <f t="shared" si="19"/>
        <v>0</v>
      </c>
      <c r="BZ23" s="120">
        <f t="shared" si="20"/>
        <v>0</v>
      </c>
      <c r="CA23" s="120">
        <f t="shared" si="21"/>
        <v>0</v>
      </c>
      <c r="CB23" s="120">
        <f t="shared" si="22"/>
        <v>0</v>
      </c>
      <c r="CC23" s="120">
        <f t="shared" si="23"/>
        <v>0</v>
      </c>
      <c r="CD23" s="120">
        <f t="shared" si="24"/>
        <v>0</v>
      </c>
      <c r="CE23" s="120">
        <f t="shared" si="25"/>
        <v>0</v>
      </c>
      <c r="CF23" s="120">
        <f t="shared" si="26"/>
        <v>0</v>
      </c>
      <c r="CG23" s="120">
        <f t="shared" si="27"/>
        <v>0</v>
      </c>
      <c r="CH23" s="120">
        <f t="shared" si="28"/>
        <v>0</v>
      </c>
      <c r="CI23" s="120">
        <f t="shared" si="29"/>
        <v>0</v>
      </c>
      <c r="CJ23" s="120">
        <f t="shared" si="30"/>
        <v>0</v>
      </c>
      <c r="CK23" s="120">
        <f t="shared" si="31"/>
        <v>0</v>
      </c>
      <c r="CL23" s="120">
        <f t="shared" si="32"/>
        <v>0</v>
      </c>
      <c r="CM23" s="120">
        <f t="shared" si="33"/>
        <v>0</v>
      </c>
      <c r="CN23" s="120">
        <f t="shared" si="34"/>
        <v>0</v>
      </c>
      <c r="CO23" s="120">
        <f t="shared" si="35"/>
        <v>0</v>
      </c>
      <c r="CP23" s="120">
        <f t="shared" si="36"/>
        <v>0</v>
      </c>
      <c r="CQ23" s="120">
        <f t="shared" si="37"/>
        <v>0</v>
      </c>
      <c r="CR23" s="120">
        <f t="shared" si="38"/>
        <v>0</v>
      </c>
      <c r="CS23" s="120">
        <f t="shared" si="39"/>
        <v>0</v>
      </c>
      <c r="CT23" s="120">
        <f t="shared" si="40"/>
        <v>0</v>
      </c>
      <c r="CU23" s="120">
        <f t="shared" si="41"/>
        <v>0</v>
      </c>
      <c r="CV23" s="120">
        <f t="shared" si="42"/>
        <v>0</v>
      </c>
      <c r="CW23" s="120">
        <f t="shared" si="43"/>
        <v>0</v>
      </c>
      <c r="CX23" s="120">
        <f t="shared" si="44"/>
        <v>0</v>
      </c>
      <c r="CY23" s="120">
        <f t="shared" si="45"/>
        <v>0</v>
      </c>
      <c r="CZ23" s="120">
        <f t="shared" si="46"/>
        <v>0</v>
      </c>
      <c r="DA23" s="120">
        <f t="shared" si="47"/>
        <v>0</v>
      </c>
      <c r="DB23" s="120">
        <f t="shared" si="48"/>
        <v>0</v>
      </c>
      <c r="DC23" s="120">
        <f t="shared" si="49"/>
        <v>0</v>
      </c>
      <c r="DD23" s="120">
        <f t="shared" si="50"/>
        <v>0</v>
      </c>
      <c r="DE23" s="120">
        <f t="shared" si="51"/>
        <v>0</v>
      </c>
      <c r="DF23" s="120">
        <f t="shared" si="52"/>
        <v>0</v>
      </c>
      <c r="DG23" s="120">
        <f t="shared" si="53"/>
        <v>0</v>
      </c>
      <c r="DH23" s="120">
        <f t="shared" si="54"/>
        <v>0</v>
      </c>
      <c r="DI23" s="120">
        <f t="shared" si="55"/>
        <v>0</v>
      </c>
      <c r="DJ23" s="120">
        <f t="shared" si="56"/>
        <v>0</v>
      </c>
      <c r="DK23" s="127">
        <f t="shared" si="57"/>
        <v>3</v>
      </c>
      <c r="DL23" s="127">
        <f t="shared" ca="1" si="58"/>
        <v>0</v>
      </c>
      <c r="DM23" s="120">
        <f ca="1">IF($K23&lt;&gt;1,IF(ISNUMBER(INDEX(Import.PLE,$K23,DM$16)),IF(INDEX(Import.PLE,$K23,DM$16)&lt;=mediçao,BM23,0),0),PLE!$AA$28*BM23)</f>
        <v>0</v>
      </c>
      <c r="DN23" s="120">
        <f ca="1">IF($K23&lt;&gt;1,IF(ISNUMBER(INDEX(Import.PLE,$K23,DN$16)),IF(INDEX(Import.PLE,$K23,DN$16)&lt;=mediçao,BN23,0),0),PLE!$AA$28*BN23)</f>
        <v>0</v>
      </c>
      <c r="DO23" s="120">
        <f ca="1">IF($K23&lt;&gt;1,IF(ISNUMBER(INDEX(Import.PLE,$K23,DO$16)),IF(INDEX(Import.PLE,$K23,DO$16)&lt;=mediçao,BO23,0),0),PLE!$AA$28*BO23)</f>
        <v>0</v>
      </c>
      <c r="DP23" s="120">
        <f ca="1">IF($K23&lt;&gt;1,IF(ISNUMBER(INDEX(Import.PLE,$K23,DP$16)),IF(INDEX(Import.PLE,$K23,DP$16)&lt;=mediçao,BP23,0),0),PLE!$AA$28*BP23)</f>
        <v>0</v>
      </c>
      <c r="DQ23" s="120">
        <f ca="1">IF($K23&lt;&gt;1,IF(ISNUMBER(INDEX(Import.PLE,$K23,DQ$16)),IF(INDEX(Import.PLE,$K23,DQ$16)&lt;=mediçao,BQ23,0),0),PLE!$AA$28*BQ23)</f>
        <v>0</v>
      </c>
      <c r="DR23" s="120">
        <f ca="1">IF($K23&lt;&gt;1,IF(ISNUMBER(INDEX(Import.PLE,$K23,DR$16)),IF(INDEX(Import.PLE,$K23,DR$16)&lt;=mediçao,BR23,0),0),PLE!$AA$28*BR23)</f>
        <v>0</v>
      </c>
      <c r="DS23" s="120">
        <f ca="1">IF($K23&lt;&gt;1,IF(ISNUMBER(INDEX(Import.PLE,$K23,DS$16)),IF(INDEX(Import.PLE,$K23,DS$16)&lt;=mediçao,BS23,0),0),PLE!$AA$28*BS23)</f>
        <v>0</v>
      </c>
      <c r="DT23" s="120">
        <f ca="1">IF($K23&lt;&gt;1,IF(ISNUMBER(INDEX(Import.PLE,$K23,DT$16)),IF(INDEX(Import.PLE,$K23,DT$16)&lt;=mediçao,BT23,0),0),PLE!$AA$28*BT23)</f>
        <v>0</v>
      </c>
      <c r="DU23" s="120">
        <f ca="1">IF($K23&lt;&gt;1,IF(ISNUMBER(INDEX(Import.PLE,$K23,DU$16)),IF(INDEX(Import.PLE,$K23,DU$16)&lt;=mediçao,BU23,0),0),PLE!$AA$28*BU23)</f>
        <v>0</v>
      </c>
      <c r="DV23" s="120">
        <f ca="1">IF($K23&lt;&gt;1,IF(ISNUMBER(INDEX(Import.PLE,$K23,DV$16)),IF(INDEX(Import.PLE,$K23,DV$16)&lt;=mediçao,BV23,0),0),PLE!$AA$28*BV23)</f>
        <v>0</v>
      </c>
      <c r="DW23" s="120">
        <f ca="1">IF($K23&lt;&gt;1,IF(ISNUMBER(INDEX(Import.PLE,$K23,DW$16)),IF(INDEX(Import.PLE,$K23,DW$16)&lt;=mediçao,BW23,0),0),PLE!$AA$28*BW23)</f>
        <v>0</v>
      </c>
      <c r="DX23" s="120">
        <f ca="1">IF($K23&lt;&gt;1,IF(ISNUMBER(INDEX(Import.PLE,$K23,DX$16)),IF(INDEX(Import.PLE,$K23,DX$16)&lt;=mediçao,BX23,0),0),PLE!$AA$28*BX23)</f>
        <v>0</v>
      </c>
      <c r="DY23" s="120">
        <f ca="1">IF($K23&lt;&gt;1,IF(ISNUMBER(INDEX(Import.PLE,$K23,DY$16)),IF(INDEX(Import.PLE,$K23,DY$16)&lt;=mediçao,BY23,0),0),PLE!$AA$28*BY23)</f>
        <v>0</v>
      </c>
      <c r="DZ23" s="120">
        <f ca="1">IF($K23&lt;&gt;1,IF(ISNUMBER(INDEX(Import.PLE,$K23,DZ$16)),IF(INDEX(Import.PLE,$K23,DZ$16)&lt;=mediçao,BZ23,0),0),PLE!$AA$28*BZ23)</f>
        <v>0</v>
      </c>
      <c r="EA23" s="120">
        <f ca="1">IF($K23&lt;&gt;1,IF(ISNUMBER(INDEX(Import.PLE,$K23,EA$16)),IF(INDEX(Import.PLE,$K23,EA$16)&lt;=mediçao,CA23,0),0),PLE!$AA$28*CA23)</f>
        <v>0</v>
      </c>
      <c r="EB23" s="120">
        <f ca="1">IF($K23&lt;&gt;1,IF(ISNUMBER(INDEX(Import.PLE,$K23,EB$16)),IF(INDEX(Import.PLE,$K23,EB$16)&lt;=mediçao,CB23,0),0),PLE!$AA$28*CB23)</f>
        <v>0</v>
      </c>
      <c r="EC23" s="120">
        <f ca="1">IF($K23&lt;&gt;1,IF(ISNUMBER(INDEX(Import.PLE,$K23,EC$16)),IF(INDEX(Import.PLE,$K23,EC$16)&lt;=mediçao,CC23,0),0),PLE!$AA$28*CC23)</f>
        <v>0</v>
      </c>
      <c r="ED23" s="120">
        <f ca="1">IF($K23&lt;&gt;1,IF(ISNUMBER(INDEX(Import.PLE,$K23,ED$16)),IF(INDEX(Import.PLE,$K23,ED$16)&lt;=mediçao,CD23,0),0),PLE!$AA$28*CD23)</f>
        <v>0</v>
      </c>
      <c r="EE23" s="120">
        <f ca="1">IF($K23&lt;&gt;1,IF(ISNUMBER(INDEX(Import.PLE,$K23,EE$16)),IF(INDEX(Import.PLE,$K23,EE$16)&lt;=mediçao,CE23,0),0),PLE!$AA$28*CE23)</f>
        <v>0</v>
      </c>
      <c r="EF23" s="120">
        <f ca="1">IF($K23&lt;&gt;1,IF(ISNUMBER(INDEX(Import.PLE,$K23,EF$16)),IF(INDEX(Import.PLE,$K23,EF$16)&lt;=mediçao,CF23,0),0),PLE!$AA$28*CF23)</f>
        <v>0</v>
      </c>
      <c r="EG23" s="120">
        <f ca="1">IF($K23&lt;&gt;1,IF(ISNUMBER(INDEX(Import.PLE,$K23,EG$16)),IF(INDEX(Import.PLE,$K23,EG$16)&lt;=mediçao,CG23,0),0),PLE!$AA$28*CG23)</f>
        <v>0</v>
      </c>
      <c r="EH23" s="120">
        <f ca="1">IF($K23&lt;&gt;1,IF(ISNUMBER(INDEX(Import.PLE,$K23,EH$16)),IF(INDEX(Import.PLE,$K23,EH$16)&lt;=mediçao,CH23,0),0),PLE!$AA$28*CH23)</f>
        <v>0</v>
      </c>
      <c r="EI23" s="120">
        <f ca="1">IF($K23&lt;&gt;1,IF(ISNUMBER(INDEX(Import.PLE,$K23,EI$16)),IF(INDEX(Import.PLE,$K23,EI$16)&lt;=mediçao,CI23,0),0),PLE!$AA$28*CI23)</f>
        <v>0</v>
      </c>
      <c r="EJ23" s="120">
        <f ca="1">IF($K23&lt;&gt;1,IF(ISNUMBER(INDEX(Import.PLE,$K23,EJ$16)),IF(INDEX(Import.PLE,$K23,EJ$16)&lt;=mediçao,CJ23,0),0),PLE!$AA$28*CJ23)</f>
        <v>0</v>
      </c>
      <c r="EK23" s="120">
        <f ca="1">IF($K23&lt;&gt;1,IF(ISNUMBER(INDEX(Import.PLE,$K23,EK$16)),IF(INDEX(Import.PLE,$K23,EK$16)&lt;=mediçao,CK23,0),0),PLE!$AA$28*CK23)</f>
        <v>0</v>
      </c>
      <c r="EL23" s="120">
        <f ca="1">IF($K23&lt;&gt;1,IF(ISNUMBER(INDEX(Import.PLE,$K23,EL$16)),IF(INDEX(Import.PLE,$K23,EL$16)&lt;=mediçao,CL23,0),0),PLE!$AA$28*CL23)</f>
        <v>0</v>
      </c>
      <c r="EM23" s="120">
        <f ca="1">IF($K23&lt;&gt;1,IF(ISNUMBER(INDEX(Import.PLE,$K23,EM$16)),IF(INDEX(Import.PLE,$K23,EM$16)&lt;=mediçao,CM23,0),0),PLE!$AA$28*CM23)</f>
        <v>0</v>
      </c>
      <c r="EN23" s="120">
        <f ca="1">IF($K23&lt;&gt;1,IF(ISNUMBER(INDEX(Import.PLE,$K23,EN$16)),IF(INDEX(Import.PLE,$K23,EN$16)&lt;=mediçao,CN23,0),0),PLE!$AA$28*CN23)</f>
        <v>0</v>
      </c>
      <c r="EO23" s="120">
        <f ca="1">IF($K23&lt;&gt;1,IF(ISNUMBER(INDEX(Import.PLE,$K23,EO$16)),IF(INDEX(Import.PLE,$K23,EO$16)&lt;=mediçao,CO23,0),0),PLE!$AA$28*CO23)</f>
        <v>0</v>
      </c>
      <c r="EP23" s="120">
        <f ca="1">IF($K23&lt;&gt;1,IF(ISNUMBER(INDEX(Import.PLE,$K23,EP$16)),IF(INDEX(Import.PLE,$K23,EP$16)&lt;=mediçao,CP23,0),0),PLE!$AA$28*CP23)</f>
        <v>0</v>
      </c>
      <c r="EQ23" s="120">
        <f ca="1">IF($K23&lt;&gt;1,IF(ISNUMBER(INDEX(Import.PLE,$K23,EQ$16)),IF(INDEX(Import.PLE,$K23,EQ$16)&lt;=mediçao,CQ23,0),0),PLE!$AA$28*CQ23)</f>
        <v>0</v>
      </c>
      <c r="ER23" s="120">
        <f ca="1">IF($K23&lt;&gt;1,IF(ISNUMBER(INDEX(Import.PLE,$K23,ER$16)),IF(INDEX(Import.PLE,$K23,ER$16)&lt;=mediçao,CR23,0),0),PLE!$AA$28*CR23)</f>
        <v>0</v>
      </c>
      <c r="ES23" s="120">
        <f ca="1">IF($K23&lt;&gt;1,IF(ISNUMBER(INDEX(Import.PLE,$K23,ES$16)),IF(INDEX(Import.PLE,$K23,ES$16)&lt;=mediçao,CS23,0),0),PLE!$AA$28*CS23)</f>
        <v>0</v>
      </c>
      <c r="ET23" s="120">
        <f ca="1">IF($K23&lt;&gt;1,IF(ISNUMBER(INDEX(Import.PLE,$K23,ET$16)),IF(INDEX(Import.PLE,$K23,ET$16)&lt;=mediçao,CT23,0),0),PLE!$AA$28*CT23)</f>
        <v>0</v>
      </c>
      <c r="EU23" s="120">
        <f ca="1">IF($K23&lt;&gt;1,IF(ISNUMBER(INDEX(Import.PLE,$K23,EU$16)),IF(INDEX(Import.PLE,$K23,EU$16)&lt;=mediçao,CU23,0),0),PLE!$AA$28*CU23)</f>
        <v>0</v>
      </c>
      <c r="EV23" s="120">
        <f ca="1">IF($K23&lt;&gt;1,IF(ISNUMBER(INDEX(Import.PLE,$K23,EV$16)),IF(INDEX(Import.PLE,$K23,EV$16)&lt;=mediçao,CV23,0),0),PLE!$AA$28*CV23)</f>
        <v>0</v>
      </c>
      <c r="EW23" s="120">
        <f ca="1">IF($K23&lt;&gt;1,IF(ISNUMBER(INDEX(Import.PLE,$K23,EW$16)),IF(INDEX(Import.PLE,$K23,EW$16)&lt;=mediçao,CW23,0),0),PLE!$AA$28*CW23)</f>
        <v>0</v>
      </c>
      <c r="EX23" s="120">
        <f ca="1">IF($K23&lt;&gt;1,IF(ISNUMBER(INDEX(Import.PLE,$K23,EX$16)),IF(INDEX(Import.PLE,$K23,EX$16)&lt;=mediçao,CX23,0),0),PLE!$AA$28*CX23)</f>
        <v>0</v>
      </c>
      <c r="EY23" s="120">
        <f ca="1">IF($K23&lt;&gt;1,IF(ISNUMBER(INDEX(Import.PLE,$K23,EY$16)),IF(INDEX(Import.PLE,$K23,EY$16)&lt;=mediçao,CY23,0),0),PLE!$AA$28*CY23)</f>
        <v>0</v>
      </c>
      <c r="EZ23" s="120">
        <f ca="1">IF($K23&lt;&gt;1,IF(ISNUMBER(INDEX(Import.PLE,$K23,EZ$16)),IF(INDEX(Import.PLE,$K23,EZ$16)&lt;=mediçao,CZ23,0),0),PLE!$AA$28*CZ23)</f>
        <v>0</v>
      </c>
      <c r="FA23" s="120">
        <f ca="1">IF($K23&lt;&gt;1,IF(ISNUMBER(INDEX(Import.PLE,$K23,FA$16)),IF(INDEX(Import.PLE,$K23,FA$16)&lt;=mediçao,DA23,0),0),PLE!$AA$28*DA23)</f>
        <v>0</v>
      </c>
      <c r="FB23" s="120">
        <f ca="1">IF($K23&lt;&gt;1,IF(ISNUMBER(INDEX(Import.PLE,$K23,FB$16)),IF(INDEX(Import.PLE,$K23,FB$16)&lt;=mediçao,DB23,0),0),PLE!$AA$28*DB23)</f>
        <v>0</v>
      </c>
      <c r="FC23" s="120">
        <f ca="1">IF($K23&lt;&gt;1,IF(ISNUMBER(INDEX(Import.PLE,$K23,FC$16)),IF(INDEX(Import.PLE,$K23,FC$16)&lt;=mediçao,DC23,0),0),PLE!$AA$28*DC23)</f>
        <v>0</v>
      </c>
      <c r="FD23" s="120">
        <f ca="1">IF($K23&lt;&gt;1,IF(ISNUMBER(INDEX(Import.PLE,$K23,FD$16)),IF(INDEX(Import.PLE,$K23,FD$16)&lt;=mediçao,DD23,0),0),PLE!$AA$28*DD23)</f>
        <v>0</v>
      </c>
      <c r="FE23" s="120">
        <f ca="1">IF($K23&lt;&gt;1,IF(ISNUMBER(INDEX(Import.PLE,$K23,FE$16)),IF(INDEX(Import.PLE,$K23,FE$16)&lt;=mediçao,DE23,0),0),PLE!$AA$28*DE23)</f>
        <v>0</v>
      </c>
      <c r="FF23" s="120">
        <f ca="1">IF($K23&lt;&gt;1,IF(ISNUMBER(INDEX(Import.PLE,$K23,FF$16)),IF(INDEX(Import.PLE,$K23,FF$16)&lt;=mediçao,DF23,0),0),PLE!$AA$28*DF23)</f>
        <v>0</v>
      </c>
      <c r="FG23" s="120">
        <f ca="1">IF($K23&lt;&gt;1,IF(ISNUMBER(INDEX(Import.PLE,$K23,FG$16)),IF(INDEX(Import.PLE,$K23,FG$16)&lt;=mediçao,DG23,0),0),PLE!$AA$28*DG23)</f>
        <v>0</v>
      </c>
      <c r="FH23" s="120">
        <f ca="1">IF($K23&lt;&gt;1,IF(ISNUMBER(INDEX(Import.PLE,$K23,FH$16)),IF(INDEX(Import.PLE,$K23,FH$16)&lt;=mediçao,DH23,0),0),PLE!$AA$28*DH23)</f>
        <v>0</v>
      </c>
      <c r="FI23" s="120">
        <f ca="1">IF($K23&lt;&gt;1,IF(ISNUMBER(INDEX(Import.PLE,$K23,FI$16)),IF(INDEX(Import.PLE,$K23,FI$16)&lt;=mediçao,DI23,0),0),PLE!$AA$28*DI23)</f>
        <v>0</v>
      </c>
      <c r="FJ23" s="120">
        <f ca="1">IF($K23&lt;&gt;1,IF(ISNUMBER(INDEX(Import.PLE,$K23,FJ$16)),IF(INDEX(Import.PLE,$K23,FJ$16)&lt;=mediçao,DJ23,0),0),PLE!$AA$28*DJ23)</f>
        <v>0</v>
      </c>
    </row>
    <row r="24" spans="2:166" s="88" customFormat="1" ht="33.75" x14ac:dyDescent="0.25">
      <c r="B24" s="119">
        <f t="shared" ca="1" si="3"/>
        <v>7</v>
      </c>
      <c r="C24" s="83" t="str">
        <f t="shared" si="4"/>
        <v>Serviço</v>
      </c>
      <c r="D24" s="170" t="s">
        <v>174</v>
      </c>
      <c r="E24" s="140" t="s">
        <v>170</v>
      </c>
      <c r="F24" s="138" t="s">
        <v>165</v>
      </c>
      <c r="G24" s="175">
        <f t="shared" si="5"/>
        <v>5349.12</v>
      </c>
      <c r="H24" s="176">
        <f t="shared" si="6"/>
        <v>0.47999857920555161</v>
      </c>
      <c r="I24" s="177">
        <v>2567.5700000000002</v>
      </c>
      <c r="J24" s="86"/>
      <c r="K24" s="169">
        <f>deactivatedados.form1</f>
        <v>2</v>
      </c>
      <c r="L24" s="168" t="s">
        <v>205</v>
      </c>
      <c r="M24" s="87"/>
      <c r="N24" s="182">
        <v>1102.8499999999999</v>
      </c>
      <c r="O24" s="182">
        <v>452.76</v>
      </c>
      <c r="P24" s="182">
        <v>727.62</v>
      </c>
      <c r="Q24" s="182">
        <v>1032.9000000000001</v>
      </c>
      <c r="R24" s="182">
        <v>390.01</v>
      </c>
      <c r="S24" s="182">
        <v>733.74</v>
      </c>
      <c r="T24" s="182">
        <v>523.79999999999995</v>
      </c>
      <c r="U24" s="182">
        <v>385.44</v>
      </c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82"/>
      <c r="BG24" s="182"/>
      <c r="BH24" s="182"/>
      <c r="BI24" s="182"/>
      <c r="BJ24" s="182"/>
      <c r="BK24" s="182"/>
      <c r="BM24" s="120">
        <f t="shared" ca="1" si="7"/>
        <v>529.36643307684255</v>
      </c>
      <c r="BN24" s="120">
        <f t="shared" ca="1" si="8"/>
        <v>217.32415672110554</v>
      </c>
      <c r="BO24" s="120">
        <f t="shared" ca="1" si="9"/>
        <v>349.25656620154348</v>
      </c>
      <c r="BP24" s="120">
        <f t="shared" ca="1" si="10"/>
        <v>495.79053246141433</v>
      </c>
      <c r="BQ24" s="120">
        <f t="shared" ca="1" si="11"/>
        <v>187.20424587595718</v>
      </c>
      <c r="BR24" s="120">
        <f t="shared" ca="1" si="12"/>
        <v>352.19415750628144</v>
      </c>
      <c r="BS24" s="120">
        <f t="shared" ca="1" si="13"/>
        <v>251.4232557878679</v>
      </c>
      <c r="BT24" s="120">
        <f t="shared" ca="1" si="14"/>
        <v>185.01065236898782</v>
      </c>
      <c r="BU24" s="120">
        <f t="shared" si="15"/>
        <v>0</v>
      </c>
      <c r="BV24" s="120">
        <f t="shared" si="16"/>
        <v>0</v>
      </c>
      <c r="BW24" s="120">
        <f t="shared" si="17"/>
        <v>0</v>
      </c>
      <c r="BX24" s="120">
        <f t="shared" si="18"/>
        <v>0</v>
      </c>
      <c r="BY24" s="120">
        <f t="shared" si="19"/>
        <v>0</v>
      </c>
      <c r="BZ24" s="120">
        <f t="shared" si="20"/>
        <v>0</v>
      </c>
      <c r="CA24" s="120">
        <f t="shared" si="21"/>
        <v>0</v>
      </c>
      <c r="CB24" s="120">
        <f t="shared" si="22"/>
        <v>0</v>
      </c>
      <c r="CC24" s="120">
        <f t="shared" si="23"/>
        <v>0</v>
      </c>
      <c r="CD24" s="120">
        <f t="shared" si="24"/>
        <v>0</v>
      </c>
      <c r="CE24" s="120">
        <f t="shared" si="25"/>
        <v>0</v>
      </c>
      <c r="CF24" s="120">
        <f t="shared" si="26"/>
        <v>0</v>
      </c>
      <c r="CG24" s="120">
        <f t="shared" si="27"/>
        <v>0</v>
      </c>
      <c r="CH24" s="120">
        <f t="shared" si="28"/>
        <v>0</v>
      </c>
      <c r="CI24" s="120">
        <f t="shared" si="29"/>
        <v>0</v>
      </c>
      <c r="CJ24" s="120">
        <f t="shared" si="30"/>
        <v>0</v>
      </c>
      <c r="CK24" s="120">
        <f t="shared" si="31"/>
        <v>0</v>
      </c>
      <c r="CL24" s="120">
        <f t="shared" si="32"/>
        <v>0</v>
      </c>
      <c r="CM24" s="120">
        <f t="shared" si="33"/>
        <v>0</v>
      </c>
      <c r="CN24" s="120">
        <f t="shared" si="34"/>
        <v>0</v>
      </c>
      <c r="CO24" s="120">
        <f t="shared" si="35"/>
        <v>0</v>
      </c>
      <c r="CP24" s="120">
        <f t="shared" si="36"/>
        <v>0</v>
      </c>
      <c r="CQ24" s="120">
        <f t="shared" si="37"/>
        <v>0</v>
      </c>
      <c r="CR24" s="120">
        <f t="shared" si="38"/>
        <v>0</v>
      </c>
      <c r="CS24" s="120">
        <f t="shared" si="39"/>
        <v>0</v>
      </c>
      <c r="CT24" s="120">
        <f t="shared" si="40"/>
        <v>0</v>
      </c>
      <c r="CU24" s="120">
        <f t="shared" si="41"/>
        <v>0</v>
      </c>
      <c r="CV24" s="120">
        <f t="shared" si="42"/>
        <v>0</v>
      </c>
      <c r="CW24" s="120">
        <f t="shared" si="43"/>
        <v>0</v>
      </c>
      <c r="CX24" s="120">
        <f t="shared" si="44"/>
        <v>0</v>
      </c>
      <c r="CY24" s="120">
        <f t="shared" si="45"/>
        <v>0</v>
      </c>
      <c r="CZ24" s="120">
        <f t="shared" si="46"/>
        <v>0</v>
      </c>
      <c r="DA24" s="120">
        <f t="shared" si="47"/>
        <v>0</v>
      </c>
      <c r="DB24" s="120">
        <f t="shared" si="48"/>
        <v>0</v>
      </c>
      <c r="DC24" s="120">
        <f t="shared" si="49"/>
        <v>0</v>
      </c>
      <c r="DD24" s="120">
        <f t="shared" si="50"/>
        <v>0</v>
      </c>
      <c r="DE24" s="120">
        <f t="shared" si="51"/>
        <v>0</v>
      </c>
      <c r="DF24" s="120">
        <f t="shared" si="52"/>
        <v>0</v>
      </c>
      <c r="DG24" s="120">
        <f t="shared" si="53"/>
        <v>0</v>
      </c>
      <c r="DH24" s="120">
        <f t="shared" si="54"/>
        <v>0</v>
      </c>
      <c r="DI24" s="120">
        <f t="shared" si="55"/>
        <v>0</v>
      </c>
      <c r="DJ24" s="120">
        <f t="shared" si="56"/>
        <v>0</v>
      </c>
      <c r="DK24" s="127" t="str">
        <f t="shared" si="57"/>
        <v>3</v>
      </c>
      <c r="DL24" s="127">
        <f t="shared" ca="1" si="58"/>
        <v>0</v>
      </c>
      <c r="DM24" s="120">
        <f ca="1">IF($K24&lt;&gt;1,IF(ISNUMBER(INDEX(Import.PLE,$K24,DM$16)),IF(INDEX(Import.PLE,$K24,DM$16)&lt;=mediçao,BM24,0),0),PLE!$AA$28*BM24)</f>
        <v>0</v>
      </c>
      <c r="DN24" s="120">
        <f ca="1">IF($K24&lt;&gt;1,IF(ISNUMBER(INDEX(Import.PLE,$K24,DN$16)),IF(INDEX(Import.PLE,$K24,DN$16)&lt;=mediçao,BN24,0),0),PLE!$AA$28*BN24)</f>
        <v>0</v>
      </c>
      <c r="DO24" s="120">
        <f ca="1">IF($K24&lt;&gt;1,IF(ISNUMBER(INDEX(Import.PLE,$K24,DO$16)),IF(INDEX(Import.PLE,$K24,DO$16)&lt;=mediçao,BO24,0),0),PLE!$AA$28*BO24)</f>
        <v>0</v>
      </c>
      <c r="DP24" s="120">
        <f ca="1">IF($K24&lt;&gt;1,IF(ISNUMBER(INDEX(Import.PLE,$K24,DP$16)),IF(INDEX(Import.PLE,$K24,DP$16)&lt;=mediçao,BP24,0),0),PLE!$AA$28*BP24)</f>
        <v>0</v>
      </c>
      <c r="DQ24" s="120">
        <f ca="1">IF($K24&lt;&gt;1,IF(ISNUMBER(INDEX(Import.PLE,$K24,DQ$16)),IF(INDEX(Import.PLE,$K24,DQ$16)&lt;=mediçao,BQ24,0),0),PLE!$AA$28*BQ24)</f>
        <v>0</v>
      </c>
      <c r="DR24" s="120">
        <f ca="1">IF($K24&lt;&gt;1,IF(ISNUMBER(INDEX(Import.PLE,$K24,DR$16)),IF(INDEX(Import.PLE,$K24,DR$16)&lt;=mediçao,BR24,0),0),PLE!$AA$28*BR24)</f>
        <v>0</v>
      </c>
      <c r="DS24" s="120">
        <f ca="1">IF($K24&lt;&gt;1,IF(ISNUMBER(INDEX(Import.PLE,$K24,DS$16)),IF(INDEX(Import.PLE,$K24,DS$16)&lt;=mediçao,BS24,0),0),PLE!$AA$28*BS24)</f>
        <v>0</v>
      </c>
      <c r="DT24" s="120">
        <f ca="1">IF($K24&lt;&gt;1,IF(ISNUMBER(INDEX(Import.PLE,$K24,DT$16)),IF(INDEX(Import.PLE,$K24,DT$16)&lt;=mediçao,BT24,0),0),PLE!$AA$28*BT24)</f>
        <v>0</v>
      </c>
      <c r="DU24" s="120">
        <f ca="1">IF($K24&lt;&gt;1,IF(ISNUMBER(INDEX(Import.PLE,$K24,DU$16)),IF(INDEX(Import.PLE,$K24,DU$16)&lt;=mediçao,BU24,0),0),PLE!$AA$28*BU24)</f>
        <v>0</v>
      </c>
      <c r="DV24" s="120">
        <f ca="1">IF($K24&lt;&gt;1,IF(ISNUMBER(INDEX(Import.PLE,$K24,DV$16)),IF(INDEX(Import.PLE,$K24,DV$16)&lt;=mediçao,BV24,0),0),PLE!$AA$28*BV24)</f>
        <v>0</v>
      </c>
      <c r="DW24" s="120">
        <f ca="1">IF($K24&lt;&gt;1,IF(ISNUMBER(INDEX(Import.PLE,$K24,DW$16)),IF(INDEX(Import.PLE,$K24,DW$16)&lt;=mediçao,BW24,0),0),PLE!$AA$28*BW24)</f>
        <v>0</v>
      </c>
      <c r="DX24" s="120">
        <f ca="1">IF($K24&lt;&gt;1,IF(ISNUMBER(INDEX(Import.PLE,$K24,DX$16)),IF(INDEX(Import.PLE,$K24,DX$16)&lt;=mediçao,BX24,0),0),PLE!$AA$28*BX24)</f>
        <v>0</v>
      </c>
      <c r="DY24" s="120">
        <f ca="1">IF($K24&lt;&gt;1,IF(ISNUMBER(INDEX(Import.PLE,$K24,DY$16)),IF(INDEX(Import.PLE,$K24,DY$16)&lt;=mediçao,BY24,0),0),PLE!$AA$28*BY24)</f>
        <v>0</v>
      </c>
      <c r="DZ24" s="120">
        <f ca="1">IF($K24&lt;&gt;1,IF(ISNUMBER(INDEX(Import.PLE,$K24,DZ$16)),IF(INDEX(Import.PLE,$K24,DZ$16)&lt;=mediçao,BZ24,0),0),PLE!$AA$28*BZ24)</f>
        <v>0</v>
      </c>
      <c r="EA24" s="120">
        <f ca="1">IF($K24&lt;&gt;1,IF(ISNUMBER(INDEX(Import.PLE,$K24,EA$16)),IF(INDEX(Import.PLE,$K24,EA$16)&lt;=mediçao,CA24,0),0),PLE!$AA$28*CA24)</f>
        <v>0</v>
      </c>
      <c r="EB24" s="120">
        <f ca="1">IF($K24&lt;&gt;1,IF(ISNUMBER(INDEX(Import.PLE,$K24,EB$16)),IF(INDEX(Import.PLE,$K24,EB$16)&lt;=mediçao,CB24,0),0),PLE!$AA$28*CB24)</f>
        <v>0</v>
      </c>
      <c r="EC24" s="120">
        <f ca="1">IF($K24&lt;&gt;1,IF(ISNUMBER(INDEX(Import.PLE,$K24,EC$16)),IF(INDEX(Import.PLE,$K24,EC$16)&lt;=mediçao,CC24,0),0),PLE!$AA$28*CC24)</f>
        <v>0</v>
      </c>
      <c r="ED24" s="120">
        <f ca="1">IF($K24&lt;&gt;1,IF(ISNUMBER(INDEX(Import.PLE,$K24,ED$16)),IF(INDEX(Import.PLE,$K24,ED$16)&lt;=mediçao,CD24,0),0),PLE!$AA$28*CD24)</f>
        <v>0</v>
      </c>
      <c r="EE24" s="120">
        <f ca="1">IF($K24&lt;&gt;1,IF(ISNUMBER(INDEX(Import.PLE,$K24,EE$16)),IF(INDEX(Import.PLE,$K24,EE$16)&lt;=mediçao,CE24,0),0),PLE!$AA$28*CE24)</f>
        <v>0</v>
      </c>
      <c r="EF24" s="120">
        <f ca="1">IF($K24&lt;&gt;1,IF(ISNUMBER(INDEX(Import.PLE,$K24,EF$16)),IF(INDEX(Import.PLE,$K24,EF$16)&lt;=mediçao,CF24,0),0),PLE!$AA$28*CF24)</f>
        <v>0</v>
      </c>
      <c r="EG24" s="120">
        <f ca="1">IF($K24&lt;&gt;1,IF(ISNUMBER(INDEX(Import.PLE,$K24,EG$16)),IF(INDEX(Import.PLE,$K24,EG$16)&lt;=mediçao,CG24,0),0),PLE!$AA$28*CG24)</f>
        <v>0</v>
      </c>
      <c r="EH24" s="120">
        <f ca="1">IF($K24&lt;&gt;1,IF(ISNUMBER(INDEX(Import.PLE,$K24,EH$16)),IF(INDEX(Import.PLE,$K24,EH$16)&lt;=mediçao,CH24,0),0),PLE!$AA$28*CH24)</f>
        <v>0</v>
      </c>
      <c r="EI24" s="120">
        <f ca="1">IF($K24&lt;&gt;1,IF(ISNUMBER(INDEX(Import.PLE,$K24,EI$16)),IF(INDEX(Import.PLE,$K24,EI$16)&lt;=mediçao,CI24,0),0),PLE!$AA$28*CI24)</f>
        <v>0</v>
      </c>
      <c r="EJ24" s="120">
        <f ca="1">IF($K24&lt;&gt;1,IF(ISNUMBER(INDEX(Import.PLE,$K24,EJ$16)),IF(INDEX(Import.PLE,$K24,EJ$16)&lt;=mediçao,CJ24,0),0),PLE!$AA$28*CJ24)</f>
        <v>0</v>
      </c>
      <c r="EK24" s="120">
        <f ca="1">IF($K24&lt;&gt;1,IF(ISNUMBER(INDEX(Import.PLE,$K24,EK$16)),IF(INDEX(Import.PLE,$K24,EK$16)&lt;=mediçao,CK24,0),0),PLE!$AA$28*CK24)</f>
        <v>0</v>
      </c>
      <c r="EL24" s="120">
        <f ca="1">IF($K24&lt;&gt;1,IF(ISNUMBER(INDEX(Import.PLE,$K24,EL$16)),IF(INDEX(Import.PLE,$K24,EL$16)&lt;=mediçao,CL24,0),0),PLE!$AA$28*CL24)</f>
        <v>0</v>
      </c>
      <c r="EM24" s="120">
        <f ca="1">IF($K24&lt;&gt;1,IF(ISNUMBER(INDEX(Import.PLE,$K24,EM$16)),IF(INDEX(Import.PLE,$K24,EM$16)&lt;=mediçao,CM24,0),0),PLE!$AA$28*CM24)</f>
        <v>0</v>
      </c>
      <c r="EN24" s="120">
        <f ca="1">IF($K24&lt;&gt;1,IF(ISNUMBER(INDEX(Import.PLE,$K24,EN$16)),IF(INDEX(Import.PLE,$K24,EN$16)&lt;=mediçao,CN24,0),0),PLE!$AA$28*CN24)</f>
        <v>0</v>
      </c>
      <c r="EO24" s="120">
        <f ca="1">IF($K24&lt;&gt;1,IF(ISNUMBER(INDEX(Import.PLE,$K24,EO$16)),IF(INDEX(Import.PLE,$K24,EO$16)&lt;=mediçao,CO24,0),0),PLE!$AA$28*CO24)</f>
        <v>0</v>
      </c>
      <c r="EP24" s="120">
        <f ca="1">IF($K24&lt;&gt;1,IF(ISNUMBER(INDEX(Import.PLE,$K24,EP$16)),IF(INDEX(Import.PLE,$K24,EP$16)&lt;=mediçao,CP24,0),0),PLE!$AA$28*CP24)</f>
        <v>0</v>
      </c>
      <c r="EQ24" s="120">
        <f ca="1">IF($K24&lt;&gt;1,IF(ISNUMBER(INDEX(Import.PLE,$K24,EQ$16)),IF(INDEX(Import.PLE,$K24,EQ$16)&lt;=mediçao,CQ24,0),0),PLE!$AA$28*CQ24)</f>
        <v>0</v>
      </c>
      <c r="ER24" s="120">
        <f ca="1">IF($K24&lt;&gt;1,IF(ISNUMBER(INDEX(Import.PLE,$K24,ER$16)),IF(INDEX(Import.PLE,$K24,ER$16)&lt;=mediçao,CR24,0),0),PLE!$AA$28*CR24)</f>
        <v>0</v>
      </c>
      <c r="ES24" s="120">
        <f ca="1">IF($K24&lt;&gt;1,IF(ISNUMBER(INDEX(Import.PLE,$K24,ES$16)),IF(INDEX(Import.PLE,$K24,ES$16)&lt;=mediçao,CS24,0),0),PLE!$AA$28*CS24)</f>
        <v>0</v>
      </c>
      <c r="ET24" s="120">
        <f ca="1">IF($K24&lt;&gt;1,IF(ISNUMBER(INDEX(Import.PLE,$K24,ET$16)),IF(INDEX(Import.PLE,$K24,ET$16)&lt;=mediçao,CT24,0),0),PLE!$AA$28*CT24)</f>
        <v>0</v>
      </c>
      <c r="EU24" s="120">
        <f ca="1">IF($K24&lt;&gt;1,IF(ISNUMBER(INDEX(Import.PLE,$K24,EU$16)),IF(INDEX(Import.PLE,$K24,EU$16)&lt;=mediçao,CU24,0),0),PLE!$AA$28*CU24)</f>
        <v>0</v>
      </c>
      <c r="EV24" s="120">
        <f ca="1">IF($K24&lt;&gt;1,IF(ISNUMBER(INDEX(Import.PLE,$K24,EV$16)),IF(INDEX(Import.PLE,$K24,EV$16)&lt;=mediçao,CV24,0),0),PLE!$AA$28*CV24)</f>
        <v>0</v>
      </c>
      <c r="EW24" s="120">
        <f ca="1">IF($K24&lt;&gt;1,IF(ISNUMBER(INDEX(Import.PLE,$K24,EW$16)),IF(INDEX(Import.PLE,$K24,EW$16)&lt;=mediçao,CW24,0),0),PLE!$AA$28*CW24)</f>
        <v>0</v>
      </c>
      <c r="EX24" s="120">
        <f ca="1">IF($K24&lt;&gt;1,IF(ISNUMBER(INDEX(Import.PLE,$K24,EX$16)),IF(INDEX(Import.PLE,$K24,EX$16)&lt;=mediçao,CX24,0),0),PLE!$AA$28*CX24)</f>
        <v>0</v>
      </c>
      <c r="EY24" s="120">
        <f ca="1">IF($K24&lt;&gt;1,IF(ISNUMBER(INDEX(Import.PLE,$K24,EY$16)),IF(INDEX(Import.PLE,$K24,EY$16)&lt;=mediçao,CY24,0),0),PLE!$AA$28*CY24)</f>
        <v>0</v>
      </c>
      <c r="EZ24" s="120">
        <f ca="1">IF($K24&lt;&gt;1,IF(ISNUMBER(INDEX(Import.PLE,$K24,EZ$16)),IF(INDEX(Import.PLE,$K24,EZ$16)&lt;=mediçao,CZ24,0),0),PLE!$AA$28*CZ24)</f>
        <v>0</v>
      </c>
      <c r="FA24" s="120">
        <f ca="1">IF($K24&lt;&gt;1,IF(ISNUMBER(INDEX(Import.PLE,$K24,FA$16)),IF(INDEX(Import.PLE,$K24,FA$16)&lt;=mediçao,DA24,0),0),PLE!$AA$28*DA24)</f>
        <v>0</v>
      </c>
      <c r="FB24" s="120">
        <f ca="1">IF($K24&lt;&gt;1,IF(ISNUMBER(INDEX(Import.PLE,$K24,FB$16)),IF(INDEX(Import.PLE,$K24,FB$16)&lt;=mediçao,DB24,0),0),PLE!$AA$28*DB24)</f>
        <v>0</v>
      </c>
      <c r="FC24" s="120">
        <f ca="1">IF($K24&lt;&gt;1,IF(ISNUMBER(INDEX(Import.PLE,$K24,FC$16)),IF(INDEX(Import.PLE,$K24,FC$16)&lt;=mediçao,DC24,0),0),PLE!$AA$28*DC24)</f>
        <v>0</v>
      </c>
      <c r="FD24" s="120">
        <f ca="1">IF($K24&lt;&gt;1,IF(ISNUMBER(INDEX(Import.PLE,$K24,FD$16)),IF(INDEX(Import.PLE,$K24,FD$16)&lt;=mediçao,DD24,0),0),PLE!$AA$28*DD24)</f>
        <v>0</v>
      </c>
      <c r="FE24" s="120">
        <f ca="1">IF($K24&lt;&gt;1,IF(ISNUMBER(INDEX(Import.PLE,$K24,FE$16)),IF(INDEX(Import.PLE,$K24,FE$16)&lt;=mediçao,DE24,0),0),PLE!$AA$28*DE24)</f>
        <v>0</v>
      </c>
      <c r="FF24" s="120">
        <f ca="1">IF($K24&lt;&gt;1,IF(ISNUMBER(INDEX(Import.PLE,$K24,FF$16)),IF(INDEX(Import.PLE,$K24,FF$16)&lt;=mediçao,DF24,0),0),PLE!$AA$28*DF24)</f>
        <v>0</v>
      </c>
      <c r="FG24" s="120">
        <f ca="1">IF($K24&lt;&gt;1,IF(ISNUMBER(INDEX(Import.PLE,$K24,FG$16)),IF(INDEX(Import.PLE,$K24,FG$16)&lt;=mediçao,DG24,0),0),PLE!$AA$28*DG24)</f>
        <v>0</v>
      </c>
      <c r="FH24" s="120">
        <f ca="1">IF($K24&lt;&gt;1,IF(ISNUMBER(INDEX(Import.PLE,$K24,FH$16)),IF(INDEX(Import.PLE,$K24,FH$16)&lt;=mediçao,DH24,0),0),PLE!$AA$28*DH24)</f>
        <v>0</v>
      </c>
      <c r="FI24" s="120">
        <f ca="1">IF($K24&lt;&gt;1,IF(ISNUMBER(INDEX(Import.PLE,$K24,FI$16)),IF(INDEX(Import.PLE,$K24,FI$16)&lt;=mediçao,DI24,0),0),PLE!$AA$28*DI24)</f>
        <v>0</v>
      </c>
      <c r="FJ24" s="120">
        <f ca="1">IF($K24&lt;&gt;1,IF(ISNUMBER(INDEX(Import.PLE,$K24,FJ$16)),IF(INDEX(Import.PLE,$K24,FJ$16)&lt;=mediçao,DJ24,0),0),PLE!$AA$28*DJ24)</f>
        <v>0</v>
      </c>
    </row>
    <row r="25" spans="2:166" s="88" customFormat="1" ht="45" x14ac:dyDescent="0.25">
      <c r="B25" s="119">
        <f t="shared" ca="1" si="3"/>
        <v>8</v>
      </c>
      <c r="C25" s="83" t="str">
        <f t="shared" si="4"/>
        <v>Serviço</v>
      </c>
      <c r="D25" s="170" t="s">
        <v>175</v>
      </c>
      <c r="E25" s="140" t="s">
        <v>171</v>
      </c>
      <c r="F25" s="138" t="s">
        <v>173</v>
      </c>
      <c r="G25" s="175">
        <f t="shared" si="5"/>
        <v>1740.41</v>
      </c>
      <c r="H25" s="176">
        <f t="shared" si="6"/>
        <v>54.370004768991215</v>
      </c>
      <c r="I25" s="177">
        <v>94626.1</v>
      </c>
      <c r="J25" s="86"/>
      <c r="K25" s="169">
        <f>deactivatedados.form1</f>
        <v>2</v>
      </c>
      <c r="L25" s="168" t="s">
        <v>205</v>
      </c>
      <c r="M25" s="87"/>
      <c r="N25" s="182">
        <v>353.89</v>
      </c>
      <c r="O25" s="182">
        <v>154.35</v>
      </c>
      <c r="P25" s="182">
        <v>215.58</v>
      </c>
      <c r="Q25" s="182">
        <v>348.78</v>
      </c>
      <c r="R25" s="182">
        <v>130.15</v>
      </c>
      <c r="S25" s="182">
        <v>241.91</v>
      </c>
      <c r="T25" s="182">
        <v>167.27</v>
      </c>
      <c r="U25" s="182">
        <v>128.47999999999999</v>
      </c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2"/>
      <c r="BD25" s="182"/>
      <c r="BE25" s="182"/>
      <c r="BF25" s="182"/>
      <c r="BG25" s="182"/>
      <c r="BH25" s="182"/>
      <c r="BI25" s="182"/>
      <c r="BJ25" s="182"/>
      <c r="BK25" s="182"/>
      <c r="BM25" s="120">
        <f t="shared" ca="1" si="7"/>
        <v>19241.000987698302</v>
      </c>
      <c r="BN25" s="120">
        <f t="shared" ca="1" si="8"/>
        <v>8392.0102360937944</v>
      </c>
      <c r="BO25" s="120">
        <f t="shared" ca="1" si="9"/>
        <v>11721.085628099127</v>
      </c>
      <c r="BP25" s="120">
        <f t="shared" ca="1" si="10"/>
        <v>18963.170263328753</v>
      </c>
      <c r="BQ25" s="120">
        <f t="shared" ca="1" si="11"/>
        <v>7076.2561206842074</v>
      </c>
      <c r="BR25" s="120">
        <f t="shared" ca="1" si="12"/>
        <v>13152.647853666665</v>
      </c>
      <c r="BS25" s="120">
        <f t="shared" ca="1" si="13"/>
        <v>9094.470697709161</v>
      </c>
      <c r="BT25" s="120">
        <f t="shared" ca="1" si="14"/>
        <v>6985.458212719991</v>
      </c>
      <c r="BU25" s="120">
        <f t="shared" si="15"/>
        <v>0</v>
      </c>
      <c r="BV25" s="120">
        <f t="shared" si="16"/>
        <v>0</v>
      </c>
      <c r="BW25" s="120">
        <f t="shared" si="17"/>
        <v>0</v>
      </c>
      <c r="BX25" s="120">
        <f t="shared" si="18"/>
        <v>0</v>
      </c>
      <c r="BY25" s="120">
        <f t="shared" si="19"/>
        <v>0</v>
      </c>
      <c r="BZ25" s="120">
        <f t="shared" si="20"/>
        <v>0</v>
      </c>
      <c r="CA25" s="120">
        <f t="shared" si="21"/>
        <v>0</v>
      </c>
      <c r="CB25" s="120">
        <f t="shared" si="22"/>
        <v>0</v>
      </c>
      <c r="CC25" s="120">
        <f t="shared" si="23"/>
        <v>0</v>
      </c>
      <c r="CD25" s="120">
        <f t="shared" si="24"/>
        <v>0</v>
      </c>
      <c r="CE25" s="120">
        <f t="shared" si="25"/>
        <v>0</v>
      </c>
      <c r="CF25" s="120">
        <f t="shared" si="26"/>
        <v>0</v>
      </c>
      <c r="CG25" s="120">
        <f t="shared" si="27"/>
        <v>0</v>
      </c>
      <c r="CH25" s="120">
        <f t="shared" si="28"/>
        <v>0</v>
      </c>
      <c r="CI25" s="120">
        <f t="shared" si="29"/>
        <v>0</v>
      </c>
      <c r="CJ25" s="120">
        <f t="shared" si="30"/>
        <v>0</v>
      </c>
      <c r="CK25" s="120">
        <f t="shared" si="31"/>
        <v>0</v>
      </c>
      <c r="CL25" s="120">
        <f t="shared" si="32"/>
        <v>0</v>
      </c>
      <c r="CM25" s="120">
        <f t="shared" si="33"/>
        <v>0</v>
      </c>
      <c r="CN25" s="120">
        <f t="shared" si="34"/>
        <v>0</v>
      </c>
      <c r="CO25" s="120">
        <f t="shared" si="35"/>
        <v>0</v>
      </c>
      <c r="CP25" s="120">
        <f t="shared" si="36"/>
        <v>0</v>
      </c>
      <c r="CQ25" s="120">
        <f t="shared" si="37"/>
        <v>0</v>
      </c>
      <c r="CR25" s="120">
        <f t="shared" si="38"/>
        <v>0</v>
      </c>
      <c r="CS25" s="120">
        <f t="shared" si="39"/>
        <v>0</v>
      </c>
      <c r="CT25" s="120">
        <f t="shared" si="40"/>
        <v>0</v>
      </c>
      <c r="CU25" s="120">
        <f t="shared" si="41"/>
        <v>0</v>
      </c>
      <c r="CV25" s="120">
        <f t="shared" si="42"/>
        <v>0</v>
      </c>
      <c r="CW25" s="120">
        <f t="shared" si="43"/>
        <v>0</v>
      </c>
      <c r="CX25" s="120">
        <f t="shared" si="44"/>
        <v>0</v>
      </c>
      <c r="CY25" s="120">
        <f t="shared" si="45"/>
        <v>0</v>
      </c>
      <c r="CZ25" s="120">
        <f t="shared" si="46"/>
        <v>0</v>
      </c>
      <c r="DA25" s="120">
        <f t="shared" si="47"/>
        <v>0</v>
      </c>
      <c r="DB25" s="120">
        <f t="shared" si="48"/>
        <v>0</v>
      </c>
      <c r="DC25" s="120">
        <f t="shared" si="49"/>
        <v>0</v>
      </c>
      <c r="DD25" s="120">
        <f t="shared" si="50"/>
        <v>0</v>
      </c>
      <c r="DE25" s="120">
        <f t="shared" si="51"/>
        <v>0</v>
      </c>
      <c r="DF25" s="120">
        <f t="shared" si="52"/>
        <v>0</v>
      </c>
      <c r="DG25" s="120">
        <f t="shared" si="53"/>
        <v>0</v>
      </c>
      <c r="DH25" s="120">
        <f t="shared" si="54"/>
        <v>0</v>
      </c>
      <c r="DI25" s="120">
        <f t="shared" si="55"/>
        <v>0</v>
      </c>
      <c r="DJ25" s="120">
        <f t="shared" si="56"/>
        <v>0</v>
      </c>
      <c r="DK25" s="127" t="str">
        <f t="shared" si="57"/>
        <v>3</v>
      </c>
      <c r="DL25" s="127">
        <f t="shared" ca="1" si="58"/>
        <v>0</v>
      </c>
      <c r="DM25" s="120">
        <f ca="1">IF($K25&lt;&gt;1,IF(ISNUMBER(INDEX(Import.PLE,$K25,DM$16)),IF(INDEX(Import.PLE,$K25,DM$16)&lt;=mediçao,BM25,0),0),PLE!$AA$28*BM25)</f>
        <v>0</v>
      </c>
      <c r="DN25" s="120">
        <f ca="1">IF($K25&lt;&gt;1,IF(ISNUMBER(INDEX(Import.PLE,$K25,DN$16)),IF(INDEX(Import.PLE,$K25,DN$16)&lt;=mediçao,BN25,0),0),PLE!$AA$28*BN25)</f>
        <v>0</v>
      </c>
      <c r="DO25" s="120">
        <f ca="1">IF($K25&lt;&gt;1,IF(ISNUMBER(INDEX(Import.PLE,$K25,DO$16)),IF(INDEX(Import.PLE,$K25,DO$16)&lt;=mediçao,BO25,0),0),PLE!$AA$28*BO25)</f>
        <v>0</v>
      </c>
      <c r="DP25" s="120">
        <f ca="1">IF($K25&lt;&gt;1,IF(ISNUMBER(INDEX(Import.PLE,$K25,DP$16)),IF(INDEX(Import.PLE,$K25,DP$16)&lt;=mediçao,BP25,0),0),PLE!$AA$28*BP25)</f>
        <v>0</v>
      </c>
      <c r="DQ25" s="120">
        <f ca="1">IF($K25&lt;&gt;1,IF(ISNUMBER(INDEX(Import.PLE,$K25,DQ$16)),IF(INDEX(Import.PLE,$K25,DQ$16)&lt;=mediçao,BQ25,0),0),PLE!$AA$28*BQ25)</f>
        <v>0</v>
      </c>
      <c r="DR25" s="120">
        <f ca="1">IF($K25&lt;&gt;1,IF(ISNUMBER(INDEX(Import.PLE,$K25,DR$16)),IF(INDEX(Import.PLE,$K25,DR$16)&lt;=mediçao,BR25,0),0),PLE!$AA$28*BR25)</f>
        <v>0</v>
      </c>
      <c r="DS25" s="120">
        <f ca="1">IF($K25&lt;&gt;1,IF(ISNUMBER(INDEX(Import.PLE,$K25,DS$16)),IF(INDEX(Import.PLE,$K25,DS$16)&lt;=mediçao,BS25,0),0),PLE!$AA$28*BS25)</f>
        <v>0</v>
      </c>
      <c r="DT25" s="120">
        <f ca="1">IF($K25&lt;&gt;1,IF(ISNUMBER(INDEX(Import.PLE,$K25,DT$16)),IF(INDEX(Import.PLE,$K25,DT$16)&lt;=mediçao,BT25,0),0),PLE!$AA$28*BT25)</f>
        <v>0</v>
      </c>
      <c r="DU25" s="120">
        <f ca="1">IF($K25&lt;&gt;1,IF(ISNUMBER(INDEX(Import.PLE,$K25,DU$16)),IF(INDEX(Import.PLE,$K25,DU$16)&lt;=mediçao,BU25,0),0),PLE!$AA$28*BU25)</f>
        <v>0</v>
      </c>
      <c r="DV25" s="120">
        <f ca="1">IF($K25&lt;&gt;1,IF(ISNUMBER(INDEX(Import.PLE,$K25,DV$16)),IF(INDEX(Import.PLE,$K25,DV$16)&lt;=mediçao,BV25,0),0),PLE!$AA$28*BV25)</f>
        <v>0</v>
      </c>
      <c r="DW25" s="120">
        <f ca="1">IF($K25&lt;&gt;1,IF(ISNUMBER(INDEX(Import.PLE,$K25,DW$16)),IF(INDEX(Import.PLE,$K25,DW$16)&lt;=mediçao,BW25,0),0),PLE!$AA$28*BW25)</f>
        <v>0</v>
      </c>
      <c r="DX25" s="120">
        <f ca="1">IF($K25&lt;&gt;1,IF(ISNUMBER(INDEX(Import.PLE,$K25,DX$16)),IF(INDEX(Import.PLE,$K25,DX$16)&lt;=mediçao,BX25,0),0),PLE!$AA$28*BX25)</f>
        <v>0</v>
      </c>
      <c r="DY25" s="120">
        <f ca="1">IF($K25&lt;&gt;1,IF(ISNUMBER(INDEX(Import.PLE,$K25,DY$16)),IF(INDEX(Import.PLE,$K25,DY$16)&lt;=mediçao,BY25,0),0),PLE!$AA$28*BY25)</f>
        <v>0</v>
      </c>
      <c r="DZ25" s="120">
        <f ca="1">IF($K25&lt;&gt;1,IF(ISNUMBER(INDEX(Import.PLE,$K25,DZ$16)),IF(INDEX(Import.PLE,$K25,DZ$16)&lt;=mediçao,BZ25,0),0),PLE!$AA$28*BZ25)</f>
        <v>0</v>
      </c>
      <c r="EA25" s="120">
        <f ca="1">IF($K25&lt;&gt;1,IF(ISNUMBER(INDEX(Import.PLE,$K25,EA$16)),IF(INDEX(Import.PLE,$K25,EA$16)&lt;=mediçao,CA25,0),0),PLE!$AA$28*CA25)</f>
        <v>0</v>
      </c>
      <c r="EB25" s="120">
        <f ca="1">IF($K25&lt;&gt;1,IF(ISNUMBER(INDEX(Import.PLE,$K25,EB$16)),IF(INDEX(Import.PLE,$K25,EB$16)&lt;=mediçao,CB25,0),0),PLE!$AA$28*CB25)</f>
        <v>0</v>
      </c>
      <c r="EC25" s="120">
        <f ca="1">IF($K25&lt;&gt;1,IF(ISNUMBER(INDEX(Import.PLE,$K25,EC$16)),IF(INDEX(Import.PLE,$K25,EC$16)&lt;=mediçao,CC25,0),0),PLE!$AA$28*CC25)</f>
        <v>0</v>
      </c>
      <c r="ED25" s="120">
        <f ca="1">IF($K25&lt;&gt;1,IF(ISNUMBER(INDEX(Import.PLE,$K25,ED$16)),IF(INDEX(Import.PLE,$K25,ED$16)&lt;=mediçao,CD25,0),0),PLE!$AA$28*CD25)</f>
        <v>0</v>
      </c>
      <c r="EE25" s="120">
        <f ca="1">IF($K25&lt;&gt;1,IF(ISNUMBER(INDEX(Import.PLE,$K25,EE$16)),IF(INDEX(Import.PLE,$K25,EE$16)&lt;=mediçao,CE25,0),0),PLE!$AA$28*CE25)</f>
        <v>0</v>
      </c>
      <c r="EF25" s="120">
        <f ca="1">IF($K25&lt;&gt;1,IF(ISNUMBER(INDEX(Import.PLE,$K25,EF$16)),IF(INDEX(Import.PLE,$K25,EF$16)&lt;=mediçao,CF25,0),0),PLE!$AA$28*CF25)</f>
        <v>0</v>
      </c>
      <c r="EG25" s="120">
        <f ca="1">IF($K25&lt;&gt;1,IF(ISNUMBER(INDEX(Import.PLE,$K25,EG$16)),IF(INDEX(Import.PLE,$K25,EG$16)&lt;=mediçao,CG25,0),0),PLE!$AA$28*CG25)</f>
        <v>0</v>
      </c>
      <c r="EH25" s="120">
        <f ca="1">IF($K25&lt;&gt;1,IF(ISNUMBER(INDEX(Import.PLE,$K25,EH$16)),IF(INDEX(Import.PLE,$K25,EH$16)&lt;=mediçao,CH25,0),0),PLE!$AA$28*CH25)</f>
        <v>0</v>
      </c>
      <c r="EI25" s="120">
        <f ca="1">IF($K25&lt;&gt;1,IF(ISNUMBER(INDEX(Import.PLE,$K25,EI$16)),IF(INDEX(Import.PLE,$K25,EI$16)&lt;=mediçao,CI25,0),0),PLE!$AA$28*CI25)</f>
        <v>0</v>
      </c>
      <c r="EJ25" s="120">
        <f ca="1">IF($K25&lt;&gt;1,IF(ISNUMBER(INDEX(Import.PLE,$K25,EJ$16)),IF(INDEX(Import.PLE,$K25,EJ$16)&lt;=mediçao,CJ25,0),0),PLE!$AA$28*CJ25)</f>
        <v>0</v>
      </c>
      <c r="EK25" s="120">
        <f ca="1">IF($K25&lt;&gt;1,IF(ISNUMBER(INDEX(Import.PLE,$K25,EK$16)),IF(INDEX(Import.PLE,$K25,EK$16)&lt;=mediçao,CK25,0),0),PLE!$AA$28*CK25)</f>
        <v>0</v>
      </c>
      <c r="EL25" s="120">
        <f ca="1">IF($K25&lt;&gt;1,IF(ISNUMBER(INDEX(Import.PLE,$K25,EL$16)),IF(INDEX(Import.PLE,$K25,EL$16)&lt;=mediçao,CL25,0),0),PLE!$AA$28*CL25)</f>
        <v>0</v>
      </c>
      <c r="EM25" s="120">
        <f ca="1">IF($K25&lt;&gt;1,IF(ISNUMBER(INDEX(Import.PLE,$K25,EM$16)),IF(INDEX(Import.PLE,$K25,EM$16)&lt;=mediçao,CM25,0),0),PLE!$AA$28*CM25)</f>
        <v>0</v>
      </c>
      <c r="EN25" s="120">
        <f ca="1">IF($K25&lt;&gt;1,IF(ISNUMBER(INDEX(Import.PLE,$K25,EN$16)),IF(INDEX(Import.PLE,$K25,EN$16)&lt;=mediçao,CN25,0),0),PLE!$AA$28*CN25)</f>
        <v>0</v>
      </c>
      <c r="EO25" s="120">
        <f ca="1">IF($K25&lt;&gt;1,IF(ISNUMBER(INDEX(Import.PLE,$K25,EO$16)),IF(INDEX(Import.PLE,$K25,EO$16)&lt;=mediçao,CO25,0),0),PLE!$AA$28*CO25)</f>
        <v>0</v>
      </c>
      <c r="EP25" s="120">
        <f ca="1">IF($K25&lt;&gt;1,IF(ISNUMBER(INDEX(Import.PLE,$K25,EP$16)),IF(INDEX(Import.PLE,$K25,EP$16)&lt;=mediçao,CP25,0),0),PLE!$AA$28*CP25)</f>
        <v>0</v>
      </c>
      <c r="EQ25" s="120">
        <f ca="1">IF($K25&lt;&gt;1,IF(ISNUMBER(INDEX(Import.PLE,$K25,EQ$16)),IF(INDEX(Import.PLE,$K25,EQ$16)&lt;=mediçao,CQ25,0),0),PLE!$AA$28*CQ25)</f>
        <v>0</v>
      </c>
      <c r="ER25" s="120">
        <f ca="1">IF($K25&lt;&gt;1,IF(ISNUMBER(INDEX(Import.PLE,$K25,ER$16)),IF(INDEX(Import.PLE,$K25,ER$16)&lt;=mediçao,CR25,0),0),PLE!$AA$28*CR25)</f>
        <v>0</v>
      </c>
      <c r="ES25" s="120">
        <f ca="1">IF($K25&lt;&gt;1,IF(ISNUMBER(INDEX(Import.PLE,$K25,ES$16)),IF(INDEX(Import.PLE,$K25,ES$16)&lt;=mediçao,CS25,0),0),PLE!$AA$28*CS25)</f>
        <v>0</v>
      </c>
      <c r="ET25" s="120">
        <f ca="1">IF($K25&lt;&gt;1,IF(ISNUMBER(INDEX(Import.PLE,$K25,ET$16)),IF(INDEX(Import.PLE,$K25,ET$16)&lt;=mediçao,CT25,0),0),PLE!$AA$28*CT25)</f>
        <v>0</v>
      </c>
      <c r="EU25" s="120">
        <f ca="1">IF($K25&lt;&gt;1,IF(ISNUMBER(INDEX(Import.PLE,$K25,EU$16)),IF(INDEX(Import.PLE,$K25,EU$16)&lt;=mediçao,CU25,0),0),PLE!$AA$28*CU25)</f>
        <v>0</v>
      </c>
      <c r="EV25" s="120">
        <f ca="1">IF($K25&lt;&gt;1,IF(ISNUMBER(INDEX(Import.PLE,$K25,EV$16)),IF(INDEX(Import.PLE,$K25,EV$16)&lt;=mediçao,CV25,0),0),PLE!$AA$28*CV25)</f>
        <v>0</v>
      </c>
      <c r="EW25" s="120">
        <f ca="1">IF($K25&lt;&gt;1,IF(ISNUMBER(INDEX(Import.PLE,$K25,EW$16)),IF(INDEX(Import.PLE,$K25,EW$16)&lt;=mediçao,CW25,0),0),PLE!$AA$28*CW25)</f>
        <v>0</v>
      </c>
      <c r="EX25" s="120">
        <f ca="1">IF($K25&lt;&gt;1,IF(ISNUMBER(INDEX(Import.PLE,$K25,EX$16)),IF(INDEX(Import.PLE,$K25,EX$16)&lt;=mediçao,CX25,0),0),PLE!$AA$28*CX25)</f>
        <v>0</v>
      </c>
      <c r="EY25" s="120">
        <f ca="1">IF($K25&lt;&gt;1,IF(ISNUMBER(INDEX(Import.PLE,$K25,EY$16)),IF(INDEX(Import.PLE,$K25,EY$16)&lt;=mediçao,CY25,0),0),PLE!$AA$28*CY25)</f>
        <v>0</v>
      </c>
      <c r="EZ25" s="120">
        <f ca="1">IF($K25&lt;&gt;1,IF(ISNUMBER(INDEX(Import.PLE,$K25,EZ$16)),IF(INDEX(Import.PLE,$K25,EZ$16)&lt;=mediçao,CZ25,0),0),PLE!$AA$28*CZ25)</f>
        <v>0</v>
      </c>
      <c r="FA25" s="120">
        <f ca="1">IF($K25&lt;&gt;1,IF(ISNUMBER(INDEX(Import.PLE,$K25,FA$16)),IF(INDEX(Import.PLE,$K25,FA$16)&lt;=mediçao,DA25,0),0),PLE!$AA$28*DA25)</f>
        <v>0</v>
      </c>
      <c r="FB25" s="120">
        <f ca="1">IF($K25&lt;&gt;1,IF(ISNUMBER(INDEX(Import.PLE,$K25,FB$16)),IF(INDEX(Import.PLE,$K25,FB$16)&lt;=mediçao,DB25,0),0),PLE!$AA$28*DB25)</f>
        <v>0</v>
      </c>
      <c r="FC25" s="120">
        <f ca="1">IF($K25&lt;&gt;1,IF(ISNUMBER(INDEX(Import.PLE,$K25,FC$16)),IF(INDEX(Import.PLE,$K25,FC$16)&lt;=mediçao,DC25,0),0),PLE!$AA$28*DC25)</f>
        <v>0</v>
      </c>
      <c r="FD25" s="120">
        <f ca="1">IF($K25&lt;&gt;1,IF(ISNUMBER(INDEX(Import.PLE,$K25,FD$16)),IF(INDEX(Import.PLE,$K25,FD$16)&lt;=mediçao,DD25,0),0),PLE!$AA$28*DD25)</f>
        <v>0</v>
      </c>
      <c r="FE25" s="120">
        <f ca="1">IF($K25&lt;&gt;1,IF(ISNUMBER(INDEX(Import.PLE,$K25,FE$16)),IF(INDEX(Import.PLE,$K25,FE$16)&lt;=mediçao,DE25,0),0),PLE!$AA$28*DE25)</f>
        <v>0</v>
      </c>
      <c r="FF25" s="120">
        <f ca="1">IF($K25&lt;&gt;1,IF(ISNUMBER(INDEX(Import.PLE,$K25,FF$16)),IF(INDEX(Import.PLE,$K25,FF$16)&lt;=mediçao,DF25,0),0),PLE!$AA$28*DF25)</f>
        <v>0</v>
      </c>
      <c r="FG25" s="120">
        <f ca="1">IF($K25&lt;&gt;1,IF(ISNUMBER(INDEX(Import.PLE,$K25,FG$16)),IF(INDEX(Import.PLE,$K25,FG$16)&lt;=mediçao,DG25,0),0),PLE!$AA$28*DG25)</f>
        <v>0</v>
      </c>
      <c r="FH25" s="120">
        <f ca="1">IF($K25&lt;&gt;1,IF(ISNUMBER(INDEX(Import.PLE,$K25,FH$16)),IF(INDEX(Import.PLE,$K25,FH$16)&lt;=mediçao,DH25,0),0),PLE!$AA$28*DH25)</f>
        <v>0</v>
      </c>
      <c r="FI25" s="120">
        <f ca="1">IF($K25&lt;&gt;1,IF(ISNUMBER(INDEX(Import.PLE,$K25,FI$16)),IF(INDEX(Import.PLE,$K25,FI$16)&lt;=mediçao,DI25,0),0),PLE!$AA$28*DI25)</f>
        <v>0</v>
      </c>
      <c r="FJ25" s="120">
        <f ca="1">IF($K25&lt;&gt;1,IF(ISNUMBER(INDEX(Import.PLE,$K25,FJ$16)),IF(INDEX(Import.PLE,$K25,FJ$16)&lt;=mediçao,DJ25,0),0),PLE!$AA$28*DJ25)</f>
        <v>0</v>
      </c>
    </row>
    <row r="26" spans="2:166" s="88" customFormat="1" ht="22.5" x14ac:dyDescent="0.25">
      <c r="B26" s="119">
        <f t="shared" ca="1" si="3"/>
        <v>9</v>
      </c>
      <c r="C26" s="83" t="str">
        <f t="shared" si="4"/>
        <v>Serviço</v>
      </c>
      <c r="D26" s="170" t="s">
        <v>176</v>
      </c>
      <c r="E26" s="140" t="s">
        <v>172</v>
      </c>
      <c r="F26" s="138" t="s">
        <v>165</v>
      </c>
      <c r="G26" s="175">
        <f t="shared" si="5"/>
        <v>5349.12</v>
      </c>
      <c r="H26" s="176">
        <f t="shared" si="6"/>
        <v>93.650000373893278</v>
      </c>
      <c r="I26" s="177">
        <v>500945.09</v>
      </c>
      <c r="J26" s="86"/>
      <c r="K26" s="169">
        <f>deactivatedados.form1</f>
        <v>2</v>
      </c>
      <c r="L26" s="168" t="s">
        <v>205</v>
      </c>
      <c r="M26" s="87"/>
      <c r="N26" s="182">
        <v>1102.8499999999999</v>
      </c>
      <c r="O26" s="182">
        <v>452.76</v>
      </c>
      <c r="P26" s="182">
        <v>727.62</v>
      </c>
      <c r="Q26" s="182">
        <v>1032.9000000000001</v>
      </c>
      <c r="R26" s="182">
        <v>390.01</v>
      </c>
      <c r="S26" s="182">
        <v>733.74</v>
      </c>
      <c r="T26" s="182">
        <v>523.79999999999995</v>
      </c>
      <c r="U26" s="182">
        <v>385.44</v>
      </c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2"/>
      <c r="AX26" s="182"/>
      <c r="AY26" s="182"/>
      <c r="AZ26" s="182"/>
      <c r="BA26" s="182"/>
      <c r="BB26" s="182"/>
      <c r="BC26" s="182"/>
      <c r="BD26" s="182"/>
      <c r="BE26" s="182"/>
      <c r="BF26" s="182"/>
      <c r="BG26" s="182"/>
      <c r="BH26" s="182"/>
      <c r="BI26" s="182"/>
      <c r="BJ26" s="182"/>
      <c r="BK26" s="182"/>
      <c r="BM26" s="120">
        <f t="shared" ca="1" si="7"/>
        <v>103281.90291234819</v>
      </c>
      <c r="BN26" s="120">
        <f t="shared" ca="1" si="8"/>
        <v>42400.974169283916</v>
      </c>
      <c r="BO26" s="120">
        <f t="shared" ca="1" si="9"/>
        <v>68141.613272052229</v>
      </c>
      <c r="BP26" s="120">
        <f t="shared" ca="1" si="10"/>
        <v>96731.085386194376</v>
      </c>
      <c r="BQ26" s="120">
        <f t="shared" ca="1" si="11"/>
        <v>36524.436645822119</v>
      </c>
      <c r="BR26" s="120">
        <f t="shared" ca="1" si="12"/>
        <v>68714.751274340451</v>
      </c>
      <c r="BS26" s="120">
        <f t="shared" ca="1" si="13"/>
        <v>49053.870195845295</v>
      </c>
      <c r="BT26" s="120">
        <f t="shared" ca="1" si="14"/>
        <v>36096.456144113428</v>
      </c>
      <c r="BU26" s="120">
        <f t="shared" si="15"/>
        <v>0</v>
      </c>
      <c r="BV26" s="120">
        <f t="shared" si="16"/>
        <v>0</v>
      </c>
      <c r="BW26" s="120">
        <f t="shared" si="17"/>
        <v>0</v>
      </c>
      <c r="BX26" s="120">
        <f t="shared" si="18"/>
        <v>0</v>
      </c>
      <c r="BY26" s="120">
        <f t="shared" si="19"/>
        <v>0</v>
      </c>
      <c r="BZ26" s="120">
        <f t="shared" si="20"/>
        <v>0</v>
      </c>
      <c r="CA26" s="120">
        <f t="shared" si="21"/>
        <v>0</v>
      </c>
      <c r="CB26" s="120">
        <f t="shared" si="22"/>
        <v>0</v>
      </c>
      <c r="CC26" s="120">
        <f t="shared" si="23"/>
        <v>0</v>
      </c>
      <c r="CD26" s="120">
        <f t="shared" si="24"/>
        <v>0</v>
      </c>
      <c r="CE26" s="120">
        <f t="shared" si="25"/>
        <v>0</v>
      </c>
      <c r="CF26" s="120">
        <f t="shared" si="26"/>
        <v>0</v>
      </c>
      <c r="CG26" s="120">
        <f t="shared" si="27"/>
        <v>0</v>
      </c>
      <c r="CH26" s="120">
        <f t="shared" si="28"/>
        <v>0</v>
      </c>
      <c r="CI26" s="120">
        <f t="shared" si="29"/>
        <v>0</v>
      </c>
      <c r="CJ26" s="120">
        <f t="shared" si="30"/>
        <v>0</v>
      </c>
      <c r="CK26" s="120">
        <f t="shared" si="31"/>
        <v>0</v>
      </c>
      <c r="CL26" s="120">
        <f t="shared" si="32"/>
        <v>0</v>
      </c>
      <c r="CM26" s="120">
        <f t="shared" si="33"/>
        <v>0</v>
      </c>
      <c r="CN26" s="120">
        <f t="shared" si="34"/>
        <v>0</v>
      </c>
      <c r="CO26" s="120">
        <f t="shared" si="35"/>
        <v>0</v>
      </c>
      <c r="CP26" s="120">
        <f t="shared" si="36"/>
        <v>0</v>
      </c>
      <c r="CQ26" s="120">
        <f t="shared" si="37"/>
        <v>0</v>
      </c>
      <c r="CR26" s="120">
        <f t="shared" si="38"/>
        <v>0</v>
      </c>
      <c r="CS26" s="120">
        <f t="shared" si="39"/>
        <v>0</v>
      </c>
      <c r="CT26" s="120">
        <f t="shared" si="40"/>
        <v>0</v>
      </c>
      <c r="CU26" s="120">
        <f t="shared" si="41"/>
        <v>0</v>
      </c>
      <c r="CV26" s="120">
        <f t="shared" si="42"/>
        <v>0</v>
      </c>
      <c r="CW26" s="120">
        <f t="shared" si="43"/>
        <v>0</v>
      </c>
      <c r="CX26" s="120">
        <f t="shared" si="44"/>
        <v>0</v>
      </c>
      <c r="CY26" s="120">
        <f t="shared" si="45"/>
        <v>0</v>
      </c>
      <c r="CZ26" s="120">
        <f t="shared" si="46"/>
        <v>0</v>
      </c>
      <c r="DA26" s="120">
        <f t="shared" si="47"/>
        <v>0</v>
      </c>
      <c r="DB26" s="120">
        <f t="shared" si="48"/>
        <v>0</v>
      </c>
      <c r="DC26" s="120">
        <f t="shared" si="49"/>
        <v>0</v>
      </c>
      <c r="DD26" s="120">
        <f t="shared" si="50"/>
        <v>0</v>
      </c>
      <c r="DE26" s="120">
        <f t="shared" si="51"/>
        <v>0</v>
      </c>
      <c r="DF26" s="120">
        <f t="shared" si="52"/>
        <v>0</v>
      </c>
      <c r="DG26" s="120">
        <f t="shared" si="53"/>
        <v>0</v>
      </c>
      <c r="DH26" s="120">
        <f t="shared" si="54"/>
        <v>0</v>
      </c>
      <c r="DI26" s="120">
        <f t="shared" si="55"/>
        <v>0</v>
      </c>
      <c r="DJ26" s="120">
        <f t="shared" si="56"/>
        <v>0</v>
      </c>
      <c r="DK26" s="127" t="str">
        <f t="shared" si="57"/>
        <v>3</v>
      </c>
      <c r="DL26" s="127">
        <f t="shared" ca="1" si="58"/>
        <v>0</v>
      </c>
      <c r="DM26" s="120">
        <f ca="1">IF($K26&lt;&gt;1,IF(ISNUMBER(INDEX(Import.PLE,$K26,DM$16)),IF(INDEX(Import.PLE,$K26,DM$16)&lt;=mediçao,BM26,0),0),PLE!$AA$28*BM26)</f>
        <v>0</v>
      </c>
      <c r="DN26" s="120">
        <f ca="1">IF($K26&lt;&gt;1,IF(ISNUMBER(INDEX(Import.PLE,$K26,DN$16)),IF(INDEX(Import.PLE,$K26,DN$16)&lt;=mediçao,BN26,0),0),PLE!$AA$28*BN26)</f>
        <v>0</v>
      </c>
      <c r="DO26" s="120">
        <f ca="1">IF($K26&lt;&gt;1,IF(ISNUMBER(INDEX(Import.PLE,$K26,DO$16)),IF(INDEX(Import.PLE,$K26,DO$16)&lt;=mediçao,BO26,0),0),PLE!$AA$28*BO26)</f>
        <v>0</v>
      </c>
      <c r="DP26" s="120">
        <f ca="1">IF($K26&lt;&gt;1,IF(ISNUMBER(INDEX(Import.PLE,$K26,DP$16)),IF(INDEX(Import.PLE,$K26,DP$16)&lt;=mediçao,BP26,0),0),PLE!$AA$28*BP26)</f>
        <v>0</v>
      </c>
      <c r="DQ26" s="120">
        <f ca="1">IF($K26&lt;&gt;1,IF(ISNUMBER(INDEX(Import.PLE,$K26,DQ$16)),IF(INDEX(Import.PLE,$K26,DQ$16)&lt;=mediçao,BQ26,0),0),PLE!$AA$28*BQ26)</f>
        <v>0</v>
      </c>
      <c r="DR26" s="120">
        <f ca="1">IF($K26&lt;&gt;1,IF(ISNUMBER(INDEX(Import.PLE,$K26,DR$16)),IF(INDEX(Import.PLE,$K26,DR$16)&lt;=mediçao,BR26,0),0),PLE!$AA$28*BR26)</f>
        <v>0</v>
      </c>
      <c r="DS26" s="120">
        <f ca="1">IF($K26&lt;&gt;1,IF(ISNUMBER(INDEX(Import.PLE,$K26,DS$16)),IF(INDEX(Import.PLE,$K26,DS$16)&lt;=mediçao,BS26,0),0),PLE!$AA$28*BS26)</f>
        <v>0</v>
      </c>
      <c r="DT26" s="120">
        <f ca="1">IF($K26&lt;&gt;1,IF(ISNUMBER(INDEX(Import.PLE,$K26,DT$16)),IF(INDEX(Import.PLE,$K26,DT$16)&lt;=mediçao,BT26,0),0),PLE!$AA$28*BT26)</f>
        <v>0</v>
      </c>
      <c r="DU26" s="120">
        <f ca="1">IF($K26&lt;&gt;1,IF(ISNUMBER(INDEX(Import.PLE,$K26,DU$16)),IF(INDEX(Import.PLE,$K26,DU$16)&lt;=mediçao,BU26,0),0),PLE!$AA$28*BU26)</f>
        <v>0</v>
      </c>
      <c r="DV26" s="120">
        <f ca="1">IF($K26&lt;&gt;1,IF(ISNUMBER(INDEX(Import.PLE,$K26,DV$16)),IF(INDEX(Import.PLE,$K26,DV$16)&lt;=mediçao,BV26,0),0),PLE!$AA$28*BV26)</f>
        <v>0</v>
      </c>
      <c r="DW26" s="120">
        <f ca="1">IF($K26&lt;&gt;1,IF(ISNUMBER(INDEX(Import.PLE,$K26,DW$16)),IF(INDEX(Import.PLE,$K26,DW$16)&lt;=mediçao,BW26,0),0),PLE!$AA$28*BW26)</f>
        <v>0</v>
      </c>
      <c r="DX26" s="120">
        <f ca="1">IF($K26&lt;&gt;1,IF(ISNUMBER(INDEX(Import.PLE,$K26,DX$16)),IF(INDEX(Import.PLE,$K26,DX$16)&lt;=mediçao,BX26,0),0),PLE!$AA$28*BX26)</f>
        <v>0</v>
      </c>
      <c r="DY26" s="120">
        <f ca="1">IF($K26&lt;&gt;1,IF(ISNUMBER(INDEX(Import.PLE,$K26,DY$16)),IF(INDEX(Import.PLE,$K26,DY$16)&lt;=mediçao,BY26,0),0),PLE!$AA$28*BY26)</f>
        <v>0</v>
      </c>
      <c r="DZ26" s="120">
        <f ca="1">IF($K26&lt;&gt;1,IF(ISNUMBER(INDEX(Import.PLE,$K26,DZ$16)),IF(INDEX(Import.PLE,$K26,DZ$16)&lt;=mediçao,BZ26,0),0),PLE!$AA$28*BZ26)</f>
        <v>0</v>
      </c>
      <c r="EA26" s="120">
        <f ca="1">IF($K26&lt;&gt;1,IF(ISNUMBER(INDEX(Import.PLE,$K26,EA$16)),IF(INDEX(Import.PLE,$K26,EA$16)&lt;=mediçao,CA26,0),0),PLE!$AA$28*CA26)</f>
        <v>0</v>
      </c>
      <c r="EB26" s="120">
        <f ca="1">IF($K26&lt;&gt;1,IF(ISNUMBER(INDEX(Import.PLE,$K26,EB$16)),IF(INDEX(Import.PLE,$K26,EB$16)&lt;=mediçao,CB26,0),0),PLE!$AA$28*CB26)</f>
        <v>0</v>
      </c>
      <c r="EC26" s="120">
        <f ca="1">IF($K26&lt;&gt;1,IF(ISNUMBER(INDEX(Import.PLE,$K26,EC$16)),IF(INDEX(Import.PLE,$K26,EC$16)&lt;=mediçao,CC26,0),0),PLE!$AA$28*CC26)</f>
        <v>0</v>
      </c>
      <c r="ED26" s="120">
        <f ca="1">IF($K26&lt;&gt;1,IF(ISNUMBER(INDEX(Import.PLE,$K26,ED$16)),IF(INDEX(Import.PLE,$K26,ED$16)&lt;=mediçao,CD26,0),0),PLE!$AA$28*CD26)</f>
        <v>0</v>
      </c>
      <c r="EE26" s="120">
        <f ca="1">IF($K26&lt;&gt;1,IF(ISNUMBER(INDEX(Import.PLE,$K26,EE$16)),IF(INDEX(Import.PLE,$K26,EE$16)&lt;=mediçao,CE26,0),0),PLE!$AA$28*CE26)</f>
        <v>0</v>
      </c>
      <c r="EF26" s="120">
        <f ca="1">IF($K26&lt;&gt;1,IF(ISNUMBER(INDEX(Import.PLE,$K26,EF$16)),IF(INDEX(Import.PLE,$K26,EF$16)&lt;=mediçao,CF26,0),0),PLE!$AA$28*CF26)</f>
        <v>0</v>
      </c>
      <c r="EG26" s="120">
        <f ca="1">IF($K26&lt;&gt;1,IF(ISNUMBER(INDEX(Import.PLE,$K26,EG$16)),IF(INDEX(Import.PLE,$K26,EG$16)&lt;=mediçao,CG26,0),0),PLE!$AA$28*CG26)</f>
        <v>0</v>
      </c>
      <c r="EH26" s="120">
        <f ca="1">IF($K26&lt;&gt;1,IF(ISNUMBER(INDEX(Import.PLE,$K26,EH$16)),IF(INDEX(Import.PLE,$K26,EH$16)&lt;=mediçao,CH26,0),0),PLE!$AA$28*CH26)</f>
        <v>0</v>
      </c>
      <c r="EI26" s="120">
        <f ca="1">IF($K26&lt;&gt;1,IF(ISNUMBER(INDEX(Import.PLE,$K26,EI$16)),IF(INDEX(Import.PLE,$K26,EI$16)&lt;=mediçao,CI26,0),0),PLE!$AA$28*CI26)</f>
        <v>0</v>
      </c>
      <c r="EJ26" s="120">
        <f ca="1">IF($K26&lt;&gt;1,IF(ISNUMBER(INDEX(Import.PLE,$K26,EJ$16)),IF(INDEX(Import.PLE,$K26,EJ$16)&lt;=mediçao,CJ26,0),0),PLE!$AA$28*CJ26)</f>
        <v>0</v>
      </c>
      <c r="EK26" s="120">
        <f ca="1">IF($K26&lt;&gt;1,IF(ISNUMBER(INDEX(Import.PLE,$K26,EK$16)),IF(INDEX(Import.PLE,$K26,EK$16)&lt;=mediçao,CK26,0),0),PLE!$AA$28*CK26)</f>
        <v>0</v>
      </c>
      <c r="EL26" s="120">
        <f ca="1">IF($K26&lt;&gt;1,IF(ISNUMBER(INDEX(Import.PLE,$K26,EL$16)),IF(INDEX(Import.PLE,$K26,EL$16)&lt;=mediçao,CL26,0),0),PLE!$AA$28*CL26)</f>
        <v>0</v>
      </c>
      <c r="EM26" s="120">
        <f ca="1">IF($K26&lt;&gt;1,IF(ISNUMBER(INDEX(Import.PLE,$K26,EM$16)),IF(INDEX(Import.PLE,$K26,EM$16)&lt;=mediçao,CM26,0),0),PLE!$AA$28*CM26)</f>
        <v>0</v>
      </c>
      <c r="EN26" s="120">
        <f ca="1">IF($K26&lt;&gt;1,IF(ISNUMBER(INDEX(Import.PLE,$K26,EN$16)),IF(INDEX(Import.PLE,$K26,EN$16)&lt;=mediçao,CN26,0),0),PLE!$AA$28*CN26)</f>
        <v>0</v>
      </c>
      <c r="EO26" s="120">
        <f ca="1">IF($K26&lt;&gt;1,IF(ISNUMBER(INDEX(Import.PLE,$K26,EO$16)),IF(INDEX(Import.PLE,$K26,EO$16)&lt;=mediçao,CO26,0),0),PLE!$AA$28*CO26)</f>
        <v>0</v>
      </c>
      <c r="EP26" s="120">
        <f ca="1">IF($K26&lt;&gt;1,IF(ISNUMBER(INDEX(Import.PLE,$K26,EP$16)),IF(INDEX(Import.PLE,$K26,EP$16)&lt;=mediçao,CP26,0),0),PLE!$AA$28*CP26)</f>
        <v>0</v>
      </c>
      <c r="EQ26" s="120">
        <f ca="1">IF($K26&lt;&gt;1,IF(ISNUMBER(INDEX(Import.PLE,$K26,EQ$16)),IF(INDEX(Import.PLE,$K26,EQ$16)&lt;=mediçao,CQ26,0),0),PLE!$AA$28*CQ26)</f>
        <v>0</v>
      </c>
      <c r="ER26" s="120">
        <f ca="1">IF($K26&lt;&gt;1,IF(ISNUMBER(INDEX(Import.PLE,$K26,ER$16)),IF(INDEX(Import.PLE,$K26,ER$16)&lt;=mediçao,CR26,0),0),PLE!$AA$28*CR26)</f>
        <v>0</v>
      </c>
      <c r="ES26" s="120">
        <f ca="1">IF($K26&lt;&gt;1,IF(ISNUMBER(INDEX(Import.PLE,$K26,ES$16)),IF(INDEX(Import.PLE,$K26,ES$16)&lt;=mediçao,CS26,0),0),PLE!$AA$28*CS26)</f>
        <v>0</v>
      </c>
      <c r="ET26" s="120">
        <f ca="1">IF($K26&lt;&gt;1,IF(ISNUMBER(INDEX(Import.PLE,$K26,ET$16)),IF(INDEX(Import.PLE,$K26,ET$16)&lt;=mediçao,CT26,0),0),PLE!$AA$28*CT26)</f>
        <v>0</v>
      </c>
      <c r="EU26" s="120">
        <f ca="1">IF($K26&lt;&gt;1,IF(ISNUMBER(INDEX(Import.PLE,$K26,EU$16)),IF(INDEX(Import.PLE,$K26,EU$16)&lt;=mediçao,CU26,0),0),PLE!$AA$28*CU26)</f>
        <v>0</v>
      </c>
      <c r="EV26" s="120">
        <f ca="1">IF($K26&lt;&gt;1,IF(ISNUMBER(INDEX(Import.PLE,$K26,EV$16)),IF(INDEX(Import.PLE,$K26,EV$16)&lt;=mediçao,CV26,0),0),PLE!$AA$28*CV26)</f>
        <v>0</v>
      </c>
      <c r="EW26" s="120">
        <f ca="1">IF($K26&lt;&gt;1,IF(ISNUMBER(INDEX(Import.PLE,$K26,EW$16)),IF(INDEX(Import.PLE,$K26,EW$16)&lt;=mediçao,CW26,0),0),PLE!$AA$28*CW26)</f>
        <v>0</v>
      </c>
      <c r="EX26" s="120">
        <f ca="1">IF($K26&lt;&gt;1,IF(ISNUMBER(INDEX(Import.PLE,$K26,EX$16)),IF(INDEX(Import.PLE,$K26,EX$16)&lt;=mediçao,CX26,0),0),PLE!$AA$28*CX26)</f>
        <v>0</v>
      </c>
      <c r="EY26" s="120">
        <f ca="1">IF($K26&lt;&gt;1,IF(ISNUMBER(INDEX(Import.PLE,$K26,EY$16)),IF(INDEX(Import.PLE,$K26,EY$16)&lt;=mediçao,CY26,0),0),PLE!$AA$28*CY26)</f>
        <v>0</v>
      </c>
      <c r="EZ26" s="120">
        <f ca="1">IF($K26&lt;&gt;1,IF(ISNUMBER(INDEX(Import.PLE,$K26,EZ$16)),IF(INDEX(Import.PLE,$K26,EZ$16)&lt;=mediçao,CZ26,0),0),PLE!$AA$28*CZ26)</f>
        <v>0</v>
      </c>
      <c r="FA26" s="120">
        <f ca="1">IF($K26&lt;&gt;1,IF(ISNUMBER(INDEX(Import.PLE,$K26,FA$16)),IF(INDEX(Import.PLE,$K26,FA$16)&lt;=mediçao,DA26,0),0),PLE!$AA$28*DA26)</f>
        <v>0</v>
      </c>
      <c r="FB26" s="120">
        <f ca="1">IF($K26&lt;&gt;1,IF(ISNUMBER(INDEX(Import.PLE,$K26,FB$16)),IF(INDEX(Import.PLE,$K26,FB$16)&lt;=mediçao,DB26,0),0),PLE!$AA$28*DB26)</f>
        <v>0</v>
      </c>
      <c r="FC26" s="120">
        <f ca="1">IF($K26&lt;&gt;1,IF(ISNUMBER(INDEX(Import.PLE,$K26,FC$16)),IF(INDEX(Import.PLE,$K26,FC$16)&lt;=mediçao,DC26,0),0),PLE!$AA$28*DC26)</f>
        <v>0</v>
      </c>
      <c r="FD26" s="120">
        <f ca="1">IF($K26&lt;&gt;1,IF(ISNUMBER(INDEX(Import.PLE,$K26,FD$16)),IF(INDEX(Import.PLE,$K26,FD$16)&lt;=mediçao,DD26,0),0),PLE!$AA$28*DD26)</f>
        <v>0</v>
      </c>
      <c r="FE26" s="120">
        <f ca="1">IF($K26&lt;&gt;1,IF(ISNUMBER(INDEX(Import.PLE,$K26,FE$16)),IF(INDEX(Import.PLE,$K26,FE$16)&lt;=mediçao,DE26,0),0),PLE!$AA$28*DE26)</f>
        <v>0</v>
      </c>
      <c r="FF26" s="120">
        <f ca="1">IF($K26&lt;&gt;1,IF(ISNUMBER(INDEX(Import.PLE,$K26,FF$16)),IF(INDEX(Import.PLE,$K26,FF$16)&lt;=mediçao,DF26,0),0),PLE!$AA$28*DF26)</f>
        <v>0</v>
      </c>
      <c r="FG26" s="120">
        <f ca="1">IF($K26&lt;&gt;1,IF(ISNUMBER(INDEX(Import.PLE,$K26,FG$16)),IF(INDEX(Import.PLE,$K26,FG$16)&lt;=mediçao,DG26,0),0),PLE!$AA$28*DG26)</f>
        <v>0</v>
      </c>
      <c r="FH26" s="120">
        <f ca="1">IF($K26&lt;&gt;1,IF(ISNUMBER(INDEX(Import.PLE,$K26,FH$16)),IF(INDEX(Import.PLE,$K26,FH$16)&lt;=mediçao,DH26,0),0),PLE!$AA$28*DH26)</f>
        <v>0</v>
      </c>
      <c r="FI26" s="120">
        <f ca="1">IF($K26&lt;&gt;1,IF(ISNUMBER(INDEX(Import.PLE,$K26,FI$16)),IF(INDEX(Import.PLE,$K26,FI$16)&lt;=mediçao,DI26,0),0),PLE!$AA$28*DI26)</f>
        <v>0</v>
      </c>
      <c r="FJ26" s="120">
        <f ca="1">IF($K26&lt;&gt;1,IF(ISNUMBER(INDEX(Import.PLE,$K26,FJ$16)),IF(INDEX(Import.PLE,$K26,FJ$16)&lt;=mediçao,DJ26,0),0),PLE!$AA$28*DJ26)</f>
        <v>0</v>
      </c>
    </row>
    <row r="27" spans="2:166" s="88" customFormat="1" ht="22.5" x14ac:dyDescent="0.25">
      <c r="B27" s="119">
        <f ca="1">ROW(Nível)-ROW(LIorçamento)+1</f>
        <v>10</v>
      </c>
      <c r="C27" s="83" t="str">
        <f>IF(D27="","",IF(ISNUMBER(VALUE(D27)),"Meta",IF(AND(F27&lt;&gt;"",I27&lt;&gt;""),"Serviço","Nível")))</f>
        <v>Serviço</v>
      </c>
      <c r="D27" s="170" t="s">
        <v>192</v>
      </c>
      <c r="E27" s="171" t="s">
        <v>191</v>
      </c>
      <c r="F27" s="172" t="s">
        <v>173</v>
      </c>
      <c r="G27" s="175">
        <f>IF(Nível="Serviço",SUMIF($N$15:$BK$15,"&lt;&gt;"&amp;"",N27:BK27),"")</f>
        <v>50.8</v>
      </c>
      <c r="H27" s="176">
        <f>IF(AND(ISNUMBER(G27),G27&lt;&gt;0),I27/G27,IF(G27=0,0,""))</f>
        <v>36.560039370078741</v>
      </c>
      <c r="I27" s="177">
        <v>1857.25</v>
      </c>
      <c r="J27" s="86"/>
      <c r="K27" s="169">
        <f>deactivatedados.form1</f>
        <v>2</v>
      </c>
      <c r="L27" s="168" t="s">
        <v>205</v>
      </c>
      <c r="M27" s="87"/>
      <c r="N27" s="182">
        <v>8.8000000000000007</v>
      </c>
      <c r="O27" s="182">
        <v>0</v>
      </c>
      <c r="P27" s="182">
        <v>12</v>
      </c>
      <c r="Q27" s="182">
        <v>6</v>
      </c>
      <c r="R27" s="182">
        <v>0</v>
      </c>
      <c r="S27" s="182">
        <v>6</v>
      </c>
      <c r="T27" s="182">
        <v>6</v>
      </c>
      <c r="U27" s="182">
        <v>12</v>
      </c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2"/>
      <c r="AZ27" s="182"/>
      <c r="BA27" s="182"/>
      <c r="BB27" s="182"/>
      <c r="BC27" s="182"/>
      <c r="BD27" s="182"/>
      <c r="BE27" s="182"/>
      <c r="BF27" s="182"/>
      <c r="BG27" s="182"/>
      <c r="BH27" s="182"/>
      <c r="BI27" s="182"/>
      <c r="BJ27" s="182"/>
      <c r="BK27" s="182"/>
      <c r="BM27" s="120">
        <f t="shared" ca="1" si="7"/>
        <v>321.72834645669292</v>
      </c>
      <c r="BN27" s="120">
        <f t="shared" ca="1" si="8"/>
        <v>0</v>
      </c>
      <c r="BO27" s="120">
        <f t="shared" ca="1" si="9"/>
        <v>438.72047244094489</v>
      </c>
      <c r="BP27" s="120">
        <f t="shared" ca="1" si="10"/>
        <v>219.36023622047244</v>
      </c>
      <c r="BQ27" s="120">
        <f t="shared" ca="1" si="11"/>
        <v>0</v>
      </c>
      <c r="BR27" s="120">
        <f t="shared" ca="1" si="12"/>
        <v>219.36023622047244</v>
      </c>
      <c r="BS27" s="120">
        <f t="shared" ca="1" si="13"/>
        <v>219.36023622047244</v>
      </c>
      <c r="BT27" s="120">
        <f t="shared" ca="1" si="14"/>
        <v>438.72047244094489</v>
      </c>
      <c r="BU27" s="120">
        <f t="shared" si="15"/>
        <v>0</v>
      </c>
      <c r="BV27" s="120">
        <f t="shared" si="16"/>
        <v>0</v>
      </c>
      <c r="BW27" s="120">
        <f t="shared" si="17"/>
        <v>0</v>
      </c>
      <c r="BX27" s="120">
        <f t="shared" si="18"/>
        <v>0</v>
      </c>
      <c r="BY27" s="120">
        <f t="shared" si="19"/>
        <v>0</v>
      </c>
      <c r="BZ27" s="120">
        <f t="shared" si="20"/>
        <v>0</v>
      </c>
      <c r="CA27" s="120">
        <f t="shared" si="21"/>
        <v>0</v>
      </c>
      <c r="CB27" s="120">
        <f t="shared" si="22"/>
        <v>0</v>
      </c>
      <c r="CC27" s="120">
        <f t="shared" si="23"/>
        <v>0</v>
      </c>
      <c r="CD27" s="120">
        <f t="shared" si="24"/>
        <v>0</v>
      </c>
      <c r="CE27" s="120">
        <f t="shared" si="25"/>
        <v>0</v>
      </c>
      <c r="CF27" s="120">
        <f t="shared" si="26"/>
        <v>0</v>
      </c>
      <c r="CG27" s="120">
        <f t="shared" si="27"/>
        <v>0</v>
      </c>
      <c r="CH27" s="120">
        <f t="shared" si="28"/>
        <v>0</v>
      </c>
      <c r="CI27" s="120">
        <f t="shared" si="29"/>
        <v>0</v>
      </c>
      <c r="CJ27" s="120">
        <f t="shared" si="30"/>
        <v>0</v>
      </c>
      <c r="CK27" s="120">
        <f t="shared" si="31"/>
        <v>0</v>
      </c>
      <c r="CL27" s="120">
        <f t="shared" si="32"/>
        <v>0</v>
      </c>
      <c r="CM27" s="120">
        <f t="shared" si="33"/>
        <v>0</v>
      </c>
      <c r="CN27" s="120">
        <f t="shared" si="34"/>
        <v>0</v>
      </c>
      <c r="CO27" s="120">
        <f t="shared" si="35"/>
        <v>0</v>
      </c>
      <c r="CP27" s="120">
        <f t="shared" si="36"/>
        <v>0</v>
      </c>
      <c r="CQ27" s="120">
        <f t="shared" si="37"/>
        <v>0</v>
      </c>
      <c r="CR27" s="120">
        <f t="shared" si="38"/>
        <v>0</v>
      </c>
      <c r="CS27" s="120">
        <f t="shared" si="39"/>
        <v>0</v>
      </c>
      <c r="CT27" s="120">
        <f t="shared" si="40"/>
        <v>0</v>
      </c>
      <c r="CU27" s="120">
        <f t="shared" si="41"/>
        <v>0</v>
      </c>
      <c r="CV27" s="120">
        <f t="shared" si="42"/>
        <v>0</v>
      </c>
      <c r="CW27" s="120">
        <f t="shared" si="43"/>
        <v>0</v>
      </c>
      <c r="CX27" s="120">
        <f t="shared" si="44"/>
        <v>0</v>
      </c>
      <c r="CY27" s="120">
        <f t="shared" si="45"/>
        <v>0</v>
      </c>
      <c r="CZ27" s="120">
        <f t="shared" si="46"/>
        <v>0</v>
      </c>
      <c r="DA27" s="120">
        <f t="shared" si="47"/>
        <v>0</v>
      </c>
      <c r="DB27" s="120">
        <f t="shared" si="48"/>
        <v>0</v>
      </c>
      <c r="DC27" s="120">
        <f t="shared" si="49"/>
        <v>0</v>
      </c>
      <c r="DD27" s="120">
        <f t="shared" si="50"/>
        <v>0</v>
      </c>
      <c r="DE27" s="120">
        <f t="shared" si="51"/>
        <v>0</v>
      </c>
      <c r="DF27" s="120">
        <f t="shared" si="52"/>
        <v>0</v>
      </c>
      <c r="DG27" s="120">
        <f t="shared" si="53"/>
        <v>0</v>
      </c>
      <c r="DH27" s="120">
        <f t="shared" si="54"/>
        <v>0</v>
      </c>
      <c r="DI27" s="120">
        <f t="shared" si="55"/>
        <v>0</v>
      </c>
      <c r="DJ27" s="120">
        <f t="shared" si="56"/>
        <v>0</v>
      </c>
      <c r="DK27" s="127" t="str">
        <f>IF(D27="",0,IF(ISNUMBER(VALUE(D27)),VALUE(D27),LEFT(D27,FIND(".",D27)-1)))</f>
        <v>3</v>
      </c>
      <c r="DL27" s="127">
        <f ca="1">SUM(DM27:FJ27)</f>
        <v>0</v>
      </c>
      <c r="DM27" s="120">
        <f ca="1">IF($K27&lt;&gt;1,IF(ISNUMBER(INDEX(Import.PLE,$K27,DM$16)),IF(INDEX(Import.PLE,$K27,DM$16)&lt;=mediçao,BM27,0),0),PLE!$AA$28*BM27)</f>
        <v>0</v>
      </c>
      <c r="DN27" s="120">
        <f ca="1">IF($K27&lt;&gt;1,IF(ISNUMBER(INDEX(Import.PLE,$K27,DN$16)),IF(INDEX(Import.PLE,$K27,DN$16)&lt;=mediçao,BN27,0),0),PLE!$AA$28*BN27)</f>
        <v>0</v>
      </c>
      <c r="DO27" s="120">
        <f ca="1">IF($K27&lt;&gt;1,IF(ISNUMBER(INDEX(Import.PLE,$K27,DO$16)),IF(INDEX(Import.PLE,$K27,DO$16)&lt;=mediçao,BO27,0),0),PLE!$AA$28*BO27)</f>
        <v>0</v>
      </c>
      <c r="DP27" s="120">
        <f ca="1">IF($K27&lt;&gt;1,IF(ISNUMBER(INDEX(Import.PLE,$K27,DP$16)),IF(INDEX(Import.PLE,$K27,DP$16)&lt;=mediçao,BP27,0),0),PLE!$AA$28*BP27)</f>
        <v>0</v>
      </c>
      <c r="DQ27" s="120">
        <f ca="1">IF($K27&lt;&gt;1,IF(ISNUMBER(INDEX(Import.PLE,$K27,DQ$16)),IF(INDEX(Import.PLE,$K27,DQ$16)&lt;=mediçao,BQ27,0),0),PLE!$AA$28*BQ27)</f>
        <v>0</v>
      </c>
      <c r="DR27" s="120">
        <f ca="1">IF($K27&lt;&gt;1,IF(ISNUMBER(INDEX(Import.PLE,$K27,DR$16)),IF(INDEX(Import.PLE,$K27,DR$16)&lt;=mediçao,BR27,0),0),PLE!$AA$28*BR27)</f>
        <v>0</v>
      </c>
      <c r="DS27" s="120">
        <f ca="1">IF($K27&lt;&gt;1,IF(ISNUMBER(INDEX(Import.PLE,$K27,DS$16)),IF(INDEX(Import.PLE,$K27,DS$16)&lt;=mediçao,BS27,0),0),PLE!$AA$28*BS27)</f>
        <v>0</v>
      </c>
      <c r="DT27" s="120">
        <f ca="1">IF($K27&lt;&gt;1,IF(ISNUMBER(INDEX(Import.PLE,$K27,DT$16)),IF(INDEX(Import.PLE,$K27,DT$16)&lt;=mediçao,BT27,0),0),PLE!$AA$28*BT27)</f>
        <v>0</v>
      </c>
      <c r="DU27" s="120">
        <f ca="1">IF($K27&lt;&gt;1,IF(ISNUMBER(INDEX(Import.PLE,$K27,DU$16)),IF(INDEX(Import.PLE,$K27,DU$16)&lt;=mediçao,BU27,0),0),PLE!$AA$28*BU27)</f>
        <v>0</v>
      </c>
      <c r="DV27" s="120">
        <f ca="1">IF($K27&lt;&gt;1,IF(ISNUMBER(INDEX(Import.PLE,$K27,DV$16)),IF(INDEX(Import.PLE,$K27,DV$16)&lt;=mediçao,BV27,0),0),PLE!$AA$28*BV27)</f>
        <v>0</v>
      </c>
      <c r="DW27" s="120">
        <f ca="1">IF($K27&lt;&gt;1,IF(ISNUMBER(INDEX(Import.PLE,$K27,DW$16)),IF(INDEX(Import.PLE,$K27,DW$16)&lt;=mediçao,BW27,0),0),PLE!$AA$28*BW27)</f>
        <v>0</v>
      </c>
      <c r="DX27" s="120">
        <f ca="1">IF($K27&lt;&gt;1,IF(ISNUMBER(INDEX(Import.PLE,$K27,DX$16)),IF(INDEX(Import.PLE,$K27,DX$16)&lt;=mediçao,BX27,0),0),PLE!$AA$28*BX27)</f>
        <v>0</v>
      </c>
      <c r="DY27" s="120">
        <f ca="1">IF($K27&lt;&gt;1,IF(ISNUMBER(INDEX(Import.PLE,$K27,DY$16)),IF(INDEX(Import.PLE,$K27,DY$16)&lt;=mediçao,BY27,0),0),PLE!$AA$28*BY27)</f>
        <v>0</v>
      </c>
      <c r="DZ27" s="120">
        <f ca="1">IF($K27&lt;&gt;1,IF(ISNUMBER(INDEX(Import.PLE,$K27,DZ$16)),IF(INDEX(Import.PLE,$K27,DZ$16)&lt;=mediçao,BZ27,0),0),PLE!$AA$28*BZ27)</f>
        <v>0</v>
      </c>
      <c r="EA27" s="120">
        <f ca="1">IF($K27&lt;&gt;1,IF(ISNUMBER(INDEX(Import.PLE,$K27,EA$16)),IF(INDEX(Import.PLE,$K27,EA$16)&lt;=mediçao,CA27,0),0),PLE!$AA$28*CA27)</f>
        <v>0</v>
      </c>
      <c r="EB27" s="120">
        <f ca="1">IF($K27&lt;&gt;1,IF(ISNUMBER(INDEX(Import.PLE,$K27,EB$16)),IF(INDEX(Import.PLE,$K27,EB$16)&lt;=mediçao,CB27,0),0),PLE!$AA$28*CB27)</f>
        <v>0</v>
      </c>
      <c r="EC27" s="120">
        <f ca="1">IF($K27&lt;&gt;1,IF(ISNUMBER(INDEX(Import.PLE,$K27,EC$16)),IF(INDEX(Import.PLE,$K27,EC$16)&lt;=mediçao,CC27,0),0),PLE!$AA$28*CC27)</f>
        <v>0</v>
      </c>
      <c r="ED27" s="120">
        <f ca="1">IF($K27&lt;&gt;1,IF(ISNUMBER(INDEX(Import.PLE,$K27,ED$16)),IF(INDEX(Import.PLE,$K27,ED$16)&lt;=mediçao,CD27,0),0),PLE!$AA$28*CD27)</f>
        <v>0</v>
      </c>
      <c r="EE27" s="120">
        <f ca="1">IF($K27&lt;&gt;1,IF(ISNUMBER(INDEX(Import.PLE,$K27,EE$16)),IF(INDEX(Import.PLE,$K27,EE$16)&lt;=mediçao,CE27,0),0),PLE!$AA$28*CE27)</f>
        <v>0</v>
      </c>
      <c r="EF27" s="120">
        <f ca="1">IF($K27&lt;&gt;1,IF(ISNUMBER(INDEX(Import.PLE,$K27,EF$16)),IF(INDEX(Import.PLE,$K27,EF$16)&lt;=mediçao,CF27,0),0),PLE!$AA$28*CF27)</f>
        <v>0</v>
      </c>
      <c r="EG27" s="120">
        <f ca="1">IF($K27&lt;&gt;1,IF(ISNUMBER(INDEX(Import.PLE,$K27,EG$16)),IF(INDEX(Import.PLE,$K27,EG$16)&lt;=mediçao,CG27,0),0),PLE!$AA$28*CG27)</f>
        <v>0</v>
      </c>
      <c r="EH27" s="120">
        <f ca="1">IF($K27&lt;&gt;1,IF(ISNUMBER(INDEX(Import.PLE,$K27,EH$16)),IF(INDEX(Import.PLE,$K27,EH$16)&lt;=mediçao,CH27,0),0),PLE!$AA$28*CH27)</f>
        <v>0</v>
      </c>
      <c r="EI27" s="120">
        <f ca="1">IF($K27&lt;&gt;1,IF(ISNUMBER(INDEX(Import.PLE,$K27,EI$16)),IF(INDEX(Import.PLE,$K27,EI$16)&lt;=mediçao,CI27,0),0),PLE!$AA$28*CI27)</f>
        <v>0</v>
      </c>
      <c r="EJ27" s="120">
        <f ca="1">IF($K27&lt;&gt;1,IF(ISNUMBER(INDEX(Import.PLE,$K27,EJ$16)),IF(INDEX(Import.PLE,$K27,EJ$16)&lt;=mediçao,CJ27,0),0),PLE!$AA$28*CJ27)</f>
        <v>0</v>
      </c>
      <c r="EK27" s="120">
        <f ca="1">IF($K27&lt;&gt;1,IF(ISNUMBER(INDEX(Import.PLE,$K27,EK$16)),IF(INDEX(Import.PLE,$K27,EK$16)&lt;=mediçao,CK27,0),0),PLE!$AA$28*CK27)</f>
        <v>0</v>
      </c>
      <c r="EL27" s="120">
        <f ca="1">IF($K27&lt;&gt;1,IF(ISNUMBER(INDEX(Import.PLE,$K27,EL$16)),IF(INDEX(Import.PLE,$K27,EL$16)&lt;=mediçao,CL27,0),0),PLE!$AA$28*CL27)</f>
        <v>0</v>
      </c>
      <c r="EM27" s="120">
        <f ca="1">IF($K27&lt;&gt;1,IF(ISNUMBER(INDEX(Import.PLE,$K27,EM$16)),IF(INDEX(Import.PLE,$K27,EM$16)&lt;=mediçao,CM27,0),0),PLE!$AA$28*CM27)</f>
        <v>0</v>
      </c>
      <c r="EN27" s="120">
        <f ca="1">IF($K27&lt;&gt;1,IF(ISNUMBER(INDEX(Import.PLE,$K27,EN$16)),IF(INDEX(Import.PLE,$K27,EN$16)&lt;=mediçao,CN27,0),0),PLE!$AA$28*CN27)</f>
        <v>0</v>
      </c>
      <c r="EO27" s="120">
        <f ca="1">IF($K27&lt;&gt;1,IF(ISNUMBER(INDEX(Import.PLE,$K27,EO$16)),IF(INDEX(Import.PLE,$K27,EO$16)&lt;=mediçao,CO27,0),0),PLE!$AA$28*CO27)</f>
        <v>0</v>
      </c>
      <c r="EP27" s="120">
        <f ca="1">IF($K27&lt;&gt;1,IF(ISNUMBER(INDEX(Import.PLE,$K27,EP$16)),IF(INDEX(Import.PLE,$K27,EP$16)&lt;=mediçao,CP27,0),0),PLE!$AA$28*CP27)</f>
        <v>0</v>
      </c>
      <c r="EQ27" s="120">
        <f ca="1">IF($K27&lt;&gt;1,IF(ISNUMBER(INDEX(Import.PLE,$K27,EQ$16)),IF(INDEX(Import.PLE,$K27,EQ$16)&lt;=mediçao,CQ27,0),0),PLE!$AA$28*CQ27)</f>
        <v>0</v>
      </c>
      <c r="ER27" s="120">
        <f ca="1">IF($K27&lt;&gt;1,IF(ISNUMBER(INDEX(Import.PLE,$K27,ER$16)),IF(INDEX(Import.PLE,$K27,ER$16)&lt;=mediçao,CR27,0),0),PLE!$AA$28*CR27)</f>
        <v>0</v>
      </c>
      <c r="ES27" s="120">
        <f ca="1">IF($K27&lt;&gt;1,IF(ISNUMBER(INDEX(Import.PLE,$K27,ES$16)),IF(INDEX(Import.PLE,$K27,ES$16)&lt;=mediçao,CS27,0),0),PLE!$AA$28*CS27)</f>
        <v>0</v>
      </c>
      <c r="ET27" s="120">
        <f ca="1">IF($K27&lt;&gt;1,IF(ISNUMBER(INDEX(Import.PLE,$K27,ET$16)),IF(INDEX(Import.PLE,$K27,ET$16)&lt;=mediçao,CT27,0),0),PLE!$AA$28*CT27)</f>
        <v>0</v>
      </c>
      <c r="EU27" s="120">
        <f ca="1">IF($K27&lt;&gt;1,IF(ISNUMBER(INDEX(Import.PLE,$K27,EU$16)),IF(INDEX(Import.PLE,$K27,EU$16)&lt;=mediçao,CU27,0),0),PLE!$AA$28*CU27)</f>
        <v>0</v>
      </c>
      <c r="EV27" s="120">
        <f ca="1">IF($K27&lt;&gt;1,IF(ISNUMBER(INDEX(Import.PLE,$K27,EV$16)),IF(INDEX(Import.PLE,$K27,EV$16)&lt;=mediçao,CV27,0),0),PLE!$AA$28*CV27)</f>
        <v>0</v>
      </c>
      <c r="EW27" s="120">
        <f ca="1">IF($K27&lt;&gt;1,IF(ISNUMBER(INDEX(Import.PLE,$K27,EW$16)),IF(INDEX(Import.PLE,$K27,EW$16)&lt;=mediçao,CW27,0),0),PLE!$AA$28*CW27)</f>
        <v>0</v>
      </c>
      <c r="EX27" s="120">
        <f ca="1">IF($K27&lt;&gt;1,IF(ISNUMBER(INDEX(Import.PLE,$K27,EX$16)),IF(INDEX(Import.PLE,$K27,EX$16)&lt;=mediçao,CX27,0),0),PLE!$AA$28*CX27)</f>
        <v>0</v>
      </c>
      <c r="EY27" s="120">
        <f ca="1">IF($K27&lt;&gt;1,IF(ISNUMBER(INDEX(Import.PLE,$K27,EY$16)),IF(INDEX(Import.PLE,$K27,EY$16)&lt;=mediçao,CY27,0),0),PLE!$AA$28*CY27)</f>
        <v>0</v>
      </c>
      <c r="EZ27" s="120">
        <f ca="1">IF($K27&lt;&gt;1,IF(ISNUMBER(INDEX(Import.PLE,$K27,EZ$16)),IF(INDEX(Import.PLE,$K27,EZ$16)&lt;=mediçao,CZ27,0),0),PLE!$AA$28*CZ27)</f>
        <v>0</v>
      </c>
      <c r="FA27" s="120">
        <f ca="1">IF($K27&lt;&gt;1,IF(ISNUMBER(INDEX(Import.PLE,$K27,FA$16)),IF(INDEX(Import.PLE,$K27,FA$16)&lt;=mediçao,DA27,0),0),PLE!$AA$28*DA27)</f>
        <v>0</v>
      </c>
      <c r="FB27" s="120">
        <f ca="1">IF($K27&lt;&gt;1,IF(ISNUMBER(INDEX(Import.PLE,$K27,FB$16)),IF(INDEX(Import.PLE,$K27,FB$16)&lt;=mediçao,DB27,0),0),PLE!$AA$28*DB27)</f>
        <v>0</v>
      </c>
      <c r="FC27" s="120">
        <f ca="1">IF($K27&lt;&gt;1,IF(ISNUMBER(INDEX(Import.PLE,$K27,FC$16)),IF(INDEX(Import.PLE,$K27,FC$16)&lt;=mediçao,DC27,0),0),PLE!$AA$28*DC27)</f>
        <v>0</v>
      </c>
      <c r="FD27" s="120">
        <f ca="1">IF($K27&lt;&gt;1,IF(ISNUMBER(INDEX(Import.PLE,$K27,FD$16)),IF(INDEX(Import.PLE,$K27,FD$16)&lt;=mediçao,DD27,0),0),PLE!$AA$28*DD27)</f>
        <v>0</v>
      </c>
      <c r="FE27" s="120">
        <f ca="1">IF($K27&lt;&gt;1,IF(ISNUMBER(INDEX(Import.PLE,$K27,FE$16)),IF(INDEX(Import.PLE,$K27,FE$16)&lt;=mediçao,DE27,0),0),PLE!$AA$28*DE27)</f>
        <v>0</v>
      </c>
      <c r="FF27" s="120">
        <f ca="1">IF($K27&lt;&gt;1,IF(ISNUMBER(INDEX(Import.PLE,$K27,FF$16)),IF(INDEX(Import.PLE,$K27,FF$16)&lt;=mediçao,DF27,0),0),PLE!$AA$28*DF27)</f>
        <v>0</v>
      </c>
      <c r="FG27" s="120">
        <f ca="1">IF($K27&lt;&gt;1,IF(ISNUMBER(INDEX(Import.PLE,$K27,FG$16)),IF(INDEX(Import.PLE,$K27,FG$16)&lt;=mediçao,DG27,0),0),PLE!$AA$28*DG27)</f>
        <v>0</v>
      </c>
      <c r="FH27" s="120">
        <f ca="1">IF($K27&lt;&gt;1,IF(ISNUMBER(INDEX(Import.PLE,$K27,FH$16)),IF(INDEX(Import.PLE,$K27,FH$16)&lt;=mediçao,DH27,0),0),PLE!$AA$28*DH27)</f>
        <v>0</v>
      </c>
      <c r="FI27" s="120">
        <f ca="1">IF($K27&lt;&gt;1,IF(ISNUMBER(INDEX(Import.PLE,$K27,FI$16)),IF(INDEX(Import.PLE,$K27,FI$16)&lt;=mediçao,DI27,0),0),PLE!$AA$28*DI27)</f>
        <v>0</v>
      </c>
      <c r="FJ27" s="120">
        <f ca="1">IF($K27&lt;&gt;1,IF(ISNUMBER(INDEX(Import.PLE,$K27,FJ$16)),IF(INDEX(Import.PLE,$K27,FJ$16)&lt;=mediçao,DJ27,0),0),PLE!$AA$28*DJ27)</f>
        <v>0</v>
      </c>
    </row>
    <row r="28" spans="2:166" s="88" customFormat="1" x14ac:dyDescent="0.25">
      <c r="B28" s="119">
        <f t="shared" ca="1" si="3"/>
        <v>11</v>
      </c>
      <c r="C28" s="83" t="str">
        <f t="shared" si="4"/>
        <v>Meta</v>
      </c>
      <c r="D28" s="139">
        <v>4</v>
      </c>
      <c r="E28" s="171" t="s">
        <v>177</v>
      </c>
      <c r="F28" s="138"/>
      <c r="G28" s="175" t="str">
        <f t="shared" si="5"/>
        <v/>
      </c>
      <c r="H28" s="176" t="str">
        <f t="shared" si="6"/>
        <v/>
      </c>
      <c r="I28" s="177"/>
      <c r="J28" s="86"/>
      <c r="K28" s="169" t="str">
        <f>deactivatedados.form1</f>
        <v/>
      </c>
      <c r="L28" s="184"/>
      <c r="M28" s="87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2"/>
      <c r="AU28" s="182"/>
      <c r="AV28" s="182"/>
      <c r="AW28" s="182"/>
      <c r="AX28" s="182"/>
      <c r="AY28" s="182"/>
      <c r="AZ28" s="182"/>
      <c r="BA28" s="182"/>
      <c r="BB28" s="182"/>
      <c r="BC28" s="182"/>
      <c r="BD28" s="182"/>
      <c r="BE28" s="182"/>
      <c r="BF28" s="182"/>
      <c r="BG28" s="182"/>
      <c r="BH28" s="182"/>
      <c r="BI28" s="182"/>
      <c r="BJ28" s="182"/>
      <c r="BK28" s="182"/>
      <c r="BM28" s="120">
        <f t="shared" si="7"/>
        <v>0</v>
      </c>
      <c r="BN28" s="120">
        <f t="shared" si="8"/>
        <v>0</v>
      </c>
      <c r="BO28" s="120">
        <f t="shared" si="9"/>
        <v>0</v>
      </c>
      <c r="BP28" s="120">
        <f t="shared" si="10"/>
        <v>0</v>
      </c>
      <c r="BQ28" s="120">
        <f t="shared" si="11"/>
        <v>0</v>
      </c>
      <c r="BR28" s="120">
        <f t="shared" si="12"/>
        <v>0</v>
      </c>
      <c r="BS28" s="120">
        <f t="shared" si="13"/>
        <v>0</v>
      </c>
      <c r="BT28" s="120">
        <f t="shared" si="14"/>
        <v>0</v>
      </c>
      <c r="BU28" s="120">
        <f t="shared" si="15"/>
        <v>0</v>
      </c>
      <c r="BV28" s="120">
        <f t="shared" si="16"/>
        <v>0</v>
      </c>
      <c r="BW28" s="120">
        <f t="shared" si="17"/>
        <v>0</v>
      </c>
      <c r="BX28" s="120">
        <f t="shared" si="18"/>
        <v>0</v>
      </c>
      <c r="BY28" s="120">
        <f t="shared" si="19"/>
        <v>0</v>
      </c>
      <c r="BZ28" s="120">
        <f t="shared" si="20"/>
        <v>0</v>
      </c>
      <c r="CA28" s="120">
        <f t="shared" si="21"/>
        <v>0</v>
      </c>
      <c r="CB28" s="120">
        <f t="shared" si="22"/>
        <v>0</v>
      </c>
      <c r="CC28" s="120">
        <f t="shared" si="23"/>
        <v>0</v>
      </c>
      <c r="CD28" s="120">
        <f t="shared" si="24"/>
        <v>0</v>
      </c>
      <c r="CE28" s="120">
        <f t="shared" si="25"/>
        <v>0</v>
      </c>
      <c r="CF28" s="120">
        <f t="shared" si="26"/>
        <v>0</v>
      </c>
      <c r="CG28" s="120">
        <f t="shared" si="27"/>
        <v>0</v>
      </c>
      <c r="CH28" s="120">
        <f t="shared" si="28"/>
        <v>0</v>
      </c>
      <c r="CI28" s="120">
        <f t="shared" si="29"/>
        <v>0</v>
      </c>
      <c r="CJ28" s="120">
        <f t="shared" si="30"/>
        <v>0</v>
      </c>
      <c r="CK28" s="120">
        <f t="shared" si="31"/>
        <v>0</v>
      </c>
      <c r="CL28" s="120">
        <f t="shared" si="32"/>
        <v>0</v>
      </c>
      <c r="CM28" s="120">
        <f t="shared" si="33"/>
        <v>0</v>
      </c>
      <c r="CN28" s="120">
        <f t="shared" si="34"/>
        <v>0</v>
      </c>
      <c r="CO28" s="120">
        <f t="shared" si="35"/>
        <v>0</v>
      </c>
      <c r="CP28" s="120">
        <f t="shared" si="36"/>
        <v>0</v>
      </c>
      <c r="CQ28" s="120">
        <f t="shared" si="37"/>
        <v>0</v>
      </c>
      <c r="CR28" s="120">
        <f t="shared" si="38"/>
        <v>0</v>
      </c>
      <c r="CS28" s="120">
        <f t="shared" si="39"/>
        <v>0</v>
      </c>
      <c r="CT28" s="120">
        <f t="shared" si="40"/>
        <v>0</v>
      </c>
      <c r="CU28" s="120">
        <f t="shared" si="41"/>
        <v>0</v>
      </c>
      <c r="CV28" s="120">
        <f t="shared" si="42"/>
        <v>0</v>
      </c>
      <c r="CW28" s="120">
        <f t="shared" si="43"/>
        <v>0</v>
      </c>
      <c r="CX28" s="120">
        <f t="shared" si="44"/>
        <v>0</v>
      </c>
      <c r="CY28" s="120">
        <f t="shared" si="45"/>
        <v>0</v>
      </c>
      <c r="CZ28" s="120">
        <f t="shared" si="46"/>
        <v>0</v>
      </c>
      <c r="DA28" s="120">
        <f t="shared" si="47"/>
        <v>0</v>
      </c>
      <c r="DB28" s="120">
        <f t="shared" si="48"/>
        <v>0</v>
      </c>
      <c r="DC28" s="120">
        <f t="shared" si="49"/>
        <v>0</v>
      </c>
      <c r="DD28" s="120">
        <f t="shared" si="50"/>
        <v>0</v>
      </c>
      <c r="DE28" s="120">
        <f t="shared" si="51"/>
        <v>0</v>
      </c>
      <c r="DF28" s="120">
        <f t="shared" si="52"/>
        <v>0</v>
      </c>
      <c r="DG28" s="120">
        <f t="shared" si="53"/>
        <v>0</v>
      </c>
      <c r="DH28" s="120">
        <f t="shared" si="54"/>
        <v>0</v>
      </c>
      <c r="DI28" s="120">
        <f t="shared" si="55"/>
        <v>0</v>
      </c>
      <c r="DJ28" s="120">
        <f t="shared" si="56"/>
        <v>0</v>
      </c>
      <c r="DK28" s="127">
        <f t="shared" si="57"/>
        <v>4</v>
      </c>
      <c r="DL28" s="127">
        <f t="shared" ca="1" si="58"/>
        <v>0</v>
      </c>
      <c r="DM28" s="120">
        <f ca="1">IF($K28&lt;&gt;1,IF(ISNUMBER(INDEX(Import.PLE,$K28,DM$16)),IF(INDEX(Import.PLE,$K28,DM$16)&lt;=mediçao,BM28,0),0),PLE!$AA$28*BM28)</f>
        <v>0</v>
      </c>
      <c r="DN28" s="120">
        <f ca="1">IF($K28&lt;&gt;1,IF(ISNUMBER(INDEX(Import.PLE,$K28,DN$16)),IF(INDEX(Import.PLE,$K28,DN$16)&lt;=mediçao,BN28,0),0),PLE!$AA$28*BN28)</f>
        <v>0</v>
      </c>
      <c r="DO28" s="120">
        <f ca="1">IF($K28&lt;&gt;1,IF(ISNUMBER(INDEX(Import.PLE,$K28,DO$16)),IF(INDEX(Import.PLE,$K28,DO$16)&lt;=mediçao,BO28,0),0),PLE!$AA$28*BO28)</f>
        <v>0</v>
      </c>
      <c r="DP28" s="120">
        <f ca="1">IF($K28&lt;&gt;1,IF(ISNUMBER(INDEX(Import.PLE,$K28,DP$16)),IF(INDEX(Import.PLE,$K28,DP$16)&lt;=mediçao,BP28,0),0),PLE!$AA$28*BP28)</f>
        <v>0</v>
      </c>
      <c r="DQ28" s="120">
        <f ca="1">IF($K28&lt;&gt;1,IF(ISNUMBER(INDEX(Import.PLE,$K28,DQ$16)),IF(INDEX(Import.PLE,$K28,DQ$16)&lt;=mediçao,BQ28,0),0),PLE!$AA$28*BQ28)</f>
        <v>0</v>
      </c>
      <c r="DR28" s="120">
        <f ca="1">IF($K28&lt;&gt;1,IF(ISNUMBER(INDEX(Import.PLE,$K28,DR$16)),IF(INDEX(Import.PLE,$K28,DR$16)&lt;=mediçao,BR28,0),0),PLE!$AA$28*BR28)</f>
        <v>0</v>
      </c>
      <c r="DS28" s="120">
        <f ca="1">IF($K28&lt;&gt;1,IF(ISNUMBER(INDEX(Import.PLE,$K28,DS$16)),IF(INDEX(Import.PLE,$K28,DS$16)&lt;=mediçao,BS28,0),0),PLE!$AA$28*BS28)</f>
        <v>0</v>
      </c>
      <c r="DT28" s="120">
        <f ca="1">IF($K28&lt;&gt;1,IF(ISNUMBER(INDEX(Import.PLE,$K28,DT$16)),IF(INDEX(Import.PLE,$K28,DT$16)&lt;=mediçao,BT28,0),0),PLE!$AA$28*BT28)</f>
        <v>0</v>
      </c>
      <c r="DU28" s="120">
        <f ca="1">IF($K28&lt;&gt;1,IF(ISNUMBER(INDEX(Import.PLE,$K28,DU$16)),IF(INDEX(Import.PLE,$K28,DU$16)&lt;=mediçao,BU28,0),0),PLE!$AA$28*BU28)</f>
        <v>0</v>
      </c>
      <c r="DV28" s="120">
        <f ca="1">IF($K28&lt;&gt;1,IF(ISNUMBER(INDEX(Import.PLE,$K28,DV$16)),IF(INDEX(Import.PLE,$K28,DV$16)&lt;=mediçao,BV28,0),0),PLE!$AA$28*BV28)</f>
        <v>0</v>
      </c>
      <c r="DW28" s="120">
        <f ca="1">IF($K28&lt;&gt;1,IF(ISNUMBER(INDEX(Import.PLE,$K28,DW$16)),IF(INDEX(Import.PLE,$K28,DW$16)&lt;=mediçao,BW28,0),0),PLE!$AA$28*BW28)</f>
        <v>0</v>
      </c>
      <c r="DX28" s="120">
        <f ca="1">IF($K28&lt;&gt;1,IF(ISNUMBER(INDEX(Import.PLE,$K28,DX$16)),IF(INDEX(Import.PLE,$K28,DX$16)&lt;=mediçao,BX28,0),0),PLE!$AA$28*BX28)</f>
        <v>0</v>
      </c>
      <c r="DY28" s="120">
        <f ca="1">IF($K28&lt;&gt;1,IF(ISNUMBER(INDEX(Import.PLE,$K28,DY$16)),IF(INDEX(Import.PLE,$K28,DY$16)&lt;=mediçao,BY28,0),0),PLE!$AA$28*BY28)</f>
        <v>0</v>
      </c>
      <c r="DZ28" s="120">
        <f ca="1">IF($K28&lt;&gt;1,IF(ISNUMBER(INDEX(Import.PLE,$K28,DZ$16)),IF(INDEX(Import.PLE,$K28,DZ$16)&lt;=mediçao,BZ28,0),0),PLE!$AA$28*BZ28)</f>
        <v>0</v>
      </c>
      <c r="EA28" s="120">
        <f ca="1">IF($K28&lt;&gt;1,IF(ISNUMBER(INDEX(Import.PLE,$K28,EA$16)),IF(INDEX(Import.PLE,$K28,EA$16)&lt;=mediçao,CA28,0),0),PLE!$AA$28*CA28)</f>
        <v>0</v>
      </c>
      <c r="EB28" s="120">
        <f ca="1">IF($K28&lt;&gt;1,IF(ISNUMBER(INDEX(Import.PLE,$K28,EB$16)),IF(INDEX(Import.PLE,$K28,EB$16)&lt;=mediçao,CB28,0),0),PLE!$AA$28*CB28)</f>
        <v>0</v>
      </c>
      <c r="EC28" s="120">
        <f ca="1">IF($K28&lt;&gt;1,IF(ISNUMBER(INDEX(Import.PLE,$K28,EC$16)),IF(INDEX(Import.PLE,$K28,EC$16)&lt;=mediçao,CC28,0),0),PLE!$AA$28*CC28)</f>
        <v>0</v>
      </c>
      <c r="ED28" s="120">
        <f ca="1">IF($K28&lt;&gt;1,IF(ISNUMBER(INDEX(Import.PLE,$K28,ED$16)),IF(INDEX(Import.PLE,$K28,ED$16)&lt;=mediçao,CD28,0),0),PLE!$AA$28*CD28)</f>
        <v>0</v>
      </c>
      <c r="EE28" s="120">
        <f ca="1">IF($K28&lt;&gt;1,IF(ISNUMBER(INDEX(Import.PLE,$K28,EE$16)),IF(INDEX(Import.PLE,$K28,EE$16)&lt;=mediçao,CE28,0),0),PLE!$AA$28*CE28)</f>
        <v>0</v>
      </c>
      <c r="EF28" s="120">
        <f ca="1">IF($K28&lt;&gt;1,IF(ISNUMBER(INDEX(Import.PLE,$K28,EF$16)),IF(INDEX(Import.PLE,$K28,EF$16)&lt;=mediçao,CF28,0),0),PLE!$AA$28*CF28)</f>
        <v>0</v>
      </c>
      <c r="EG28" s="120">
        <f ca="1">IF($K28&lt;&gt;1,IF(ISNUMBER(INDEX(Import.PLE,$K28,EG$16)),IF(INDEX(Import.PLE,$K28,EG$16)&lt;=mediçao,CG28,0),0),PLE!$AA$28*CG28)</f>
        <v>0</v>
      </c>
      <c r="EH28" s="120">
        <f ca="1">IF($K28&lt;&gt;1,IF(ISNUMBER(INDEX(Import.PLE,$K28,EH$16)),IF(INDEX(Import.PLE,$K28,EH$16)&lt;=mediçao,CH28,0),0),PLE!$AA$28*CH28)</f>
        <v>0</v>
      </c>
      <c r="EI28" s="120">
        <f ca="1">IF($K28&lt;&gt;1,IF(ISNUMBER(INDEX(Import.PLE,$K28,EI$16)),IF(INDEX(Import.PLE,$K28,EI$16)&lt;=mediçao,CI28,0),0),PLE!$AA$28*CI28)</f>
        <v>0</v>
      </c>
      <c r="EJ28" s="120">
        <f ca="1">IF($K28&lt;&gt;1,IF(ISNUMBER(INDEX(Import.PLE,$K28,EJ$16)),IF(INDEX(Import.PLE,$K28,EJ$16)&lt;=mediçao,CJ28,0),0),PLE!$AA$28*CJ28)</f>
        <v>0</v>
      </c>
      <c r="EK28" s="120">
        <f ca="1">IF($K28&lt;&gt;1,IF(ISNUMBER(INDEX(Import.PLE,$K28,EK$16)),IF(INDEX(Import.PLE,$K28,EK$16)&lt;=mediçao,CK28,0),0),PLE!$AA$28*CK28)</f>
        <v>0</v>
      </c>
      <c r="EL28" s="120">
        <f ca="1">IF($K28&lt;&gt;1,IF(ISNUMBER(INDEX(Import.PLE,$K28,EL$16)),IF(INDEX(Import.PLE,$K28,EL$16)&lt;=mediçao,CL28,0),0),PLE!$AA$28*CL28)</f>
        <v>0</v>
      </c>
      <c r="EM28" s="120">
        <f ca="1">IF($K28&lt;&gt;1,IF(ISNUMBER(INDEX(Import.PLE,$K28,EM$16)),IF(INDEX(Import.PLE,$K28,EM$16)&lt;=mediçao,CM28,0),0),PLE!$AA$28*CM28)</f>
        <v>0</v>
      </c>
      <c r="EN28" s="120">
        <f ca="1">IF($K28&lt;&gt;1,IF(ISNUMBER(INDEX(Import.PLE,$K28,EN$16)),IF(INDEX(Import.PLE,$K28,EN$16)&lt;=mediçao,CN28,0),0),PLE!$AA$28*CN28)</f>
        <v>0</v>
      </c>
      <c r="EO28" s="120">
        <f ca="1">IF($K28&lt;&gt;1,IF(ISNUMBER(INDEX(Import.PLE,$K28,EO$16)),IF(INDEX(Import.PLE,$K28,EO$16)&lt;=mediçao,CO28,0),0),PLE!$AA$28*CO28)</f>
        <v>0</v>
      </c>
      <c r="EP28" s="120">
        <f ca="1">IF($K28&lt;&gt;1,IF(ISNUMBER(INDEX(Import.PLE,$K28,EP$16)),IF(INDEX(Import.PLE,$K28,EP$16)&lt;=mediçao,CP28,0),0),PLE!$AA$28*CP28)</f>
        <v>0</v>
      </c>
      <c r="EQ28" s="120">
        <f ca="1">IF($K28&lt;&gt;1,IF(ISNUMBER(INDEX(Import.PLE,$K28,EQ$16)),IF(INDEX(Import.PLE,$K28,EQ$16)&lt;=mediçao,CQ28,0),0),PLE!$AA$28*CQ28)</f>
        <v>0</v>
      </c>
      <c r="ER28" s="120">
        <f ca="1">IF($K28&lt;&gt;1,IF(ISNUMBER(INDEX(Import.PLE,$K28,ER$16)),IF(INDEX(Import.PLE,$K28,ER$16)&lt;=mediçao,CR28,0),0),PLE!$AA$28*CR28)</f>
        <v>0</v>
      </c>
      <c r="ES28" s="120">
        <f ca="1">IF($K28&lt;&gt;1,IF(ISNUMBER(INDEX(Import.PLE,$K28,ES$16)),IF(INDEX(Import.PLE,$K28,ES$16)&lt;=mediçao,CS28,0),0),PLE!$AA$28*CS28)</f>
        <v>0</v>
      </c>
      <c r="ET28" s="120">
        <f ca="1">IF($K28&lt;&gt;1,IF(ISNUMBER(INDEX(Import.PLE,$K28,ET$16)),IF(INDEX(Import.PLE,$K28,ET$16)&lt;=mediçao,CT28,0),0),PLE!$AA$28*CT28)</f>
        <v>0</v>
      </c>
      <c r="EU28" s="120">
        <f ca="1">IF($K28&lt;&gt;1,IF(ISNUMBER(INDEX(Import.PLE,$K28,EU$16)),IF(INDEX(Import.PLE,$K28,EU$16)&lt;=mediçao,CU28,0),0),PLE!$AA$28*CU28)</f>
        <v>0</v>
      </c>
      <c r="EV28" s="120">
        <f ca="1">IF($K28&lt;&gt;1,IF(ISNUMBER(INDEX(Import.PLE,$K28,EV$16)),IF(INDEX(Import.PLE,$K28,EV$16)&lt;=mediçao,CV28,0),0),PLE!$AA$28*CV28)</f>
        <v>0</v>
      </c>
      <c r="EW28" s="120">
        <f ca="1">IF($K28&lt;&gt;1,IF(ISNUMBER(INDEX(Import.PLE,$K28,EW$16)),IF(INDEX(Import.PLE,$K28,EW$16)&lt;=mediçao,CW28,0),0),PLE!$AA$28*CW28)</f>
        <v>0</v>
      </c>
      <c r="EX28" s="120">
        <f ca="1">IF($K28&lt;&gt;1,IF(ISNUMBER(INDEX(Import.PLE,$K28,EX$16)),IF(INDEX(Import.PLE,$K28,EX$16)&lt;=mediçao,CX28,0),0),PLE!$AA$28*CX28)</f>
        <v>0</v>
      </c>
      <c r="EY28" s="120">
        <f ca="1">IF($K28&lt;&gt;1,IF(ISNUMBER(INDEX(Import.PLE,$K28,EY$16)),IF(INDEX(Import.PLE,$K28,EY$16)&lt;=mediçao,CY28,0),0),PLE!$AA$28*CY28)</f>
        <v>0</v>
      </c>
      <c r="EZ28" s="120">
        <f ca="1">IF($K28&lt;&gt;1,IF(ISNUMBER(INDEX(Import.PLE,$K28,EZ$16)),IF(INDEX(Import.PLE,$K28,EZ$16)&lt;=mediçao,CZ28,0),0),PLE!$AA$28*CZ28)</f>
        <v>0</v>
      </c>
      <c r="FA28" s="120">
        <f ca="1">IF($K28&lt;&gt;1,IF(ISNUMBER(INDEX(Import.PLE,$K28,FA$16)),IF(INDEX(Import.PLE,$K28,FA$16)&lt;=mediçao,DA28,0),0),PLE!$AA$28*DA28)</f>
        <v>0</v>
      </c>
      <c r="FB28" s="120">
        <f ca="1">IF($K28&lt;&gt;1,IF(ISNUMBER(INDEX(Import.PLE,$K28,FB$16)),IF(INDEX(Import.PLE,$K28,FB$16)&lt;=mediçao,DB28,0),0),PLE!$AA$28*DB28)</f>
        <v>0</v>
      </c>
      <c r="FC28" s="120">
        <f ca="1">IF($K28&lt;&gt;1,IF(ISNUMBER(INDEX(Import.PLE,$K28,FC$16)),IF(INDEX(Import.PLE,$K28,FC$16)&lt;=mediçao,DC28,0),0),PLE!$AA$28*DC28)</f>
        <v>0</v>
      </c>
      <c r="FD28" s="120">
        <f ca="1">IF($K28&lt;&gt;1,IF(ISNUMBER(INDEX(Import.PLE,$K28,FD$16)),IF(INDEX(Import.PLE,$K28,FD$16)&lt;=mediçao,DD28,0),0),PLE!$AA$28*DD28)</f>
        <v>0</v>
      </c>
      <c r="FE28" s="120">
        <f ca="1">IF($K28&lt;&gt;1,IF(ISNUMBER(INDEX(Import.PLE,$K28,FE$16)),IF(INDEX(Import.PLE,$K28,FE$16)&lt;=mediçao,DE28,0),0),PLE!$AA$28*DE28)</f>
        <v>0</v>
      </c>
      <c r="FF28" s="120">
        <f ca="1">IF($K28&lt;&gt;1,IF(ISNUMBER(INDEX(Import.PLE,$K28,FF$16)),IF(INDEX(Import.PLE,$K28,FF$16)&lt;=mediçao,DF28,0),0),PLE!$AA$28*DF28)</f>
        <v>0</v>
      </c>
      <c r="FG28" s="120">
        <f ca="1">IF($K28&lt;&gt;1,IF(ISNUMBER(INDEX(Import.PLE,$K28,FG$16)),IF(INDEX(Import.PLE,$K28,FG$16)&lt;=mediçao,DG28,0),0),PLE!$AA$28*DG28)</f>
        <v>0</v>
      </c>
      <c r="FH28" s="120">
        <f ca="1">IF($K28&lt;&gt;1,IF(ISNUMBER(INDEX(Import.PLE,$K28,FH$16)),IF(INDEX(Import.PLE,$K28,FH$16)&lt;=mediçao,DH28,0),0),PLE!$AA$28*DH28)</f>
        <v>0</v>
      </c>
      <c r="FI28" s="120">
        <f ca="1">IF($K28&lt;&gt;1,IF(ISNUMBER(INDEX(Import.PLE,$K28,FI$16)),IF(INDEX(Import.PLE,$K28,FI$16)&lt;=mediçao,DI28,0),0),PLE!$AA$28*DI28)</f>
        <v>0</v>
      </c>
      <c r="FJ28" s="120">
        <f ca="1">IF($K28&lt;&gt;1,IF(ISNUMBER(INDEX(Import.PLE,$K28,FJ$16)),IF(INDEX(Import.PLE,$K28,FJ$16)&lt;=mediçao,DJ28,0),0),PLE!$AA$28*DJ28)</f>
        <v>0</v>
      </c>
    </row>
    <row r="29" spans="2:166" s="88" customFormat="1" ht="33.75" x14ac:dyDescent="0.25">
      <c r="B29" s="119">
        <f t="shared" ca="1" si="3"/>
        <v>12</v>
      </c>
      <c r="C29" s="83" t="str">
        <f t="shared" si="4"/>
        <v>Serviço</v>
      </c>
      <c r="D29" s="170" t="s">
        <v>184</v>
      </c>
      <c r="E29" s="140" t="s">
        <v>178</v>
      </c>
      <c r="F29" s="138" t="s">
        <v>183</v>
      </c>
      <c r="G29" s="175">
        <f t="shared" si="5"/>
        <v>100.66999999999999</v>
      </c>
      <c r="H29" s="176">
        <f t="shared" si="6"/>
        <v>864.34995529949356</v>
      </c>
      <c r="I29" s="177">
        <v>87014.11</v>
      </c>
      <c r="J29" s="86"/>
      <c r="K29" s="169">
        <f>deactivatedados.form1</f>
        <v>3</v>
      </c>
      <c r="L29" s="184" t="s">
        <v>206</v>
      </c>
      <c r="M29" s="87"/>
      <c r="N29" s="182">
        <v>18.23</v>
      </c>
      <c r="O29" s="182">
        <v>8.89</v>
      </c>
      <c r="P29" s="182">
        <v>12.29</v>
      </c>
      <c r="Q29" s="182">
        <v>20.81</v>
      </c>
      <c r="R29" s="182">
        <v>7.84</v>
      </c>
      <c r="S29" s="182">
        <v>15.19</v>
      </c>
      <c r="T29" s="182">
        <v>10.1</v>
      </c>
      <c r="U29" s="182">
        <v>7.32</v>
      </c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2"/>
      <c r="AU29" s="182"/>
      <c r="AV29" s="182"/>
      <c r="AW29" s="182"/>
      <c r="AX29" s="182"/>
      <c r="AY29" s="182"/>
      <c r="AZ29" s="182"/>
      <c r="BA29" s="182"/>
      <c r="BB29" s="182"/>
      <c r="BC29" s="182"/>
      <c r="BD29" s="182"/>
      <c r="BE29" s="182"/>
      <c r="BF29" s="182"/>
      <c r="BG29" s="182"/>
      <c r="BH29" s="182"/>
      <c r="BI29" s="182"/>
      <c r="BJ29" s="182"/>
      <c r="BK29" s="182"/>
      <c r="BM29" s="120">
        <f t="shared" ca="1" si="7"/>
        <v>15757.099685109768</v>
      </c>
      <c r="BN29" s="120">
        <f t="shared" ca="1" si="8"/>
        <v>7684.0711026124982</v>
      </c>
      <c r="BO29" s="120">
        <f t="shared" ca="1" si="9"/>
        <v>10622.860950630775</v>
      </c>
      <c r="BP29" s="120">
        <f t="shared" ca="1" si="10"/>
        <v>17987.122569782459</v>
      </c>
      <c r="BQ29" s="120">
        <f t="shared" ca="1" si="11"/>
        <v>6776.503649548029</v>
      </c>
      <c r="BR29" s="120">
        <f t="shared" ca="1" si="12"/>
        <v>13129.475820999307</v>
      </c>
      <c r="BS29" s="120">
        <f t="shared" ca="1" si="13"/>
        <v>8729.934548524885</v>
      </c>
      <c r="BT29" s="120">
        <f t="shared" ca="1" si="14"/>
        <v>6327.041672792293</v>
      </c>
      <c r="BU29" s="120">
        <f t="shared" si="15"/>
        <v>0</v>
      </c>
      <c r="BV29" s="120">
        <f t="shared" si="16"/>
        <v>0</v>
      </c>
      <c r="BW29" s="120">
        <f t="shared" si="17"/>
        <v>0</v>
      </c>
      <c r="BX29" s="120">
        <f t="shared" si="18"/>
        <v>0</v>
      </c>
      <c r="BY29" s="120">
        <f t="shared" si="19"/>
        <v>0</v>
      </c>
      <c r="BZ29" s="120">
        <f t="shared" si="20"/>
        <v>0</v>
      </c>
      <c r="CA29" s="120">
        <f t="shared" si="21"/>
        <v>0</v>
      </c>
      <c r="CB29" s="120">
        <f t="shared" si="22"/>
        <v>0</v>
      </c>
      <c r="CC29" s="120">
        <f t="shared" si="23"/>
        <v>0</v>
      </c>
      <c r="CD29" s="120">
        <f t="shared" si="24"/>
        <v>0</v>
      </c>
      <c r="CE29" s="120">
        <f t="shared" si="25"/>
        <v>0</v>
      </c>
      <c r="CF29" s="120">
        <f t="shared" si="26"/>
        <v>0</v>
      </c>
      <c r="CG29" s="120">
        <f t="shared" si="27"/>
        <v>0</v>
      </c>
      <c r="CH29" s="120">
        <f t="shared" si="28"/>
        <v>0</v>
      </c>
      <c r="CI29" s="120">
        <f t="shared" si="29"/>
        <v>0</v>
      </c>
      <c r="CJ29" s="120">
        <f t="shared" si="30"/>
        <v>0</v>
      </c>
      <c r="CK29" s="120">
        <f t="shared" si="31"/>
        <v>0</v>
      </c>
      <c r="CL29" s="120">
        <f t="shared" si="32"/>
        <v>0</v>
      </c>
      <c r="CM29" s="120">
        <f t="shared" si="33"/>
        <v>0</v>
      </c>
      <c r="CN29" s="120">
        <f t="shared" si="34"/>
        <v>0</v>
      </c>
      <c r="CO29" s="120">
        <f t="shared" si="35"/>
        <v>0</v>
      </c>
      <c r="CP29" s="120">
        <f t="shared" si="36"/>
        <v>0</v>
      </c>
      <c r="CQ29" s="120">
        <f t="shared" si="37"/>
        <v>0</v>
      </c>
      <c r="CR29" s="120">
        <f t="shared" si="38"/>
        <v>0</v>
      </c>
      <c r="CS29" s="120">
        <f t="shared" si="39"/>
        <v>0</v>
      </c>
      <c r="CT29" s="120">
        <f t="shared" si="40"/>
        <v>0</v>
      </c>
      <c r="CU29" s="120">
        <f t="shared" si="41"/>
        <v>0</v>
      </c>
      <c r="CV29" s="120">
        <f t="shared" si="42"/>
        <v>0</v>
      </c>
      <c r="CW29" s="120">
        <f t="shared" si="43"/>
        <v>0</v>
      </c>
      <c r="CX29" s="120">
        <f t="shared" si="44"/>
        <v>0</v>
      </c>
      <c r="CY29" s="120">
        <f t="shared" si="45"/>
        <v>0</v>
      </c>
      <c r="CZ29" s="120">
        <f t="shared" si="46"/>
        <v>0</v>
      </c>
      <c r="DA29" s="120">
        <f t="shared" si="47"/>
        <v>0</v>
      </c>
      <c r="DB29" s="120">
        <f t="shared" si="48"/>
        <v>0</v>
      </c>
      <c r="DC29" s="120">
        <f t="shared" si="49"/>
        <v>0</v>
      </c>
      <c r="DD29" s="120">
        <f t="shared" si="50"/>
        <v>0</v>
      </c>
      <c r="DE29" s="120">
        <f t="shared" si="51"/>
        <v>0</v>
      </c>
      <c r="DF29" s="120">
        <f t="shared" si="52"/>
        <v>0</v>
      </c>
      <c r="DG29" s="120">
        <f t="shared" si="53"/>
        <v>0</v>
      </c>
      <c r="DH29" s="120">
        <f t="shared" si="54"/>
        <v>0</v>
      </c>
      <c r="DI29" s="120">
        <f t="shared" si="55"/>
        <v>0</v>
      </c>
      <c r="DJ29" s="120">
        <f t="shared" si="56"/>
        <v>0</v>
      </c>
      <c r="DK29" s="127" t="str">
        <f t="shared" si="57"/>
        <v>4</v>
      </c>
      <c r="DL29" s="127">
        <f t="shared" ca="1" si="58"/>
        <v>0</v>
      </c>
      <c r="DM29" s="120">
        <f ca="1">IF($K29&lt;&gt;1,IF(ISNUMBER(INDEX(Import.PLE,$K29,DM$16)),IF(INDEX(Import.PLE,$K29,DM$16)&lt;=mediçao,BM29,0),0),PLE!$AA$28*BM29)</f>
        <v>0</v>
      </c>
      <c r="DN29" s="120">
        <f ca="1">IF($K29&lt;&gt;1,IF(ISNUMBER(INDEX(Import.PLE,$K29,DN$16)),IF(INDEX(Import.PLE,$K29,DN$16)&lt;=mediçao,BN29,0),0),PLE!$AA$28*BN29)</f>
        <v>0</v>
      </c>
      <c r="DO29" s="120">
        <f ca="1">IF($K29&lt;&gt;1,IF(ISNUMBER(INDEX(Import.PLE,$K29,DO$16)),IF(INDEX(Import.PLE,$K29,DO$16)&lt;=mediçao,BO29,0),0),PLE!$AA$28*BO29)</f>
        <v>0</v>
      </c>
      <c r="DP29" s="120">
        <f ca="1">IF($K29&lt;&gt;1,IF(ISNUMBER(INDEX(Import.PLE,$K29,DP$16)),IF(INDEX(Import.PLE,$K29,DP$16)&lt;=mediçao,BP29,0),0),PLE!$AA$28*BP29)</f>
        <v>0</v>
      </c>
      <c r="DQ29" s="120">
        <f ca="1">IF($K29&lt;&gt;1,IF(ISNUMBER(INDEX(Import.PLE,$K29,DQ$16)),IF(INDEX(Import.PLE,$K29,DQ$16)&lt;=mediçao,BQ29,0),0),PLE!$AA$28*BQ29)</f>
        <v>0</v>
      </c>
      <c r="DR29" s="120">
        <f ca="1">IF($K29&lt;&gt;1,IF(ISNUMBER(INDEX(Import.PLE,$K29,DR$16)),IF(INDEX(Import.PLE,$K29,DR$16)&lt;=mediçao,BR29,0),0),PLE!$AA$28*BR29)</f>
        <v>0</v>
      </c>
      <c r="DS29" s="120">
        <f ca="1">IF($K29&lt;&gt;1,IF(ISNUMBER(INDEX(Import.PLE,$K29,DS$16)),IF(INDEX(Import.PLE,$K29,DS$16)&lt;=mediçao,BS29,0),0),PLE!$AA$28*BS29)</f>
        <v>0</v>
      </c>
      <c r="DT29" s="120">
        <f ca="1">IF($K29&lt;&gt;1,IF(ISNUMBER(INDEX(Import.PLE,$K29,DT$16)),IF(INDEX(Import.PLE,$K29,DT$16)&lt;=mediçao,BT29,0),0),PLE!$AA$28*BT29)</f>
        <v>0</v>
      </c>
      <c r="DU29" s="120">
        <f ca="1">IF($K29&lt;&gt;1,IF(ISNUMBER(INDEX(Import.PLE,$K29,DU$16)),IF(INDEX(Import.PLE,$K29,DU$16)&lt;=mediçao,BU29,0),0),PLE!$AA$28*BU29)</f>
        <v>0</v>
      </c>
      <c r="DV29" s="120">
        <f ca="1">IF($K29&lt;&gt;1,IF(ISNUMBER(INDEX(Import.PLE,$K29,DV$16)),IF(INDEX(Import.PLE,$K29,DV$16)&lt;=mediçao,BV29,0),0),PLE!$AA$28*BV29)</f>
        <v>0</v>
      </c>
      <c r="DW29" s="120">
        <f ca="1">IF($K29&lt;&gt;1,IF(ISNUMBER(INDEX(Import.PLE,$K29,DW$16)),IF(INDEX(Import.PLE,$K29,DW$16)&lt;=mediçao,BW29,0),0),PLE!$AA$28*BW29)</f>
        <v>0</v>
      </c>
      <c r="DX29" s="120">
        <f ca="1">IF($K29&lt;&gt;1,IF(ISNUMBER(INDEX(Import.PLE,$K29,DX$16)),IF(INDEX(Import.PLE,$K29,DX$16)&lt;=mediçao,BX29,0),0),PLE!$AA$28*BX29)</f>
        <v>0</v>
      </c>
      <c r="DY29" s="120">
        <f ca="1">IF($K29&lt;&gt;1,IF(ISNUMBER(INDEX(Import.PLE,$K29,DY$16)),IF(INDEX(Import.PLE,$K29,DY$16)&lt;=mediçao,BY29,0),0),PLE!$AA$28*BY29)</f>
        <v>0</v>
      </c>
      <c r="DZ29" s="120">
        <f ca="1">IF($K29&lt;&gt;1,IF(ISNUMBER(INDEX(Import.PLE,$K29,DZ$16)),IF(INDEX(Import.PLE,$K29,DZ$16)&lt;=mediçao,BZ29,0),0),PLE!$AA$28*BZ29)</f>
        <v>0</v>
      </c>
      <c r="EA29" s="120">
        <f ca="1">IF($K29&lt;&gt;1,IF(ISNUMBER(INDEX(Import.PLE,$K29,EA$16)),IF(INDEX(Import.PLE,$K29,EA$16)&lt;=mediçao,CA29,0),0),PLE!$AA$28*CA29)</f>
        <v>0</v>
      </c>
      <c r="EB29" s="120">
        <f ca="1">IF($K29&lt;&gt;1,IF(ISNUMBER(INDEX(Import.PLE,$K29,EB$16)),IF(INDEX(Import.PLE,$K29,EB$16)&lt;=mediçao,CB29,0),0),PLE!$AA$28*CB29)</f>
        <v>0</v>
      </c>
      <c r="EC29" s="120">
        <f ca="1">IF($K29&lt;&gt;1,IF(ISNUMBER(INDEX(Import.PLE,$K29,EC$16)),IF(INDEX(Import.PLE,$K29,EC$16)&lt;=mediçao,CC29,0),0),PLE!$AA$28*CC29)</f>
        <v>0</v>
      </c>
      <c r="ED29" s="120">
        <f ca="1">IF($K29&lt;&gt;1,IF(ISNUMBER(INDEX(Import.PLE,$K29,ED$16)),IF(INDEX(Import.PLE,$K29,ED$16)&lt;=mediçao,CD29,0),0),PLE!$AA$28*CD29)</f>
        <v>0</v>
      </c>
      <c r="EE29" s="120">
        <f ca="1">IF($K29&lt;&gt;1,IF(ISNUMBER(INDEX(Import.PLE,$K29,EE$16)),IF(INDEX(Import.PLE,$K29,EE$16)&lt;=mediçao,CE29,0),0),PLE!$AA$28*CE29)</f>
        <v>0</v>
      </c>
      <c r="EF29" s="120">
        <f ca="1">IF($K29&lt;&gt;1,IF(ISNUMBER(INDEX(Import.PLE,$K29,EF$16)),IF(INDEX(Import.PLE,$K29,EF$16)&lt;=mediçao,CF29,0),0),PLE!$AA$28*CF29)</f>
        <v>0</v>
      </c>
      <c r="EG29" s="120">
        <f ca="1">IF($K29&lt;&gt;1,IF(ISNUMBER(INDEX(Import.PLE,$K29,EG$16)),IF(INDEX(Import.PLE,$K29,EG$16)&lt;=mediçao,CG29,0),0),PLE!$AA$28*CG29)</f>
        <v>0</v>
      </c>
      <c r="EH29" s="120">
        <f ca="1">IF($K29&lt;&gt;1,IF(ISNUMBER(INDEX(Import.PLE,$K29,EH$16)),IF(INDEX(Import.PLE,$K29,EH$16)&lt;=mediçao,CH29,0),0),PLE!$AA$28*CH29)</f>
        <v>0</v>
      </c>
      <c r="EI29" s="120">
        <f ca="1">IF($K29&lt;&gt;1,IF(ISNUMBER(INDEX(Import.PLE,$K29,EI$16)),IF(INDEX(Import.PLE,$K29,EI$16)&lt;=mediçao,CI29,0),0),PLE!$AA$28*CI29)</f>
        <v>0</v>
      </c>
      <c r="EJ29" s="120">
        <f ca="1">IF($K29&lt;&gt;1,IF(ISNUMBER(INDEX(Import.PLE,$K29,EJ$16)),IF(INDEX(Import.PLE,$K29,EJ$16)&lt;=mediçao,CJ29,0),0),PLE!$AA$28*CJ29)</f>
        <v>0</v>
      </c>
      <c r="EK29" s="120">
        <f ca="1">IF($K29&lt;&gt;1,IF(ISNUMBER(INDEX(Import.PLE,$K29,EK$16)),IF(INDEX(Import.PLE,$K29,EK$16)&lt;=mediçao,CK29,0),0),PLE!$AA$28*CK29)</f>
        <v>0</v>
      </c>
      <c r="EL29" s="120">
        <f ca="1">IF($K29&lt;&gt;1,IF(ISNUMBER(INDEX(Import.PLE,$K29,EL$16)),IF(INDEX(Import.PLE,$K29,EL$16)&lt;=mediçao,CL29,0),0),PLE!$AA$28*CL29)</f>
        <v>0</v>
      </c>
      <c r="EM29" s="120">
        <f ca="1">IF($K29&lt;&gt;1,IF(ISNUMBER(INDEX(Import.PLE,$K29,EM$16)),IF(INDEX(Import.PLE,$K29,EM$16)&lt;=mediçao,CM29,0),0),PLE!$AA$28*CM29)</f>
        <v>0</v>
      </c>
      <c r="EN29" s="120">
        <f ca="1">IF($K29&lt;&gt;1,IF(ISNUMBER(INDEX(Import.PLE,$K29,EN$16)),IF(INDEX(Import.PLE,$K29,EN$16)&lt;=mediçao,CN29,0),0),PLE!$AA$28*CN29)</f>
        <v>0</v>
      </c>
      <c r="EO29" s="120">
        <f ca="1">IF($K29&lt;&gt;1,IF(ISNUMBER(INDEX(Import.PLE,$K29,EO$16)),IF(INDEX(Import.PLE,$K29,EO$16)&lt;=mediçao,CO29,0),0),PLE!$AA$28*CO29)</f>
        <v>0</v>
      </c>
      <c r="EP29" s="120">
        <f ca="1">IF($K29&lt;&gt;1,IF(ISNUMBER(INDEX(Import.PLE,$K29,EP$16)),IF(INDEX(Import.PLE,$K29,EP$16)&lt;=mediçao,CP29,0),0),PLE!$AA$28*CP29)</f>
        <v>0</v>
      </c>
      <c r="EQ29" s="120">
        <f ca="1">IF($K29&lt;&gt;1,IF(ISNUMBER(INDEX(Import.PLE,$K29,EQ$16)),IF(INDEX(Import.PLE,$K29,EQ$16)&lt;=mediçao,CQ29,0),0),PLE!$AA$28*CQ29)</f>
        <v>0</v>
      </c>
      <c r="ER29" s="120">
        <f ca="1">IF($K29&lt;&gt;1,IF(ISNUMBER(INDEX(Import.PLE,$K29,ER$16)),IF(INDEX(Import.PLE,$K29,ER$16)&lt;=mediçao,CR29,0),0),PLE!$AA$28*CR29)</f>
        <v>0</v>
      </c>
      <c r="ES29" s="120">
        <f ca="1">IF($K29&lt;&gt;1,IF(ISNUMBER(INDEX(Import.PLE,$K29,ES$16)),IF(INDEX(Import.PLE,$K29,ES$16)&lt;=mediçao,CS29,0),0),PLE!$AA$28*CS29)</f>
        <v>0</v>
      </c>
      <c r="ET29" s="120">
        <f ca="1">IF($K29&lt;&gt;1,IF(ISNUMBER(INDEX(Import.PLE,$K29,ET$16)),IF(INDEX(Import.PLE,$K29,ET$16)&lt;=mediçao,CT29,0),0),PLE!$AA$28*CT29)</f>
        <v>0</v>
      </c>
      <c r="EU29" s="120">
        <f ca="1">IF($K29&lt;&gt;1,IF(ISNUMBER(INDEX(Import.PLE,$K29,EU$16)),IF(INDEX(Import.PLE,$K29,EU$16)&lt;=mediçao,CU29,0),0),PLE!$AA$28*CU29)</f>
        <v>0</v>
      </c>
      <c r="EV29" s="120">
        <f ca="1">IF($K29&lt;&gt;1,IF(ISNUMBER(INDEX(Import.PLE,$K29,EV$16)),IF(INDEX(Import.PLE,$K29,EV$16)&lt;=mediçao,CV29,0),0),PLE!$AA$28*CV29)</f>
        <v>0</v>
      </c>
      <c r="EW29" s="120">
        <f ca="1">IF($K29&lt;&gt;1,IF(ISNUMBER(INDEX(Import.PLE,$K29,EW$16)),IF(INDEX(Import.PLE,$K29,EW$16)&lt;=mediçao,CW29,0),0),PLE!$AA$28*CW29)</f>
        <v>0</v>
      </c>
      <c r="EX29" s="120">
        <f ca="1">IF($K29&lt;&gt;1,IF(ISNUMBER(INDEX(Import.PLE,$K29,EX$16)),IF(INDEX(Import.PLE,$K29,EX$16)&lt;=mediçao,CX29,0),0),PLE!$AA$28*CX29)</f>
        <v>0</v>
      </c>
      <c r="EY29" s="120">
        <f ca="1">IF($K29&lt;&gt;1,IF(ISNUMBER(INDEX(Import.PLE,$K29,EY$16)),IF(INDEX(Import.PLE,$K29,EY$16)&lt;=mediçao,CY29,0),0),PLE!$AA$28*CY29)</f>
        <v>0</v>
      </c>
      <c r="EZ29" s="120">
        <f ca="1">IF($K29&lt;&gt;1,IF(ISNUMBER(INDEX(Import.PLE,$K29,EZ$16)),IF(INDEX(Import.PLE,$K29,EZ$16)&lt;=mediçao,CZ29,0),0),PLE!$AA$28*CZ29)</f>
        <v>0</v>
      </c>
      <c r="FA29" s="120">
        <f ca="1">IF($K29&lt;&gt;1,IF(ISNUMBER(INDEX(Import.PLE,$K29,FA$16)),IF(INDEX(Import.PLE,$K29,FA$16)&lt;=mediçao,DA29,0),0),PLE!$AA$28*DA29)</f>
        <v>0</v>
      </c>
      <c r="FB29" s="120">
        <f ca="1">IF($K29&lt;&gt;1,IF(ISNUMBER(INDEX(Import.PLE,$K29,FB$16)),IF(INDEX(Import.PLE,$K29,FB$16)&lt;=mediçao,DB29,0),0),PLE!$AA$28*DB29)</f>
        <v>0</v>
      </c>
      <c r="FC29" s="120">
        <f ca="1">IF($K29&lt;&gt;1,IF(ISNUMBER(INDEX(Import.PLE,$K29,FC$16)),IF(INDEX(Import.PLE,$K29,FC$16)&lt;=mediçao,DC29,0),0),PLE!$AA$28*DC29)</f>
        <v>0</v>
      </c>
      <c r="FD29" s="120">
        <f ca="1">IF($K29&lt;&gt;1,IF(ISNUMBER(INDEX(Import.PLE,$K29,FD$16)),IF(INDEX(Import.PLE,$K29,FD$16)&lt;=mediçao,DD29,0),0),PLE!$AA$28*DD29)</f>
        <v>0</v>
      </c>
      <c r="FE29" s="120">
        <f ca="1">IF($K29&lt;&gt;1,IF(ISNUMBER(INDEX(Import.PLE,$K29,FE$16)),IF(INDEX(Import.PLE,$K29,FE$16)&lt;=mediçao,DE29,0),0),PLE!$AA$28*DE29)</f>
        <v>0</v>
      </c>
      <c r="FF29" s="120">
        <f ca="1">IF($K29&lt;&gt;1,IF(ISNUMBER(INDEX(Import.PLE,$K29,FF$16)),IF(INDEX(Import.PLE,$K29,FF$16)&lt;=mediçao,DF29,0),0),PLE!$AA$28*DF29)</f>
        <v>0</v>
      </c>
      <c r="FG29" s="120">
        <f ca="1">IF($K29&lt;&gt;1,IF(ISNUMBER(INDEX(Import.PLE,$K29,FG$16)),IF(INDEX(Import.PLE,$K29,FG$16)&lt;=mediçao,DG29,0),0),PLE!$AA$28*DG29)</f>
        <v>0</v>
      </c>
      <c r="FH29" s="120">
        <f ca="1">IF($K29&lt;&gt;1,IF(ISNUMBER(INDEX(Import.PLE,$K29,FH$16)),IF(INDEX(Import.PLE,$K29,FH$16)&lt;=mediçao,DH29,0),0),PLE!$AA$28*DH29)</f>
        <v>0</v>
      </c>
      <c r="FI29" s="120">
        <f ca="1">IF($K29&lt;&gt;1,IF(ISNUMBER(INDEX(Import.PLE,$K29,FI$16)),IF(INDEX(Import.PLE,$K29,FI$16)&lt;=mediçao,DI29,0),0),PLE!$AA$28*DI29)</f>
        <v>0</v>
      </c>
      <c r="FJ29" s="120">
        <f ca="1">IF($K29&lt;&gt;1,IF(ISNUMBER(INDEX(Import.PLE,$K29,FJ$16)),IF(INDEX(Import.PLE,$K29,FJ$16)&lt;=mediçao,DJ29,0),0),PLE!$AA$28*DJ29)</f>
        <v>0</v>
      </c>
    </row>
    <row r="30" spans="2:166" s="88" customFormat="1" ht="45" x14ac:dyDescent="0.25">
      <c r="B30" s="119">
        <f ca="1">ROW(Nível)-ROW(LIorçamento)+1</f>
        <v>13</v>
      </c>
      <c r="C30" s="83" t="str">
        <f>IF(D30="","",IF(ISNUMBER(VALUE(D30)),"Meta",IF(AND(F30&lt;&gt;"",I30&lt;&gt;""),"Serviço","Nível")))</f>
        <v>Serviço</v>
      </c>
      <c r="D30" s="170" t="s">
        <v>185</v>
      </c>
      <c r="E30" s="171" t="s">
        <v>193</v>
      </c>
      <c r="F30" s="172" t="s">
        <v>165</v>
      </c>
      <c r="G30" s="175">
        <f>IF(Nível="Serviço",SUMIF($N$15:$BK$15,"&lt;&gt;"&amp;"",N30:BK30),"")</f>
        <v>314.72999999999996</v>
      </c>
      <c r="H30" s="176">
        <f>IF(AND(ISNUMBER(G30),G30&lt;&gt;0),I30/G30,IF(G30=0,0,""))</f>
        <v>53.080005083722561</v>
      </c>
      <c r="I30" s="177">
        <v>16705.87</v>
      </c>
      <c r="J30" s="86"/>
      <c r="K30" s="169">
        <f>deactivatedados.form1</f>
        <v>3</v>
      </c>
      <c r="L30" s="168" t="s">
        <v>206</v>
      </c>
      <c r="M30" s="87"/>
      <c r="N30" s="182">
        <v>54.52</v>
      </c>
      <c r="O30" s="182">
        <v>29.01</v>
      </c>
      <c r="P30" s="182">
        <v>42.33</v>
      </c>
      <c r="Q30" s="182">
        <v>67.53</v>
      </c>
      <c r="R30" s="182">
        <v>21.62</v>
      </c>
      <c r="S30" s="182">
        <v>39.700000000000003</v>
      </c>
      <c r="T30" s="182">
        <v>33.119999999999997</v>
      </c>
      <c r="U30" s="182">
        <v>26.9</v>
      </c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2"/>
      <c r="AX30" s="182"/>
      <c r="AY30" s="182"/>
      <c r="AZ30" s="182"/>
      <c r="BA30" s="182"/>
      <c r="BB30" s="182"/>
      <c r="BC30" s="182"/>
      <c r="BD30" s="182"/>
      <c r="BE30" s="182"/>
      <c r="BF30" s="182"/>
      <c r="BG30" s="182"/>
      <c r="BH30" s="182"/>
      <c r="BI30" s="182"/>
      <c r="BJ30" s="182"/>
      <c r="BK30" s="182"/>
      <c r="BM30" s="120">
        <f t="shared" ca="1" si="7"/>
        <v>2893.9218771645542</v>
      </c>
      <c r="BN30" s="120">
        <f t="shared" ca="1" si="8"/>
        <v>1539.8509474787916</v>
      </c>
      <c r="BO30" s="120">
        <f t="shared" ca="1" si="9"/>
        <v>2246.8766151939758</v>
      </c>
      <c r="BP30" s="120">
        <f t="shared" ca="1" si="10"/>
        <v>3584.4927433037847</v>
      </c>
      <c r="BQ30" s="120">
        <f t="shared" ca="1" si="11"/>
        <v>1147.5897099100819</v>
      </c>
      <c r="BR30" s="120">
        <f t="shared" ca="1" si="12"/>
        <v>2107.2762018237859</v>
      </c>
      <c r="BS30" s="120">
        <f t="shared" ca="1" si="13"/>
        <v>1758.0097683728911</v>
      </c>
      <c r="BT30" s="120">
        <f t="shared" ca="1" si="14"/>
        <v>1427.8521367521369</v>
      </c>
      <c r="BU30" s="120">
        <f t="shared" si="15"/>
        <v>0</v>
      </c>
      <c r="BV30" s="120">
        <f t="shared" si="16"/>
        <v>0</v>
      </c>
      <c r="BW30" s="120">
        <f t="shared" si="17"/>
        <v>0</v>
      </c>
      <c r="BX30" s="120">
        <f t="shared" si="18"/>
        <v>0</v>
      </c>
      <c r="BY30" s="120">
        <f t="shared" si="19"/>
        <v>0</v>
      </c>
      <c r="BZ30" s="120">
        <f t="shared" si="20"/>
        <v>0</v>
      </c>
      <c r="CA30" s="120">
        <f t="shared" si="21"/>
        <v>0</v>
      </c>
      <c r="CB30" s="120">
        <f t="shared" si="22"/>
        <v>0</v>
      </c>
      <c r="CC30" s="120">
        <f t="shared" si="23"/>
        <v>0</v>
      </c>
      <c r="CD30" s="120">
        <f t="shared" si="24"/>
        <v>0</v>
      </c>
      <c r="CE30" s="120">
        <f t="shared" si="25"/>
        <v>0</v>
      </c>
      <c r="CF30" s="120">
        <f t="shared" si="26"/>
        <v>0</v>
      </c>
      <c r="CG30" s="120">
        <f t="shared" si="27"/>
        <v>0</v>
      </c>
      <c r="CH30" s="120">
        <f t="shared" si="28"/>
        <v>0</v>
      </c>
      <c r="CI30" s="120">
        <f t="shared" si="29"/>
        <v>0</v>
      </c>
      <c r="CJ30" s="120">
        <f t="shared" si="30"/>
        <v>0</v>
      </c>
      <c r="CK30" s="120">
        <f t="shared" si="31"/>
        <v>0</v>
      </c>
      <c r="CL30" s="120">
        <f t="shared" si="32"/>
        <v>0</v>
      </c>
      <c r="CM30" s="120">
        <f t="shared" si="33"/>
        <v>0</v>
      </c>
      <c r="CN30" s="120">
        <f t="shared" si="34"/>
        <v>0</v>
      </c>
      <c r="CO30" s="120">
        <f t="shared" si="35"/>
        <v>0</v>
      </c>
      <c r="CP30" s="120">
        <f t="shared" si="36"/>
        <v>0</v>
      </c>
      <c r="CQ30" s="120">
        <f t="shared" si="37"/>
        <v>0</v>
      </c>
      <c r="CR30" s="120">
        <f t="shared" si="38"/>
        <v>0</v>
      </c>
      <c r="CS30" s="120">
        <f t="shared" si="39"/>
        <v>0</v>
      </c>
      <c r="CT30" s="120">
        <f t="shared" si="40"/>
        <v>0</v>
      </c>
      <c r="CU30" s="120">
        <f t="shared" si="41"/>
        <v>0</v>
      </c>
      <c r="CV30" s="120">
        <f t="shared" si="42"/>
        <v>0</v>
      </c>
      <c r="CW30" s="120">
        <f t="shared" si="43"/>
        <v>0</v>
      </c>
      <c r="CX30" s="120">
        <f t="shared" si="44"/>
        <v>0</v>
      </c>
      <c r="CY30" s="120">
        <f t="shared" si="45"/>
        <v>0</v>
      </c>
      <c r="CZ30" s="120">
        <f t="shared" si="46"/>
        <v>0</v>
      </c>
      <c r="DA30" s="120">
        <f t="shared" si="47"/>
        <v>0</v>
      </c>
      <c r="DB30" s="120">
        <f t="shared" si="48"/>
        <v>0</v>
      </c>
      <c r="DC30" s="120">
        <f t="shared" si="49"/>
        <v>0</v>
      </c>
      <c r="DD30" s="120">
        <f t="shared" si="50"/>
        <v>0</v>
      </c>
      <c r="DE30" s="120">
        <f t="shared" si="51"/>
        <v>0</v>
      </c>
      <c r="DF30" s="120">
        <f t="shared" si="52"/>
        <v>0</v>
      </c>
      <c r="DG30" s="120">
        <f t="shared" si="53"/>
        <v>0</v>
      </c>
      <c r="DH30" s="120">
        <f t="shared" si="54"/>
        <v>0</v>
      </c>
      <c r="DI30" s="120">
        <f t="shared" si="55"/>
        <v>0</v>
      </c>
      <c r="DJ30" s="120">
        <f t="shared" si="56"/>
        <v>0</v>
      </c>
      <c r="DK30" s="127" t="str">
        <f>IF(D30="",0,IF(ISNUMBER(VALUE(D30)),VALUE(D30),LEFT(D30,FIND(".",D30)-1)))</f>
        <v>4</v>
      </c>
      <c r="DL30" s="127">
        <f ca="1">SUM(DM30:FJ30)</f>
        <v>0</v>
      </c>
      <c r="DM30" s="120">
        <f ca="1">IF($K30&lt;&gt;1,IF(ISNUMBER(INDEX(Import.PLE,$K30,DM$16)),IF(INDEX(Import.PLE,$K30,DM$16)&lt;=mediçao,BM30,0),0),PLE!$AA$28*BM30)</f>
        <v>0</v>
      </c>
      <c r="DN30" s="120">
        <f ca="1">IF($K30&lt;&gt;1,IF(ISNUMBER(INDEX(Import.PLE,$K30,DN$16)),IF(INDEX(Import.PLE,$K30,DN$16)&lt;=mediçao,BN30,0),0),PLE!$AA$28*BN30)</f>
        <v>0</v>
      </c>
      <c r="DO30" s="120">
        <f ca="1">IF($K30&lt;&gt;1,IF(ISNUMBER(INDEX(Import.PLE,$K30,DO$16)),IF(INDEX(Import.PLE,$K30,DO$16)&lt;=mediçao,BO30,0),0),PLE!$AA$28*BO30)</f>
        <v>0</v>
      </c>
      <c r="DP30" s="120">
        <f ca="1">IF($K30&lt;&gt;1,IF(ISNUMBER(INDEX(Import.PLE,$K30,DP$16)),IF(INDEX(Import.PLE,$K30,DP$16)&lt;=mediçao,BP30,0),0),PLE!$AA$28*BP30)</f>
        <v>0</v>
      </c>
      <c r="DQ30" s="120">
        <f ca="1">IF($K30&lt;&gt;1,IF(ISNUMBER(INDEX(Import.PLE,$K30,DQ$16)),IF(INDEX(Import.PLE,$K30,DQ$16)&lt;=mediçao,BQ30,0),0),PLE!$AA$28*BQ30)</f>
        <v>0</v>
      </c>
      <c r="DR30" s="120">
        <f ca="1">IF($K30&lt;&gt;1,IF(ISNUMBER(INDEX(Import.PLE,$K30,DR$16)),IF(INDEX(Import.PLE,$K30,DR$16)&lt;=mediçao,BR30,0),0),PLE!$AA$28*BR30)</f>
        <v>0</v>
      </c>
      <c r="DS30" s="120">
        <f ca="1">IF($K30&lt;&gt;1,IF(ISNUMBER(INDEX(Import.PLE,$K30,DS$16)),IF(INDEX(Import.PLE,$K30,DS$16)&lt;=mediçao,BS30,0),0),PLE!$AA$28*BS30)</f>
        <v>0</v>
      </c>
      <c r="DT30" s="120">
        <f ca="1">IF($K30&lt;&gt;1,IF(ISNUMBER(INDEX(Import.PLE,$K30,DT$16)),IF(INDEX(Import.PLE,$K30,DT$16)&lt;=mediçao,BT30,0),0),PLE!$AA$28*BT30)</f>
        <v>0</v>
      </c>
      <c r="DU30" s="120">
        <f ca="1">IF($K30&lt;&gt;1,IF(ISNUMBER(INDEX(Import.PLE,$K30,DU$16)),IF(INDEX(Import.PLE,$K30,DU$16)&lt;=mediçao,BU30,0),0),PLE!$AA$28*BU30)</f>
        <v>0</v>
      </c>
      <c r="DV30" s="120">
        <f ca="1">IF($K30&lt;&gt;1,IF(ISNUMBER(INDEX(Import.PLE,$K30,DV$16)),IF(INDEX(Import.PLE,$K30,DV$16)&lt;=mediçao,BV30,0),0),PLE!$AA$28*BV30)</f>
        <v>0</v>
      </c>
      <c r="DW30" s="120">
        <f ca="1">IF($K30&lt;&gt;1,IF(ISNUMBER(INDEX(Import.PLE,$K30,DW$16)),IF(INDEX(Import.PLE,$K30,DW$16)&lt;=mediçao,BW30,0),0),PLE!$AA$28*BW30)</f>
        <v>0</v>
      </c>
      <c r="DX30" s="120">
        <f ca="1">IF($K30&lt;&gt;1,IF(ISNUMBER(INDEX(Import.PLE,$K30,DX$16)),IF(INDEX(Import.PLE,$K30,DX$16)&lt;=mediçao,BX30,0),0),PLE!$AA$28*BX30)</f>
        <v>0</v>
      </c>
      <c r="DY30" s="120">
        <f ca="1">IF($K30&lt;&gt;1,IF(ISNUMBER(INDEX(Import.PLE,$K30,DY$16)),IF(INDEX(Import.PLE,$K30,DY$16)&lt;=mediçao,BY30,0),0),PLE!$AA$28*BY30)</f>
        <v>0</v>
      </c>
      <c r="DZ30" s="120">
        <f ca="1">IF($K30&lt;&gt;1,IF(ISNUMBER(INDEX(Import.PLE,$K30,DZ$16)),IF(INDEX(Import.PLE,$K30,DZ$16)&lt;=mediçao,BZ30,0),0),PLE!$AA$28*BZ30)</f>
        <v>0</v>
      </c>
      <c r="EA30" s="120">
        <f ca="1">IF($K30&lt;&gt;1,IF(ISNUMBER(INDEX(Import.PLE,$K30,EA$16)),IF(INDEX(Import.PLE,$K30,EA$16)&lt;=mediçao,CA30,0),0),PLE!$AA$28*CA30)</f>
        <v>0</v>
      </c>
      <c r="EB30" s="120">
        <f ca="1">IF($K30&lt;&gt;1,IF(ISNUMBER(INDEX(Import.PLE,$K30,EB$16)),IF(INDEX(Import.PLE,$K30,EB$16)&lt;=mediçao,CB30,0),0),PLE!$AA$28*CB30)</f>
        <v>0</v>
      </c>
      <c r="EC30" s="120">
        <f ca="1">IF($K30&lt;&gt;1,IF(ISNUMBER(INDEX(Import.PLE,$K30,EC$16)),IF(INDEX(Import.PLE,$K30,EC$16)&lt;=mediçao,CC30,0),0),PLE!$AA$28*CC30)</f>
        <v>0</v>
      </c>
      <c r="ED30" s="120">
        <f ca="1">IF($K30&lt;&gt;1,IF(ISNUMBER(INDEX(Import.PLE,$K30,ED$16)),IF(INDEX(Import.PLE,$K30,ED$16)&lt;=mediçao,CD30,0),0),PLE!$AA$28*CD30)</f>
        <v>0</v>
      </c>
      <c r="EE30" s="120">
        <f ca="1">IF($K30&lt;&gt;1,IF(ISNUMBER(INDEX(Import.PLE,$K30,EE$16)),IF(INDEX(Import.PLE,$K30,EE$16)&lt;=mediçao,CE30,0),0),PLE!$AA$28*CE30)</f>
        <v>0</v>
      </c>
      <c r="EF30" s="120">
        <f ca="1">IF($K30&lt;&gt;1,IF(ISNUMBER(INDEX(Import.PLE,$K30,EF$16)),IF(INDEX(Import.PLE,$K30,EF$16)&lt;=mediçao,CF30,0),0),PLE!$AA$28*CF30)</f>
        <v>0</v>
      </c>
      <c r="EG30" s="120">
        <f ca="1">IF($K30&lt;&gt;1,IF(ISNUMBER(INDEX(Import.PLE,$K30,EG$16)),IF(INDEX(Import.PLE,$K30,EG$16)&lt;=mediçao,CG30,0),0),PLE!$AA$28*CG30)</f>
        <v>0</v>
      </c>
      <c r="EH30" s="120">
        <f ca="1">IF($K30&lt;&gt;1,IF(ISNUMBER(INDEX(Import.PLE,$K30,EH$16)),IF(INDEX(Import.PLE,$K30,EH$16)&lt;=mediçao,CH30,0),0),PLE!$AA$28*CH30)</f>
        <v>0</v>
      </c>
      <c r="EI30" s="120">
        <f ca="1">IF($K30&lt;&gt;1,IF(ISNUMBER(INDEX(Import.PLE,$K30,EI$16)),IF(INDEX(Import.PLE,$K30,EI$16)&lt;=mediçao,CI30,0),0),PLE!$AA$28*CI30)</f>
        <v>0</v>
      </c>
      <c r="EJ30" s="120">
        <f ca="1">IF($K30&lt;&gt;1,IF(ISNUMBER(INDEX(Import.PLE,$K30,EJ$16)),IF(INDEX(Import.PLE,$K30,EJ$16)&lt;=mediçao,CJ30,0),0),PLE!$AA$28*CJ30)</f>
        <v>0</v>
      </c>
      <c r="EK30" s="120">
        <f ca="1">IF($K30&lt;&gt;1,IF(ISNUMBER(INDEX(Import.PLE,$K30,EK$16)),IF(INDEX(Import.PLE,$K30,EK$16)&lt;=mediçao,CK30,0),0),PLE!$AA$28*CK30)</f>
        <v>0</v>
      </c>
      <c r="EL30" s="120">
        <f ca="1">IF($K30&lt;&gt;1,IF(ISNUMBER(INDEX(Import.PLE,$K30,EL$16)),IF(INDEX(Import.PLE,$K30,EL$16)&lt;=mediçao,CL30,0),0),PLE!$AA$28*CL30)</f>
        <v>0</v>
      </c>
      <c r="EM30" s="120">
        <f ca="1">IF($K30&lt;&gt;1,IF(ISNUMBER(INDEX(Import.PLE,$K30,EM$16)),IF(INDEX(Import.PLE,$K30,EM$16)&lt;=mediçao,CM30,0),0),PLE!$AA$28*CM30)</f>
        <v>0</v>
      </c>
      <c r="EN30" s="120">
        <f ca="1">IF($K30&lt;&gt;1,IF(ISNUMBER(INDEX(Import.PLE,$K30,EN$16)),IF(INDEX(Import.PLE,$K30,EN$16)&lt;=mediçao,CN30,0),0),PLE!$AA$28*CN30)</f>
        <v>0</v>
      </c>
      <c r="EO30" s="120">
        <f ca="1">IF($K30&lt;&gt;1,IF(ISNUMBER(INDEX(Import.PLE,$K30,EO$16)),IF(INDEX(Import.PLE,$K30,EO$16)&lt;=mediçao,CO30,0),0),PLE!$AA$28*CO30)</f>
        <v>0</v>
      </c>
      <c r="EP30" s="120">
        <f ca="1">IF($K30&lt;&gt;1,IF(ISNUMBER(INDEX(Import.PLE,$K30,EP$16)),IF(INDEX(Import.PLE,$K30,EP$16)&lt;=mediçao,CP30,0),0),PLE!$AA$28*CP30)</f>
        <v>0</v>
      </c>
      <c r="EQ30" s="120">
        <f ca="1">IF($K30&lt;&gt;1,IF(ISNUMBER(INDEX(Import.PLE,$K30,EQ$16)),IF(INDEX(Import.PLE,$K30,EQ$16)&lt;=mediçao,CQ30,0),0),PLE!$AA$28*CQ30)</f>
        <v>0</v>
      </c>
      <c r="ER30" s="120">
        <f ca="1">IF($K30&lt;&gt;1,IF(ISNUMBER(INDEX(Import.PLE,$K30,ER$16)),IF(INDEX(Import.PLE,$K30,ER$16)&lt;=mediçao,CR30,0),0),PLE!$AA$28*CR30)</f>
        <v>0</v>
      </c>
      <c r="ES30" s="120">
        <f ca="1">IF($K30&lt;&gt;1,IF(ISNUMBER(INDEX(Import.PLE,$K30,ES$16)),IF(INDEX(Import.PLE,$K30,ES$16)&lt;=mediçao,CS30,0),0),PLE!$AA$28*CS30)</f>
        <v>0</v>
      </c>
      <c r="ET30" s="120">
        <f ca="1">IF($K30&lt;&gt;1,IF(ISNUMBER(INDEX(Import.PLE,$K30,ET$16)),IF(INDEX(Import.PLE,$K30,ET$16)&lt;=mediçao,CT30,0),0),PLE!$AA$28*CT30)</f>
        <v>0</v>
      </c>
      <c r="EU30" s="120">
        <f ca="1">IF($K30&lt;&gt;1,IF(ISNUMBER(INDEX(Import.PLE,$K30,EU$16)),IF(INDEX(Import.PLE,$K30,EU$16)&lt;=mediçao,CU30,0),0),PLE!$AA$28*CU30)</f>
        <v>0</v>
      </c>
      <c r="EV30" s="120">
        <f ca="1">IF($K30&lt;&gt;1,IF(ISNUMBER(INDEX(Import.PLE,$K30,EV$16)),IF(INDEX(Import.PLE,$K30,EV$16)&lt;=mediçao,CV30,0),0),PLE!$AA$28*CV30)</f>
        <v>0</v>
      </c>
      <c r="EW30" s="120">
        <f ca="1">IF($K30&lt;&gt;1,IF(ISNUMBER(INDEX(Import.PLE,$K30,EW$16)),IF(INDEX(Import.PLE,$K30,EW$16)&lt;=mediçao,CW30,0),0),PLE!$AA$28*CW30)</f>
        <v>0</v>
      </c>
      <c r="EX30" s="120">
        <f ca="1">IF($K30&lt;&gt;1,IF(ISNUMBER(INDEX(Import.PLE,$K30,EX$16)),IF(INDEX(Import.PLE,$K30,EX$16)&lt;=mediçao,CX30,0),0),PLE!$AA$28*CX30)</f>
        <v>0</v>
      </c>
      <c r="EY30" s="120">
        <f ca="1">IF($K30&lt;&gt;1,IF(ISNUMBER(INDEX(Import.PLE,$K30,EY$16)),IF(INDEX(Import.PLE,$K30,EY$16)&lt;=mediçao,CY30,0),0),PLE!$AA$28*CY30)</f>
        <v>0</v>
      </c>
      <c r="EZ30" s="120">
        <f ca="1">IF($K30&lt;&gt;1,IF(ISNUMBER(INDEX(Import.PLE,$K30,EZ$16)),IF(INDEX(Import.PLE,$K30,EZ$16)&lt;=mediçao,CZ30,0),0),PLE!$AA$28*CZ30)</f>
        <v>0</v>
      </c>
      <c r="FA30" s="120">
        <f ca="1">IF($K30&lt;&gt;1,IF(ISNUMBER(INDEX(Import.PLE,$K30,FA$16)),IF(INDEX(Import.PLE,$K30,FA$16)&lt;=mediçao,DA30,0),0),PLE!$AA$28*DA30)</f>
        <v>0</v>
      </c>
      <c r="FB30" s="120">
        <f ca="1">IF($K30&lt;&gt;1,IF(ISNUMBER(INDEX(Import.PLE,$K30,FB$16)),IF(INDEX(Import.PLE,$K30,FB$16)&lt;=mediçao,DB30,0),0),PLE!$AA$28*DB30)</f>
        <v>0</v>
      </c>
      <c r="FC30" s="120">
        <f ca="1">IF($K30&lt;&gt;1,IF(ISNUMBER(INDEX(Import.PLE,$K30,FC$16)),IF(INDEX(Import.PLE,$K30,FC$16)&lt;=mediçao,DC30,0),0),PLE!$AA$28*DC30)</f>
        <v>0</v>
      </c>
      <c r="FD30" s="120">
        <f ca="1">IF($K30&lt;&gt;1,IF(ISNUMBER(INDEX(Import.PLE,$K30,FD$16)),IF(INDEX(Import.PLE,$K30,FD$16)&lt;=mediçao,DD30,0),0),PLE!$AA$28*DD30)</f>
        <v>0</v>
      </c>
      <c r="FE30" s="120">
        <f ca="1">IF($K30&lt;&gt;1,IF(ISNUMBER(INDEX(Import.PLE,$K30,FE$16)),IF(INDEX(Import.PLE,$K30,FE$16)&lt;=mediçao,DE30,0),0),PLE!$AA$28*DE30)</f>
        <v>0</v>
      </c>
      <c r="FF30" s="120">
        <f ca="1">IF($K30&lt;&gt;1,IF(ISNUMBER(INDEX(Import.PLE,$K30,FF$16)),IF(INDEX(Import.PLE,$K30,FF$16)&lt;=mediçao,DF30,0),0),PLE!$AA$28*DF30)</f>
        <v>0</v>
      </c>
      <c r="FG30" s="120">
        <f ca="1">IF($K30&lt;&gt;1,IF(ISNUMBER(INDEX(Import.PLE,$K30,FG$16)),IF(INDEX(Import.PLE,$K30,FG$16)&lt;=mediçao,DG30,0),0),PLE!$AA$28*DG30)</f>
        <v>0</v>
      </c>
      <c r="FH30" s="120">
        <f ca="1">IF($K30&lt;&gt;1,IF(ISNUMBER(INDEX(Import.PLE,$K30,FH$16)),IF(INDEX(Import.PLE,$K30,FH$16)&lt;=mediçao,DH30,0),0),PLE!$AA$28*DH30)</f>
        <v>0</v>
      </c>
      <c r="FI30" s="120">
        <f ca="1">IF($K30&lt;&gt;1,IF(ISNUMBER(INDEX(Import.PLE,$K30,FI$16)),IF(INDEX(Import.PLE,$K30,FI$16)&lt;=mediçao,DI30,0),0),PLE!$AA$28*DI30)</f>
        <v>0</v>
      </c>
      <c r="FJ30" s="120">
        <f ca="1">IF($K30&lt;&gt;1,IF(ISNUMBER(INDEX(Import.PLE,$K30,FJ$16)),IF(INDEX(Import.PLE,$K30,FJ$16)&lt;=mediçao,DJ30,0),0),PLE!$AA$28*DJ30)</f>
        <v>0</v>
      </c>
    </row>
    <row r="31" spans="2:166" s="88" customFormat="1" ht="33.75" x14ac:dyDescent="0.25">
      <c r="B31" s="119">
        <f t="shared" ca="1" si="3"/>
        <v>14</v>
      </c>
      <c r="C31" s="83" t="str">
        <f t="shared" si="4"/>
        <v>Serviço</v>
      </c>
      <c r="D31" s="170" t="s">
        <v>186</v>
      </c>
      <c r="E31" s="140" t="s">
        <v>179</v>
      </c>
      <c r="F31" s="138" t="s">
        <v>183</v>
      </c>
      <c r="G31" s="175">
        <f t="shared" si="5"/>
        <v>25.629999999999995</v>
      </c>
      <c r="H31" s="176">
        <f t="shared" si="6"/>
        <v>864.34998049161163</v>
      </c>
      <c r="I31" s="177">
        <v>22153.29</v>
      </c>
      <c r="J31" s="86"/>
      <c r="K31" s="169">
        <f>deactivatedados.form1</f>
        <v>3</v>
      </c>
      <c r="L31" s="184" t="s">
        <v>206</v>
      </c>
      <c r="M31" s="87"/>
      <c r="N31" s="182">
        <v>5.26</v>
      </c>
      <c r="O31" s="182">
        <v>2.63</v>
      </c>
      <c r="P31" s="182">
        <v>3.94</v>
      </c>
      <c r="Q31" s="182">
        <v>5.26</v>
      </c>
      <c r="R31" s="182">
        <v>1.31</v>
      </c>
      <c r="S31" s="182">
        <v>1.97</v>
      </c>
      <c r="T31" s="182">
        <v>2.63</v>
      </c>
      <c r="U31" s="182">
        <v>2.63</v>
      </c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82"/>
      <c r="BG31" s="182"/>
      <c r="BH31" s="182"/>
      <c r="BI31" s="182"/>
      <c r="BJ31" s="182"/>
      <c r="BK31" s="182"/>
      <c r="BM31" s="120">
        <f t="shared" ca="1" si="7"/>
        <v>4546.4808973858771</v>
      </c>
      <c r="BN31" s="120">
        <f t="shared" ca="1" si="8"/>
        <v>2273.2404486929386</v>
      </c>
      <c r="BO31" s="120">
        <f t="shared" ca="1" si="9"/>
        <v>3405.53892313695</v>
      </c>
      <c r="BP31" s="120">
        <f t="shared" ca="1" si="10"/>
        <v>4546.4808973858771</v>
      </c>
      <c r="BQ31" s="120">
        <f t="shared" ca="1" si="11"/>
        <v>1132.2984744440114</v>
      </c>
      <c r="BR31" s="120">
        <f t="shared" ca="1" si="12"/>
        <v>1702.769461568475</v>
      </c>
      <c r="BS31" s="120">
        <f t="shared" ca="1" si="13"/>
        <v>2273.2404486929386</v>
      </c>
      <c r="BT31" s="120">
        <f t="shared" ca="1" si="14"/>
        <v>2273.2404486929386</v>
      </c>
      <c r="BU31" s="120">
        <f t="shared" si="15"/>
        <v>0</v>
      </c>
      <c r="BV31" s="120">
        <f t="shared" si="16"/>
        <v>0</v>
      </c>
      <c r="BW31" s="120">
        <f t="shared" si="17"/>
        <v>0</v>
      </c>
      <c r="BX31" s="120">
        <f t="shared" si="18"/>
        <v>0</v>
      </c>
      <c r="BY31" s="120">
        <f t="shared" si="19"/>
        <v>0</v>
      </c>
      <c r="BZ31" s="120">
        <f t="shared" si="20"/>
        <v>0</v>
      </c>
      <c r="CA31" s="120">
        <f t="shared" si="21"/>
        <v>0</v>
      </c>
      <c r="CB31" s="120">
        <f t="shared" si="22"/>
        <v>0</v>
      </c>
      <c r="CC31" s="120">
        <f t="shared" si="23"/>
        <v>0</v>
      </c>
      <c r="CD31" s="120">
        <f t="shared" si="24"/>
        <v>0</v>
      </c>
      <c r="CE31" s="120">
        <f t="shared" si="25"/>
        <v>0</v>
      </c>
      <c r="CF31" s="120">
        <f t="shared" si="26"/>
        <v>0</v>
      </c>
      <c r="CG31" s="120">
        <f t="shared" si="27"/>
        <v>0</v>
      </c>
      <c r="CH31" s="120">
        <f t="shared" si="28"/>
        <v>0</v>
      </c>
      <c r="CI31" s="120">
        <f t="shared" si="29"/>
        <v>0</v>
      </c>
      <c r="CJ31" s="120">
        <f t="shared" si="30"/>
        <v>0</v>
      </c>
      <c r="CK31" s="120">
        <f t="shared" si="31"/>
        <v>0</v>
      </c>
      <c r="CL31" s="120">
        <f t="shared" si="32"/>
        <v>0</v>
      </c>
      <c r="CM31" s="120">
        <f t="shared" si="33"/>
        <v>0</v>
      </c>
      <c r="CN31" s="120">
        <f t="shared" si="34"/>
        <v>0</v>
      </c>
      <c r="CO31" s="120">
        <f t="shared" si="35"/>
        <v>0</v>
      </c>
      <c r="CP31" s="120">
        <f t="shared" si="36"/>
        <v>0</v>
      </c>
      <c r="CQ31" s="120">
        <f t="shared" si="37"/>
        <v>0</v>
      </c>
      <c r="CR31" s="120">
        <f t="shared" si="38"/>
        <v>0</v>
      </c>
      <c r="CS31" s="120">
        <f t="shared" si="39"/>
        <v>0</v>
      </c>
      <c r="CT31" s="120">
        <f t="shared" si="40"/>
        <v>0</v>
      </c>
      <c r="CU31" s="120">
        <f t="shared" si="41"/>
        <v>0</v>
      </c>
      <c r="CV31" s="120">
        <f t="shared" si="42"/>
        <v>0</v>
      </c>
      <c r="CW31" s="120">
        <f t="shared" si="43"/>
        <v>0</v>
      </c>
      <c r="CX31" s="120">
        <f t="shared" si="44"/>
        <v>0</v>
      </c>
      <c r="CY31" s="120">
        <f t="shared" si="45"/>
        <v>0</v>
      </c>
      <c r="CZ31" s="120">
        <f t="shared" si="46"/>
        <v>0</v>
      </c>
      <c r="DA31" s="120">
        <f t="shared" si="47"/>
        <v>0</v>
      </c>
      <c r="DB31" s="120">
        <f t="shared" si="48"/>
        <v>0</v>
      </c>
      <c r="DC31" s="120">
        <f t="shared" si="49"/>
        <v>0</v>
      </c>
      <c r="DD31" s="120">
        <f t="shared" si="50"/>
        <v>0</v>
      </c>
      <c r="DE31" s="120">
        <f t="shared" si="51"/>
        <v>0</v>
      </c>
      <c r="DF31" s="120">
        <f t="shared" si="52"/>
        <v>0</v>
      </c>
      <c r="DG31" s="120">
        <f t="shared" si="53"/>
        <v>0</v>
      </c>
      <c r="DH31" s="120">
        <f t="shared" si="54"/>
        <v>0</v>
      </c>
      <c r="DI31" s="120">
        <f t="shared" si="55"/>
        <v>0</v>
      </c>
      <c r="DJ31" s="120">
        <f t="shared" si="56"/>
        <v>0</v>
      </c>
      <c r="DK31" s="127" t="str">
        <f t="shared" si="57"/>
        <v>4</v>
      </c>
      <c r="DL31" s="127">
        <f t="shared" ca="1" si="58"/>
        <v>0</v>
      </c>
      <c r="DM31" s="120">
        <f ca="1">IF($K31&lt;&gt;1,IF(ISNUMBER(INDEX(Import.PLE,$K31,DM$16)),IF(INDEX(Import.PLE,$K31,DM$16)&lt;=mediçao,BM31,0),0),PLE!$AA$28*BM31)</f>
        <v>0</v>
      </c>
      <c r="DN31" s="120">
        <f ca="1">IF($K31&lt;&gt;1,IF(ISNUMBER(INDEX(Import.PLE,$K31,DN$16)),IF(INDEX(Import.PLE,$K31,DN$16)&lt;=mediçao,BN31,0),0),PLE!$AA$28*BN31)</f>
        <v>0</v>
      </c>
      <c r="DO31" s="120">
        <f ca="1">IF($K31&lt;&gt;1,IF(ISNUMBER(INDEX(Import.PLE,$K31,DO$16)),IF(INDEX(Import.PLE,$K31,DO$16)&lt;=mediçao,BO31,0),0),PLE!$AA$28*BO31)</f>
        <v>0</v>
      </c>
      <c r="DP31" s="120">
        <f ca="1">IF($K31&lt;&gt;1,IF(ISNUMBER(INDEX(Import.PLE,$K31,DP$16)),IF(INDEX(Import.PLE,$K31,DP$16)&lt;=mediçao,BP31,0),0),PLE!$AA$28*BP31)</f>
        <v>0</v>
      </c>
      <c r="DQ31" s="120">
        <f ca="1">IF($K31&lt;&gt;1,IF(ISNUMBER(INDEX(Import.PLE,$K31,DQ$16)),IF(INDEX(Import.PLE,$K31,DQ$16)&lt;=mediçao,BQ31,0),0),PLE!$AA$28*BQ31)</f>
        <v>0</v>
      </c>
      <c r="DR31" s="120">
        <f ca="1">IF($K31&lt;&gt;1,IF(ISNUMBER(INDEX(Import.PLE,$K31,DR$16)),IF(INDEX(Import.PLE,$K31,DR$16)&lt;=mediçao,BR31,0),0),PLE!$AA$28*BR31)</f>
        <v>0</v>
      </c>
      <c r="DS31" s="120">
        <f ca="1">IF($K31&lt;&gt;1,IF(ISNUMBER(INDEX(Import.PLE,$K31,DS$16)),IF(INDEX(Import.PLE,$K31,DS$16)&lt;=mediçao,BS31,0),0),PLE!$AA$28*BS31)</f>
        <v>0</v>
      </c>
      <c r="DT31" s="120">
        <f ca="1">IF($K31&lt;&gt;1,IF(ISNUMBER(INDEX(Import.PLE,$K31,DT$16)),IF(INDEX(Import.PLE,$K31,DT$16)&lt;=mediçao,BT31,0),0),PLE!$AA$28*BT31)</f>
        <v>0</v>
      </c>
      <c r="DU31" s="120">
        <f ca="1">IF($K31&lt;&gt;1,IF(ISNUMBER(INDEX(Import.PLE,$K31,DU$16)),IF(INDEX(Import.PLE,$K31,DU$16)&lt;=mediçao,BU31,0),0),PLE!$AA$28*BU31)</f>
        <v>0</v>
      </c>
      <c r="DV31" s="120">
        <f ca="1">IF($K31&lt;&gt;1,IF(ISNUMBER(INDEX(Import.PLE,$K31,DV$16)),IF(INDEX(Import.PLE,$K31,DV$16)&lt;=mediçao,BV31,0),0),PLE!$AA$28*BV31)</f>
        <v>0</v>
      </c>
      <c r="DW31" s="120">
        <f ca="1">IF($K31&lt;&gt;1,IF(ISNUMBER(INDEX(Import.PLE,$K31,DW$16)),IF(INDEX(Import.PLE,$K31,DW$16)&lt;=mediçao,BW31,0),0),PLE!$AA$28*BW31)</f>
        <v>0</v>
      </c>
      <c r="DX31" s="120">
        <f ca="1">IF($K31&lt;&gt;1,IF(ISNUMBER(INDEX(Import.PLE,$K31,DX$16)),IF(INDEX(Import.PLE,$K31,DX$16)&lt;=mediçao,BX31,0),0),PLE!$AA$28*BX31)</f>
        <v>0</v>
      </c>
      <c r="DY31" s="120">
        <f ca="1">IF($K31&lt;&gt;1,IF(ISNUMBER(INDEX(Import.PLE,$K31,DY$16)),IF(INDEX(Import.PLE,$K31,DY$16)&lt;=mediçao,BY31,0),0),PLE!$AA$28*BY31)</f>
        <v>0</v>
      </c>
      <c r="DZ31" s="120">
        <f ca="1">IF($K31&lt;&gt;1,IF(ISNUMBER(INDEX(Import.PLE,$K31,DZ$16)),IF(INDEX(Import.PLE,$K31,DZ$16)&lt;=mediçao,BZ31,0),0),PLE!$AA$28*BZ31)</f>
        <v>0</v>
      </c>
      <c r="EA31" s="120">
        <f ca="1">IF($K31&lt;&gt;1,IF(ISNUMBER(INDEX(Import.PLE,$K31,EA$16)),IF(INDEX(Import.PLE,$K31,EA$16)&lt;=mediçao,CA31,0),0),PLE!$AA$28*CA31)</f>
        <v>0</v>
      </c>
      <c r="EB31" s="120">
        <f ca="1">IF($K31&lt;&gt;1,IF(ISNUMBER(INDEX(Import.PLE,$K31,EB$16)),IF(INDEX(Import.PLE,$K31,EB$16)&lt;=mediçao,CB31,0),0),PLE!$AA$28*CB31)</f>
        <v>0</v>
      </c>
      <c r="EC31" s="120">
        <f ca="1">IF($K31&lt;&gt;1,IF(ISNUMBER(INDEX(Import.PLE,$K31,EC$16)),IF(INDEX(Import.PLE,$K31,EC$16)&lt;=mediçao,CC31,0),0),PLE!$AA$28*CC31)</f>
        <v>0</v>
      </c>
      <c r="ED31" s="120">
        <f ca="1">IF($K31&lt;&gt;1,IF(ISNUMBER(INDEX(Import.PLE,$K31,ED$16)),IF(INDEX(Import.PLE,$K31,ED$16)&lt;=mediçao,CD31,0),0),PLE!$AA$28*CD31)</f>
        <v>0</v>
      </c>
      <c r="EE31" s="120">
        <f ca="1">IF($K31&lt;&gt;1,IF(ISNUMBER(INDEX(Import.PLE,$K31,EE$16)),IF(INDEX(Import.PLE,$K31,EE$16)&lt;=mediçao,CE31,0),0),PLE!$AA$28*CE31)</f>
        <v>0</v>
      </c>
      <c r="EF31" s="120">
        <f ca="1">IF($K31&lt;&gt;1,IF(ISNUMBER(INDEX(Import.PLE,$K31,EF$16)),IF(INDEX(Import.PLE,$K31,EF$16)&lt;=mediçao,CF31,0),0),PLE!$AA$28*CF31)</f>
        <v>0</v>
      </c>
      <c r="EG31" s="120">
        <f ca="1">IF($K31&lt;&gt;1,IF(ISNUMBER(INDEX(Import.PLE,$K31,EG$16)),IF(INDEX(Import.PLE,$K31,EG$16)&lt;=mediçao,CG31,0),0),PLE!$AA$28*CG31)</f>
        <v>0</v>
      </c>
      <c r="EH31" s="120">
        <f ca="1">IF($K31&lt;&gt;1,IF(ISNUMBER(INDEX(Import.PLE,$K31,EH$16)),IF(INDEX(Import.PLE,$K31,EH$16)&lt;=mediçao,CH31,0),0),PLE!$AA$28*CH31)</f>
        <v>0</v>
      </c>
      <c r="EI31" s="120">
        <f ca="1">IF($K31&lt;&gt;1,IF(ISNUMBER(INDEX(Import.PLE,$K31,EI$16)),IF(INDEX(Import.PLE,$K31,EI$16)&lt;=mediçao,CI31,0),0),PLE!$AA$28*CI31)</f>
        <v>0</v>
      </c>
      <c r="EJ31" s="120">
        <f ca="1">IF($K31&lt;&gt;1,IF(ISNUMBER(INDEX(Import.PLE,$K31,EJ$16)),IF(INDEX(Import.PLE,$K31,EJ$16)&lt;=mediçao,CJ31,0),0),PLE!$AA$28*CJ31)</f>
        <v>0</v>
      </c>
      <c r="EK31" s="120">
        <f ca="1">IF($K31&lt;&gt;1,IF(ISNUMBER(INDEX(Import.PLE,$K31,EK$16)),IF(INDEX(Import.PLE,$K31,EK$16)&lt;=mediçao,CK31,0),0),PLE!$AA$28*CK31)</f>
        <v>0</v>
      </c>
      <c r="EL31" s="120">
        <f ca="1">IF($K31&lt;&gt;1,IF(ISNUMBER(INDEX(Import.PLE,$K31,EL$16)),IF(INDEX(Import.PLE,$K31,EL$16)&lt;=mediçao,CL31,0),0),PLE!$AA$28*CL31)</f>
        <v>0</v>
      </c>
      <c r="EM31" s="120">
        <f ca="1">IF($K31&lt;&gt;1,IF(ISNUMBER(INDEX(Import.PLE,$K31,EM$16)),IF(INDEX(Import.PLE,$K31,EM$16)&lt;=mediçao,CM31,0),0),PLE!$AA$28*CM31)</f>
        <v>0</v>
      </c>
      <c r="EN31" s="120">
        <f ca="1">IF($K31&lt;&gt;1,IF(ISNUMBER(INDEX(Import.PLE,$K31,EN$16)),IF(INDEX(Import.PLE,$K31,EN$16)&lt;=mediçao,CN31,0),0),PLE!$AA$28*CN31)</f>
        <v>0</v>
      </c>
      <c r="EO31" s="120">
        <f ca="1">IF($K31&lt;&gt;1,IF(ISNUMBER(INDEX(Import.PLE,$K31,EO$16)),IF(INDEX(Import.PLE,$K31,EO$16)&lt;=mediçao,CO31,0),0),PLE!$AA$28*CO31)</f>
        <v>0</v>
      </c>
      <c r="EP31" s="120">
        <f ca="1">IF($K31&lt;&gt;1,IF(ISNUMBER(INDEX(Import.PLE,$K31,EP$16)),IF(INDEX(Import.PLE,$K31,EP$16)&lt;=mediçao,CP31,0),0),PLE!$AA$28*CP31)</f>
        <v>0</v>
      </c>
      <c r="EQ31" s="120">
        <f ca="1">IF($K31&lt;&gt;1,IF(ISNUMBER(INDEX(Import.PLE,$K31,EQ$16)),IF(INDEX(Import.PLE,$K31,EQ$16)&lt;=mediçao,CQ31,0),0),PLE!$AA$28*CQ31)</f>
        <v>0</v>
      </c>
      <c r="ER31" s="120">
        <f ca="1">IF($K31&lt;&gt;1,IF(ISNUMBER(INDEX(Import.PLE,$K31,ER$16)),IF(INDEX(Import.PLE,$K31,ER$16)&lt;=mediçao,CR31,0),0),PLE!$AA$28*CR31)</f>
        <v>0</v>
      </c>
      <c r="ES31" s="120">
        <f ca="1">IF($K31&lt;&gt;1,IF(ISNUMBER(INDEX(Import.PLE,$K31,ES$16)),IF(INDEX(Import.PLE,$K31,ES$16)&lt;=mediçao,CS31,0),0),PLE!$AA$28*CS31)</f>
        <v>0</v>
      </c>
      <c r="ET31" s="120">
        <f ca="1">IF($K31&lt;&gt;1,IF(ISNUMBER(INDEX(Import.PLE,$K31,ET$16)),IF(INDEX(Import.PLE,$K31,ET$16)&lt;=mediçao,CT31,0),0),PLE!$AA$28*CT31)</f>
        <v>0</v>
      </c>
      <c r="EU31" s="120">
        <f ca="1">IF($K31&lt;&gt;1,IF(ISNUMBER(INDEX(Import.PLE,$K31,EU$16)),IF(INDEX(Import.PLE,$K31,EU$16)&lt;=mediçao,CU31,0),0),PLE!$AA$28*CU31)</f>
        <v>0</v>
      </c>
      <c r="EV31" s="120">
        <f ca="1">IF($K31&lt;&gt;1,IF(ISNUMBER(INDEX(Import.PLE,$K31,EV$16)),IF(INDEX(Import.PLE,$K31,EV$16)&lt;=mediçao,CV31,0),0),PLE!$AA$28*CV31)</f>
        <v>0</v>
      </c>
      <c r="EW31" s="120">
        <f ca="1">IF($K31&lt;&gt;1,IF(ISNUMBER(INDEX(Import.PLE,$K31,EW$16)),IF(INDEX(Import.PLE,$K31,EW$16)&lt;=mediçao,CW31,0),0),PLE!$AA$28*CW31)</f>
        <v>0</v>
      </c>
      <c r="EX31" s="120">
        <f ca="1">IF($K31&lt;&gt;1,IF(ISNUMBER(INDEX(Import.PLE,$K31,EX$16)),IF(INDEX(Import.PLE,$K31,EX$16)&lt;=mediçao,CX31,0),0),PLE!$AA$28*CX31)</f>
        <v>0</v>
      </c>
      <c r="EY31" s="120">
        <f ca="1">IF($K31&lt;&gt;1,IF(ISNUMBER(INDEX(Import.PLE,$K31,EY$16)),IF(INDEX(Import.PLE,$K31,EY$16)&lt;=mediçao,CY31,0),0),PLE!$AA$28*CY31)</f>
        <v>0</v>
      </c>
      <c r="EZ31" s="120">
        <f ca="1">IF($K31&lt;&gt;1,IF(ISNUMBER(INDEX(Import.PLE,$K31,EZ$16)),IF(INDEX(Import.PLE,$K31,EZ$16)&lt;=mediçao,CZ31,0),0),PLE!$AA$28*CZ31)</f>
        <v>0</v>
      </c>
      <c r="FA31" s="120">
        <f ca="1">IF($K31&lt;&gt;1,IF(ISNUMBER(INDEX(Import.PLE,$K31,FA$16)),IF(INDEX(Import.PLE,$K31,FA$16)&lt;=mediçao,DA31,0),0),PLE!$AA$28*DA31)</f>
        <v>0</v>
      </c>
      <c r="FB31" s="120">
        <f ca="1">IF($K31&lt;&gt;1,IF(ISNUMBER(INDEX(Import.PLE,$K31,FB$16)),IF(INDEX(Import.PLE,$K31,FB$16)&lt;=mediçao,DB31,0),0),PLE!$AA$28*DB31)</f>
        <v>0</v>
      </c>
      <c r="FC31" s="120">
        <f ca="1">IF($K31&lt;&gt;1,IF(ISNUMBER(INDEX(Import.PLE,$K31,FC$16)),IF(INDEX(Import.PLE,$K31,FC$16)&lt;=mediçao,DC31,0),0),PLE!$AA$28*DC31)</f>
        <v>0</v>
      </c>
      <c r="FD31" s="120">
        <f ca="1">IF($K31&lt;&gt;1,IF(ISNUMBER(INDEX(Import.PLE,$K31,FD$16)),IF(INDEX(Import.PLE,$K31,FD$16)&lt;=mediçao,DD31,0),0),PLE!$AA$28*DD31)</f>
        <v>0</v>
      </c>
      <c r="FE31" s="120">
        <f ca="1">IF($K31&lt;&gt;1,IF(ISNUMBER(INDEX(Import.PLE,$K31,FE$16)),IF(INDEX(Import.PLE,$K31,FE$16)&lt;=mediçao,DE31,0),0),PLE!$AA$28*DE31)</f>
        <v>0</v>
      </c>
      <c r="FF31" s="120">
        <f ca="1">IF($K31&lt;&gt;1,IF(ISNUMBER(INDEX(Import.PLE,$K31,FF$16)),IF(INDEX(Import.PLE,$K31,FF$16)&lt;=mediçao,DF31,0),0),PLE!$AA$28*DF31)</f>
        <v>0</v>
      </c>
      <c r="FG31" s="120">
        <f ca="1">IF($K31&lt;&gt;1,IF(ISNUMBER(INDEX(Import.PLE,$K31,FG$16)),IF(INDEX(Import.PLE,$K31,FG$16)&lt;=mediçao,DG31,0),0),PLE!$AA$28*DG31)</f>
        <v>0</v>
      </c>
      <c r="FH31" s="120">
        <f ca="1">IF($K31&lt;&gt;1,IF(ISNUMBER(INDEX(Import.PLE,$K31,FH$16)),IF(INDEX(Import.PLE,$K31,FH$16)&lt;=mediçao,DH31,0),0),PLE!$AA$28*DH31)</f>
        <v>0</v>
      </c>
      <c r="FI31" s="120">
        <f ca="1">IF($K31&lt;&gt;1,IF(ISNUMBER(INDEX(Import.PLE,$K31,FI$16)),IF(INDEX(Import.PLE,$K31,FI$16)&lt;=mediçao,DI31,0),0),PLE!$AA$28*DI31)</f>
        <v>0</v>
      </c>
      <c r="FJ31" s="120">
        <f ca="1">IF($K31&lt;&gt;1,IF(ISNUMBER(INDEX(Import.PLE,$K31,FJ$16)),IF(INDEX(Import.PLE,$K31,FJ$16)&lt;=mediçao,DJ31,0),0),PLE!$AA$28*DJ31)</f>
        <v>0</v>
      </c>
    </row>
    <row r="32" spans="2:166" s="88" customFormat="1" ht="22.5" x14ac:dyDescent="0.25">
      <c r="B32" s="119">
        <f t="shared" ca="1" si="3"/>
        <v>15</v>
      </c>
      <c r="C32" s="83" t="str">
        <f t="shared" si="4"/>
        <v>Serviço</v>
      </c>
      <c r="D32" s="170" t="s">
        <v>187</v>
      </c>
      <c r="E32" s="140" t="s">
        <v>180</v>
      </c>
      <c r="F32" s="138" t="s">
        <v>165</v>
      </c>
      <c r="G32" s="175">
        <f t="shared" si="5"/>
        <v>307.65000000000003</v>
      </c>
      <c r="H32" s="176">
        <f t="shared" si="6"/>
        <v>121.7800097513408</v>
      </c>
      <c r="I32" s="177">
        <v>37465.620000000003</v>
      </c>
      <c r="J32" s="86"/>
      <c r="K32" s="169">
        <f>deactivatedados.form1</f>
        <v>3</v>
      </c>
      <c r="L32" s="184" t="s">
        <v>206</v>
      </c>
      <c r="M32" s="87"/>
      <c r="N32" s="182">
        <v>54.67</v>
      </c>
      <c r="O32" s="182">
        <v>27.88</v>
      </c>
      <c r="P32" s="182">
        <v>38.130000000000003</v>
      </c>
      <c r="Q32" s="182">
        <v>62.42</v>
      </c>
      <c r="R32" s="182">
        <v>24.61</v>
      </c>
      <c r="S32" s="182">
        <v>45.87</v>
      </c>
      <c r="T32" s="182">
        <v>30.77</v>
      </c>
      <c r="U32" s="182">
        <v>23.3</v>
      </c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2"/>
      <c r="AU32" s="182"/>
      <c r="AV32" s="182"/>
      <c r="AW32" s="182"/>
      <c r="AX32" s="182"/>
      <c r="AY32" s="182"/>
      <c r="AZ32" s="182"/>
      <c r="BA32" s="182"/>
      <c r="BB32" s="182"/>
      <c r="BC32" s="182"/>
      <c r="BD32" s="182"/>
      <c r="BE32" s="182"/>
      <c r="BF32" s="182"/>
      <c r="BG32" s="182"/>
      <c r="BH32" s="182"/>
      <c r="BI32" s="182"/>
      <c r="BJ32" s="182"/>
      <c r="BK32" s="182"/>
      <c r="BM32" s="120">
        <f t="shared" ca="1" si="7"/>
        <v>6657.7131331058017</v>
      </c>
      <c r="BN32" s="120">
        <f t="shared" ca="1" si="8"/>
        <v>3395.2266718673814</v>
      </c>
      <c r="BO32" s="120">
        <f t="shared" ca="1" si="9"/>
        <v>4643.4717718186248</v>
      </c>
      <c r="BP32" s="120">
        <f t="shared" ca="1" si="10"/>
        <v>7601.5082086786933</v>
      </c>
      <c r="BQ32" s="120">
        <f t="shared" ca="1" si="11"/>
        <v>2997.006039980497</v>
      </c>
      <c r="BR32" s="120">
        <f t="shared" ca="1" si="12"/>
        <v>5586.0490472940019</v>
      </c>
      <c r="BS32" s="120">
        <f t="shared" ca="1" si="13"/>
        <v>3747.1709000487563</v>
      </c>
      <c r="BT32" s="120">
        <f t="shared" ca="1" si="14"/>
        <v>2837.4742272062408</v>
      </c>
      <c r="BU32" s="120">
        <f t="shared" si="15"/>
        <v>0</v>
      </c>
      <c r="BV32" s="120">
        <f t="shared" si="16"/>
        <v>0</v>
      </c>
      <c r="BW32" s="120">
        <f t="shared" si="17"/>
        <v>0</v>
      </c>
      <c r="BX32" s="120">
        <f t="shared" si="18"/>
        <v>0</v>
      </c>
      <c r="BY32" s="120">
        <f t="shared" si="19"/>
        <v>0</v>
      </c>
      <c r="BZ32" s="120">
        <f t="shared" si="20"/>
        <v>0</v>
      </c>
      <c r="CA32" s="120">
        <f t="shared" si="21"/>
        <v>0</v>
      </c>
      <c r="CB32" s="120">
        <f t="shared" si="22"/>
        <v>0</v>
      </c>
      <c r="CC32" s="120">
        <f t="shared" si="23"/>
        <v>0</v>
      </c>
      <c r="CD32" s="120">
        <f t="shared" si="24"/>
        <v>0</v>
      </c>
      <c r="CE32" s="120">
        <f t="shared" si="25"/>
        <v>0</v>
      </c>
      <c r="CF32" s="120">
        <f t="shared" si="26"/>
        <v>0</v>
      </c>
      <c r="CG32" s="120">
        <f t="shared" si="27"/>
        <v>0</v>
      </c>
      <c r="CH32" s="120">
        <f t="shared" si="28"/>
        <v>0</v>
      </c>
      <c r="CI32" s="120">
        <f t="shared" si="29"/>
        <v>0</v>
      </c>
      <c r="CJ32" s="120">
        <f t="shared" si="30"/>
        <v>0</v>
      </c>
      <c r="CK32" s="120">
        <f t="shared" si="31"/>
        <v>0</v>
      </c>
      <c r="CL32" s="120">
        <f t="shared" si="32"/>
        <v>0</v>
      </c>
      <c r="CM32" s="120">
        <f t="shared" si="33"/>
        <v>0</v>
      </c>
      <c r="CN32" s="120">
        <f t="shared" si="34"/>
        <v>0</v>
      </c>
      <c r="CO32" s="120">
        <f t="shared" si="35"/>
        <v>0</v>
      </c>
      <c r="CP32" s="120">
        <f t="shared" si="36"/>
        <v>0</v>
      </c>
      <c r="CQ32" s="120">
        <f t="shared" si="37"/>
        <v>0</v>
      </c>
      <c r="CR32" s="120">
        <f t="shared" si="38"/>
        <v>0</v>
      </c>
      <c r="CS32" s="120">
        <f t="shared" si="39"/>
        <v>0</v>
      </c>
      <c r="CT32" s="120">
        <f t="shared" si="40"/>
        <v>0</v>
      </c>
      <c r="CU32" s="120">
        <f t="shared" si="41"/>
        <v>0</v>
      </c>
      <c r="CV32" s="120">
        <f t="shared" si="42"/>
        <v>0</v>
      </c>
      <c r="CW32" s="120">
        <f t="shared" si="43"/>
        <v>0</v>
      </c>
      <c r="CX32" s="120">
        <f t="shared" si="44"/>
        <v>0</v>
      </c>
      <c r="CY32" s="120">
        <f t="shared" si="45"/>
        <v>0</v>
      </c>
      <c r="CZ32" s="120">
        <f t="shared" si="46"/>
        <v>0</v>
      </c>
      <c r="DA32" s="120">
        <f t="shared" si="47"/>
        <v>0</v>
      </c>
      <c r="DB32" s="120">
        <f t="shared" si="48"/>
        <v>0</v>
      </c>
      <c r="DC32" s="120">
        <f t="shared" si="49"/>
        <v>0</v>
      </c>
      <c r="DD32" s="120">
        <f t="shared" si="50"/>
        <v>0</v>
      </c>
      <c r="DE32" s="120">
        <f t="shared" si="51"/>
        <v>0</v>
      </c>
      <c r="DF32" s="120">
        <f t="shared" si="52"/>
        <v>0</v>
      </c>
      <c r="DG32" s="120">
        <f t="shared" si="53"/>
        <v>0</v>
      </c>
      <c r="DH32" s="120">
        <f t="shared" si="54"/>
        <v>0</v>
      </c>
      <c r="DI32" s="120">
        <f t="shared" si="55"/>
        <v>0</v>
      </c>
      <c r="DJ32" s="120">
        <f t="shared" si="56"/>
        <v>0</v>
      </c>
      <c r="DK32" s="127" t="str">
        <f t="shared" si="57"/>
        <v>4</v>
      </c>
      <c r="DL32" s="127">
        <f t="shared" ca="1" si="58"/>
        <v>0</v>
      </c>
      <c r="DM32" s="120">
        <f ca="1">IF($K32&lt;&gt;1,IF(ISNUMBER(INDEX(Import.PLE,$K32,DM$16)),IF(INDEX(Import.PLE,$K32,DM$16)&lt;=mediçao,BM32,0),0),PLE!$AA$28*BM32)</f>
        <v>0</v>
      </c>
      <c r="DN32" s="120">
        <f ca="1">IF($K32&lt;&gt;1,IF(ISNUMBER(INDEX(Import.PLE,$K32,DN$16)),IF(INDEX(Import.PLE,$K32,DN$16)&lt;=mediçao,BN32,0),0),PLE!$AA$28*BN32)</f>
        <v>0</v>
      </c>
      <c r="DO32" s="120">
        <f ca="1">IF($K32&lt;&gt;1,IF(ISNUMBER(INDEX(Import.PLE,$K32,DO$16)),IF(INDEX(Import.PLE,$K32,DO$16)&lt;=mediçao,BO32,0),0),PLE!$AA$28*BO32)</f>
        <v>0</v>
      </c>
      <c r="DP32" s="120">
        <f ca="1">IF($K32&lt;&gt;1,IF(ISNUMBER(INDEX(Import.PLE,$K32,DP$16)),IF(INDEX(Import.PLE,$K32,DP$16)&lt;=mediçao,BP32,0),0),PLE!$AA$28*BP32)</f>
        <v>0</v>
      </c>
      <c r="DQ32" s="120">
        <f ca="1">IF($K32&lt;&gt;1,IF(ISNUMBER(INDEX(Import.PLE,$K32,DQ$16)),IF(INDEX(Import.PLE,$K32,DQ$16)&lt;=mediçao,BQ32,0),0),PLE!$AA$28*BQ32)</f>
        <v>0</v>
      </c>
      <c r="DR32" s="120">
        <f ca="1">IF($K32&lt;&gt;1,IF(ISNUMBER(INDEX(Import.PLE,$K32,DR$16)),IF(INDEX(Import.PLE,$K32,DR$16)&lt;=mediçao,BR32,0),0),PLE!$AA$28*BR32)</f>
        <v>0</v>
      </c>
      <c r="DS32" s="120">
        <f ca="1">IF($K32&lt;&gt;1,IF(ISNUMBER(INDEX(Import.PLE,$K32,DS$16)),IF(INDEX(Import.PLE,$K32,DS$16)&lt;=mediçao,BS32,0),0),PLE!$AA$28*BS32)</f>
        <v>0</v>
      </c>
      <c r="DT32" s="120">
        <f ca="1">IF($K32&lt;&gt;1,IF(ISNUMBER(INDEX(Import.PLE,$K32,DT$16)),IF(INDEX(Import.PLE,$K32,DT$16)&lt;=mediçao,BT32,0),0),PLE!$AA$28*BT32)</f>
        <v>0</v>
      </c>
      <c r="DU32" s="120">
        <f ca="1">IF($K32&lt;&gt;1,IF(ISNUMBER(INDEX(Import.PLE,$K32,DU$16)),IF(INDEX(Import.PLE,$K32,DU$16)&lt;=mediçao,BU32,0),0),PLE!$AA$28*BU32)</f>
        <v>0</v>
      </c>
      <c r="DV32" s="120">
        <f ca="1">IF($K32&lt;&gt;1,IF(ISNUMBER(INDEX(Import.PLE,$K32,DV$16)),IF(INDEX(Import.PLE,$K32,DV$16)&lt;=mediçao,BV32,0),0),PLE!$AA$28*BV32)</f>
        <v>0</v>
      </c>
      <c r="DW32" s="120">
        <f ca="1">IF($K32&lt;&gt;1,IF(ISNUMBER(INDEX(Import.PLE,$K32,DW$16)),IF(INDEX(Import.PLE,$K32,DW$16)&lt;=mediçao,BW32,0),0),PLE!$AA$28*BW32)</f>
        <v>0</v>
      </c>
      <c r="DX32" s="120">
        <f ca="1">IF($K32&lt;&gt;1,IF(ISNUMBER(INDEX(Import.PLE,$K32,DX$16)),IF(INDEX(Import.PLE,$K32,DX$16)&lt;=mediçao,BX32,0),0),PLE!$AA$28*BX32)</f>
        <v>0</v>
      </c>
      <c r="DY32" s="120">
        <f ca="1">IF($K32&lt;&gt;1,IF(ISNUMBER(INDEX(Import.PLE,$K32,DY$16)),IF(INDEX(Import.PLE,$K32,DY$16)&lt;=mediçao,BY32,0),0),PLE!$AA$28*BY32)</f>
        <v>0</v>
      </c>
      <c r="DZ32" s="120">
        <f ca="1">IF($K32&lt;&gt;1,IF(ISNUMBER(INDEX(Import.PLE,$K32,DZ$16)),IF(INDEX(Import.PLE,$K32,DZ$16)&lt;=mediçao,BZ32,0),0),PLE!$AA$28*BZ32)</f>
        <v>0</v>
      </c>
      <c r="EA32" s="120">
        <f ca="1">IF($K32&lt;&gt;1,IF(ISNUMBER(INDEX(Import.PLE,$K32,EA$16)),IF(INDEX(Import.PLE,$K32,EA$16)&lt;=mediçao,CA32,0),0),PLE!$AA$28*CA32)</f>
        <v>0</v>
      </c>
      <c r="EB32" s="120">
        <f ca="1">IF($K32&lt;&gt;1,IF(ISNUMBER(INDEX(Import.PLE,$K32,EB$16)),IF(INDEX(Import.PLE,$K32,EB$16)&lt;=mediçao,CB32,0),0),PLE!$AA$28*CB32)</f>
        <v>0</v>
      </c>
      <c r="EC32" s="120">
        <f ca="1">IF($K32&lt;&gt;1,IF(ISNUMBER(INDEX(Import.PLE,$K32,EC$16)),IF(INDEX(Import.PLE,$K32,EC$16)&lt;=mediçao,CC32,0),0),PLE!$AA$28*CC32)</f>
        <v>0</v>
      </c>
      <c r="ED32" s="120">
        <f ca="1">IF($K32&lt;&gt;1,IF(ISNUMBER(INDEX(Import.PLE,$K32,ED$16)),IF(INDEX(Import.PLE,$K32,ED$16)&lt;=mediçao,CD32,0),0),PLE!$AA$28*CD32)</f>
        <v>0</v>
      </c>
      <c r="EE32" s="120">
        <f ca="1">IF($K32&lt;&gt;1,IF(ISNUMBER(INDEX(Import.PLE,$K32,EE$16)),IF(INDEX(Import.PLE,$K32,EE$16)&lt;=mediçao,CE32,0),0),PLE!$AA$28*CE32)</f>
        <v>0</v>
      </c>
      <c r="EF32" s="120">
        <f ca="1">IF($K32&lt;&gt;1,IF(ISNUMBER(INDEX(Import.PLE,$K32,EF$16)),IF(INDEX(Import.PLE,$K32,EF$16)&lt;=mediçao,CF32,0),0),PLE!$AA$28*CF32)</f>
        <v>0</v>
      </c>
      <c r="EG32" s="120">
        <f ca="1">IF($K32&lt;&gt;1,IF(ISNUMBER(INDEX(Import.PLE,$K32,EG$16)),IF(INDEX(Import.PLE,$K32,EG$16)&lt;=mediçao,CG32,0),0),PLE!$AA$28*CG32)</f>
        <v>0</v>
      </c>
      <c r="EH32" s="120">
        <f ca="1">IF($K32&lt;&gt;1,IF(ISNUMBER(INDEX(Import.PLE,$K32,EH$16)),IF(INDEX(Import.PLE,$K32,EH$16)&lt;=mediçao,CH32,0),0),PLE!$AA$28*CH32)</f>
        <v>0</v>
      </c>
      <c r="EI32" s="120">
        <f ca="1">IF($K32&lt;&gt;1,IF(ISNUMBER(INDEX(Import.PLE,$K32,EI$16)),IF(INDEX(Import.PLE,$K32,EI$16)&lt;=mediçao,CI32,0),0),PLE!$AA$28*CI32)</f>
        <v>0</v>
      </c>
      <c r="EJ32" s="120">
        <f ca="1">IF($K32&lt;&gt;1,IF(ISNUMBER(INDEX(Import.PLE,$K32,EJ$16)),IF(INDEX(Import.PLE,$K32,EJ$16)&lt;=mediçao,CJ32,0),0),PLE!$AA$28*CJ32)</f>
        <v>0</v>
      </c>
      <c r="EK32" s="120">
        <f ca="1">IF($K32&lt;&gt;1,IF(ISNUMBER(INDEX(Import.PLE,$K32,EK$16)),IF(INDEX(Import.PLE,$K32,EK$16)&lt;=mediçao,CK32,0),0),PLE!$AA$28*CK32)</f>
        <v>0</v>
      </c>
      <c r="EL32" s="120">
        <f ca="1">IF($K32&lt;&gt;1,IF(ISNUMBER(INDEX(Import.PLE,$K32,EL$16)),IF(INDEX(Import.PLE,$K32,EL$16)&lt;=mediçao,CL32,0),0),PLE!$AA$28*CL32)</f>
        <v>0</v>
      </c>
      <c r="EM32" s="120">
        <f ca="1">IF($K32&lt;&gt;1,IF(ISNUMBER(INDEX(Import.PLE,$K32,EM$16)),IF(INDEX(Import.PLE,$K32,EM$16)&lt;=mediçao,CM32,0),0),PLE!$AA$28*CM32)</f>
        <v>0</v>
      </c>
      <c r="EN32" s="120">
        <f ca="1">IF($K32&lt;&gt;1,IF(ISNUMBER(INDEX(Import.PLE,$K32,EN$16)),IF(INDEX(Import.PLE,$K32,EN$16)&lt;=mediçao,CN32,0),0),PLE!$AA$28*CN32)</f>
        <v>0</v>
      </c>
      <c r="EO32" s="120">
        <f ca="1">IF($K32&lt;&gt;1,IF(ISNUMBER(INDEX(Import.PLE,$K32,EO$16)),IF(INDEX(Import.PLE,$K32,EO$16)&lt;=mediçao,CO32,0),0),PLE!$AA$28*CO32)</f>
        <v>0</v>
      </c>
      <c r="EP32" s="120">
        <f ca="1">IF($K32&lt;&gt;1,IF(ISNUMBER(INDEX(Import.PLE,$K32,EP$16)),IF(INDEX(Import.PLE,$K32,EP$16)&lt;=mediçao,CP32,0),0),PLE!$AA$28*CP32)</f>
        <v>0</v>
      </c>
      <c r="EQ32" s="120">
        <f ca="1">IF($K32&lt;&gt;1,IF(ISNUMBER(INDEX(Import.PLE,$K32,EQ$16)),IF(INDEX(Import.PLE,$K32,EQ$16)&lt;=mediçao,CQ32,0),0),PLE!$AA$28*CQ32)</f>
        <v>0</v>
      </c>
      <c r="ER32" s="120">
        <f ca="1">IF($K32&lt;&gt;1,IF(ISNUMBER(INDEX(Import.PLE,$K32,ER$16)),IF(INDEX(Import.PLE,$K32,ER$16)&lt;=mediçao,CR32,0),0),PLE!$AA$28*CR32)</f>
        <v>0</v>
      </c>
      <c r="ES32" s="120">
        <f ca="1">IF($K32&lt;&gt;1,IF(ISNUMBER(INDEX(Import.PLE,$K32,ES$16)),IF(INDEX(Import.PLE,$K32,ES$16)&lt;=mediçao,CS32,0),0),PLE!$AA$28*CS32)</f>
        <v>0</v>
      </c>
      <c r="ET32" s="120">
        <f ca="1">IF($K32&lt;&gt;1,IF(ISNUMBER(INDEX(Import.PLE,$K32,ET$16)),IF(INDEX(Import.PLE,$K32,ET$16)&lt;=mediçao,CT32,0),0),PLE!$AA$28*CT32)</f>
        <v>0</v>
      </c>
      <c r="EU32" s="120">
        <f ca="1">IF($K32&lt;&gt;1,IF(ISNUMBER(INDEX(Import.PLE,$K32,EU$16)),IF(INDEX(Import.PLE,$K32,EU$16)&lt;=mediçao,CU32,0),0),PLE!$AA$28*CU32)</f>
        <v>0</v>
      </c>
      <c r="EV32" s="120">
        <f ca="1">IF($K32&lt;&gt;1,IF(ISNUMBER(INDEX(Import.PLE,$K32,EV$16)),IF(INDEX(Import.PLE,$K32,EV$16)&lt;=mediçao,CV32,0),0),PLE!$AA$28*CV32)</f>
        <v>0</v>
      </c>
      <c r="EW32" s="120">
        <f ca="1">IF($K32&lt;&gt;1,IF(ISNUMBER(INDEX(Import.PLE,$K32,EW$16)),IF(INDEX(Import.PLE,$K32,EW$16)&lt;=mediçao,CW32,0),0),PLE!$AA$28*CW32)</f>
        <v>0</v>
      </c>
      <c r="EX32" s="120">
        <f ca="1">IF($K32&lt;&gt;1,IF(ISNUMBER(INDEX(Import.PLE,$K32,EX$16)),IF(INDEX(Import.PLE,$K32,EX$16)&lt;=mediçao,CX32,0),0),PLE!$AA$28*CX32)</f>
        <v>0</v>
      </c>
      <c r="EY32" s="120">
        <f ca="1">IF($K32&lt;&gt;1,IF(ISNUMBER(INDEX(Import.PLE,$K32,EY$16)),IF(INDEX(Import.PLE,$K32,EY$16)&lt;=mediçao,CY32,0),0),PLE!$AA$28*CY32)</f>
        <v>0</v>
      </c>
      <c r="EZ32" s="120">
        <f ca="1">IF($K32&lt;&gt;1,IF(ISNUMBER(INDEX(Import.PLE,$K32,EZ$16)),IF(INDEX(Import.PLE,$K32,EZ$16)&lt;=mediçao,CZ32,0),0),PLE!$AA$28*CZ32)</f>
        <v>0</v>
      </c>
      <c r="FA32" s="120">
        <f ca="1">IF($K32&lt;&gt;1,IF(ISNUMBER(INDEX(Import.PLE,$K32,FA$16)),IF(INDEX(Import.PLE,$K32,FA$16)&lt;=mediçao,DA32,0),0),PLE!$AA$28*DA32)</f>
        <v>0</v>
      </c>
      <c r="FB32" s="120">
        <f ca="1">IF($K32&lt;&gt;1,IF(ISNUMBER(INDEX(Import.PLE,$K32,FB$16)),IF(INDEX(Import.PLE,$K32,FB$16)&lt;=mediçao,DB32,0),0),PLE!$AA$28*DB32)</f>
        <v>0</v>
      </c>
      <c r="FC32" s="120">
        <f ca="1">IF($K32&lt;&gt;1,IF(ISNUMBER(INDEX(Import.PLE,$K32,FC$16)),IF(INDEX(Import.PLE,$K32,FC$16)&lt;=mediçao,DC32,0),0),PLE!$AA$28*DC32)</f>
        <v>0</v>
      </c>
      <c r="FD32" s="120">
        <f ca="1">IF($K32&lt;&gt;1,IF(ISNUMBER(INDEX(Import.PLE,$K32,FD$16)),IF(INDEX(Import.PLE,$K32,FD$16)&lt;=mediçao,DD32,0),0),PLE!$AA$28*DD32)</f>
        <v>0</v>
      </c>
      <c r="FE32" s="120">
        <f ca="1">IF($K32&lt;&gt;1,IF(ISNUMBER(INDEX(Import.PLE,$K32,FE$16)),IF(INDEX(Import.PLE,$K32,FE$16)&lt;=mediçao,DE32,0),0),PLE!$AA$28*DE32)</f>
        <v>0</v>
      </c>
      <c r="FF32" s="120">
        <f ca="1">IF($K32&lt;&gt;1,IF(ISNUMBER(INDEX(Import.PLE,$K32,FF$16)),IF(INDEX(Import.PLE,$K32,FF$16)&lt;=mediçao,DF32,0),0),PLE!$AA$28*DF32)</f>
        <v>0</v>
      </c>
      <c r="FG32" s="120">
        <f ca="1">IF($K32&lt;&gt;1,IF(ISNUMBER(INDEX(Import.PLE,$K32,FG$16)),IF(INDEX(Import.PLE,$K32,FG$16)&lt;=mediçao,DG32,0),0),PLE!$AA$28*DG32)</f>
        <v>0</v>
      </c>
      <c r="FH32" s="120">
        <f ca="1">IF($K32&lt;&gt;1,IF(ISNUMBER(INDEX(Import.PLE,$K32,FH$16)),IF(INDEX(Import.PLE,$K32,FH$16)&lt;=mediçao,DH32,0),0),PLE!$AA$28*DH32)</f>
        <v>0</v>
      </c>
      <c r="FI32" s="120">
        <f ca="1">IF($K32&lt;&gt;1,IF(ISNUMBER(INDEX(Import.PLE,$K32,FI$16)),IF(INDEX(Import.PLE,$K32,FI$16)&lt;=mediçao,DI32,0),0),PLE!$AA$28*DI32)</f>
        <v>0</v>
      </c>
      <c r="FJ32" s="120">
        <f ca="1">IF($K32&lt;&gt;1,IF(ISNUMBER(INDEX(Import.PLE,$K32,FJ$16)),IF(INDEX(Import.PLE,$K32,FJ$16)&lt;=mediçao,DJ32,0),0),PLE!$AA$28*DJ32)</f>
        <v>0</v>
      </c>
    </row>
    <row r="33" spans="2:166" s="88" customFormat="1" x14ac:dyDescent="0.25">
      <c r="B33" s="119">
        <f t="shared" ca="1" si="3"/>
        <v>16</v>
      </c>
      <c r="C33" s="83" t="str">
        <f t="shared" si="4"/>
        <v>Serviço</v>
      </c>
      <c r="D33" s="170" t="s">
        <v>188</v>
      </c>
      <c r="E33" s="140" t="s">
        <v>181</v>
      </c>
      <c r="F33" s="138" t="s">
        <v>165</v>
      </c>
      <c r="G33" s="175">
        <f t="shared" si="5"/>
        <v>485.94000000000005</v>
      </c>
      <c r="H33" s="176">
        <f t="shared" si="6"/>
        <v>19.18998230234185</v>
      </c>
      <c r="I33" s="177">
        <v>9325.18</v>
      </c>
      <c r="J33" s="86"/>
      <c r="K33" s="169">
        <f>deactivatedados.form1</f>
        <v>4</v>
      </c>
      <c r="L33" s="168" t="s">
        <v>207</v>
      </c>
      <c r="M33" s="87"/>
      <c r="N33" s="182">
        <v>99.68</v>
      </c>
      <c r="O33" s="182">
        <v>49.84</v>
      </c>
      <c r="P33" s="182">
        <v>74.760000000000005</v>
      </c>
      <c r="Q33" s="182">
        <v>99.68</v>
      </c>
      <c r="R33" s="182">
        <v>24.92</v>
      </c>
      <c r="S33" s="182">
        <v>37.380000000000003</v>
      </c>
      <c r="T33" s="182">
        <v>49.84</v>
      </c>
      <c r="U33" s="182">
        <v>49.84</v>
      </c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2"/>
      <c r="AU33" s="182"/>
      <c r="AV33" s="182"/>
      <c r="AW33" s="182"/>
      <c r="AX33" s="182"/>
      <c r="AY33" s="182"/>
      <c r="AZ33" s="182"/>
      <c r="BA33" s="182"/>
      <c r="BB33" s="182"/>
      <c r="BC33" s="182"/>
      <c r="BD33" s="182"/>
      <c r="BE33" s="182"/>
      <c r="BF33" s="182"/>
      <c r="BG33" s="182"/>
      <c r="BH33" s="182"/>
      <c r="BI33" s="182"/>
      <c r="BJ33" s="182"/>
      <c r="BK33" s="182"/>
      <c r="BM33" s="120">
        <f t="shared" ca="1" si="7"/>
        <v>1912.8574358974358</v>
      </c>
      <c r="BN33" s="120">
        <f t="shared" ca="1" si="8"/>
        <v>956.42871794871792</v>
      </c>
      <c r="BO33" s="120">
        <f t="shared" ca="1" si="9"/>
        <v>1434.6430769230767</v>
      </c>
      <c r="BP33" s="120">
        <f t="shared" ca="1" si="10"/>
        <v>1912.8574358974358</v>
      </c>
      <c r="BQ33" s="120">
        <f t="shared" ca="1" si="11"/>
        <v>478.21435897435896</v>
      </c>
      <c r="BR33" s="120">
        <f t="shared" ca="1" si="12"/>
        <v>717.32153846153835</v>
      </c>
      <c r="BS33" s="120">
        <f t="shared" ca="1" si="13"/>
        <v>956.42871794871792</v>
      </c>
      <c r="BT33" s="120">
        <f t="shared" ca="1" si="14"/>
        <v>956.42871794871792</v>
      </c>
      <c r="BU33" s="120">
        <f t="shared" si="15"/>
        <v>0</v>
      </c>
      <c r="BV33" s="120">
        <f t="shared" si="16"/>
        <v>0</v>
      </c>
      <c r="BW33" s="120">
        <f t="shared" si="17"/>
        <v>0</v>
      </c>
      <c r="BX33" s="120">
        <f t="shared" si="18"/>
        <v>0</v>
      </c>
      <c r="BY33" s="120">
        <f t="shared" si="19"/>
        <v>0</v>
      </c>
      <c r="BZ33" s="120">
        <f t="shared" si="20"/>
        <v>0</v>
      </c>
      <c r="CA33" s="120">
        <f t="shared" si="21"/>
        <v>0</v>
      </c>
      <c r="CB33" s="120">
        <f t="shared" si="22"/>
        <v>0</v>
      </c>
      <c r="CC33" s="120">
        <f t="shared" si="23"/>
        <v>0</v>
      </c>
      <c r="CD33" s="120">
        <f t="shared" si="24"/>
        <v>0</v>
      </c>
      <c r="CE33" s="120">
        <f t="shared" si="25"/>
        <v>0</v>
      </c>
      <c r="CF33" s="120">
        <f t="shared" si="26"/>
        <v>0</v>
      </c>
      <c r="CG33" s="120">
        <f t="shared" si="27"/>
        <v>0</v>
      </c>
      <c r="CH33" s="120">
        <f t="shared" si="28"/>
        <v>0</v>
      </c>
      <c r="CI33" s="120">
        <f t="shared" si="29"/>
        <v>0</v>
      </c>
      <c r="CJ33" s="120">
        <f t="shared" si="30"/>
        <v>0</v>
      </c>
      <c r="CK33" s="120">
        <f t="shared" si="31"/>
        <v>0</v>
      </c>
      <c r="CL33" s="120">
        <f t="shared" si="32"/>
        <v>0</v>
      </c>
      <c r="CM33" s="120">
        <f t="shared" si="33"/>
        <v>0</v>
      </c>
      <c r="CN33" s="120">
        <f t="shared" si="34"/>
        <v>0</v>
      </c>
      <c r="CO33" s="120">
        <f t="shared" si="35"/>
        <v>0</v>
      </c>
      <c r="CP33" s="120">
        <f t="shared" si="36"/>
        <v>0</v>
      </c>
      <c r="CQ33" s="120">
        <f t="shared" si="37"/>
        <v>0</v>
      </c>
      <c r="CR33" s="120">
        <f t="shared" si="38"/>
        <v>0</v>
      </c>
      <c r="CS33" s="120">
        <f t="shared" si="39"/>
        <v>0</v>
      </c>
      <c r="CT33" s="120">
        <f t="shared" si="40"/>
        <v>0</v>
      </c>
      <c r="CU33" s="120">
        <f t="shared" si="41"/>
        <v>0</v>
      </c>
      <c r="CV33" s="120">
        <f t="shared" si="42"/>
        <v>0</v>
      </c>
      <c r="CW33" s="120">
        <f t="shared" si="43"/>
        <v>0</v>
      </c>
      <c r="CX33" s="120">
        <f t="shared" si="44"/>
        <v>0</v>
      </c>
      <c r="CY33" s="120">
        <f t="shared" si="45"/>
        <v>0</v>
      </c>
      <c r="CZ33" s="120">
        <f t="shared" si="46"/>
        <v>0</v>
      </c>
      <c r="DA33" s="120">
        <f t="shared" si="47"/>
        <v>0</v>
      </c>
      <c r="DB33" s="120">
        <f t="shared" si="48"/>
        <v>0</v>
      </c>
      <c r="DC33" s="120">
        <f t="shared" si="49"/>
        <v>0</v>
      </c>
      <c r="DD33" s="120">
        <f t="shared" si="50"/>
        <v>0</v>
      </c>
      <c r="DE33" s="120">
        <f t="shared" si="51"/>
        <v>0</v>
      </c>
      <c r="DF33" s="120">
        <f t="shared" si="52"/>
        <v>0</v>
      </c>
      <c r="DG33" s="120">
        <f t="shared" si="53"/>
        <v>0</v>
      </c>
      <c r="DH33" s="120">
        <f t="shared" si="54"/>
        <v>0</v>
      </c>
      <c r="DI33" s="120">
        <f t="shared" si="55"/>
        <v>0</v>
      </c>
      <c r="DJ33" s="120">
        <f t="shared" si="56"/>
        <v>0</v>
      </c>
      <c r="DK33" s="127" t="str">
        <f t="shared" si="57"/>
        <v>4</v>
      </c>
      <c r="DL33" s="127">
        <f t="shared" ca="1" si="58"/>
        <v>0</v>
      </c>
      <c r="DM33" s="120">
        <f ca="1">IF($K33&lt;&gt;1,IF(ISNUMBER(INDEX(Import.PLE,$K33,DM$16)),IF(INDEX(Import.PLE,$K33,DM$16)&lt;=mediçao,BM33,0),0),PLE!$AA$28*BM33)</f>
        <v>0</v>
      </c>
      <c r="DN33" s="120">
        <f ca="1">IF($K33&lt;&gt;1,IF(ISNUMBER(INDEX(Import.PLE,$K33,DN$16)),IF(INDEX(Import.PLE,$K33,DN$16)&lt;=mediçao,BN33,0),0),PLE!$AA$28*BN33)</f>
        <v>0</v>
      </c>
      <c r="DO33" s="120">
        <f ca="1">IF($K33&lt;&gt;1,IF(ISNUMBER(INDEX(Import.PLE,$K33,DO$16)),IF(INDEX(Import.PLE,$K33,DO$16)&lt;=mediçao,BO33,0),0),PLE!$AA$28*BO33)</f>
        <v>0</v>
      </c>
      <c r="DP33" s="120">
        <f ca="1">IF($K33&lt;&gt;1,IF(ISNUMBER(INDEX(Import.PLE,$K33,DP$16)),IF(INDEX(Import.PLE,$K33,DP$16)&lt;=mediçao,BP33,0),0),PLE!$AA$28*BP33)</f>
        <v>0</v>
      </c>
      <c r="DQ33" s="120">
        <f ca="1">IF($K33&lt;&gt;1,IF(ISNUMBER(INDEX(Import.PLE,$K33,DQ$16)),IF(INDEX(Import.PLE,$K33,DQ$16)&lt;=mediçao,BQ33,0),0),PLE!$AA$28*BQ33)</f>
        <v>0</v>
      </c>
      <c r="DR33" s="120">
        <f ca="1">IF($K33&lt;&gt;1,IF(ISNUMBER(INDEX(Import.PLE,$K33,DR$16)),IF(INDEX(Import.PLE,$K33,DR$16)&lt;=mediçao,BR33,0),0),PLE!$AA$28*BR33)</f>
        <v>0</v>
      </c>
      <c r="DS33" s="120">
        <f ca="1">IF($K33&lt;&gt;1,IF(ISNUMBER(INDEX(Import.PLE,$K33,DS$16)),IF(INDEX(Import.PLE,$K33,DS$16)&lt;=mediçao,BS33,0),0),PLE!$AA$28*BS33)</f>
        <v>0</v>
      </c>
      <c r="DT33" s="120">
        <f ca="1">IF($K33&lt;&gt;1,IF(ISNUMBER(INDEX(Import.PLE,$K33,DT$16)),IF(INDEX(Import.PLE,$K33,DT$16)&lt;=mediçao,BT33,0),0),PLE!$AA$28*BT33)</f>
        <v>0</v>
      </c>
      <c r="DU33" s="120">
        <f ca="1">IF($K33&lt;&gt;1,IF(ISNUMBER(INDEX(Import.PLE,$K33,DU$16)),IF(INDEX(Import.PLE,$K33,DU$16)&lt;=mediçao,BU33,0),0),PLE!$AA$28*BU33)</f>
        <v>0</v>
      </c>
      <c r="DV33" s="120">
        <f ca="1">IF($K33&lt;&gt;1,IF(ISNUMBER(INDEX(Import.PLE,$K33,DV$16)),IF(INDEX(Import.PLE,$K33,DV$16)&lt;=mediçao,BV33,0),0),PLE!$AA$28*BV33)</f>
        <v>0</v>
      </c>
      <c r="DW33" s="120">
        <f ca="1">IF($K33&lt;&gt;1,IF(ISNUMBER(INDEX(Import.PLE,$K33,DW$16)),IF(INDEX(Import.PLE,$K33,DW$16)&lt;=mediçao,BW33,0),0),PLE!$AA$28*BW33)</f>
        <v>0</v>
      </c>
      <c r="DX33" s="120">
        <f ca="1">IF($K33&lt;&gt;1,IF(ISNUMBER(INDEX(Import.PLE,$K33,DX$16)),IF(INDEX(Import.PLE,$K33,DX$16)&lt;=mediçao,BX33,0),0),PLE!$AA$28*BX33)</f>
        <v>0</v>
      </c>
      <c r="DY33" s="120">
        <f ca="1">IF($K33&lt;&gt;1,IF(ISNUMBER(INDEX(Import.PLE,$K33,DY$16)),IF(INDEX(Import.PLE,$K33,DY$16)&lt;=mediçao,BY33,0),0),PLE!$AA$28*BY33)</f>
        <v>0</v>
      </c>
      <c r="DZ33" s="120">
        <f ca="1">IF($K33&lt;&gt;1,IF(ISNUMBER(INDEX(Import.PLE,$K33,DZ$16)),IF(INDEX(Import.PLE,$K33,DZ$16)&lt;=mediçao,BZ33,0),0),PLE!$AA$28*BZ33)</f>
        <v>0</v>
      </c>
      <c r="EA33" s="120">
        <f ca="1">IF($K33&lt;&gt;1,IF(ISNUMBER(INDEX(Import.PLE,$K33,EA$16)),IF(INDEX(Import.PLE,$K33,EA$16)&lt;=mediçao,CA33,0),0),PLE!$AA$28*CA33)</f>
        <v>0</v>
      </c>
      <c r="EB33" s="120">
        <f ca="1">IF($K33&lt;&gt;1,IF(ISNUMBER(INDEX(Import.PLE,$K33,EB$16)),IF(INDEX(Import.PLE,$K33,EB$16)&lt;=mediçao,CB33,0),0),PLE!$AA$28*CB33)</f>
        <v>0</v>
      </c>
      <c r="EC33" s="120">
        <f ca="1">IF($K33&lt;&gt;1,IF(ISNUMBER(INDEX(Import.PLE,$K33,EC$16)),IF(INDEX(Import.PLE,$K33,EC$16)&lt;=mediçao,CC33,0),0),PLE!$AA$28*CC33)</f>
        <v>0</v>
      </c>
      <c r="ED33" s="120">
        <f ca="1">IF($K33&lt;&gt;1,IF(ISNUMBER(INDEX(Import.PLE,$K33,ED$16)),IF(INDEX(Import.PLE,$K33,ED$16)&lt;=mediçao,CD33,0),0),PLE!$AA$28*CD33)</f>
        <v>0</v>
      </c>
      <c r="EE33" s="120">
        <f ca="1">IF($K33&lt;&gt;1,IF(ISNUMBER(INDEX(Import.PLE,$K33,EE$16)),IF(INDEX(Import.PLE,$K33,EE$16)&lt;=mediçao,CE33,0),0),PLE!$AA$28*CE33)</f>
        <v>0</v>
      </c>
      <c r="EF33" s="120">
        <f ca="1">IF($K33&lt;&gt;1,IF(ISNUMBER(INDEX(Import.PLE,$K33,EF$16)),IF(INDEX(Import.PLE,$K33,EF$16)&lt;=mediçao,CF33,0),0),PLE!$AA$28*CF33)</f>
        <v>0</v>
      </c>
      <c r="EG33" s="120">
        <f ca="1">IF($K33&lt;&gt;1,IF(ISNUMBER(INDEX(Import.PLE,$K33,EG$16)),IF(INDEX(Import.PLE,$K33,EG$16)&lt;=mediçao,CG33,0),0),PLE!$AA$28*CG33)</f>
        <v>0</v>
      </c>
      <c r="EH33" s="120">
        <f ca="1">IF($K33&lt;&gt;1,IF(ISNUMBER(INDEX(Import.PLE,$K33,EH$16)),IF(INDEX(Import.PLE,$K33,EH$16)&lt;=mediçao,CH33,0),0),PLE!$AA$28*CH33)</f>
        <v>0</v>
      </c>
      <c r="EI33" s="120">
        <f ca="1">IF($K33&lt;&gt;1,IF(ISNUMBER(INDEX(Import.PLE,$K33,EI$16)),IF(INDEX(Import.PLE,$K33,EI$16)&lt;=mediçao,CI33,0),0),PLE!$AA$28*CI33)</f>
        <v>0</v>
      </c>
      <c r="EJ33" s="120">
        <f ca="1">IF($K33&lt;&gt;1,IF(ISNUMBER(INDEX(Import.PLE,$K33,EJ$16)),IF(INDEX(Import.PLE,$K33,EJ$16)&lt;=mediçao,CJ33,0),0),PLE!$AA$28*CJ33)</f>
        <v>0</v>
      </c>
      <c r="EK33" s="120">
        <f ca="1">IF($K33&lt;&gt;1,IF(ISNUMBER(INDEX(Import.PLE,$K33,EK$16)),IF(INDEX(Import.PLE,$K33,EK$16)&lt;=mediçao,CK33,0),0),PLE!$AA$28*CK33)</f>
        <v>0</v>
      </c>
      <c r="EL33" s="120">
        <f ca="1">IF($K33&lt;&gt;1,IF(ISNUMBER(INDEX(Import.PLE,$K33,EL$16)),IF(INDEX(Import.PLE,$K33,EL$16)&lt;=mediçao,CL33,0),0),PLE!$AA$28*CL33)</f>
        <v>0</v>
      </c>
      <c r="EM33" s="120">
        <f ca="1">IF($K33&lt;&gt;1,IF(ISNUMBER(INDEX(Import.PLE,$K33,EM$16)),IF(INDEX(Import.PLE,$K33,EM$16)&lt;=mediçao,CM33,0),0),PLE!$AA$28*CM33)</f>
        <v>0</v>
      </c>
      <c r="EN33" s="120">
        <f ca="1">IF($K33&lt;&gt;1,IF(ISNUMBER(INDEX(Import.PLE,$K33,EN$16)),IF(INDEX(Import.PLE,$K33,EN$16)&lt;=mediçao,CN33,0),0),PLE!$AA$28*CN33)</f>
        <v>0</v>
      </c>
      <c r="EO33" s="120">
        <f ca="1">IF($K33&lt;&gt;1,IF(ISNUMBER(INDEX(Import.PLE,$K33,EO$16)),IF(INDEX(Import.PLE,$K33,EO$16)&lt;=mediçao,CO33,0),0),PLE!$AA$28*CO33)</f>
        <v>0</v>
      </c>
      <c r="EP33" s="120">
        <f ca="1">IF($K33&lt;&gt;1,IF(ISNUMBER(INDEX(Import.PLE,$K33,EP$16)),IF(INDEX(Import.PLE,$K33,EP$16)&lt;=mediçao,CP33,0),0),PLE!$AA$28*CP33)</f>
        <v>0</v>
      </c>
      <c r="EQ33" s="120">
        <f ca="1">IF($K33&lt;&gt;1,IF(ISNUMBER(INDEX(Import.PLE,$K33,EQ$16)),IF(INDEX(Import.PLE,$K33,EQ$16)&lt;=mediçao,CQ33,0),0),PLE!$AA$28*CQ33)</f>
        <v>0</v>
      </c>
      <c r="ER33" s="120">
        <f ca="1">IF($K33&lt;&gt;1,IF(ISNUMBER(INDEX(Import.PLE,$K33,ER$16)),IF(INDEX(Import.PLE,$K33,ER$16)&lt;=mediçao,CR33,0),0),PLE!$AA$28*CR33)</f>
        <v>0</v>
      </c>
      <c r="ES33" s="120">
        <f ca="1">IF($K33&lt;&gt;1,IF(ISNUMBER(INDEX(Import.PLE,$K33,ES$16)),IF(INDEX(Import.PLE,$K33,ES$16)&lt;=mediçao,CS33,0),0),PLE!$AA$28*CS33)</f>
        <v>0</v>
      </c>
      <c r="ET33" s="120">
        <f ca="1">IF($K33&lt;&gt;1,IF(ISNUMBER(INDEX(Import.PLE,$K33,ET$16)),IF(INDEX(Import.PLE,$K33,ET$16)&lt;=mediçao,CT33,0),0),PLE!$AA$28*CT33)</f>
        <v>0</v>
      </c>
      <c r="EU33" s="120">
        <f ca="1">IF($K33&lt;&gt;1,IF(ISNUMBER(INDEX(Import.PLE,$K33,EU$16)),IF(INDEX(Import.PLE,$K33,EU$16)&lt;=mediçao,CU33,0),0),PLE!$AA$28*CU33)</f>
        <v>0</v>
      </c>
      <c r="EV33" s="120">
        <f ca="1">IF($K33&lt;&gt;1,IF(ISNUMBER(INDEX(Import.PLE,$K33,EV$16)),IF(INDEX(Import.PLE,$K33,EV$16)&lt;=mediçao,CV33,0),0),PLE!$AA$28*CV33)</f>
        <v>0</v>
      </c>
      <c r="EW33" s="120">
        <f ca="1">IF($K33&lt;&gt;1,IF(ISNUMBER(INDEX(Import.PLE,$K33,EW$16)),IF(INDEX(Import.PLE,$K33,EW$16)&lt;=mediçao,CW33,0),0),PLE!$AA$28*CW33)</f>
        <v>0</v>
      </c>
      <c r="EX33" s="120">
        <f ca="1">IF($K33&lt;&gt;1,IF(ISNUMBER(INDEX(Import.PLE,$K33,EX$16)),IF(INDEX(Import.PLE,$K33,EX$16)&lt;=mediçao,CX33,0),0),PLE!$AA$28*CX33)</f>
        <v>0</v>
      </c>
      <c r="EY33" s="120">
        <f ca="1">IF($K33&lt;&gt;1,IF(ISNUMBER(INDEX(Import.PLE,$K33,EY$16)),IF(INDEX(Import.PLE,$K33,EY$16)&lt;=mediçao,CY33,0),0),PLE!$AA$28*CY33)</f>
        <v>0</v>
      </c>
      <c r="EZ33" s="120">
        <f ca="1">IF($K33&lt;&gt;1,IF(ISNUMBER(INDEX(Import.PLE,$K33,EZ$16)),IF(INDEX(Import.PLE,$K33,EZ$16)&lt;=mediçao,CZ33,0),0),PLE!$AA$28*CZ33)</f>
        <v>0</v>
      </c>
      <c r="FA33" s="120">
        <f ca="1">IF($K33&lt;&gt;1,IF(ISNUMBER(INDEX(Import.PLE,$K33,FA$16)),IF(INDEX(Import.PLE,$K33,FA$16)&lt;=mediçao,DA33,0),0),PLE!$AA$28*DA33)</f>
        <v>0</v>
      </c>
      <c r="FB33" s="120">
        <f ca="1">IF($K33&lt;&gt;1,IF(ISNUMBER(INDEX(Import.PLE,$K33,FB$16)),IF(INDEX(Import.PLE,$K33,FB$16)&lt;=mediçao,DB33,0),0),PLE!$AA$28*DB33)</f>
        <v>0</v>
      </c>
      <c r="FC33" s="120">
        <f ca="1">IF($K33&lt;&gt;1,IF(ISNUMBER(INDEX(Import.PLE,$K33,FC$16)),IF(INDEX(Import.PLE,$K33,FC$16)&lt;=mediçao,DC33,0),0),PLE!$AA$28*DC33)</f>
        <v>0</v>
      </c>
      <c r="FD33" s="120">
        <f ca="1">IF($K33&lt;&gt;1,IF(ISNUMBER(INDEX(Import.PLE,$K33,FD$16)),IF(INDEX(Import.PLE,$K33,FD$16)&lt;=mediçao,DD33,0),0),PLE!$AA$28*DD33)</f>
        <v>0</v>
      </c>
      <c r="FE33" s="120">
        <f ca="1">IF($K33&lt;&gt;1,IF(ISNUMBER(INDEX(Import.PLE,$K33,FE$16)),IF(INDEX(Import.PLE,$K33,FE$16)&lt;=mediçao,DE33,0),0),PLE!$AA$28*DE33)</f>
        <v>0</v>
      </c>
      <c r="FF33" s="120">
        <f ca="1">IF($K33&lt;&gt;1,IF(ISNUMBER(INDEX(Import.PLE,$K33,FF$16)),IF(INDEX(Import.PLE,$K33,FF$16)&lt;=mediçao,DF33,0),0),PLE!$AA$28*DF33)</f>
        <v>0</v>
      </c>
      <c r="FG33" s="120">
        <f ca="1">IF($K33&lt;&gt;1,IF(ISNUMBER(INDEX(Import.PLE,$K33,FG$16)),IF(INDEX(Import.PLE,$K33,FG$16)&lt;=mediçao,DG33,0),0),PLE!$AA$28*DG33)</f>
        <v>0</v>
      </c>
      <c r="FH33" s="120">
        <f ca="1">IF($K33&lt;&gt;1,IF(ISNUMBER(INDEX(Import.PLE,$K33,FH$16)),IF(INDEX(Import.PLE,$K33,FH$16)&lt;=mediçao,DH33,0),0),PLE!$AA$28*DH33)</f>
        <v>0</v>
      </c>
      <c r="FI33" s="120">
        <f ca="1">IF($K33&lt;&gt;1,IF(ISNUMBER(INDEX(Import.PLE,$K33,FI$16)),IF(INDEX(Import.PLE,$K33,FI$16)&lt;=mediçao,DI33,0),0),PLE!$AA$28*DI33)</f>
        <v>0</v>
      </c>
      <c r="FJ33" s="120">
        <f ca="1">IF($K33&lt;&gt;1,IF(ISNUMBER(INDEX(Import.PLE,$K33,FJ$16)),IF(INDEX(Import.PLE,$K33,FJ$16)&lt;=mediçao,DJ33,0),0),PLE!$AA$28*DJ33)</f>
        <v>0</v>
      </c>
    </row>
    <row r="34" spans="2:166" s="88" customFormat="1" ht="56.25" x14ac:dyDescent="0.25">
      <c r="B34" s="119">
        <f ca="1">ROW(Nível)-ROW(LIorçamento)+1</f>
        <v>17</v>
      </c>
      <c r="C34" s="83" t="str">
        <f>IF(D34="","",IF(ISNUMBER(VALUE(D34)),"Meta",IF(AND(F34&lt;&gt;"",I34&lt;&gt;""),"Serviço","Nível")))</f>
        <v>Serviço</v>
      </c>
      <c r="D34" s="170" t="s">
        <v>200</v>
      </c>
      <c r="E34" s="140" t="s">
        <v>199</v>
      </c>
      <c r="F34" s="138" t="s">
        <v>198</v>
      </c>
      <c r="G34" s="175">
        <f>IF(Nível="Serviço",SUMIF($N$15:$BK$15,"&lt;&gt;"&amp;"",N34:BK34),"")</f>
        <v>8</v>
      </c>
      <c r="H34" s="176">
        <f>IF(AND(ISNUMBER(G34),G34&lt;&gt;0),I34/G34,IF(G34=0,0,""))</f>
        <v>688.67</v>
      </c>
      <c r="I34" s="177">
        <v>5509.36</v>
      </c>
      <c r="J34" s="86"/>
      <c r="K34" s="169">
        <f>deactivatedados.form1</f>
        <v>4</v>
      </c>
      <c r="L34" s="168" t="s">
        <v>207</v>
      </c>
      <c r="M34" s="87"/>
      <c r="N34" s="182">
        <v>1</v>
      </c>
      <c r="O34" s="182">
        <v>2</v>
      </c>
      <c r="P34" s="182">
        <v>0</v>
      </c>
      <c r="Q34" s="182">
        <v>1</v>
      </c>
      <c r="R34" s="182">
        <v>1</v>
      </c>
      <c r="S34" s="182">
        <v>1</v>
      </c>
      <c r="T34" s="182">
        <v>1</v>
      </c>
      <c r="U34" s="182">
        <v>1</v>
      </c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182"/>
      <c r="AS34" s="182"/>
      <c r="AT34" s="182"/>
      <c r="AU34" s="182"/>
      <c r="AV34" s="182"/>
      <c r="AW34" s="182"/>
      <c r="AX34" s="182"/>
      <c r="AY34" s="182"/>
      <c r="AZ34" s="182"/>
      <c r="BA34" s="182"/>
      <c r="BB34" s="182"/>
      <c r="BC34" s="182"/>
      <c r="BD34" s="182"/>
      <c r="BE34" s="182"/>
      <c r="BF34" s="182"/>
      <c r="BG34" s="182"/>
      <c r="BH34" s="182"/>
      <c r="BI34" s="182"/>
      <c r="BJ34" s="182"/>
      <c r="BK34" s="182"/>
      <c r="BM34" s="120">
        <f t="shared" ca="1" si="7"/>
        <v>688.67</v>
      </c>
      <c r="BN34" s="120">
        <f t="shared" ca="1" si="8"/>
        <v>1377.34</v>
      </c>
      <c r="BO34" s="120">
        <f t="shared" ca="1" si="9"/>
        <v>0</v>
      </c>
      <c r="BP34" s="120">
        <f t="shared" ca="1" si="10"/>
        <v>688.67</v>
      </c>
      <c r="BQ34" s="120">
        <f t="shared" ca="1" si="11"/>
        <v>688.67</v>
      </c>
      <c r="BR34" s="120">
        <f t="shared" ca="1" si="12"/>
        <v>688.67</v>
      </c>
      <c r="BS34" s="120">
        <f t="shared" ca="1" si="13"/>
        <v>688.67</v>
      </c>
      <c r="BT34" s="120">
        <f t="shared" ca="1" si="14"/>
        <v>688.67</v>
      </c>
      <c r="BU34" s="120">
        <f t="shared" si="15"/>
        <v>0</v>
      </c>
      <c r="BV34" s="120">
        <f t="shared" si="16"/>
        <v>0</v>
      </c>
      <c r="BW34" s="120">
        <f t="shared" si="17"/>
        <v>0</v>
      </c>
      <c r="BX34" s="120">
        <f t="shared" si="18"/>
        <v>0</v>
      </c>
      <c r="BY34" s="120">
        <f t="shared" si="19"/>
        <v>0</v>
      </c>
      <c r="BZ34" s="120">
        <f t="shared" si="20"/>
        <v>0</v>
      </c>
      <c r="CA34" s="120">
        <f t="shared" si="21"/>
        <v>0</v>
      </c>
      <c r="CB34" s="120">
        <f t="shared" si="22"/>
        <v>0</v>
      </c>
      <c r="CC34" s="120">
        <f t="shared" si="23"/>
        <v>0</v>
      </c>
      <c r="CD34" s="120">
        <f t="shared" si="24"/>
        <v>0</v>
      </c>
      <c r="CE34" s="120">
        <f t="shared" si="25"/>
        <v>0</v>
      </c>
      <c r="CF34" s="120">
        <f t="shared" si="26"/>
        <v>0</v>
      </c>
      <c r="CG34" s="120">
        <f t="shared" si="27"/>
        <v>0</v>
      </c>
      <c r="CH34" s="120">
        <f t="shared" si="28"/>
        <v>0</v>
      </c>
      <c r="CI34" s="120">
        <f t="shared" si="29"/>
        <v>0</v>
      </c>
      <c r="CJ34" s="120">
        <f t="shared" si="30"/>
        <v>0</v>
      </c>
      <c r="CK34" s="120">
        <f t="shared" si="31"/>
        <v>0</v>
      </c>
      <c r="CL34" s="120">
        <f t="shared" si="32"/>
        <v>0</v>
      </c>
      <c r="CM34" s="120">
        <f t="shared" si="33"/>
        <v>0</v>
      </c>
      <c r="CN34" s="120">
        <f t="shared" si="34"/>
        <v>0</v>
      </c>
      <c r="CO34" s="120">
        <f t="shared" si="35"/>
        <v>0</v>
      </c>
      <c r="CP34" s="120">
        <f t="shared" si="36"/>
        <v>0</v>
      </c>
      <c r="CQ34" s="120">
        <f t="shared" si="37"/>
        <v>0</v>
      </c>
      <c r="CR34" s="120">
        <f t="shared" si="38"/>
        <v>0</v>
      </c>
      <c r="CS34" s="120">
        <f t="shared" si="39"/>
        <v>0</v>
      </c>
      <c r="CT34" s="120">
        <f t="shared" si="40"/>
        <v>0</v>
      </c>
      <c r="CU34" s="120">
        <f t="shared" si="41"/>
        <v>0</v>
      </c>
      <c r="CV34" s="120">
        <f t="shared" si="42"/>
        <v>0</v>
      </c>
      <c r="CW34" s="120">
        <f t="shared" si="43"/>
        <v>0</v>
      </c>
      <c r="CX34" s="120">
        <f t="shared" si="44"/>
        <v>0</v>
      </c>
      <c r="CY34" s="120">
        <f t="shared" si="45"/>
        <v>0</v>
      </c>
      <c r="CZ34" s="120">
        <f t="shared" si="46"/>
        <v>0</v>
      </c>
      <c r="DA34" s="120">
        <f t="shared" si="47"/>
        <v>0</v>
      </c>
      <c r="DB34" s="120">
        <f t="shared" si="48"/>
        <v>0</v>
      </c>
      <c r="DC34" s="120">
        <f t="shared" si="49"/>
        <v>0</v>
      </c>
      <c r="DD34" s="120">
        <f t="shared" si="50"/>
        <v>0</v>
      </c>
      <c r="DE34" s="120">
        <f t="shared" si="51"/>
        <v>0</v>
      </c>
      <c r="DF34" s="120">
        <f t="shared" si="52"/>
        <v>0</v>
      </c>
      <c r="DG34" s="120">
        <f t="shared" si="53"/>
        <v>0</v>
      </c>
      <c r="DH34" s="120">
        <f t="shared" si="54"/>
        <v>0</v>
      </c>
      <c r="DI34" s="120">
        <f t="shared" si="55"/>
        <v>0</v>
      </c>
      <c r="DJ34" s="120">
        <f t="shared" si="56"/>
        <v>0</v>
      </c>
      <c r="DK34" s="127" t="str">
        <f>IF(D34="",0,IF(ISNUMBER(VALUE(D34)),VALUE(D34),LEFT(D34,FIND(".",D34)-1)))</f>
        <v>4</v>
      </c>
      <c r="DL34" s="127">
        <f ca="1">SUM(DM34:FJ34)</f>
        <v>0</v>
      </c>
      <c r="DM34" s="120">
        <f ca="1">IF($K34&lt;&gt;1,IF(ISNUMBER(INDEX(Import.PLE,$K34,DM$16)),IF(INDEX(Import.PLE,$K34,DM$16)&lt;=mediçao,BM34,0),0),PLE!$AA$28*BM34)</f>
        <v>0</v>
      </c>
      <c r="DN34" s="120">
        <f ca="1">IF($K34&lt;&gt;1,IF(ISNUMBER(INDEX(Import.PLE,$K34,DN$16)),IF(INDEX(Import.PLE,$K34,DN$16)&lt;=mediçao,BN34,0),0),PLE!$AA$28*BN34)</f>
        <v>0</v>
      </c>
      <c r="DO34" s="120">
        <f ca="1">IF($K34&lt;&gt;1,IF(ISNUMBER(INDEX(Import.PLE,$K34,DO$16)),IF(INDEX(Import.PLE,$K34,DO$16)&lt;=mediçao,BO34,0),0),PLE!$AA$28*BO34)</f>
        <v>0</v>
      </c>
      <c r="DP34" s="120">
        <f ca="1">IF($K34&lt;&gt;1,IF(ISNUMBER(INDEX(Import.PLE,$K34,DP$16)),IF(INDEX(Import.PLE,$K34,DP$16)&lt;=mediçao,BP34,0),0),PLE!$AA$28*BP34)</f>
        <v>0</v>
      </c>
      <c r="DQ34" s="120">
        <f ca="1">IF($K34&lt;&gt;1,IF(ISNUMBER(INDEX(Import.PLE,$K34,DQ$16)),IF(INDEX(Import.PLE,$K34,DQ$16)&lt;=mediçao,BQ34,0),0),PLE!$AA$28*BQ34)</f>
        <v>0</v>
      </c>
      <c r="DR34" s="120">
        <f ca="1">IF($K34&lt;&gt;1,IF(ISNUMBER(INDEX(Import.PLE,$K34,DR$16)),IF(INDEX(Import.PLE,$K34,DR$16)&lt;=mediçao,BR34,0),0),PLE!$AA$28*BR34)</f>
        <v>0</v>
      </c>
      <c r="DS34" s="120">
        <f ca="1">IF($K34&lt;&gt;1,IF(ISNUMBER(INDEX(Import.PLE,$K34,DS$16)),IF(INDEX(Import.PLE,$K34,DS$16)&lt;=mediçao,BS34,0),0),PLE!$AA$28*BS34)</f>
        <v>0</v>
      </c>
      <c r="DT34" s="120">
        <f ca="1">IF($K34&lt;&gt;1,IF(ISNUMBER(INDEX(Import.PLE,$K34,DT$16)),IF(INDEX(Import.PLE,$K34,DT$16)&lt;=mediçao,BT34,0),0),PLE!$AA$28*BT34)</f>
        <v>0</v>
      </c>
      <c r="DU34" s="120">
        <f ca="1">IF($K34&lt;&gt;1,IF(ISNUMBER(INDEX(Import.PLE,$K34,DU$16)),IF(INDEX(Import.PLE,$K34,DU$16)&lt;=mediçao,BU34,0),0),PLE!$AA$28*BU34)</f>
        <v>0</v>
      </c>
      <c r="DV34" s="120">
        <f ca="1">IF($K34&lt;&gt;1,IF(ISNUMBER(INDEX(Import.PLE,$K34,DV$16)),IF(INDEX(Import.PLE,$K34,DV$16)&lt;=mediçao,BV34,0),0),PLE!$AA$28*BV34)</f>
        <v>0</v>
      </c>
      <c r="DW34" s="120">
        <f ca="1">IF($K34&lt;&gt;1,IF(ISNUMBER(INDEX(Import.PLE,$K34,DW$16)),IF(INDEX(Import.PLE,$K34,DW$16)&lt;=mediçao,BW34,0),0),PLE!$AA$28*BW34)</f>
        <v>0</v>
      </c>
      <c r="DX34" s="120">
        <f ca="1">IF($K34&lt;&gt;1,IF(ISNUMBER(INDEX(Import.PLE,$K34,DX$16)),IF(INDEX(Import.PLE,$K34,DX$16)&lt;=mediçao,BX34,0),0),PLE!$AA$28*BX34)</f>
        <v>0</v>
      </c>
      <c r="DY34" s="120">
        <f ca="1">IF($K34&lt;&gt;1,IF(ISNUMBER(INDEX(Import.PLE,$K34,DY$16)),IF(INDEX(Import.PLE,$K34,DY$16)&lt;=mediçao,BY34,0),0),PLE!$AA$28*BY34)</f>
        <v>0</v>
      </c>
      <c r="DZ34" s="120">
        <f ca="1">IF($K34&lt;&gt;1,IF(ISNUMBER(INDEX(Import.PLE,$K34,DZ$16)),IF(INDEX(Import.PLE,$K34,DZ$16)&lt;=mediçao,BZ34,0),0),PLE!$AA$28*BZ34)</f>
        <v>0</v>
      </c>
      <c r="EA34" s="120">
        <f ca="1">IF($K34&lt;&gt;1,IF(ISNUMBER(INDEX(Import.PLE,$K34,EA$16)),IF(INDEX(Import.PLE,$K34,EA$16)&lt;=mediçao,CA34,0),0),PLE!$AA$28*CA34)</f>
        <v>0</v>
      </c>
      <c r="EB34" s="120">
        <f ca="1">IF($K34&lt;&gt;1,IF(ISNUMBER(INDEX(Import.PLE,$K34,EB$16)),IF(INDEX(Import.PLE,$K34,EB$16)&lt;=mediçao,CB34,0),0),PLE!$AA$28*CB34)</f>
        <v>0</v>
      </c>
      <c r="EC34" s="120">
        <f ca="1">IF($K34&lt;&gt;1,IF(ISNUMBER(INDEX(Import.PLE,$K34,EC$16)),IF(INDEX(Import.PLE,$K34,EC$16)&lt;=mediçao,CC34,0),0),PLE!$AA$28*CC34)</f>
        <v>0</v>
      </c>
      <c r="ED34" s="120">
        <f ca="1">IF($K34&lt;&gt;1,IF(ISNUMBER(INDEX(Import.PLE,$K34,ED$16)),IF(INDEX(Import.PLE,$K34,ED$16)&lt;=mediçao,CD34,0),0),PLE!$AA$28*CD34)</f>
        <v>0</v>
      </c>
      <c r="EE34" s="120">
        <f ca="1">IF($K34&lt;&gt;1,IF(ISNUMBER(INDEX(Import.PLE,$K34,EE$16)),IF(INDEX(Import.PLE,$K34,EE$16)&lt;=mediçao,CE34,0),0),PLE!$AA$28*CE34)</f>
        <v>0</v>
      </c>
      <c r="EF34" s="120">
        <f ca="1">IF($K34&lt;&gt;1,IF(ISNUMBER(INDEX(Import.PLE,$K34,EF$16)),IF(INDEX(Import.PLE,$K34,EF$16)&lt;=mediçao,CF34,0),0),PLE!$AA$28*CF34)</f>
        <v>0</v>
      </c>
      <c r="EG34" s="120">
        <f ca="1">IF($K34&lt;&gt;1,IF(ISNUMBER(INDEX(Import.PLE,$K34,EG$16)),IF(INDEX(Import.PLE,$K34,EG$16)&lt;=mediçao,CG34,0),0),PLE!$AA$28*CG34)</f>
        <v>0</v>
      </c>
      <c r="EH34" s="120">
        <f ca="1">IF($K34&lt;&gt;1,IF(ISNUMBER(INDEX(Import.PLE,$K34,EH$16)),IF(INDEX(Import.PLE,$K34,EH$16)&lt;=mediçao,CH34,0),0),PLE!$AA$28*CH34)</f>
        <v>0</v>
      </c>
      <c r="EI34" s="120">
        <f ca="1">IF($K34&lt;&gt;1,IF(ISNUMBER(INDEX(Import.PLE,$K34,EI$16)),IF(INDEX(Import.PLE,$K34,EI$16)&lt;=mediçao,CI34,0),0),PLE!$AA$28*CI34)</f>
        <v>0</v>
      </c>
      <c r="EJ34" s="120">
        <f ca="1">IF($K34&lt;&gt;1,IF(ISNUMBER(INDEX(Import.PLE,$K34,EJ$16)),IF(INDEX(Import.PLE,$K34,EJ$16)&lt;=mediçao,CJ34,0),0),PLE!$AA$28*CJ34)</f>
        <v>0</v>
      </c>
      <c r="EK34" s="120">
        <f ca="1">IF($K34&lt;&gt;1,IF(ISNUMBER(INDEX(Import.PLE,$K34,EK$16)),IF(INDEX(Import.PLE,$K34,EK$16)&lt;=mediçao,CK34,0),0),PLE!$AA$28*CK34)</f>
        <v>0</v>
      </c>
      <c r="EL34" s="120">
        <f ca="1">IF($K34&lt;&gt;1,IF(ISNUMBER(INDEX(Import.PLE,$K34,EL$16)),IF(INDEX(Import.PLE,$K34,EL$16)&lt;=mediçao,CL34,0),0),PLE!$AA$28*CL34)</f>
        <v>0</v>
      </c>
      <c r="EM34" s="120">
        <f ca="1">IF($K34&lt;&gt;1,IF(ISNUMBER(INDEX(Import.PLE,$K34,EM$16)),IF(INDEX(Import.PLE,$K34,EM$16)&lt;=mediçao,CM34,0),0),PLE!$AA$28*CM34)</f>
        <v>0</v>
      </c>
      <c r="EN34" s="120">
        <f ca="1">IF($K34&lt;&gt;1,IF(ISNUMBER(INDEX(Import.PLE,$K34,EN$16)),IF(INDEX(Import.PLE,$K34,EN$16)&lt;=mediçao,CN34,0),0),PLE!$AA$28*CN34)</f>
        <v>0</v>
      </c>
      <c r="EO34" s="120">
        <f ca="1">IF($K34&lt;&gt;1,IF(ISNUMBER(INDEX(Import.PLE,$K34,EO$16)),IF(INDEX(Import.PLE,$K34,EO$16)&lt;=mediçao,CO34,0),0),PLE!$AA$28*CO34)</f>
        <v>0</v>
      </c>
      <c r="EP34" s="120">
        <f ca="1">IF($K34&lt;&gt;1,IF(ISNUMBER(INDEX(Import.PLE,$K34,EP$16)),IF(INDEX(Import.PLE,$K34,EP$16)&lt;=mediçao,CP34,0),0),PLE!$AA$28*CP34)</f>
        <v>0</v>
      </c>
      <c r="EQ34" s="120">
        <f ca="1">IF($K34&lt;&gt;1,IF(ISNUMBER(INDEX(Import.PLE,$K34,EQ$16)),IF(INDEX(Import.PLE,$K34,EQ$16)&lt;=mediçao,CQ34,0),0),PLE!$AA$28*CQ34)</f>
        <v>0</v>
      </c>
      <c r="ER34" s="120">
        <f ca="1">IF($K34&lt;&gt;1,IF(ISNUMBER(INDEX(Import.PLE,$K34,ER$16)),IF(INDEX(Import.PLE,$K34,ER$16)&lt;=mediçao,CR34,0),0),PLE!$AA$28*CR34)</f>
        <v>0</v>
      </c>
      <c r="ES34" s="120">
        <f ca="1">IF($K34&lt;&gt;1,IF(ISNUMBER(INDEX(Import.PLE,$K34,ES$16)),IF(INDEX(Import.PLE,$K34,ES$16)&lt;=mediçao,CS34,0),0),PLE!$AA$28*CS34)</f>
        <v>0</v>
      </c>
      <c r="ET34" s="120">
        <f ca="1">IF($K34&lt;&gt;1,IF(ISNUMBER(INDEX(Import.PLE,$K34,ET$16)),IF(INDEX(Import.PLE,$K34,ET$16)&lt;=mediçao,CT34,0),0),PLE!$AA$28*CT34)</f>
        <v>0</v>
      </c>
      <c r="EU34" s="120">
        <f ca="1">IF($K34&lt;&gt;1,IF(ISNUMBER(INDEX(Import.PLE,$K34,EU$16)),IF(INDEX(Import.PLE,$K34,EU$16)&lt;=mediçao,CU34,0),0),PLE!$AA$28*CU34)</f>
        <v>0</v>
      </c>
      <c r="EV34" s="120">
        <f ca="1">IF($K34&lt;&gt;1,IF(ISNUMBER(INDEX(Import.PLE,$K34,EV$16)),IF(INDEX(Import.PLE,$K34,EV$16)&lt;=mediçao,CV34,0),0),PLE!$AA$28*CV34)</f>
        <v>0</v>
      </c>
      <c r="EW34" s="120">
        <f ca="1">IF($K34&lt;&gt;1,IF(ISNUMBER(INDEX(Import.PLE,$K34,EW$16)),IF(INDEX(Import.PLE,$K34,EW$16)&lt;=mediçao,CW34,0),0),PLE!$AA$28*CW34)</f>
        <v>0</v>
      </c>
      <c r="EX34" s="120">
        <f ca="1">IF($K34&lt;&gt;1,IF(ISNUMBER(INDEX(Import.PLE,$K34,EX$16)),IF(INDEX(Import.PLE,$K34,EX$16)&lt;=mediçao,CX34,0),0),PLE!$AA$28*CX34)</f>
        <v>0</v>
      </c>
      <c r="EY34" s="120">
        <f ca="1">IF($K34&lt;&gt;1,IF(ISNUMBER(INDEX(Import.PLE,$K34,EY$16)),IF(INDEX(Import.PLE,$K34,EY$16)&lt;=mediçao,CY34,0),0),PLE!$AA$28*CY34)</f>
        <v>0</v>
      </c>
      <c r="EZ34" s="120">
        <f ca="1">IF($K34&lt;&gt;1,IF(ISNUMBER(INDEX(Import.PLE,$K34,EZ$16)),IF(INDEX(Import.PLE,$K34,EZ$16)&lt;=mediçao,CZ34,0),0),PLE!$AA$28*CZ34)</f>
        <v>0</v>
      </c>
      <c r="FA34" s="120">
        <f ca="1">IF($K34&lt;&gt;1,IF(ISNUMBER(INDEX(Import.PLE,$K34,FA$16)),IF(INDEX(Import.PLE,$K34,FA$16)&lt;=mediçao,DA34,0),0),PLE!$AA$28*DA34)</f>
        <v>0</v>
      </c>
      <c r="FB34" s="120">
        <f ca="1">IF($K34&lt;&gt;1,IF(ISNUMBER(INDEX(Import.PLE,$K34,FB$16)),IF(INDEX(Import.PLE,$K34,FB$16)&lt;=mediçao,DB34,0),0),PLE!$AA$28*DB34)</f>
        <v>0</v>
      </c>
      <c r="FC34" s="120">
        <f ca="1">IF($K34&lt;&gt;1,IF(ISNUMBER(INDEX(Import.PLE,$K34,FC$16)),IF(INDEX(Import.PLE,$K34,FC$16)&lt;=mediçao,DC34,0),0),PLE!$AA$28*DC34)</f>
        <v>0</v>
      </c>
      <c r="FD34" s="120">
        <f ca="1">IF($K34&lt;&gt;1,IF(ISNUMBER(INDEX(Import.PLE,$K34,FD$16)),IF(INDEX(Import.PLE,$K34,FD$16)&lt;=mediçao,DD34,0),0),PLE!$AA$28*DD34)</f>
        <v>0</v>
      </c>
      <c r="FE34" s="120">
        <f ca="1">IF($K34&lt;&gt;1,IF(ISNUMBER(INDEX(Import.PLE,$K34,FE$16)),IF(INDEX(Import.PLE,$K34,FE$16)&lt;=mediçao,DE34,0),0),PLE!$AA$28*DE34)</f>
        <v>0</v>
      </c>
      <c r="FF34" s="120">
        <f ca="1">IF($K34&lt;&gt;1,IF(ISNUMBER(INDEX(Import.PLE,$K34,FF$16)),IF(INDEX(Import.PLE,$K34,FF$16)&lt;=mediçao,DF34,0),0),PLE!$AA$28*DF34)</f>
        <v>0</v>
      </c>
      <c r="FG34" s="120">
        <f ca="1">IF($K34&lt;&gt;1,IF(ISNUMBER(INDEX(Import.PLE,$K34,FG$16)),IF(INDEX(Import.PLE,$K34,FG$16)&lt;=mediçao,DG34,0),0),PLE!$AA$28*DG34)</f>
        <v>0</v>
      </c>
      <c r="FH34" s="120">
        <f ca="1">IF($K34&lt;&gt;1,IF(ISNUMBER(INDEX(Import.PLE,$K34,FH$16)),IF(INDEX(Import.PLE,$K34,FH$16)&lt;=mediçao,DH34,0),0),PLE!$AA$28*DH34)</f>
        <v>0</v>
      </c>
      <c r="FI34" s="120">
        <f ca="1">IF($K34&lt;&gt;1,IF(ISNUMBER(INDEX(Import.PLE,$K34,FI$16)),IF(INDEX(Import.PLE,$K34,FI$16)&lt;=mediçao,DI34,0),0),PLE!$AA$28*DI34)</f>
        <v>0</v>
      </c>
      <c r="FJ34" s="120">
        <f ca="1">IF($K34&lt;&gt;1,IF(ISNUMBER(INDEX(Import.PLE,$K34,FJ$16)),IF(INDEX(Import.PLE,$K34,FJ$16)&lt;=mediçao,DJ34,0),0),PLE!$AA$28*DJ34)</f>
        <v>0</v>
      </c>
    </row>
    <row r="35" spans="2:166" s="88" customFormat="1" x14ac:dyDescent="0.25">
      <c r="B35" s="119">
        <f t="shared" ca="1" si="3"/>
        <v>18</v>
      </c>
      <c r="C35" s="83" t="str">
        <f t="shared" si="4"/>
        <v>Serviço</v>
      </c>
      <c r="D35" s="170" t="s">
        <v>194</v>
      </c>
      <c r="E35" s="140" t="s">
        <v>182</v>
      </c>
      <c r="F35" s="138" t="s">
        <v>165</v>
      </c>
      <c r="G35" s="175">
        <f t="shared" si="5"/>
        <v>435.12000000000006</v>
      </c>
      <c r="H35" s="176">
        <f t="shared" si="6"/>
        <v>1.4400165471594042</v>
      </c>
      <c r="I35" s="177">
        <v>626.58000000000004</v>
      </c>
      <c r="J35" s="86"/>
      <c r="K35" s="169">
        <f>deactivatedados.form1</f>
        <v>4</v>
      </c>
      <c r="L35" s="168" t="s">
        <v>207</v>
      </c>
      <c r="M35" s="87"/>
      <c r="N35" s="182">
        <v>88.47</v>
      </c>
      <c r="O35" s="182">
        <v>38.590000000000003</v>
      </c>
      <c r="P35" s="182">
        <v>53.9</v>
      </c>
      <c r="Q35" s="182">
        <v>87.2</v>
      </c>
      <c r="R35" s="182">
        <v>32.54</v>
      </c>
      <c r="S35" s="182">
        <v>60.48</v>
      </c>
      <c r="T35" s="182">
        <v>41.82</v>
      </c>
      <c r="U35" s="182">
        <v>32.119999999999997</v>
      </c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182"/>
      <c r="AR35" s="182"/>
      <c r="AS35" s="182"/>
      <c r="AT35" s="182"/>
      <c r="AU35" s="182"/>
      <c r="AV35" s="182"/>
      <c r="AW35" s="182"/>
      <c r="AX35" s="182"/>
      <c r="AY35" s="182"/>
      <c r="AZ35" s="182"/>
      <c r="BA35" s="182"/>
      <c r="BB35" s="182"/>
      <c r="BC35" s="182"/>
      <c r="BD35" s="182"/>
      <c r="BE35" s="182"/>
      <c r="BF35" s="182"/>
      <c r="BG35" s="182"/>
      <c r="BH35" s="182"/>
      <c r="BI35" s="182"/>
      <c r="BJ35" s="182"/>
      <c r="BK35" s="182"/>
      <c r="BM35" s="120">
        <f t="shared" ca="1" si="7"/>
        <v>127.39826392719249</v>
      </c>
      <c r="BN35" s="120">
        <f t="shared" ca="1" si="8"/>
        <v>55.570238554881414</v>
      </c>
      <c r="BO35" s="120">
        <f t="shared" ca="1" si="9"/>
        <v>77.616891891891882</v>
      </c>
      <c r="BP35" s="120">
        <f t="shared" ca="1" si="10"/>
        <v>125.56944291230005</v>
      </c>
      <c r="BQ35" s="120">
        <f t="shared" ca="1" si="11"/>
        <v>46.858138444567011</v>
      </c>
      <c r="BR35" s="120">
        <f t="shared" ca="1" si="12"/>
        <v>87.092200772200755</v>
      </c>
      <c r="BS35" s="120">
        <f t="shared" ca="1" si="13"/>
        <v>60.221492002206283</v>
      </c>
      <c r="BT35" s="120">
        <f t="shared" ca="1" si="14"/>
        <v>46.253331494760062</v>
      </c>
      <c r="BU35" s="120">
        <f t="shared" si="15"/>
        <v>0</v>
      </c>
      <c r="BV35" s="120">
        <f t="shared" si="16"/>
        <v>0</v>
      </c>
      <c r="BW35" s="120">
        <f t="shared" si="17"/>
        <v>0</v>
      </c>
      <c r="BX35" s="120">
        <f t="shared" si="18"/>
        <v>0</v>
      </c>
      <c r="BY35" s="120">
        <f t="shared" si="19"/>
        <v>0</v>
      </c>
      <c r="BZ35" s="120">
        <f t="shared" si="20"/>
        <v>0</v>
      </c>
      <c r="CA35" s="120">
        <f t="shared" si="21"/>
        <v>0</v>
      </c>
      <c r="CB35" s="120">
        <f t="shared" si="22"/>
        <v>0</v>
      </c>
      <c r="CC35" s="120">
        <f t="shared" si="23"/>
        <v>0</v>
      </c>
      <c r="CD35" s="120">
        <f t="shared" si="24"/>
        <v>0</v>
      </c>
      <c r="CE35" s="120">
        <f t="shared" si="25"/>
        <v>0</v>
      </c>
      <c r="CF35" s="120">
        <f t="shared" si="26"/>
        <v>0</v>
      </c>
      <c r="CG35" s="120">
        <f t="shared" si="27"/>
        <v>0</v>
      </c>
      <c r="CH35" s="120">
        <f t="shared" si="28"/>
        <v>0</v>
      </c>
      <c r="CI35" s="120">
        <f t="shared" si="29"/>
        <v>0</v>
      </c>
      <c r="CJ35" s="120">
        <f t="shared" si="30"/>
        <v>0</v>
      </c>
      <c r="CK35" s="120">
        <f t="shared" si="31"/>
        <v>0</v>
      </c>
      <c r="CL35" s="120">
        <f t="shared" si="32"/>
        <v>0</v>
      </c>
      <c r="CM35" s="120">
        <f t="shared" si="33"/>
        <v>0</v>
      </c>
      <c r="CN35" s="120">
        <f t="shared" si="34"/>
        <v>0</v>
      </c>
      <c r="CO35" s="120">
        <f t="shared" si="35"/>
        <v>0</v>
      </c>
      <c r="CP35" s="120">
        <f t="shared" si="36"/>
        <v>0</v>
      </c>
      <c r="CQ35" s="120">
        <f t="shared" si="37"/>
        <v>0</v>
      </c>
      <c r="CR35" s="120">
        <f t="shared" si="38"/>
        <v>0</v>
      </c>
      <c r="CS35" s="120">
        <f t="shared" si="39"/>
        <v>0</v>
      </c>
      <c r="CT35" s="120">
        <f t="shared" si="40"/>
        <v>0</v>
      </c>
      <c r="CU35" s="120">
        <f t="shared" si="41"/>
        <v>0</v>
      </c>
      <c r="CV35" s="120">
        <f t="shared" si="42"/>
        <v>0</v>
      </c>
      <c r="CW35" s="120">
        <f t="shared" si="43"/>
        <v>0</v>
      </c>
      <c r="CX35" s="120">
        <f t="shared" si="44"/>
        <v>0</v>
      </c>
      <c r="CY35" s="120">
        <f t="shared" si="45"/>
        <v>0</v>
      </c>
      <c r="CZ35" s="120">
        <f t="shared" si="46"/>
        <v>0</v>
      </c>
      <c r="DA35" s="120">
        <f t="shared" si="47"/>
        <v>0</v>
      </c>
      <c r="DB35" s="120">
        <f t="shared" si="48"/>
        <v>0</v>
      </c>
      <c r="DC35" s="120">
        <f t="shared" si="49"/>
        <v>0</v>
      </c>
      <c r="DD35" s="120">
        <f t="shared" si="50"/>
        <v>0</v>
      </c>
      <c r="DE35" s="120">
        <f t="shared" si="51"/>
        <v>0</v>
      </c>
      <c r="DF35" s="120">
        <f t="shared" si="52"/>
        <v>0</v>
      </c>
      <c r="DG35" s="120">
        <f t="shared" si="53"/>
        <v>0</v>
      </c>
      <c r="DH35" s="120">
        <f t="shared" si="54"/>
        <v>0</v>
      </c>
      <c r="DI35" s="120">
        <f t="shared" si="55"/>
        <v>0</v>
      </c>
      <c r="DJ35" s="120">
        <f t="shared" si="56"/>
        <v>0</v>
      </c>
      <c r="DK35" s="127" t="str">
        <f t="shared" si="57"/>
        <v>4</v>
      </c>
      <c r="DL35" s="127">
        <f t="shared" ca="1" si="58"/>
        <v>0</v>
      </c>
      <c r="DM35" s="120">
        <f ca="1">IF($K35&lt;&gt;1,IF(ISNUMBER(INDEX(Import.PLE,$K35,DM$16)),IF(INDEX(Import.PLE,$K35,DM$16)&lt;=mediçao,BM35,0),0),PLE!$AA$28*BM35)</f>
        <v>0</v>
      </c>
      <c r="DN35" s="120">
        <f ca="1">IF($K35&lt;&gt;1,IF(ISNUMBER(INDEX(Import.PLE,$K35,DN$16)),IF(INDEX(Import.PLE,$K35,DN$16)&lt;=mediçao,BN35,0),0),PLE!$AA$28*BN35)</f>
        <v>0</v>
      </c>
      <c r="DO35" s="120">
        <f ca="1">IF($K35&lt;&gt;1,IF(ISNUMBER(INDEX(Import.PLE,$K35,DO$16)),IF(INDEX(Import.PLE,$K35,DO$16)&lt;=mediçao,BO35,0),0),PLE!$AA$28*BO35)</f>
        <v>0</v>
      </c>
      <c r="DP35" s="120">
        <f ca="1">IF($K35&lt;&gt;1,IF(ISNUMBER(INDEX(Import.PLE,$K35,DP$16)),IF(INDEX(Import.PLE,$K35,DP$16)&lt;=mediçao,BP35,0),0),PLE!$AA$28*BP35)</f>
        <v>0</v>
      </c>
      <c r="DQ35" s="120">
        <f ca="1">IF($K35&lt;&gt;1,IF(ISNUMBER(INDEX(Import.PLE,$K35,DQ$16)),IF(INDEX(Import.PLE,$K35,DQ$16)&lt;=mediçao,BQ35,0),0),PLE!$AA$28*BQ35)</f>
        <v>0</v>
      </c>
      <c r="DR35" s="120">
        <f ca="1">IF($K35&lt;&gt;1,IF(ISNUMBER(INDEX(Import.PLE,$K35,DR$16)),IF(INDEX(Import.PLE,$K35,DR$16)&lt;=mediçao,BR35,0),0),PLE!$AA$28*BR35)</f>
        <v>0</v>
      </c>
      <c r="DS35" s="120">
        <f ca="1">IF($K35&lt;&gt;1,IF(ISNUMBER(INDEX(Import.PLE,$K35,DS$16)),IF(INDEX(Import.PLE,$K35,DS$16)&lt;=mediçao,BS35,0),0),PLE!$AA$28*BS35)</f>
        <v>0</v>
      </c>
      <c r="DT35" s="120">
        <f ca="1">IF($K35&lt;&gt;1,IF(ISNUMBER(INDEX(Import.PLE,$K35,DT$16)),IF(INDEX(Import.PLE,$K35,DT$16)&lt;=mediçao,BT35,0),0),PLE!$AA$28*BT35)</f>
        <v>0</v>
      </c>
      <c r="DU35" s="120">
        <f ca="1">IF($K35&lt;&gt;1,IF(ISNUMBER(INDEX(Import.PLE,$K35,DU$16)),IF(INDEX(Import.PLE,$K35,DU$16)&lt;=mediçao,BU35,0),0),PLE!$AA$28*BU35)</f>
        <v>0</v>
      </c>
      <c r="DV35" s="120">
        <f ca="1">IF($K35&lt;&gt;1,IF(ISNUMBER(INDEX(Import.PLE,$K35,DV$16)),IF(INDEX(Import.PLE,$K35,DV$16)&lt;=mediçao,BV35,0),0),PLE!$AA$28*BV35)</f>
        <v>0</v>
      </c>
      <c r="DW35" s="120">
        <f ca="1">IF($K35&lt;&gt;1,IF(ISNUMBER(INDEX(Import.PLE,$K35,DW$16)),IF(INDEX(Import.PLE,$K35,DW$16)&lt;=mediçao,BW35,0),0),PLE!$AA$28*BW35)</f>
        <v>0</v>
      </c>
      <c r="DX35" s="120">
        <f ca="1">IF($K35&lt;&gt;1,IF(ISNUMBER(INDEX(Import.PLE,$K35,DX$16)),IF(INDEX(Import.PLE,$K35,DX$16)&lt;=mediçao,BX35,0),0),PLE!$AA$28*BX35)</f>
        <v>0</v>
      </c>
      <c r="DY35" s="120">
        <f ca="1">IF($K35&lt;&gt;1,IF(ISNUMBER(INDEX(Import.PLE,$K35,DY$16)),IF(INDEX(Import.PLE,$K35,DY$16)&lt;=mediçao,BY35,0),0),PLE!$AA$28*BY35)</f>
        <v>0</v>
      </c>
      <c r="DZ35" s="120">
        <f ca="1">IF($K35&lt;&gt;1,IF(ISNUMBER(INDEX(Import.PLE,$K35,DZ$16)),IF(INDEX(Import.PLE,$K35,DZ$16)&lt;=mediçao,BZ35,0),0),PLE!$AA$28*BZ35)</f>
        <v>0</v>
      </c>
      <c r="EA35" s="120">
        <f ca="1">IF($K35&lt;&gt;1,IF(ISNUMBER(INDEX(Import.PLE,$K35,EA$16)),IF(INDEX(Import.PLE,$K35,EA$16)&lt;=mediçao,CA35,0),0),PLE!$AA$28*CA35)</f>
        <v>0</v>
      </c>
      <c r="EB35" s="120">
        <f ca="1">IF($K35&lt;&gt;1,IF(ISNUMBER(INDEX(Import.PLE,$K35,EB$16)),IF(INDEX(Import.PLE,$K35,EB$16)&lt;=mediçao,CB35,0),0),PLE!$AA$28*CB35)</f>
        <v>0</v>
      </c>
      <c r="EC35" s="120">
        <f ca="1">IF($K35&lt;&gt;1,IF(ISNUMBER(INDEX(Import.PLE,$K35,EC$16)),IF(INDEX(Import.PLE,$K35,EC$16)&lt;=mediçao,CC35,0),0),PLE!$AA$28*CC35)</f>
        <v>0</v>
      </c>
      <c r="ED35" s="120">
        <f ca="1">IF($K35&lt;&gt;1,IF(ISNUMBER(INDEX(Import.PLE,$K35,ED$16)),IF(INDEX(Import.PLE,$K35,ED$16)&lt;=mediçao,CD35,0),0),PLE!$AA$28*CD35)</f>
        <v>0</v>
      </c>
      <c r="EE35" s="120">
        <f ca="1">IF($K35&lt;&gt;1,IF(ISNUMBER(INDEX(Import.PLE,$K35,EE$16)),IF(INDEX(Import.PLE,$K35,EE$16)&lt;=mediçao,CE35,0),0),PLE!$AA$28*CE35)</f>
        <v>0</v>
      </c>
      <c r="EF35" s="120">
        <f ca="1">IF($K35&lt;&gt;1,IF(ISNUMBER(INDEX(Import.PLE,$K35,EF$16)),IF(INDEX(Import.PLE,$K35,EF$16)&lt;=mediçao,CF35,0),0),PLE!$AA$28*CF35)</f>
        <v>0</v>
      </c>
      <c r="EG35" s="120">
        <f ca="1">IF($K35&lt;&gt;1,IF(ISNUMBER(INDEX(Import.PLE,$K35,EG$16)),IF(INDEX(Import.PLE,$K35,EG$16)&lt;=mediçao,CG35,0),0),PLE!$AA$28*CG35)</f>
        <v>0</v>
      </c>
      <c r="EH35" s="120">
        <f ca="1">IF($K35&lt;&gt;1,IF(ISNUMBER(INDEX(Import.PLE,$K35,EH$16)),IF(INDEX(Import.PLE,$K35,EH$16)&lt;=mediçao,CH35,0),0),PLE!$AA$28*CH35)</f>
        <v>0</v>
      </c>
      <c r="EI35" s="120">
        <f ca="1">IF($K35&lt;&gt;1,IF(ISNUMBER(INDEX(Import.PLE,$K35,EI$16)),IF(INDEX(Import.PLE,$K35,EI$16)&lt;=mediçao,CI35,0),0),PLE!$AA$28*CI35)</f>
        <v>0</v>
      </c>
      <c r="EJ35" s="120">
        <f ca="1">IF($K35&lt;&gt;1,IF(ISNUMBER(INDEX(Import.PLE,$K35,EJ$16)),IF(INDEX(Import.PLE,$K35,EJ$16)&lt;=mediçao,CJ35,0),0),PLE!$AA$28*CJ35)</f>
        <v>0</v>
      </c>
      <c r="EK35" s="120">
        <f ca="1">IF($K35&lt;&gt;1,IF(ISNUMBER(INDEX(Import.PLE,$K35,EK$16)),IF(INDEX(Import.PLE,$K35,EK$16)&lt;=mediçao,CK35,0),0),PLE!$AA$28*CK35)</f>
        <v>0</v>
      </c>
      <c r="EL35" s="120">
        <f ca="1">IF($K35&lt;&gt;1,IF(ISNUMBER(INDEX(Import.PLE,$K35,EL$16)),IF(INDEX(Import.PLE,$K35,EL$16)&lt;=mediçao,CL35,0),0),PLE!$AA$28*CL35)</f>
        <v>0</v>
      </c>
      <c r="EM35" s="120">
        <f ca="1">IF($K35&lt;&gt;1,IF(ISNUMBER(INDEX(Import.PLE,$K35,EM$16)),IF(INDEX(Import.PLE,$K35,EM$16)&lt;=mediçao,CM35,0),0),PLE!$AA$28*CM35)</f>
        <v>0</v>
      </c>
      <c r="EN35" s="120">
        <f ca="1">IF($K35&lt;&gt;1,IF(ISNUMBER(INDEX(Import.PLE,$K35,EN$16)),IF(INDEX(Import.PLE,$K35,EN$16)&lt;=mediçao,CN35,0),0),PLE!$AA$28*CN35)</f>
        <v>0</v>
      </c>
      <c r="EO35" s="120">
        <f ca="1">IF($K35&lt;&gt;1,IF(ISNUMBER(INDEX(Import.PLE,$K35,EO$16)),IF(INDEX(Import.PLE,$K35,EO$16)&lt;=mediçao,CO35,0),0),PLE!$AA$28*CO35)</f>
        <v>0</v>
      </c>
      <c r="EP35" s="120">
        <f ca="1">IF($K35&lt;&gt;1,IF(ISNUMBER(INDEX(Import.PLE,$K35,EP$16)),IF(INDEX(Import.PLE,$K35,EP$16)&lt;=mediçao,CP35,0),0),PLE!$AA$28*CP35)</f>
        <v>0</v>
      </c>
      <c r="EQ35" s="120">
        <f ca="1">IF($K35&lt;&gt;1,IF(ISNUMBER(INDEX(Import.PLE,$K35,EQ$16)),IF(INDEX(Import.PLE,$K35,EQ$16)&lt;=mediçao,CQ35,0),0),PLE!$AA$28*CQ35)</f>
        <v>0</v>
      </c>
      <c r="ER35" s="120">
        <f ca="1">IF($K35&lt;&gt;1,IF(ISNUMBER(INDEX(Import.PLE,$K35,ER$16)),IF(INDEX(Import.PLE,$K35,ER$16)&lt;=mediçao,CR35,0),0),PLE!$AA$28*CR35)</f>
        <v>0</v>
      </c>
      <c r="ES35" s="120">
        <f ca="1">IF($K35&lt;&gt;1,IF(ISNUMBER(INDEX(Import.PLE,$K35,ES$16)),IF(INDEX(Import.PLE,$K35,ES$16)&lt;=mediçao,CS35,0),0),PLE!$AA$28*CS35)</f>
        <v>0</v>
      </c>
      <c r="ET35" s="120">
        <f ca="1">IF($K35&lt;&gt;1,IF(ISNUMBER(INDEX(Import.PLE,$K35,ET$16)),IF(INDEX(Import.PLE,$K35,ET$16)&lt;=mediçao,CT35,0),0),PLE!$AA$28*CT35)</f>
        <v>0</v>
      </c>
      <c r="EU35" s="120">
        <f ca="1">IF($K35&lt;&gt;1,IF(ISNUMBER(INDEX(Import.PLE,$K35,EU$16)),IF(INDEX(Import.PLE,$K35,EU$16)&lt;=mediçao,CU35,0),0),PLE!$AA$28*CU35)</f>
        <v>0</v>
      </c>
      <c r="EV35" s="120">
        <f ca="1">IF($K35&lt;&gt;1,IF(ISNUMBER(INDEX(Import.PLE,$K35,EV$16)),IF(INDEX(Import.PLE,$K35,EV$16)&lt;=mediçao,CV35,0),0),PLE!$AA$28*CV35)</f>
        <v>0</v>
      </c>
      <c r="EW35" s="120">
        <f ca="1">IF($K35&lt;&gt;1,IF(ISNUMBER(INDEX(Import.PLE,$K35,EW$16)),IF(INDEX(Import.PLE,$K35,EW$16)&lt;=mediçao,CW35,0),0),PLE!$AA$28*CW35)</f>
        <v>0</v>
      </c>
      <c r="EX35" s="120">
        <f ca="1">IF($K35&lt;&gt;1,IF(ISNUMBER(INDEX(Import.PLE,$K35,EX$16)),IF(INDEX(Import.PLE,$K35,EX$16)&lt;=mediçao,CX35,0),0),PLE!$AA$28*CX35)</f>
        <v>0</v>
      </c>
      <c r="EY35" s="120">
        <f ca="1">IF($K35&lt;&gt;1,IF(ISNUMBER(INDEX(Import.PLE,$K35,EY$16)),IF(INDEX(Import.PLE,$K35,EY$16)&lt;=mediçao,CY35,0),0),PLE!$AA$28*CY35)</f>
        <v>0</v>
      </c>
      <c r="EZ35" s="120">
        <f ca="1">IF($K35&lt;&gt;1,IF(ISNUMBER(INDEX(Import.PLE,$K35,EZ$16)),IF(INDEX(Import.PLE,$K35,EZ$16)&lt;=mediçao,CZ35,0),0),PLE!$AA$28*CZ35)</f>
        <v>0</v>
      </c>
      <c r="FA35" s="120">
        <f ca="1">IF($K35&lt;&gt;1,IF(ISNUMBER(INDEX(Import.PLE,$K35,FA$16)),IF(INDEX(Import.PLE,$K35,FA$16)&lt;=mediçao,DA35,0),0),PLE!$AA$28*DA35)</f>
        <v>0</v>
      </c>
      <c r="FB35" s="120">
        <f ca="1">IF($K35&lt;&gt;1,IF(ISNUMBER(INDEX(Import.PLE,$K35,FB$16)),IF(INDEX(Import.PLE,$K35,FB$16)&lt;=mediçao,DB35,0),0),PLE!$AA$28*DB35)</f>
        <v>0</v>
      </c>
      <c r="FC35" s="120">
        <f ca="1">IF($K35&lt;&gt;1,IF(ISNUMBER(INDEX(Import.PLE,$K35,FC$16)),IF(INDEX(Import.PLE,$K35,FC$16)&lt;=mediçao,DC35,0),0),PLE!$AA$28*DC35)</f>
        <v>0</v>
      </c>
      <c r="FD35" s="120">
        <f ca="1">IF($K35&lt;&gt;1,IF(ISNUMBER(INDEX(Import.PLE,$K35,FD$16)),IF(INDEX(Import.PLE,$K35,FD$16)&lt;=mediçao,DD35,0),0),PLE!$AA$28*DD35)</f>
        <v>0</v>
      </c>
      <c r="FE35" s="120">
        <f ca="1">IF($K35&lt;&gt;1,IF(ISNUMBER(INDEX(Import.PLE,$K35,FE$16)),IF(INDEX(Import.PLE,$K35,FE$16)&lt;=mediçao,DE35,0),0),PLE!$AA$28*DE35)</f>
        <v>0</v>
      </c>
      <c r="FF35" s="120">
        <f ca="1">IF($K35&lt;&gt;1,IF(ISNUMBER(INDEX(Import.PLE,$K35,FF$16)),IF(INDEX(Import.PLE,$K35,FF$16)&lt;=mediçao,DF35,0),0),PLE!$AA$28*DF35)</f>
        <v>0</v>
      </c>
      <c r="FG35" s="120">
        <f ca="1">IF($K35&lt;&gt;1,IF(ISNUMBER(INDEX(Import.PLE,$K35,FG$16)),IF(INDEX(Import.PLE,$K35,FG$16)&lt;=mediçao,DG35,0),0),PLE!$AA$28*DG35)</f>
        <v>0</v>
      </c>
      <c r="FH35" s="120">
        <f ca="1">IF($K35&lt;&gt;1,IF(ISNUMBER(INDEX(Import.PLE,$K35,FH$16)),IF(INDEX(Import.PLE,$K35,FH$16)&lt;=mediçao,DH35,0),0),PLE!$AA$28*DH35)</f>
        <v>0</v>
      </c>
      <c r="FI35" s="120">
        <f ca="1">IF($K35&lt;&gt;1,IF(ISNUMBER(INDEX(Import.PLE,$K35,FI$16)),IF(INDEX(Import.PLE,$K35,FI$16)&lt;=mediçao,DI35,0),0),PLE!$AA$28*DI35)</f>
        <v>0</v>
      </c>
      <c r="FJ35" s="120">
        <f ca="1">IF($K35&lt;&gt;1,IF(ISNUMBER(INDEX(Import.PLE,$K35,FJ$16)),IF(INDEX(Import.PLE,$K35,FJ$16)&lt;=mediçao,DJ35,0),0),PLE!$AA$28*DJ35)</f>
        <v>0</v>
      </c>
    </row>
    <row r="36" spans="2:166" s="88" customFormat="1" ht="22.5" x14ac:dyDescent="0.25">
      <c r="B36" s="119">
        <f ca="1">ROW(Nível)-ROW(LIorçamento)+1</f>
        <v>19</v>
      </c>
      <c r="C36" s="83" t="str">
        <f>IF(D36="","",IF(ISNUMBER(VALUE(D36)),"Meta",IF(AND(F36&lt;&gt;"",I36&lt;&gt;""),"Serviço","Nível")))</f>
        <v>Serviço</v>
      </c>
      <c r="D36" s="170" t="s">
        <v>196</v>
      </c>
      <c r="E36" s="140" t="s">
        <v>197</v>
      </c>
      <c r="F36" s="138" t="s">
        <v>198</v>
      </c>
      <c r="G36" s="175">
        <f>IF(Nível="Serviço",SUMIF($N$15:$BK$15,"&lt;&gt;"&amp;"",N36:BK36),"")</f>
        <v>8</v>
      </c>
      <c r="H36" s="176">
        <f>IF(AND(ISNUMBER(G36),G36&lt;&gt;0),I36/G36,IF(G36=0,0,""))</f>
        <v>487.87</v>
      </c>
      <c r="I36" s="177">
        <v>3902.96</v>
      </c>
      <c r="J36" s="86"/>
      <c r="K36" s="169">
        <f>deactivatedados.form1</f>
        <v>4</v>
      </c>
      <c r="L36" s="168" t="s">
        <v>207</v>
      </c>
      <c r="M36" s="87"/>
      <c r="N36" s="182">
        <v>1</v>
      </c>
      <c r="O36" s="182">
        <v>1</v>
      </c>
      <c r="P36" s="182">
        <v>1</v>
      </c>
      <c r="Q36" s="182">
        <v>1</v>
      </c>
      <c r="R36" s="182">
        <v>1</v>
      </c>
      <c r="S36" s="182">
        <v>1</v>
      </c>
      <c r="T36" s="182">
        <v>1</v>
      </c>
      <c r="U36" s="182">
        <v>1</v>
      </c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182"/>
      <c r="AU36" s="182"/>
      <c r="AV36" s="182"/>
      <c r="AW36" s="182"/>
      <c r="AX36" s="182"/>
      <c r="AY36" s="182"/>
      <c r="AZ36" s="182"/>
      <c r="BA36" s="182"/>
      <c r="BB36" s="182"/>
      <c r="BC36" s="182"/>
      <c r="BD36" s="182"/>
      <c r="BE36" s="182"/>
      <c r="BF36" s="182"/>
      <c r="BG36" s="182"/>
      <c r="BH36" s="182"/>
      <c r="BI36" s="182"/>
      <c r="BJ36" s="182"/>
      <c r="BK36" s="182"/>
      <c r="BM36" s="120">
        <f t="shared" ca="1" si="7"/>
        <v>487.87</v>
      </c>
      <c r="BN36" s="120">
        <f t="shared" ca="1" si="8"/>
        <v>487.87</v>
      </c>
      <c r="BO36" s="120">
        <f t="shared" ca="1" si="9"/>
        <v>487.87</v>
      </c>
      <c r="BP36" s="120">
        <f t="shared" ca="1" si="10"/>
        <v>487.87</v>
      </c>
      <c r="BQ36" s="120">
        <f t="shared" ca="1" si="11"/>
        <v>487.87</v>
      </c>
      <c r="BR36" s="120">
        <f t="shared" ca="1" si="12"/>
        <v>487.87</v>
      </c>
      <c r="BS36" s="120">
        <f t="shared" ca="1" si="13"/>
        <v>487.87</v>
      </c>
      <c r="BT36" s="120">
        <f t="shared" ca="1" si="14"/>
        <v>487.87</v>
      </c>
      <c r="BU36" s="120">
        <f t="shared" si="15"/>
        <v>0</v>
      </c>
      <c r="BV36" s="120">
        <f t="shared" si="16"/>
        <v>0</v>
      </c>
      <c r="BW36" s="120">
        <f t="shared" si="17"/>
        <v>0</v>
      </c>
      <c r="BX36" s="120">
        <f t="shared" si="18"/>
        <v>0</v>
      </c>
      <c r="BY36" s="120">
        <f t="shared" si="19"/>
        <v>0</v>
      </c>
      <c r="BZ36" s="120">
        <f t="shared" si="20"/>
        <v>0</v>
      </c>
      <c r="CA36" s="120">
        <f t="shared" si="21"/>
        <v>0</v>
      </c>
      <c r="CB36" s="120">
        <f t="shared" si="22"/>
        <v>0</v>
      </c>
      <c r="CC36" s="120">
        <f t="shared" si="23"/>
        <v>0</v>
      </c>
      <c r="CD36" s="120">
        <f t="shared" si="24"/>
        <v>0</v>
      </c>
      <c r="CE36" s="120">
        <f t="shared" si="25"/>
        <v>0</v>
      </c>
      <c r="CF36" s="120">
        <f t="shared" si="26"/>
        <v>0</v>
      </c>
      <c r="CG36" s="120">
        <f t="shared" si="27"/>
        <v>0</v>
      </c>
      <c r="CH36" s="120">
        <f t="shared" si="28"/>
        <v>0</v>
      </c>
      <c r="CI36" s="120">
        <f t="shared" si="29"/>
        <v>0</v>
      </c>
      <c r="CJ36" s="120">
        <f t="shared" si="30"/>
        <v>0</v>
      </c>
      <c r="CK36" s="120">
        <f t="shared" si="31"/>
        <v>0</v>
      </c>
      <c r="CL36" s="120">
        <f t="shared" si="32"/>
        <v>0</v>
      </c>
      <c r="CM36" s="120">
        <f t="shared" si="33"/>
        <v>0</v>
      </c>
      <c r="CN36" s="120">
        <f t="shared" si="34"/>
        <v>0</v>
      </c>
      <c r="CO36" s="120">
        <f t="shared" si="35"/>
        <v>0</v>
      </c>
      <c r="CP36" s="120">
        <f t="shared" si="36"/>
        <v>0</v>
      </c>
      <c r="CQ36" s="120">
        <f t="shared" si="37"/>
        <v>0</v>
      </c>
      <c r="CR36" s="120">
        <f t="shared" si="38"/>
        <v>0</v>
      </c>
      <c r="CS36" s="120">
        <f t="shared" si="39"/>
        <v>0</v>
      </c>
      <c r="CT36" s="120">
        <f t="shared" si="40"/>
        <v>0</v>
      </c>
      <c r="CU36" s="120">
        <f t="shared" si="41"/>
        <v>0</v>
      </c>
      <c r="CV36" s="120">
        <f t="shared" si="42"/>
        <v>0</v>
      </c>
      <c r="CW36" s="120">
        <f t="shared" si="43"/>
        <v>0</v>
      </c>
      <c r="CX36" s="120">
        <f t="shared" si="44"/>
        <v>0</v>
      </c>
      <c r="CY36" s="120">
        <f t="shared" si="45"/>
        <v>0</v>
      </c>
      <c r="CZ36" s="120">
        <f t="shared" si="46"/>
        <v>0</v>
      </c>
      <c r="DA36" s="120">
        <f t="shared" si="47"/>
        <v>0</v>
      </c>
      <c r="DB36" s="120">
        <f t="shared" si="48"/>
        <v>0</v>
      </c>
      <c r="DC36" s="120">
        <f t="shared" si="49"/>
        <v>0</v>
      </c>
      <c r="DD36" s="120">
        <f t="shared" si="50"/>
        <v>0</v>
      </c>
      <c r="DE36" s="120">
        <f t="shared" si="51"/>
        <v>0</v>
      </c>
      <c r="DF36" s="120">
        <f t="shared" si="52"/>
        <v>0</v>
      </c>
      <c r="DG36" s="120">
        <f t="shared" si="53"/>
        <v>0</v>
      </c>
      <c r="DH36" s="120">
        <f t="shared" si="54"/>
        <v>0</v>
      </c>
      <c r="DI36" s="120">
        <f t="shared" si="55"/>
        <v>0</v>
      </c>
      <c r="DJ36" s="120">
        <f t="shared" si="56"/>
        <v>0</v>
      </c>
      <c r="DK36" s="127" t="str">
        <f>IF(D36="",0,IF(ISNUMBER(VALUE(D36)),VALUE(D36),LEFT(D36,FIND(".",D36)-1)))</f>
        <v>4</v>
      </c>
      <c r="DL36" s="127">
        <f ca="1">SUM(DM36:FJ36)</f>
        <v>0</v>
      </c>
      <c r="DM36" s="120">
        <f ca="1">IF($K36&lt;&gt;1,IF(ISNUMBER(INDEX(Import.PLE,$K36,DM$16)),IF(INDEX(Import.PLE,$K36,DM$16)&lt;=mediçao,BM36,0),0),PLE!$AA$28*BM36)</f>
        <v>0</v>
      </c>
      <c r="DN36" s="120">
        <f ca="1">IF($K36&lt;&gt;1,IF(ISNUMBER(INDEX(Import.PLE,$K36,DN$16)),IF(INDEX(Import.PLE,$K36,DN$16)&lt;=mediçao,BN36,0),0),PLE!$AA$28*BN36)</f>
        <v>0</v>
      </c>
      <c r="DO36" s="120">
        <f ca="1">IF($K36&lt;&gt;1,IF(ISNUMBER(INDEX(Import.PLE,$K36,DO$16)),IF(INDEX(Import.PLE,$K36,DO$16)&lt;=mediçao,BO36,0),0),PLE!$AA$28*BO36)</f>
        <v>0</v>
      </c>
      <c r="DP36" s="120">
        <f ca="1">IF($K36&lt;&gt;1,IF(ISNUMBER(INDEX(Import.PLE,$K36,DP$16)),IF(INDEX(Import.PLE,$K36,DP$16)&lt;=mediçao,BP36,0),0),PLE!$AA$28*BP36)</f>
        <v>0</v>
      </c>
      <c r="DQ36" s="120">
        <f ca="1">IF($K36&lt;&gt;1,IF(ISNUMBER(INDEX(Import.PLE,$K36,DQ$16)),IF(INDEX(Import.PLE,$K36,DQ$16)&lt;=mediçao,BQ36,0),0),PLE!$AA$28*BQ36)</f>
        <v>0</v>
      </c>
      <c r="DR36" s="120">
        <f ca="1">IF($K36&lt;&gt;1,IF(ISNUMBER(INDEX(Import.PLE,$K36,DR$16)),IF(INDEX(Import.PLE,$K36,DR$16)&lt;=mediçao,BR36,0),0),PLE!$AA$28*BR36)</f>
        <v>0</v>
      </c>
      <c r="DS36" s="120">
        <f ca="1">IF($K36&lt;&gt;1,IF(ISNUMBER(INDEX(Import.PLE,$K36,DS$16)),IF(INDEX(Import.PLE,$K36,DS$16)&lt;=mediçao,BS36,0),0),PLE!$AA$28*BS36)</f>
        <v>0</v>
      </c>
      <c r="DT36" s="120">
        <f ca="1">IF($K36&lt;&gt;1,IF(ISNUMBER(INDEX(Import.PLE,$K36,DT$16)),IF(INDEX(Import.PLE,$K36,DT$16)&lt;=mediçao,BT36,0),0),PLE!$AA$28*BT36)</f>
        <v>0</v>
      </c>
      <c r="DU36" s="120">
        <f ca="1">IF($K36&lt;&gt;1,IF(ISNUMBER(INDEX(Import.PLE,$K36,DU$16)),IF(INDEX(Import.PLE,$K36,DU$16)&lt;=mediçao,BU36,0),0),PLE!$AA$28*BU36)</f>
        <v>0</v>
      </c>
      <c r="DV36" s="120">
        <f ca="1">IF($K36&lt;&gt;1,IF(ISNUMBER(INDEX(Import.PLE,$K36,DV$16)),IF(INDEX(Import.PLE,$K36,DV$16)&lt;=mediçao,BV36,0),0),PLE!$AA$28*BV36)</f>
        <v>0</v>
      </c>
      <c r="DW36" s="120">
        <f ca="1">IF($K36&lt;&gt;1,IF(ISNUMBER(INDEX(Import.PLE,$K36,DW$16)),IF(INDEX(Import.PLE,$K36,DW$16)&lt;=mediçao,BW36,0),0),PLE!$AA$28*BW36)</f>
        <v>0</v>
      </c>
      <c r="DX36" s="120">
        <f ca="1">IF($K36&lt;&gt;1,IF(ISNUMBER(INDEX(Import.PLE,$K36,DX$16)),IF(INDEX(Import.PLE,$K36,DX$16)&lt;=mediçao,BX36,0),0),PLE!$AA$28*BX36)</f>
        <v>0</v>
      </c>
      <c r="DY36" s="120">
        <f ca="1">IF($K36&lt;&gt;1,IF(ISNUMBER(INDEX(Import.PLE,$K36,DY$16)),IF(INDEX(Import.PLE,$K36,DY$16)&lt;=mediçao,BY36,0),0),PLE!$AA$28*BY36)</f>
        <v>0</v>
      </c>
      <c r="DZ36" s="120">
        <f ca="1">IF($K36&lt;&gt;1,IF(ISNUMBER(INDEX(Import.PLE,$K36,DZ$16)),IF(INDEX(Import.PLE,$K36,DZ$16)&lt;=mediçao,BZ36,0),0),PLE!$AA$28*BZ36)</f>
        <v>0</v>
      </c>
      <c r="EA36" s="120">
        <f ca="1">IF($K36&lt;&gt;1,IF(ISNUMBER(INDEX(Import.PLE,$K36,EA$16)),IF(INDEX(Import.PLE,$K36,EA$16)&lt;=mediçao,CA36,0),0),PLE!$AA$28*CA36)</f>
        <v>0</v>
      </c>
      <c r="EB36" s="120">
        <f ca="1">IF($K36&lt;&gt;1,IF(ISNUMBER(INDEX(Import.PLE,$K36,EB$16)),IF(INDEX(Import.PLE,$K36,EB$16)&lt;=mediçao,CB36,0),0),PLE!$AA$28*CB36)</f>
        <v>0</v>
      </c>
      <c r="EC36" s="120">
        <f ca="1">IF($K36&lt;&gt;1,IF(ISNUMBER(INDEX(Import.PLE,$K36,EC$16)),IF(INDEX(Import.PLE,$K36,EC$16)&lt;=mediçao,CC36,0),0),PLE!$AA$28*CC36)</f>
        <v>0</v>
      </c>
      <c r="ED36" s="120">
        <f ca="1">IF($K36&lt;&gt;1,IF(ISNUMBER(INDEX(Import.PLE,$K36,ED$16)),IF(INDEX(Import.PLE,$K36,ED$16)&lt;=mediçao,CD36,0),0),PLE!$AA$28*CD36)</f>
        <v>0</v>
      </c>
      <c r="EE36" s="120">
        <f ca="1">IF($K36&lt;&gt;1,IF(ISNUMBER(INDEX(Import.PLE,$K36,EE$16)),IF(INDEX(Import.PLE,$K36,EE$16)&lt;=mediçao,CE36,0),0),PLE!$AA$28*CE36)</f>
        <v>0</v>
      </c>
      <c r="EF36" s="120">
        <f ca="1">IF($K36&lt;&gt;1,IF(ISNUMBER(INDEX(Import.PLE,$K36,EF$16)),IF(INDEX(Import.PLE,$K36,EF$16)&lt;=mediçao,CF36,0),0),PLE!$AA$28*CF36)</f>
        <v>0</v>
      </c>
      <c r="EG36" s="120">
        <f ca="1">IF($K36&lt;&gt;1,IF(ISNUMBER(INDEX(Import.PLE,$K36,EG$16)),IF(INDEX(Import.PLE,$K36,EG$16)&lt;=mediçao,CG36,0),0),PLE!$AA$28*CG36)</f>
        <v>0</v>
      </c>
      <c r="EH36" s="120">
        <f ca="1">IF($K36&lt;&gt;1,IF(ISNUMBER(INDEX(Import.PLE,$K36,EH$16)),IF(INDEX(Import.PLE,$K36,EH$16)&lt;=mediçao,CH36,0),0),PLE!$AA$28*CH36)</f>
        <v>0</v>
      </c>
      <c r="EI36" s="120">
        <f ca="1">IF($K36&lt;&gt;1,IF(ISNUMBER(INDEX(Import.PLE,$K36,EI$16)),IF(INDEX(Import.PLE,$K36,EI$16)&lt;=mediçao,CI36,0),0),PLE!$AA$28*CI36)</f>
        <v>0</v>
      </c>
      <c r="EJ36" s="120">
        <f ca="1">IF($K36&lt;&gt;1,IF(ISNUMBER(INDEX(Import.PLE,$K36,EJ$16)),IF(INDEX(Import.PLE,$K36,EJ$16)&lt;=mediçao,CJ36,0),0),PLE!$AA$28*CJ36)</f>
        <v>0</v>
      </c>
      <c r="EK36" s="120">
        <f ca="1">IF($K36&lt;&gt;1,IF(ISNUMBER(INDEX(Import.PLE,$K36,EK$16)),IF(INDEX(Import.PLE,$K36,EK$16)&lt;=mediçao,CK36,0),0),PLE!$AA$28*CK36)</f>
        <v>0</v>
      </c>
      <c r="EL36" s="120">
        <f ca="1">IF($K36&lt;&gt;1,IF(ISNUMBER(INDEX(Import.PLE,$K36,EL$16)),IF(INDEX(Import.PLE,$K36,EL$16)&lt;=mediçao,CL36,0),0),PLE!$AA$28*CL36)</f>
        <v>0</v>
      </c>
      <c r="EM36" s="120">
        <f ca="1">IF($K36&lt;&gt;1,IF(ISNUMBER(INDEX(Import.PLE,$K36,EM$16)),IF(INDEX(Import.PLE,$K36,EM$16)&lt;=mediçao,CM36,0),0),PLE!$AA$28*CM36)</f>
        <v>0</v>
      </c>
      <c r="EN36" s="120">
        <f ca="1">IF($K36&lt;&gt;1,IF(ISNUMBER(INDEX(Import.PLE,$K36,EN$16)),IF(INDEX(Import.PLE,$K36,EN$16)&lt;=mediçao,CN36,0),0),PLE!$AA$28*CN36)</f>
        <v>0</v>
      </c>
      <c r="EO36" s="120">
        <f ca="1">IF($K36&lt;&gt;1,IF(ISNUMBER(INDEX(Import.PLE,$K36,EO$16)),IF(INDEX(Import.PLE,$K36,EO$16)&lt;=mediçao,CO36,0),0),PLE!$AA$28*CO36)</f>
        <v>0</v>
      </c>
      <c r="EP36" s="120">
        <f ca="1">IF($K36&lt;&gt;1,IF(ISNUMBER(INDEX(Import.PLE,$K36,EP$16)),IF(INDEX(Import.PLE,$K36,EP$16)&lt;=mediçao,CP36,0),0),PLE!$AA$28*CP36)</f>
        <v>0</v>
      </c>
      <c r="EQ36" s="120">
        <f ca="1">IF($K36&lt;&gt;1,IF(ISNUMBER(INDEX(Import.PLE,$K36,EQ$16)),IF(INDEX(Import.PLE,$K36,EQ$16)&lt;=mediçao,CQ36,0),0),PLE!$AA$28*CQ36)</f>
        <v>0</v>
      </c>
      <c r="ER36" s="120">
        <f ca="1">IF($K36&lt;&gt;1,IF(ISNUMBER(INDEX(Import.PLE,$K36,ER$16)),IF(INDEX(Import.PLE,$K36,ER$16)&lt;=mediçao,CR36,0),0),PLE!$AA$28*CR36)</f>
        <v>0</v>
      </c>
      <c r="ES36" s="120">
        <f ca="1">IF($K36&lt;&gt;1,IF(ISNUMBER(INDEX(Import.PLE,$K36,ES$16)),IF(INDEX(Import.PLE,$K36,ES$16)&lt;=mediçao,CS36,0),0),PLE!$AA$28*CS36)</f>
        <v>0</v>
      </c>
      <c r="ET36" s="120">
        <f ca="1">IF($K36&lt;&gt;1,IF(ISNUMBER(INDEX(Import.PLE,$K36,ET$16)),IF(INDEX(Import.PLE,$K36,ET$16)&lt;=mediçao,CT36,0),0),PLE!$AA$28*CT36)</f>
        <v>0</v>
      </c>
      <c r="EU36" s="120">
        <f ca="1">IF($K36&lt;&gt;1,IF(ISNUMBER(INDEX(Import.PLE,$K36,EU$16)),IF(INDEX(Import.PLE,$K36,EU$16)&lt;=mediçao,CU36,0),0),PLE!$AA$28*CU36)</f>
        <v>0</v>
      </c>
      <c r="EV36" s="120">
        <f ca="1">IF($K36&lt;&gt;1,IF(ISNUMBER(INDEX(Import.PLE,$K36,EV$16)),IF(INDEX(Import.PLE,$K36,EV$16)&lt;=mediçao,CV36,0),0),PLE!$AA$28*CV36)</f>
        <v>0</v>
      </c>
      <c r="EW36" s="120">
        <f ca="1">IF($K36&lt;&gt;1,IF(ISNUMBER(INDEX(Import.PLE,$K36,EW$16)),IF(INDEX(Import.PLE,$K36,EW$16)&lt;=mediçao,CW36,0),0),PLE!$AA$28*CW36)</f>
        <v>0</v>
      </c>
      <c r="EX36" s="120">
        <f ca="1">IF($K36&lt;&gt;1,IF(ISNUMBER(INDEX(Import.PLE,$K36,EX$16)),IF(INDEX(Import.PLE,$K36,EX$16)&lt;=mediçao,CX36,0),0),PLE!$AA$28*CX36)</f>
        <v>0</v>
      </c>
      <c r="EY36" s="120">
        <f ca="1">IF($K36&lt;&gt;1,IF(ISNUMBER(INDEX(Import.PLE,$K36,EY$16)),IF(INDEX(Import.PLE,$K36,EY$16)&lt;=mediçao,CY36,0),0),PLE!$AA$28*CY36)</f>
        <v>0</v>
      </c>
      <c r="EZ36" s="120">
        <f ca="1">IF($K36&lt;&gt;1,IF(ISNUMBER(INDEX(Import.PLE,$K36,EZ$16)),IF(INDEX(Import.PLE,$K36,EZ$16)&lt;=mediçao,CZ36,0),0),PLE!$AA$28*CZ36)</f>
        <v>0</v>
      </c>
      <c r="FA36" s="120">
        <f ca="1">IF($K36&lt;&gt;1,IF(ISNUMBER(INDEX(Import.PLE,$K36,FA$16)),IF(INDEX(Import.PLE,$K36,FA$16)&lt;=mediçao,DA36,0),0),PLE!$AA$28*DA36)</f>
        <v>0</v>
      </c>
      <c r="FB36" s="120">
        <f ca="1">IF($K36&lt;&gt;1,IF(ISNUMBER(INDEX(Import.PLE,$K36,FB$16)),IF(INDEX(Import.PLE,$K36,FB$16)&lt;=mediçao,DB36,0),0),PLE!$AA$28*DB36)</f>
        <v>0</v>
      </c>
      <c r="FC36" s="120">
        <f ca="1">IF($K36&lt;&gt;1,IF(ISNUMBER(INDEX(Import.PLE,$K36,FC$16)),IF(INDEX(Import.PLE,$K36,FC$16)&lt;=mediçao,DC36,0),0),PLE!$AA$28*DC36)</f>
        <v>0</v>
      </c>
      <c r="FD36" s="120">
        <f ca="1">IF($K36&lt;&gt;1,IF(ISNUMBER(INDEX(Import.PLE,$K36,FD$16)),IF(INDEX(Import.PLE,$K36,FD$16)&lt;=mediçao,DD36,0),0),PLE!$AA$28*DD36)</f>
        <v>0</v>
      </c>
      <c r="FE36" s="120">
        <f ca="1">IF($K36&lt;&gt;1,IF(ISNUMBER(INDEX(Import.PLE,$K36,FE$16)),IF(INDEX(Import.PLE,$K36,FE$16)&lt;=mediçao,DE36,0),0),PLE!$AA$28*DE36)</f>
        <v>0</v>
      </c>
      <c r="FF36" s="120">
        <f ca="1">IF($K36&lt;&gt;1,IF(ISNUMBER(INDEX(Import.PLE,$K36,FF$16)),IF(INDEX(Import.PLE,$K36,FF$16)&lt;=mediçao,DF36,0),0),PLE!$AA$28*DF36)</f>
        <v>0</v>
      </c>
      <c r="FG36" s="120">
        <f ca="1">IF($K36&lt;&gt;1,IF(ISNUMBER(INDEX(Import.PLE,$K36,FG$16)),IF(INDEX(Import.PLE,$K36,FG$16)&lt;=mediçao,DG36,0),0),PLE!$AA$28*DG36)</f>
        <v>0</v>
      </c>
      <c r="FH36" s="120">
        <f ca="1">IF($K36&lt;&gt;1,IF(ISNUMBER(INDEX(Import.PLE,$K36,FH$16)),IF(INDEX(Import.PLE,$K36,FH$16)&lt;=mediçao,DH36,0),0),PLE!$AA$28*DH36)</f>
        <v>0</v>
      </c>
      <c r="FI36" s="120">
        <f ca="1">IF($K36&lt;&gt;1,IF(ISNUMBER(INDEX(Import.PLE,$K36,FI$16)),IF(INDEX(Import.PLE,$K36,FI$16)&lt;=mediçao,DI36,0),0),PLE!$AA$28*DI36)</f>
        <v>0</v>
      </c>
      <c r="FJ36" s="120">
        <f ca="1">IF($K36&lt;&gt;1,IF(ISNUMBER(INDEX(Import.PLE,$K36,FJ$16)),IF(INDEX(Import.PLE,$K36,FJ$16)&lt;=mediçao,DJ36,0),0),PLE!$AA$28*DJ36)</f>
        <v>0</v>
      </c>
    </row>
    <row r="37" spans="2:166" s="88" customFormat="1" ht="15" hidden="1" x14ac:dyDescent="0.25">
      <c r="B37" s="119">
        <f t="shared" ca="1" si="3"/>
        <v>20</v>
      </c>
      <c r="C37" s="83" t="s">
        <v>2</v>
      </c>
      <c r="D37" s="121" t="s">
        <v>2</v>
      </c>
      <c r="E37" s="122" t="str">
        <f ca="1">INDEX(Eventos,K37,2)</f>
        <v>Administração Local</v>
      </c>
      <c r="F37" s="123" t="s">
        <v>11</v>
      </c>
      <c r="G37" s="84" t="str">
        <f t="shared" si="5"/>
        <v/>
      </c>
      <c r="H37" s="85" t="str">
        <f>IF(AND(ISNUMBER(G37),G37&lt;&gt;0),I37/G37,IF(G37=0,0,""))</f>
        <v/>
      </c>
      <c r="I37" s="85">
        <f ca="1">SUM(N37:BK37)</f>
        <v>0</v>
      </c>
      <c r="J37" s="86"/>
      <c r="K37" s="169">
        <f ca="1">INDEX(Eventos,ROW(Nível)-ROW(LForçamento),1)</f>
        <v>1</v>
      </c>
      <c r="L37" s="118" t="str">
        <f ca="1">IF(AND(NumEvento&lt;&gt;"",Nível="Serviço"),INDEX(Eventos,NumEvento,2),"")</f>
        <v/>
      </c>
      <c r="M37" s="87"/>
      <c r="N37" s="120">
        <f t="shared" ref="N37:W40" ca="1" si="59">IF(N$15="",0,SUMIF(Import.numEventos,$K37,OFFSET(PreçoServiçoPorFrente,0,N$16-1,,1)))</f>
        <v>0</v>
      </c>
      <c r="O37" s="120">
        <f t="shared" ca="1" si="59"/>
        <v>0</v>
      </c>
      <c r="P37" s="120">
        <f t="shared" ca="1" si="59"/>
        <v>0</v>
      </c>
      <c r="Q37" s="120">
        <f t="shared" ca="1" si="59"/>
        <v>0</v>
      </c>
      <c r="R37" s="120">
        <f t="shared" ca="1" si="59"/>
        <v>0</v>
      </c>
      <c r="S37" s="120">
        <f t="shared" ca="1" si="59"/>
        <v>0</v>
      </c>
      <c r="T37" s="120">
        <f t="shared" ca="1" si="59"/>
        <v>0</v>
      </c>
      <c r="U37" s="120">
        <f t="shared" ca="1" si="59"/>
        <v>0</v>
      </c>
      <c r="V37" s="120">
        <f t="shared" ca="1" si="59"/>
        <v>0</v>
      </c>
      <c r="W37" s="120">
        <f t="shared" ca="1" si="59"/>
        <v>0</v>
      </c>
      <c r="X37" s="120">
        <f t="shared" ref="X37:AG40" ca="1" si="60">IF(X$15="",0,SUMIF(Import.numEventos,$K37,OFFSET(PreçoServiçoPorFrente,0,X$16-1,,1)))</f>
        <v>0</v>
      </c>
      <c r="Y37" s="120">
        <f t="shared" ca="1" si="60"/>
        <v>0</v>
      </c>
      <c r="Z37" s="120">
        <f t="shared" ca="1" si="60"/>
        <v>0</v>
      </c>
      <c r="AA37" s="120">
        <f t="shared" ca="1" si="60"/>
        <v>0</v>
      </c>
      <c r="AB37" s="120">
        <f t="shared" ca="1" si="60"/>
        <v>0</v>
      </c>
      <c r="AC37" s="120">
        <f t="shared" ca="1" si="60"/>
        <v>0</v>
      </c>
      <c r="AD37" s="120">
        <f t="shared" ca="1" si="60"/>
        <v>0</v>
      </c>
      <c r="AE37" s="120">
        <f t="shared" ca="1" si="60"/>
        <v>0</v>
      </c>
      <c r="AF37" s="120">
        <f t="shared" ca="1" si="60"/>
        <v>0</v>
      </c>
      <c r="AG37" s="120">
        <f t="shared" ca="1" si="60"/>
        <v>0</v>
      </c>
      <c r="AH37" s="120">
        <f t="shared" ref="AH37:AQ40" ca="1" si="61">IF(AH$15="",0,SUMIF(Import.numEventos,$K37,OFFSET(PreçoServiçoPorFrente,0,AH$16-1,,1)))</f>
        <v>0</v>
      </c>
      <c r="AI37" s="120">
        <f t="shared" ca="1" si="61"/>
        <v>0</v>
      </c>
      <c r="AJ37" s="120">
        <f t="shared" ca="1" si="61"/>
        <v>0</v>
      </c>
      <c r="AK37" s="120">
        <f t="shared" ca="1" si="61"/>
        <v>0</v>
      </c>
      <c r="AL37" s="120">
        <f t="shared" ca="1" si="61"/>
        <v>0</v>
      </c>
      <c r="AM37" s="120">
        <f t="shared" ca="1" si="61"/>
        <v>0</v>
      </c>
      <c r="AN37" s="120">
        <f t="shared" ca="1" si="61"/>
        <v>0</v>
      </c>
      <c r="AO37" s="120">
        <f t="shared" ca="1" si="61"/>
        <v>0</v>
      </c>
      <c r="AP37" s="120">
        <f t="shared" ca="1" si="61"/>
        <v>0</v>
      </c>
      <c r="AQ37" s="120">
        <f t="shared" ca="1" si="61"/>
        <v>0</v>
      </c>
      <c r="AR37" s="120">
        <f t="shared" ref="AR37:BA40" ca="1" si="62">IF(AR$15="",0,SUMIF(Import.numEventos,$K37,OFFSET(PreçoServiçoPorFrente,0,AR$16-1,,1)))</f>
        <v>0</v>
      </c>
      <c r="AS37" s="120">
        <f t="shared" ca="1" si="62"/>
        <v>0</v>
      </c>
      <c r="AT37" s="120">
        <f t="shared" ca="1" si="62"/>
        <v>0</v>
      </c>
      <c r="AU37" s="120">
        <f t="shared" ca="1" si="62"/>
        <v>0</v>
      </c>
      <c r="AV37" s="120">
        <f t="shared" ca="1" si="62"/>
        <v>0</v>
      </c>
      <c r="AW37" s="120">
        <f t="shared" ca="1" si="62"/>
        <v>0</v>
      </c>
      <c r="AX37" s="120">
        <f t="shared" ca="1" si="62"/>
        <v>0</v>
      </c>
      <c r="AY37" s="120">
        <f t="shared" ca="1" si="62"/>
        <v>0</v>
      </c>
      <c r="AZ37" s="120">
        <f t="shared" ca="1" si="62"/>
        <v>0</v>
      </c>
      <c r="BA37" s="120">
        <f t="shared" ca="1" si="62"/>
        <v>0</v>
      </c>
      <c r="BB37" s="120">
        <f t="shared" ref="BB37:BK40" ca="1" si="63">IF(BB$15="",0,SUMIF(Import.numEventos,$K37,OFFSET(PreçoServiçoPorFrente,0,BB$16-1,,1)))</f>
        <v>0</v>
      </c>
      <c r="BC37" s="120">
        <f t="shared" ca="1" si="63"/>
        <v>0</v>
      </c>
      <c r="BD37" s="120">
        <f t="shared" ca="1" si="63"/>
        <v>0</v>
      </c>
      <c r="BE37" s="120">
        <f t="shared" ca="1" si="63"/>
        <v>0</v>
      </c>
      <c r="BF37" s="120">
        <f t="shared" ca="1" si="63"/>
        <v>0</v>
      </c>
      <c r="BG37" s="120">
        <f t="shared" ca="1" si="63"/>
        <v>0</v>
      </c>
      <c r="BH37" s="120">
        <f t="shared" ca="1" si="63"/>
        <v>0</v>
      </c>
      <c r="BI37" s="120">
        <f t="shared" ca="1" si="63"/>
        <v>0</v>
      </c>
      <c r="BJ37" s="120">
        <f t="shared" ca="1" si="63"/>
        <v>0</v>
      </c>
      <c r="BK37" s="120">
        <f t="shared" ca="1" si="63"/>
        <v>0</v>
      </c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</row>
    <row r="38" spans="2:166" s="88" customFormat="1" ht="15" hidden="1" x14ac:dyDescent="0.25">
      <c r="B38" s="119">
        <f t="shared" ca="1" si="3"/>
        <v>21</v>
      </c>
      <c r="C38" s="83" t="s">
        <v>2</v>
      </c>
      <c r="D38" s="121" t="s">
        <v>2</v>
      </c>
      <c r="E38" s="122" t="str">
        <f ca="1">INDEX(Eventos,K38,2)</f>
        <v>PAVIMENTAÇÃO</v>
      </c>
      <c r="F38" s="123" t="s">
        <v>11</v>
      </c>
      <c r="G38" s="84" t="str">
        <f t="shared" si="5"/>
        <v/>
      </c>
      <c r="H38" s="85" t="str">
        <f>IF(AND(ISNUMBER(G38),G38&lt;&gt;0),I38/G38,IF(G38=0,0,""))</f>
        <v/>
      </c>
      <c r="I38" s="85">
        <f ca="1">SUM(N38:BK38)</f>
        <v>615269.24</v>
      </c>
      <c r="J38" s="86"/>
      <c r="K38" s="169">
        <f ca="1">INDEX(Eventos,ROW(Nível)-ROW(LForçamento),1)</f>
        <v>2</v>
      </c>
      <c r="L38" s="118" t="str">
        <f ca="1">IF(AND(NumEvento&lt;&gt;"",Nível="Serviço"),INDEX(Eventos,NumEvento,2),"")</f>
        <v/>
      </c>
      <c r="M38" s="87"/>
      <c r="N38" s="120">
        <f t="shared" ca="1" si="59"/>
        <v>127606.92826723182</v>
      </c>
      <c r="O38" s="120">
        <f t="shared" ca="1" si="59"/>
        <v>52187.484392814898</v>
      </c>
      <c r="P38" s="120">
        <f t="shared" ca="1" si="59"/>
        <v>82542.48766674161</v>
      </c>
      <c r="Q38" s="120">
        <f t="shared" ca="1" si="59"/>
        <v>119094.94603201064</v>
      </c>
      <c r="R38" s="120">
        <f t="shared" ca="1" si="59"/>
        <v>44801.922866560169</v>
      </c>
      <c r="S38" s="120">
        <f t="shared" ca="1" si="59"/>
        <v>84346.677247393411</v>
      </c>
      <c r="T38" s="120">
        <f t="shared" ca="1" si="59"/>
        <v>59981.004189717496</v>
      </c>
      <c r="U38" s="120">
        <f t="shared" ca="1" si="59"/>
        <v>44707.789337529925</v>
      </c>
      <c r="V38" s="120">
        <f t="shared" ca="1" si="59"/>
        <v>0</v>
      </c>
      <c r="W38" s="120">
        <f t="shared" ca="1" si="59"/>
        <v>0</v>
      </c>
      <c r="X38" s="120">
        <f t="shared" ca="1" si="60"/>
        <v>0</v>
      </c>
      <c r="Y38" s="120">
        <f t="shared" ca="1" si="60"/>
        <v>0</v>
      </c>
      <c r="Z38" s="120">
        <f t="shared" ca="1" si="60"/>
        <v>0</v>
      </c>
      <c r="AA38" s="120">
        <f t="shared" ca="1" si="60"/>
        <v>0</v>
      </c>
      <c r="AB38" s="120">
        <f t="shared" ca="1" si="60"/>
        <v>0</v>
      </c>
      <c r="AC38" s="120">
        <f t="shared" ca="1" si="60"/>
        <v>0</v>
      </c>
      <c r="AD38" s="120">
        <f t="shared" ca="1" si="60"/>
        <v>0</v>
      </c>
      <c r="AE38" s="120">
        <f t="shared" ca="1" si="60"/>
        <v>0</v>
      </c>
      <c r="AF38" s="120">
        <f t="shared" ca="1" si="60"/>
        <v>0</v>
      </c>
      <c r="AG38" s="120">
        <f t="shared" ca="1" si="60"/>
        <v>0</v>
      </c>
      <c r="AH38" s="120">
        <f t="shared" ca="1" si="61"/>
        <v>0</v>
      </c>
      <c r="AI38" s="120">
        <f t="shared" ca="1" si="61"/>
        <v>0</v>
      </c>
      <c r="AJ38" s="120">
        <f t="shared" ca="1" si="61"/>
        <v>0</v>
      </c>
      <c r="AK38" s="120">
        <f t="shared" ca="1" si="61"/>
        <v>0</v>
      </c>
      <c r="AL38" s="120">
        <f t="shared" ca="1" si="61"/>
        <v>0</v>
      </c>
      <c r="AM38" s="120">
        <f t="shared" ca="1" si="61"/>
        <v>0</v>
      </c>
      <c r="AN38" s="120">
        <f t="shared" ca="1" si="61"/>
        <v>0</v>
      </c>
      <c r="AO38" s="120">
        <f t="shared" ca="1" si="61"/>
        <v>0</v>
      </c>
      <c r="AP38" s="120">
        <f t="shared" ca="1" si="61"/>
        <v>0</v>
      </c>
      <c r="AQ38" s="120">
        <f t="shared" ca="1" si="61"/>
        <v>0</v>
      </c>
      <c r="AR38" s="120">
        <f t="shared" ca="1" si="62"/>
        <v>0</v>
      </c>
      <c r="AS38" s="120">
        <f t="shared" ca="1" si="62"/>
        <v>0</v>
      </c>
      <c r="AT38" s="120">
        <f t="shared" ca="1" si="62"/>
        <v>0</v>
      </c>
      <c r="AU38" s="120">
        <f t="shared" ca="1" si="62"/>
        <v>0</v>
      </c>
      <c r="AV38" s="120">
        <f t="shared" ca="1" si="62"/>
        <v>0</v>
      </c>
      <c r="AW38" s="120">
        <f t="shared" ca="1" si="62"/>
        <v>0</v>
      </c>
      <c r="AX38" s="120">
        <f t="shared" ca="1" si="62"/>
        <v>0</v>
      </c>
      <c r="AY38" s="120">
        <f t="shared" ca="1" si="62"/>
        <v>0</v>
      </c>
      <c r="AZ38" s="120">
        <f t="shared" ca="1" si="62"/>
        <v>0</v>
      </c>
      <c r="BA38" s="120">
        <f t="shared" ca="1" si="62"/>
        <v>0</v>
      </c>
      <c r="BB38" s="120">
        <f t="shared" ca="1" si="63"/>
        <v>0</v>
      </c>
      <c r="BC38" s="120">
        <f t="shared" ca="1" si="63"/>
        <v>0</v>
      </c>
      <c r="BD38" s="120">
        <f t="shared" ca="1" si="63"/>
        <v>0</v>
      </c>
      <c r="BE38" s="120">
        <f t="shared" ca="1" si="63"/>
        <v>0</v>
      </c>
      <c r="BF38" s="120">
        <f t="shared" ca="1" si="63"/>
        <v>0</v>
      </c>
      <c r="BG38" s="120">
        <f t="shared" ca="1" si="63"/>
        <v>0</v>
      </c>
      <c r="BH38" s="120">
        <f t="shared" ca="1" si="63"/>
        <v>0</v>
      </c>
      <c r="BI38" s="120">
        <f t="shared" ca="1" si="63"/>
        <v>0</v>
      </c>
      <c r="BJ38" s="120">
        <f t="shared" ca="1" si="63"/>
        <v>0</v>
      </c>
      <c r="BK38" s="120">
        <f t="shared" ca="1" si="63"/>
        <v>0</v>
      </c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</row>
    <row r="39" spans="2:166" s="88" customFormat="1" ht="15" hidden="1" x14ac:dyDescent="0.25">
      <c r="B39" s="119">
        <f t="shared" ca="1" si="3"/>
        <v>22</v>
      </c>
      <c r="C39" s="83" t="s">
        <v>2</v>
      </c>
      <c r="D39" s="121" t="s">
        <v>2</v>
      </c>
      <c r="E39" s="122" t="str">
        <f ca="1">INDEX(Eventos,K39,2)</f>
        <v>CALÇADAS E RAMPAS</v>
      </c>
      <c r="F39" s="123" t="s">
        <v>11</v>
      </c>
      <c r="G39" s="84" t="str">
        <f t="shared" si="5"/>
        <v/>
      </c>
      <c r="H39" s="85" t="str">
        <f>IF(AND(ISNUMBER(G39),G39&lt;&gt;0),I39/G39,IF(G39=0,0,""))</f>
        <v/>
      </c>
      <c r="I39" s="85">
        <f ca="1">SUM(N39:BK39)</f>
        <v>163338.89000000004</v>
      </c>
      <c r="J39" s="86"/>
      <c r="K39" s="169">
        <f ca="1">INDEX(Eventos,ROW(Nível)-ROW(LForçamento),1)</f>
        <v>3</v>
      </c>
      <c r="L39" s="118" t="str">
        <f ca="1">IF(AND(NumEvento&lt;&gt;"",Nível="Serviço"),INDEX(Eventos,NumEvento,2),"")</f>
        <v/>
      </c>
      <c r="M39" s="87"/>
      <c r="N39" s="120">
        <f t="shared" ca="1" si="59"/>
        <v>29855.215592766002</v>
      </c>
      <c r="O39" s="120">
        <f t="shared" ca="1" si="59"/>
        <v>14892.38917065161</v>
      </c>
      <c r="P39" s="120">
        <f t="shared" ca="1" si="59"/>
        <v>20918.748260780325</v>
      </c>
      <c r="Q39" s="120">
        <f t="shared" ca="1" si="59"/>
        <v>33719.604419150812</v>
      </c>
      <c r="R39" s="120">
        <f t="shared" ca="1" si="59"/>
        <v>12053.397873882619</v>
      </c>
      <c r="S39" s="120">
        <f t="shared" ca="1" si="59"/>
        <v>22525.570531685567</v>
      </c>
      <c r="T39" s="120">
        <f t="shared" ca="1" si="59"/>
        <v>16508.355665639472</v>
      </c>
      <c r="U39" s="120">
        <f t="shared" ca="1" si="59"/>
        <v>12865.60848544361</v>
      </c>
      <c r="V39" s="120">
        <f t="shared" ca="1" si="59"/>
        <v>0</v>
      </c>
      <c r="W39" s="120">
        <f t="shared" ca="1" si="59"/>
        <v>0</v>
      </c>
      <c r="X39" s="120">
        <f t="shared" ca="1" si="60"/>
        <v>0</v>
      </c>
      <c r="Y39" s="120">
        <f t="shared" ca="1" si="60"/>
        <v>0</v>
      </c>
      <c r="Z39" s="120">
        <f t="shared" ca="1" si="60"/>
        <v>0</v>
      </c>
      <c r="AA39" s="120">
        <f t="shared" ca="1" si="60"/>
        <v>0</v>
      </c>
      <c r="AB39" s="120">
        <f t="shared" ca="1" si="60"/>
        <v>0</v>
      </c>
      <c r="AC39" s="120">
        <f t="shared" ca="1" si="60"/>
        <v>0</v>
      </c>
      <c r="AD39" s="120">
        <f t="shared" ca="1" si="60"/>
        <v>0</v>
      </c>
      <c r="AE39" s="120">
        <f t="shared" ca="1" si="60"/>
        <v>0</v>
      </c>
      <c r="AF39" s="120">
        <f t="shared" ca="1" si="60"/>
        <v>0</v>
      </c>
      <c r="AG39" s="120">
        <f t="shared" ca="1" si="60"/>
        <v>0</v>
      </c>
      <c r="AH39" s="120">
        <f t="shared" ca="1" si="61"/>
        <v>0</v>
      </c>
      <c r="AI39" s="120">
        <f t="shared" ca="1" si="61"/>
        <v>0</v>
      </c>
      <c r="AJ39" s="120">
        <f t="shared" ca="1" si="61"/>
        <v>0</v>
      </c>
      <c r="AK39" s="120">
        <f t="shared" ca="1" si="61"/>
        <v>0</v>
      </c>
      <c r="AL39" s="120">
        <f t="shared" ca="1" si="61"/>
        <v>0</v>
      </c>
      <c r="AM39" s="120">
        <f t="shared" ca="1" si="61"/>
        <v>0</v>
      </c>
      <c r="AN39" s="120">
        <f t="shared" ca="1" si="61"/>
        <v>0</v>
      </c>
      <c r="AO39" s="120">
        <f t="shared" ca="1" si="61"/>
        <v>0</v>
      </c>
      <c r="AP39" s="120">
        <f t="shared" ca="1" si="61"/>
        <v>0</v>
      </c>
      <c r="AQ39" s="120">
        <f t="shared" ca="1" si="61"/>
        <v>0</v>
      </c>
      <c r="AR39" s="120">
        <f t="shared" ca="1" si="62"/>
        <v>0</v>
      </c>
      <c r="AS39" s="120">
        <f t="shared" ca="1" si="62"/>
        <v>0</v>
      </c>
      <c r="AT39" s="120">
        <f t="shared" ca="1" si="62"/>
        <v>0</v>
      </c>
      <c r="AU39" s="120">
        <f t="shared" ca="1" si="62"/>
        <v>0</v>
      </c>
      <c r="AV39" s="120">
        <f t="shared" ca="1" si="62"/>
        <v>0</v>
      </c>
      <c r="AW39" s="120">
        <f t="shared" ca="1" si="62"/>
        <v>0</v>
      </c>
      <c r="AX39" s="120">
        <f t="shared" ca="1" si="62"/>
        <v>0</v>
      </c>
      <c r="AY39" s="120">
        <f t="shared" ca="1" si="62"/>
        <v>0</v>
      </c>
      <c r="AZ39" s="120">
        <f t="shared" ca="1" si="62"/>
        <v>0</v>
      </c>
      <c r="BA39" s="120">
        <f t="shared" ca="1" si="62"/>
        <v>0</v>
      </c>
      <c r="BB39" s="120">
        <f t="shared" ca="1" si="63"/>
        <v>0</v>
      </c>
      <c r="BC39" s="120">
        <f t="shared" ca="1" si="63"/>
        <v>0</v>
      </c>
      <c r="BD39" s="120">
        <f t="shared" ca="1" si="63"/>
        <v>0</v>
      </c>
      <c r="BE39" s="120">
        <f t="shared" ca="1" si="63"/>
        <v>0</v>
      </c>
      <c r="BF39" s="120">
        <f t="shared" ca="1" si="63"/>
        <v>0</v>
      </c>
      <c r="BG39" s="120">
        <f t="shared" ca="1" si="63"/>
        <v>0</v>
      </c>
      <c r="BH39" s="120">
        <f t="shared" ca="1" si="63"/>
        <v>0</v>
      </c>
      <c r="BI39" s="120">
        <f t="shared" ca="1" si="63"/>
        <v>0</v>
      </c>
      <c r="BJ39" s="120">
        <f t="shared" ca="1" si="63"/>
        <v>0</v>
      </c>
      <c r="BK39" s="120">
        <f t="shared" ca="1" si="63"/>
        <v>0</v>
      </c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</row>
    <row r="40" spans="2:166" s="88" customFormat="1" ht="15" hidden="1" x14ac:dyDescent="0.25">
      <c r="B40" s="119">
        <f t="shared" ca="1" si="3"/>
        <v>23</v>
      </c>
      <c r="C40" s="83" t="s">
        <v>2</v>
      </c>
      <c r="D40" s="121" t="s">
        <v>2</v>
      </c>
      <c r="E40" s="122" t="str">
        <f ca="1">INDEX(Eventos,K40,2)</f>
        <v>SINALIZAÇÃO E SERVIÇOS FINAIS</v>
      </c>
      <c r="F40" s="123" t="s">
        <v>11</v>
      </c>
      <c r="G40" s="84" t="str">
        <f t="shared" ref="G40" si="64">IF(Nível="Serviço",SUMIF($N$15:$BK$15,"&lt;&gt;"&amp;"",N40:BK40),"")</f>
        <v/>
      </c>
      <c r="H40" s="85" t="str">
        <f>IF(AND(ISNUMBER(G40),G40&lt;&gt;0),I40/G40,IF(G40=0,0,""))</f>
        <v/>
      </c>
      <c r="I40" s="85">
        <f ca="1">SUM(N40:BK40)</f>
        <v>19364.079999999998</v>
      </c>
      <c r="J40" s="86"/>
      <c r="K40" s="169">
        <f ca="1">INDEX(Eventos,ROW(Nível)-ROW(LForçamento),1)</f>
        <v>4</v>
      </c>
      <c r="L40" s="118" t="str">
        <f ca="1">IF(AND(NumEvento&lt;&gt;"",Nível="Serviço"),INDEX(Eventos,NumEvento,2),"")</f>
        <v/>
      </c>
      <c r="M40" s="87"/>
      <c r="N40" s="120">
        <f t="shared" ca="1" si="59"/>
        <v>3216.7956998246282</v>
      </c>
      <c r="O40" s="120">
        <f t="shared" ca="1" si="59"/>
        <v>2877.2089565035994</v>
      </c>
      <c r="P40" s="120">
        <f t="shared" ca="1" si="59"/>
        <v>2000.1299688149684</v>
      </c>
      <c r="Q40" s="120">
        <f t="shared" ca="1" si="59"/>
        <v>3214.9668788097356</v>
      </c>
      <c r="R40" s="120">
        <f t="shared" ca="1" si="59"/>
        <v>1701.6124974189261</v>
      </c>
      <c r="S40" s="120">
        <f t="shared" ca="1" si="59"/>
        <v>1980.9537392337393</v>
      </c>
      <c r="T40" s="120">
        <f t="shared" ca="1" si="59"/>
        <v>2193.1902099509243</v>
      </c>
      <c r="U40" s="120">
        <f t="shared" ca="1" si="59"/>
        <v>2179.2220494434778</v>
      </c>
      <c r="V40" s="120">
        <f t="shared" ca="1" si="59"/>
        <v>0</v>
      </c>
      <c r="W40" s="120">
        <f t="shared" ca="1" si="59"/>
        <v>0</v>
      </c>
      <c r="X40" s="120">
        <f t="shared" ca="1" si="60"/>
        <v>0</v>
      </c>
      <c r="Y40" s="120">
        <f t="shared" ca="1" si="60"/>
        <v>0</v>
      </c>
      <c r="Z40" s="120">
        <f t="shared" ca="1" si="60"/>
        <v>0</v>
      </c>
      <c r="AA40" s="120">
        <f t="shared" ca="1" si="60"/>
        <v>0</v>
      </c>
      <c r="AB40" s="120">
        <f t="shared" ca="1" si="60"/>
        <v>0</v>
      </c>
      <c r="AC40" s="120">
        <f t="shared" ca="1" si="60"/>
        <v>0</v>
      </c>
      <c r="AD40" s="120">
        <f t="shared" ca="1" si="60"/>
        <v>0</v>
      </c>
      <c r="AE40" s="120">
        <f t="shared" ca="1" si="60"/>
        <v>0</v>
      </c>
      <c r="AF40" s="120">
        <f t="shared" ca="1" si="60"/>
        <v>0</v>
      </c>
      <c r="AG40" s="120">
        <f t="shared" ca="1" si="60"/>
        <v>0</v>
      </c>
      <c r="AH40" s="120">
        <f t="shared" ca="1" si="61"/>
        <v>0</v>
      </c>
      <c r="AI40" s="120">
        <f t="shared" ca="1" si="61"/>
        <v>0</v>
      </c>
      <c r="AJ40" s="120">
        <f t="shared" ca="1" si="61"/>
        <v>0</v>
      </c>
      <c r="AK40" s="120">
        <f t="shared" ca="1" si="61"/>
        <v>0</v>
      </c>
      <c r="AL40" s="120">
        <f t="shared" ca="1" si="61"/>
        <v>0</v>
      </c>
      <c r="AM40" s="120">
        <f t="shared" ca="1" si="61"/>
        <v>0</v>
      </c>
      <c r="AN40" s="120">
        <f t="shared" ca="1" si="61"/>
        <v>0</v>
      </c>
      <c r="AO40" s="120">
        <f t="shared" ca="1" si="61"/>
        <v>0</v>
      </c>
      <c r="AP40" s="120">
        <f t="shared" ca="1" si="61"/>
        <v>0</v>
      </c>
      <c r="AQ40" s="120">
        <f t="shared" ca="1" si="61"/>
        <v>0</v>
      </c>
      <c r="AR40" s="120">
        <f t="shared" ca="1" si="62"/>
        <v>0</v>
      </c>
      <c r="AS40" s="120">
        <f t="shared" ca="1" si="62"/>
        <v>0</v>
      </c>
      <c r="AT40" s="120">
        <f t="shared" ca="1" si="62"/>
        <v>0</v>
      </c>
      <c r="AU40" s="120">
        <f t="shared" ca="1" si="62"/>
        <v>0</v>
      </c>
      <c r="AV40" s="120">
        <f t="shared" ca="1" si="62"/>
        <v>0</v>
      </c>
      <c r="AW40" s="120">
        <f t="shared" ca="1" si="62"/>
        <v>0</v>
      </c>
      <c r="AX40" s="120">
        <f t="shared" ca="1" si="62"/>
        <v>0</v>
      </c>
      <c r="AY40" s="120">
        <f t="shared" ca="1" si="62"/>
        <v>0</v>
      </c>
      <c r="AZ40" s="120">
        <f t="shared" ca="1" si="62"/>
        <v>0</v>
      </c>
      <c r="BA40" s="120">
        <f t="shared" ca="1" si="62"/>
        <v>0</v>
      </c>
      <c r="BB40" s="120">
        <f t="shared" ca="1" si="63"/>
        <v>0</v>
      </c>
      <c r="BC40" s="120">
        <f t="shared" ca="1" si="63"/>
        <v>0</v>
      </c>
      <c r="BD40" s="120">
        <f t="shared" ca="1" si="63"/>
        <v>0</v>
      </c>
      <c r="BE40" s="120">
        <f t="shared" ca="1" si="63"/>
        <v>0</v>
      </c>
      <c r="BF40" s="120">
        <f t="shared" ca="1" si="63"/>
        <v>0</v>
      </c>
      <c r="BG40" s="120">
        <f t="shared" ca="1" si="63"/>
        <v>0</v>
      </c>
      <c r="BH40" s="120">
        <f t="shared" ca="1" si="63"/>
        <v>0</v>
      </c>
      <c r="BI40" s="120">
        <f t="shared" ca="1" si="63"/>
        <v>0</v>
      </c>
      <c r="BJ40" s="120">
        <f t="shared" ca="1" si="63"/>
        <v>0</v>
      </c>
      <c r="BK40" s="120">
        <f t="shared" ca="1" si="63"/>
        <v>0</v>
      </c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</row>
    <row r="41" spans="2:166" ht="33" customHeight="1" x14ac:dyDescent="0.2"/>
    <row r="42" spans="2:166" ht="12" x14ac:dyDescent="0.2">
      <c r="C42" s="222" t="str">
        <f ca="1">Import.Município&amp;", "&amp;TEXT(hoje,"dd")&amp;" de "&amp;TEXT(hoje,"mmmm")&amp;" de "&amp;TEXT(hoje,"aaaa")</f>
        <v>COREMAS/PB, 31 de julho de 2023</v>
      </c>
      <c r="D42" s="222"/>
      <c r="E42" s="222"/>
      <c r="F42" s="89"/>
      <c r="M42" s="57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</row>
    <row r="43" spans="2:166" x14ac:dyDescent="0.2">
      <c r="C43" s="217" t="s">
        <v>43</v>
      </c>
      <c r="D43" s="217"/>
      <c r="E43" s="217"/>
      <c r="O43" s="90" t="s">
        <v>41</v>
      </c>
      <c r="P43" s="217">
        <f>respPLE</f>
        <v>0</v>
      </c>
      <c r="Q43" s="217"/>
      <c r="R43" s="217"/>
      <c r="S43" s="217"/>
      <c r="U43" s="90" t="s">
        <v>41</v>
      </c>
      <c r="V43" s="217">
        <f>respPLE</f>
        <v>0</v>
      </c>
      <c r="W43" s="217"/>
      <c r="X43" s="217"/>
      <c r="Y43" s="217"/>
      <c r="AA43" s="90" t="s">
        <v>41</v>
      </c>
      <c r="AB43" s="217">
        <f>respPLE</f>
        <v>0</v>
      </c>
      <c r="AC43" s="217"/>
      <c r="AD43" s="217"/>
      <c r="AE43" s="217"/>
      <c r="AG43" s="90" t="s">
        <v>41</v>
      </c>
      <c r="AH43" s="217">
        <f>respPLE</f>
        <v>0</v>
      </c>
      <c r="AI43" s="217"/>
      <c r="AJ43" s="217"/>
      <c r="AK43" s="217"/>
      <c r="AM43" s="90" t="s">
        <v>41</v>
      </c>
      <c r="AN43" s="217">
        <f>respPLE</f>
        <v>0</v>
      </c>
      <c r="AO43" s="217"/>
      <c r="AP43" s="217"/>
      <c r="AQ43" s="217"/>
      <c r="AS43" s="90" t="s">
        <v>41</v>
      </c>
      <c r="AT43" s="217">
        <f>respPLE</f>
        <v>0</v>
      </c>
      <c r="AU43" s="217"/>
      <c r="AV43" s="217"/>
      <c r="AW43" s="217"/>
      <c r="AY43" s="90" t="s">
        <v>41</v>
      </c>
      <c r="AZ43" s="217">
        <f>respPLE</f>
        <v>0</v>
      </c>
      <c r="BA43" s="217"/>
      <c r="BB43" s="217"/>
      <c r="BC43" s="217"/>
      <c r="BE43" s="90" t="s">
        <v>41</v>
      </c>
      <c r="BF43" s="217">
        <f>respPLE</f>
        <v>0</v>
      </c>
      <c r="BG43" s="217"/>
      <c r="BH43" s="217"/>
      <c r="BI43" s="217"/>
    </row>
    <row r="44" spans="2:166" x14ac:dyDescent="0.2">
      <c r="O44" s="59" t="s">
        <v>42</v>
      </c>
      <c r="P44" s="218">
        <f>creaPLE</f>
        <v>0</v>
      </c>
      <c r="Q44" s="218"/>
      <c r="R44" s="218"/>
      <c r="S44" s="218"/>
      <c r="U44" s="59" t="s">
        <v>42</v>
      </c>
      <c r="V44" s="218">
        <f>creaPLE</f>
        <v>0</v>
      </c>
      <c r="W44" s="218"/>
      <c r="X44" s="218"/>
      <c r="Y44" s="218"/>
      <c r="AA44" s="59" t="s">
        <v>42</v>
      </c>
      <c r="AB44" s="218">
        <f>creaPLE</f>
        <v>0</v>
      </c>
      <c r="AC44" s="218"/>
      <c r="AD44" s="218"/>
      <c r="AE44" s="218"/>
      <c r="AG44" s="59" t="s">
        <v>42</v>
      </c>
      <c r="AH44" s="218">
        <f>creaPLE</f>
        <v>0</v>
      </c>
      <c r="AI44" s="218"/>
      <c r="AJ44" s="218"/>
      <c r="AK44" s="218"/>
      <c r="AM44" s="59" t="s">
        <v>42</v>
      </c>
      <c r="AN44" s="218">
        <f>creaPLE</f>
        <v>0</v>
      </c>
      <c r="AO44" s="218"/>
      <c r="AP44" s="218"/>
      <c r="AQ44" s="218"/>
      <c r="AS44" s="59" t="s">
        <v>42</v>
      </c>
      <c r="AT44" s="218">
        <f>creaPLE</f>
        <v>0</v>
      </c>
      <c r="AU44" s="218"/>
      <c r="AV44" s="218"/>
      <c r="AW44" s="218"/>
      <c r="AY44" s="59" t="s">
        <v>42</v>
      </c>
      <c r="AZ44" s="218">
        <f>creaPLE</f>
        <v>0</v>
      </c>
      <c r="BA44" s="218"/>
      <c r="BB44" s="218"/>
      <c r="BC44" s="218"/>
      <c r="BE44" s="59" t="s">
        <v>42</v>
      </c>
      <c r="BF44" s="218">
        <f>creaPLE</f>
        <v>0</v>
      </c>
      <c r="BG44" s="218"/>
      <c r="BH44" s="218"/>
      <c r="BI44" s="218"/>
    </row>
    <row r="45" spans="2:166" ht="15" x14ac:dyDescent="0.25">
      <c r="G45"/>
      <c r="H45"/>
      <c r="I45"/>
      <c r="J45"/>
      <c r="K45"/>
      <c r="L45"/>
    </row>
    <row r="46" spans="2:166" customFormat="1" ht="15" x14ac:dyDescent="0.25"/>
    <row r="47" spans="2:166" customFormat="1" ht="15" x14ac:dyDescent="0.25"/>
    <row r="48" spans="2:166" customFormat="1" ht="15" x14ac:dyDescent="0.25"/>
    <row r="49" customFormat="1" ht="15" x14ac:dyDescent="0.25"/>
  </sheetData>
  <sheetProtection algorithmName="SHA-512" hashValue="Rukq3UBFutpESCiyVg1jpn2neRS0eicntoXrkHEDq2nfbpqA+v/7W4c/F5Bu1GM32dUXN4dkPa7+1ZyWL/3YVg==" saltValue="fnsapzMvkeHwd1sPThRA3w==" spinCount="100000" sheet="1" objects="1" scenarios="1"/>
  <mergeCells count="27">
    <mergeCell ref="E4:L4"/>
    <mergeCell ref="AP4:AQ4"/>
    <mergeCell ref="AN43:AQ43"/>
    <mergeCell ref="V44:Y44"/>
    <mergeCell ref="AB44:AE44"/>
    <mergeCell ref="AH44:AK44"/>
    <mergeCell ref="AB43:AE43"/>
    <mergeCell ref="AH43:AK43"/>
    <mergeCell ref="C42:E42"/>
    <mergeCell ref="C43:E43"/>
    <mergeCell ref="BH4:BI4"/>
    <mergeCell ref="R4:S4"/>
    <mergeCell ref="X4:Y4"/>
    <mergeCell ref="AD4:AE4"/>
    <mergeCell ref="AJ4:AK4"/>
    <mergeCell ref="AV4:AW4"/>
    <mergeCell ref="BB4:BC4"/>
    <mergeCell ref="AT43:AW43"/>
    <mergeCell ref="P43:S43"/>
    <mergeCell ref="BF43:BI43"/>
    <mergeCell ref="BF44:BI44"/>
    <mergeCell ref="AN44:AQ44"/>
    <mergeCell ref="AT44:AW44"/>
    <mergeCell ref="AZ44:BC44"/>
    <mergeCell ref="AZ43:BC43"/>
    <mergeCell ref="P44:S44"/>
    <mergeCell ref="V43:Y43"/>
  </mergeCells>
  <phoneticPr fontId="0" type="noConversion"/>
  <conditionalFormatting sqref="C1:H1">
    <cfRule type="expression" dxfId="46" priority="52" stopIfTrue="1">
      <formula>OR(Nível="Meta",Nível="Nível")</formula>
    </cfRule>
  </conditionalFormatting>
  <conditionalFormatting sqref="C18:H36">
    <cfRule type="expression" dxfId="45" priority="3" stopIfTrue="1">
      <formula>OR(Nível="Meta",Nível="Nível")</formula>
    </cfRule>
  </conditionalFormatting>
  <conditionalFormatting sqref="I1 K1:L1">
    <cfRule type="expression" dxfId="44" priority="51" stopIfTrue="1">
      <formula>OR(Nível="Meta",Nível="Nível")</formula>
    </cfRule>
  </conditionalFormatting>
  <conditionalFormatting sqref="I18:I36 K18:L36">
    <cfRule type="expression" dxfId="43" priority="2" stopIfTrue="1">
      <formula>OR(Nível="Meta",Nível="Nível")</formula>
    </cfRule>
  </conditionalFormatting>
  <conditionalFormatting sqref="K37:K40">
    <cfRule type="expression" dxfId="42" priority="30" stopIfTrue="1">
      <formula>OR(Nível="Meta",Nível="Nível")</formula>
    </cfRule>
  </conditionalFormatting>
  <conditionalFormatting sqref="N42:S44">
    <cfRule type="expression" dxfId="41" priority="80" stopIfTrue="1">
      <formula>numFrentes&gt;6</formula>
    </cfRule>
  </conditionalFormatting>
  <conditionalFormatting sqref="N1:BK1">
    <cfRule type="expression" dxfId="40" priority="50" stopIfTrue="1">
      <formula>OR(Nível="Meta",N$15="",Nível="Nível")</formula>
    </cfRule>
  </conditionalFormatting>
  <conditionalFormatting sqref="N15:BK15">
    <cfRule type="expression" dxfId="39" priority="49" stopIfTrue="1">
      <formula>OR(M15&lt;&gt;"",N15&lt;&gt;"",COLUMN(N15)=14)</formula>
    </cfRule>
  </conditionalFormatting>
  <conditionalFormatting sqref="N18:BK36">
    <cfRule type="expression" dxfId="38" priority="1" stopIfTrue="1">
      <formula>OR(Nível="Meta",N$15="",Nível="Nível")</formula>
    </cfRule>
  </conditionalFormatting>
  <conditionalFormatting sqref="T42:Y44">
    <cfRule type="expression" dxfId="37" priority="79" stopIfTrue="1">
      <formula>numFrentes&gt;12</formula>
    </cfRule>
  </conditionalFormatting>
  <conditionalFormatting sqref="Z42:AE44">
    <cfRule type="expression" dxfId="36" priority="78" stopIfTrue="1">
      <formula>numFrentes&gt;18</formula>
    </cfRule>
  </conditionalFormatting>
  <conditionalFormatting sqref="AF42:AK44">
    <cfRule type="expression" dxfId="35" priority="77" stopIfTrue="1">
      <formula>numFrentes&gt;24</formula>
    </cfRule>
  </conditionalFormatting>
  <conditionalFormatting sqref="AL42:AQ44">
    <cfRule type="expression" dxfId="34" priority="76" stopIfTrue="1">
      <formula>numFrentes&gt;30</formula>
    </cfRule>
  </conditionalFormatting>
  <conditionalFormatting sqref="AR42:AW44">
    <cfRule type="expression" dxfId="33" priority="75" stopIfTrue="1">
      <formula>numFrentes&gt;36</formula>
    </cfRule>
  </conditionalFormatting>
  <conditionalFormatting sqref="AX42:BC44">
    <cfRule type="expression" dxfId="32" priority="74" stopIfTrue="1">
      <formula>numFrentes&gt;42</formula>
    </cfRule>
  </conditionalFormatting>
  <dataValidations count="2">
    <dataValidation allowBlank="1" prompt="% de incidência do Serviço da linha na Frente de Obra da coluna." sqref="DM1:FJ2 BM1:DJ2 N1:BK3 N18:BK40 DM18:FJ36 BM18:DJ36" xr:uid="{00000000-0002-0000-0100-000000000000}"/>
    <dataValidation type="list" allowBlank="1" showInputMessage="1" showErrorMessage="1" sqref="L1 L18:L36" xr:uid="{00000000-0002-0000-0100-000001000000}">
      <formula1>OFFSET(TituloEventos,0,0,,1)</formula1>
    </dataValidation>
  </dataValidations>
  <pageMargins left="0.78740157480314998" right="0.78740157480314998" top="0.78740157480314998" bottom="0.78740157480314998" header="0.59055118110236204" footer="0.59055118110236204"/>
  <pageSetup paperSize="9" scale="71" fitToWidth="0" fitToHeight="0" pageOrder="overThenDown" orientation="landscape" horizontalDpi="4294967294" verticalDpi="4294967294" r:id="rId1"/>
  <headerFooter alignWithMargins="0">
    <oddFooter>&amp;R&amp;P&amp;L27.477 v006   micro</oddFooter>
  </headerFooter>
  <rowBreaks count="1" manualBreakCount="1">
    <brk id="44" max="16383" man="1"/>
  </rowBreaks>
  <colBreaks count="8" manualBreakCount="8">
    <brk id="19" max="1048575" man="1"/>
    <brk id="25" max="1048575" man="1"/>
    <brk id="31" max="1048575" man="1"/>
    <brk id="37" max="1048575" man="1"/>
    <brk id="43" max="1048575" man="1"/>
    <brk id="49" max="1048575" man="1"/>
    <brk id="55" max="1048575" man="1"/>
    <brk id="61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0" filterMode="1"/>
  <dimension ref="A1:BJ43"/>
  <sheetViews>
    <sheetView showGridLines="0" topLeftCell="E1" zoomScaleNormal="100" zoomScaleSheetLayoutView="100" workbookViewId="0">
      <pane xSplit="6" ySplit="15" topLeftCell="K16" activePane="bottomRight" state="frozen"/>
      <selection activeCell="U35" sqref="U35"/>
      <selection pane="topRight" activeCell="U35" sqref="U35"/>
      <selection pane="bottomLeft" activeCell="U35" sqref="U35"/>
      <selection pane="bottomRight" activeCell="J23" sqref="J23"/>
    </sheetView>
  </sheetViews>
  <sheetFormatPr defaultColWidth="0" defaultRowHeight="11.25" x14ac:dyDescent="0.2"/>
  <cols>
    <col min="1" max="1" width="9.140625" style="21" hidden="1" customWidth="1"/>
    <col min="2" max="3" width="8" style="21" hidden="1" customWidth="1"/>
    <col min="4" max="4" width="3.28515625" style="21" hidden="1" customWidth="1"/>
    <col min="5" max="5" width="7.140625" style="20" customWidth="1"/>
    <col min="6" max="6" width="9.140625" style="19" hidden="1" customWidth="1"/>
    <col min="7" max="7" width="9.140625" style="19" customWidth="1"/>
    <col min="8" max="8" width="48.85546875" style="20" customWidth="1"/>
    <col min="9" max="9" width="10.42578125" style="19" customWidth="1"/>
    <col min="10" max="10" width="12.42578125" style="21" customWidth="1"/>
    <col min="11" max="11" width="1.42578125" style="21" customWidth="1"/>
    <col min="12" max="61" width="12.140625" style="21" customWidth="1"/>
    <col min="62" max="62" width="3.5703125" style="21" customWidth="1"/>
    <col min="63" max="16384" width="11.5703125" style="21" hidden="1"/>
  </cols>
  <sheetData>
    <row r="1" spans="1:61" hidden="1" x14ac:dyDescent="0.2">
      <c r="A1" s="156" t="e">
        <f ca="1">mais_um</f>
        <v>#REF!</v>
      </c>
      <c r="B1" s="21" t="e">
        <f ca="1">OFFSET(LIorçamento,$A1-1,B$16,1,1)</f>
        <v>#REF!</v>
      </c>
      <c r="E1" s="154" t="e">
        <f ca="1">OFFSET(LIorçamento,$A1-1,E$16,1,1)</f>
        <v>#REF!</v>
      </c>
      <c r="F1" s="155" t="e">
        <f ca="1">CHOOSE($B$8,IF(OR(Nível="Serviço",Nível="Evento"),E1*10^4+IF(Nível&lt;&gt;"Evento",A1,0),0),IF(Nível&lt;&gt;"Evento",A1,0))</f>
        <v>#REF!</v>
      </c>
      <c r="G1" s="155" t="e">
        <f ca="1">OFFSET(LIorçamento,$A1-1,G$16,1,1)</f>
        <v>#REF!</v>
      </c>
      <c r="H1" s="183" t="e">
        <f ca="1">OFFSET(LIorçamento,$A1-1,H$16,1,1)</f>
        <v>#REF!</v>
      </c>
      <c r="I1" s="37" t="e">
        <f ca="1">IF(OR(Nível="Serviço",Nível="evento"),OFFSET(LIorçamento,$A1-1,I$16,1,1),"")</f>
        <v>#REF!</v>
      </c>
      <c r="J1" s="145" t="e">
        <f ca="1">IF(OR(Nível="Serviço",Nível="evento"),SUM(L1:BI1),"")</f>
        <v>#REF!</v>
      </c>
      <c r="K1" s="143"/>
      <c r="L1" s="145" t="e">
        <f ca="1">IF(L$13="",0,CHOOSE(Detalhamento.OpçãoServiços,OFFSET(Import.PLQ,$A1-1,L$15-1,1,1),IF($E1&lt;&gt;1,IF(ISNUMBER(INDEX(Import.PLE,Detalhamento!$E1,Detalhamento!L$15)),IF(INDEX(Import.PLE,Detalhamento!$E1,Detalhamento!L$15)&lt;=mediçao,OFFSET(Import.PLQ,$A1-1,L$15-1,1,1),0),0),PLE!$AA$28*OFFSET(Import.PLQ,$A1-1,L$15-1,1,1)),IF($E1&lt;&gt;1,IF(ISNUMBER(INDEX(Import.PLE,Detalhamento!$E1,Detalhamento!L$15)),IF(INDEX(Import.PLE,Detalhamento!$E1,Detalhamento!L$15)&lt;=mediçao,0,OFFSET(Import.PLQ,$A1-1,L$15-1,1,1)),OFFSET(Import.PLQ,$A1-1,L$15-1,1,1)),(1-PLE!$AA$28)*OFFSET(Import.PLQ,$A1-1,L$15-1,1,1))))</f>
        <v>#REF!</v>
      </c>
      <c r="M1" s="145" t="e">
        <f ca="1">IF(M$13="",0,CHOOSE(Detalhamento.OpçãoServiços,OFFSET(Import.PLQ,$A1-1,M$15-1,1,1),IF($E1&lt;&gt;1,IF(ISNUMBER(INDEX(Import.PLE,Detalhamento!$E1,Detalhamento!M$15)),IF(INDEX(Import.PLE,Detalhamento!$E1,Detalhamento!M$15)&lt;=mediçao,OFFSET(Import.PLQ,$A1-1,M$15-1,1,1),0),0),PLE!$AA$28*OFFSET(Import.PLQ,$A1-1,M$15-1,1,1)),IF($E1&lt;&gt;1,IF(ISNUMBER(INDEX(Import.PLE,Detalhamento!$E1,Detalhamento!M$15)),IF(INDEX(Import.PLE,Detalhamento!$E1,Detalhamento!M$15)&lt;=mediçao,0,OFFSET(Import.PLQ,$A1-1,M$15-1,1,1)),OFFSET(Import.PLQ,$A1-1,M$15-1,1,1)),(1-PLE!$AA$28)*OFFSET(Import.PLQ,$A1-1,M$15-1,1,1))))</f>
        <v>#REF!</v>
      </c>
      <c r="N1" s="145" t="e">
        <f ca="1">IF(N$13="",0,CHOOSE(Detalhamento.OpçãoServiços,OFFSET(Import.PLQ,$A1-1,N$15-1,1,1),IF($E1&lt;&gt;1,IF(ISNUMBER(INDEX(Import.PLE,Detalhamento!$E1,Detalhamento!N$15)),IF(INDEX(Import.PLE,Detalhamento!$E1,Detalhamento!N$15)&lt;=mediçao,OFFSET(Import.PLQ,$A1-1,N$15-1,1,1),0),0),PLE!$AA$28*OFFSET(Import.PLQ,$A1-1,N$15-1,1,1)),IF($E1&lt;&gt;1,IF(ISNUMBER(INDEX(Import.PLE,Detalhamento!$E1,Detalhamento!N$15)),IF(INDEX(Import.PLE,Detalhamento!$E1,Detalhamento!N$15)&lt;=mediçao,0,OFFSET(Import.PLQ,$A1-1,N$15-1,1,1)),OFFSET(Import.PLQ,$A1-1,N$15-1,1,1)),(1-PLE!$AA$28)*OFFSET(Import.PLQ,$A1-1,N$15-1,1,1))))</f>
        <v>#REF!</v>
      </c>
      <c r="O1" s="145" t="e">
        <f ca="1">IF(O$13="",0,CHOOSE(Detalhamento.OpçãoServiços,OFFSET(Import.PLQ,$A1-1,O$15-1,1,1),IF($E1&lt;&gt;1,IF(ISNUMBER(INDEX(Import.PLE,Detalhamento!$E1,Detalhamento!O$15)),IF(INDEX(Import.PLE,Detalhamento!$E1,Detalhamento!O$15)&lt;=mediçao,OFFSET(Import.PLQ,$A1-1,O$15-1,1,1),0),0),PLE!$AA$28*OFFSET(Import.PLQ,$A1-1,O$15-1,1,1)),IF($E1&lt;&gt;1,IF(ISNUMBER(INDEX(Import.PLE,Detalhamento!$E1,Detalhamento!O$15)),IF(INDEX(Import.PLE,Detalhamento!$E1,Detalhamento!O$15)&lt;=mediçao,0,OFFSET(Import.PLQ,$A1-1,O$15-1,1,1)),OFFSET(Import.PLQ,$A1-1,O$15-1,1,1)),(1-PLE!$AA$28)*OFFSET(Import.PLQ,$A1-1,O$15-1,1,1))))</f>
        <v>#REF!</v>
      </c>
      <c r="P1" s="145" t="e">
        <f ca="1">IF(P$13="",0,CHOOSE(Detalhamento.OpçãoServiços,OFFSET(Import.PLQ,$A1-1,P$15-1,1,1),IF($E1&lt;&gt;1,IF(ISNUMBER(INDEX(Import.PLE,Detalhamento!$E1,Detalhamento!P$15)),IF(INDEX(Import.PLE,Detalhamento!$E1,Detalhamento!P$15)&lt;=mediçao,OFFSET(Import.PLQ,$A1-1,P$15-1,1,1),0),0),PLE!$AA$28*OFFSET(Import.PLQ,$A1-1,P$15-1,1,1)),IF($E1&lt;&gt;1,IF(ISNUMBER(INDEX(Import.PLE,Detalhamento!$E1,Detalhamento!P$15)),IF(INDEX(Import.PLE,Detalhamento!$E1,Detalhamento!P$15)&lt;=mediçao,0,OFFSET(Import.PLQ,$A1-1,P$15-1,1,1)),OFFSET(Import.PLQ,$A1-1,P$15-1,1,1)),(1-PLE!$AA$28)*OFFSET(Import.PLQ,$A1-1,P$15-1,1,1))))</f>
        <v>#REF!</v>
      </c>
      <c r="Q1" s="145" t="e">
        <f ca="1">IF(Q$13="",0,CHOOSE(Detalhamento.OpçãoServiços,OFFSET(Import.PLQ,$A1-1,Q$15-1,1,1),IF($E1&lt;&gt;1,IF(ISNUMBER(INDEX(Import.PLE,Detalhamento!$E1,Detalhamento!Q$15)),IF(INDEX(Import.PLE,Detalhamento!$E1,Detalhamento!Q$15)&lt;=mediçao,OFFSET(Import.PLQ,$A1-1,Q$15-1,1,1),0),0),PLE!$AA$28*OFFSET(Import.PLQ,$A1-1,Q$15-1,1,1)),IF($E1&lt;&gt;1,IF(ISNUMBER(INDEX(Import.PLE,Detalhamento!$E1,Detalhamento!Q$15)),IF(INDEX(Import.PLE,Detalhamento!$E1,Detalhamento!Q$15)&lt;=mediçao,0,OFFSET(Import.PLQ,$A1-1,Q$15-1,1,1)),OFFSET(Import.PLQ,$A1-1,Q$15-1,1,1)),(1-PLE!$AA$28)*OFFSET(Import.PLQ,$A1-1,Q$15-1,1,1))))</f>
        <v>#REF!</v>
      </c>
      <c r="R1" s="145" t="e">
        <f ca="1">IF(R$13="",0,CHOOSE(Detalhamento.OpçãoServiços,OFFSET(Import.PLQ,$A1-1,R$15-1,1,1),IF($E1&lt;&gt;1,IF(ISNUMBER(INDEX(Import.PLE,Detalhamento!$E1,Detalhamento!R$15)),IF(INDEX(Import.PLE,Detalhamento!$E1,Detalhamento!R$15)&lt;=mediçao,OFFSET(Import.PLQ,$A1-1,R$15-1,1,1),0),0),PLE!$AA$28*OFFSET(Import.PLQ,$A1-1,R$15-1,1,1)),IF($E1&lt;&gt;1,IF(ISNUMBER(INDEX(Import.PLE,Detalhamento!$E1,Detalhamento!R$15)),IF(INDEX(Import.PLE,Detalhamento!$E1,Detalhamento!R$15)&lt;=mediçao,0,OFFSET(Import.PLQ,$A1-1,R$15-1,1,1)),OFFSET(Import.PLQ,$A1-1,R$15-1,1,1)),(1-PLE!$AA$28)*OFFSET(Import.PLQ,$A1-1,R$15-1,1,1))))</f>
        <v>#REF!</v>
      </c>
      <c r="S1" s="145" t="e">
        <f ca="1">IF(S$13="",0,CHOOSE(Detalhamento.OpçãoServiços,OFFSET(Import.PLQ,$A1-1,S$15-1,1,1),IF($E1&lt;&gt;1,IF(ISNUMBER(INDEX(Import.PLE,Detalhamento!$E1,Detalhamento!S$15)),IF(INDEX(Import.PLE,Detalhamento!$E1,Detalhamento!S$15)&lt;=mediçao,OFFSET(Import.PLQ,$A1-1,S$15-1,1,1),0),0),PLE!$AA$28*OFFSET(Import.PLQ,$A1-1,S$15-1,1,1)),IF($E1&lt;&gt;1,IF(ISNUMBER(INDEX(Import.PLE,Detalhamento!$E1,Detalhamento!S$15)),IF(INDEX(Import.PLE,Detalhamento!$E1,Detalhamento!S$15)&lt;=mediçao,0,OFFSET(Import.PLQ,$A1-1,S$15-1,1,1)),OFFSET(Import.PLQ,$A1-1,S$15-1,1,1)),(1-PLE!$AA$28)*OFFSET(Import.PLQ,$A1-1,S$15-1,1,1))))</f>
        <v>#REF!</v>
      </c>
      <c r="T1" s="145">
        <f ca="1">IF(T$13="",0,CHOOSE(Detalhamento.OpçãoServiços,OFFSET(Import.PLQ,$A1-1,T$15-1,1,1),IF($E1&lt;&gt;1,IF(ISNUMBER(INDEX(Import.PLE,Detalhamento!$E1,Detalhamento!T$15)),IF(INDEX(Import.PLE,Detalhamento!$E1,Detalhamento!T$15)&lt;=mediçao,OFFSET(Import.PLQ,$A1-1,T$15-1,1,1),0),0),PLE!$AA$28*OFFSET(Import.PLQ,$A1-1,T$15-1,1,1)),IF($E1&lt;&gt;1,IF(ISNUMBER(INDEX(Import.PLE,Detalhamento!$E1,Detalhamento!T$15)),IF(INDEX(Import.PLE,Detalhamento!$E1,Detalhamento!T$15)&lt;=mediçao,0,OFFSET(Import.PLQ,$A1-1,T$15-1,1,1)),OFFSET(Import.PLQ,$A1-1,T$15-1,1,1)),(1-PLE!$AA$28)*OFFSET(Import.PLQ,$A1-1,T$15-1,1,1))))</f>
        <v>0</v>
      </c>
      <c r="U1" s="145">
        <f ca="1">IF(U$13="",0,CHOOSE(Detalhamento.OpçãoServiços,OFFSET(Import.PLQ,$A1-1,U$15-1,1,1),IF($E1&lt;&gt;1,IF(ISNUMBER(INDEX(Import.PLE,Detalhamento!$E1,Detalhamento!U$15)),IF(INDEX(Import.PLE,Detalhamento!$E1,Detalhamento!U$15)&lt;=mediçao,OFFSET(Import.PLQ,$A1-1,U$15-1,1,1),0),0),PLE!$AA$28*OFFSET(Import.PLQ,$A1-1,U$15-1,1,1)),IF($E1&lt;&gt;1,IF(ISNUMBER(INDEX(Import.PLE,Detalhamento!$E1,Detalhamento!U$15)),IF(INDEX(Import.PLE,Detalhamento!$E1,Detalhamento!U$15)&lt;=mediçao,0,OFFSET(Import.PLQ,$A1-1,U$15-1,1,1)),OFFSET(Import.PLQ,$A1-1,U$15-1,1,1)),(1-PLE!$AA$28)*OFFSET(Import.PLQ,$A1-1,U$15-1,1,1))))</f>
        <v>0</v>
      </c>
      <c r="V1" s="145">
        <f ca="1">IF(V$13="",0,CHOOSE(Detalhamento.OpçãoServiços,OFFSET(Import.PLQ,$A1-1,V$15-1,1,1),IF($E1&lt;&gt;1,IF(ISNUMBER(INDEX(Import.PLE,Detalhamento!$E1,Detalhamento!V$15)),IF(INDEX(Import.PLE,Detalhamento!$E1,Detalhamento!V$15)&lt;=mediçao,OFFSET(Import.PLQ,$A1-1,V$15-1,1,1),0),0),PLE!$AA$28*OFFSET(Import.PLQ,$A1-1,V$15-1,1,1)),IF($E1&lt;&gt;1,IF(ISNUMBER(INDEX(Import.PLE,Detalhamento!$E1,Detalhamento!V$15)),IF(INDEX(Import.PLE,Detalhamento!$E1,Detalhamento!V$15)&lt;=mediçao,0,OFFSET(Import.PLQ,$A1-1,V$15-1,1,1)),OFFSET(Import.PLQ,$A1-1,V$15-1,1,1)),(1-PLE!$AA$28)*OFFSET(Import.PLQ,$A1-1,V$15-1,1,1))))</f>
        <v>0</v>
      </c>
      <c r="W1" s="145">
        <f ca="1">IF(W$13="",0,CHOOSE(Detalhamento.OpçãoServiços,OFFSET(Import.PLQ,$A1-1,W$15-1,1,1),IF($E1&lt;&gt;1,IF(ISNUMBER(INDEX(Import.PLE,Detalhamento!$E1,Detalhamento!W$15)),IF(INDEX(Import.PLE,Detalhamento!$E1,Detalhamento!W$15)&lt;=mediçao,OFFSET(Import.PLQ,$A1-1,W$15-1,1,1),0),0),PLE!$AA$28*OFFSET(Import.PLQ,$A1-1,W$15-1,1,1)),IF($E1&lt;&gt;1,IF(ISNUMBER(INDEX(Import.PLE,Detalhamento!$E1,Detalhamento!W$15)),IF(INDEX(Import.PLE,Detalhamento!$E1,Detalhamento!W$15)&lt;=mediçao,0,OFFSET(Import.PLQ,$A1-1,W$15-1,1,1)),OFFSET(Import.PLQ,$A1-1,W$15-1,1,1)),(1-PLE!$AA$28)*OFFSET(Import.PLQ,$A1-1,W$15-1,1,1))))</f>
        <v>0</v>
      </c>
      <c r="X1" s="145">
        <f ca="1">IF(X$13="",0,CHOOSE(Detalhamento.OpçãoServiços,OFFSET(Import.PLQ,$A1-1,X$15-1,1,1),IF($E1&lt;&gt;1,IF(ISNUMBER(INDEX(Import.PLE,Detalhamento!$E1,Detalhamento!X$15)),IF(INDEX(Import.PLE,Detalhamento!$E1,Detalhamento!X$15)&lt;=mediçao,OFFSET(Import.PLQ,$A1-1,X$15-1,1,1),0),0),PLE!$AA$28*OFFSET(Import.PLQ,$A1-1,X$15-1,1,1)),IF($E1&lt;&gt;1,IF(ISNUMBER(INDEX(Import.PLE,Detalhamento!$E1,Detalhamento!X$15)),IF(INDEX(Import.PLE,Detalhamento!$E1,Detalhamento!X$15)&lt;=mediçao,0,OFFSET(Import.PLQ,$A1-1,X$15-1,1,1)),OFFSET(Import.PLQ,$A1-1,X$15-1,1,1)),(1-PLE!$AA$28)*OFFSET(Import.PLQ,$A1-1,X$15-1,1,1))))</f>
        <v>0</v>
      </c>
      <c r="Y1" s="145">
        <f ca="1">IF(Y$13="",0,CHOOSE(Detalhamento.OpçãoServiços,OFFSET(Import.PLQ,$A1-1,Y$15-1,1,1),IF($E1&lt;&gt;1,IF(ISNUMBER(INDEX(Import.PLE,Detalhamento!$E1,Detalhamento!Y$15)),IF(INDEX(Import.PLE,Detalhamento!$E1,Detalhamento!Y$15)&lt;=mediçao,OFFSET(Import.PLQ,$A1-1,Y$15-1,1,1),0),0),PLE!$AA$28*OFFSET(Import.PLQ,$A1-1,Y$15-1,1,1)),IF($E1&lt;&gt;1,IF(ISNUMBER(INDEX(Import.PLE,Detalhamento!$E1,Detalhamento!Y$15)),IF(INDEX(Import.PLE,Detalhamento!$E1,Detalhamento!Y$15)&lt;=mediçao,0,OFFSET(Import.PLQ,$A1-1,Y$15-1,1,1)),OFFSET(Import.PLQ,$A1-1,Y$15-1,1,1)),(1-PLE!$AA$28)*OFFSET(Import.PLQ,$A1-1,Y$15-1,1,1))))</f>
        <v>0</v>
      </c>
      <c r="Z1" s="145">
        <f ca="1">IF(Z$13="",0,CHOOSE(Detalhamento.OpçãoServiços,OFFSET(Import.PLQ,$A1-1,Z$15-1,1,1),IF($E1&lt;&gt;1,IF(ISNUMBER(INDEX(Import.PLE,Detalhamento!$E1,Detalhamento!Z$15)),IF(INDEX(Import.PLE,Detalhamento!$E1,Detalhamento!Z$15)&lt;=mediçao,OFFSET(Import.PLQ,$A1-1,Z$15-1,1,1),0),0),PLE!$AA$28*OFFSET(Import.PLQ,$A1-1,Z$15-1,1,1)),IF($E1&lt;&gt;1,IF(ISNUMBER(INDEX(Import.PLE,Detalhamento!$E1,Detalhamento!Z$15)),IF(INDEX(Import.PLE,Detalhamento!$E1,Detalhamento!Z$15)&lt;=mediçao,0,OFFSET(Import.PLQ,$A1-1,Z$15-1,1,1)),OFFSET(Import.PLQ,$A1-1,Z$15-1,1,1)),(1-PLE!$AA$28)*OFFSET(Import.PLQ,$A1-1,Z$15-1,1,1))))</f>
        <v>0</v>
      </c>
      <c r="AA1" s="145">
        <f ca="1">IF(AA$13="",0,CHOOSE(Detalhamento.OpçãoServiços,OFFSET(Import.PLQ,$A1-1,AA$15-1,1,1),IF($E1&lt;&gt;1,IF(ISNUMBER(INDEX(Import.PLE,Detalhamento!$E1,Detalhamento!AA$15)),IF(INDEX(Import.PLE,Detalhamento!$E1,Detalhamento!AA$15)&lt;=mediçao,OFFSET(Import.PLQ,$A1-1,AA$15-1,1,1),0),0),PLE!$AA$28*OFFSET(Import.PLQ,$A1-1,AA$15-1,1,1)),IF($E1&lt;&gt;1,IF(ISNUMBER(INDEX(Import.PLE,Detalhamento!$E1,Detalhamento!AA$15)),IF(INDEX(Import.PLE,Detalhamento!$E1,Detalhamento!AA$15)&lt;=mediçao,0,OFFSET(Import.PLQ,$A1-1,AA$15-1,1,1)),OFFSET(Import.PLQ,$A1-1,AA$15-1,1,1)),(1-PLE!$AA$28)*OFFSET(Import.PLQ,$A1-1,AA$15-1,1,1))))</f>
        <v>0</v>
      </c>
      <c r="AB1" s="145">
        <f ca="1">IF(AB$13="",0,CHOOSE(Detalhamento.OpçãoServiços,OFFSET(Import.PLQ,$A1-1,AB$15-1,1,1),IF($E1&lt;&gt;1,IF(ISNUMBER(INDEX(Import.PLE,Detalhamento!$E1,Detalhamento!AB$15)),IF(INDEX(Import.PLE,Detalhamento!$E1,Detalhamento!AB$15)&lt;=mediçao,OFFSET(Import.PLQ,$A1-1,AB$15-1,1,1),0),0),PLE!$AA$28*OFFSET(Import.PLQ,$A1-1,AB$15-1,1,1)),IF($E1&lt;&gt;1,IF(ISNUMBER(INDEX(Import.PLE,Detalhamento!$E1,Detalhamento!AB$15)),IF(INDEX(Import.PLE,Detalhamento!$E1,Detalhamento!AB$15)&lt;=mediçao,0,OFFSET(Import.PLQ,$A1-1,AB$15-1,1,1)),OFFSET(Import.PLQ,$A1-1,AB$15-1,1,1)),(1-PLE!$AA$28)*OFFSET(Import.PLQ,$A1-1,AB$15-1,1,1))))</f>
        <v>0</v>
      </c>
      <c r="AC1" s="145">
        <f ca="1">IF(AC$13="",0,CHOOSE(Detalhamento.OpçãoServiços,OFFSET(Import.PLQ,$A1-1,AC$15-1,1,1),IF($E1&lt;&gt;1,IF(ISNUMBER(INDEX(Import.PLE,Detalhamento!$E1,Detalhamento!AC$15)),IF(INDEX(Import.PLE,Detalhamento!$E1,Detalhamento!AC$15)&lt;=mediçao,OFFSET(Import.PLQ,$A1-1,AC$15-1,1,1),0),0),PLE!$AA$28*OFFSET(Import.PLQ,$A1-1,AC$15-1,1,1)),IF($E1&lt;&gt;1,IF(ISNUMBER(INDEX(Import.PLE,Detalhamento!$E1,Detalhamento!AC$15)),IF(INDEX(Import.PLE,Detalhamento!$E1,Detalhamento!AC$15)&lt;=mediçao,0,OFFSET(Import.PLQ,$A1-1,AC$15-1,1,1)),OFFSET(Import.PLQ,$A1-1,AC$15-1,1,1)),(1-PLE!$AA$28)*OFFSET(Import.PLQ,$A1-1,AC$15-1,1,1))))</f>
        <v>0</v>
      </c>
      <c r="AD1" s="145">
        <f ca="1">IF(AD$13="",0,CHOOSE(Detalhamento.OpçãoServiços,OFFSET(Import.PLQ,$A1-1,AD$15-1,1,1),IF($E1&lt;&gt;1,IF(ISNUMBER(INDEX(Import.PLE,Detalhamento!$E1,Detalhamento!AD$15)),IF(INDEX(Import.PLE,Detalhamento!$E1,Detalhamento!AD$15)&lt;=mediçao,OFFSET(Import.PLQ,$A1-1,AD$15-1,1,1),0),0),PLE!$AA$28*OFFSET(Import.PLQ,$A1-1,AD$15-1,1,1)),IF($E1&lt;&gt;1,IF(ISNUMBER(INDEX(Import.PLE,Detalhamento!$E1,Detalhamento!AD$15)),IF(INDEX(Import.PLE,Detalhamento!$E1,Detalhamento!AD$15)&lt;=mediçao,0,OFFSET(Import.PLQ,$A1-1,AD$15-1,1,1)),OFFSET(Import.PLQ,$A1-1,AD$15-1,1,1)),(1-PLE!$AA$28)*OFFSET(Import.PLQ,$A1-1,AD$15-1,1,1))))</f>
        <v>0</v>
      </c>
      <c r="AE1" s="145">
        <f ca="1">IF(AE$13="",0,CHOOSE(Detalhamento.OpçãoServiços,OFFSET(Import.PLQ,$A1-1,AE$15-1,1,1),IF($E1&lt;&gt;1,IF(ISNUMBER(INDEX(Import.PLE,Detalhamento!$E1,Detalhamento!AE$15)),IF(INDEX(Import.PLE,Detalhamento!$E1,Detalhamento!AE$15)&lt;=mediçao,OFFSET(Import.PLQ,$A1-1,AE$15-1,1,1),0),0),PLE!$AA$28*OFFSET(Import.PLQ,$A1-1,AE$15-1,1,1)),IF($E1&lt;&gt;1,IF(ISNUMBER(INDEX(Import.PLE,Detalhamento!$E1,Detalhamento!AE$15)),IF(INDEX(Import.PLE,Detalhamento!$E1,Detalhamento!AE$15)&lt;=mediçao,0,OFFSET(Import.PLQ,$A1-1,AE$15-1,1,1)),OFFSET(Import.PLQ,$A1-1,AE$15-1,1,1)),(1-PLE!$AA$28)*OFFSET(Import.PLQ,$A1-1,AE$15-1,1,1))))</f>
        <v>0</v>
      </c>
      <c r="AF1" s="145">
        <f ca="1">IF(AF$13="",0,CHOOSE(Detalhamento.OpçãoServiços,OFFSET(Import.PLQ,$A1-1,AF$15-1,1,1),IF($E1&lt;&gt;1,IF(ISNUMBER(INDEX(Import.PLE,Detalhamento!$E1,Detalhamento!AF$15)),IF(INDEX(Import.PLE,Detalhamento!$E1,Detalhamento!AF$15)&lt;=mediçao,OFFSET(Import.PLQ,$A1-1,AF$15-1,1,1),0),0),PLE!$AA$28*OFFSET(Import.PLQ,$A1-1,AF$15-1,1,1)),IF($E1&lt;&gt;1,IF(ISNUMBER(INDEX(Import.PLE,Detalhamento!$E1,Detalhamento!AF$15)),IF(INDEX(Import.PLE,Detalhamento!$E1,Detalhamento!AF$15)&lt;=mediçao,0,OFFSET(Import.PLQ,$A1-1,AF$15-1,1,1)),OFFSET(Import.PLQ,$A1-1,AF$15-1,1,1)),(1-PLE!$AA$28)*OFFSET(Import.PLQ,$A1-1,AF$15-1,1,1))))</f>
        <v>0</v>
      </c>
      <c r="AG1" s="145">
        <f ca="1">IF(AG$13="",0,CHOOSE(Detalhamento.OpçãoServiços,OFFSET(Import.PLQ,$A1-1,AG$15-1,1,1),IF($E1&lt;&gt;1,IF(ISNUMBER(INDEX(Import.PLE,Detalhamento!$E1,Detalhamento!AG$15)),IF(INDEX(Import.PLE,Detalhamento!$E1,Detalhamento!AG$15)&lt;=mediçao,OFFSET(Import.PLQ,$A1-1,AG$15-1,1,1),0),0),PLE!$AA$28*OFFSET(Import.PLQ,$A1-1,AG$15-1,1,1)),IF($E1&lt;&gt;1,IF(ISNUMBER(INDEX(Import.PLE,Detalhamento!$E1,Detalhamento!AG$15)),IF(INDEX(Import.PLE,Detalhamento!$E1,Detalhamento!AG$15)&lt;=mediçao,0,OFFSET(Import.PLQ,$A1-1,AG$15-1,1,1)),OFFSET(Import.PLQ,$A1-1,AG$15-1,1,1)),(1-PLE!$AA$28)*OFFSET(Import.PLQ,$A1-1,AG$15-1,1,1))))</f>
        <v>0</v>
      </c>
      <c r="AH1" s="145">
        <f ca="1">IF(AH$13="",0,CHOOSE(Detalhamento.OpçãoServiços,OFFSET(Import.PLQ,$A1-1,AH$15-1,1,1),IF($E1&lt;&gt;1,IF(ISNUMBER(INDEX(Import.PLE,Detalhamento!$E1,Detalhamento!AH$15)),IF(INDEX(Import.PLE,Detalhamento!$E1,Detalhamento!AH$15)&lt;=mediçao,OFFSET(Import.PLQ,$A1-1,AH$15-1,1,1),0),0),PLE!$AA$28*OFFSET(Import.PLQ,$A1-1,AH$15-1,1,1)),IF($E1&lt;&gt;1,IF(ISNUMBER(INDEX(Import.PLE,Detalhamento!$E1,Detalhamento!AH$15)),IF(INDEX(Import.PLE,Detalhamento!$E1,Detalhamento!AH$15)&lt;=mediçao,0,OFFSET(Import.PLQ,$A1-1,AH$15-1,1,1)),OFFSET(Import.PLQ,$A1-1,AH$15-1,1,1)),(1-PLE!$AA$28)*OFFSET(Import.PLQ,$A1-1,AH$15-1,1,1))))</f>
        <v>0</v>
      </c>
      <c r="AI1" s="145">
        <f ca="1">IF(AI$13="",0,CHOOSE(Detalhamento.OpçãoServiços,OFFSET(Import.PLQ,$A1-1,AI$15-1,1,1),IF($E1&lt;&gt;1,IF(ISNUMBER(INDEX(Import.PLE,Detalhamento!$E1,Detalhamento!AI$15)),IF(INDEX(Import.PLE,Detalhamento!$E1,Detalhamento!AI$15)&lt;=mediçao,OFFSET(Import.PLQ,$A1-1,AI$15-1,1,1),0),0),PLE!$AA$28*OFFSET(Import.PLQ,$A1-1,AI$15-1,1,1)),IF($E1&lt;&gt;1,IF(ISNUMBER(INDEX(Import.PLE,Detalhamento!$E1,Detalhamento!AI$15)),IF(INDEX(Import.PLE,Detalhamento!$E1,Detalhamento!AI$15)&lt;=mediçao,0,OFFSET(Import.PLQ,$A1-1,AI$15-1,1,1)),OFFSET(Import.PLQ,$A1-1,AI$15-1,1,1)),(1-PLE!$AA$28)*OFFSET(Import.PLQ,$A1-1,AI$15-1,1,1))))</f>
        <v>0</v>
      </c>
      <c r="AJ1" s="145">
        <f ca="1">IF(AJ$13="",0,CHOOSE(Detalhamento.OpçãoServiços,OFFSET(Import.PLQ,$A1-1,AJ$15-1,1,1),IF($E1&lt;&gt;1,IF(ISNUMBER(INDEX(Import.PLE,Detalhamento!$E1,Detalhamento!AJ$15)),IF(INDEX(Import.PLE,Detalhamento!$E1,Detalhamento!AJ$15)&lt;=mediçao,OFFSET(Import.PLQ,$A1-1,AJ$15-1,1,1),0),0),PLE!$AA$28*OFFSET(Import.PLQ,$A1-1,AJ$15-1,1,1)),IF($E1&lt;&gt;1,IF(ISNUMBER(INDEX(Import.PLE,Detalhamento!$E1,Detalhamento!AJ$15)),IF(INDEX(Import.PLE,Detalhamento!$E1,Detalhamento!AJ$15)&lt;=mediçao,0,OFFSET(Import.PLQ,$A1-1,AJ$15-1,1,1)),OFFSET(Import.PLQ,$A1-1,AJ$15-1,1,1)),(1-PLE!$AA$28)*OFFSET(Import.PLQ,$A1-1,AJ$15-1,1,1))))</f>
        <v>0</v>
      </c>
      <c r="AK1" s="145">
        <f ca="1">IF(AK$13="",0,CHOOSE(Detalhamento.OpçãoServiços,OFFSET(Import.PLQ,$A1-1,AK$15-1,1,1),IF($E1&lt;&gt;1,IF(ISNUMBER(INDEX(Import.PLE,Detalhamento!$E1,Detalhamento!AK$15)),IF(INDEX(Import.PLE,Detalhamento!$E1,Detalhamento!AK$15)&lt;=mediçao,OFFSET(Import.PLQ,$A1-1,AK$15-1,1,1),0),0),PLE!$AA$28*OFFSET(Import.PLQ,$A1-1,AK$15-1,1,1)),IF($E1&lt;&gt;1,IF(ISNUMBER(INDEX(Import.PLE,Detalhamento!$E1,Detalhamento!AK$15)),IF(INDEX(Import.PLE,Detalhamento!$E1,Detalhamento!AK$15)&lt;=mediçao,0,OFFSET(Import.PLQ,$A1-1,AK$15-1,1,1)),OFFSET(Import.PLQ,$A1-1,AK$15-1,1,1)),(1-PLE!$AA$28)*OFFSET(Import.PLQ,$A1-1,AK$15-1,1,1))))</f>
        <v>0</v>
      </c>
      <c r="AL1" s="145">
        <f ca="1">IF(AL$13="",0,CHOOSE(Detalhamento.OpçãoServiços,OFFSET(Import.PLQ,$A1-1,AL$15-1,1,1),IF($E1&lt;&gt;1,IF(ISNUMBER(INDEX(Import.PLE,Detalhamento!$E1,Detalhamento!AL$15)),IF(INDEX(Import.PLE,Detalhamento!$E1,Detalhamento!AL$15)&lt;=mediçao,OFFSET(Import.PLQ,$A1-1,AL$15-1,1,1),0),0),PLE!$AA$28*OFFSET(Import.PLQ,$A1-1,AL$15-1,1,1)),IF($E1&lt;&gt;1,IF(ISNUMBER(INDEX(Import.PLE,Detalhamento!$E1,Detalhamento!AL$15)),IF(INDEX(Import.PLE,Detalhamento!$E1,Detalhamento!AL$15)&lt;=mediçao,0,OFFSET(Import.PLQ,$A1-1,AL$15-1,1,1)),OFFSET(Import.PLQ,$A1-1,AL$15-1,1,1)),(1-PLE!$AA$28)*OFFSET(Import.PLQ,$A1-1,AL$15-1,1,1))))</f>
        <v>0</v>
      </c>
      <c r="AM1" s="145">
        <f ca="1">IF(AM$13="",0,CHOOSE(Detalhamento.OpçãoServiços,OFFSET(Import.PLQ,$A1-1,AM$15-1,1,1),IF($E1&lt;&gt;1,IF(ISNUMBER(INDEX(Import.PLE,Detalhamento!$E1,Detalhamento!AM$15)),IF(INDEX(Import.PLE,Detalhamento!$E1,Detalhamento!AM$15)&lt;=mediçao,OFFSET(Import.PLQ,$A1-1,AM$15-1,1,1),0),0),PLE!$AA$28*OFFSET(Import.PLQ,$A1-1,AM$15-1,1,1)),IF($E1&lt;&gt;1,IF(ISNUMBER(INDEX(Import.PLE,Detalhamento!$E1,Detalhamento!AM$15)),IF(INDEX(Import.PLE,Detalhamento!$E1,Detalhamento!AM$15)&lt;=mediçao,0,OFFSET(Import.PLQ,$A1-1,AM$15-1,1,1)),OFFSET(Import.PLQ,$A1-1,AM$15-1,1,1)),(1-PLE!$AA$28)*OFFSET(Import.PLQ,$A1-1,AM$15-1,1,1))))</f>
        <v>0</v>
      </c>
      <c r="AN1" s="145">
        <f ca="1">IF(AN$13="",0,CHOOSE(Detalhamento.OpçãoServiços,OFFSET(Import.PLQ,$A1-1,AN$15-1,1,1),IF($E1&lt;&gt;1,IF(ISNUMBER(INDEX(Import.PLE,Detalhamento!$E1,Detalhamento!AN$15)),IF(INDEX(Import.PLE,Detalhamento!$E1,Detalhamento!AN$15)&lt;=mediçao,OFFSET(Import.PLQ,$A1-1,AN$15-1,1,1),0),0),PLE!$AA$28*OFFSET(Import.PLQ,$A1-1,AN$15-1,1,1)),IF($E1&lt;&gt;1,IF(ISNUMBER(INDEX(Import.PLE,Detalhamento!$E1,Detalhamento!AN$15)),IF(INDEX(Import.PLE,Detalhamento!$E1,Detalhamento!AN$15)&lt;=mediçao,0,OFFSET(Import.PLQ,$A1-1,AN$15-1,1,1)),OFFSET(Import.PLQ,$A1-1,AN$15-1,1,1)),(1-PLE!$AA$28)*OFFSET(Import.PLQ,$A1-1,AN$15-1,1,1))))</f>
        <v>0</v>
      </c>
      <c r="AO1" s="145">
        <f ca="1">IF(AO$13="",0,CHOOSE(Detalhamento.OpçãoServiços,OFFSET(Import.PLQ,$A1-1,AO$15-1,1,1),IF($E1&lt;&gt;1,IF(ISNUMBER(INDEX(Import.PLE,Detalhamento!$E1,Detalhamento!AO$15)),IF(INDEX(Import.PLE,Detalhamento!$E1,Detalhamento!AO$15)&lt;=mediçao,OFFSET(Import.PLQ,$A1-1,AO$15-1,1,1),0),0),PLE!$AA$28*OFFSET(Import.PLQ,$A1-1,AO$15-1,1,1)),IF($E1&lt;&gt;1,IF(ISNUMBER(INDEX(Import.PLE,Detalhamento!$E1,Detalhamento!AO$15)),IF(INDEX(Import.PLE,Detalhamento!$E1,Detalhamento!AO$15)&lt;=mediçao,0,OFFSET(Import.PLQ,$A1-1,AO$15-1,1,1)),OFFSET(Import.PLQ,$A1-1,AO$15-1,1,1)),(1-PLE!$AA$28)*OFFSET(Import.PLQ,$A1-1,AO$15-1,1,1))))</f>
        <v>0</v>
      </c>
      <c r="AP1" s="145">
        <f ca="1">IF(AP$13="",0,CHOOSE(Detalhamento.OpçãoServiços,OFFSET(Import.PLQ,$A1-1,AP$15-1,1,1),IF($E1&lt;&gt;1,IF(ISNUMBER(INDEX(Import.PLE,Detalhamento!$E1,Detalhamento!AP$15)),IF(INDEX(Import.PLE,Detalhamento!$E1,Detalhamento!AP$15)&lt;=mediçao,OFFSET(Import.PLQ,$A1-1,AP$15-1,1,1),0),0),PLE!$AA$28*OFFSET(Import.PLQ,$A1-1,AP$15-1,1,1)),IF($E1&lt;&gt;1,IF(ISNUMBER(INDEX(Import.PLE,Detalhamento!$E1,Detalhamento!AP$15)),IF(INDEX(Import.PLE,Detalhamento!$E1,Detalhamento!AP$15)&lt;=mediçao,0,OFFSET(Import.PLQ,$A1-1,AP$15-1,1,1)),OFFSET(Import.PLQ,$A1-1,AP$15-1,1,1)),(1-PLE!$AA$28)*OFFSET(Import.PLQ,$A1-1,AP$15-1,1,1))))</f>
        <v>0</v>
      </c>
      <c r="AQ1" s="145">
        <f ca="1">IF(AQ$13="",0,CHOOSE(Detalhamento.OpçãoServiços,OFFSET(Import.PLQ,$A1-1,AQ$15-1,1,1),IF($E1&lt;&gt;1,IF(ISNUMBER(INDEX(Import.PLE,Detalhamento!$E1,Detalhamento!AQ$15)),IF(INDEX(Import.PLE,Detalhamento!$E1,Detalhamento!AQ$15)&lt;=mediçao,OFFSET(Import.PLQ,$A1-1,AQ$15-1,1,1),0),0),PLE!$AA$28*OFFSET(Import.PLQ,$A1-1,AQ$15-1,1,1)),IF($E1&lt;&gt;1,IF(ISNUMBER(INDEX(Import.PLE,Detalhamento!$E1,Detalhamento!AQ$15)),IF(INDEX(Import.PLE,Detalhamento!$E1,Detalhamento!AQ$15)&lt;=mediçao,0,OFFSET(Import.PLQ,$A1-1,AQ$15-1,1,1)),OFFSET(Import.PLQ,$A1-1,AQ$15-1,1,1)),(1-PLE!$AA$28)*OFFSET(Import.PLQ,$A1-1,AQ$15-1,1,1))))</f>
        <v>0</v>
      </c>
      <c r="AR1" s="145">
        <f ca="1">IF(AR$13="",0,CHOOSE(Detalhamento.OpçãoServiços,OFFSET(Import.PLQ,$A1-1,AR$15-1,1,1),IF($E1&lt;&gt;1,IF(ISNUMBER(INDEX(Import.PLE,Detalhamento!$E1,Detalhamento!AR$15)),IF(INDEX(Import.PLE,Detalhamento!$E1,Detalhamento!AR$15)&lt;=mediçao,OFFSET(Import.PLQ,$A1-1,AR$15-1,1,1),0),0),PLE!$AA$28*OFFSET(Import.PLQ,$A1-1,AR$15-1,1,1)),IF($E1&lt;&gt;1,IF(ISNUMBER(INDEX(Import.PLE,Detalhamento!$E1,Detalhamento!AR$15)),IF(INDEX(Import.PLE,Detalhamento!$E1,Detalhamento!AR$15)&lt;=mediçao,0,OFFSET(Import.PLQ,$A1-1,AR$15-1,1,1)),OFFSET(Import.PLQ,$A1-1,AR$15-1,1,1)),(1-PLE!$AA$28)*OFFSET(Import.PLQ,$A1-1,AR$15-1,1,1))))</f>
        <v>0</v>
      </c>
      <c r="AS1" s="145">
        <f ca="1">IF(AS$13="",0,CHOOSE(Detalhamento.OpçãoServiços,OFFSET(Import.PLQ,$A1-1,AS$15-1,1,1),IF($E1&lt;&gt;1,IF(ISNUMBER(INDEX(Import.PLE,Detalhamento!$E1,Detalhamento!AS$15)),IF(INDEX(Import.PLE,Detalhamento!$E1,Detalhamento!AS$15)&lt;=mediçao,OFFSET(Import.PLQ,$A1-1,AS$15-1,1,1),0),0),PLE!$AA$28*OFFSET(Import.PLQ,$A1-1,AS$15-1,1,1)),IF($E1&lt;&gt;1,IF(ISNUMBER(INDEX(Import.PLE,Detalhamento!$E1,Detalhamento!AS$15)),IF(INDEX(Import.PLE,Detalhamento!$E1,Detalhamento!AS$15)&lt;=mediçao,0,OFFSET(Import.PLQ,$A1-1,AS$15-1,1,1)),OFFSET(Import.PLQ,$A1-1,AS$15-1,1,1)),(1-PLE!$AA$28)*OFFSET(Import.PLQ,$A1-1,AS$15-1,1,1))))</f>
        <v>0</v>
      </c>
      <c r="AT1" s="145">
        <f ca="1">IF(AT$13="",0,CHOOSE(Detalhamento.OpçãoServiços,OFFSET(Import.PLQ,$A1-1,AT$15-1,1,1),IF($E1&lt;&gt;1,IF(ISNUMBER(INDEX(Import.PLE,Detalhamento!$E1,Detalhamento!AT$15)),IF(INDEX(Import.PLE,Detalhamento!$E1,Detalhamento!AT$15)&lt;=mediçao,OFFSET(Import.PLQ,$A1-1,AT$15-1,1,1),0),0),PLE!$AA$28*OFFSET(Import.PLQ,$A1-1,AT$15-1,1,1)),IF($E1&lt;&gt;1,IF(ISNUMBER(INDEX(Import.PLE,Detalhamento!$E1,Detalhamento!AT$15)),IF(INDEX(Import.PLE,Detalhamento!$E1,Detalhamento!AT$15)&lt;=mediçao,0,OFFSET(Import.PLQ,$A1-1,AT$15-1,1,1)),OFFSET(Import.PLQ,$A1-1,AT$15-1,1,1)),(1-PLE!$AA$28)*OFFSET(Import.PLQ,$A1-1,AT$15-1,1,1))))</f>
        <v>0</v>
      </c>
      <c r="AU1" s="145">
        <f ca="1">IF(AU$13="",0,CHOOSE(Detalhamento.OpçãoServiços,OFFSET(Import.PLQ,$A1-1,AU$15-1,1,1),IF($E1&lt;&gt;1,IF(ISNUMBER(INDEX(Import.PLE,Detalhamento!$E1,Detalhamento!AU$15)),IF(INDEX(Import.PLE,Detalhamento!$E1,Detalhamento!AU$15)&lt;=mediçao,OFFSET(Import.PLQ,$A1-1,AU$15-1,1,1),0),0),PLE!$AA$28*OFFSET(Import.PLQ,$A1-1,AU$15-1,1,1)),IF($E1&lt;&gt;1,IF(ISNUMBER(INDEX(Import.PLE,Detalhamento!$E1,Detalhamento!AU$15)),IF(INDEX(Import.PLE,Detalhamento!$E1,Detalhamento!AU$15)&lt;=mediçao,0,OFFSET(Import.PLQ,$A1-1,AU$15-1,1,1)),OFFSET(Import.PLQ,$A1-1,AU$15-1,1,1)),(1-PLE!$AA$28)*OFFSET(Import.PLQ,$A1-1,AU$15-1,1,1))))</f>
        <v>0</v>
      </c>
      <c r="AV1" s="145">
        <f ca="1">IF(AV$13="",0,CHOOSE(Detalhamento.OpçãoServiços,OFFSET(Import.PLQ,$A1-1,AV$15-1,1,1),IF($E1&lt;&gt;1,IF(ISNUMBER(INDEX(Import.PLE,Detalhamento!$E1,Detalhamento!AV$15)),IF(INDEX(Import.PLE,Detalhamento!$E1,Detalhamento!AV$15)&lt;=mediçao,OFFSET(Import.PLQ,$A1-1,AV$15-1,1,1),0),0),PLE!$AA$28*OFFSET(Import.PLQ,$A1-1,AV$15-1,1,1)),IF($E1&lt;&gt;1,IF(ISNUMBER(INDEX(Import.PLE,Detalhamento!$E1,Detalhamento!AV$15)),IF(INDEX(Import.PLE,Detalhamento!$E1,Detalhamento!AV$15)&lt;=mediçao,0,OFFSET(Import.PLQ,$A1-1,AV$15-1,1,1)),OFFSET(Import.PLQ,$A1-1,AV$15-1,1,1)),(1-PLE!$AA$28)*OFFSET(Import.PLQ,$A1-1,AV$15-1,1,1))))</f>
        <v>0</v>
      </c>
      <c r="AW1" s="145">
        <f ca="1">IF(AW$13="",0,CHOOSE(Detalhamento.OpçãoServiços,OFFSET(Import.PLQ,$A1-1,AW$15-1,1,1),IF($E1&lt;&gt;1,IF(ISNUMBER(INDEX(Import.PLE,Detalhamento!$E1,Detalhamento!AW$15)),IF(INDEX(Import.PLE,Detalhamento!$E1,Detalhamento!AW$15)&lt;=mediçao,OFFSET(Import.PLQ,$A1-1,AW$15-1,1,1),0),0),PLE!$AA$28*OFFSET(Import.PLQ,$A1-1,AW$15-1,1,1)),IF($E1&lt;&gt;1,IF(ISNUMBER(INDEX(Import.PLE,Detalhamento!$E1,Detalhamento!AW$15)),IF(INDEX(Import.PLE,Detalhamento!$E1,Detalhamento!AW$15)&lt;=mediçao,0,OFFSET(Import.PLQ,$A1-1,AW$15-1,1,1)),OFFSET(Import.PLQ,$A1-1,AW$15-1,1,1)),(1-PLE!$AA$28)*OFFSET(Import.PLQ,$A1-1,AW$15-1,1,1))))</f>
        <v>0</v>
      </c>
      <c r="AX1" s="145">
        <f ca="1">IF(AX$13="",0,CHOOSE(Detalhamento.OpçãoServiços,OFFSET(Import.PLQ,$A1-1,AX$15-1,1,1),IF($E1&lt;&gt;1,IF(ISNUMBER(INDEX(Import.PLE,Detalhamento!$E1,Detalhamento!AX$15)),IF(INDEX(Import.PLE,Detalhamento!$E1,Detalhamento!AX$15)&lt;=mediçao,OFFSET(Import.PLQ,$A1-1,AX$15-1,1,1),0),0),PLE!$AA$28*OFFSET(Import.PLQ,$A1-1,AX$15-1,1,1)),IF($E1&lt;&gt;1,IF(ISNUMBER(INDEX(Import.PLE,Detalhamento!$E1,Detalhamento!AX$15)),IF(INDEX(Import.PLE,Detalhamento!$E1,Detalhamento!AX$15)&lt;=mediçao,0,OFFSET(Import.PLQ,$A1-1,AX$15-1,1,1)),OFFSET(Import.PLQ,$A1-1,AX$15-1,1,1)),(1-PLE!$AA$28)*OFFSET(Import.PLQ,$A1-1,AX$15-1,1,1))))</f>
        <v>0</v>
      </c>
      <c r="AY1" s="145">
        <f ca="1">IF(AY$13="",0,CHOOSE(Detalhamento.OpçãoServiços,OFFSET(Import.PLQ,$A1-1,AY$15-1,1,1),IF($E1&lt;&gt;1,IF(ISNUMBER(INDEX(Import.PLE,Detalhamento!$E1,Detalhamento!AY$15)),IF(INDEX(Import.PLE,Detalhamento!$E1,Detalhamento!AY$15)&lt;=mediçao,OFFSET(Import.PLQ,$A1-1,AY$15-1,1,1),0),0),PLE!$AA$28*OFFSET(Import.PLQ,$A1-1,AY$15-1,1,1)),IF($E1&lt;&gt;1,IF(ISNUMBER(INDEX(Import.PLE,Detalhamento!$E1,Detalhamento!AY$15)),IF(INDEX(Import.PLE,Detalhamento!$E1,Detalhamento!AY$15)&lt;=mediçao,0,OFFSET(Import.PLQ,$A1-1,AY$15-1,1,1)),OFFSET(Import.PLQ,$A1-1,AY$15-1,1,1)),(1-PLE!$AA$28)*OFFSET(Import.PLQ,$A1-1,AY$15-1,1,1))))</f>
        <v>0</v>
      </c>
      <c r="AZ1" s="145">
        <f ca="1">IF(AZ$13="",0,CHOOSE(Detalhamento.OpçãoServiços,OFFSET(Import.PLQ,$A1-1,AZ$15-1,1,1),IF($E1&lt;&gt;1,IF(ISNUMBER(INDEX(Import.PLE,Detalhamento!$E1,Detalhamento!AZ$15)),IF(INDEX(Import.PLE,Detalhamento!$E1,Detalhamento!AZ$15)&lt;=mediçao,OFFSET(Import.PLQ,$A1-1,AZ$15-1,1,1),0),0),PLE!$AA$28*OFFSET(Import.PLQ,$A1-1,AZ$15-1,1,1)),IF($E1&lt;&gt;1,IF(ISNUMBER(INDEX(Import.PLE,Detalhamento!$E1,Detalhamento!AZ$15)),IF(INDEX(Import.PLE,Detalhamento!$E1,Detalhamento!AZ$15)&lt;=mediçao,0,OFFSET(Import.PLQ,$A1-1,AZ$15-1,1,1)),OFFSET(Import.PLQ,$A1-1,AZ$15-1,1,1)),(1-PLE!$AA$28)*OFFSET(Import.PLQ,$A1-1,AZ$15-1,1,1))))</f>
        <v>0</v>
      </c>
      <c r="BA1" s="145">
        <f ca="1">IF(BA$13="",0,CHOOSE(Detalhamento.OpçãoServiços,OFFSET(Import.PLQ,$A1-1,BA$15-1,1,1),IF($E1&lt;&gt;1,IF(ISNUMBER(INDEX(Import.PLE,Detalhamento!$E1,Detalhamento!BA$15)),IF(INDEX(Import.PLE,Detalhamento!$E1,Detalhamento!BA$15)&lt;=mediçao,OFFSET(Import.PLQ,$A1-1,BA$15-1,1,1),0),0),PLE!$AA$28*OFFSET(Import.PLQ,$A1-1,BA$15-1,1,1)),IF($E1&lt;&gt;1,IF(ISNUMBER(INDEX(Import.PLE,Detalhamento!$E1,Detalhamento!BA$15)),IF(INDEX(Import.PLE,Detalhamento!$E1,Detalhamento!BA$15)&lt;=mediçao,0,OFFSET(Import.PLQ,$A1-1,BA$15-1,1,1)),OFFSET(Import.PLQ,$A1-1,BA$15-1,1,1)),(1-PLE!$AA$28)*OFFSET(Import.PLQ,$A1-1,BA$15-1,1,1))))</f>
        <v>0</v>
      </c>
      <c r="BB1" s="145">
        <f ca="1">IF(BB$13="",0,CHOOSE(Detalhamento.OpçãoServiços,OFFSET(Import.PLQ,$A1-1,BB$15-1,1,1),IF($E1&lt;&gt;1,IF(ISNUMBER(INDEX(Import.PLE,Detalhamento!$E1,Detalhamento!BB$15)),IF(INDEX(Import.PLE,Detalhamento!$E1,Detalhamento!BB$15)&lt;=mediçao,OFFSET(Import.PLQ,$A1-1,BB$15-1,1,1),0),0),PLE!$AA$28*OFFSET(Import.PLQ,$A1-1,BB$15-1,1,1)),IF($E1&lt;&gt;1,IF(ISNUMBER(INDEX(Import.PLE,Detalhamento!$E1,Detalhamento!BB$15)),IF(INDEX(Import.PLE,Detalhamento!$E1,Detalhamento!BB$15)&lt;=mediçao,0,OFFSET(Import.PLQ,$A1-1,BB$15-1,1,1)),OFFSET(Import.PLQ,$A1-1,BB$15-1,1,1)),(1-PLE!$AA$28)*OFFSET(Import.PLQ,$A1-1,BB$15-1,1,1))))</f>
        <v>0</v>
      </c>
      <c r="BC1" s="145">
        <f ca="1">IF(BC$13="",0,CHOOSE(Detalhamento.OpçãoServiços,OFFSET(Import.PLQ,$A1-1,BC$15-1,1,1),IF($E1&lt;&gt;1,IF(ISNUMBER(INDEX(Import.PLE,Detalhamento!$E1,Detalhamento!BC$15)),IF(INDEX(Import.PLE,Detalhamento!$E1,Detalhamento!BC$15)&lt;=mediçao,OFFSET(Import.PLQ,$A1-1,BC$15-1,1,1),0),0),PLE!$AA$28*OFFSET(Import.PLQ,$A1-1,BC$15-1,1,1)),IF($E1&lt;&gt;1,IF(ISNUMBER(INDEX(Import.PLE,Detalhamento!$E1,Detalhamento!BC$15)),IF(INDEX(Import.PLE,Detalhamento!$E1,Detalhamento!BC$15)&lt;=mediçao,0,OFFSET(Import.PLQ,$A1-1,BC$15-1,1,1)),OFFSET(Import.PLQ,$A1-1,BC$15-1,1,1)),(1-PLE!$AA$28)*OFFSET(Import.PLQ,$A1-1,BC$15-1,1,1))))</f>
        <v>0</v>
      </c>
      <c r="BD1" s="145">
        <f ca="1">IF(BD$13="",0,CHOOSE(Detalhamento.OpçãoServiços,OFFSET(Import.PLQ,$A1-1,BD$15-1,1,1),IF($E1&lt;&gt;1,IF(ISNUMBER(INDEX(Import.PLE,Detalhamento!$E1,Detalhamento!BD$15)),IF(INDEX(Import.PLE,Detalhamento!$E1,Detalhamento!BD$15)&lt;=mediçao,OFFSET(Import.PLQ,$A1-1,BD$15-1,1,1),0),0),PLE!$AA$28*OFFSET(Import.PLQ,$A1-1,BD$15-1,1,1)),IF($E1&lt;&gt;1,IF(ISNUMBER(INDEX(Import.PLE,Detalhamento!$E1,Detalhamento!BD$15)),IF(INDEX(Import.PLE,Detalhamento!$E1,Detalhamento!BD$15)&lt;=mediçao,0,OFFSET(Import.PLQ,$A1-1,BD$15-1,1,1)),OFFSET(Import.PLQ,$A1-1,BD$15-1,1,1)),(1-PLE!$AA$28)*OFFSET(Import.PLQ,$A1-1,BD$15-1,1,1))))</f>
        <v>0</v>
      </c>
      <c r="BE1" s="145">
        <f ca="1">IF(BE$13="",0,CHOOSE(Detalhamento.OpçãoServiços,OFFSET(Import.PLQ,$A1-1,BE$15-1,1,1),IF($E1&lt;&gt;1,IF(ISNUMBER(INDEX(Import.PLE,Detalhamento!$E1,Detalhamento!BE$15)),IF(INDEX(Import.PLE,Detalhamento!$E1,Detalhamento!BE$15)&lt;=mediçao,OFFSET(Import.PLQ,$A1-1,BE$15-1,1,1),0),0),PLE!$AA$28*OFFSET(Import.PLQ,$A1-1,BE$15-1,1,1)),IF($E1&lt;&gt;1,IF(ISNUMBER(INDEX(Import.PLE,Detalhamento!$E1,Detalhamento!BE$15)),IF(INDEX(Import.PLE,Detalhamento!$E1,Detalhamento!BE$15)&lt;=mediçao,0,OFFSET(Import.PLQ,$A1-1,BE$15-1,1,1)),OFFSET(Import.PLQ,$A1-1,BE$15-1,1,1)),(1-PLE!$AA$28)*OFFSET(Import.PLQ,$A1-1,BE$15-1,1,1))))</f>
        <v>0</v>
      </c>
      <c r="BF1" s="145">
        <f ca="1">IF(BF$13="",0,CHOOSE(Detalhamento.OpçãoServiços,OFFSET(Import.PLQ,$A1-1,BF$15-1,1,1),IF($E1&lt;&gt;1,IF(ISNUMBER(INDEX(Import.PLE,Detalhamento!$E1,Detalhamento!BF$15)),IF(INDEX(Import.PLE,Detalhamento!$E1,Detalhamento!BF$15)&lt;=mediçao,OFFSET(Import.PLQ,$A1-1,BF$15-1,1,1),0),0),PLE!$AA$28*OFFSET(Import.PLQ,$A1-1,BF$15-1,1,1)),IF($E1&lt;&gt;1,IF(ISNUMBER(INDEX(Import.PLE,Detalhamento!$E1,Detalhamento!BF$15)),IF(INDEX(Import.PLE,Detalhamento!$E1,Detalhamento!BF$15)&lt;=mediçao,0,OFFSET(Import.PLQ,$A1-1,BF$15-1,1,1)),OFFSET(Import.PLQ,$A1-1,BF$15-1,1,1)),(1-PLE!$AA$28)*OFFSET(Import.PLQ,$A1-1,BF$15-1,1,1))))</f>
        <v>0</v>
      </c>
      <c r="BG1" s="145">
        <f ca="1">IF(BG$13="",0,CHOOSE(Detalhamento.OpçãoServiços,OFFSET(Import.PLQ,$A1-1,BG$15-1,1,1),IF($E1&lt;&gt;1,IF(ISNUMBER(INDEX(Import.PLE,Detalhamento!$E1,Detalhamento!BG$15)),IF(INDEX(Import.PLE,Detalhamento!$E1,Detalhamento!BG$15)&lt;=mediçao,OFFSET(Import.PLQ,$A1-1,BG$15-1,1,1),0),0),PLE!$AA$28*OFFSET(Import.PLQ,$A1-1,BG$15-1,1,1)),IF($E1&lt;&gt;1,IF(ISNUMBER(INDEX(Import.PLE,Detalhamento!$E1,Detalhamento!BG$15)),IF(INDEX(Import.PLE,Detalhamento!$E1,Detalhamento!BG$15)&lt;=mediçao,0,OFFSET(Import.PLQ,$A1-1,BG$15-1,1,1)),OFFSET(Import.PLQ,$A1-1,BG$15-1,1,1)),(1-PLE!$AA$28)*OFFSET(Import.PLQ,$A1-1,BG$15-1,1,1))))</f>
        <v>0</v>
      </c>
      <c r="BH1" s="145">
        <f ca="1">IF(BH$13="",0,CHOOSE(Detalhamento.OpçãoServiços,OFFSET(Import.PLQ,$A1-1,BH$15-1,1,1),IF($E1&lt;&gt;1,IF(ISNUMBER(INDEX(Import.PLE,Detalhamento!$E1,Detalhamento!BH$15)),IF(INDEX(Import.PLE,Detalhamento!$E1,Detalhamento!BH$15)&lt;=mediçao,OFFSET(Import.PLQ,$A1-1,BH$15-1,1,1),0),0),PLE!$AA$28*OFFSET(Import.PLQ,$A1-1,BH$15-1,1,1)),IF($E1&lt;&gt;1,IF(ISNUMBER(INDEX(Import.PLE,Detalhamento!$E1,Detalhamento!BH$15)),IF(INDEX(Import.PLE,Detalhamento!$E1,Detalhamento!BH$15)&lt;=mediçao,0,OFFSET(Import.PLQ,$A1-1,BH$15-1,1,1)),OFFSET(Import.PLQ,$A1-1,BH$15-1,1,1)),(1-PLE!$AA$28)*OFFSET(Import.PLQ,$A1-1,BH$15-1,1,1))))</f>
        <v>0</v>
      </c>
      <c r="BI1" s="145">
        <f ca="1">IF(BI$13="",0,CHOOSE(Detalhamento.OpçãoServiços,OFFSET(Import.PLQ,$A1-1,BI$15-1,1,1),IF($E1&lt;&gt;1,IF(ISNUMBER(INDEX(Import.PLE,Detalhamento!$E1,Detalhamento!BI$15)),IF(INDEX(Import.PLE,Detalhamento!$E1,Detalhamento!BI$15)&lt;=mediçao,OFFSET(Import.PLQ,$A1-1,BI$15-1,1,1),0),0),PLE!$AA$28*OFFSET(Import.PLQ,$A1-1,BI$15-1,1,1)),IF($E1&lt;&gt;1,IF(ISNUMBER(INDEX(Import.PLE,Detalhamento!$E1,Detalhamento!BI$15)),IF(INDEX(Import.PLE,Detalhamento!$E1,Detalhamento!BI$15)&lt;=mediçao,0,OFFSET(Import.PLQ,$A1-1,BI$15-1,1,1)),OFFSET(Import.PLQ,$A1-1,BI$15-1,1,1)),(1-PLE!$AA$28)*OFFSET(Import.PLQ,$A1-1,BI$15-1,1,1))))</f>
        <v>0</v>
      </c>
    </row>
    <row r="2" spans="1:61" s="26" customFormat="1" ht="24" x14ac:dyDescent="0.25">
      <c r="F2" s="25"/>
      <c r="H2" s="25" t="s">
        <v>48</v>
      </c>
      <c r="I2" s="25"/>
      <c r="J2" s="25"/>
      <c r="K2" s="25"/>
      <c r="L2" s="25"/>
      <c r="M2" s="25"/>
      <c r="N2" s="25"/>
      <c r="O2" s="25"/>
      <c r="P2" s="60"/>
      <c r="Q2" s="61" t="s">
        <v>47</v>
      </c>
      <c r="W2" s="61" t="s">
        <v>47</v>
      </c>
      <c r="AC2" s="61" t="s">
        <v>47</v>
      </c>
      <c r="AI2" s="61" t="s">
        <v>47</v>
      </c>
      <c r="AO2" s="61" t="s">
        <v>47</v>
      </c>
      <c r="AU2" s="61" t="s">
        <v>47</v>
      </c>
      <c r="BA2" s="61" t="s">
        <v>47</v>
      </c>
      <c r="BG2" s="61" t="s">
        <v>47</v>
      </c>
    </row>
    <row r="6" spans="1:61" x14ac:dyDescent="0.2">
      <c r="B6" s="21" t="s">
        <v>122</v>
      </c>
    </row>
    <row r="7" spans="1:61" x14ac:dyDescent="0.2">
      <c r="B7" s="21" t="s">
        <v>123</v>
      </c>
    </row>
    <row r="8" spans="1:61" x14ac:dyDescent="0.2">
      <c r="B8" s="153">
        <v>1</v>
      </c>
    </row>
    <row r="9" spans="1:61" x14ac:dyDescent="0.2">
      <c r="B9" s="21" t="s">
        <v>119</v>
      </c>
    </row>
    <row r="10" spans="1:61" x14ac:dyDescent="0.2">
      <c r="B10" s="21" t="s">
        <v>120</v>
      </c>
    </row>
    <row r="11" spans="1:61" x14ac:dyDescent="0.2">
      <c r="B11" s="21" t="s">
        <v>121</v>
      </c>
    </row>
    <row r="12" spans="1:61" x14ac:dyDescent="0.2">
      <c r="B12" s="153">
        <v>1</v>
      </c>
    </row>
    <row r="13" spans="1:61" ht="81.75" customHeight="1" x14ac:dyDescent="0.2">
      <c r="A13" s="62"/>
      <c r="E13" s="30"/>
      <c r="F13" s="62"/>
      <c r="G13" s="62"/>
      <c r="H13" s="128"/>
      <c r="J13" s="63" t="s">
        <v>39</v>
      </c>
      <c r="K13" s="53"/>
      <c r="L13" s="64" t="str">
        <f>IF(Eventograma_e_Quantitativos!N15&lt;&gt;"",Eventograma_e_Quantitativos!N15,"")</f>
        <v>Rua Oficial de Justiça Vicente Gregório Antão</v>
      </c>
      <c r="M13" s="64" t="str">
        <f>IF(Eventograma_e_Quantitativos!O15&lt;&gt;"",Eventograma_e_Quantitativos!O15,"")</f>
        <v>Rua Francisca Garrido de Sousa</v>
      </c>
      <c r="N13" s="64" t="str">
        <f>IF(Eventograma_e_Quantitativos!P15&lt;&gt;"",Eventograma_e_Quantitativos!P15,"")</f>
        <v>Rua Francisco Batista Silva</v>
      </c>
      <c r="O13" s="64" t="str">
        <f>IF(Eventograma_e_Quantitativos!Q15&lt;&gt;"",Eventograma_e_Quantitativos!Q15,"")</f>
        <v>Rua Bartolomeu Buriti</v>
      </c>
      <c r="P13" s="64" t="str">
        <f>IF(Eventograma_e_Quantitativos!R15&lt;&gt;"",Eventograma_e_Quantitativos!R15,"")</f>
        <v>Rua Maria Farias de Assis</v>
      </c>
      <c r="Q13" s="64" t="str">
        <f>IF(Eventograma_e_Quantitativos!S15&lt;&gt;"",Eventograma_e_Quantitativos!S15,"")</f>
        <v>Rua Roberto Wilson Moura</v>
      </c>
      <c r="R13" s="64" t="str">
        <f>IF(Eventograma_e_Quantitativos!T15&lt;&gt;"",Eventograma_e_Quantitativos!T15,"")</f>
        <v>Rua Cícero Eufrásio da Silva</v>
      </c>
      <c r="S13" s="64" t="str">
        <f>IF(Eventograma_e_Quantitativos!U15&lt;&gt;"",Eventograma_e_Quantitativos!U15,"")</f>
        <v>Rua Firmino da Silva Lacerda</v>
      </c>
      <c r="T13" s="64" t="str">
        <f>IF(Eventograma_e_Quantitativos!V15&lt;&gt;"",Eventograma_e_Quantitativos!V15,"")</f>
        <v/>
      </c>
      <c r="U13" s="64" t="str">
        <f>IF(Eventograma_e_Quantitativos!W15&lt;&gt;"",Eventograma_e_Quantitativos!W15,"")</f>
        <v/>
      </c>
      <c r="V13" s="64" t="str">
        <f>IF(Eventograma_e_Quantitativos!X15&lt;&gt;"",Eventograma_e_Quantitativos!X15,"")</f>
        <v/>
      </c>
      <c r="W13" s="64" t="str">
        <f>IF(Eventograma_e_Quantitativos!Y15&lt;&gt;"",Eventograma_e_Quantitativos!Y15,"")</f>
        <v/>
      </c>
      <c r="X13" s="64" t="str">
        <f>IF(Eventograma_e_Quantitativos!Z15&lt;&gt;"",Eventograma_e_Quantitativos!Z15,"")</f>
        <v/>
      </c>
      <c r="Y13" s="64" t="str">
        <f>IF(Eventograma_e_Quantitativos!AA15&lt;&gt;"",Eventograma_e_Quantitativos!AA15,"")</f>
        <v/>
      </c>
      <c r="Z13" s="64" t="str">
        <f>IF(Eventograma_e_Quantitativos!AB15&lt;&gt;"",Eventograma_e_Quantitativos!AB15,"")</f>
        <v/>
      </c>
      <c r="AA13" s="64" t="str">
        <f>IF(Eventograma_e_Quantitativos!AC15&lt;&gt;"",Eventograma_e_Quantitativos!AC15,"")</f>
        <v/>
      </c>
      <c r="AB13" s="64" t="str">
        <f>IF(Eventograma_e_Quantitativos!AD15&lt;&gt;"",Eventograma_e_Quantitativos!AD15,"")</f>
        <v/>
      </c>
      <c r="AC13" s="64" t="str">
        <f>IF(Eventograma_e_Quantitativos!AE15&lt;&gt;"",Eventograma_e_Quantitativos!AE15,"")</f>
        <v/>
      </c>
      <c r="AD13" s="64" t="str">
        <f>IF(Eventograma_e_Quantitativos!AF15&lt;&gt;"",Eventograma_e_Quantitativos!AF15,"")</f>
        <v/>
      </c>
      <c r="AE13" s="64" t="str">
        <f>IF(Eventograma_e_Quantitativos!AG15&lt;&gt;"",Eventograma_e_Quantitativos!AG15,"")</f>
        <v/>
      </c>
      <c r="AF13" s="64" t="str">
        <f>IF(Eventograma_e_Quantitativos!AH15&lt;&gt;"",Eventograma_e_Quantitativos!AH15,"")</f>
        <v/>
      </c>
      <c r="AG13" s="64" t="str">
        <f>IF(Eventograma_e_Quantitativos!AI15&lt;&gt;"",Eventograma_e_Quantitativos!AI15,"")</f>
        <v/>
      </c>
      <c r="AH13" s="64" t="str">
        <f>IF(Eventograma_e_Quantitativos!AJ15&lt;&gt;"",Eventograma_e_Quantitativos!AJ15,"")</f>
        <v/>
      </c>
      <c r="AI13" s="64" t="str">
        <f>IF(Eventograma_e_Quantitativos!AK15&lt;&gt;"",Eventograma_e_Quantitativos!AK15,"")</f>
        <v/>
      </c>
      <c r="AJ13" s="64" t="str">
        <f>IF(Eventograma_e_Quantitativos!AL15&lt;&gt;"",Eventograma_e_Quantitativos!AL15,"")</f>
        <v/>
      </c>
      <c r="AK13" s="64" t="str">
        <f>IF(Eventograma_e_Quantitativos!AM15&lt;&gt;"",Eventograma_e_Quantitativos!AM15,"")</f>
        <v/>
      </c>
      <c r="AL13" s="64" t="str">
        <f>IF(Eventograma_e_Quantitativos!AN15&lt;&gt;"",Eventograma_e_Quantitativos!AN15,"")</f>
        <v/>
      </c>
      <c r="AM13" s="64" t="str">
        <f>IF(Eventograma_e_Quantitativos!AO15&lt;&gt;"",Eventograma_e_Quantitativos!AO15,"")</f>
        <v/>
      </c>
      <c r="AN13" s="64" t="str">
        <f>IF(Eventograma_e_Quantitativos!AP15&lt;&gt;"",Eventograma_e_Quantitativos!AP15,"")</f>
        <v/>
      </c>
      <c r="AO13" s="64" t="str">
        <f>IF(Eventograma_e_Quantitativos!AQ15&lt;&gt;"",Eventograma_e_Quantitativos!AQ15,"")</f>
        <v/>
      </c>
      <c r="AP13" s="64" t="str">
        <f>IF(Eventograma_e_Quantitativos!AR15&lt;&gt;"",Eventograma_e_Quantitativos!AR15,"")</f>
        <v/>
      </c>
      <c r="AQ13" s="64" t="str">
        <f>IF(Eventograma_e_Quantitativos!AS15&lt;&gt;"",Eventograma_e_Quantitativos!AS15,"")</f>
        <v/>
      </c>
      <c r="AR13" s="64" t="str">
        <f>IF(Eventograma_e_Quantitativos!AT15&lt;&gt;"",Eventograma_e_Quantitativos!AT15,"")</f>
        <v/>
      </c>
      <c r="AS13" s="64" t="str">
        <f>IF(Eventograma_e_Quantitativos!AU15&lt;&gt;"",Eventograma_e_Quantitativos!AU15,"")</f>
        <v/>
      </c>
      <c r="AT13" s="64" t="str">
        <f>IF(Eventograma_e_Quantitativos!AV15&lt;&gt;"",Eventograma_e_Quantitativos!AV15,"")</f>
        <v/>
      </c>
      <c r="AU13" s="64" t="str">
        <f>IF(Eventograma_e_Quantitativos!AW15&lt;&gt;"",Eventograma_e_Quantitativos!AW15,"")</f>
        <v/>
      </c>
      <c r="AV13" s="64" t="str">
        <f>IF(Eventograma_e_Quantitativos!AX15&lt;&gt;"",Eventograma_e_Quantitativos!AX15,"")</f>
        <v/>
      </c>
      <c r="AW13" s="64" t="str">
        <f>IF(Eventograma_e_Quantitativos!AY15&lt;&gt;"",Eventograma_e_Quantitativos!AY15,"")</f>
        <v/>
      </c>
      <c r="AX13" s="64" t="str">
        <f>IF(Eventograma_e_Quantitativos!AZ15&lt;&gt;"",Eventograma_e_Quantitativos!AZ15,"")</f>
        <v/>
      </c>
      <c r="AY13" s="64" t="str">
        <f>IF(Eventograma_e_Quantitativos!BA15&lt;&gt;"",Eventograma_e_Quantitativos!BA15,"")</f>
        <v/>
      </c>
      <c r="AZ13" s="64" t="str">
        <f>IF(Eventograma_e_Quantitativos!BB15&lt;&gt;"",Eventograma_e_Quantitativos!BB15,"")</f>
        <v/>
      </c>
      <c r="BA13" s="64" t="str">
        <f>IF(Eventograma_e_Quantitativos!BC15&lt;&gt;"",Eventograma_e_Quantitativos!BC15,"")</f>
        <v/>
      </c>
      <c r="BB13" s="64" t="str">
        <f>IF(Eventograma_e_Quantitativos!BD15&lt;&gt;"",Eventograma_e_Quantitativos!BD15,"")</f>
        <v/>
      </c>
      <c r="BC13" s="64" t="str">
        <f>IF(Eventograma_e_Quantitativos!BE15&lt;&gt;"",Eventograma_e_Quantitativos!BE15,"")</f>
        <v/>
      </c>
      <c r="BD13" s="64" t="str">
        <f>IF(Eventograma_e_Quantitativos!BF15&lt;&gt;"",Eventograma_e_Quantitativos!BF15,"")</f>
        <v/>
      </c>
      <c r="BE13" s="64" t="str">
        <f>IF(Eventograma_e_Quantitativos!BG15&lt;&gt;"",Eventograma_e_Quantitativos!BG15,"")</f>
        <v/>
      </c>
      <c r="BF13" s="64" t="str">
        <f>IF(Eventograma_e_Quantitativos!BH15&lt;&gt;"",Eventograma_e_Quantitativos!BH15,"")</f>
        <v/>
      </c>
      <c r="BG13" s="64" t="str">
        <f>IF(Eventograma_e_Quantitativos!BI15&lt;&gt;"",Eventograma_e_Quantitativos!BI15,"")</f>
        <v/>
      </c>
      <c r="BH13" s="64" t="str">
        <f>IF(Eventograma_e_Quantitativos!BJ15&lt;&gt;"",Eventograma_e_Quantitativos!BJ15,"")</f>
        <v/>
      </c>
      <c r="BI13" s="64" t="str">
        <f>IF(Eventograma_e_Quantitativos!BK15&lt;&gt;"",Eventograma_e_Quantitativos!BK15,"")</f>
        <v/>
      </c>
    </row>
    <row r="14" spans="1:61" x14ac:dyDescent="0.2">
      <c r="E14" s="20" t="str">
        <f ca="1">"Valor "&amp;CHOOSE(Detalhamento.OpçãoServiços,"de Investimento","Executado","A Executar")&amp;": R$ "&amp;TEXT(SUMIF(OFFSET(Detalhamento,0,6),"Evento",OFFSET(Detalhamento,0,9)),"#.#0,00")</f>
        <v>Valor de Investimento: R$ 797.972,21</v>
      </c>
      <c r="J14" s="53" t="s">
        <v>23</v>
      </c>
      <c r="K14" s="53"/>
      <c r="L14" s="144">
        <f t="shared" ref="L14:AQ14" ca="1" si="0">CHOOSE(Detalhamento.OpçãoServiços,SUM(OFFSET(PreçoServiçoPorFrente,0,L15-1,,1)),SUM(OFFSET(PreçoServiçosPorFrente.Executados,0,L15-1,,1)),SUM(OFFSET(PreçoServiçoPorFrente,0,L15-1,,1))-SUM(OFFSET(PreçoServiçosPorFrente.Executados,0,L15-1,,1)))</f>
        <v>160678.93955982249</v>
      </c>
      <c r="M14" s="144">
        <f t="shared" ca="1" si="0"/>
        <v>69957.082519970092</v>
      </c>
      <c r="N14" s="144">
        <f t="shared" ca="1" si="0"/>
        <v>105461.36589633689</v>
      </c>
      <c r="O14" s="144">
        <f t="shared" ca="1" si="0"/>
        <v>156029.51732997122</v>
      </c>
      <c r="P14" s="144">
        <f t="shared" ca="1" si="0"/>
        <v>58556.933237861718</v>
      </c>
      <c r="Q14" s="144">
        <f t="shared" ca="1" si="0"/>
        <v>108853.20151831269</v>
      </c>
      <c r="R14" s="144">
        <f t="shared" ca="1" si="0"/>
        <v>78682.550065307893</v>
      </c>
      <c r="S14" s="144">
        <f t="shared" ca="1" si="0"/>
        <v>59752.61987241701</v>
      </c>
      <c r="T14" s="144">
        <f t="shared" ca="1" si="0"/>
        <v>0</v>
      </c>
      <c r="U14" s="144">
        <f t="shared" ca="1" si="0"/>
        <v>0</v>
      </c>
      <c r="V14" s="144">
        <f t="shared" ca="1" si="0"/>
        <v>0</v>
      </c>
      <c r="W14" s="144">
        <f t="shared" ca="1" si="0"/>
        <v>0</v>
      </c>
      <c r="X14" s="144">
        <f t="shared" ca="1" si="0"/>
        <v>0</v>
      </c>
      <c r="Y14" s="144">
        <f t="shared" ca="1" si="0"/>
        <v>0</v>
      </c>
      <c r="Z14" s="144">
        <f t="shared" ca="1" si="0"/>
        <v>0</v>
      </c>
      <c r="AA14" s="144">
        <f t="shared" ca="1" si="0"/>
        <v>0</v>
      </c>
      <c r="AB14" s="144">
        <f t="shared" ca="1" si="0"/>
        <v>0</v>
      </c>
      <c r="AC14" s="144">
        <f t="shared" ca="1" si="0"/>
        <v>0</v>
      </c>
      <c r="AD14" s="144">
        <f t="shared" ca="1" si="0"/>
        <v>0</v>
      </c>
      <c r="AE14" s="144">
        <f t="shared" ca="1" si="0"/>
        <v>0</v>
      </c>
      <c r="AF14" s="144">
        <f t="shared" ca="1" si="0"/>
        <v>0</v>
      </c>
      <c r="AG14" s="144">
        <f t="shared" ca="1" si="0"/>
        <v>0</v>
      </c>
      <c r="AH14" s="144">
        <f t="shared" ca="1" si="0"/>
        <v>0</v>
      </c>
      <c r="AI14" s="144">
        <f t="shared" ca="1" si="0"/>
        <v>0</v>
      </c>
      <c r="AJ14" s="144">
        <f t="shared" ca="1" si="0"/>
        <v>0</v>
      </c>
      <c r="AK14" s="144">
        <f t="shared" ca="1" si="0"/>
        <v>0</v>
      </c>
      <c r="AL14" s="144">
        <f t="shared" ca="1" si="0"/>
        <v>0</v>
      </c>
      <c r="AM14" s="144">
        <f t="shared" ca="1" si="0"/>
        <v>0</v>
      </c>
      <c r="AN14" s="144">
        <f t="shared" ca="1" si="0"/>
        <v>0</v>
      </c>
      <c r="AO14" s="144">
        <f t="shared" ca="1" si="0"/>
        <v>0</v>
      </c>
      <c r="AP14" s="144">
        <f t="shared" ca="1" si="0"/>
        <v>0</v>
      </c>
      <c r="AQ14" s="144">
        <f t="shared" ca="1" si="0"/>
        <v>0</v>
      </c>
      <c r="AR14" s="144">
        <f t="shared" ref="AR14:BI14" ca="1" si="1">CHOOSE(Detalhamento.OpçãoServiços,SUM(OFFSET(PreçoServiçoPorFrente,0,AR15-1,,1)),SUM(OFFSET(PreçoServiçosPorFrente.Executados,0,AR15-1,,1)),SUM(OFFSET(PreçoServiçoPorFrente,0,AR15-1,,1))-SUM(OFFSET(PreçoServiçosPorFrente.Executados,0,AR15-1,,1)))</f>
        <v>0</v>
      </c>
      <c r="AS14" s="144">
        <f t="shared" ca="1" si="1"/>
        <v>0</v>
      </c>
      <c r="AT14" s="144">
        <f t="shared" ca="1" si="1"/>
        <v>0</v>
      </c>
      <c r="AU14" s="144">
        <f t="shared" ca="1" si="1"/>
        <v>0</v>
      </c>
      <c r="AV14" s="144">
        <f t="shared" ca="1" si="1"/>
        <v>0</v>
      </c>
      <c r="AW14" s="144">
        <f t="shared" ca="1" si="1"/>
        <v>0</v>
      </c>
      <c r="AX14" s="144">
        <f t="shared" ca="1" si="1"/>
        <v>0</v>
      </c>
      <c r="AY14" s="144">
        <f t="shared" ca="1" si="1"/>
        <v>0</v>
      </c>
      <c r="AZ14" s="144">
        <f t="shared" ca="1" si="1"/>
        <v>0</v>
      </c>
      <c r="BA14" s="144">
        <f t="shared" ca="1" si="1"/>
        <v>0</v>
      </c>
      <c r="BB14" s="144">
        <f t="shared" ca="1" si="1"/>
        <v>0</v>
      </c>
      <c r="BC14" s="144">
        <f t="shared" ca="1" si="1"/>
        <v>0</v>
      </c>
      <c r="BD14" s="144">
        <f t="shared" ca="1" si="1"/>
        <v>0</v>
      </c>
      <c r="BE14" s="144">
        <f t="shared" ca="1" si="1"/>
        <v>0</v>
      </c>
      <c r="BF14" s="144">
        <f t="shared" ca="1" si="1"/>
        <v>0</v>
      </c>
      <c r="BG14" s="144">
        <f t="shared" ca="1" si="1"/>
        <v>0</v>
      </c>
      <c r="BH14" s="144">
        <f t="shared" ca="1" si="1"/>
        <v>0</v>
      </c>
      <c r="BI14" s="144">
        <f t="shared" ca="1" si="1"/>
        <v>0</v>
      </c>
    </row>
    <row r="15" spans="1:61" s="27" customFormat="1" x14ac:dyDescent="0.2">
      <c r="E15" s="65" t="s">
        <v>2</v>
      </c>
      <c r="F15" s="66" t="s">
        <v>6</v>
      </c>
      <c r="G15" s="66" t="s">
        <v>5</v>
      </c>
      <c r="H15" s="65" t="s">
        <v>97</v>
      </c>
      <c r="I15" s="66" t="s">
        <v>3</v>
      </c>
      <c r="J15" s="66" t="s">
        <v>4</v>
      </c>
      <c r="K15" s="53"/>
      <c r="L15" s="66">
        <v>1</v>
      </c>
      <c r="M15" s="66">
        <v>2</v>
      </c>
      <c r="N15" s="66">
        <v>3</v>
      </c>
      <c r="O15" s="66">
        <v>4</v>
      </c>
      <c r="P15" s="66">
        <v>5</v>
      </c>
      <c r="Q15" s="66">
        <v>6</v>
      </c>
      <c r="R15" s="66">
        <v>7</v>
      </c>
      <c r="S15" s="66">
        <v>8</v>
      </c>
      <c r="T15" s="66">
        <v>9</v>
      </c>
      <c r="U15" s="66">
        <v>10</v>
      </c>
      <c r="V15" s="66">
        <v>11</v>
      </c>
      <c r="W15" s="66">
        <v>12</v>
      </c>
      <c r="X15" s="66">
        <v>13</v>
      </c>
      <c r="Y15" s="66">
        <v>14</v>
      </c>
      <c r="Z15" s="66">
        <v>15</v>
      </c>
      <c r="AA15" s="66">
        <v>16</v>
      </c>
      <c r="AB15" s="66">
        <v>17</v>
      </c>
      <c r="AC15" s="66">
        <v>18</v>
      </c>
      <c r="AD15" s="66">
        <v>19</v>
      </c>
      <c r="AE15" s="66">
        <v>20</v>
      </c>
      <c r="AF15" s="66">
        <v>21</v>
      </c>
      <c r="AG15" s="66">
        <v>22</v>
      </c>
      <c r="AH15" s="66">
        <v>23</v>
      </c>
      <c r="AI15" s="66">
        <v>24</v>
      </c>
      <c r="AJ15" s="66">
        <v>25</v>
      </c>
      <c r="AK15" s="66">
        <v>26</v>
      </c>
      <c r="AL15" s="66">
        <v>27</v>
      </c>
      <c r="AM15" s="66">
        <v>28</v>
      </c>
      <c r="AN15" s="66">
        <v>29</v>
      </c>
      <c r="AO15" s="66">
        <v>30</v>
      </c>
      <c r="AP15" s="66">
        <v>31</v>
      </c>
      <c r="AQ15" s="66">
        <v>32</v>
      </c>
      <c r="AR15" s="66">
        <v>33</v>
      </c>
      <c r="AS15" s="66">
        <v>34</v>
      </c>
      <c r="AT15" s="66">
        <v>35</v>
      </c>
      <c r="AU15" s="66">
        <v>36</v>
      </c>
      <c r="AV15" s="66">
        <v>37</v>
      </c>
      <c r="AW15" s="66">
        <v>38</v>
      </c>
      <c r="AX15" s="66">
        <v>39</v>
      </c>
      <c r="AY15" s="66">
        <v>40</v>
      </c>
      <c r="AZ15" s="66">
        <v>41</v>
      </c>
      <c r="BA15" s="66">
        <v>42</v>
      </c>
      <c r="BB15" s="66">
        <v>43</v>
      </c>
      <c r="BC15" s="66">
        <v>44</v>
      </c>
      <c r="BD15" s="66">
        <v>45</v>
      </c>
      <c r="BE15" s="66">
        <v>46</v>
      </c>
      <c r="BF15" s="66">
        <v>47</v>
      </c>
      <c r="BG15" s="66">
        <v>48</v>
      </c>
      <c r="BH15" s="66">
        <v>49</v>
      </c>
      <c r="BI15" s="66">
        <v>50</v>
      </c>
    </row>
    <row r="16" spans="1:61" s="29" customFormat="1" ht="7.5" customHeight="1" x14ac:dyDescent="0.2">
      <c r="B16" s="29">
        <v>2</v>
      </c>
      <c r="E16" s="124">
        <v>10</v>
      </c>
      <c r="F16" s="125"/>
      <c r="G16" s="125">
        <v>3</v>
      </c>
      <c r="H16" s="124">
        <v>4</v>
      </c>
      <c r="I16" s="125">
        <v>5</v>
      </c>
      <c r="J16" s="126">
        <v>8</v>
      </c>
      <c r="K16" s="126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</row>
    <row r="17" spans="1:61" hidden="1" x14ac:dyDescent="0.2">
      <c r="A17" s="156">
        <v>1</v>
      </c>
      <c r="B17" s="21" t="str">
        <f t="shared" ref="B17:B18" ca="1" si="2">OFFSET(LIorçamento,$A17-1,B$16,1,1)</f>
        <v>Nível</v>
      </c>
      <c r="E17" s="154" t="str">
        <f t="shared" ref="E17:E18" ca="1" si="3">OFFSET(LIorçamento,$A17-1,E$16,1,1)</f>
        <v/>
      </c>
      <c r="F17" s="155">
        <f t="shared" ref="F17:F18" ca="1" si="4">CHOOSE($B$8,IF(OR(Nível="Serviço",Nível="Evento"),E17*10^4+IF(Nível&lt;&gt;"Evento",A17,0),0),IF(Nível&lt;&gt;"Evento",A17,0))</f>
        <v>0</v>
      </c>
      <c r="G17" s="155" t="str">
        <f t="shared" ref="G17:H18" ca="1" si="5">OFFSET(LIorçamento,$A17-1,G$16,1,1)</f>
        <v>I</v>
      </c>
      <c r="H17" s="183" t="str">
        <f t="shared" ca="1" si="5"/>
        <v>PAVIMENTAÇÃO DE RUAS</v>
      </c>
      <c r="I17" s="37" t="str">
        <f t="shared" ref="I17:I18" ca="1" si="6">IF(OR(Nível="Serviço",Nível="evento"),OFFSET(LIorçamento,$A17-1,I$16,1,1),"")</f>
        <v/>
      </c>
      <c r="J17" s="145" t="str">
        <f t="shared" ref="J17:J18" ca="1" si="7">IF(OR(Nível="Serviço",Nível="evento"),SUM(L17:BI17),"")</f>
        <v/>
      </c>
      <c r="K17" s="67"/>
      <c r="L17" s="145">
        <f ca="1">IF(L$13="",0,CHOOSE(Detalhamento.OpçãoServiços,OFFSET(Import.PLQ,$A17-1,L$15-1,1,1),IF($E17&lt;&gt;1,IF(ISNUMBER(INDEX(Import.PLE,Detalhamento!$E17,Detalhamento!L$15)),IF(INDEX(Import.PLE,Detalhamento!$E17,Detalhamento!L$15)&lt;=mediçao,OFFSET(Import.PLQ,$A17-1,L$15-1,1,1),0),0),PLE!$AA$28*OFFSET(Import.PLQ,$A17-1,L$15-1,1,1)),IF($E17&lt;&gt;1,IF(ISNUMBER(INDEX(Import.PLE,Detalhamento!$E17,Detalhamento!L$15)),IF(INDEX(Import.PLE,Detalhamento!$E17,Detalhamento!L$15)&lt;=mediçao,0,OFFSET(Import.PLQ,$A17-1,L$15-1,1,1)),OFFSET(Import.PLQ,$A17-1,L$15-1,1,1)),(1-PLE!$AA$28)*OFFSET(Import.PLQ,$A17-1,L$15-1,1,1))))</f>
        <v>0</v>
      </c>
      <c r="M17" s="145">
        <f ca="1">IF(M$13="",0,CHOOSE(Detalhamento.OpçãoServiços,OFFSET(Import.PLQ,$A17-1,M$15-1,1,1),IF($E17&lt;&gt;1,IF(ISNUMBER(INDEX(Import.PLE,Detalhamento!$E17,Detalhamento!M$15)),IF(INDEX(Import.PLE,Detalhamento!$E17,Detalhamento!M$15)&lt;=mediçao,OFFSET(Import.PLQ,$A17-1,M$15-1,1,1),0),0),PLE!$AA$28*OFFSET(Import.PLQ,$A17-1,M$15-1,1,1)),IF($E17&lt;&gt;1,IF(ISNUMBER(INDEX(Import.PLE,Detalhamento!$E17,Detalhamento!M$15)),IF(INDEX(Import.PLE,Detalhamento!$E17,Detalhamento!M$15)&lt;=mediçao,0,OFFSET(Import.PLQ,$A17-1,M$15-1,1,1)),OFFSET(Import.PLQ,$A17-1,M$15-1,1,1)),(1-PLE!$AA$28)*OFFSET(Import.PLQ,$A17-1,M$15-1,1,1))))</f>
        <v>0</v>
      </c>
      <c r="N17" s="145">
        <f ca="1">IF(N$13="",0,CHOOSE(Detalhamento.OpçãoServiços,OFFSET(Import.PLQ,$A17-1,N$15-1,1,1),IF($E17&lt;&gt;1,IF(ISNUMBER(INDEX(Import.PLE,Detalhamento!$E17,Detalhamento!N$15)),IF(INDEX(Import.PLE,Detalhamento!$E17,Detalhamento!N$15)&lt;=mediçao,OFFSET(Import.PLQ,$A17-1,N$15-1,1,1),0),0),PLE!$AA$28*OFFSET(Import.PLQ,$A17-1,N$15-1,1,1)),IF($E17&lt;&gt;1,IF(ISNUMBER(INDEX(Import.PLE,Detalhamento!$E17,Detalhamento!N$15)),IF(INDEX(Import.PLE,Detalhamento!$E17,Detalhamento!N$15)&lt;=mediçao,0,OFFSET(Import.PLQ,$A17-1,N$15-1,1,1)),OFFSET(Import.PLQ,$A17-1,N$15-1,1,1)),(1-PLE!$AA$28)*OFFSET(Import.PLQ,$A17-1,N$15-1,1,1))))</f>
        <v>0</v>
      </c>
      <c r="O17" s="145">
        <f ca="1">IF(O$13="",0,CHOOSE(Detalhamento.OpçãoServiços,OFFSET(Import.PLQ,$A17-1,O$15-1,1,1),IF($E17&lt;&gt;1,IF(ISNUMBER(INDEX(Import.PLE,Detalhamento!$E17,Detalhamento!O$15)),IF(INDEX(Import.PLE,Detalhamento!$E17,Detalhamento!O$15)&lt;=mediçao,OFFSET(Import.PLQ,$A17-1,O$15-1,1,1),0),0),PLE!$AA$28*OFFSET(Import.PLQ,$A17-1,O$15-1,1,1)),IF($E17&lt;&gt;1,IF(ISNUMBER(INDEX(Import.PLE,Detalhamento!$E17,Detalhamento!O$15)),IF(INDEX(Import.PLE,Detalhamento!$E17,Detalhamento!O$15)&lt;=mediçao,0,OFFSET(Import.PLQ,$A17-1,O$15-1,1,1)),OFFSET(Import.PLQ,$A17-1,O$15-1,1,1)),(1-PLE!$AA$28)*OFFSET(Import.PLQ,$A17-1,O$15-1,1,1))))</f>
        <v>0</v>
      </c>
      <c r="P17" s="145">
        <f ca="1">IF(P$13="",0,CHOOSE(Detalhamento.OpçãoServiços,OFFSET(Import.PLQ,$A17-1,P$15-1,1,1),IF($E17&lt;&gt;1,IF(ISNUMBER(INDEX(Import.PLE,Detalhamento!$E17,Detalhamento!P$15)),IF(INDEX(Import.PLE,Detalhamento!$E17,Detalhamento!P$15)&lt;=mediçao,OFFSET(Import.PLQ,$A17-1,P$15-1,1,1),0),0),PLE!$AA$28*OFFSET(Import.PLQ,$A17-1,P$15-1,1,1)),IF($E17&lt;&gt;1,IF(ISNUMBER(INDEX(Import.PLE,Detalhamento!$E17,Detalhamento!P$15)),IF(INDEX(Import.PLE,Detalhamento!$E17,Detalhamento!P$15)&lt;=mediçao,0,OFFSET(Import.PLQ,$A17-1,P$15-1,1,1)),OFFSET(Import.PLQ,$A17-1,P$15-1,1,1)),(1-PLE!$AA$28)*OFFSET(Import.PLQ,$A17-1,P$15-1,1,1))))</f>
        <v>0</v>
      </c>
      <c r="Q17" s="145">
        <f ca="1">IF(Q$13="",0,CHOOSE(Detalhamento.OpçãoServiços,OFFSET(Import.PLQ,$A17-1,Q$15-1,1,1),IF($E17&lt;&gt;1,IF(ISNUMBER(INDEX(Import.PLE,Detalhamento!$E17,Detalhamento!Q$15)),IF(INDEX(Import.PLE,Detalhamento!$E17,Detalhamento!Q$15)&lt;=mediçao,OFFSET(Import.PLQ,$A17-1,Q$15-1,1,1),0),0),PLE!$AA$28*OFFSET(Import.PLQ,$A17-1,Q$15-1,1,1)),IF($E17&lt;&gt;1,IF(ISNUMBER(INDEX(Import.PLE,Detalhamento!$E17,Detalhamento!Q$15)),IF(INDEX(Import.PLE,Detalhamento!$E17,Detalhamento!Q$15)&lt;=mediçao,0,OFFSET(Import.PLQ,$A17-1,Q$15-1,1,1)),OFFSET(Import.PLQ,$A17-1,Q$15-1,1,1)),(1-PLE!$AA$28)*OFFSET(Import.PLQ,$A17-1,Q$15-1,1,1))))</f>
        <v>0</v>
      </c>
      <c r="R17" s="145">
        <f ca="1">IF(R$13="",0,CHOOSE(Detalhamento.OpçãoServiços,OFFSET(Import.PLQ,$A17-1,R$15-1,1,1),IF($E17&lt;&gt;1,IF(ISNUMBER(INDEX(Import.PLE,Detalhamento!$E17,Detalhamento!R$15)),IF(INDEX(Import.PLE,Detalhamento!$E17,Detalhamento!R$15)&lt;=mediçao,OFFSET(Import.PLQ,$A17-1,R$15-1,1,1),0),0),PLE!$AA$28*OFFSET(Import.PLQ,$A17-1,R$15-1,1,1)),IF($E17&lt;&gt;1,IF(ISNUMBER(INDEX(Import.PLE,Detalhamento!$E17,Detalhamento!R$15)),IF(INDEX(Import.PLE,Detalhamento!$E17,Detalhamento!R$15)&lt;=mediçao,0,OFFSET(Import.PLQ,$A17-1,R$15-1,1,1)),OFFSET(Import.PLQ,$A17-1,R$15-1,1,1)),(1-PLE!$AA$28)*OFFSET(Import.PLQ,$A17-1,R$15-1,1,1))))</f>
        <v>0</v>
      </c>
      <c r="S17" s="145">
        <f ca="1">IF(S$13="",0,CHOOSE(Detalhamento.OpçãoServiços,OFFSET(Import.PLQ,$A17-1,S$15-1,1,1),IF($E17&lt;&gt;1,IF(ISNUMBER(INDEX(Import.PLE,Detalhamento!$E17,Detalhamento!S$15)),IF(INDEX(Import.PLE,Detalhamento!$E17,Detalhamento!S$15)&lt;=mediçao,OFFSET(Import.PLQ,$A17-1,S$15-1,1,1),0),0),PLE!$AA$28*OFFSET(Import.PLQ,$A17-1,S$15-1,1,1)),IF($E17&lt;&gt;1,IF(ISNUMBER(INDEX(Import.PLE,Detalhamento!$E17,Detalhamento!S$15)),IF(INDEX(Import.PLE,Detalhamento!$E17,Detalhamento!S$15)&lt;=mediçao,0,OFFSET(Import.PLQ,$A17-1,S$15-1,1,1)),OFFSET(Import.PLQ,$A17-1,S$15-1,1,1)),(1-PLE!$AA$28)*OFFSET(Import.PLQ,$A17-1,S$15-1,1,1))))</f>
        <v>0</v>
      </c>
      <c r="T17" s="145">
        <f ca="1">IF(T$13="",0,CHOOSE(Detalhamento.OpçãoServiços,OFFSET(Import.PLQ,$A17-1,T$15-1,1,1),IF($E17&lt;&gt;1,IF(ISNUMBER(INDEX(Import.PLE,Detalhamento!$E17,Detalhamento!T$15)),IF(INDEX(Import.PLE,Detalhamento!$E17,Detalhamento!T$15)&lt;=mediçao,OFFSET(Import.PLQ,$A17-1,T$15-1,1,1),0),0),PLE!$AA$28*OFFSET(Import.PLQ,$A17-1,T$15-1,1,1)),IF($E17&lt;&gt;1,IF(ISNUMBER(INDEX(Import.PLE,Detalhamento!$E17,Detalhamento!T$15)),IF(INDEX(Import.PLE,Detalhamento!$E17,Detalhamento!T$15)&lt;=mediçao,0,OFFSET(Import.PLQ,$A17-1,T$15-1,1,1)),OFFSET(Import.PLQ,$A17-1,T$15-1,1,1)),(1-PLE!$AA$28)*OFFSET(Import.PLQ,$A17-1,T$15-1,1,1))))</f>
        <v>0</v>
      </c>
      <c r="U17" s="145">
        <f ca="1">IF(U$13="",0,CHOOSE(Detalhamento.OpçãoServiços,OFFSET(Import.PLQ,$A17-1,U$15-1,1,1),IF($E17&lt;&gt;1,IF(ISNUMBER(INDEX(Import.PLE,Detalhamento!$E17,Detalhamento!U$15)),IF(INDEX(Import.PLE,Detalhamento!$E17,Detalhamento!U$15)&lt;=mediçao,OFFSET(Import.PLQ,$A17-1,U$15-1,1,1),0),0),PLE!$AA$28*OFFSET(Import.PLQ,$A17-1,U$15-1,1,1)),IF($E17&lt;&gt;1,IF(ISNUMBER(INDEX(Import.PLE,Detalhamento!$E17,Detalhamento!U$15)),IF(INDEX(Import.PLE,Detalhamento!$E17,Detalhamento!U$15)&lt;=mediçao,0,OFFSET(Import.PLQ,$A17-1,U$15-1,1,1)),OFFSET(Import.PLQ,$A17-1,U$15-1,1,1)),(1-PLE!$AA$28)*OFFSET(Import.PLQ,$A17-1,U$15-1,1,1))))</f>
        <v>0</v>
      </c>
      <c r="V17" s="145">
        <f ca="1">IF(V$13="",0,CHOOSE(Detalhamento.OpçãoServiços,OFFSET(Import.PLQ,$A17-1,V$15-1,1,1),IF($E17&lt;&gt;1,IF(ISNUMBER(INDEX(Import.PLE,Detalhamento!$E17,Detalhamento!V$15)),IF(INDEX(Import.PLE,Detalhamento!$E17,Detalhamento!V$15)&lt;=mediçao,OFFSET(Import.PLQ,$A17-1,V$15-1,1,1),0),0),PLE!$AA$28*OFFSET(Import.PLQ,$A17-1,V$15-1,1,1)),IF($E17&lt;&gt;1,IF(ISNUMBER(INDEX(Import.PLE,Detalhamento!$E17,Detalhamento!V$15)),IF(INDEX(Import.PLE,Detalhamento!$E17,Detalhamento!V$15)&lt;=mediçao,0,OFFSET(Import.PLQ,$A17-1,V$15-1,1,1)),OFFSET(Import.PLQ,$A17-1,V$15-1,1,1)),(1-PLE!$AA$28)*OFFSET(Import.PLQ,$A17-1,V$15-1,1,1))))</f>
        <v>0</v>
      </c>
      <c r="W17" s="145">
        <f ca="1">IF(W$13="",0,CHOOSE(Detalhamento.OpçãoServiços,OFFSET(Import.PLQ,$A17-1,W$15-1,1,1),IF($E17&lt;&gt;1,IF(ISNUMBER(INDEX(Import.PLE,Detalhamento!$E17,Detalhamento!W$15)),IF(INDEX(Import.PLE,Detalhamento!$E17,Detalhamento!W$15)&lt;=mediçao,OFFSET(Import.PLQ,$A17-1,W$15-1,1,1),0),0),PLE!$AA$28*OFFSET(Import.PLQ,$A17-1,W$15-1,1,1)),IF($E17&lt;&gt;1,IF(ISNUMBER(INDEX(Import.PLE,Detalhamento!$E17,Detalhamento!W$15)),IF(INDEX(Import.PLE,Detalhamento!$E17,Detalhamento!W$15)&lt;=mediçao,0,OFFSET(Import.PLQ,$A17-1,W$15-1,1,1)),OFFSET(Import.PLQ,$A17-1,W$15-1,1,1)),(1-PLE!$AA$28)*OFFSET(Import.PLQ,$A17-1,W$15-1,1,1))))</f>
        <v>0</v>
      </c>
      <c r="X17" s="145">
        <f ca="1">IF(X$13="",0,CHOOSE(Detalhamento.OpçãoServiços,OFFSET(Import.PLQ,$A17-1,X$15-1,1,1),IF($E17&lt;&gt;1,IF(ISNUMBER(INDEX(Import.PLE,Detalhamento!$E17,Detalhamento!X$15)),IF(INDEX(Import.PLE,Detalhamento!$E17,Detalhamento!X$15)&lt;=mediçao,OFFSET(Import.PLQ,$A17-1,X$15-1,1,1),0),0),PLE!$AA$28*OFFSET(Import.PLQ,$A17-1,X$15-1,1,1)),IF($E17&lt;&gt;1,IF(ISNUMBER(INDEX(Import.PLE,Detalhamento!$E17,Detalhamento!X$15)),IF(INDEX(Import.PLE,Detalhamento!$E17,Detalhamento!X$15)&lt;=mediçao,0,OFFSET(Import.PLQ,$A17-1,X$15-1,1,1)),OFFSET(Import.PLQ,$A17-1,X$15-1,1,1)),(1-PLE!$AA$28)*OFFSET(Import.PLQ,$A17-1,X$15-1,1,1))))</f>
        <v>0</v>
      </c>
      <c r="Y17" s="145">
        <f ca="1">IF(Y$13="",0,CHOOSE(Detalhamento.OpçãoServiços,OFFSET(Import.PLQ,$A17-1,Y$15-1,1,1),IF($E17&lt;&gt;1,IF(ISNUMBER(INDEX(Import.PLE,Detalhamento!$E17,Detalhamento!Y$15)),IF(INDEX(Import.PLE,Detalhamento!$E17,Detalhamento!Y$15)&lt;=mediçao,OFFSET(Import.PLQ,$A17-1,Y$15-1,1,1),0),0),PLE!$AA$28*OFFSET(Import.PLQ,$A17-1,Y$15-1,1,1)),IF($E17&lt;&gt;1,IF(ISNUMBER(INDEX(Import.PLE,Detalhamento!$E17,Detalhamento!Y$15)),IF(INDEX(Import.PLE,Detalhamento!$E17,Detalhamento!Y$15)&lt;=mediçao,0,OFFSET(Import.PLQ,$A17-1,Y$15-1,1,1)),OFFSET(Import.PLQ,$A17-1,Y$15-1,1,1)),(1-PLE!$AA$28)*OFFSET(Import.PLQ,$A17-1,Y$15-1,1,1))))</f>
        <v>0</v>
      </c>
      <c r="Z17" s="145">
        <f ca="1">IF(Z$13="",0,CHOOSE(Detalhamento.OpçãoServiços,OFFSET(Import.PLQ,$A17-1,Z$15-1,1,1),IF($E17&lt;&gt;1,IF(ISNUMBER(INDEX(Import.PLE,Detalhamento!$E17,Detalhamento!Z$15)),IF(INDEX(Import.PLE,Detalhamento!$E17,Detalhamento!Z$15)&lt;=mediçao,OFFSET(Import.PLQ,$A17-1,Z$15-1,1,1),0),0),PLE!$AA$28*OFFSET(Import.PLQ,$A17-1,Z$15-1,1,1)),IF($E17&lt;&gt;1,IF(ISNUMBER(INDEX(Import.PLE,Detalhamento!$E17,Detalhamento!Z$15)),IF(INDEX(Import.PLE,Detalhamento!$E17,Detalhamento!Z$15)&lt;=mediçao,0,OFFSET(Import.PLQ,$A17-1,Z$15-1,1,1)),OFFSET(Import.PLQ,$A17-1,Z$15-1,1,1)),(1-PLE!$AA$28)*OFFSET(Import.PLQ,$A17-1,Z$15-1,1,1))))</f>
        <v>0</v>
      </c>
      <c r="AA17" s="145">
        <f ca="1">IF(AA$13="",0,CHOOSE(Detalhamento.OpçãoServiços,OFFSET(Import.PLQ,$A17-1,AA$15-1,1,1),IF($E17&lt;&gt;1,IF(ISNUMBER(INDEX(Import.PLE,Detalhamento!$E17,Detalhamento!AA$15)),IF(INDEX(Import.PLE,Detalhamento!$E17,Detalhamento!AA$15)&lt;=mediçao,OFFSET(Import.PLQ,$A17-1,AA$15-1,1,1),0),0),PLE!$AA$28*OFFSET(Import.PLQ,$A17-1,AA$15-1,1,1)),IF($E17&lt;&gt;1,IF(ISNUMBER(INDEX(Import.PLE,Detalhamento!$E17,Detalhamento!AA$15)),IF(INDEX(Import.PLE,Detalhamento!$E17,Detalhamento!AA$15)&lt;=mediçao,0,OFFSET(Import.PLQ,$A17-1,AA$15-1,1,1)),OFFSET(Import.PLQ,$A17-1,AA$15-1,1,1)),(1-PLE!$AA$28)*OFFSET(Import.PLQ,$A17-1,AA$15-1,1,1))))</f>
        <v>0</v>
      </c>
      <c r="AB17" s="145">
        <f ca="1">IF(AB$13="",0,CHOOSE(Detalhamento.OpçãoServiços,OFFSET(Import.PLQ,$A17-1,AB$15-1,1,1),IF($E17&lt;&gt;1,IF(ISNUMBER(INDEX(Import.PLE,Detalhamento!$E17,Detalhamento!AB$15)),IF(INDEX(Import.PLE,Detalhamento!$E17,Detalhamento!AB$15)&lt;=mediçao,OFFSET(Import.PLQ,$A17-1,AB$15-1,1,1),0),0),PLE!$AA$28*OFFSET(Import.PLQ,$A17-1,AB$15-1,1,1)),IF($E17&lt;&gt;1,IF(ISNUMBER(INDEX(Import.PLE,Detalhamento!$E17,Detalhamento!AB$15)),IF(INDEX(Import.PLE,Detalhamento!$E17,Detalhamento!AB$15)&lt;=mediçao,0,OFFSET(Import.PLQ,$A17-1,AB$15-1,1,1)),OFFSET(Import.PLQ,$A17-1,AB$15-1,1,1)),(1-PLE!$AA$28)*OFFSET(Import.PLQ,$A17-1,AB$15-1,1,1))))</f>
        <v>0</v>
      </c>
      <c r="AC17" s="145">
        <f ca="1">IF(AC$13="",0,CHOOSE(Detalhamento.OpçãoServiços,OFFSET(Import.PLQ,$A17-1,AC$15-1,1,1),IF($E17&lt;&gt;1,IF(ISNUMBER(INDEX(Import.PLE,Detalhamento!$E17,Detalhamento!AC$15)),IF(INDEX(Import.PLE,Detalhamento!$E17,Detalhamento!AC$15)&lt;=mediçao,OFFSET(Import.PLQ,$A17-1,AC$15-1,1,1),0),0),PLE!$AA$28*OFFSET(Import.PLQ,$A17-1,AC$15-1,1,1)),IF($E17&lt;&gt;1,IF(ISNUMBER(INDEX(Import.PLE,Detalhamento!$E17,Detalhamento!AC$15)),IF(INDEX(Import.PLE,Detalhamento!$E17,Detalhamento!AC$15)&lt;=mediçao,0,OFFSET(Import.PLQ,$A17-1,AC$15-1,1,1)),OFFSET(Import.PLQ,$A17-1,AC$15-1,1,1)),(1-PLE!$AA$28)*OFFSET(Import.PLQ,$A17-1,AC$15-1,1,1))))</f>
        <v>0</v>
      </c>
      <c r="AD17" s="145">
        <f ca="1">IF(AD$13="",0,CHOOSE(Detalhamento.OpçãoServiços,OFFSET(Import.PLQ,$A17-1,AD$15-1,1,1),IF($E17&lt;&gt;1,IF(ISNUMBER(INDEX(Import.PLE,Detalhamento!$E17,Detalhamento!AD$15)),IF(INDEX(Import.PLE,Detalhamento!$E17,Detalhamento!AD$15)&lt;=mediçao,OFFSET(Import.PLQ,$A17-1,AD$15-1,1,1),0),0),PLE!$AA$28*OFFSET(Import.PLQ,$A17-1,AD$15-1,1,1)),IF($E17&lt;&gt;1,IF(ISNUMBER(INDEX(Import.PLE,Detalhamento!$E17,Detalhamento!AD$15)),IF(INDEX(Import.PLE,Detalhamento!$E17,Detalhamento!AD$15)&lt;=mediçao,0,OFFSET(Import.PLQ,$A17-1,AD$15-1,1,1)),OFFSET(Import.PLQ,$A17-1,AD$15-1,1,1)),(1-PLE!$AA$28)*OFFSET(Import.PLQ,$A17-1,AD$15-1,1,1))))</f>
        <v>0</v>
      </c>
      <c r="AE17" s="145">
        <f ca="1">IF(AE$13="",0,CHOOSE(Detalhamento.OpçãoServiços,OFFSET(Import.PLQ,$A17-1,AE$15-1,1,1),IF($E17&lt;&gt;1,IF(ISNUMBER(INDEX(Import.PLE,Detalhamento!$E17,Detalhamento!AE$15)),IF(INDEX(Import.PLE,Detalhamento!$E17,Detalhamento!AE$15)&lt;=mediçao,OFFSET(Import.PLQ,$A17-1,AE$15-1,1,1),0),0),PLE!$AA$28*OFFSET(Import.PLQ,$A17-1,AE$15-1,1,1)),IF($E17&lt;&gt;1,IF(ISNUMBER(INDEX(Import.PLE,Detalhamento!$E17,Detalhamento!AE$15)),IF(INDEX(Import.PLE,Detalhamento!$E17,Detalhamento!AE$15)&lt;=mediçao,0,OFFSET(Import.PLQ,$A17-1,AE$15-1,1,1)),OFFSET(Import.PLQ,$A17-1,AE$15-1,1,1)),(1-PLE!$AA$28)*OFFSET(Import.PLQ,$A17-1,AE$15-1,1,1))))</f>
        <v>0</v>
      </c>
      <c r="AF17" s="145">
        <f ca="1">IF(AF$13="",0,CHOOSE(Detalhamento.OpçãoServiços,OFFSET(Import.PLQ,$A17-1,AF$15-1,1,1),IF($E17&lt;&gt;1,IF(ISNUMBER(INDEX(Import.PLE,Detalhamento!$E17,Detalhamento!AF$15)),IF(INDEX(Import.PLE,Detalhamento!$E17,Detalhamento!AF$15)&lt;=mediçao,OFFSET(Import.PLQ,$A17-1,AF$15-1,1,1),0),0),PLE!$AA$28*OFFSET(Import.PLQ,$A17-1,AF$15-1,1,1)),IF($E17&lt;&gt;1,IF(ISNUMBER(INDEX(Import.PLE,Detalhamento!$E17,Detalhamento!AF$15)),IF(INDEX(Import.PLE,Detalhamento!$E17,Detalhamento!AF$15)&lt;=mediçao,0,OFFSET(Import.PLQ,$A17-1,AF$15-1,1,1)),OFFSET(Import.PLQ,$A17-1,AF$15-1,1,1)),(1-PLE!$AA$28)*OFFSET(Import.PLQ,$A17-1,AF$15-1,1,1))))</f>
        <v>0</v>
      </c>
      <c r="AG17" s="145">
        <f ca="1">IF(AG$13="",0,CHOOSE(Detalhamento.OpçãoServiços,OFFSET(Import.PLQ,$A17-1,AG$15-1,1,1),IF($E17&lt;&gt;1,IF(ISNUMBER(INDEX(Import.PLE,Detalhamento!$E17,Detalhamento!AG$15)),IF(INDEX(Import.PLE,Detalhamento!$E17,Detalhamento!AG$15)&lt;=mediçao,OFFSET(Import.PLQ,$A17-1,AG$15-1,1,1),0),0),PLE!$AA$28*OFFSET(Import.PLQ,$A17-1,AG$15-1,1,1)),IF($E17&lt;&gt;1,IF(ISNUMBER(INDEX(Import.PLE,Detalhamento!$E17,Detalhamento!AG$15)),IF(INDEX(Import.PLE,Detalhamento!$E17,Detalhamento!AG$15)&lt;=mediçao,0,OFFSET(Import.PLQ,$A17-1,AG$15-1,1,1)),OFFSET(Import.PLQ,$A17-1,AG$15-1,1,1)),(1-PLE!$AA$28)*OFFSET(Import.PLQ,$A17-1,AG$15-1,1,1))))</f>
        <v>0</v>
      </c>
      <c r="AH17" s="145">
        <f ca="1">IF(AH$13="",0,CHOOSE(Detalhamento.OpçãoServiços,OFFSET(Import.PLQ,$A17-1,AH$15-1,1,1),IF($E17&lt;&gt;1,IF(ISNUMBER(INDEX(Import.PLE,Detalhamento!$E17,Detalhamento!AH$15)),IF(INDEX(Import.PLE,Detalhamento!$E17,Detalhamento!AH$15)&lt;=mediçao,OFFSET(Import.PLQ,$A17-1,AH$15-1,1,1),0),0),PLE!$AA$28*OFFSET(Import.PLQ,$A17-1,AH$15-1,1,1)),IF($E17&lt;&gt;1,IF(ISNUMBER(INDEX(Import.PLE,Detalhamento!$E17,Detalhamento!AH$15)),IF(INDEX(Import.PLE,Detalhamento!$E17,Detalhamento!AH$15)&lt;=mediçao,0,OFFSET(Import.PLQ,$A17-1,AH$15-1,1,1)),OFFSET(Import.PLQ,$A17-1,AH$15-1,1,1)),(1-PLE!$AA$28)*OFFSET(Import.PLQ,$A17-1,AH$15-1,1,1))))</f>
        <v>0</v>
      </c>
      <c r="AI17" s="145">
        <f ca="1">IF(AI$13="",0,CHOOSE(Detalhamento.OpçãoServiços,OFFSET(Import.PLQ,$A17-1,AI$15-1,1,1),IF($E17&lt;&gt;1,IF(ISNUMBER(INDEX(Import.PLE,Detalhamento!$E17,Detalhamento!AI$15)),IF(INDEX(Import.PLE,Detalhamento!$E17,Detalhamento!AI$15)&lt;=mediçao,OFFSET(Import.PLQ,$A17-1,AI$15-1,1,1),0),0),PLE!$AA$28*OFFSET(Import.PLQ,$A17-1,AI$15-1,1,1)),IF($E17&lt;&gt;1,IF(ISNUMBER(INDEX(Import.PLE,Detalhamento!$E17,Detalhamento!AI$15)),IF(INDEX(Import.PLE,Detalhamento!$E17,Detalhamento!AI$15)&lt;=mediçao,0,OFFSET(Import.PLQ,$A17-1,AI$15-1,1,1)),OFFSET(Import.PLQ,$A17-1,AI$15-1,1,1)),(1-PLE!$AA$28)*OFFSET(Import.PLQ,$A17-1,AI$15-1,1,1))))</f>
        <v>0</v>
      </c>
      <c r="AJ17" s="145">
        <f ca="1">IF(AJ$13="",0,CHOOSE(Detalhamento.OpçãoServiços,OFFSET(Import.PLQ,$A17-1,AJ$15-1,1,1),IF($E17&lt;&gt;1,IF(ISNUMBER(INDEX(Import.PLE,Detalhamento!$E17,Detalhamento!AJ$15)),IF(INDEX(Import.PLE,Detalhamento!$E17,Detalhamento!AJ$15)&lt;=mediçao,OFFSET(Import.PLQ,$A17-1,AJ$15-1,1,1),0),0),PLE!$AA$28*OFFSET(Import.PLQ,$A17-1,AJ$15-1,1,1)),IF($E17&lt;&gt;1,IF(ISNUMBER(INDEX(Import.PLE,Detalhamento!$E17,Detalhamento!AJ$15)),IF(INDEX(Import.PLE,Detalhamento!$E17,Detalhamento!AJ$15)&lt;=mediçao,0,OFFSET(Import.PLQ,$A17-1,AJ$15-1,1,1)),OFFSET(Import.PLQ,$A17-1,AJ$15-1,1,1)),(1-PLE!$AA$28)*OFFSET(Import.PLQ,$A17-1,AJ$15-1,1,1))))</f>
        <v>0</v>
      </c>
      <c r="AK17" s="145">
        <f ca="1">IF(AK$13="",0,CHOOSE(Detalhamento.OpçãoServiços,OFFSET(Import.PLQ,$A17-1,AK$15-1,1,1),IF($E17&lt;&gt;1,IF(ISNUMBER(INDEX(Import.PLE,Detalhamento!$E17,Detalhamento!AK$15)),IF(INDEX(Import.PLE,Detalhamento!$E17,Detalhamento!AK$15)&lt;=mediçao,OFFSET(Import.PLQ,$A17-1,AK$15-1,1,1),0),0),PLE!$AA$28*OFFSET(Import.PLQ,$A17-1,AK$15-1,1,1)),IF($E17&lt;&gt;1,IF(ISNUMBER(INDEX(Import.PLE,Detalhamento!$E17,Detalhamento!AK$15)),IF(INDEX(Import.PLE,Detalhamento!$E17,Detalhamento!AK$15)&lt;=mediçao,0,OFFSET(Import.PLQ,$A17-1,AK$15-1,1,1)),OFFSET(Import.PLQ,$A17-1,AK$15-1,1,1)),(1-PLE!$AA$28)*OFFSET(Import.PLQ,$A17-1,AK$15-1,1,1))))</f>
        <v>0</v>
      </c>
      <c r="AL17" s="145">
        <f ca="1">IF(AL$13="",0,CHOOSE(Detalhamento.OpçãoServiços,OFFSET(Import.PLQ,$A17-1,AL$15-1,1,1),IF($E17&lt;&gt;1,IF(ISNUMBER(INDEX(Import.PLE,Detalhamento!$E17,Detalhamento!AL$15)),IF(INDEX(Import.PLE,Detalhamento!$E17,Detalhamento!AL$15)&lt;=mediçao,OFFSET(Import.PLQ,$A17-1,AL$15-1,1,1),0),0),PLE!$AA$28*OFFSET(Import.PLQ,$A17-1,AL$15-1,1,1)),IF($E17&lt;&gt;1,IF(ISNUMBER(INDEX(Import.PLE,Detalhamento!$E17,Detalhamento!AL$15)),IF(INDEX(Import.PLE,Detalhamento!$E17,Detalhamento!AL$15)&lt;=mediçao,0,OFFSET(Import.PLQ,$A17-1,AL$15-1,1,1)),OFFSET(Import.PLQ,$A17-1,AL$15-1,1,1)),(1-PLE!$AA$28)*OFFSET(Import.PLQ,$A17-1,AL$15-1,1,1))))</f>
        <v>0</v>
      </c>
      <c r="AM17" s="145">
        <f ca="1">IF(AM$13="",0,CHOOSE(Detalhamento.OpçãoServiços,OFFSET(Import.PLQ,$A17-1,AM$15-1,1,1),IF($E17&lt;&gt;1,IF(ISNUMBER(INDEX(Import.PLE,Detalhamento!$E17,Detalhamento!AM$15)),IF(INDEX(Import.PLE,Detalhamento!$E17,Detalhamento!AM$15)&lt;=mediçao,OFFSET(Import.PLQ,$A17-1,AM$15-1,1,1),0),0),PLE!$AA$28*OFFSET(Import.PLQ,$A17-1,AM$15-1,1,1)),IF($E17&lt;&gt;1,IF(ISNUMBER(INDEX(Import.PLE,Detalhamento!$E17,Detalhamento!AM$15)),IF(INDEX(Import.PLE,Detalhamento!$E17,Detalhamento!AM$15)&lt;=mediçao,0,OFFSET(Import.PLQ,$A17-1,AM$15-1,1,1)),OFFSET(Import.PLQ,$A17-1,AM$15-1,1,1)),(1-PLE!$AA$28)*OFFSET(Import.PLQ,$A17-1,AM$15-1,1,1))))</f>
        <v>0</v>
      </c>
      <c r="AN17" s="145">
        <f ca="1">IF(AN$13="",0,CHOOSE(Detalhamento.OpçãoServiços,OFFSET(Import.PLQ,$A17-1,AN$15-1,1,1),IF($E17&lt;&gt;1,IF(ISNUMBER(INDEX(Import.PLE,Detalhamento!$E17,Detalhamento!AN$15)),IF(INDEX(Import.PLE,Detalhamento!$E17,Detalhamento!AN$15)&lt;=mediçao,OFFSET(Import.PLQ,$A17-1,AN$15-1,1,1),0),0),PLE!$AA$28*OFFSET(Import.PLQ,$A17-1,AN$15-1,1,1)),IF($E17&lt;&gt;1,IF(ISNUMBER(INDEX(Import.PLE,Detalhamento!$E17,Detalhamento!AN$15)),IF(INDEX(Import.PLE,Detalhamento!$E17,Detalhamento!AN$15)&lt;=mediçao,0,OFFSET(Import.PLQ,$A17-1,AN$15-1,1,1)),OFFSET(Import.PLQ,$A17-1,AN$15-1,1,1)),(1-PLE!$AA$28)*OFFSET(Import.PLQ,$A17-1,AN$15-1,1,1))))</f>
        <v>0</v>
      </c>
      <c r="AO17" s="145">
        <f ca="1">IF(AO$13="",0,CHOOSE(Detalhamento.OpçãoServiços,OFFSET(Import.PLQ,$A17-1,AO$15-1,1,1),IF($E17&lt;&gt;1,IF(ISNUMBER(INDEX(Import.PLE,Detalhamento!$E17,Detalhamento!AO$15)),IF(INDEX(Import.PLE,Detalhamento!$E17,Detalhamento!AO$15)&lt;=mediçao,OFFSET(Import.PLQ,$A17-1,AO$15-1,1,1),0),0),PLE!$AA$28*OFFSET(Import.PLQ,$A17-1,AO$15-1,1,1)),IF($E17&lt;&gt;1,IF(ISNUMBER(INDEX(Import.PLE,Detalhamento!$E17,Detalhamento!AO$15)),IF(INDEX(Import.PLE,Detalhamento!$E17,Detalhamento!AO$15)&lt;=mediçao,0,OFFSET(Import.PLQ,$A17-1,AO$15-1,1,1)),OFFSET(Import.PLQ,$A17-1,AO$15-1,1,1)),(1-PLE!$AA$28)*OFFSET(Import.PLQ,$A17-1,AO$15-1,1,1))))</f>
        <v>0</v>
      </c>
      <c r="AP17" s="145">
        <f ca="1">IF(AP$13="",0,CHOOSE(Detalhamento.OpçãoServiços,OFFSET(Import.PLQ,$A17-1,AP$15-1,1,1),IF($E17&lt;&gt;1,IF(ISNUMBER(INDEX(Import.PLE,Detalhamento!$E17,Detalhamento!AP$15)),IF(INDEX(Import.PLE,Detalhamento!$E17,Detalhamento!AP$15)&lt;=mediçao,OFFSET(Import.PLQ,$A17-1,AP$15-1,1,1),0),0),PLE!$AA$28*OFFSET(Import.PLQ,$A17-1,AP$15-1,1,1)),IF($E17&lt;&gt;1,IF(ISNUMBER(INDEX(Import.PLE,Detalhamento!$E17,Detalhamento!AP$15)),IF(INDEX(Import.PLE,Detalhamento!$E17,Detalhamento!AP$15)&lt;=mediçao,0,OFFSET(Import.PLQ,$A17-1,AP$15-1,1,1)),OFFSET(Import.PLQ,$A17-1,AP$15-1,1,1)),(1-PLE!$AA$28)*OFFSET(Import.PLQ,$A17-1,AP$15-1,1,1))))</f>
        <v>0</v>
      </c>
      <c r="AQ17" s="145">
        <f ca="1">IF(AQ$13="",0,CHOOSE(Detalhamento.OpçãoServiços,OFFSET(Import.PLQ,$A17-1,AQ$15-1,1,1),IF($E17&lt;&gt;1,IF(ISNUMBER(INDEX(Import.PLE,Detalhamento!$E17,Detalhamento!AQ$15)),IF(INDEX(Import.PLE,Detalhamento!$E17,Detalhamento!AQ$15)&lt;=mediçao,OFFSET(Import.PLQ,$A17-1,AQ$15-1,1,1),0),0),PLE!$AA$28*OFFSET(Import.PLQ,$A17-1,AQ$15-1,1,1)),IF($E17&lt;&gt;1,IF(ISNUMBER(INDEX(Import.PLE,Detalhamento!$E17,Detalhamento!AQ$15)),IF(INDEX(Import.PLE,Detalhamento!$E17,Detalhamento!AQ$15)&lt;=mediçao,0,OFFSET(Import.PLQ,$A17-1,AQ$15-1,1,1)),OFFSET(Import.PLQ,$A17-1,AQ$15-1,1,1)),(1-PLE!$AA$28)*OFFSET(Import.PLQ,$A17-1,AQ$15-1,1,1))))</f>
        <v>0</v>
      </c>
      <c r="AR17" s="145">
        <f ca="1">IF(AR$13="",0,CHOOSE(Detalhamento.OpçãoServiços,OFFSET(Import.PLQ,$A17-1,AR$15-1,1,1),IF($E17&lt;&gt;1,IF(ISNUMBER(INDEX(Import.PLE,Detalhamento!$E17,Detalhamento!AR$15)),IF(INDEX(Import.PLE,Detalhamento!$E17,Detalhamento!AR$15)&lt;=mediçao,OFFSET(Import.PLQ,$A17-1,AR$15-1,1,1),0),0),PLE!$AA$28*OFFSET(Import.PLQ,$A17-1,AR$15-1,1,1)),IF($E17&lt;&gt;1,IF(ISNUMBER(INDEX(Import.PLE,Detalhamento!$E17,Detalhamento!AR$15)),IF(INDEX(Import.PLE,Detalhamento!$E17,Detalhamento!AR$15)&lt;=mediçao,0,OFFSET(Import.PLQ,$A17-1,AR$15-1,1,1)),OFFSET(Import.PLQ,$A17-1,AR$15-1,1,1)),(1-PLE!$AA$28)*OFFSET(Import.PLQ,$A17-1,AR$15-1,1,1))))</f>
        <v>0</v>
      </c>
      <c r="AS17" s="145">
        <f ca="1">IF(AS$13="",0,CHOOSE(Detalhamento.OpçãoServiços,OFFSET(Import.PLQ,$A17-1,AS$15-1,1,1),IF($E17&lt;&gt;1,IF(ISNUMBER(INDEX(Import.PLE,Detalhamento!$E17,Detalhamento!AS$15)),IF(INDEX(Import.PLE,Detalhamento!$E17,Detalhamento!AS$15)&lt;=mediçao,OFFSET(Import.PLQ,$A17-1,AS$15-1,1,1),0),0),PLE!$AA$28*OFFSET(Import.PLQ,$A17-1,AS$15-1,1,1)),IF($E17&lt;&gt;1,IF(ISNUMBER(INDEX(Import.PLE,Detalhamento!$E17,Detalhamento!AS$15)),IF(INDEX(Import.PLE,Detalhamento!$E17,Detalhamento!AS$15)&lt;=mediçao,0,OFFSET(Import.PLQ,$A17-1,AS$15-1,1,1)),OFFSET(Import.PLQ,$A17-1,AS$15-1,1,1)),(1-PLE!$AA$28)*OFFSET(Import.PLQ,$A17-1,AS$15-1,1,1))))</f>
        <v>0</v>
      </c>
      <c r="AT17" s="145">
        <f ca="1">IF(AT$13="",0,CHOOSE(Detalhamento.OpçãoServiços,OFFSET(Import.PLQ,$A17-1,AT$15-1,1,1),IF($E17&lt;&gt;1,IF(ISNUMBER(INDEX(Import.PLE,Detalhamento!$E17,Detalhamento!AT$15)),IF(INDEX(Import.PLE,Detalhamento!$E17,Detalhamento!AT$15)&lt;=mediçao,OFFSET(Import.PLQ,$A17-1,AT$15-1,1,1),0),0),PLE!$AA$28*OFFSET(Import.PLQ,$A17-1,AT$15-1,1,1)),IF($E17&lt;&gt;1,IF(ISNUMBER(INDEX(Import.PLE,Detalhamento!$E17,Detalhamento!AT$15)),IF(INDEX(Import.PLE,Detalhamento!$E17,Detalhamento!AT$15)&lt;=mediçao,0,OFFSET(Import.PLQ,$A17-1,AT$15-1,1,1)),OFFSET(Import.PLQ,$A17-1,AT$15-1,1,1)),(1-PLE!$AA$28)*OFFSET(Import.PLQ,$A17-1,AT$15-1,1,1))))</f>
        <v>0</v>
      </c>
      <c r="AU17" s="145">
        <f ca="1">IF(AU$13="",0,CHOOSE(Detalhamento.OpçãoServiços,OFFSET(Import.PLQ,$A17-1,AU$15-1,1,1),IF($E17&lt;&gt;1,IF(ISNUMBER(INDEX(Import.PLE,Detalhamento!$E17,Detalhamento!AU$15)),IF(INDEX(Import.PLE,Detalhamento!$E17,Detalhamento!AU$15)&lt;=mediçao,OFFSET(Import.PLQ,$A17-1,AU$15-1,1,1),0),0),PLE!$AA$28*OFFSET(Import.PLQ,$A17-1,AU$15-1,1,1)),IF($E17&lt;&gt;1,IF(ISNUMBER(INDEX(Import.PLE,Detalhamento!$E17,Detalhamento!AU$15)),IF(INDEX(Import.PLE,Detalhamento!$E17,Detalhamento!AU$15)&lt;=mediçao,0,OFFSET(Import.PLQ,$A17-1,AU$15-1,1,1)),OFFSET(Import.PLQ,$A17-1,AU$15-1,1,1)),(1-PLE!$AA$28)*OFFSET(Import.PLQ,$A17-1,AU$15-1,1,1))))</f>
        <v>0</v>
      </c>
      <c r="AV17" s="145">
        <f ca="1">IF(AV$13="",0,CHOOSE(Detalhamento.OpçãoServiços,OFFSET(Import.PLQ,$A17-1,AV$15-1,1,1),IF($E17&lt;&gt;1,IF(ISNUMBER(INDEX(Import.PLE,Detalhamento!$E17,Detalhamento!AV$15)),IF(INDEX(Import.PLE,Detalhamento!$E17,Detalhamento!AV$15)&lt;=mediçao,OFFSET(Import.PLQ,$A17-1,AV$15-1,1,1),0),0),PLE!$AA$28*OFFSET(Import.PLQ,$A17-1,AV$15-1,1,1)),IF($E17&lt;&gt;1,IF(ISNUMBER(INDEX(Import.PLE,Detalhamento!$E17,Detalhamento!AV$15)),IF(INDEX(Import.PLE,Detalhamento!$E17,Detalhamento!AV$15)&lt;=mediçao,0,OFFSET(Import.PLQ,$A17-1,AV$15-1,1,1)),OFFSET(Import.PLQ,$A17-1,AV$15-1,1,1)),(1-PLE!$AA$28)*OFFSET(Import.PLQ,$A17-1,AV$15-1,1,1))))</f>
        <v>0</v>
      </c>
      <c r="AW17" s="145">
        <f ca="1">IF(AW$13="",0,CHOOSE(Detalhamento.OpçãoServiços,OFFSET(Import.PLQ,$A17-1,AW$15-1,1,1),IF($E17&lt;&gt;1,IF(ISNUMBER(INDEX(Import.PLE,Detalhamento!$E17,Detalhamento!AW$15)),IF(INDEX(Import.PLE,Detalhamento!$E17,Detalhamento!AW$15)&lt;=mediçao,OFFSET(Import.PLQ,$A17-1,AW$15-1,1,1),0),0),PLE!$AA$28*OFFSET(Import.PLQ,$A17-1,AW$15-1,1,1)),IF($E17&lt;&gt;1,IF(ISNUMBER(INDEX(Import.PLE,Detalhamento!$E17,Detalhamento!AW$15)),IF(INDEX(Import.PLE,Detalhamento!$E17,Detalhamento!AW$15)&lt;=mediçao,0,OFFSET(Import.PLQ,$A17-1,AW$15-1,1,1)),OFFSET(Import.PLQ,$A17-1,AW$15-1,1,1)),(1-PLE!$AA$28)*OFFSET(Import.PLQ,$A17-1,AW$15-1,1,1))))</f>
        <v>0</v>
      </c>
      <c r="AX17" s="145">
        <f ca="1">IF(AX$13="",0,CHOOSE(Detalhamento.OpçãoServiços,OFFSET(Import.PLQ,$A17-1,AX$15-1,1,1),IF($E17&lt;&gt;1,IF(ISNUMBER(INDEX(Import.PLE,Detalhamento!$E17,Detalhamento!AX$15)),IF(INDEX(Import.PLE,Detalhamento!$E17,Detalhamento!AX$15)&lt;=mediçao,OFFSET(Import.PLQ,$A17-1,AX$15-1,1,1),0),0),PLE!$AA$28*OFFSET(Import.PLQ,$A17-1,AX$15-1,1,1)),IF($E17&lt;&gt;1,IF(ISNUMBER(INDEX(Import.PLE,Detalhamento!$E17,Detalhamento!AX$15)),IF(INDEX(Import.PLE,Detalhamento!$E17,Detalhamento!AX$15)&lt;=mediçao,0,OFFSET(Import.PLQ,$A17-1,AX$15-1,1,1)),OFFSET(Import.PLQ,$A17-1,AX$15-1,1,1)),(1-PLE!$AA$28)*OFFSET(Import.PLQ,$A17-1,AX$15-1,1,1))))</f>
        <v>0</v>
      </c>
      <c r="AY17" s="145">
        <f ca="1">IF(AY$13="",0,CHOOSE(Detalhamento.OpçãoServiços,OFFSET(Import.PLQ,$A17-1,AY$15-1,1,1),IF($E17&lt;&gt;1,IF(ISNUMBER(INDEX(Import.PLE,Detalhamento!$E17,Detalhamento!AY$15)),IF(INDEX(Import.PLE,Detalhamento!$E17,Detalhamento!AY$15)&lt;=mediçao,OFFSET(Import.PLQ,$A17-1,AY$15-1,1,1),0),0),PLE!$AA$28*OFFSET(Import.PLQ,$A17-1,AY$15-1,1,1)),IF($E17&lt;&gt;1,IF(ISNUMBER(INDEX(Import.PLE,Detalhamento!$E17,Detalhamento!AY$15)),IF(INDEX(Import.PLE,Detalhamento!$E17,Detalhamento!AY$15)&lt;=mediçao,0,OFFSET(Import.PLQ,$A17-1,AY$15-1,1,1)),OFFSET(Import.PLQ,$A17-1,AY$15-1,1,1)),(1-PLE!$AA$28)*OFFSET(Import.PLQ,$A17-1,AY$15-1,1,1))))</f>
        <v>0</v>
      </c>
      <c r="AZ17" s="145">
        <f ca="1">IF(AZ$13="",0,CHOOSE(Detalhamento.OpçãoServiços,OFFSET(Import.PLQ,$A17-1,AZ$15-1,1,1),IF($E17&lt;&gt;1,IF(ISNUMBER(INDEX(Import.PLE,Detalhamento!$E17,Detalhamento!AZ$15)),IF(INDEX(Import.PLE,Detalhamento!$E17,Detalhamento!AZ$15)&lt;=mediçao,OFFSET(Import.PLQ,$A17-1,AZ$15-1,1,1),0),0),PLE!$AA$28*OFFSET(Import.PLQ,$A17-1,AZ$15-1,1,1)),IF($E17&lt;&gt;1,IF(ISNUMBER(INDEX(Import.PLE,Detalhamento!$E17,Detalhamento!AZ$15)),IF(INDEX(Import.PLE,Detalhamento!$E17,Detalhamento!AZ$15)&lt;=mediçao,0,OFFSET(Import.PLQ,$A17-1,AZ$15-1,1,1)),OFFSET(Import.PLQ,$A17-1,AZ$15-1,1,1)),(1-PLE!$AA$28)*OFFSET(Import.PLQ,$A17-1,AZ$15-1,1,1))))</f>
        <v>0</v>
      </c>
      <c r="BA17" s="145">
        <f ca="1">IF(BA$13="",0,CHOOSE(Detalhamento.OpçãoServiços,OFFSET(Import.PLQ,$A17-1,BA$15-1,1,1),IF($E17&lt;&gt;1,IF(ISNUMBER(INDEX(Import.PLE,Detalhamento!$E17,Detalhamento!BA$15)),IF(INDEX(Import.PLE,Detalhamento!$E17,Detalhamento!BA$15)&lt;=mediçao,OFFSET(Import.PLQ,$A17-1,BA$15-1,1,1),0),0),PLE!$AA$28*OFFSET(Import.PLQ,$A17-1,BA$15-1,1,1)),IF($E17&lt;&gt;1,IF(ISNUMBER(INDEX(Import.PLE,Detalhamento!$E17,Detalhamento!BA$15)),IF(INDEX(Import.PLE,Detalhamento!$E17,Detalhamento!BA$15)&lt;=mediçao,0,OFFSET(Import.PLQ,$A17-1,BA$15-1,1,1)),OFFSET(Import.PLQ,$A17-1,BA$15-1,1,1)),(1-PLE!$AA$28)*OFFSET(Import.PLQ,$A17-1,BA$15-1,1,1))))</f>
        <v>0</v>
      </c>
      <c r="BB17" s="145">
        <f ca="1">IF(BB$13="",0,CHOOSE(Detalhamento.OpçãoServiços,OFFSET(Import.PLQ,$A17-1,BB$15-1,1,1),IF($E17&lt;&gt;1,IF(ISNUMBER(INDEX(Import.PLE,Detalhamento!$E17,Detalhamento!BB$15)),IF(INDEX(Import.PLE,Detalhamento!$E17,Detalhamento!BB$15)&lt;=mediçao,OFFSET(Import.PLQ,$A17-1,BB$15-1,1,1),0),0),PLE!$AA$28*OFFSET(Import.PLQ,$A17-1,BB$15-1,1,1)),IF($E17&lt;&gt;1,IF(ISNUMBER(INDEX(Import.PLE,Detalhamento!$E17,Detalhamento!BB$15)),IF(INDEX(Import.PLE,Detalhamento!$E17,Detalhamento!BB$15)&lt;=mediçao,0,OFFSET(Import.PLQ,$A17-1,BB$15-1,1,1)),OFFSET(Import.PLQ,$A17-1,BB$15-1,1,1)),(1-PLE!$AA$28)*OFFSET(Import.PLQ,$A17-1,BB$15-1,1,1))))</f>
        <v>0</v>
      </c>
      <c r="BC17" s="145">
        <f ca="1">IF(BC$13="",0,CHOOSE(Detalhamento.OpçãoServiços,OFFSET(Import.PLQ,$A17-1,BC$15-1,1,1),IF($E17&lt;&gt;1,IF(ISNUMBER(INDEX(Import.PLE,Detalhamento!$E17,Detalhamento!BC$15)),IF(INDEX(Import.PLE,Detalhamento!$E17,Detalhamento!BC$15)&lt;=mediçao,OFFSET(Import.PLQ,$A17-1,BC$15-1,1,1),0),0),PLE!$AA$28*OFFSET(Import.PLQ,$A17-1,BC$15-1,1,1)),IF($E17&lt;&gt;1,IF(ISNUMBER(INDEX(Import.PLE,Detalhamento!$E17,Detalhamento!BC$15)),IF(INDEX(Import.PLE,Detalhamento!$E17,Detalhamento!BC$15)&lt;=mediçao,0,OFFSET(Import.PLQ,$A17-1,BC$15-1,1,1)),OFFSET(Import.PLQ,$A17-1,BC$15-1,1,1)),(1-PLE!$AA$28)*OFFSET(Import.PLQ,$A17-1,BC$15-1,1,1))))</f>
        <v>0</v>
      </c>
      <c r="BD17" s="145">
        <f ca="1">IF(BD$13="",0,CHOOSE(Detalhamento.OpçãoServiços,OFFSET(Import.PLQ,$A17-1,BD$15-1,1,1),IF($E17&lt;&gt;1,IF(ISNUMBER(INDEX(Import.PLE,Detalhamento!$E17,Detalhamento!BD$15)),IF(INDEX(Import.PLE,Detalhamento!$E17,Detalhamento!BD$15)&lt;=mediçao,OFFSET(Import.PLQ,$A17-1,BD$15-1,1,1),0),0),PLE!$AA$28*OFFSET(Import.PLQ,$A17-1,BD$15-1,1,1)),IF($E17&lt;&gt;1,IF(ISNUMBER(INDEX(Import.PLE,Detalhamento!$E17,Detalhamento!BD$15)),IF(INDEX(Import.PLE,Detalhamento!$E17,Detalhamento!BD$15)&lt;=mediçao,0,OFFSET(Import.PLQ,$A17-1,BD$15-1,1,1)),OFFSET(Import.PLQ,$A17-1,BD$15-1,1,1)),(1-PLE!$AA$28)*OFFSET(Import.PLQ,$A17-1,BD$15-1,1,1))))</f>
        <v>0</v>
      </c>
      <c r="BE17" s="145">
        <f ca="1">IF(BE$13="",0,CHOOSE(Detalhamento.OpçãoServiços,OFFSET(Import.PLQ,$A17-1,BE$15-1,1,1),IF($E17&lt;&gt;1,IF(ISNUMBER(INDEX(Import.PLE,Detalhamento!$E17,Detalhamento!BE$15)),IF(INDEX(Import.PLE,Detalhamento!$E17,Detalhamento!BE$15)&lt;=mediçao,OFFSET(Import.PLQ,$A17-1,BE$15-1,1,1),0),0),PLE!$AA$28*OFFSET(Import.PLQ,$A17-1,BE$15-1,1,1)),IF($E17&lt;&gt;1,IF(ISNUMBER(INDEX(Import.PLE,Detalhamento!$E17,Detalhamento!BE$15)),IF(INDEX(Import.PLE,Detalhamento!$E17,Detalhamento!BE$15)&lt;=mediçao,0,OFFSET(Import.PLQ,$A17-1,BE$15-1,1,1)),OFFSET(Import.PLQ,$A17-1,BE$15-1,1,1)),(1-PLE!$AA$28)*OFFSET(Import.PLQ,$A17-1,BE$15-1,1,1))))</f>
        <v>0</v>
      </c>
      <c r="BF17" s="145">
        <f ca="1">IF(BF$13="",0,CHOOSE(Detalhamento.OpçãoServiços,OFFSET(Import.PLQ,$A17-1,BF$15-1,1,1),IF($E17&lt;&gt;1,IF(ISNUMBER(INDEX(Import.PLE,Detalhamento!$E17,Detalhamento!BF$15)),IF(INDEX(Import.PLE,Detalhamento!$E17,Detalhamento!BF$15)&lt;=mediçao,OFFSET(Import.PLQ,$A17-1,BF$15-1,1,1),0),0),PLE!$AA$28*OFFSET(Import.PLQ,$A17-1,BF$15-1,1,1)),IF($E17&lt;&gt;1,IF(ISNUMBER(INDEX(Import.PLE,Detalhamento!$E17,Detalhamento!BF$15)),IF(INDEX(Import.PLE,Detalhamento!$E17,Detalhamento!BF$15)&lt;=mediçao,0,OFFSET(Import.PLQ,$A17-1,BF$15-1,1,1)),OFFSET(Import.PLQ,$A17-1,BF$15-1,1,1)),(1-PLE!$AA$28)*OFFSET(Import.PLQ,$A17-1,BF$15-1,1,1))))</f>
        <v>0</v>
      </c>
      <c r="BG17" s="145">
        <f ca="1">IF(BG$13="",0,CHOOSE(Detalhamento.OpçãoServiços,OFFSET(Import.PLQ,$A17-1,BG$15-1,1,1),IF($E17&lt;&gt;1,IF(ISNUMBER(INDEX(Import.PLE,Detalhamento!$E17,Detalhamento!BG$15)),IF(INDEX(Import.PLE,Detalhamento!$E17,Detalhamento!BG$15)&lt;=mediçao,OFFSET(Import.PLQ,$A17-1,BG$15-1,1,1),0),0),PLE!$AA$28*OFFSET(Import.PLQ,$A17-1,BG$15-1,1,1)),IF($E17&lt;&gt;1,IF(ISNUMBER(INDEX(Import.PLE,Detalhamento!$E17,Detalhamento!BG$15)),IF(INDEX(Import.PLE,Detalhamento!$E17,Detalhamento!BG$15)&lt;=mediçao,0,OFFSET(Import.PLQ,$A17-1,BG$15-1,1,1)),OFFSET(Import.PLQ,$A17-1,BG$15-1,1,1)),(1-PLE!$AA$28)*OFFSET(Import.PLQ,$A17-1,BG$15-1,1,1))))</f>
        <v>0</v>
      </c>
      <c r="BH17" s="145">
        <f ca="1">IF(BH$13="",0,CHOOSE(Detalhamento.OpçãoServiços,OFFSET(Import.PLQ,$A17-1,BH$15-1,1,1),IF($E17&lt;&gt;1,IF(ISNUMBER(INDEX(Import.PLE,Detalhamento!$E17,Detalhamento!BH$15)),IF(INDEX(Import.PLE,Detalhamento!$E17,Detalhamento!BH$15)&lt;=mediçao,OFFSET(Import.PLQ,$A17-1,BH$15-1,1,1),0),0),PLE!$AA$28*OFFSET(Import.PLQ,$A17-1,BH$15-1,1,1)),IF($E17&lt;&gt;1,IF(ISNUMBER(INDEX(Import.PLE,Detalhamento!$E17,Detalhamento!BH$15)),IF(INDEX(Import.PLE,Detalhamento!$E17,Detalhamento!BH$15)&lt;=mediçao,0,OFFSET(Import.PLQ,$A17-1,BH$15-1,1,1)),OFFSET(Import.PLQ,$A17-1,BH$15-1,1,1)),(1-PLE!$AA$28)*OFFSET(Import.PLQ,$A17-1,BH$15-1,1,1))))</f>
        <v>0</v>
      </c>
      <c r="BI17" s="145">
        <f ca="1">IF(BI$13="",0,CHOOSE(Detalhamento.OpçãoServiços,OFFSET(Import.PLQ,$A17-1,BI$15-1,1,1),IF($E17&lt;&gt;1,IF(ISNUMBER(INDEX(Import.PLE,Detalhamento!$E17,Detalhamento!BI$15)),IF(INDEX(Import.PLE,Detalhamento!$E17,Detalhamento!BI$15)&lt;=mediçao,OFFSET(Import.PLQ,$A17-1,BI$15-1,1,1),0),0),PLE!$AA$28*OFFSET(Import.PLQ,$A17-1,BI$15-1,1,1)),IF($E17&lt;&gt;1,IF(ISNUMBER(INDEX(Import.PLE,Detalhamento!$E17,Detalhamento!BI$15)),IF(INDEX(Import.PLE,Detalhamento!$E17,Detalhamento!BI$15)&lt;=mediçao,0,OFFSET(Import.PLQ,$A17-1,BI$15-1,1,1)),OFFSET(Import.PLQ,$A17-1,BI$15-1,1,1)),(1-PLE!$AA$28)*OFFSET(Import.PLQ,$A17-1,BI$15-1,1,1))))</f>
        <v>0</v>
      </c>
    </row>
    <row r="18" spans="1:61" hidden="1" x14ac:dyDescent="0.2">
      <c r="A18" s="156">
        <v>2</v>
      </c>
      <c r="B18" s="21" t="str">
        <f t="shared" ca="1" si="2"/>
        <v>Meta</v>
      </c>
      <c r="E18" s="154" t="str">
        <f t="shared" ca="1" si="3"/>
        <v/>
      </c>
      <c r="F18" s="155">
        <f t="shared" ca="1" si="4"/>
        <v>0</v>
      </c>
      <c r="G18" s="155">
        <f t="shared" ca="1" si="5"/>
        <v>1</v>
      </c>
      <c r="H18" s="183" t="str">
        <f t="shared" ca="1" si="5"/>
        <v>SERVIÇOS PRELIMINARES</v>
      </c>
      <c r="I18" s="37" t="str">
        <f t="shared" ca="1" si="6"/>
        <v/>
      </c>
      <c r="J18" s="145" t="str">
        <f t="shared" ca="1" si="7"/>
        <v/>
      </c>
      <c r="K18" s="67"/>
      <c r="L18" s="145">
        <f ca="1">IF(L$13="",0,CHOOSE(Detalhamento.OpçãoServiços,OFFSET(Import.PLQ,$A18-1,L$15-1,1,1),IF($E18&lt;&gt;1,IF(ISNUMBER(INDEX(Import.PLE,Detalhamento!$E18,Detalhamento!L$15)),IF(INDEX(Import.PLE,Detalhamento!$E18,Detalhamento!L$15)&lt;=mediçao,OFFSET(Import.PLQ,$A18-1,L$15-1,1,1),0),0),PLE!$AA$28*OFFSET(Import.PLQ,$A18-1,L$15-1,1,1)),IF($E18&lt;&gt;1,IF(ISNUMBER(INDEX(Import.PLE,Detalhamento!$E18,Detalhamento!L$15)),IF(INDEX(Import.PLE,Detalhamento!$E18,Detalhamento!L$15)&lt;=mediçao,0,OFFSET(Import.PLQ,$A18-1,L$15-1,1,1)),OFFSET(Import.PLQ,$A18-1,L$15-1,1,1)),(1-PLE!$AA$28)*OFFSET(Import.PLQ,$A18-1,L$15-1,1,1))))</f>
        <v>0</v>
      </c>
      <c r="M18" s="145">
        <f ca="1">IF(M$13="",0,CHOOSE(Detalhamento.OpçãoServiços,OFFSET(Import.PLQ,$A18-1,M$15-1,1,1),IF($E18&lt;&gt;1,IF(ISNUMBER(INDEX(Import.PLE,Detalhamento!$E18,Detalhamento!M$15)),IF(INDEX(Import.PLE,Detalhamento!$E18,Detalhamento!M$15)&lt;=mediçao,OFFSET(Import.PLQ,$A18-1,M$15-1,1,1),0),0),PLE!$AA$28*OFFSET(Import.PLQ,$A18-1,M$15-1,1,1)),IF($E18&lt;&gt;1,IF(ISNUMBER(INDEX(Import.PLE,Detalhamento!$E18,Detalhamento!M$15)),IF(INDEX(Import.PLE,Detalhamento!$E18,Detalhamento!M$15)&lt;=mediçao,0,OFFSET(Import.PLQ,$A18-1,M$15-1,1,1)),OFFSET(Import.PLQ,$A18-1,M$15-1,1,1)),(1-PLE!$AA$28)*OFFSET(Import.PLQ,$A18-1,M$15-1,1,1))))</f>
        <v>0</v>
      </c>
      <c r="N18" s="145">
        <f ca="1">IF(N$13="",0,CHOOSE(Detalhamento.OpçãoServiços,OFFSET(Import.PLQ,$A18-1,N$15-1,1,1),IF($E18&lt;&gt;1,IF(ISNUMBER(INDEX(Import.PLE,Detalhamento!$E18,Detalhamento!N$15)),IF(INDEX(Import.PLE,Detalhamento!$E18,Detalhamento!N$15)&lt;=mediçao,OFFSET(Import.PLQ,$A18-1,N$15-1,1,1),0),0),PLE!$AA$28*OFFSET(Import.PLQ,$A18-1,N$15-1,1,1)),IF($E18&lt;&gt;1,IF(ISNUMBER(INDEX(Import.PLE,Detalhamento!$E18,Detalhamento!N$15)),IF(INDEX(Import.PLE,Detalhamento!$E18,Detalhamento!N$15)&lt;=mediçao,0,OFFSET(Import.PLQ,$A18-1,N$15-1,1,1)),OFFSET(Import.PLQ,$A18-1,N$15-1,1,1)),(1-PLE!$AA$28)*OFFSET(Import.PLQ,$A18-1,N$15-1,1,1))))</f>
        <v>0</v>
      </c>
      <c r="O18" s="145">
        <f ca="1">IF(O$13="",0,CHOOSE(Detalhamento.OpçãoServiços,OFFSET(Import.PLQ,$A18-1,O$15-1,1,1),IF($E18&lt;&gt;1,IF(ISNUMBER(INDEX(Import.PLE,Detalhamento!$E18,Detalhamento!O$15)),IF(INDEX(Import.PLE,Detalhamento!$E18,Detalhamento!O$15)&lt;=mediçao,OFFSET(Import.PLQ,$A18-1,O$15-1,1,1),0),0),PLE!$AA$28*OFFSET(Import.PLQ,$A18-1,O$15-1,1,1)),IF($E18&lt;&gt;1,IF(ISNUMBER(INDEX(Import.PLE,Detalhamento!$E18,Detalhamento!O$15)),IF(INDEX(Import.PLE,Detalhamento!$E18,Detalhamento!O$15)&lt;=mediçao,0,OFFSET(Import.PLQ,$A18-1,O$15-1,1,1)),OFFSET(Import.PLQ,$A18-1,O$15-1,1,1)),(1-PLE!$AA$28)*OFFSET(Import.PLQ,$A18-1,O$15-1,1,1))))</f>
        <v>0</v>
      </c>
      <c r="P18" s="145">
        <f ca="1">IF(P$13="",0,CHOOSE(Detalhamento.OpçãoServiços,OFFSET(Import.PLQ,$A18-1,P$15-1,1,1),IF($E18&lt;&gt;1,IF(ISNUMBER(INDEX(Import.PLE,Detalhamento!$E18,Detalhamento!P$15)),IF(INDEX(Import.PLE,Detalhamento!$E18,Detalhamento!P$15)&lt;=mediçao,OFFSET(Import.PLQ,$A18-1,P$15-1,1,1),0),0),PLE!$AA$28*OFFSET(Import.PLQ,$A18-1,P$15-1,1,1)),IF($E18&lt;&gt;1,IF(ISNUMBER(INDEX(Import.PLE,Detalhamento!$E18,Detalhamento!P$15)),IF(INDEX(Import.PLE,Detalhamento!$E18,Detalhamento!P$15)&lt;=mediçao,0,OFFSET(Import.PLQ,$A18-1,P$15-1,1,1)),OFFSET(Import.PLQ,$A18-1,P$15-1,1,1)),(1-PLE!$AA$28)*OFFSET(Import.PLQ,$A18-1,P$15-1,1,1))))</f>
        <v>0</v>
      </c>
      <c r="Q18" s="145">
        <f ca="1">IF(Q$13="",0,CHOOSE(Detalhamento.OpçãoServiços,OFFSET(Import.PLQ,$A18-1,Q$15-1,1,1),IF($E18&lt;&gt;1,IF(ISNUMBER(INDEX(Import.PLE,Detalhamento!$E18,Detalhamento!Q$15)),IF(INDEX(Import.PLE,Detalhamento!$E18,Detalhamento!Q$15)&lt;=mediçao,OFFSET(Import.PLQ,$A18-1,Q$15-1,1,1),0),0),PLE!$AA$28*OFFSET(Import.PLQ,$A18-1,Q$15-1,1,1)),IF($E18&lt;&gt;1,IF(ISNUMBER(INDEX(Import.PLE,Detalhamento!$E18,Detalhamento!Q$15)),IF(INDEX(Import.PLE,Detalhamento!$E18,Detalhamento!Q$15)&lt;=mediçao,0,OFFSET(Import.PLQ,$A18-1,Q$15-1,1,1)),OFFSET(Import.PLQ,$A18-1,Q$15-1,1,1)),(1-PLE!$AA$28)*OFFSET(Import.PLQ,$A18-1,Q$15-1,1,1))))</f>
        <v>0</v>
      </c>
      <c r="R18" s="145">
        <f ca="1">IF(R$13="",0,CHOOSE(Detalhamento.OpçãoServiços,OFFSET(Import.PLQ,$A18-1,R$15-1,1,1),IF($E18&lt;&gt;1,IF(ISNUMBER(INDEX(Import.PLE,Detalhamento!$E18,Detalhamento!R$15)),IF(INDEX(Import.PLE,Detalhamento!$E18,Detalhamento!R$15)&lt;=mediçao,OFFSET(Import.PLQ,$A18-1,R$15-1,1,1),0),0),PLE!$AA$28*OFFSET(Import.PLQ,$A18-1,R$15-1,1,1)),IF($E18&lt;&gt;1,IF(ISNUMBER(INDEX(Import.PLE,Detalhamento!$E18,Detalhamento!R$15)),IF(INDEX(Import.PLE,Detalhamento!$E18,Detalhamento!R$15)&lt;=mediçao,0,OFFSET(Import.PLQ,$A18-1,R$15-1,1,1)),OFFSET(Import.PLQ,$A18-1,R$15-1,1,1)),(1-PLE!$AA$28)*OFFSET(Import.PLQ,$A18-1,R$15-1,1,1))))</f>
        <v>0</v>
      </c>
      <c r="S18" s="145">
        <f ca="1">IF(S$13="",0,CHOOSE(Detalhamento.OpçãoServiços,OFFSET(Import.PLQ,$A18-1,S$15-1,1,1),IF($E18&lt;&gt;1,IF(ISNUMBER(INDEX(Import.PLE,Detalhamento!$E18,Detalhamento!S$15)),IF(INDEX(Import.PLE,Detalhamento!$E18,Detalhamento!S$15)&lt;=mediçao,OFFSET(Import.PLQ,$A18-1,S$15-1,1,1),0),0),PLE!$AA$28*OFFSET(Import.PLQ,$A18-1,S$15-1,1,1)),IF($E18&lt;&gt;1,IF(ISNUMBER(INDEX(Import.PLE,Detalhamento!$E18,Detalhamento!S$15)),IF(INDEX(Import.PLE,Detalhamento!$E18,Detalhamento!S$15)&lt;=mediçao,0,OFFSET(Import.PLQ,$A18-1,S$15-1,1,1)),OFFSET(Import.PLQ,$A18-1,S$15-1,1,1)),(1-PLE!$AA$28)*OFFSET(Import.PLQ,$A18-1,S$15-1,1,1))))</f>
        <v>0</v>
      </c>
      <c r="T18" s="145">
        <f ca="1">IF(T$13="",0,CHOOSE(Detalhamento.OpçãoServiços,OFFSET(Import.PLQ,$A18-1,T$15-1,1,1),IF($E18&lt;&gt;1,IF(ISNUMBER(INDEX(Import.PLE,Detalhamento!$E18,Detalhamento!T$15)),IF(INDEX(Import.PLE,Detalhamento!$E18,Detalhamento!T$15)&lt;=mediçao,OFFSET(Import.PLQ,$A18-1,T$15-1,1,1),0),0),PLE!$AA$28*OFFSET(Import.PLQ,$A18-1,T$15-1,1,1)),IF($E18&lt;&gt;1,IF(ISNUMBER(INDEX(Import.PLE,Detalhamento!$E18,Detalhamento!T$15)),IF(INDEX(Import.PLE,Detalhamento!$E18,Detalhamento!T$15)&lt;=mediçao,0,OFFSET(Import.PLQ,$A18-1,T$15-1,1,1)),OFFSET(Import.PLQ,$A18-1,T$15-1,1,1)),(1-PLE!$AA$28)*OFFSET(Import.PLQ,$A18-1,T$15-1,1,1))))</f>
        <v>0</v>
      </c>
      <c r="U18" s="145">
        <f ca="1">IF(U$13="",0,CHOOSE(Detalhamento.OpçãoServiços,OFFSET(Import.PLQ,$A18-1,U$15-1,1,1),IF($E18&lt;&gt;1,IF(ISNUMBER(INDEX(Import.PLE,Detalhamento!$E18,Detalhamento!U$15)),IF(INDEX(Import.PLE,Detalhamento!$E18,Detalhamento!U$15)&lt;=mediçao,OFFSET(Import.PLQ,$A18-1,U$15-1,1,1),0),0),PLE!$AA$28*OFFSET(Import.PLQ,$A18-1,U$15-1,1,1)),IF($E18&lt;&gt;1,IF(ISNUMBER(INDEX(Import.PLE,Detalhamento!$E18,Detalhamento!U$15)),IF(INDEX(Import.PLE,Detalhamento!$E18,Detalhamento!U$15)&lt;=mediçao,0,OFFSET(Import.PLQ,$A18-1,U$15-1,1,1)),OFFSET(Import.PLQ,$A18-1,U$15-1,1,1)),(1-PLE!$AA$28)*OFFSET(Import.PLQ,$A18-1,U$15-1,1,1))))</f>
        <v>0</v>
      </c>
      <c r="V18" s="145">
        <f ca="1">IF(V$13="",0,CHOOSE(Detalhamento.OpçãoServiços,OFFSET(Import.PLQ,$A18-1,V$15-1,1,1),IF($E18&lt;&gt;1,IF(ISNUMBER(INDEX(Import.PLE,Detalhamento!$E18,Detalhamento!V$15)),IF(INDEX(Import.PLE,Detalhamento!$E18,Detalhamento!V$15)&lt;=mediçao,OFFSET(Import.PLQ,$A18-1,V$15-1,1,1),0),0),PLE!$AA$28*OFFSET(Import.PLQ,$A18-1,V$15-1,1,1)),IF($E18&lt;&gt;1,IF(ISNUMBER(INDEX(Import.PLE,Detalhamento!$E18,Detalhamento!V$15)),IF(INDEX(Import.PLE,Detalhamento!$E18,Detalhamento!V$15)&lt;=mediçao,0,OFFSET(Import.PLQ,$A18-1,V$15-1,1,1)),OFFSET(Import.PLQ,$A18-1,V$15-1,1,1)),(1-PLE!$AA$28)*OFFSET(Import.PLQ,$A18-1,V$15-1,1,1))))</f>
        <v>0</v>
      </c>
      <c r="W18" s="145">
        <f ca="1">IF(W$13="",0,CHOOSE(Detalhamento.OpçãoServiços,OFFSET(Import.PLQ,$A18-1,W$15-1,1,1),IF($E18&lt;&gt;1,IF(ISNUMBER(INDEX(Import.PLE,Detalhamento!$E18,Detalhamento!W$15)),IF(INDEX(Import.PLE,Detalhamento!$E18,Detalhamento!W$15)&lt;=mediçao,OFFSET(Import.PLQ,$A18-1,W$15-1,1,1),0),0),PLE!$AA$28*OFFSET(Import.PLQ,$A18-1,W$15-1,1,1)),IF($E18&lt;&gt;1,IF(ISNUMBER(INDEX(Import.PLE,Detalhamento!$E18,Detalhamento!W$15)),IF(INDEX(Import.PLE,Detalhamento!$E18,Detalhamento!W$15)&lt;=mediçao,0,OFFSET(Import.PLQ,$A18-1,W$15-1,1,1)),OFFSET(Import.PLQ,$A18-1,W$15-1,1,1)),(1-PLE!$AA$28)*OFFSET(Import.PLQ,$A18-1,W$15-1,1,1))))</f>
        <v>0</v>
      </c>
      <c r="X18" s="145">
        <f ca="1">IF(X$13="",0,CHOOSE(Detalhamento.OpçãoServiços,OFFSET(Import.PLQ,$A18-1,X$15-1,1,1),IF($E18&lt;&gt;1,IF(ISNUMBER(INDEX(Import.PLE,Detalhamento!$E18,Detalhamento!X$15)),IF(INDEX(Import.PLE,Detalhamento!$E18,Detalhamento!X$15)&lt;=mediçao,OFFSET(Import.PLQ,$A18-1,X$15-1,1,1),0),0),PLE!$AA$28*OFFSET(Import.PLQ,$A18-1,X$15-1,1,1)),IF($E18&lt;&gt;1,IF(ISNUMBER(INDEX(Import.PLE,Detalhamento!$E18,Detalhamento!X$15)),IF(INDEX(Import.PLE,Detalhamento!$E18,Detalhamento!X$15)&lt;=mediçao,0,OFFSET(Import.PLQ,$A18-1,X$15-1,1,1)),OFFSET(Import.PLQ,$A18-1,X$15-1,1,1)),(1-PLE!$AA$28)*OFFSET(Import.PLQ,$A18-1,X$15-1,1,1))))</f>
        <v>0</v>
      </c>
      <c r="Y18" s="145">
        <f ca="1">IF(Y$13="",0,CHOOSE(Detalhamento.OpçãoServiços,OFFSET(Import.PLQ,$A18-1,Y$15-1,1,1),IF($E18&lt;&gt;1,IF(ISNUMBER(INDEX(Import.PLE,Detalhamento!$E18,Detalhamento!Y$15)),IF(INDEX(Import.PLE,Detalhamento!$E18,Detalhamento!Y$15)&lt;=mediçao,OFFSET(Import.PLQ,$A18-1,Y$15-1,1,1),0),0),PLE!$AA$28*OFFSET(Import.PLQ,$A18-1,Y$15-1,1,1)),IF($E18&lt;&gt;1,IF(ISNUMBER(INDEX(Import.PLE,Detalhamento!$E18,Detalhamento!Y$15)),IF(INDEX(Import.PLE,Detalhamento!$E18,Detalhamento!Y$15)&lt;=mediçao,0,OFFSET(Import.PLQ,$A18-1,Y$15-1,1,1)),OFFSET(Import.PLQ,$A18-1,Y$15-1,1,1)),(1-PLE!$AA$28)*OFFSET(Import.PLQ,$A18-1,Y$15-1,1,1))))</f>
        <v>0</v>
      </c>
      <c r="Z18" s="145">
        <f ca="1">IF(Z$13="",0,CHOOSE(Detalhamento.OpçãoServiços,OFFSET(Import.PLQ,$A18-1,Z$15-1,1,1),IF($E18&lt;&gt;1,IF(ISNUMBER(INDEX(Import.PLE,Detalhamento!$E18,Detalhamento!Z$15)),IF(INDEX(Import.PLE,Detalhamento!$E18,Detalhamento!Z$15)&lt;=mediçao,OFFSET(Import.PLQ,$A18-1,Z$15-1,1,1),0),0),PLE!$AA$28*OFFSET(Import.PLQ,$A18-1,Z$15-1,1,1)),IF($E18&lt;&gt;1,IF(ISNUMBER(INDEX(Import.PLE,Detalhamento!$E18,Detalhamento!Z$15)),IF(INDEX(Import.PLE,Detalhamento!$E18,Detalhamento!Z$15)&lt;=mediçao,0,OFFSET(Import.PLQ,$A18-1,Z$15-1,1,1)),OFFSET(Import.PLQ,$A18-1,Z$15-1,1,1)),(1-PLE!$AA$28)*OFFSET(Import.PLQ,$A18-1,Z$15-1,1,1))))</f>
        <v>0</v>
      </c>
      <c r="AA18" s="145">
        <f ca="1">IF(AA$13="",0,CHOOSE(Detalhamento.OpçãoServiços,OFFSET(Import.PLQ,$A18-1,AA$15-1,1,1),IF($E18&lt;&gt;1,IF(ISNUMBER(INDEX(Import.PLE,Detalhamento!$E18,Detalhamento!AA$15)),IF(INDEX(Import.PLE,Detalhamento!$E18,Detalhamento!AA$15)&lt;=mediçao,OFFSET(Import.PLQ,$A18-1,AA$15-1,1,1),0),0),PLE!$AA$28*OFFSET(Import.PLQ,$A18-1,AA$15-1,1,1)),IF($E18&lt;&gt;1,IF(ISNUMBER(INDEX(Import.PLE,Detalhamento!$E18,Detalhamento!AA$15)),IF(INDEX(Import.PLE,Detalhamento!$E18,Detalhamento!AA$15)&lt;=mediçao,0,OFFSET(Import.PLQ,$A18-1,AA$15-1,1,1)),OFFSET(Import.PLQ,$A18-1,AA$15-1,1,1)),(1-PLE!$AA$28)*OFFSET(Import.PLQ,$A18-1,AA$15-1,1,1))))</f>
        <v>0</v>
      </c>
      <c r="AB18" s="145">
        <f ca="1">IF(AB$13="",0,CHOOSE(Detalhamento.OpçãoServiços,OFFSET(Import.PLQ,$A18-1,AB$15-1,1,1),IF($E18&lt;&gt;1,IF(ISNUMBER(INDEX(Import.PLE,Detalhamento!$E18,Detalhamento!AB$15)),IF(INDEX(Import.PLE,Detalhamento!$E18,Detalhamento!AB$15)&lt;=mediçao,OFFSET(Import.PLQ,$A18-1,AB$15-1,1,1),0),0),PLE!$AA$28*OFFSET(Import.PLQ,$A18-1,AB$15-1,1,1)),IF($E18&lt;&gt;1,IF(ISNUMBER(INDEX(Import.PLE,Detalhamento!$E18,Detalhamento!AB$15)),IF(INDEX(Import.PLE,Detalhamento!$E18,Detalhamento!AB$15)&lt;=mediçao,0,OFFSET(Import.PLQ,$A18-1,AB$15-1,1,1)),OFFSET(Import.PLQ,$A18-1,AB$15-1,1,1)),(1-PLE!$AA$28)*OFFSET(Import.PLQ,$A18-1,AB$15-1,1,1))))</f>
        <v>0</v>
      </c>
      <c r="AC18" s="145">
        <f ca="1">IF(AC$13="",0,CHOOSE(Detalhamento.OpçãoServiços,OFFSET(Import.PLQ,$A18-1,AC$15-1,1,1),IF($E18&lt;&gt;1,IF(ISNUMBER(INDEX(Import.PLE,Detalhamento!$E18,Detalhamento!AC$15)),IF(INDEX(Import.PLE,Detalhamento!$E18,Detalhamento!AC$15)&lt;=mediçao,OFFSET(Import.PLQ,$A18-1,AC$15-1,1,1),0),0),PLE!$AA$28*OFFSET(Import.PLQ,$A18-1,AC$15-1,1,1)),IF($E18&lt;&gt;1,IF(ISNUMBER(INDEX(Import.PLE,Detalhamento!$E18,Detalhamento!AC$15)),IF(INDEX(Import.PLE,Detalhamento!$E18,Detalhamento!AC$15)&lt;=mediçao,0,OFFSET(Import.PLQ,$A18-1,AC$15-1,1,1)),OFFSET(Import.PLQ,$A18-1,AC$15-1,1,1)),(1-PLE!$AA$28)*OFFSET(Import.PLQ,$A18-1,AC$15-1,1,1))))</f>
        <v>0</v>
      </c>
      <c r="AD18" s="145">
        <f ca="1">IF(AD$13="",0,CHOOSE(Detalhamento.OpçãoServiços,OFFSET(Import.PLQ,$A18-1,AD$15-1,1,1),IF($E18&lt;&gt;1,IF(ISNUMBER(INDEX(Import.PLE,Detalhamento!$E18,Detalhamento!AD$15)),IF(INDEX(Import.PLE,Detalhamento!$E18,Detalhamento!AD$15)&lt;=mediçao,OFFSET(Import.PLQ,$A18-1,AD$15-1,1,1),0),0),PLE!$AA$28*OFFSET(Import.PLQ,$A18-1,AD$15-1,1,1)),IF($E18&lt;&gt;1,IF(ISNUMBER(INDEX(Import.PLE,Detalhamento!$E18,Detalhamento!AD$15)),IF(INDEX(Import.PLE,Detalhamento!$E18,Detalhamento!AD$15)&lt;=mediçao,0,OFFSET(Import.PLQ,$A18-1,AD$15-1,1,1)),OFFSET(Import.PLQ,$A18-1,AD$15-1,1,1)),(1-PLE!$AA$28)*OFFSET(Import.PLQ,$A18-1,AD$15-1,1,1))))</f>
        <v>0</v>
      </c>
      <c r="AE18" s="145">
        <f ca="1">IF(AE$13="",0,CHOOSE(Detalhamento.OpçãoServiços,OFFSET(Import.PLQ,$A18-1,AE$15-1,1,1),IF($E18&lt;&gt;1,IF(ISNUMBER(INDEX(Import.PLE,Detalhamento!$E18,Detalhamento!AE$15)),IF(INDEX(Import.PLE,Detalhamento!$E18,Detalhamento!AE$15)&lt;=mediçao,OFFSET(Import.PLQ,$A18-1,AE$15-1,1,1),0),0),PLE!$AA$28*OFFSET(Import.PLQ,$A18-1,AE$15-1,1,1)),IF($E18&lt;&gt;1,IF(ISNUMBER(INDEX(Import.PLE,Detalhamento!$E18,Detalhamento!AE$15)),IF(INDEX(Import.PLE,Detalhamento!$E18,Detalhamento!AE$15)&lt;=mediçao,0,OFFSET(Import.PLQ,$A18-1,AE$15-1,1,1)),OFFSET(Import.PLQ,$A18-1,AE$15-1,1,1)),(1-PLE!$AA$28)*OFFSET(Import.PLQ,$A18-1,AE$15-1,1,1))))</f>
        <v>0</v>
      </c>
      <c r="AF18" s="145">
        <f ca="1">IF(AF$13="",0,CHOOSE(Detalhamento.OpçãoServiços,OFFSET(Import.PLQ,$A18-1,AF$15-1,1,1),IF($E18&lt;&gt;1,IF(ISNUMBER(INDEX(Import.PLE,Detalhamento!$E18,Detalhamento!AF$15)),IF(INDEX(Import.PLE,Detalhamento!$E18,Detalhamento!AF$15)&lt;=mediçao,OFFSET(Import.PLQ,$A18-1,AF$15-1,1,1),0),0),PLE!$AA$28*OFFSET(Import.PLQ,$A18-1,AF$15-1,1,1)),IF($E18&lt;&gt;1,IF(ISNUMBER(INDEX(Import.PLE,Detalhamento!$E18,Detalhamento!AF$15)),IF(INDEX(Import.PLE,Detalhamento!$E18,Detalhamento!AF$15)&lt;=mediçao,0,OFFSET(Import.PLQ,$A18-1,AF$15-1,1,1)),OFFSET(Import.PLQ,$A18-1,AF$15-1,1,1)),(1-PLE!$AA$28)*OFFSET(Import.PLQ,$A18-1,AF$15-1,1,1))))</f>
        <v>0</v>
      </c>
      <c r="AG18" s="145">
        <f ca="1">IF(AG$13="",0,CHOOSE(Detalhamento.OpçãoServiços,OFFSET(Import.PLQ,$A18-1,AG$15-1,1,1),IF($E18&lt;&gt;1,IF(ISNUMBER(INDEX(Import.PLE,Detalhamento!$E18,Detalhamento!AG$15)),IF(INDEX(Import.PLE,Detalhamento!$E18,Detalhamento!AG$15)&lt;=mediçao,OFFSET(Import.PLQ,$A18-1,AG$15-1,1,1),0),0),PLE!$AA$28*OFFSET(Import.PLQ,$A18-1,AG$15-1,1,1)),IF($E18&lt;&gt;1,IF(ISNUMBER(INDEX(Import.PLE,Detalhamento!$E18,Detalhamento!AG$15)),IF(INDEX(Import.PLE,Detalhamento!$E18,Detalhamento!AG$15)&lt;=mediçao,0,OFFSET(Import.PLQ,$A18-1,AG$15-1,1,1)),OFFSET(Import.PLQ,$A18-1,AG$15-1,1,1)),(1-PLE!$AA$28)*OFFSET(Import.PLQ,$A18-1,AG$15-1,1,1))))</f>
        <v>0</v>
      </c>
      <c r="AH18" s="145">
        <f ca="1">IF(AH$13="",0,CHOOSE(Detalhamento.OpçãoServiços,OFFSET(Import.PLQ,$A18-1,AH$15-1,1,1),IF($E18&lt;&gt;1,IF(ISNUMBER(INDEX(Import.PLE,Detalhamento!$E18,Detalhamento!AH$15)),IF(INDEX(Import.PLE,Detalhamento!$E18,Detalhamento!AH$15)&lt;=mediçao,OFFSET(Import.PLQ,$A18-1,AH$15-1,1,1),0),0),PLE!$AA$28*OFFSET(Import.PLQ,$A18-1,AH$15-1,1,1)),IF($E18&lt;&gt;1,IF(ISNUMBER(INDEX(Import.PLE,Detalhamento!$E18,Detalhamento!AH$15)),IF(INDEX(Import.PLE,Detalhamento!$E18,Detalhamento!AH$15)&lt;=mediçao,0,OFFSET(Import.PLQ,$A18-1,AH$15-1,1,1)),OFFSET(Import.PLQ,$A18-1,AH$15-1,1,1)),(1-PLE!$AA$28)*OFFSET(Import.PLQ,$A18-1,AH$15-1,1,1))))</f>
        <v>0</v>
      </c>
      <c r="AI18" s="145">
        <f ca="1">IF(AI$13="",0,CHOOSE(Detalhamento.OpçãoServiços,OFFSET(Import.PLQ,$A18-1,AI$15-1,1,1),IF($E18&lt;&gt;1,IF(ISNUMBER(INDEX(Import.PLE,Detalhamento!$E18,Detalhamento!AI$15)),IF(INDEX(Import.PLE,Detalhamento!$E18,Detalhamento!AI$15)&lt;=mediçao,OFFSET(Import.PLQ,$A18-1,AI$15-1,1,1),0),0),PLE!$AA$28*OFFSET(Import.PLQ,$A18-1,AI$15-1,1,1)),IF($E18&lt;&gt;1,IF(ISNUMBER(INDEX(Import.PLE,Detalhamento!$E18,Detalhamento!AI$15)),IF(INDEX(Import.PLE,Detalhamento!$E18,Detalhamento!AI$15)&lt;=mediçao,0,OFFSET(Import.PLQ,$A18-1,AI$15-1,1,1)),OFFSET(Import.PLQ,$A18-1,AI$15-1,1,1)),(1-PLE!$AA$28)*OFFSET(Import.PLQ,$A18-1,AI$15-1,1,1))))</f>
        <v>0</v>
      </c>
      <c r="AJ18" s="145">
        <f ca="1">IF(AJ$13="",0,CHOOSE(Detalhamento.OpçãoServiços,OFFSET(Import.PLQ,$A18-1,AJ$15-1,1,1),IF($E18&lt;&gt;1,IF(ISNUMBER(INDEX(Import.PLE,Detalhamento!$E18,Detalhamento!AJ$15)),IF(INDEX(Import.PLE,Detalhamento!$E18,Detalhamento!AJ$15)&lt;=mediçao,OFFSET(Import.PLQ,$A18-1,AJ$15-1,1,1),0),0),PLE!$AA$28*OFFSET(Import.PLQ,$A18-1,AJ$15-1,1,1)),IF($E18&lt;&gt;1,IF(ISNUMBER(INDEX(Import.PLE,Detalhamento!$E18,Detalhamento!AJ$15)),IF(INDEX(Import.PLE,Detalhamento!$E18,Detalhamento!AJ$15)&lt;=mediçao,0,OFFSET(Import.PLQ,$A18-1,AJ$15-1,1,1)),OFFSET(Import.PLQ,$A18-1,AJ$15-1,1,1)),(1-PLE!$AA$28)*OFFSET(Import.PLQ,$A18-1,AJ$15-1,1,1))))</f>
        <v>0</v>
      </c>
      <c r="AK18" s="145">
        <f ca="1">IF(AK$13="",0,CHOOSE(Detalhamento.OpçãoServiços,OFFSET(Import.PLQ,$A18-1,AK$15-1,1,1),IF($E18&lt;&gt;1,IF(ISNUMBER(INDEX(Import.PLE,Detalhamento!$E18,Detalhamento!AK$15)),IF(INDEX(Import.PLE,Detalhamento!$E18,Detalhamento!AK$15)&lt;=mediçao,OFFSET(Import.PLQ,$A18-1,AK$15-1,1,1),0),0),PLE!$AA$28*OFFSET(Import.PLQ,$A18-1,AK$15-1,1,1)),IF($E18&lt;&gt;1,IF(ISNUMBER(INDEX(Import.PLE,Detalhamento!$E18,Detalhamento!AK$15)),IF(INDEX(Import.PLE,Detalhamento!$E18,Detalhamento!AK$15)&lt;=mediçao,0,OFFSET(Import.PLQ,$A18-1,AK$15-1,1,1)),OFFSET(Import.PLQ,$A18-1,AK$15-1,1,1)),(1-PLE!$AA$28)*OFFSET(Import.PLQ,$A18-1,AK$15-1,1,1))))</f>
        <v>0</v>
      </c>
      <c r="AL18" s="145">
        <f ca="1">IF(AL$13="",0,CHOOSE(Detalhamento.OpçãoServiços,OFFSET(Import.PLQ,$A18-1,AL$15-1,1,1),IF($E18&lt;&gt;1,IF(ISNUMBER(INDEX(Import.PLE,Detalhamento!$E18,Detalhamento!AL$15)),IF(INDEX(Import.PLE,Detalhamento!$E18,Detalhamento!AL$15)&lt;=mediçao,OFFSET(Import.PLQ,$A18-1,AL$15-1,1,1),0),0),PLE!$AA$28*OFFSET(Import.PLQ,$A18-1,AL$15-1,1,1)),IF($E18&lt;&gt;1,IF(ISNUMBER(INDEX(Import.PLE,Detalhamento!$E18,Detalhamento!AL$15)),IF(INDEX(Import.PLE,Detalhamento!$E18,Detalhamento!AL$15)&lt;=mediçao,0,OFFSET(Import.PLQ,$A18-1,AL$15-1,1,1)),OFFSET(Import.PLQ,$A18-1,AL$15-1,1,1)),(1-PLE!$AA$28)*OFFSET(Import.PLQ,$A18-1,AL$15-1,1,1))))</f>
        <v>0</v>
      </c>
      <c r="AM18" s="145">
        <f ca="1">IF(AM$13="",0,CHOOSE(Detalhamento.OpçãoServiços,OFFSET(Import.PLQ,$A18-1,AM$15-1,1,1),IF($E18&lt;&gt;1,IF(ISNUMBER(INDEX(Import.PLE,Detalhamento!$E18,Detalhamento!AM$15)),IF(INDEX(Import.PLE,Detalhamento!$E18,Detalhamento!AM$15)&lt;=mediçao,OFFSET(Import.PLQ,$A18-1,AM$15-1,1,1),0),0),PLE!$AA$28*OFFSET(Import.PLQ,$A18-1,AM$15-1,1,1)),IF($E18&lt;&gt;1,IF(ISNUMBER(INDEX(Import.PLE,Detalhamento!$E18,Detalhamento!AM$15)),IF(INDEX(Import.PLE,Detalhamento!$E18,Detalhamento!AM$15)&lt;=mediçao,0,OFFSET(Import.PLQ,$A18-1,AM$15-1,1,1)),OFFSET(Import.PLQ,$A18-1,AM$15-1,1,1)),(1-PLE!$AA$28)*OFFSET(Import.PLQ,$A18-1,AM$15-1,1,1))))</f>
        <v>0</v>
      </c>
      <c r="AN18" s="145">
        <f ca="1">IF(AN$13="",0,CHOOSE(Detalhamento.OpçãoServiços,OFFSET(Import.PLQ,$A18-1,AN$15-1,1,1),IF($E18&lt;&gt;1,IF(ISNUMBER(INDEX(Import.PLE,Detalhamento!$E18,Detalhamento!AN$15)),IF(INDEX(Import.PLE,Detalhamento!$E18,Detalhamento!AN$15)&lt;=mediçao,OFFSET(Import.PLQ,$A18-1,AN$15-1,1,1),0),0),PLE!$AA$28*OFFSET(Import.PLQ,$A18-1,AN$15-1,1,1)),IF($E18&lt;&gt;1,IF(ISNUMBER(INDEX(Import.PLE,Detalhamento!$E18,Detalhamento!AN$15)),IF(INDEX(Import.PLE,Detalhamento!$E18,Detalhamento!AN$15)&lt;=mediçao,0,OFFSET(Import.PLQ,$A18-1,AN$15-1,1,1)),OFFSET(Import.PLQ,$A18-1,AN$15-1,1,1)),(1-PLE!$AA$28)*OFFSET(Import.PLQ,$A18-1,AN$15-1,1,1))))</f>
        <v>0</v>
      </c>
      <c r="AO18" s="145">
        <f ca="1">IF(AO$13="",0,CHOOSE(Detalhamento.OpçãoServiços,OFFSET(Import.PLQ,$A18-1,AO$15-1,1,1),IF($E18&lt;&gt;1,IF(ISNUMBER(INDEX(Import.PLE,Detalhamento!$E18,Detalhamento!AO$15)),IF(INDEX(Import.PLE,Detalhamento!$E18,Detalhamento!AO$15)&lt;=mediçao,OFFSET(Import.PLQ,$A18-1,AO$15-1,1,1),0),0),PLE!$AA$28*OFFSET(Import.PLQ,$A18-1,AO$15-1,1,1)),IF($E18&lt;&gt;1,IF(ISNUMBER(INDEX(Import.PLE,Detalhamento!$E18,Detalhamento!AO$15)),IF(INDEX(Import.PLE,Detalhamento!$E18,Detalhamento!AO$15)&lt;=mediçao,0,OFFSET(Import.PLQ,$A18-1,AO$15-1,1,1)),OFFSET(Import.PLQ,$A18-1,AO$15-1,1,1)),(1-PLE!$AA$28)*OFFSET(Import.PLQ,$A18-1,AO$15-1,1,1))))</f>
        <v>0</v>
      </c>
      <c r="AP18" s="145">
        <f ca="1">IF(AP$13="",0,CHOOSE(Detalhamento.OpçãoServiços,OFFSET(Import.PLQ,$A18-1,AP$15-1,1,1),IF($E18&lt;&gt;1,IF(ISNUMBER(INDEX(Import.PLE,Detalhamento!$E18,Detalhamento!AP$15)),IF(INDEX(Import.PLE,Detalhamento!$E18,Detalhamento!AP$15)&lt;=mediçao,OFFSET(Import.PLQ,$A18-1,AP$15-1,1,1),0),0),PLE!$AA$28*OFFSET(Import.PLQ,$A18-1,AP$15-1,1,1)),IF($E18&lt;&gt;1,IF(ISNUMBER(INDEX(Import.PLE,Detalhamento!$E18,Detalhamento!AP$15)),IF(INDEX(Import.PLE,Detalhamento!$E18,Detalhamento!AP$15)&lt;=mediçao,0,OFFSET(Import.PLQ,$A18-1,AP$15-1,1,1)),OFFSET(Import.PLQ,$A18-1,AP$15-1,1,1)),(1-PLE!$AA$28)*OFFSET(Import.PLQ,$A18-1,AP$15-1,1,1))))</f>
        <v>0</v>
      </c>
      <c r="AQ18" s="145">
        <f ca="1">IF(AQ$13="",0,CHOOSE(Detalhamento.OpçãoServiços,OFFSET(Import.PLQ,$A18-1,AQ$15-1,1,1),IF($E18&lt;&gt;1,IF(ISNUMBER(INDEX(Import.PLE,Detalhamento!$E18,Detalhamento!AQ$15)),IF(INDEX(Import.PLE,Detalhamento!$E18,Detalhamento!AQ$15)&lt;=mediçao,OFFSET(Import.PLQ,$A18-1,AQ$15-1,1,1),0),0),PLE!$AA$28*OFFSET(Import.PLQ,$A18-1,AQ$15-1,1,1)),IF($E18&lt;&gt;1,IF(ISNUMBER(INDEX(Import.PLE,Detalhamento!$E18,Detalhamento!AQ$15)),IF(INDEX(Import.PLE,Detalhamento!$E18,Detalhamento!AQ$15)&lt;=mediçao,0,OFFSET(Import.PLQ,$A18-1,AQ$15-1,1,1)),OFFSET(Import.PLQ,$A18-1,AQ$15-1,1,1)),(1-PLE!$AA$28)*OFFSET(Import.PLQ,$A18-1,AQ$15-1,1,1))))</f>
        <v>0</v>
      </c>
      <c r="AR18" s="145">
        <f ca="1">IF(AR$13="",0,CHOOSE(Detalhamento.OpçãoServiços,OFFSET(Import.PLQ,$A18-1,AR$15-1,1,1),IF($E18&lt;&gt;1,IF(ISNUMBER(INDEX(Import.PLE,Detalhamento!$E18,Detalhamento!AR$15)),IF(INDEX(Import.PLE,Detalhamento!$E18,Detalhamento!AR$15)&lt;=mediçao,OFFSET(Import.PLQ,$A18-1,AR$15-1,1,1),0),0),PLE!$AA$28*OFFSET(Import.PLQ,$A18-1,AR$15-1,1,1)),IF($E18&lt;&gt;1,IF(ISNUMBER(INDEX(Import.PLE,Detalhamento!$E18,Detalhamento!AR$15)),IF(INDEX(Import.PLE,Detalhamento!$E18,Detalhamento!AR$15)&lt;=mediçao,0,OFFSET(Import.PLQ,$A18-1,AR$15-1,1,1)),OFFSET(Import.PLQ,$A18-1,AR$15-1,1,1)),(1-PLE!$AA$28)*OFFSET(Import.PLQ,$A18-1,AR$15-1,1,1))))</f>
        <v>0</v>
      </c>
      <c r="AS18" s="145">
        <f ca="1">IF(AS$13="",0,CHOOSE(Detalhamento.OpçãoServiços,OFFSET(Import.PLQ,$A18-1,AS$15-1,1,1),IF($E18&lt;&gt;1,IF(ISNUMBER(INDEX(Import.PLE,Detalhamento!$E18,Detalhamento!AS$15)),IF(INDEX(Import.PLE,Detalhamento!$E18,Detalhamento!AS$15)&lt;=mediçao,OFFSET(Import.PLQ,$A18-1,AS$15-1,1,1),0),0),PLE!$AA$28*OFFSET(Import.PLQ,$A18-1,AS$15-1,1,1)),IF($E18&lt;&gt;1,IF(ISNUMBER(INDEX(Import.PLE,Detalhamento!$E18,Detalhamento!AS$15)),IF(INDEX(Import.PLE,Detalhamento!$E18,Detalhamento!AS$15)&lt;=mediçao,0,OFFSET(Import.PLQ,$A18-1,AS$15-1,1,1)),OFFSET(Import.PLQ,$A18-1,AS$15-1,1,1)),(1-PLE!$AA$28)*OFFSET(Import.PLQ,$A18-1,AS$15-1,1,1))))</f>
        <v>0</v>
      </c>
      <c r="AT18" s="145">
        <f ca="1">IF(AT$13="",0,CHOOSE(Detalhamento.OpçãoServiços,OFFSET(Import.PLQ,$A18-1,AT$15-1,1,1),IF($E18&lt;&gt;1,IF(ISNUMBER(INDEX(Import.PLE,Detalhamento!$E18,Detalhamento!AT$15)),IF(INDEX(Import.PLE,Detalhamento!$E18,Detalhamento!AT$15)&lt;=mediçao,OFFSET(Import.PLQ,$A18-1,AT$15-1,1,1),0),0),PLE!$AA$28*OFFSET(Import.PLQ,$A18-1,AT$15-1,1,1)),IF($E18&lt;&gt;1,IF(ISNUMBER(INDEX(Import.PLE,Detalhamento!$E18,Detalhamento!AT$15)),IF(INDEX(Import.PLE,Detalhamento!$E18,Detalhamento!AT$15)&lt;=mediçao,0,OFFSET(Import.PLQ,$A18-1,AT$15-1,1,1)),OFFSET(Import.PLQ,$A18-1,AT$15-1,1,1)),(1-PLE!$AA$28)*OFFSET(Import.PLQ,$A18-1,AT$15-1,1,1))))</f>
        <v>0</v>
      </c>
      <c r="AU18" s="145">
        <f ca="1">IF(AU$13="",0,CHOOSE(Detalhamento.OpçãoServiços,OFFSET(Import.PLQ,$A18-1,AU$15-1,1,1),IF($E18&lt;&gt;1,IF(ISNUMBER(INDEX(Import.PLE,Detalhamento!$E18,Detalhamento!AU$15)),IF(INDEX(Import.PLE,Detalhamento!$E18,Detalhamento!AU$15)&lt;=mediçao,OFFSET(Import.PLQ,$A18-1,AU$15-1,1,1),0),0),PLE!$AA$28*OFFSET(Import.PLQ,$A18-1,AU$15-1,1,1)),IF($E18&lt;&gt;1,IF(ISNUMBER(INDEX(Import.PLE,Detalhamento!$E18,Detalhamento!AU$15)),IF(INDEX(Import.PLE,Detalhamento!$E18,Detalhamento!AU$15)&lt;=mediçao,0,OFFSET(Import.PLQ,$A18-1,AU$15-1,1,1)),OFFSET(Import.PLQ,$A18-1,AU$15-1,1,1)),(1-PLE!$AA$28)*OFFSET(Import.PLQ,$A18-1,AU$15-1,1,1))))</f>
        <v>0</v>
      </c>
      <c r="AV18" s="145">
        <f ca="1">IF(AV$13="",0,CHOOSE(Detalhamento.OpçãoServiços,OFFSET(Import.PLQ,$A18-1,AV$15-1,1,1),IF($E18&lt;&gt;1,IF(ISNUMBER(INDEX(Import.PLE,Detalhamento!$E18,Detalhamento!AV$15)),IF(INDEX(Import.PLE,Detalhamento!$E18,Detalhamento!AV$15)&lt;=mediçao,OFFSET(Import.PLQ,$A18-1,AV$15-1,1,1),0),0),PLE!$AA$28*OFFSET(Import.PLQ,$A18-1,AV$15-1,1,1)),IF($E18&lt;&gt;1,IF(ISNUMBER(INDEX(Import.PLE,Detalhamento!$E18,Detalhamento!AV$15)),IF(INDEX(Import.PLE,Detalhamento!$E18,Detalhamento!AV$15)&lt;=mediçao,0,OFFSET(Import.PLQ,$A18-1,AV$15-1,1,1)),OFFSET(Import.PLQ,$A18-1,AV$15-1,1,1)),(1-PLE!$AA$28)*OFFSET(Import.PLQ,$A18-1,AV$15-1,1,1))))</f>
        <v>0</v>
      </c>
      <c r="AW18" s="145">
        <f ca="1">IF(AW$13="",0,CHOOSE(Detalhamento.OpçãoServiços,OFFSET(Import.PLQ,$A18-1,AW$15-1,1,1),IF($E18&lt;&gt;1,IF(ISNUMBER(INDEX(Import.PLE,Detalhamento!$E18,Detalhamento!AW$15)),IF(INDEX(Import.PLE,Detalhamento!$E18,Detalhamento!AW$15)&lt;=mediçao,OFFSET(Import.PLQ,$A18-1,AW$15-1,1,1),0),0),PLE!$AA$28*OFFSET(Import.PLQ,$A18-1,AW$15-1,1,1)),IF($E18&lt;&gt;1,IF(ISNUMBER(INDEX(Import.PLE,Detalhamento!$E18,Detalhamento!AW$15)),IF(INDEX(Import.PLE,Detalhamento!$E18,Detalhamento!AW$15)&lt;=mediçao,0,OFFSET(Import.PLQ,$A18-1,AW$15-1,1,1)),OFFSET(Import.PLQ,$A18-1,AW$15-1,1,1)),(1-PLE!$AA$28)*OFFSET(Import.PLQ,$A18-1,AW$15-1,1,1))))</f>
        <v>0</v>
      </c>
      <c r="AX18" s="145">
        <f ca="1">IF(AX$13="",0,CHOOSE(Detalhamento.OpçãoServiços,OFFSET(Import.PLQ,$A18-1,AX$15-1,1,1),IF($E18&lt;&gt;1,IF(ISNUMBER(INDEX(Import.PLE,Detalhamento!$E18,Detalhamento!AX$15)),IF(INDEX(Import.PLE,Detalhamento!$E18,Detalhamento!AX$15)&lt;=mediçao,OFFSET(Import.PLQ,$A18-1,AX$15-1,1,1),0),0),PLE!$AA$28*OFFSET(Import.PLQ,$A18-1,AX$15-1,1,1)),IF($E18&lt;&gt;1,IF(ISNUMBER(INDEX(Import.PLE,Detalhamento!$E18,Detalhamento!AX$15)),IF(INDEX(Import.PLE,Detalhamento!$E18,Detalhamento!AX$15)&lt;=mediçao,0,OFFSET(Import.PLQ,$A18-1,AX$15-1,1,1)),OFFSET(Import.PLQ,$A18-1,AX$15-1,1,1)),(1-PLE!$AA$28)*OFFSET(Import.PLQ,$A18-1,AX$15-1,1,1))))</f>
        <v>0</v>
      </c>
      <c r="AY18" s="145">
        <f ca="1">IF(AY$13="",0,CHOOSE(Detalhamento.OpçãoServiços,OFFSET(Import.PLQ,$A18-1,AY$15-1,1,1),IF($E18&lt;&gt;1,IF(ISNUMBER(INDEX(Import.PLE,Detalhamento!$E18,Detalhamento!AY$15)),IF(INDEX(Import.PLE,Detalhamento!$E18,Detalhamento!AY$15)&lt;=mediçao,OFFSET(Import.PLQ,$A18-1,AY$15-1,1,1),0),0),PLE!$AA$28*OFFSET(Import.PLQ,$A18-1,AY$15-1,1,1)),IF($E18&lt;&gt;1,IF(ISNUMBER(INDEX(Import.PLE,Detalhamento!$E18,Detalhamento!AY$15)),IF(INDEX(Import.PLE,Detalhamento!$E18,Detalhamento!AY$15)&lt;=mediçao,0,OFFSET(Import.PLQ,$A18-1,AY$15-1,1,1)),OFFSET(Import.PLQ,$A18-1,AY$15-1,1,1)),(1-PLE!$AA$28)*OFFSET(Import.PLQ,$A18-1,AY$15-1,1,1))))</f>
        <v>0</v>
      </c>
      <c r="AZ18" s="145">
        <f ca="1">IF(AZ$13="",0,CHOOSE(Detalhamento.OpçãoServiços,OFFSET(Import.PLQ,$A18-1,AZ$15-1,1,1),IF($E18&lt;&gt;1,IF(ISNUMBER(INDEX(Import.PLE,Detalhamento!$E18,Detalhamento!AZ$15)),IF(INDEX(Import.PLE,Detalhamento!$E18,Detalhamento!AZ$15)&lt;=mediçao,OFFSET(Import.PLQ,$A18-1,AZ$15-1,1,1),0),0),PLE!$AA$28*OFFSET(Import.PLQ,$A18-1,AZ$15-1,1,1)),IF($E18&lt;&gt;1,IF(ISNUMBER(INDEX(Import.PLE,Detalhamento!$E18,Detalhamento!AZ$15)),IF(INDEX(Import.PLE,Detalhamento!$E18,Detalhamento!AZ$15)&lt;=mediçao,0,OFFSET(Import.PLQ,$A18-1,AZ$15-1,1,1)),OFFSET(Import.PLQ,$A18-1,AZ$15-1,1,1)),(1-PLE!$AA$28)*OFFSET(Import.PLQ,$A18-1,AZ$15-1,1,1))))</f>
        <v>0</v>
      </c>
      <c r="BA18" s="145">
        <f ca="1">IF(BA$13="",0,CHOOSE(Detalhamento.OpçãoServiços,OFFSET(Import.PLQ,$A18-1,BA$15-1,1,1),IF($E18&lt;&gt;1,IF(ISNUMBER(INDEX(Import.PLE,Detalhamento!$E18,Detalhamento!BA$15)),IF(INDEX(Import.PLE,Detalhamento!$E18,Detalhamento!BA$15)&lt;=mediçao,OFFSET(Import.PLQ,$A18-1,BA$15-1,1,1),0),0),PLE!$AA$28*OFFSET(Import.PLQ,$A18-1,BA$15-1,1,1)),IF($E18&lt;&gt;1,IF(ISNUMBER(INDEX(Import.PLE,Detalhamento!$E18,Detalhamento!BA$15)),IF(INDEX(Import.PLE,Detalhamento!$E18,Detalhamento!BA$15)&lt;=mediçao,0,OFFSET(Import.PLQ,$A18-1,BA$15-1,1,1)),OFFSET(Import.PLQ,$A18-1,BA$15-1,1,1)),(1-PLE!$AA$28)*OFFSET(Import.PLQ,$A18-1,BA$15-1,1,1))))</f>
        <v>0</v>
      </c>
      <c r="BB18" s="145">
        <f ca="1">IF(BB$13="",0,CHOOSE(Detalhamento.OpçãoServiços,OFFSET(Import.PLQ,$A18-1,BB$15-1,1,1),IF($E18&lt;&gt;1,IF(ISNUMBER(INDEX(Import.PLE,Detalhamento!$E18,Detalhamento!BB$15)),IF(INDEX(Import.PLE,Detalhamento!$E18,Detalhamento!BB$15)&lt;=mediçao,OFFSET(Import.PLQ,$A18-1,BB$15-1,1,1),0),0),PLE!$AA$28*OFFSET(Import.PLQ,$A18-1,BB$15-1,1,1)),IF($E18&lt;&gt;1,IF(ISNUMBER(INDEX(Import.PLE,Detalhamento!$E18,Detalhamento!BB$15)),IF(INDEX(Import.PLE,Detalhamento!$E18,Detalhamento!BB$15)&lt;=mediçao,0,OFFSET(Import.PLQ,$A18-1,BB$15-1,1,1)),OFFSET(Import.PLQ,$A18-1,BB$15-1,1,1)),(1-PLE!$AA$28)*OFFSET(Import.PLQ,$A18-1,BB$15-1,1,1))))</f>
        <v>0</v>
      </c>
      <c r="BC18" s="145">
        <f ca="1">IF(BC$13="",0,CHOOSE(Detalhamento.OpçãoServiços,OFFSET(Import.PLQ,$A18-1,BC$15-1,1,1),IF($E18&lt;&gt;1,IF(ISNUMBER(INDEX(Import.PLE,Detalhamento!$E18,Detalhamento!BC$15)),IF(INDEX(Import.PLE,Detalhamento!$E18,Detalhamento!BC$15)&lt;=mediçao,OFFSET(Import.PLQ,$A18-1,BC$15-1,1,1),0),0),PLE!$AA$28*OFFSET(Import.PLQ,$A18-1,BC$15-1,1,1)),IF($E18&lt;&gt;1,IF(ISNUMBER(INDEX(Import.PLE,Detalhamento!$E18,Detalhamento!BC$15)),IF(INDEX(Import.PLE,Detalhamento!$E18,Detalhamento!BC$15)&lt;=mediçao,0,OFFSET(Import.PLQ,$A18-1,BC$15-1,1,1)),OFFSET(Import.PLQ,$A18-1,BC$15-1,1,1)),(1-PLE!$AA$28)*OFFSET(Import.PLQ,$A18-1,BC$15-1,1,1))))</f>
        <v>0</v>
      </c>
      <c r="BD18" s="145">
        <f ca="1">IF(BD$13="",0,CHOOSE(Detalhamento.OpçãoServiços,OFFSET(Import.PLQ,$A18-1,BD$15-1,1,1),IF($E18&lt;&gt;1,IF(ISNUMBER(INDEX(Import.PLE,Detalhamento!$E18,Detalhamento!BD$15)),IF(INDEX(Import.PLE,Detalhamento!$E18,Detalhamento!BD$15)&lt;=mediçao,OFFSET(Import.PLQ,$A18-1,BD$15-1,1,1),0),0),PLE!$AA$28*OFFSET(Import.PLQ,$A18-1,BD$15-1,1,1)),IF($E18&lt;&gt;1,IF(ISNUMBER(INDEX(Import.PLE,Detalhamento!$E18,Detalhamento!BD$15)),IF(INDEX(Import.PLE,Detalhamento!$E18,Detalhamento!BD$15)&lt;=mediçao,0,OFFSET(Import.PLQ,$A18-1,BD$15-1,1,1)),OFFSET(Import.PLQ,$A18-1,BD$15-1,1,1)),(1-PLE!$AA$28)*OFFSET(Import.PLQ,$A18-1,BD$15-1,1,1))))</f>
        <v>0</v>
      </c>
      <c r="BE18" s="145">
        <f ca="1">IF(BE$13="",0,CHOOSE(Detalhamento.OpçãoServiços,OFFSET(Import.PLQ,$A18-1,BE$15-1,1,1),IF($E18&lt;&gt;1,IF(ISNUMBER(INDEX(Import.PLE,Detalhamento!$E18,Detalhamento!BE$15)),IF(INDEX(Import.PLE,Detalhamento!$E18,Detalhamento!BE$15)&lt;=mediçao,OFFSET(Import.PLQ,$A18-1,BE$15-1,1,1),0),0),PLE!$AA$28*OFFSET(Import.PLQ,$A18-1,BE$15-1,1,1)),IF($E18&lt;&gt;1,IF(ISNUMBER(INDEX(Import.PLE,Detalhamento!$E18,Detalhamento!BE$15)),IF(INDEX(Import.PLE,Detalhamento!$E18,Detalhamento!BE$15)&lt;=mediçao,0,OFFSET(Import.PLQ,$A18-1,BE$15-1,1,1)),OFFSET(Import.PLQ,$A18-1,BE$15-1,1,1)),(1-PLE!$AA$28)*OFFSET(Import.PLQ,$A18-1,BE$15-1,1,1))))</f>
        <v>0</v>
      </c>
      <c r="BF18" s="145">
        <f ca="1">IF(BF$13="",0,CHOOSE(Detalhamento.OpçãoServiços,OFFSET(Import.PLQ,$A18-1,BF$15-1,1,1),IF($E18&lt;&gt;1,IF(ISNUMBER(INDEX(Import.PLE,Detalhamento!$E18,Detalhamento!BF$15)),IF(INDEX(Import.PLE,Detalhamento!$E18,Detalhamento!BF$15)&lt;=mediçao,OFFSET(Import.PLQ,$A18-1,BF$15-1,1,1),0),0),PLE!$AA$28*OFFSET(Import.PLQ,$A18-1,BF$15-1,1,1)),IF($E18&lt;&gt;1,IF(ISNUMBER(INDEX(Import.PLE,Detalhamento!$E18,Detalhamento!BF$15)),IF(INDEX(Import.PLE,Detalhamento!$E18,Detalhamento!BF$15)&lt;=mediçao,0,OFFSET(Import.PLQ,$A18-1,BF$15-1,1,1)),OFFSET(Import.PLQ,$A18-1,BF$15-1,1,1)),(1-PLE!$AA$28)*OFFSET(Import.PLQ,$A18-1,BF$15-1,1,1))))</f>
        <v>0</v>
      </c>
      <c r="BG18" s="145">
        <f ca="1">IF(BG$13="",0,CHOOSE(Detalhamento.OpçãoServiços,OFFSET(Import.PLQ,$A18-1,BG$15-1,1,1),IF($E18&lt;&gt;1,IF(ISNUMBER(INDEX(Import.PLE,Detalhamento!$E18,Detalhamento!BG$15)),IF(INDEX(Import.PLE,Detalhamento!$E18,Detalhamento!BG$15)&lt;=mediçao,OFFSET(Import.PLQ,$A18-1,BG$15-1,1,1),0),0),PLE!$AA$28*OFFSET(Import.PLQ,$A18-1,BG$15-1,1,1)),IF($E18&lt;&gt;1,IF(ISNUMBER(INDEX(Import.PLE,Detalhamento!$E18,Detalhamento!BG$15)),IF(INDEX(Import.PLE,Detalhamento!$E18,Detalhamento!BG$15)&lt;=mediçao,0,OFFSET(Import.PLQ,$A18-1,BG$15-1,1,1)),OFFSET(Import.PLQ,$A18-1,BG$15-1,1,1)),(1-PLE!$AA$28)*OFFSET(Import.PLQ,$A18-1,BG$15-1,1,1))))</f>
        <v>0</v>
      </c>
      <c r="BH18" s="145">
        <f ca="1">IF(BH$13="",0,CHOOSE(Detalhamento.OpçãoServiços,OFFSET(Import.PLQ,$A18-1,BH$15-1,1,1),IF($E18&lt;&gt;1,IF(ISNUMBER(INDEX(Import.PLE,Detalhamento!$E18,Detalhamento!BH$15)),IF(INDEX(Import.PLE,Detalhamento!$E18,Detalhamento!BH$15)&lt;=mediçao,OFFSET(Import.PLQ,$A18-1,BH$15-1,1,1),0),0),PLE!$AA$28*OFFSET(Import.PLQ,$A18-1,BH$15-1,1,1)),IF($E18&lt;&gt;1,IF(ISNUMBER(INDEX(Import.PLE,Detalhamento!$E18,Detalhamento!BH$15)),IF(INDEX(Import.PLE,Detalhamento!$E18,Detalhamento!BH$15)&lt;=mediçao,0,OFFSET(Import.PLQ,$A18-1,BH$15-1,1,1)),OFFSET(Import.PLQ,$A18-1,BH$15-1,1,1)),(1-PLE!$AA$28)*OFFSET(Import.PLQ,$A18-1,BH$15-1,1,1))))</f>
        <v>0</v>
      </c>
      <c r="BI18" s="145">
        <f ca="1">IF(BI$13="",0,CHOOSE(Detalhamento.OpçãoServiços,OFFSET(Import.PLQ,$A18-1,BI$15-1,1,1),IF($E18&lt;&gt;1,IF(ISNUMBER(INDEX(Import.PLE,Detalhamento!$E18,Detalhamento!BI$15)),IF(INDEX(Import.PLE,Detalhamento!$E18,Detalhamento!BI$15)&lt;=mediçao,OFFSET(Import.PLQ,$A18-1,BI$15-1,1,1),0),0),PLE!$AA$28*OFFSET(Import.PLQ,$A18-1,BI$15-1,1,1)),IF($E18&lt;&gt;1,IF(ISNUMBER(INDEX(Import.PLE,Detalhamento!$E18,Detalhamento!BI$15)),IF(INDEX(Import.PLE,Detalhamento!$E18,Detalhamento!BI$15)&lt;=mediçao,0,OFFSET(Import.PLQ,$A18-1,BI$15-1,1,1)),OFFSET(Import.PLQ,$A18-1,BI$15-1,1,1)),(1-PLE!$AA$28)*OFFSET(Import.PLQ,$A18-1,BI$15-1,1,1))))</f>
        <v>0</v>
      </c>
    </row>
    <row r="19" spans="1:61" x14ac:dyDescent="0.2">
      <c r="A19" s="156">
        <v>20</v>
      </c>
      <c r="B19" s="21" t="str">
        <f t="shared" ref="B19:B39" ca="1" si="8">OFFSET(LIorçamento,$A19-1,B$16,1,1)</f>
        <v>Evento</v>
      </c>
      <c r="E19" s="154">
        <f t="shared" ref="E19:E39" ca="1" si="9">OFFSET(LIorçamento,$A19-1,E$16,1,1)</f>
        <v>1</v>
      </c>
      <c r="F19" s="155">
        <f t="shared" ref="F19:F39" ca="1" si="10">CHOOSE($B$8,IF(OR(Nível="Serviço",Nível="Evento"),E19*10^4+IF(Nível&lt;&gt;"Evento",A19,0),0),IF(Nível&lt;&gt;"Evento",A19,0))</f>
        <v>10000</v>
      </c>
      <c r="G19" s="155" t="str">
        <f t="shared" ref="G19:H39" ca="1" si="11">OFFSET(LIorçamento,$A19-1,G$16,1,1)</f>
        <v>Evento</v>
      </c>
      <c r="H19" s="183" t="str">
        <f t="shared" ca="1" si="11"/>
        <v>Administração Local</v>
      </c>
      <c r="I19" s="37" t="str">
        <f t="shared" ref="I19:I39" ca="1" si="12">IF(OR(Nível="Serviço",Nível="evento"),OFFSET(LIorçamento,$A19-1,I$16,1,1),"")</f>
        <v>R$</v>
      </c>
      <c r="J19" s="145">
        <f t="shared" ref="J19:J39" ca="1" si="13">IF(OR(Nível="Serviço",Nível="evento"),SUM(L19:BI19),"")</f>
        <v>0</v>
      </c>
      <c r="K19" s="67"/>
      <c r="L19" s="145">
        <f ca="1">IF(L$13="",0,CHOOSE(Detalhamento.OpçãoServiços,OFFSET(Import.PLQ,$A19-1,L$15-1,1,1),IF($E19&lt;&gt;1,IF(ISNUMBER(INDEX(Import.PLE,Detalhamento!$E19,Detalhamento!L$15)),IF(INDEX(Import.PLE,Detalhamento!$E19,Detalhamento!L$15)&lt;=mediçao,OFFSET(Import.PLQ,$A19-1,L$15-1,1,1),0),0),PLE!$AA$28*OFFSET(Import.PLQ,$A19-1,L$15-1,1,1)),IF($E19&lt;&gt;1,IF(ISNUMBER(INDEX(Import.PLE,Detalhamento!$E19,Detalhamento!L$15)),IF(INDEX(Import.PLE,Detalhamento!$E19,Detalhamento!L$15)&lt;=mediçao,0,OFFSET(Import.PLQ,$A19-1,L$15-1,1,1)),OFFSET(Import.PLQ,$A19-1,L$15-1,1,1)),(1-PLE!$AA$28)*OFFSET(Import.PLQ,$A19-1,L$15-1,1,1))))</f>
        <v>0</v>
      </c>
      <c r="M19" s="145">
        <f ca="1">IF(M$13="",0,CHOOSE(Detalhamento.OpçãoServiços,OFFSET(Import.PLQ,$A19-1,M$15-1,1,1),IF($E19&lt;&gt;1,IF(ISNUMBER(INDEX(Import.PLE,Detalhamento!$E19,Detalhamento!M$15)),IF(INDEX(Import.PLE,Detalhamento!$E19,Detalhamento!M$15)&lt;=mediçao,OFFSET(Import.PLQ,$A19-1,M$15-1,1,1),0),0),PLE!$AA$28*OFFSET(Import.PLQ,$A19-1,M$15-1,1,1)),IF($E19&lt;&gt;1,IF(ISNUMBER(INDEX(Import.PLE,Detalhamento!$E19,Detalhamento!M$15)),IF(INDEX(Import.PLE,Detalhamento!$E19,Detalhamento!M$15)&lt;=mediçao,0,OFFSET(Import.PLQ,$A19-1,M$15-1,1,1)),OFFSET(Import.PLQ,$A19-1,M$15-1,1,1)),(1-PLE!$AA$28)*OFFSET(Import.PLQ,$A19-1,M$15-1,1,1))))</f>
        <v>0</v>
      </c>
      <c r="N19" s="145">
        <f ca="1">IF(N$13="",0,CHOOSE(Detalhamento.OpçãoServiços,OFFSET(Import.PLQ,$A19-1,N$15-1,1,1),IF($E19&lt;&gt;1,IF(ISNUMBER(INDEX(Import.PLE,Detalhamento!$E19,Detalhamento!N$15)),IF(INDEX(Import.PLE,Detalhamento!$E19,Detalhamento!N$15)&lt;=mediçao,OFFSET(Import.PLQ,$A19-1,N$15-1,1,1),0),0),PLE!$AA$28*OFFSET(Import.PLQ,$A19-1,N$15-1,1,1)),IF($E19&lt;&gt;1,IF(ISNUMBER(INDEX(Import.PLE,Detalhamento!$E19,Detalhamento!N$15)),IF(INDEX(Import.PLE,Detalhamento!$E19,Detalhamento!N$15)&lt;=mediçao,0,OFFSET(Import.PLQ,$A19-1,N$15-1,1,1)),OFFSET(Import.PLQ,$A19-1,N$15-1,1,1)),(1-PLE!$AA$28)*OFFSET(Import.PLQ,$A19-1,N$15-1,1,1))))</f>
        <v>0</v>
      </c>
      <c r="O19" s="145">
        <f ca="1">IF(O$13="",0,CHOOSE(Detalhamento.OpçãoServiços,OFFSET(Import.PLQ,$A19-1,O$15-1,1,1),IF($E19&lt;&gt;1,IF(ISNUMBER(INDEX(Import.PLE,Detalhamento!$E19,Detalhamento!O$15)),IF(INDEX(Import.PLE,Detalhamento!$E19,Detalhamento!O$15)&lt;=mediçao,OFFSET(Import.PLQ,$A19-1,O$15-1,1,1),0),0),PLE!$AA$28*OFFSET(Import.PLQ,$A19-1,O$15-1,1,1)),IF($E19&lt;&gt;1,IF(ISNUMBER(INDEX(Import.PLE,Detalhamento!$E19,Detalhamento!O$15)),IF(INDEX(Import.PLE,Detalhamento!$E19,Detalhamento!O$15)&lt;=mediçao,0,OFFSET(Import.PLQ,$A19-1,O$15-1,1,1)),OFFSET(Import.PLQ,$A19-1,O$15-1,1,1)),(1-PLE!$AA$28)*OFFSET(Import.PLQ,$A19-1,O$15-1,1,1))))</f>
        <v>0</v>
      </c>
      <c r="P19" s="145">
        <f ca="1">IF(P$13="",0,CHOOSE(Detalhamento.OpçãoServiços,OFFSET(Import.PLQ,$A19-1,P$15-1,1,1),IF($E19&lt;&gt;1,IF(ISNUMBER(INDEX(Import.PLE,Detalhamento!$E19,Detalhamento!P$15)),IF(INDEX(Import.PLE,Detalhamento!$E19,Detalhamento!P$15)&lt;=mediçao,OFFSET(Import.PLQ,$A19-1,P$15-1,1,1),0),0),PLE!$AA$28*OFFSET(Import.PLQ,$A19-1,P$15-1,1,1)),IF($E19&lt;&gt;1,IF(ISNUMBER(INDEX(Import.PLE,Detalhamento!$E19,Detalhamento!P$15)),IF(INDEX(Import.PLE,Detalhamento!$E19,Detalhamento!P$15)&lt;=mediçao,0,OFFSET(Import.PLQ,$A19-1,P$15-1,1,1)),OFFSET(Import.PLQ,$A19-1,P$15-1,1,1)),(1-PLE!$AA$28)*OFFSET(Import.PLQ,$A19-1,P$15-1,1,1))))</f>
        <v>0</v>
      </c>
      <c r="Q19" s="145">
        <f ca="1">IF(Q$13="",0,CHOOSE(Detalhamento.OpçãoServiços,OFFSET(Import.PLQ,$A19-1,Q$15-1,1,1),IF($E19&lt;&gt;1,IF(ISNUMBER(INDEX(Import.PLE,Detalhamento!$E19,Detalhamento!Q$15)),IF(INDEX(Import.PLE,Detalhamento!$E19,Detalhamento!Q$15)&lt;=mediçao,OFFSET(Import.PLQ,$A19-1,Q$15-1,1,1),0),0),PLE!$AA$28*OFFSET(Import.PLQ,$A19-1,Q$15-1,1,1)),IF($E19&lt;&gt;1,IF(ISNUMBER(INDEX(Import.PLE,Detalhamento!$E19,Detalhamento!Q$15)),IF(INDEX(Import.PLE,Detalhamento!$E19,Detalhamento!Q$15)&lt;=mediçao,0,OFFSET(Import.PLQ,$A19-1,Q$15-1,1,1)),OFFSET(Import.PLQ,$A19-1,Q$15-1,1,1)),(1-PLE!$AA$28)*OFFSET(Import.PLQ,$A19-1,Q$15-1,1,1))))</f>
        <v>0</v>
      </c>
      <c r="R19" s="145">
        <f ca="1">IF(R$13="",0,CHOOSE(Detalhamento.OpçãoServiços,OFFSET(Import.PLQ,$A19-1,R$15-1,1,1),IF($E19&lt;&gt;1,IF(ISNUMBER(INDEX(Import.PLE,Detalhamento!$E19,Detalhamento!R$15)),IF(INDEX(Import.PLE,Detalhamento!$E19,Detalhamento!R$15)&lt;=mediçao,OFFSET(Import.PLQ,$A19-1,R$15-1,1,1),0),0),PLE!$AA$28*OFFSET(Import.PLQ,$A19-1,R$15-1,1,1)),IF($E19&lt;&gt;1,IF(ISNUMBER(INDEX(Import.PLE,Detalhamento!$E19,Detalhamento!R$15)),IF(INDEX(Import.PLE,Detalhamento!$E19,Detalhamento!R$15)&lt;=mediçao,0,OFFSET(Import.PLQ,$A19-1,R$15-1,1,1)),OFFSET(Import.PLQ,$A19-1,R$15-1,1,1)),(1-PLE!$AA$28)*OFFSET(Import.PLQ,$A19-1,R$15-1,1,1))))</f>
        <v>0</v>
      </c>
      <c r="S19" s="145">
        <f ca="1">IF(S$13="",0,CHOOSE(Detalhamento.OpçãoServiços,OFFSET(Import.PLQ,$A19-1,S$15-1,1,1),IF($E19&lt;&gt;1,IF(ISNUMBER(INDEX(Import.PLE,Detalhamento!$E19,Detalhamento!S$15)),IF(INDEX(Import.PLE,Detalhamento!$E19,Detalhamento!S$15)&lt;=mediçao,OFFSET(Import.PLQ,$A19-1,S$15-1,1,1),0),0),PLE!$AA$28*OFFSET(Import.PLQ,$A19-1,S$15-1,1,1)),IF($E19&lt;&gt;1,IF(ISNUMBER(INDEX(Import.PLE,Detalhamento!$E19,Detalhamento!S$15)),IF(INDEX(Import.PLE,Detalhamento!$E19,Detalhamento!S$15)&lt;=mediçao,0,OFFSET(Import.PLQ,$A19-1,S$15-1,1,1)),OFFSET(Import.PLQ,$A19-1,S$15-1,1,1)),(1-PLE!$AA$28)*OFFSET(Import.PLQ,$A19-1,S$15-1,1,1))))</f>
        <v>0</v>
      </c>
      <c r="T19" s="145">
        <f ca="1">IF(T$13="",0,CHOOSE(Detalhamento.OpçãoServiços,OFFSET(Import.PLQ,$A19-1,T$15-1,1,1),IF($E19&lt;&gt;1,IF(ISNUMBER(INDEX(Import.PLE,Detalhamento!$E19,Detalhamento!T$15)),IF(INDEX(Import.PLE,Detalhamento!$E19,Detalhamento!T$15)&lt;=mediçao,OFFSET(Import.PLQ,$A19-1,T$15-1,1,1),0),0),PLE!$AA$28*OFFSET(Import.PLQ,$A19-1,T$15-1,1,1)),IF($E19&lt;&gt;1,IF(ISNUMBER(INDEX(Import.PLE,Detalhamento!$E19,Detalhamento!T$15)),IF(INDEX(Import.PLE,Detalhamento!$E19,Detalhamento!T$15)&lt;=mediçao,0,OFFSET(Import.PLQ,$A19-1,T$15-1,1,1)),OFFSET(Import.PLQ,$A19-1,T$15-1,1,1)),(1-PLE!$AA$28)*OFFSET(Import.PLQ,$A19-1,T$15-1,1,1))))</f>
        <v>0</v>
      </c>
      <c r="U19" s="145">
        <f ca="1">IF(U$13="",0,CHOOSE(Detalhamento.OpçãoServiços,OFFSET(Import.PLQ,$A19-1,U$15-1,1,1),IF($E19&lt;&gt;1,IF(ISNUMBER(INDEX(Import.PLE,Detalhamento!$E19,Detalhamento!U$15)),IF(INDEX(Import.PLE,Detalhamento!$E19,Detalhamento!U$15)&lt;=mediçao,OFFSET(Import.PLQ,$A19-1,U$15-1,1,1),0),0),PLE!$AA$28*OFFSET(Import.PLQ,$A19-1,U$15-1,1,1)),IF($E19&lt;&gt;1,IF(ISNUMBER(INDEX(Import.PLE,Detalhamento!$E19,Detalhamento!U$15)),IF(INDEX(Import.PLE,Detalhamento!$E19,Detalhamento!U$15)&lt;=mediçao,0,OFFSET(Import.PLQ,$A19-1,U$15-1,1,1)),OFFSET(Import.PLQ,$A19-1,U$15-1,1,1)),(1-PLE!$AA$28)*OFFSET(Import.PLQ,$A19-1,U$15-1,1,1))))</f>
        <v>0</v>
      </c>
      <c r="V19" s="145">
        <f ca="1">IF(V$13="",0,CHOOSE(Detalhamento.OpçãoServiços,OFFSET(Import.PLQ,$A19-1,V$15-1,1,1),IF($E19&lt;&gt;1,IF(ISNUMBER(INDEX(Import.PLE,Detalhamento!$E19,Detalhamento!V$15)),IF(INDEX(Import.PLE,Detalhamento!$E19,Detalhamento!V$15)&lt;=mediçao,OFFSET(Import.PLQ,$A19-1,V$15-1,1,1),0),0),PLE!$AA$28*OFFSET(Import.PLQ,$A19-1,V$15-1,1,1)),IF($E19&lt;&gt;1,IF(ISNUMBER(INDEX(Import.PLE,Detalhamento!$E19,Detalhamento!V$15)),IF(INDEX(Import.PLE,Detalhamento!$E19,Detalhamento!V$15)&lt;=mediçao,0,OFFSET(Import.PLQ,$A19-1,V$15-1,1,1)),OFFSET(Import.PLQ,$A19-1,V$15-1,1,1)),(1-PLE!$AA$28)*OFFSET(Import.PLQ,$A19-1,V$15-1,1,1))))</f>
        <v>0</v>
      </c>
      <c r="W19" s="145">
        <f ca="1">IF(W$13="",0,CHOOSE(Detalhamento.OpçãoServiços,OFFSET(Import.PLQ,$A19-1,W$15-1,1,1),IF($E19&lt;&gt;1,IF(ISNUMBER(INDEX(Import.PLE,Detalhamento!$E19,Detalhamento!W$15)),IF(INDEX(Import.PLE,Detalhamento!$E19,Detalhamento!W$15)&lt;=mediçao,OFFSET(Import.PLQ,$A19-1,W$15-1,1,1),0),0),PLE!$AA$28*OFFSET(Import.PLQ,$A19-1,W$15-1,1,1)),IF($E19&lt;&gt;1,IF(ISNUMBER(INDEX(Import.PLE,Detalhamento!$E19,Detalhamento!W$15)),IF(INDEX(Import.PLE,Detalhamento!$E19,Detalhamento!W$15)&lt;=mediçao,0,OFFSET(Import.PLQ,$A19-1,W$15-1,1,1)),OFFSET(Import.PLQ,$A19-1,W$15-1,1,1)),(1-PLE!$AA$28)*OFFSET(Import.PLQ,$A19-1,W$15-1,1,1))))</f>
        <v>0</v>
      </c>
      <c r="X19" s="145">
        <f ca="1">IF(X$13="",0,CHOOSE(Detalhamento.OpçãoServiços,OFFSET(Import.PLQ,$A19-1,X$15-1,1,1),IF($E19&lt;&gt;1,IF(ISNUMBER(INDEX(Import.PLE,Detalhamento!$E19,Detalhamento!X$15)),IF(INDEX(Import.PLE,Detalhamento!$E19,Detalhamento!X$15)&lt;=mediçao,OFFSET(Import.PLQ,$A19-1,X$15-1,1,1),0),0),PLE!$AA$28*OFFSET(Import.PLQ,$A19-1,X$15-1,1,1)),IF($E19&lt;&gt;1,IF(ISNUMBER(INDEX(Import.PLE,Detalhamento!$E19,Detalhamento!X$15)),IF(INDEX(Import.PLE,Detalhamento!$E19,Detalhamento!X$15)&lt;=mediçao,0,OFFSET(Import.PLQ,$A19-1,X$15-1,1,1)),OFFSET(Import.PLQ,$A19-1,X$15-1,1,1)),(1-PLE!$AA$28)*OFFSET(Import.PLQ,$A19-1,X$15-1,1,1))))</f>
        <v>0</v>
      </c>
      <c r="Y19" s="145">
        <f ca="1">IF(Y$13="",0,CHOOSE(Detalhamento.OpçãoServiços,OFFSET(Import.PLQ,$A19-1,Y$15-1,1,1),IF($E19&lt;&gt;1,IF(ISNUMBER(INDEX(Import.PLE,Detalhamento!$E19,Detalhamento!Y$15)),IF(INDEX(Import.PLE,Detalhamento!$E19,Detalhamento!Y$15)&lt;=mediçao,OFFSET(Import.PLQ,$A19-1,Y$15-1,1,1),0),0),PLE!$AA$28*OFFSET(Import.PLQ,$A19-1,Y$15-1,1,1)),IF($E19&lt;&gt;1,IF(ISNUMBER(INDEX(Import.PLE,Detalhamento!$E19,Detalhamento!Y$15)),IF(INDEX(Import.PLE,Detalhamento!$E19,Detalhamento!Y$15)&lt;=mediçao,0,OFFSET(Import.PLQ,$A19-1,Y$15-1,1,1)),OFFSET(Import.PLQ,$A19-1,Y$15-1,1,1)),(1-PLE!$AA$28)*OFFSET(Import.PLQ,$A19-1,Y$15-1,1,1))))</f>
        <v>0</v>
      </c>
      <c r="Z19" s="145">
        <f ca="1">IF(Z$13="",0,CHOOSE(Detalhamento.OpçãoServiços,OFFSET(Import.PLQ,$A19-1,Z$15-1,1,1),IF($E19&lt;&gt;1,IF(ISNUMBER(INDEX(Import.PLE,Detalhamento!$E19,Detalhamento!Z$15)),IF(INDEX(Import.PLE,Detalhamento!$E19,Detalhamento!Z$15)&lt;=mediçao,OFFSET(Import.PLQ,$A19-1,Z$15-1,1,1),0),0),PLE!$AA$28*OFFSET(Import.PLQ,$A19-1,Z$15-1,1,1)),IF($E19&lt;&gt;1,IF(ISNUMBER(INDEX(Import.PLE,Detalhamento!$E19,Detalhamento!Z$15)),IF(INDEX(Import.PLE,Detalhamento!$E19,Detalhamento!Z$15)&lt;=mediçao,0,OFFSET(Import.PLQ,$A19-1,Z$15-1,1,1)),OFFSET(Import.PLQ,$A19-1,Z$15-1,1,1)),(1-PLE!$AA$28)*OFFSET(Import.PLQ,$A19-1,Z$15-1,1,1))))</f>
        <v>0</v>
      </c>
      <c r="AA19" s="145">
        <f ca="1">IF(AA$13="",0,CHOOSE(Detalhamento.OpçãoServiços,OFFSET(Import.PLQ,$A19-1,AA$15-1,1,1),IF($E19&lt;&gt;1,IF(ISNUMBER(INDEX(Import.PLE,Detalhamento!$E19,Detalhamento!AA$15)),IF(INDEX(Import.PLE,Detalhamento!$E19,Detalhamento!AA$15)&lt;=mediçao,OFFSET(Import.PLQ,$A19-1,AA$15-1,1,1),0),0),PLE!$AA$28*OFFSET(Import.PLQ,$A19-1,AA$15-1,1,1)),IF($E19&lt;&gt;1,IF(ISNUMBER(INDEX(Import.PLE,Detalhamento!$E19,Detalhamento!AA$15)),IF(INDEX(Import.PLE,Detalhamento!$E19,Detalhamento!AA$15)&lt;=mediçao,0,OFFSET(Import.PLQ,$A19-1,AA$15-1,1,1)),OFFSET(Import.PLQ,$A19-1,AA$15-1,1,1)),(1-PLE!$AA$28)*OFFSET(Import.PLQ,$A19-1,AA$15-1,1,1))))</f>
        <v>0</v>
      </c>
      <c r="AB19" s="145">
        <f ca="1">IF(AB$13="",0,CHOOSE(Detalhamento.OpçãoServiços,OFFSET(Import.PLQ,$A19-1,AB$15-1,1,1),IF($E19&lt;&gt;1,IF(ISNUMBER(INDEX(Import.PLE,Detalhamento!$E19,Detalhamento!AB$15)),IF(INDEX(Import.PLE,Detalhamento!$E19,Detalhamento!AB$15)&lt;=mediçao,OFFSET(Import.PLQ,$A19-1,AB$15-1,1,1),0),0),PLE!$AA$28*OFFSET(Import.PLQ,$A19-1,AB$15-1,1,1)),IF($E19&lt;&gt;1,IF(ISNUMBER(INDEX(Import.PLE,Detalhamento!$E19,Detalhamento!AB$15)),IF(INDEX(Import.PLE,Detalhamento!$E19,Detalhamento!AB$15)&lt;=mediçao,0,OFFSET(Import.PLQ,$A19-1,AB$15-1,1,1)),OFFSET(Import.PLQ,$A19-1,AB$15-1,1,1)),(1-PLE!$AA$28)*OFFSET(Import.PLQ,$A19-1,AB$15-1,1,1))))</f>
        <v>0</v>
      </c>
      <c r="AC19" s="145">
        <f ca="1">IF(AC$13="",0,CHOOSE(Detalhamento.OpçãoServiços,OFFSET(Import.PLQ,$A19-1,AC$15-1,1,1),IF($E19&lt;&gt;1,IF(ISNUMBER(INDEX(Import.PLE,Detalhamento!$E19,Detalhamento!AC$15)),IF(INDEX(Import.PLE,Detalhamento!$E19,Detalhamento!AC$15)&lt;=mediçao,OFFSET(Import.PLQ,$A19-1,AC$15-1,1,1),0),0),PLE!$AA$28*OFFSET(Import.PLQ,$A19-1,AC$15-1,1,1)),IF($E19&lt;&gt;1,IF(ISNUMBER(INDEX(Import.PLE,Detalhamento!$E19,Detalhamento!AC$15)),IF(INDEX(Import.PLE,Detalhamento!$E19,Detalhamento!AC$15)&lt;=mediçao,0,OFFSET(Import.PLQ,$A19-1,AC$15-1,1,1)),OFFSET(Import.PLQ,$A19-1,AC$15-1,1,1)),(1-PLE!$AA$28)*OFFSET(Import.PLQ,$A19-1,AC$15-1,1,1))))</f>
        <v>0</v>
      </c>
      <c r="AD19" s="145">
        <f ca="1">IF(AD$13="",0,CHOOSE(Detalhamento.OpçãoServiços,OFFSET(Import.PLQ,$A19-1,AD$15-1,1,1),IF($E19&lt;&gt;1,IF(ISNUMBER(INDEX(Import.PLE,Detalhamento!$E19,Detalhamento!AD$15)),IF(INDEX(Import.PLE,Detalhamento!$E19,Detalhamento!AD$15)&lt;=mediçao,OFFSET(Import.PLQ,$A19-1,AD$15-1,1,1),0),0),PLE!$AA$28*OFFSET(Import.PLQ,$A19-1,AD$15-1,1,1)),IF($E19&lt;&gt;1,IF(ISNUMBER(INDEX(Import.PLE,Detalhamento!$E19,Detalhamento!AD$15)),IF(INDEX(Import.PLE,Detalhamento!$E19,Detalhamento!AD$15)&lt;=mediçao,0,OFFSET(Import.PLQ,$A19-1,AD$15-1,1,1)),OFFSET(Import.PLQ,$A19-1,AD$15-1,1,1)),(1-PLE!$AA$28)*OFFSET(Import.PLQ,$A19-1,AD$15-1,1,1))))</f>
        <v>0</v>
      </c>
      <c r="AE19" s="145">
        <f ca="1">IF(AE$13="",0,CHOOSE(Detalhamento.OpçãoServiços,OFFSET(Import.PLQ,$A19-1,AE$15-1,1,1),IF($E19&lt;&gt;1,IF(ISNUMBER(INDEX(Import.PLE,Detalhamento!$E19,Detalhamento!AE$15)),IF(INDEX(Import.PLE,Detalhamento!$E19,Detalhamento!AE$15)&lt;=mediçao,OFFSET(Import.PLQ,$A19-1,AE$15-1,1,1),0),0),PLE!$AA$28*OFFSET(Import.PLQ,$A19-1,AE$15-1,1,1)),IF($E19&lt;&gt;1,IF(ISNUMBER(INDEX(Import.PLE,Detalhamento!$E19,Detalhamento!AE$15)),IF(INDEX(Import.PLE,Detalhamento!$E19,Detalhamento!AE$15)&lt;=mediçao,0,OFFSET(Import.PLQ,$A19-1,AE$15-1,1,1)),OFFSET(Import.PLQ,$A19-1,AE$15-1,1,1)),(1-PLE!$AA$28)*OFFSET(Import.PLQ,$A19-1,AE$15-1,1,1))))</f>
        <v>0</v>
      </c>
      <c r="AF19" s="145">
        <f ca="1">IF(AF$13="",0,CHOOSE(Detalhamento.OpçãoServiços,OFFSET(Import.PLQ,$A19-1,AF$15-1,1,1),IF($E19&lt;&gt;1,IF(ISNUMBER(INDEX(Import.PLE,Detalhamento!$E19,Detalhamento!AF$15)),IF(INDEX(Import.PLE,Detalhamento!$E19,Detalhamento!AF$15)&lt;=mediçao,OFFSET(Import.PLQ,$A19-1,AF$15-1,1,1),0),0),PLE!$AA$28*OFFSET(Import.PLQ,$A19-1,AF$15-1,1,1)),IF($E19&lt;&gt;1,IF(ISNUMBER(INDEX(Import.PLE,Detalhamento!$E19,Detalhamento!AF$15)),IF(INDEX(Import.PLE,Detalhamento!$E19,Detalhamento!AF$15)&lt;=mediçao,0,OFFSET(Import.PLQ,$A19-1,AF$15-1,1,1)),OFFSET(Import.PLQ,$A19-1,AF$15-1,1,1)),(1-PLE!$AA$28)*OFFSET(Import.PLQ,$A19-1,AF$15-1,1,1))))</f>
        <v>0</v>
      </c>
      <c r="AG19" s="145">
        <f ca="1">IF(AG$13="",0,CHOOSE(Detalhamento.OpçãoServiços,OFFSET(Import.PLQ,$A19-1,AG$15-1,1,1),IF($E19&lt;&gt;1,IF(ISNUMBER(INDEX(Import.PLE,Detalhamento!$E19,Detalhamento!AG$15)),IF(INDEX(Import.PLE,Detalhamento!$E19,Detalhamento!AG$15)&lt;=mediçao,OFFSET(Import.PLQ,$A19-1,AG$15-1,1,1),0),0),PLE!$AA$28*OFFSET(Import.PLQ,$A19-1,AG$15-1,1,1)),IF($E19&lt;&gt;1,IF(ISNUMBER(INDEX(Import.PLE,Detalhamento!$E19,Detalhamento!AG$15)),IF(INDEX(Import.PLE,Detalhamento!$E19,Detalhamento!AG$15)&lt;=mediçao,0,OFFSET(Import.PLQ,$A19-1,AG$15-1,1,1)),OFFSET(Import.PLQ,$A19-1,AG$15-1,1,1)),(1-PLE!$AA$28)*OFFSET(Import.PLQ,$A19-1,AG$15-1,1,1))))</f>
        <v>0</v>
      </c>
      <c r="AH19" s="145">
        <f ca="1">IF(AH$13="",0,CHOOSE(Detalhamento.OpçãoServiços,OFFSET(Import.PLQ,$A19-1,AH$15-1,1,1),IF($E19&lt;&gt;1,IF(ISNUMBER(INDEX(Import.PLE,Detalhamento!$E19,Detalhamento!AH$15)),IF(INDEX(Import.PLE,Detalhamento!$E19,Detalhamento!AH$15)&lt;=mediçao,OFFSET(Import.PLQ,$A19-1,AH$15-1,1,1),0),0),PLE!$AA$28*OFFSET(Import.PLQ,$A19-1,AH$15-1,1,1)),IF($E19&lt;&gt;1,IF(ISNUMBER(INDEX(Import.PLE,Detalhamento!$E19,Detalhamento!AH$15)),IF(INDEX(Import.PLE,Detalhamento!$E19,Detalhamento!AH$15)&lt;=mediçao,0,OFFSET(Import.PLQ,$A19-1,AH$15-1,1,1)),OFFSET(Import.PLQ,$A19-1,AH$15-1,1,1)),(1-PLE!$AA$28)*OFFSET(Import.PLQ,$A19-1,AH$15-1,1,1))))</f>
        <v>0</v>
      </c>
      <c r="AI19" s="145">
        <f ca="1">IF(AI$13="",0,CHOOSE(Detalhamento.OpçãoServiços,OFFSET(Import.PLQ,$A19-1,AI$15-1,1,1),IF($E19&lt;&gt;1,IF(ISNUMBER(INDEX(Import.PLE,Detalhamento!$E19,Detalhamento!AI$15)),IF(INDEX(Import.PLE,Detalhamento!$E19,Detalhamento!AI$15)&lt;=mediçao,OFFSET(Import.PLQ,$A19-1,AI$15-1,1,1),0),0),PLE!$AA$28*OFFSET(Import.PLQ,$A19-1,AI$15-1,1,1)),IF($E19&lt;&gt;1,IF(ISNUMBER(INDEX(Import.PLE,Detalhamento!$E19,Detalhamento!AI$15)),IF(INDEX(Import.PLE,Detalhamento!$E19,Detalhamento!AI$15)&lt;=mediçao,0,OFFSET(Import.PLQ,$A19-1,AI$15-1,1,1)),OFFSET(Import.PLQ,$A19-1,AI$15-1,1,1)),(1-PLE!$AA$28)*OFFSET(Import.PLQ,$A19-1,AI$15-1,1,1))))</f>
        <v>0</v>
      </c>
      <c r="AJ19" s="145">
        <f ca="1">IF(AJ$13="",0,CHOOSE(Detalhamento.OpçãoServiços,OFFSET(Import.PLQ,$A19-1,AJ$15-1,1,1),IF($E19&lt;&gt;1,IF(ISNUMBER(INDEX(Import.PLE,Detalhamento!$E19,Detalhamento!AJ$15)),IF(INDEX(Import.PLE,Detalhamento!$E19,Detalhamento!AJ$15)&lt;=mediçao,OFFSET(Import.PLQ,$A19-1,AJ$15-1,1,1),0),0),PLE!$AA$28*OFFSET(Import.PLQ,$A19-1,AJ$15-1,1,1)),IF($E19&lt;&gt;1,IF(ISNUMBER(INDEX(Import.PLE,Detalhamento!$E19,Detalhamento!AJ$15)),IF(INDEX(Import.PLE,Detalhamento!$E19,Detalhamento!AJ$15)&lt;=mediçao,0,OFFSET(Import.PLQ,$A19-1,AJ$15-1,1,1)),OFFSET(Import.PLQ,$A19-1,AJ$15-1,1,1)),(1-PLE!$AA$28)*OFFSET(Import.PLQ,$A19-1,AJ$15-1,1,1))))</f>
        <v>0</v>
      </c>
      <c r="AK19" s="145">
        <f ca="1">IF(AK$13="",0,CHOOSE(Detalhamento.OpçãoServiços,OFFSET(Import.PLQ,$A19-1,AK$15-1,1,1),IF($E19&lt;&gt;1,IF(ISNUMBER(INDEX(Import.PLE,Detalhamento!$E19,Detalhamento!AK$15)),IF(INDEX(Import.PLE,Detalhamento!$E19,Detalhamento!AK$15)&lt;=mediçao,OFFSET(Import.PLQ,$A19-1,AK$15-1,1,1),0),0),PLE!$AA$28*OFFSET(Import.PLQ,$A19-1,AK$15-1,1,1)),IF($E19&lt;&gt;1,IF(ISNUMBER(INDEX(Import.PLE,Detalhamento!$E19,Detalhamento!AK$15)),IF(INDEX(Import.PLE,Detalhamento!$E19,Detalhamento!AK$15)&lt;=mediçao,0,OFFSET(Import.PLQ,$A19-1,AK$15-1,1,1)),OFFSET(Import.PLQ,$A19-1,AK$15-1,1,1)),(1-PLE!$AA$28)*OFFSET(Import.PLQ,$A19-1,AK$15-1,1,1))))</f>
        <v>0</v>
      </c>
      <c r="AL19" s="145">
        <f ca="1">IF(AL$13="",0,CHOOSE(Detalhamento.OpçãoServiços,OFFSET(Import.PLQ,$A19-1,AL$15-1,1,1),IF($E19&lt;&gt;1,IF(ISNUMBER(INDEX(Import.PLE,Detalhamento!$E19,Detalhamento!AL$15)),IF(INDEX(Import.PLE,Detalhamento!$E19,Detalhamento!AL$15)&lt;=mediçao,OFFSET(Import.PLQ,$A19-1,AL$15-1,1,1),0),0),PLE!$AA$28*OFFSET(Import.PLQ,$A19-1,AL$15-1,1,1)),IF($E19&lt;&gt;1,IF(ISNUMBER(INDEX(Import.PLE,Detalhamento!$E19,Detalhamento!AL$15)),IF(INDEX(Import.PLE,Detalhamento!$E19,Detalhamento!AL$15)&lt;=mediçao,0,OFFSET(Import.PLQ,$A19-1,AL$15-1,1,1)),OFFSET(Import.PLQ,$A19-1,AL$15-1,1,1)),(1-PLE!$AA$28)*OFFSET(Import.PLQ,$A19-1,AL$15-1,1,1))))</f>
        <v>0</v>
      </c>
      <c r="AM19" s="145">
        <f ca="1">IF(AM$13="",0,CHOOSE(Detalhamento.OpçãoServiços,OFFSET(Import.PLQ,$A19-1,AM$15-1,1,1),IF($E19&lt;&gt;1,IF(ISNUMBER(INDEX(Import.PLE,Detalhamento!$E19,Detalhamento!AM$15)),IF(INDEX(Import.PLE,Detalhamento!$E19,Detalhamento!AM$15)&lt;=mediçao,OFFSET(Import.PLQ,$A19-1,AM$15-1,1,1),0),0),PLE!$AA$28*OFFSET(Import.PLQ,$A19-1,AM$15-1,1,1)),IF($E19&lt;&gt;1,IF(ISNUMBER(INDEX(Import.PLE,Detalhamento!$E19,Detalhamento!AM$15)),IF(INDEX(Import.PLE,Detalhamento!$E19,Detalhamento!AM$15)&lt;=mediçao,0,OFFSET(Import.PLQ,$A19-1,AM$15-1,1,1)),OFFSET(Import.PLQ,$A19-1,AM$15-1,1,1)),(1-PLE!$AA$28)*OFFSET(Import.PLQ,$A19-1,AM$15-1,1,1))))</f>
        <v>0</v>
      </c>
      <c r="AN19" s="145">
        <f ca="1">IF(AN$13="",0,CHOOSE(Detalhamento.OpçãoServiços,OFFSET(Import.PLQ,$A19-1,AN$15-1,1,1),IF($E19&lt;&gt;1,IF(ISNUMBER(INDEX(Import.PLE,Detalhamento!$E19,Detalhamento!AN$15)),IF(INDEX(Import.PLE,Detalhamento!$E19,Detalhamento!AN$15)&lt;=mediçao,OFFSET(Import.PLQ,$A19-1,AN$15-1,1,1),0),0),PLE!$AA$28*OFFSET(Import.PLQ,$A19-1,AN$15-1,1,1)),IF($E19&lt;&gt;1,IF(ISNUMBER(INDEX(Import.PLE,Detalhamento!$E19,Detalhamento!AN$15)),IF(INDEX(Import.PLE,Detalhamento!$E19,Detalhamento!AN$15)&lt;=mediçao,0,OFFSET(Import.PLQ,$A19-1,AN$15-1,1,1)),OFFSET(Import.PLQ,$A19-1,AN$15-1,1,1)),(1-PLE!$AA$28)*OFFSET(Import.PLQ,$A19-1,AN$15-1,1,1))))</f>
        <v>0</v>
      </c>
      <c r="AO19" s="145">
        <f ca="1">IF(AO$13="",0,CHOOSE(Detalhamento.OpçãoServiços,OFFSET(Import.PLQ,$A19-1,AO$15-1,1,1),IF($E19&lt;&gt;1,IF(ISNUMBER(INDEX(Import.PLE,Detalhamento!$E19,Detalhamento!AO$15)),IF(INDEX(Import.PLE,Detalhamento!$E19,Detalhamento!AO$15)&lt;=mediçao,OFFSET(Import.PLQ,$A19-1,AO$15-1,1,1),0),0),PLE!$AA$28*OFFSET(Import.PLQ,$A19-1,AO$15-1,1,1)),IF($E19&lt;&gt;1,IF(ISNUMBER(INDEX(Import.PLE,Detalhamento!$E19,Detalhamento!AO$15)),IF(INDEX(Import.PLE,Detalhamento!$E19,Detalhamento!AO$15)&lt;=mediçao,0,OFFSET(Import.PLQ,$A19-1,AO$15-1,1,1)),OFFSET(Import.PLQ,$A19-1,AO$15-1,1,1)),(1-PLE!$AA$28)*OFFSET(Import.PLQ,$A19-1,AO$15-1,1,1))))</f>
        <v>0</v>
      </c>
      <c r="AP19" s="145">
        <f ca="1">IF(AP$13="",0,CHOOSE(Detalhamento.OpçãoServiços,OFFSET(Import.PLQ,$A19-1,AP$15-1,1,1),IF($E19&lt;&gt;1,IF(ISNUMBER(INDEX(Import.PLE,Detalhamento!$E19,Detalhamento!AP$15)),IF(INDEX(Import.PLE,Detalhamento!$E19,Detalhamento!AP$15)&lt;=mediçao,OFFSET(Import.PLQ,$A19-1,AP$15-1,1,1),0),0),PLE!$AA$28*OFFSET(Import.PLQ,$A19-1,AP$15-1,1,1)),IF($E19&lt;&gt;1,IF(ISNUMBER(INDEX(Import.PLE,Detalhamento!$E19,Detalhamento!AP$15)),IF(INDEX(Import.PLE,Detalhamento!$E19,Detalhamento!AP$15)&lt;=mediçao,0,OFFSET(Import.PLQ,$A19-1,AP$15-1,1,1)),OFFSET(Import.PLQ,$A19-1,AP$15-1,1,1)),(1-PLE!$AA$28)*OFFSET(Import.PLQ,$A19-1,AP$15-1,1,1))))</f>
        <v>0</v>
      </c>
      <c r="AQ19" s="145">
        <f ca="1">IF(AQ$13="",0,CHOOSE(Detalhamento.OpçãoServiços,OFFSET(Import.PLQ,$A19-1,AQ$15-1,1,1),IF($E19&lt;&gt;1,IF(ISNUMBER(INDEX(Import.PLE,Detalhamento!$E19,Detalhamento!AQ$15)),IF(INDEX(Import.PLE,Detalhamento!$E19,Detalhamento!AQ$15)&lt;=mediçao,OFFSET(Import.PLQ,$A19-1,AQ$15-1,1,1),0),0),PLE!$AA$28*OFFSET(Import.PLQ,$A19-1,AQ$15-1,1,1)),IF($E19&lt;&gt;1,IF(ISNUMBER(INDEX(Import.PLE,Detalhamento!$E19,Detalhamento!AQ$15)),IF(INDEX(Import.PLE,Detalhamento!$E19,Detalhamento!AQ$15)&lt;=mediçao,0,OFFSET(Import.PLQ,$A19-1,AQ$15-1,1,1)),OFFSET(Import.PLQ,$A19-1,AQ$15-1,1,1)),(1-PLE!$AA$28)*OFFSET(Import.PLQ,$A19-1,AQ$15-1,1,1))))</f>
        <v>0</v>
      </c>
      <c r="AR19" s="145">
        <f ca="1">IF(AR$13="",0,CHOOSE(Detalhamento.OpçãoServiços,OFFSET(Import.PLQ,$A19-1,AR$15-1,1,1),IF($E19&lt;&gt;1,IF(ISNUMBER(INDEX(Import.PLE,Detalhamento!$E19,Detalhamento!AR$15)),IF(INDEX(Import.PLE,Detalhamento!$E19,Detalhamento!AR$15)&lt;=mediçao,OFFSET(Import.PLQ,$A19-1,AR$15-1,1,1),0),0),PLE!$AA$28*OFFSET(Import.PLQ,$A19-1,AR$15-1,1,1)),IF($E19&lt;&gt;1,IF(ISNUMBER(INDEX(Import.PLE,Detalhamento!$E19,Detalhamento!AR$15)),IF(INDEX(Import.PLE,Detalhamento!$E19,Detalhamento!AR$15)&lt;=mediçao,0,OFFSET(Import.PLQ,$A19-1,AR$15-1,1,1)),OFFSET(Import.PLQ,$A19-1,AR$15-1,1,1)),(1-PLE!$AA$28)*OFFSET(Import.PLQ,$A19-1,AR$15-1,1,1))))</f>
        <v>0</v>
      </c>
      <c r="AS19" s="145">
        <f ca="1">IF(AS$13="",0,CHOOSE(Detalhamento.OpçãoServiços,OFFSET(Import.PLQ,$A19-1,AS$15-1,1,1),IF($E19&lt;&gt;1,IF(ISNUMBER(INDEX(Import.PLE,Detalhamento!$E19,Detalhamento!AS$15)),IF(INDEX(Import.PLE,Detalhamento!$E19,Detalhamento!AS$15)&lt;=mediçao,OFFSET(Import.PLQ,$A19-1,AS$15-1,1,1),0),0),PLE!$AA$28*OFFSET(Import.PLQ,$A19-1,AS$15-1,1,1)),IF($E19&lt;&gt;1,IF(ISNUMBER(INDEX(Import.PLE,Detalhamento!$E19,Detalhamento!AS$15)),IF(INDEX(Import.PLE,Detalhamento!$E19,Detalhamento!AS$15)&lt;=mediçao,0,OFFSET(Import.PLQ,$A19-1,AS$15-1,1,1)),OFFSET(Import.PLQ,$A19-1,AS$15-1,1,1)),(1-PLE!$AA$28)*OFFSET(Import.PLQ,$A19-1,AS$15-1,1,1))))</f>
        <v>0</v>
      </c>
      <c r="AT19" s="145">
        <f ca="1">IF(AT$13="",0,CHOOSE(Detalhamento.OpçãoServiços,OFFSET(Import.PLQ,$A19-1,AT$15-1,1,1),IF($E19&lt;&gt;1,IF(ISNUMBER(INDEX(Import.PLE,Detalhamento!$E19,Detalhamento!AT$15)),IF(INDEX(Import.PLE,Detalhamento!$E19,Detalhamento!AT$15)&lt;=mediçao,OFFSET(Import.PLQ,$A19-1,AT$15-1,1,1),0),0),PLE!$AA$28*OFFSET(Import.PLQ,$A19-1,AT$15-1,1,1)),IF($E19&lt;&gt;1,IF(ISNUMBER(INDEX(Import.PLE,Detalhamento!$E19,Detalhamento!AT$15)),IF(INDEX(Import.PLE,Detalhamento!$E19,Detalhamento!AT$15)&lt;=mediçao,0,OFFSET(Import.PLQ,$A19-1,AT$15-1,1,1)),OFFSET(Import.PLQ,$A19-1,AT$15-1,1,1)),(1-PLE!$AA$28)*OFFSET(Import.PLQ,$A19-1,AT$15-1,1,1))))</f>
        <v>0</v>
      </c>
      <c r="AU19" s="145">
        <f ca="1">IF(AU$13="",0,CHOOSE(Detalhamento.OpçãoServiços,OFFSET(Import.PLQ,$A19-1,AU$15-1,1,1),IF($E19&lt;&gt;1,IF(ISNUMBER(INDEX(Import.PLE,Detalhamento!$E19,Detalhamento!AU$15)),IF(INDEX(Import.PLE,Detalhamento!$E19,Detalhamento!AU$15)&lt;=mediçao,OFFSET(Import.PLQ,$A19-1,AU$15-1,1,1),0),0),PLE!$AA$28*OFFSET(Import.PLQ,$A19-1,AU$15-1,1,1)),IF($E19&lt;&gt;1,IF(ISNUMBER(INDEX(Import.PLE,Detalhamento!$E19,Detalhamento!AU$15)),IF(INDEX(Import.PLE,Detalhamento!$E19,Detalhamento!AU$15)&lt;=mediçao,0,OFFSET(Import.PLQ,$A19-1,AU$15-1,1,1)),OFFSET(Import.PLQ,$A19-1,AU$15-1,1,1)),(1-PLE!$AA$28)*OFFSET(Import.PLQ,$A19-1,AU$15-1,1,1))))</f>
        <v>0</v>
      </c>
      <c r="AV19" s="145">
        <f ca="1">IF(AV$13="",0,CHOOSE(Detalhamento.OpçãoServiços,OFFSET(Import.PLQ,$A19-1,AV$15-1,1,1),IF($E19&lt;&gt;1,IF(ISNUMBER(INDEX(Import.PLE,Detalhamento!$E19,Detalhamento!AV$15)),IF(INDEX(Import.PLE,Detalhamento!$E19,Detalhamento!AV$15)&lt;=mediçao,OFFSET(Import.PLQ,$A19-1,AV$15-1,1,1),0),0),PLE!$AA$28*OFFSET(Import.PLQ,$A19-1,AV$15-1,1,1)),IF($E19&lt;&gt;1,IF(ISNUMBER(INDEX(Import.PLE,Detalhamento!$E19,Detalhamento!AV$15)),IF(INDEX(Import.PLE,Detalhamento!$E19,Detalhamento!AV$15)&lt;=mediçao,0,OFFSET(Import.PLQ,$A19-1,AV$15-1,1,1)),OFFSET(Import.PLQ,$A19-1,AV$15-1,1,1)),(1-PLE!$AA$28)*OFFSET(Import.PLQ,$A19-1,AV$15-1,1,1))))</f>
        <v>0</v>
      </c>
      <c r="AW19" s="145">
        <f ca="1">IF(AW$13="",0,CHOOSE(Detalhamento.OpçãoServiços,OFFSET(Import.PLQ,$A19-1,AW$15-1,1,1),IF($E19&lt;&gt;1,IF(ISNUMBER(INDEX(Import.PLE,Detalhamento!$E19,Detalhamento!AW$15)),IF(INDEX(Import.PLE,Detalhamento!$E19,Detalhamento!AW$15)&lt;=mediçao,OFFSET(Import.PLQ,$A19-1,AW$15-1,1,1),0),0),PLE!$AA$28*OFFSET(Import.PLQ,$A19-1,AW$15-1,1,1)),IF($E19&lt;&gt;1,IF(ISNUMBER(INDEX(Import.PLE,Detalhamento!$E19,Detalhamento!AW$15)),IF(INDEX(Import.PLE,Detalhamento!$E19,Detalhamento!AW$15)&lt;=mediçao,0,OFFSET(Import.PLQ,$A19-1,AW$15-1,1,1)),OFFSET(Import.PLQ,$A19-1,AW$15-1,1,1)),(1-PLE!$AA$28)*OFFSET(Import.PLQ,$A19-1,AW$15-1,1,1))))</f>
        <v>0</v>
      </c>
      <c r="AX19" s="145">
        <f ca="1">IF(AX$13="",0,CHOOSE(Detalhamento.OpçãoServiços,OFFSET(Import.PLQ,$A19-1,AX$15-1,1,1),IF($E19&lt;&gt;1,IF(ISNUMBER(INDEX(Import.PLE,Detalhamento!$E19,Detalhamento!AX$15)),IF(INDEX(Import.PLE,Detalhamento!$E19,Detalhamento!AX$15)&lt;=mediçao,OFFSET(Import.PLQ,$A19-1,AX$15-1,1,1),0),0),PLE!$AA$28*OFFSET(Import.PLQ,$A19-1,AX$15-1,1,1)),IF($E19&lt;&gt;1,IF(ISNUMBER(INDEX(Import.PLE,Detalhamento!$E19,Detalhamento!AX$15)),IF(INDEX(Import.PLE,Detalhamento!$E19,Detalhamento!AX$15)&lt;=mediçao,0,OFFSET(Import.PLQ,$A19-1,AX$15-1,1,1)),OFFSET(Import.PLQ,$A19-1,AX$15-1,1,1)),(1-PLE!$AA$28)*OFFSET(Import.PLQ,$A19-1,AX$15-1,1,1))))</f>
        <v>0</v>
      </c>
      <c r="AY19" s="145">
        <f ca="1">IF(AY$13="",0,CHOOSE(Detalhamento.OpçãoServiços,OFFSET(Import.PLQ,$A19-1,AY$15-1,1,1),IF($E19&lt;&gt;1,IF(ISNUMBER(INDEX(Import.PLE,Detalhamento!$E19,Detalhamento!AY$15)),IF(INDEX(Import.PLE,Detalhamento!$E19,Detalhamento!AY$15)&lt;=mediçao,OFFSET(Import.PLQ,$A19-1,AY$15-1,1,1),0),0),PLE!$AA$28*OFFSET(Import.PLQ,$A19-1,AY$15-1,1,1)),IF($E19&lt;&gt;1,IF(ISNUMBER(INDEX(Import.PLE,Detalhamento!$E19,Detalhamento!AY$15)),IF(INDEX(Import.PLE,Detalhamento!$E19,Detalhamento!AY$15)&lt;=mediçao,0,OFFSET(Import.PLQ,$A19-1,AY$15-1,1,1)),OFFSET(Import.PLQ,$A19-1,AY$15-1,1,1)),(1-PLE!$AA$28)*OFFSET(Import.PLQ,$A19-1,AY$15-1,1,1))))</f>
        <v>0</v>
      </c>
      <c r="AZ19" s="145">
        <f ca="1">IF(AZ$13="",0,CHOOSE(Detalhamento.OpçãoServiços,OFFSET(Import.PLQ,$A19-1,AZ$15-1,1,1),IF($E19&lt;&gt;1,IF(ISNUMBER(INDEX(Import.PLE,Detalhamento!$E19,Detalhamento!AZ$15)),IF(INDEX(Import.PLE,Detalhamento!$E19,Detalhamento!AZ$15)&lt;=mediçao,OFFSET(Import.PLQ,$A19-1,AZ$15-1,1,1),0),0),PLE!$AA$28*OFFSET(Import.PLQ,$A19-1,AZ$15-1,1,1)),IF($E19&lt;&gt;1,IF(ISNUMBER(INDEX(Import.PLE,Detalhamento!$E19,Detalhamento!AZ$15)),IF(INDEX(Import.PLE,Detalhamento!$E19,Detalhamento!AZ$15)&lt;=mediçao,0,OFFSET(Import.PLQ,$A19-1,AZ$15-1,1,1)),OFFSET(Import.PLQ,$A19-1,AZ$15-1,1,1)),(1-PLE!$AA$28)*OFFSET(Import.PLQ,$A19-1,AZ$15-1,1,1))))</f>
        <v>0</v>
      </c>
      <c r="BA19" s="145">
        <f ca="1">IF(BA$13="",0,CHOOSE(Detalhamento.OpçãoServiços,OFFSET(Import.PLQ,$A19-1,BA$15-1,1,1),IF($E19&lt;&gt;1,IF(ISNUMBER(INDEX(Import.PLE,Detalhamento!$E19,Detalhamento!BA$15)),IF(INDEX(Import.PLE,Detalhamento!$E19,Detalhamento!BA$15)&lt;=mediçao,OFFSET(Import.PLQ,$A19-1,BA$15-1,1,1),0),0),PLE!$AA$28*OFFSET(Import.PLQ,$A19-1,BA$15-1,1,1)),IF($E19&lt;&gt;1,IF(ISNUMBER(INDEX(Import.PLE,Detalhamento!$E19,Detalhamento!BA$15)),IF(INDEX(Import.PLE,Detalhamento!$E19,Detalhamento!BA$15)&lt;=mediçao,0,OFFSET(Import.PLQ,$A19-1,BA$15-1,1,1)),OFFSET(Import.PLQ,$A19-1,BA$15-1,1,1)),(1-PLE!$AA$28)*OFFSET(Import.PLQ,$A19-1,BA$15-1,1,1))))</f>
        <v>0</v>
      </c>
      <c r="BB19" s="145">
        <f ca="1">IF(BB$13="",0,CHOOSE(Detalhamento.OpçãoServiços,OFFSET(Import.PLQ,$A19-1,BB$15-1,1,1),IF($E19&lt;&gt;1,IF(ISNUMBER(INDEX(Import.PLE,Detalhamento!$E19,Detalhamento!BB$15)),IF(INDEX(Import.PLE,Detalhamento!$E19,Detalhamento!BB$15)&lt;=mediçao,OFFSET(Import.PLQ,$A19-1,BB$15-1,1,1),0),0),PLE!$AA$28*OFFSET(Import.PLQ,$A19-1,BB$15-1,1,1)),IF($E19&lt;&gt;1,IF(ISNUMBER(INDEX(Import.PLE,Detalhamento!$E19,Detalhamento!BB$15)),IF(INDEX(Import.PLE,Detalhamento!$E19,Detalhamento!BB$15)&lt;=mediçao,0,OFFSET(Import.PLQ,$A19-1,BB$15-1,1,1)),OFFSET(Import.PLQ,$A19-1,BB$15-1,1,1)),(1-PLE!$AA$28)*OFFSET(Import.PLQ,$A19-1,BB$15-1,1,1))))</f>
        <v>0</v>
      </c>
      <c r="BC19" s="145">
        <f ca="1">IF(BC$13="",0,CHOOSE(Detalhamento.OpçãoServiços,OFFSET(Import.PLQ,$A19-1,BC$15-1,1,1),IF($E19&lt;&gt;1,IF(ISNUMBER(INDEX(Import.PLE,Detalhamento!$E19,Detalhamento!BC$15)),IF(INDEX(Import.PLE,Detalhamento!$E19,Detalhamento!BC$15)&lt;=mediçao,OFFSET(Import.PLQ,$A19-1,BC$15-1,1,1),0),0),PLE!$AA$28*OFFSET(Import.PLQ,$A19-1,BC$15-1,1,1)),IF($E19&lt;&gt;1,IF(ISNUMBER(INDEX(Import.PLE,Detalhamento!$E19,Detalhamento!BC$15)),IF(INDEX(Import.PLE,Detalhamento!$E19,Detalhamento!BC$15)&lt;=mediçao,0,OFFSET(Import.PLQ,$A19-1,BC$15-1,1,1)),OFFSET(Import.PLQ,$A19-1,BC$15-1,1,1)),(1-PLE!$AA$28)*OFFSET(Import.PLQ,$A19-1,BC$15-1,1,1))))</f>
        <v>0</v>
      </c>
      <c r="BD19" s="145">
        <f ca="1">IF(BD$13="",0,CHOOSE(Detalhamento.OpçãoServiços,OFFSET(Import.PLQ,$A19-1,BD$15-1,1,1),IF($E19&lt;&gt;1,IF(ISNUMBER(INDEX(Import.PLE,Detalhamento!$E19,Detalhamento!BD$15)),IF(INDEX(Import.PLE,Detalhamento!$E19,Detalhamento!BD$15)&lt;=mediçao,OFFSET(Import.PLQ,$A19-1,BD$15-1,1,1),0),0),PLE!$AA$28*OFFSET(Import.PLQ,$A19-1,BD$15-1,1,1)),IF($E19&lt;&gt;1,IF(ISNUMBER(INDEX(Import.PLE,Detalhamento!$E19,Detalhamento!BD$15)),IF(INDEX(Import.PLE,Detalhamento!$E19,Detalhamento!BD$15)&lt;=mediçao,0,OFFSET(Import.PLQ,$A19-1,BD$15-1,1,1)),OFFSET(Import.PLQ,$A19-1,BD$15-1,1,1)),(1-PLE!$AA$28)*OFFSET(Import.PLQ,$A19-1,BD$15-1,1,1))))</f>
        <v>0</v>
      </c>
      <c r="BE19" s="145">
        <f ca="1">IF(BE$13="",0,CHOOSE(Detalhamento.OpçãoServiços,OFFSET(Import.PLQ,$A19-1,BE$15-1,1,1),IF($E19&lt;&gt;1,IF(ISNUMBER(INDEX(Import.PLE,Detalhamento!$E19,Detalhamento!BE$15)),IF(INDEX(Import.PLE,Detalhamento!$E19,Detalhamento!BE$15)&lt;=mediçao,OFFSET(Import.PLQ,$A19-1,BE$15-1,1,1),0),0),PLE!$AA$28*OFFSET(Import.PLQ,$A19-1,BE$15-1,1,1)),IF($E19&lt;&gt;1,IF(ISNUMBER(INDEX(Import.PLE,Detalhamento!$E19,Detalhamento!BE$15)),IF(INDEX(Import.PLE,Detalhamento!$E19,Detalhamento!BE$15)&lt;=mediçao,0,OFFSET(Import.PLQ,$A19-1,BE$15-1,1,1)),OFFSET(Import.PLQ,$A19-1,BE$15-1,1,1)),(1-PLE!$AA$28)*OFFSET(Import.PLQ,$A19-1,BE$15-1,1,1))))</f>
        <v>0</v>
      </c>
      <c r="BF19" s="145">
        <f ca="1">IF(BF$13="",0,CHOOSE(Detalhamento.OpçãoServiços,OFFSET(Import.PLQ,$A19-1,BF$15-1,1,1),IF($E19&lt;&gt;1,IF(ISNUMBER(INDEX(Import.PLE,Detalhamento!$E19,Detalhamento!BF$15)),IF(INDEX(Import.PLE,Detalhamento!$E19,Detalhamento!BF$15)&lt;=mediçao,OFFSET(Import.PLQ,$A19-1,BF$15-1,1,1),0),0),PLE!$AA$28*OFFSET(Import.PLQ,$A19-1,BF$15-1,1,1)),IF($E19&lt;&gt;1,IF(ISNUMBER(INDEX(Import.PLE,Detalhamento!$E19,Detalhamento!BF$15)),IF(INDEX(Import.PLE,Detalhamento!$E19,Detalhamento!BF$15)&lt;=mediçao,0,OFFSET(Import.PLQ,$A19-1,BF$15-1,1,1)),OFFSET(Import.PLQ,$A19-1,BF$15-1,1,1)),(1-PLE!$AA$28)*OFFSET(Import.PLQ,$A19-1,BF$15-1,1,1))))</f>
        <v>0</v>
      </c>
      <c r="BG19" s="145">
        <f ca="1">IF(BG$13="",0,CHOOSE(Detalhamento.OpçãoServiços,OFFSET(Import.PLQ,$A19-1,BG$15-1,1,1),IF($E19&lt;&gt;1,IF(ISNUMBER(INDEX(Import.PLE,Detalhamento!$E19,Detalhamento!BG$15)),IF(INDEX(Import.PLE,Detalhamento!$E19,Detalhamento!BG$15)&lt;=mediçao,OFFSET(Import.PLQ,$A19-1,BG$15-1,1,1),0),0),PLE!$AA$28*OFFSET(Import.PLQ,$A19-1,BG$15-1,1,1)),IF($E19&lt;&gt;1,IF(ISNUMBER(INDEX(Import.PLE,Detalhamento!$E19,Detalhamento!BG$15)),IF(INDEX(Import.PLE,Detalhamento!$E19,Detalhamento!BG$15)&lt;=mediçao,0,OFFSET(Import.PLQ,$A19-1,BG$15-1,1,1)),OFFSET(Import.PLQ,$A19-1,BG$15-1,1,1)),(1-PLE!$AA$28)*OFFSET(Import.PLQ,$A19-1,BG$15-1,1,1))))</f>
        <v>0</v>
      </c>
      <c r="BH19" s="145">
        <f ca="1">IF(BH$13="",0,CHOOSE(Detalhamento.OpçãoServiços,OFFSET(Import.PLQ,$A19-1,BH$15-1,1,1),IF($E19&lt;&gt;1,IF(ISNUMBER(INDEX(Import.PLE,Detalhamento!$E19,Detalhamento!BH$15)),IF(INDEX(Import.PLE,Detalhamento!$E19,Detalhamento!BH$15)&lt;=mediçao,OFFSET(Import.PLQ,$A19-1,BH$15-1,1,1),0),0),PLE!$AA$28*OFFSET(Import.PLQ,$A19-1,BH$15-1,1,1)),IF($E19&lt;&gt;1,IF(ISNUMBER(INDEX(Import.PLE,Detalhamento!$E19,Detalhamento!BH$15)),IF(INDEX(Import.PLE,Detalhamento!$E19,Detalhamento!BH$15)&lt;=mediçao,0,OFFSET(Import.PLQ,$A19-1,BH$15-1,1,1)),OFFSET(Import.PLQ,$A19-1,BH$15-1,1,1)),(1-PLE!$AA$28)*OFFSET(Import.PLQ,$A19-1,BH$15-1,1,1))))</f>
        <v>0</v>
      </c>
      <c r="BI19" s="145">
        <f ca="1">IF(BI$13="",0,CHOOSE(Detalhamento.OpçãoServiços,OFFSET(Import.PLQ,$A19-1,BI$15-1,1,1),IF($E19&lt;&gt;1,IF(ISNUMBER(INDEX(Import.PLE,Detalhamento!$E19,Detalhamento!BI$15)),IF(INDEX(Import.PLE,Detalhamento!$E19,Detalhamento!BI$15)&lt;=mediçao,OFFSET(Import.PLQ,$A19-1,BI$15-1,1,1),0),0),PLE!$AA$28*OFFSET(Import.PLQ,$A19-1,BI$15-1,1,1)),IF($E19&lt;&gt;1,IF(ISNUMBER(INDEX(Import.PLE,Detalhamento!$E19,Detalhamento!BI$15)),IF(INDEX(Import.PLE,Detalhamento!$E19,Detalhamento!BI$15)&lt;=mediçao,0,OFFSET(Import.PLQ,$A19-1,BI$15-1,1,1)),OFFSET(Import.PLQ,$A19-1,BI$15-1,1,1)),(1-PLE!$AA$28)*OFFSET(Import.PLQ,$A19-1,BI$15-1,1,1))))</f>
        <v>0</v>
      </c>
    </row>
    <row r="20" spans="1:61" hidden="1" x14ac:dyDescent="0.2">
      <c r="A20" s="156">
        <v>4</v>
      </c>
      <c r="B20" s="21" t="str">
        <f t="shared" ca="1" si="8"/>
        <v>Meta</v>
      </c>
      <c r="E20" s="154" t="str">
        <f t="shared" ca="1" si="9"/>
        <v/>
      </c>
      <c r="F20" s="155">
        <f t="shared" ca="1" si="10"/>
        <v>0</v>
      </c>
      <c r="G20" s="155">
        <f t="shared" ca="1" si="11"/>
        <v>2</v>
      </c>
      <c r="H20" s="183" t="str">
        <f t="shared" ca="1" si="11"/>
        <v>SERVIÇOS DE TERRAPLENAGEM</v>
      </c>
      <c r="I20" s="37" t="str">
        <f t="shared" ca="1" si="12"/>
        <v/>
      </c>
      <c r="J20" s="145" t="str">
        <f t="shared" ca="1" si="13"/>
        <v/>
      </c>
      <c r="K20" s="67"/>
      <c r="L20" s="145">
        <f ca="1">IF(L$13="",0,CHOOSE(Detalhamento.OpçãoServiços,OFFSET(Import.PLQ,$A20-1,L$15-1,1,1),IF($E20&lt;&gt;1,IF(ISNUMBER(INDEX(Import.PLE,Detalhamento!$E20,Detalhamento!L$15)),IF(INDEX(Import.PLE,Detalhamento!$E20,Detalhamento!L$15)&lt;=mediçao,OFFSET(Import.PLQ,$A20-1,L$15-1,1,1),0),0),PLE!$AA$28*OFFSET(Import.PLQ,$A20-1,L$15-1,1,1)),IF($E20&lt;&gt;1,IF(ISNUMBER(INDEX(Import.PLE,Detalhamento!$E20,Detalhamento!L$15)),IF(INDEX(Import.PLE,Detalhamento!$E20,Detalhamento!L$15)&lt;=mediçao,0,OFFSET(Import.PLQ,$A20-1,L$15-1,1,1)),OFFSET(Import.PLQ,$A20-1,L$15-1,1,1)),(1-PLE!$AA$28)*OFFSET(Import.PLQ,$A20-1,L$15-1,1,1))))</f>
        <v>0</v>
      </c>
      <c r="M20" s="145">
        <f ca="1">IF(M$13="",0,CHOOSE(Detalhamento.OpçãoServiços,OFFSET(Import.PLQ,$A20-1,M$15-1,1,1),IF($E20&lt;&gt;1,IF(ISNUMBER(INDEX(Import.PLE,Detalhamento!$E20,Detalhamento!M$15)),IF(INDEX(Import.PLE,Detalhamento!$E20,Detalhamento!M$15)&lt;=mediçao,OFFSET(Import.PLQ,$A20-1,M$15-1,1,1),0),0),PLE!$AA$28*OFFSET(Import.PLQ,$A20-1,M$15-1,1,1)),IF($E20&lt;&gt;1,IF(ISNUMBER(INDEX(Import.PLE,Detalhamento!$E20,Detalhamento!M$15)),IF(INDEX(Import.PLE,Detalhamento!$E20,Detalhamento!M$15)&lt;=mediçao,0,OFFSET(Import.PLQ,$A20-1,M$15-1,1,1)),OFFSET(Import.PLQ,$A20-1,M$15-1,1,1)),(1-PLE!$AA$28)*OFFSET(Import.PLQ,$A20-1,M$15-1,1,1))))</f>
        <v>0</v>
      </c>
      <c r="N20" s="145">
        <f ca="1">IF(N$13="",0,CHOOSE(Detalhamento.OpçãoServiços,OFFSET(Import.PLQ,$A20-1,N$15-1,1,1),IF($E20&lt;&gt;1,IF(ISNUMBER(INDEX(Import.PLE,Detalhamento!$E20,Detalhamento!N$15)),IF(INDEX(Import.PLE,Detalhamento!$E20,Detalhamento!N$15)&lt;=mediçao,OFFSET(Import.PLQ,$A20-1,N$15-1,1,1),0),0),PLE!$AA$28*OFFSET(Import.PLQ,$A20-1,N$15-1,1,1)),IF($E20&lt;&gt;1,IF(ISNUMBER(INDEX(Import.PLE,Detalhamento!$E20,Detalhamento!N$15)),IF(INDEX(Import.PLE,Detalhamento!$E20,Detalhamento!N$15)&lt;=mediçao,0,OFFSET(Import.PLQ,$A20-1,N$15-1,1,1)),OFFSET(Import.PLQ,$A20-1,N$15-1,1,1)),(1-PLE!$AA$28)*OFFSET(Import.PLQ,$A20-1,N$15-1,1,1))))</f>
        <v>0</v>
      </c>
      <c r="O20" s="145">
        <f ca="1">IF(O$13="",0,CHOOSE(Detalhamento.OpçãoServiços,OFFSET(Import.PLQ,$A20-1,O$15-1,1,1),IF($E20&lt;&gt;1,IF(ISNUMBER(INDEX(Import.PLE,Detalhamento!$E20,Detalhamento!O$15)),IF(INDEX(Import.PLE,Detalhamento!$E20,Detalhamento!O$15)&lt;=mediçao,OFFSET(Import.PLQ,$A20-1,O$15-1,1,1),0),0),PLE!$AA$28*OFFSET(Import.PLQ,$A20-1,O$15-1,1,1)),IF($E20&lt;&gt;1,IF(ISNUMBER(INDEX(Import.PLE,Detalhamento!$E20,Detalhamento!O$15)),IF(INDEX(Import.PLE,Detalhamento!$E20,Detalhamento!O$15)&lt;=mediçao,0,OFFSET(Import.PLQ,$A20-1,O$15-1,1,1)),OFFSET(Import.PLQ,$A20-1,O$15-1,1,1)),(1-PLE!$AA$28)*OFFSET(Import.PLQ,$A20-1,O$15-1,1,1))))</f>
        <v>0</v>
      </c>
      <c r="P20" s="145">
        <f ca="1">IF(P$13="",0,CHOOSE(Detalhamento.OpçãoServiços,OFFSET(Import.PLQ,$A20-1,P$15-1,1,1),IF($E20&lt;&gt;1,IF(ISNUMBER(INDEX(Import.PLE,Detalhamento!$E20,Detalhamento!P$15)),IF(INDEX(Import.PLE,Detalhamento!$E20,Detalhamento!P$15)&lt;=mediçao,OFFSET(Import.PLQ,$A20-1,P$15-1,1,1),0),0),PLE!$AA$28*OFFSET(Import.PLQ,$A20-1,P$15-1,1,1)),IF($E20&lt;&gt;1,IF(ISNUMBER(INDEX(Import.PLE,Detalhamento!$E20,Detalhamento!P$15)),IF(INDEX(Import.PLE,Detalhamento!$E20,Detalhamento!P$15)&lt;=mediçao,0,OFFSET(Import.PLQ,$A20-1,P$15-1,1,1)),OFFSET(Import.PLQ,$A20-1,P$15-1,1,1)),(1-PLE!$AA$28)*OFFSET(Import.PLQ,$A20-1,P$15-1,1,1))))</f>
        <v>0</v>
      </c>
      <c r="Q20" s="145">
        <f ca="1">IF(Q$13="",0,CHOOSE(Detalhamento.OpçãoServiços,OFFSET(Import.PLQ,$A20-1,Q$15-1,1,1),IF($E20&lt;&gt;1,IF(ISNUMBER(INDEX(Import.PLE,Detalhamento!$E20,Detalhamento!Q$15)),IF(INDEX(Import.PLE,Detalhamento!$E20,Detalhamento!Q$15)&lt;=mediçao,OFFSET(Import.PLQ,$A20-1,Q$15-1,1,1),0),0),PLE!$AA$28*OFFSET(Import.PLQ,$A20-1,Q$15-1,1,1)),IF($E20&lt;&gt;1,IF(ISNUMBER(INDEX(Import.PLE,Detalhamento!$E20,Detalhamento!Q$15)),IF(INDEX(Import.PLE,Detalhamento!$E20,Detalhamento!Q$15)&lt;=mediçao,0,OFFSET(Import.PLQ,$A20-1,Q$15-1,1,1)),OFFSET(Import.PLQ,$A20-1,Q$15-1,1,1)),(1-PLE!$AA$28)*OFFSET(Import.PLQ,$A20-1,Q$15-1,1,1))))</f>
        <v>0</v>
      </c>
      <c r="R20" s="145">
        <f ca="1">IF(R$13="",0,CHOOSE(Detalhamento.OpçãoServiços,OFFSET(Import.PLQ,$A20-1,R$15-1,1,1),IF($E20&lt;&gt;1,IF(ISNUMBER(INDEX(Import.PLE,Detalhamento!$E20,Detalhamento!R$15)),IF(INDEX(Import.PLE,Detalhamento!$E20,Detalhamento!R$15)&lt;=mediçao,OFFSET(Import.PLQ,$A20-1,R$15-1,1,1),0),0),PLE!$AA$28*OFFSET(Import.PLQ,$A20-1,R$15-1,1,1)),IF($E20&lt;&gt;1,IF(ISNUMBER(INDEX(Import.PLE,Detalhamento!$E20,Detalhamento!R$15)),IF(INDEX(Import.PLE,Detalhamento!$E20,Detalhamento!R$15)&lt;=mediçao,0,OFFSET(Import.PLQ,$A20-1,R$15-1,1,1)),OFFSET(Import.PLQ,$A20-1,R$15-1,1,1)),(1-PLE!$AA$28)*OFFSET(Import.PLQ,$A20-1,R$15-1,1,1))))</f>
        <v>0</v>
      </c>
      <c r="S20" s="145">
        <f ca="1">IF(S$13="",0,CHOOSE(Detalhamento.OpçãoServiços,OFFSET(Import.PLQ,$A20-1,S$15-1,1,1),IF($E20&lt;&gt;1,IF(ISNUMBER(INDEX(Import.PLE,Detalhamento!$E20,Detalhamento!S$15)),IF(INDEX(Import.PLE,Detalhamento!$E20,Detalhamento!S$15)&lt;=mediçao,OFFSET(Import.PLQ,$A20-1,S$15-1,1,1),0),0),PLE!$AA$28*OFFSET(Import.PLQ,$A20-1,S$15-1,1,1)),IF($E20&lt;&gt;1,IF(ISNUMBER(INDEX(Import.PLE,Detalhamento!$E20,Detalhamento!S$15)),IF(INDEX(Import.PLE,Detalhamento!$E20,Detalhamento!S$15)&lt;=mediçao,0,OFFSET(Import.PLQ,$A20-1,S$15-1,1,1)),OFFSET(Import.PLQ,$A20-1,S$15-1,1,1)),(1-PLE!$AA$28)*OFFSET(Import.PLQ,$A20-1,S$15-1,1,1))))</f>
        <v>0</v>
      </c>
      <c r="T20" s="145">
        <f ca="1">IF(T$13="",0,CHOOSE(Detalhamento.OpçãoServiços,OFFSET(Import.PLQ,$A20-1,T$15-1,1,1),IF($E20&lt;&gt;1,IF(ISNUMBER(INDEX(Import.PLE,Detalhamento!$E20,Detalhamento!T$15)),IF(INDEX(Import.PLE,Detalhamento!$E20,Detalhamento!T$15)&lt;=mediçao,OFFSET(Import.PLQ,$A20-1,T$15-1,1,1),0),0),PLE!$AA$28*OFFSET(Import.PLQ,$A20-1,T$15-1,1,1)),IF($E20&lt;&gt;1,IF(ISNUMBER(INDEX(Import.PLE,Detalhamento!$E20,Detalhamento!T$15)),IF(INDEX(Import.PLE,Detalhamento!$E20,Detalhamento!T$15)&lt;=mediçao,0,OFFSET(Import.PLQ,$A20-1,T$15-1,1,1)),OFFSET(Import.PLQ,$A20-1,T$15-1,1,1)),(1-PLE!$AA$28)*OFFSET(Import.PLQ,$A20-1,T$15-1,1,1))))</f>
        <v>0</v>
      </c>
      <c r="U20" s="145">
        <f ca="1">IF(U$13="",0,CHOOSE(Detalhamento.OpçãoServiços,OFFSET(Import.PLQ,$A20-1,U$15-1,1,1),IF($E20&lt;&gt;1,IF(ISNUMBER(INDEX(Import.PLE,Detalhamento!$E20,Detalhamento!U$15)),IF(INDEX(Import.PLE,Detalhamento!$E20,Detalhamento!U$15)&lt;=mediçao,OFFSET(Import.PLQ,$A20-1,U$15-1,1,1),0),0),PLE!$AA$28*OFFSET(Import.PLQ,$A20-1,U$15-1,1,1)),IF($E20&lt;&gt;1,IF(ISNUMBER(INDEX(Import.PLE,Detalhamento!$E20,Detalhamento!U$15)),IF(INDEX(Import.PLE,Detalhamento!$E20,Detalhamento!U$15)&lt;=mediçao,0,OFFSET(Import.PLQ,$A20-1,U$15-1,1,1)),OFFSET(Import.PLQ,$A20-1,U$15-1,1,1)),(1-PLE!$AA$28)*OFFSET(Import.PLQ,$A20-1,U$15-1,1,1))))</f>
        <v>0</v>
      </c>
      <c r="V20" s="145">
        <f ca="1">IF(V$13="",0,CHOOSE(Detalhamento.OpçãoServiços,OFFSET(Import.PLQ,$A20-1,V$15-1,1,1),IF($E20&lt;&gt;1,IF(ISNUMBER(INDEX(Import.PLE,Detalhamento!$E20,Detalhamento!V$15)),IF(INDEX(Import.PLE,Detalhamento!$E20,Detalhamento!V$15)&lt;=mediçao,OFFSET(Import.PLQ,$A20-1,V$15-1,1,1),0),0),PLE!$AA$28*OFFSET(Import.PLQ,$A20-1,V$15-1,1,1)),IF($E20&lt;&gt;1,IF(ISNUMBER(INDEX(Import.PLE,Detalhamento!$E20,Detalhamento!V$15)),IF(INDEX(Import.PLE,Detalhamento!$E20,Detalhamento!V$15)&lt;=mediçao,0,OFFSET(Import.PLQ,$A20-1,V$15-1,1,1)),OFFSET(Import.PLQ,$A20-1,V$15-1,1,1)),(1-PLE!$AA$28)*OFFSET(Import.PLQ,$A20-1,V$15-1,1,1))))</f>
        <v>0</v>
      </c>
      <c r="W20" s="145">
        <f ca="1">IF(W$13="",0,CHOOSE(Detalhamento.OpçãoServiços,OFFSET(Import.PLQ,$A20-1,W$15-1,1,1),IF($E20&lt;&gt;1,IF(ISNUMBER(INDEX(Import.PLE,Detalhamento!$E20,Detalhamento!W$15)),IF(INDEX(Import.PLE,Detalhamento!$E20,Detalhamento!W$15)&lt;=mediçao,OFFSET(Import.PLQ,$A20-1,W$15-1,1,1),0),0),PLE!$AA$28*OFFSET(Import.PLQ,$A20-1,W$15-1,1,1)),IF($E20&lt;&gt;1,IF(ISNUMBER(INDEX(Import.PLE,Detalhamento!$E20,Detalhamento!W$15)),IF(INDEX(Import.PLE,Detalhamento!$E20,Detalhamento!W$15)&lt;=mediçao,0,OFFSET(Import.PLQ,$A20-1,W$15-1,1,1)),OFFSET(Import.PLQ,$A20-1,W$15-1,1,1)),(1-PLE!$AA$28)*OFFSET(Import.PLQ,$A20-1,W$15-1,1,1))))</f>
        <v>0</v>
      </c>
      <c r="X20" s="145">
        <f ca="1">IF(X$13="",0,CHOOSE(Detalhamento.OpçãoServiços,OFFSET(Import.PLQ,$A20-1,X$15-1,1,1),IF($E20&lt;&gt;1,IF(ISNUMBER(INDEX(Import.PLE,Detalhamento!$E20,Detalhamento!X$15)),IF(INDEX(Import.PLE,Detalhamento!$E20,Detalhamento!X$15)&lt;=mediçao,OFFSET(Import.PLQ,$A20-1,X$15-1,1,1),0),0),PLE!$AA$28*OFFSET(Import.PLQ,$A20-1,X$15-1,1,1)),IF($E20&lt;&gt;1,IF(ISNUMBER(INDEX(Import.PLE,Detalhamento!$E20,Detalhamento!X$15)),IF(INDEX(Import.PLE,Detalhamento!$E20,Detalhamento!X$15)&lt;=mediçao,0,OFFSET(Import.PLQ,$A20-1,X$15-1,1,1)),OFFSET(Import.PLQ,$A20-1,X$15-1,1,1)),(1-PLE!$AA$28)*OFFSET(Import.PLQ,$A20-1,X$15-1,1,1))))</f>
        <v>0</v>
      </c>
      <c r="Y20" s="145">
        <f ca="1">IF(Y$13="",0,CHOOSE(Detalhamento.OpçãoServiços,OFFSET(Import.PLQ,$A20-1,Y$15-1,1,1),IF($E20&lt;&gt;1,IF(ISNUMBER(INDEX(Import.PLE,Detalhamento!$E20,Detalhamento!Y$15)),IF(INDEX(Import.PLE,Detalhamento!$E20,Detalhamento!Y$15)&lt;=mediçao,OFFSET(Import.PLQ,$A20-1,Y$15-1,1,1),0),0),PLE!$AA$28*OFFSET(Import.PLQ,$A20-1,Y$15-1,1,1)),IF($E20&lt;&gt;1,IF(ISNUMBER(INDEX(Import.PLE,Detalhamento!$E20,Detalhamento!Y$15)),IF(INDEX(Import.PLE,Detalhamento!$E20,Detalhamento!Y$15)&lt;=mediçao,0,OFFSET(Import.PLQ,$A20-1,Y$15-1,1,1)),OFFSET(Import.PLQ,$A20-1,Y$15-1,1,1)),(1-PLE!$AA$28)*OFFSET(Import.PLQ,$A20-1,Y$15-1,1,1))))</f>
        <v>0</v>
      </c>
      <c r="Z20" s="145">
        <f ca="1">IF(Z$13="",0,CHOOSE(Detalhamento.OpçãoServiços,OFFSET(Import.PLQ,$A20-1,Z$15-1,1,1),IF($E20&lt;&gt;1,IF(ISNUMBER(INDEX(Import.PLE,Detalhamento!$E20,Detalhamento!Z$15)),IF(INDEX(Import.PLE,Detalhamento!$E20,Detalhamento!Z$15)&lt;=mediçao,OFFSET(Import.PLQ,$A20-1,Z$15-1,1,1),0),0),PLE!$AA$28*OFFSET(Import.PLQ,$A20-1,Z$15-1,1,1)),IF($E20&lt;&gt;1,IF(ISNUMBER(INDEX(Import.PLE,Detalhamento!$E20,Detalhamento!Z$15)),IF(INDEX(Import.PLE,Detalhamento!$E20,Detalhamento!Z$15)&lt;=mediçao,0,OFFSET(Import.PLQ,$A20-1,Z$15-1,1,1)),OFFSET(Import.PLQ,$A20-1,Z$15-1,1,1)),(1-PLE!$AA$28)*OFFSET(Import.PLQ,$A20-1,Z$15-1,1,1))))</f>
        <v>0</v>
      </c>
      <c r="AA20" s="145">
        <f ca="1">IF(AA$13="",0,CHOOSE(Detalhamento.OpçãoServiços,OFFSET(Import.PLQ,$A20-1,AA$15-1,1,1),IF($E20&lt;&gt;1,IF(ISNUMBER(INDEX(Import.PLE,Detalhamento!$E20,Detalhamento!AA$15)),IF(INDEX(Import.PLE,Detalhamento!$E20,Detalhamento!AA$15)&lt;=mediçao,OFFSET(Import.PLQ,$A20-1,AA$15-1,1,1),0),0),PLE!$AA$28*OFFSET(Import.PLQ,$A20-1,AA$15-1,1,1)),IF($E20&lt;&gt;1,IF(ISNUMBER(INDEX(Import.PLE,Detalhamento!$E20,Detalhamento!AA$15)),IF(INDEX(Import.PLE,Detalhamento!$E20,Detalhamento!AA$15)&lt;=mediçao,0,OFFSET(Import.PLQ,$A20-1,AA$15-1,1,1)),OFFSET(Import.PLQ,$A20-1,AA$15-1,1,1)),(1-PLE!$AA$28)*OFFSET(Import.PLQ,$A20-1,AA$15-1,1,1))))</f>
        <v>0</v>
      </c>
      <c r="AB20" s="145">
        <f ca="1">IF(AB$13="",0,CHOOSE(Detalhamento.OpçãoServiços,OFFSET(Import.PLQ,$A20-1,AB$15-1,1,1),IF($E20&lt;&gt;1,IF(ISNUMBER(INDEX(Import.PLE,Detalhamento!$E20,Detalhamento!AB$15)),IF(INDEX(Import.PLE,Detalhamento!$E20,Detalhamento!AB$15)&lt;=mediçao,OFFSET(Import.PLQ,$A20-1,AB$15-1,1,1),0),0),PLE!$AA$28*OFFSET(Import.PLQ,$A20-1,AB$15-1,1,1)),IF($E20&lt;&gt;1,IF(ISNUMBER(INDEX(Import.PLE,Detalhamento!$E20,Detalhamento!AB$15)),IF(INDEX(Import.PLE,Detalhamento!$E20,Detalhamento!AB$15)&lt;=mediçao,0,OFFSET(Import.PLQ,$A20-1,AB$15-1,1,1)),OFFSET(Import.PLQ,$A20-1,AB$15-1,1,1)),(1-PLE!$AA$28)*OFFSET(Import.PLQ,$A20-1,AB$15-1,1,1))))</f>
        <v>0</v>
      </c>
      <c r="AC20" s="145">
        <f ca="1">IF(AC$13="",0,CHOOSE(Detalhamento.OpçãoServiços,OFFSET(Import.PLQ,$A20-1,AC$15-1,1,1),IF($E20&lt;&gt;1,IF(ISNUMBER(INDEX(Import.PLE,Detalhamento!$E20,Detalhamento!AC$15)),IF(INDEX(Import.PLE,Detalhamento!$E20,Detalhamento!AC$15)&lt;=mediçao,OFFSET(Import.PLQ,$A20-1,AC$15-1,1,1),0),0),PLE!$AA$28*OFFSET(Import.PLQ,$A20-1,AC$15-1,1,1)),IF($E20&lt;&gt;1,IF(ISNUMBER(INDEX(Import.PLE,Detalhamento!$E20,Detalhamento!AC$15)),IF(INDEX(Import.PLE,Detalhamento!$E20,Detalhamento!AC$15)&lt;=mediçao,0,OFFSET(Import.PLQ,$A20-1,AC$15-1,1,1)),OFFSET(Import.PLQ,$A20-1,AC$15-1,1,1)),(1-PLE!$AA$28)*OFFSET(Import.PLQ,$A20-1,AC$15-1,1,1))))</f>
        <v>0</v>
      </c>
      <c r="AD20" s="145">
        <f ca="1">IF(AD$13="",0,CHOOSE(Detalhamento.OpçãoServiços,OFFSET(Import.PLQ,$A20-1,AD$15-1,1,1),IF($E20&lt;&gt;1,IF(ISNUMBER(INDEX(Import.PLE,Detalhamento!$E20,Detalhamento!AD$15)),IF(INDEX(Import.PLE,Detalhamento!$E20,Detalhamento!AD$15)&lt;=mediçao,OFFSET(Import.PLQ,$A20-1,AD$15-1,1,1),0),0),PLE!$AA$28*OFFSET(Import.PLQ,$A20-1,AD$15-1,1,1)),IF($E20&lt;&gt;1,IF(ISNUMBER(INDEX(Import.PLE,Detalhamento!$E20,Detalhamento!AD$15)),IF(INDEX(Import.PLE,Detalhamento!$E20,Detalhamento!AD$15)&lt;=mediçao,0,OFFSET(Import.PLQ,$A20-1,AD$15-1,1,1)),OFFSET(Import.PLQ,$A20-1,AD$15-1,1,1)),(1-PLE!$AA$28)*OFFSET(Import.PLQ,$A20-1,AD$15-1,1,1))))</f>
        <v>0</v>
      </c>
      <c r="AE20" s="145">
        <f ca="1">IF(AE$13="",0,CHOOSE(Detalhamento.OpçãoServiços,OFFSET(Import.PLQ,$A20-1,AE$15-1,1,1),IF($E20&lt;&gt;1,IF(ISNUMBER(INDEX(Import.PLE,Detalhamento!$E20,Detalhamento!AE$15)),IF(INDEX(Import.PLE,Detalhamento!$E20,Detalhamento!AE$15)&lt;=mediçao,OFFSET(Import.PLQ,$A20-1,AE$15-1,1,1),0),0),PLE!$AA$28*OFFSET(Import.PLQ,$A20-1,AE$15-1,1,1)),IF($E20&lt;&gt;1,IF(ISNUMBER(INDEX(Import.PLE,Detalhamento!$E20,Detalhamento!AE$15)),IF(INDEX(Import.PLE,Detalhamento!$E20,Detalhamento!AE$15)&lt;=mediçao,0,OFFSET(Import.PLQ,$A20-1,AE$15-1,1,1)),OFFSET(Import.PLQ,$A20-1,AE$15-1,1,1)),(1-PLE!$AA$28)*OFFSET(Import.PLQ,$A20-1,AE$15-1,1,1))))</f>
        <v>0</v>
      </c>
      <c r="AF20" s="145">
        <f ca="1">IF(AF$13="",0,CHOOSE(Detalhamento.OpçãoServiços,OFFSET(Import.PLQ,$A20-1,AF$15-1,1,1),IF($E20&lt;&gt;1,IF(ISNUMBER(INDEX(Import.PLE,Detalhamento!$E20,Detalhamento!AF$15)),IF(INDEX(Import.PLE,Detalhamento!$E20,Detalhamento!AF$15)&lt;=mediçao,OFFSET(Import.PLQ,$A20-1,AF$15-1,1,1),0),0),PLE!$AA$28*OFFSET(Import.PLQ,$A20-1,AF$15-1,1,1)),IF($E20&lt;&gt;1,IF(ISNUMBER(INDEX(Import.PLE,Detalhamento!$E20,Detalhamento!AF$15)),IF(INDEX(Import.PLE,Detalhamento!$E20,Detalhamento!AF$15)&lt;=mediçao,0,OFFSET(Import.PLQ,$A20-1,AF$15-1,1,1)),OFFSET(Import.PLQ,$A20-1,AF$15-1,1,1)),(1-PLE!$AA$28)*OFFSET(Import.PLQ,$A20-1,AF$15-1,1,1))))</f>
        <v>0</v>
      </c>
      <c r="AG20" s="145">
        <f ca="1">IF(AG$13="",0,CHOOSE(Detalhamento.OpçãoServiços,OFFSET(Import.PLQ,$A20-1,AG$15-1,1,1),IF($E20&lt;&gt;1,IF(ISNUMBER(INDEX(Import.PLE,Detalhamento!$E20,Detalhamento!AG$15)),IF(INDEX(Import.PLE,Detalhamento!$E20,Detalhamento!AG$15)&lt;=mediçao,OFFSET(Import.PLQ,$A20-1,AG$15-1,1,1),0),0),PLE!$AA$28*OFFSET(Import.PLQ,$A20-1,AG$15-1,1,1)),IF($E20&lt;&gt;1,IF(ISNUMBER(INDEX(Import.PLE,Detalhamento!$E20,Detalhamento!AG$15)),IF(INDEX(Import.PLE,Detalhamento!$E20,Detalhamento!AG$15)&lt;=mediçao,0,OFFSET(Import.PLQ,$A20-1,AG$15-1,1,1)),OFFSET(Import.PLQ,$A20-1,AG$15-1,1,1)),(1-PLE!$AA$28)*OFFSET(Import.PLQ,$A20-1,AG$15-1,1,1))))</f>
        <v>0</v>
      </c>
      <c r="AH20" s="145">
        <f ca="1">IF(AH$13="",0,CHOOSE(Detalhamento.OpçãoServiços,OFFSET(Import.PLQ,$A20-1,AH$15-1,1,1),IF($E20&lt;&gt;1,IF(ISNUMBER(INDEX(Import.PLE,Detalhamento!$E20,Detalhamento!AH$15)),IF(INDEX(Import.PLE,Detalhamento!$E20,Detalhamento!AH$15)&lt;=mediçao,OFFSET(Import.PLQ,$A20-1,AH$15-1,1,1),0),0),PLE!$AA$28*OFFSET(Import.PLQ,$A20-1,AH$15-1,1,1)),IF($E20&lt;&gt;1,IF(ISNUMBER(INDEX(Import.PLE,Detalhamento!$E20,Detalhamento!AH$15)),IF(INDEX(Import.PLE,Detalhamento!$E20,Detalhamento!AH$15)&lt;=mediçao,0,OFFSET(Import.PLQ,$A20-1,AH$15-1,1,1)),OFFSET(Import.PLQ,$A20-1,AH$15-1,1,1)),(1-PLE!$AA$28)*OFFSET(Import.PLQ,$A20-1,AH$15-1,1,1))))</f>
        <v>0</v>
      </c>
      <c r="AI20" s="145">
        <f ca="1">IF(AI$13="",0,CHOOSE(Detalhamento.OpçãoServiços,OFFSET(Import.PLQ,$A20-1,AI$15-1,1,1),IF($E20&lt;&gt;1,IF(ISNUMBER(INDEX(Import.PLE,Detalhamento!$E20,Detalhamento!AI$15)),IF(INDEX(Import.PLE,Detalhamento!$E20,Detalhamento!AI$15)&lt;=mediçao,OFFSET(Import.PLQ,$A20-1,AI$15-1,1,1),0),0),PLE!$AA$28*OFFSET(Import.PLQ,$A20-1,AI$15-1,1,1)),IF($E20&lt;&gt;1,IF(ISNUMBER(INDEX(Import.PLE,Detalhamento!$E20,Detalhamento!AI$15)),IF(INDEX(Import.PLE,Detalhamento!$E20,Detalhamento!AI$15)&lt;=mediçao,0,OFFSET(Import.PLQ,$A20-1,AI$15-1,1,1)),OFFSET(Import.PLQ,$A20-1,AI$15-1,1,1)),(1-PLE!$AA$28)*OFFSET(Import.PLQ,$A20-1,AI$15-1,1,1))))</f>
        <v>0</v>
      </c>
      <c r="AJ20" s="145">
        <f ca="1">IF(AJ$13="",0,CHOOSE(Detalhamento.OpçãoServiços,OFFSET(Import.PLQ,$A20-1,AJ$15-1,1,1),IF($E20&lt;&gt;1,IF(ISNUMBER(INDEX(Import.PLE,Detalhamento!$E20,Detalhamento!AJ$15)),IF(INDEX(Import.PLE,Detalhamento!$E20,Detalhamento!AJ$15)&lt;=mediçao,OFFSET(Import.PLQ,$A20-1,AJ$15-1,1,1),0),0),PLE!$AA$28*OFFSET(Import.PLQ,$A20-1,AJ$15-1,1,1)),IF($E20&lt;&gt;1,IF(ISNUMBER(INDEX(Import.PLE,Detalhamento!$E20,Detalhamento!AJ$15)),IF(INDEX(Import.PLE,Detalhamento!$E20,Detalhamento!AJ$15)&lt;=mediçao,0,OFFSET(Import.PLQ,$A20-1,AJ$15-1,1,1)),OFFSET(Import.PLQ,$A20-1,AJ$15-1,1,1)),(1-PLE!$AA$28)*OFFSET(Import.PLQ,$A20-1,AJ$15-1,1,1))))</f>
        <v>0</v>
      </c>
      <c r="AK20" s="145">
        <f ca="1">IF(AK$13="",0,CHOOSE(Detalhamento.OpçãoServiços,OFFSET(Import.PLQ,$A20-1,AK$15-1,1,1),IF($E20&lt;&gt;1,IF(ISNUMBER(INDEX(Import.PLE,Detalhamento!$E20,Detalhamento!AK$15)),IF(INDEX(Import.PLE,Detalhamento!$E20,Detalhamento!AK$15)&lt;=mediçao,OFFSET(Import.PLQ,$A20-1,AK$15-1,1,1),0),0),PLE!$AA$28*OFFSET(Import.PLQ,$A20-1,AK$15-1,1,1)),IF($E20&lt;&gt;1,IF(ISNUMBER(INDEX(Import.PLE,Detalhamento!$E20,Detalhamento!AK$15)),IF(INDEX(Import.PLE,Detalhamento!$E20,Detalhamento!AK$15)&lt;=mediçao,0,OFFSET(Import.PLQ,$A20-1,AK$15-1,1,1)),OFFSET(Import.PLQ,$A20-1,AK$15-1,1,1)),(1-PLE!$AA$28)*OFFSET(Import.PLQ,$A20-1,AK$15-1,1,1))))</f>
        <v>0</v>
      </c>
      <c r="AL20" s="145">
        <f ca="1">IF(AL$13="",0,CHOOSE(Detalhamento.OpçãoServiços,OFFSET(Import.PLQ,$A20-1,AL$15-1,1,1),IF($E20&lt;&gt;1,IF(ISNUMBER(INDEX(Import.PLE,Detalhamento!$E20,Detalhamento!AL$15)),IF(INDEX(Import.PLE,Detalhamento!$E20,Detalhamento!AL$15)&lt;=mediçao,OFFSET(Import.PLQ,$A20-1,AL$15-1,1,1),0),0),PLE!$AA$28*OFFSET(Import.PLQ,$A20-1,AL$15-1,1,1)),IF($E20&lt;&gt;1,IF(ISNUMBER(INDEX(Import.PLE,Detalhamento!$E20,Detalhamento!AL$15)),IF(INDEX(Import.PLE,Detalhamento!$E20,Detalhamento!AL$15)&lt;=mediçao,0,OFFSET(Import.PLQ,$A20-1,AL$15-1,1,1)),OFFSET(Import.PLQ,$A20-1,AL$15-1,1,1)),(1-PLE!$AA$28)*OFFSET(Import.PLQ,$A20-1,AL$15-1,1,1))))</f>
        <v>0</v>
      </c>
      <c r="AM20" s="145">
        <f ca="1">IF(AM$13="",0,CHOOSE(Detalhamento.OpçãoServiços,OFFSET(Import.PLQ,$A20-1,AM$15-1,1,1),IF($E20&lt;&gt;1,IF(ISNUMBER(INDEX(Import.PLE,Detalhamento!$E20,Detalhamento!AM$15)),IF(INDEX(Import.PLE,Detalhamento!$E20,Detalhamento!AM$15)&lt;=mediçao,OFFSET(Import.PLQ,$A20-1,AM$15-1,1,1),0),0),PLE!$AA$28*OFFSET(Import.PLQ,$A20-1,AM$15-1,1,1)),IF($E20&lt;&gt;1,IF(ISNUMBER(INDEX(Import.PLE,Detalhamento!$E20,Detalhamento!AM$15)),IF(INDEX(Import.PLE,Detalhamento!$E20,Detalhamento!AM$15)&lt;=mediçao,0,OFFSET(Import.PLQ,$A20-1,AM$15-1,1,1)),OFFSET(Import.PLQ,$A20-1,AM$15-1,1,1)),(1-PLE!$AA$28)*OFFSET(Import.PLQ,$A20-1,AM$15-1,1,1))))</f>
        <v>0</v>
      </c>
      <c r="AN20" s="145">
        <f ca="1">IF(AN$13="",0,CHOOSE(Detalhamento.OpçãoServiços,OFFSET(Import.PLQ,$A20-1,AN$15-1,1,1),IF($E20&lt;&gt;1,IF(ISNUMBER(INDEX(Import.PLE,Detalhamento!$E20,Detalhamento!AN$15)),IF(INDEX(Import.PLE,Detalhamento!$E20,Detalhamento!AN$15)&lt;=mediçao,OFFSET(Import.PLQ,$A20-1,AN$15-1,1,1),0),0),PLE!$AA$28*OFFSET(Import.PLQ,$A20-1,AN$15-1,1,1)),IF($E20&lt;&gt;1,IF(ISNUMBER(INDEX(Import.PLE,Detalhamento!$E20,Detalhamento!AN$15)),IF(INDEX(Import.PLE,Detalhamento!$E20,Detalhamento!AN$15)&lt;=mediçao,0,OFFSET(Import.PLQ,$A20-1,AN$15-1,1,1)),OFFSET(Import.PLQ,$A20-1,AN$15-1,1,1)),(1-PLE!$AA$28)*OFFSET(Import.PLQ,$A20-1,AN$15-1,1,1))))</f>
        <v>0</v>
      </c>
      <c r="AO20" s="145">
        <f ca="1">IF(AO$13="",0,CHOOSE(Detalhamento.OpçãoServiços,OFFSET(Import.PLQ,$A20-1,AO$15-1,1,1),IF($E20&lt;&gt;1,IF(ISNUMBER(INDEX(Import.PLE,Detalhamento!$E20,Detalhamento!AO$15)),IF(INDEX(Import.PLE,Detalhamento!$E20,Detalhamento!AO$15)&lt;=mediçao,OFFSET(Import.PLQ,$A20-1,AO$15-1,1,1),0),0),PLE!$AA$28*OFFSET(Import.PLQ,$A20-1,AO$15-1,1,1)),IF($E20&lt;&gt;1,IF(ISNUMBER(INDEX(Import.PLE,Detalhamento!$E20,Detalhamento!AO$15)),IF(INDEX(Import.PLE,Detalhamento!$E20,Detalhamento!AO$15)&lt;=mediçao,0,OFFSET(Import.PLQ,$A20-1,AO$15-1,1,1)),OFFSET(Import.PLQ,$A20-1,AO$15-1,1,1)),(1-PLE!$AA$28)*OFFSET(Import.PLQ,$A20-1,AO$15-1,1,1))))</f>
        <v>0</v>
      </c>
      <c r="AP20" s="145">
        <f ca="1">IF(AP$13="",0,CHOOSE(Detalhamento.OpçãoServiços,OFFSET(Import.PLQ,$A20-1,AP$15-1,1,1),IF($E20&lt;&gt;1,IF(ISNUMBER(INDEX(Import.PLE,Detalhamento!$E20,Detalhamento!AP$15)),IF(INDEX(Import.PLE,Detalhamento!$E20,Detalhamento!AP$15)&lt;=mediçao,OFFSET(Import.PLQ,$A20-1,AP$15-1,1,1),0),0),PLE!$AA$28*OFFSET(Import.PLQ,$A20-1,AP$15-1,1,1)),IF($E20&lt;&gt;1,IF(ISNUMBER(INDEX(Import.PLE,Detalhamento!$E20,Detalhamento!AP$15)),IF(INDEX(Import.PLE,Detalhamento!$E20,Detalhamento!AP$15)&lt;=mediçao,0,OFFSET(Import.PLQ,$A20-1,AP$15-1,1,1)),OFFSET(Import.PLQ,$A20-1,AP$15-1,1,1)),(1-PLE!$AA$28)*OFFSET(Import.PLQ,$A20-1,AP$15-1,1,1))))</f>
        <v>0</v>
      </c>
      <c r="AQ20" s="145">
        <f ca="1">IF(AQ$13="",0,CHOOSE(Detalhamento.OpçãoServiços,OFFSET(Import.PLQ,$A20-1,AQ$15-1,1,1),IF($E20&lt;&gt;1,IF(ISNUMBER(INDEX(Import.PLE,Detalhamento!$E20,Detalhamento!AQ$15)),IF(INDEX(Import.PLE,Detalhamento!$E20,Detalhamento!AQ$15)&lt;=mediçao,OFFSET(Import.PLQ,$A20-1,AQ$15-1,1,1),0),0),PLE!$AA$28*OFFSET(Import.PLQ,$A20-1,AQ$15-1,1,1)),IF($E20&lt;&gt;1,IF(ISNUMBER(INDEX(Import.PLE,Detalhamento!$E20,Detalhamento!AQ$15)),IF(INDEX(Import.PLE,Detalhamento!$E20,Detalhamento!AQ$15)&lt;=mediçao,0,OFFSET(Import.PLQ,$A20-1,AQ$15-1,1,1)),OFFSET(Import.PLQ,$A20-1,AQ$15-1,1,1)),(1-PLE!$AA$28)*OFFSET(Import.PLQ,$A20-1,AQ$15-1,1,1))))</f>
        <v>0</v>
      </c>
      <c r="AR20" s="145">
        <f ca="1">IF(AR$13="",0,CHOOSE(Detalhamento.OpçãoServiços,OFFSET(Import.PLQ,$A20-1,AR$15-1,1,1),IF($E20&lt;&gt;1,IF(ISNUMBER(INDEX(Import.PLE,Detalhamento!$E20,Detalhamento!AR$15)),IF(INDEX(Import.PLE,Detalhamento!$E20,Detalhamento!AR$15)&lt;=mediçao,OFFSET(Import.PLQ,$A20-1,AR$15-1,1,1),0),0),PLE!$AA$28*OFFSET(Import.PLQ,$A20-1,AR$15-1,1,1)),IF($E20&lt;&gt;1,IF(ISNUMBER(INDEX(Import.PLE,Detalhamento!$E20,Detalhamento!AR$15)),IF(INDEX(Import.PLE,Detalhamento!$E20,Detalhamento!AR$15)&lt;=mediçao,0,OFFSET(Import.PLQ,$A20-1,AR$15-1,1,1)),OFFSET(Import.PLQ,$A20-1,AR$15-1,1,1)),(1-PLE!$AA$28)*OFFSET(Import.PLQ,$A20-1,AR$15-1,1,1))))</f>
        <v>0</v>
      </c>
      <c r="AS20" s="145">
        <f ca="1">IF(AS$13="",0,CHOOSE(Detalhamento.OpçãoServiços,OFFSET(Import.PLQ,$A20-1,AS$15-1,1,1),IF($E20&lt;&gt;1,IF(ISNUMBER(INDEX(Import.PLE,Detalhamento!$E20,Detalhamento!AS$15)),IF(INDEX(Import.PLE,Detalhamento!$E20,Detalhamento!AS$15)&lt;=mediçao,OFFSET(Import.PLQ,$A20-1,AS$15-1,1,1),0),0),PLE!$AA$28*OFFSET(Import.PLQ,$A20-1,AS$15-1,1,1)),IF($E20&lt;&gt;1,IF(ISNUMBER(INDEX(Import.PLE,Detalhamento!$E20,Detalhamento!AS$15)),IF(INDEX(Import.PLE,Detalhamento!$E20,Detalhamento!AS$15)&lt;=mediçao,0,OFFSET(Import.PLQ,$A20-1,AS$15-1,1,1)),OFFSET(Import.PLQ,$A20-1,AS$15-1,1,1)),(1-PLE!$AA$28)*OFFSET(Import.PLQ,$A20-1,AS$15-1,1,1))))</f>
        <v>0</v>
      </c>
      <c r="AT20" s="145">
        <f ca="1">IF(AT$13="",0,CHOOSE(Detalhamento.OpçãoServiços,OFFSET(Import.PLQ,$A20-1,AT$15-1,1,1),IF($E20&lt;&gt;1,IF(ISNUMBER(INDEX(Import.PLE,Detalhamento!$E20,Detalhamento!AT$15)),IF(INDEX(Import.PLE,Detalhamento!$E20,Detalhamento!AT$15)&lt;=mediçao,OFFSET(Import.PLQ,$A20-1,AT$15-1,1,1),0),0),PLE!$AA$28*OFFSET(Import.PLQ,$A20-1,AT$15-1,1,1)),IF($E20&lt;&gt;1,IF(ISNUMBER(INDEX(Import.PLE,Detalhamento!$E20,Detalhamento!AT$15)),IF(INDEX(Import.PLE,Detalhamento!$E20,Detalhamento!AT$15)&lt;=mediçao,0,OFFSET(Import.PLQ,$A20-1,AT$15-1,1,1)),OFFSET(Import.PLQ,$A20-1,AT$15-1,1,1)),(1-PLE!$AA$28)*OFFSET(Import.PLQ,$A20-1,AT$15-1,1,1))))</f>
        <v>0</v>
      </c>
      <c r="AU20" s="145">
        <f ca="1">IF(AU$13="",0,CHOOSE(Detalhamento.OpçãoServiços,OFFSET(Import.PLQ,$A20-1,AU$15-1,1,1),IF($E20&lt;&gt;1,IF(ISNUMBER(INDEX(Import.PLE,Detalhamento!$E20,Detalhamento!AU$15)),IF(INDEX(Import.PLE,Detalhamento!$E20,Detalhamento!AU$15)&lt;=mediçao,OFFSET(Import.PLQ,$A20-1,AU$15-1,1,1),0),0),PLE!$AA$28*OFFSET(Import.PLQ,$A20-1,AU$15-1,1,1)),IF($E20&lt;&gt;1,IF(ISNUMBER(INDEX(Import.PLE,Detalhamento!$E20,Detalhamento!AU$15)),IF(INDEX(Import.PLE,Detalhamento!$E20,Detalhamento!AU$15)&lt;=mediçao,0,OFFSET(Import.PLQ,$A20-1,AU$15-1,1,1)),OFFSET(Import.PLQ,$A20-1,AU$15-1,1,1)),(1-PLE!$AA$28)*OFFSET(Import.PLQ,$A20-1,AU$15-1,1,1))))</f>
        <v>0</v>
      </c>
      <c r="AV20" s="145">
        <f ca="1">IF(AV$13="",0,CHOOSE(Detalhamento.OpçãoServiços,OFFSET(Import.PLQ,$A20-1,AV$15-1,1,1),IF($E20&lt;&gt;1,IF(ISNUMBER(INDEX(Import.PLE,Detalhamento!$E20,Detalhamento!AV$15)),IF(INDEX(Import.PLE,Detalhamento!$E20,Detalhamento!AV$15)&lt;=mediçao,OFFSET(Import.PLQ,$A20-1,AV$15-1,1,1),0),0),PLE!$AA$28*OFFSET(Import.PLQ,$A20-1,AV$15-1,1,1)),IF($E20&lt;&gt;1,IF(ISNUMBER(INDEX(Import.PLE,Detalhamento!$E20,Detalhamento!AV$15)),IF(INDEX(Import.PLE,Detalhamento!$E20,Detalhamento!AV$15)&lt;=mediçao,0,OFFSET(Import.PLQ,$A20-1,AV$15-1,1,1)),OFFSET(Import.PLQ,$A20-1,AV$15-1,1,1)),(1-PLE!$AA$28)*OFFSET(Import.PLQ,$A20-1,AV$15-1,1,1))))</f>
        <v>0</v>
      </c>
      <c r="AW20" s="145">
        <f ca="1">IF(AW$13="",0,CHOOSE(Detalhamento.OpçãoServiços,OFFSET(Import.PLQ,$A20-1,AW$15-1,1,1),IF($E20&lt;&gt;1,IF(ISNUMBER(INDEX(Import.PLE,Detalhamento!$E20,Detalhamento!AW$15)),IF(INDEX(Import.PLE,Detalhamento!$E20,Detalhamento!AW$15)&lt;=mediçao,OFFSET(Import.PLQ,$A20-1,AW$15-1,1,1),0),0),PLE!$AA$28*OFFSET(Import.PLQ,$A20-1,AW$15-1,1,1)),IF($E20&lt;&gt;1,IF(ISNUMBER(INDEX(Import.PLE,Detalhamento!$E20,Detalhamento!AW$15)),IF(INDEX(Import.PLE,Detalhamento!$E20,Detalhamento!AW$15)&lt;=mediçao,0,OFFSET(Import.PLQ,$A20-1,AW$15-1,1,1)),OFFSET(Import.PLQ,$A20-1,AW$15-1,1,1)),(1-PLE!$AA$28)*OFFSET(Import.PLQ,$A20-1,AW$15-1,1,1))))</f>
        <v>0</v>
      </c>
      <c r="AX20" s="145">
        <f ca="1">IF(AX$13="",0,CHOOSE(Detalhamento.OpçãoServiços,OFFSET(Import.PLQ,$A20-1,AX$15-1,1,1),IF($E20&lt;&gt;1,IF(ISNUMBER(INDEX(Import.PLE,Detalhamento!$E20,Detalhamento!AX$15)),IF(INDEX(Import.PLE,Detalhamento!$E20,Detalhamento!AX$15)&lt;=mediçao,OFFSET(Import.PLQ,$A20-1,AX$15-1,1,1),0),0),PLE!$AA$28*OFFSET(Import.PLQ,$A20-1,AX$15-1,1,1)),IF($E20&lt;&gt;1,IF(ISNUMBER(INDEX(Import.PLE,Detalhamento!$E20,Detalhamento!AX$15)),IF(INDEX(Import.PLE,Detalhamento!$E20,Detalhamento!AX$15)&lt;=mediçao,0,OFFSET(Import.PLQ,$A20-1,AX$15-1,1,1)),OFFSET(Import.PLQ,$A20-1,AX$15-1,1,1)),(1-PLE!$AA$28)*OFFSET(Import.PLQ,$A20-1,AX$15-1,1,1))))</f>
        <v>0</v>
      </c>
      <c r="AY20" s="145">
        <f ca="1">IF(AY$13="",0,CHOOSE(Detalhamento.OpçãoServiços,OFFSET(Import.PLQ,$A20-1,AY$15-1,1,1),IF($E20&lt;&gt;1,IF(ISNUMBER(INDEX(Import.PLE,Detalhamento!$E20,Detalhamento!AY$15)),IF(INDEX(Import.PLE,Detalhamento!$E20,Detalhamento!AY$15)&lt;=mediçao,OFFSET(Import.PLQ,$A20-1,AY$15-1,1,1),0),0),PLE!$AA$28*OFFSET(Import.PLQ,$A20-1,AY$15-1,1,1)),IF($E20&lt;&gt;1,IF(ISNUMBER(INDEX(Import.PLE,Detalhamento!$E20,Detalhamento!AY$15)),IF(INDEX(Import.PLE,Detalhamento!$E20,Detalhamento!AY$15)&lt;=mediçao,0,OFFSET(Import.PLQ,$A20-1,AY$15-1,1,1)),OFFSET(Import.PLQ,$A20-1,AY$15-1,1,1)),(1-PLE!$AA$28)*OFFSET(Import.PLQ,$A20-1,AY$15-1,1,1))))</f>
        <v>0</v>
      </c>
      <c r="AZ20" s="145">
        <f ca="1">IF(AZ$13="",0,CHOOSE(Detalhamento.OpçãoServiços,OFFSET(Import.PLQ,$A20-1,AZ$15-1,1,1),IF($E20&lt;&gt;1,IF(ISNUMBER(INDEX(Import.PLE,Detalhamento!$E20,Detalhamento!AZ$15)),IF(INDEX(Import.PLE,Detalhamento!$E20,Detalhamento!AZ$15)&lt;=mediçao,OFFSET(Import.PLQ,$A20-1,AZ$15-1,1,1),0),0),PLE!$AA$28*OFFSET(Import.PLQ,$A20-1,AZ$15-1,1,1)),IF($E20&lt;&gt;1,IF(ISNUMBER(INDEX(Import.PLE,Detalhamento!$E20,Detalhamento!AZ$15)),IF(INDEX(Import.PLE,Detalhamento!$E20,Detalhamento!AZ$15)&lt;=mediçao,0,OFFSET(Import.PLQ,$A20-1,AZ$15-1,1,1)),OFFSET(Import.PLQ,$A20-1,AZ$15-1,1,1)),(1-PLE!$AA$28)*OFFSET(Import.PLQ,$A20-1,AZ$15-1,1,1))))</f>
        <v>0</v>
      </c>
      <c r="BA20" s="145">
        <f ca="1">IF(BA$13="",0,CHOOSE(Detalhamento.OpçãoServiços,OFFSET(Import.PLQ,$A20-1,BA$15-1,1,1),IF($E20&lt;&gt;1,IF(ISNUMBER(INDEX(Import.PLE,Detalhamento!$E20,Detalhamento!BA$15)),IF(INDEX(Import.PLE,Detalhamento!$E20,Detalhamento!BA$15)&lt;=mediçao,OFFSET(Import.PLQ,$A20-1,BA$15-1,1,1),0),0),PLE!$AA$28*OFFSET(Import.PLQ,$A20-1,BA$15-1,1,1)),IF($E20&lt;&gt;1,IF(ISNUMBER(INDEX(Import.PLE,Detalhamento!$E20,Detalhamento!BA$15)),IF(INDEX(Import.PLE,Detalhamento!$E20,Detalhamento!BA$15)&lt;=mediçao,0,OFFSET(Import.PLQ,$A20-1,BA$15-1,1,1)),OFFSET(Import.PLQ,$A20-1,BA$15-1,1,1)),(1-PLE!$AA$28)*OFFSET(Import.PLQ,$A20-1,BA$15-1,1,1))))</f>
        <v>0</v>
      </c>
      <c r="BB20" s="145">
        <f ca="1">IF(BB$13="",0,CHOOSE(Detalhamento.OpçãoServiços,OFFSET(Import.PLQ,$A20-1,BB$15-1,1,1),IF($E20&lt;&gt;1,IF(ISNUMBER(INDEX(Import.PLE,Detalhamento!$E20,Detalhamento!BB$15)),IF(INDEX(Import.PLE,Detalhamento!$E20,Detalhamento!BB$15)&lt;=mediçao,OFFSET(Import.PLQ,$A20-1,BB$15-1,1,1),0),0),PLE!$AA$28*OFFSET(Import.PLQ,$A20-1,BB$15-1,1,1)),IF($E20&lt;&gt;1,IF(ISNUMBER(INDEX(Import.PLE,Detalhamento!$E20,Detalhamento!BB$15)),IF(INDEX(Import.PLE,Detalhamento!$E20,Detalhamento!BB$15)&lt;=mediçao,0,OFFSET(Import.PLQ,$A20-1,BB$15-1,1,1)),OFFSET(Import.PLQ,$A20-1,BB$15-1,1,1)),(1-PLE!$AA$28)*OFFSET(Import.PLQ,$A20-1,BB$15-1,1,1))))</f>
        <v>0</v>
      </c>
      <c r="BC20" s="145">
        <f ca="1">IF(BC$13="",0,CHOOSE(Detalhamento.OpçãoServiços,OFFSET(Import.PLQ,$A20-1,BC$15-1,1,1),IF($E20&lt;&gt;1,IF(ISNUMBER(INDEX(Import.PLE,Detalhamento!$E20,Detalhamento!BC$15)),IF(INDEX(Import.PLE,Detalhamento!$E20,Detalhamento!BC$15)&lt;=mediçao,OFFSET(Import.PLQ,$A20-1,BC$15-1,1,1),0),0),PLE!$AA$28*OFFSET(Import.PLQ,$A20-1,BC$15-1,1,1)),IF($E20&lt;&gt;1,IF(ISNUMBER(INDEX(Import.PLE,Detalhamento!$E20,Detalhamento!BC$15)),IF(INDEX(Import.PLE,Detalhamento!$E20,Detalhamento!BC$15)&lt;=mediçao,0,OFFSET(Import.PLQ,$A20-1,BC$15-1,1,1)),OFFSET(Import.PLQ,$A20-1,BC$15-1,1,1)),(1-PLE!$AA$28)*OFFSET(Import.PLQ,$A20-1,BC$15-1,1,1))))</f>
        <v>0</v>
      </c>
      <c r="BD20" s="145">
        <f ca="1">IF(BD$13="",0,CHOOSE(Detalhamento.OpçãoServiços,OFFSET(Import.PLQ,$A20-1,BD$15-1,1,1),IF($E20&lt;&gt;1,IF(ISNUMBER(INDEX(Import.PLE,Detalhamento!$E20,Detalhamento!BD$15)),IF(INDEX(Import.PLE,Detalhamento!$E20,Detalhamento!BD$15)&lt;=mediçao,OFFSET(Import.PLQ,$A20-1,BD$15-1,1,1),0),0),PLE!$AA$28*OFFSET(Import.PLQ,$A20-1,BD$15-1,1,1)),IF($E20&lt;&gt;1,IF(ISNUMBER(INDEX(Import.PLE,Detalhamento!$E20,Detalhamento!BD$15)),IF(INDEX(Import.PLE,Detalhamento!$E20,Detalhamento!BD$15)&lt;=mediçao,0,OFFSET(Import.PLQ,$A20-1,BD$15-1,1,1)),OFFSET(Import.PLQ,$A20-1,BD$15-1,1,1)),(1-PLE!$AA$28)*OFFSET(Import.PLQ,$A20-1,BD$15-1,1,1))))</f>
        <v>0</v>
      </c>
      <c r="BE20" s="145">
        <f ca="1">IF(BE$13="",0,CHOOSE(Detalhamento.OpçãoServiços,OFFSET(Import.PLQ,$A20-1,BE$15-1,1,1),IF($E20&lt;&gt;1,IF(ISNUMBER(INDEX(Import.PLE,Detalhamento!$E20,Detalhamento!BE$15)),IF(INDEX(Import.PLE,Detalhamento!$E20,Detalhamento!BE$15)&lt;=mediçao,OFFSET(Import.PLQ,$A20-1,BE$15-1,1,1),0),0),PLE!$AA$28*OFFSET(Import.PLQ,$A20-1,BE$15-1,1,1)),IF($E20&lt;&gt;1,IF(ISNUMBER(INDEX(Import.PLE,Detalhamento!$E20,Detalhamento!BE$15)),IF(INDEX(Import.PLE,Detalhamento!$E20,Detalhamento!BE$15)&lt;=mediçao,0,OFFSET(Import.PLQ,$A20-1,BE$15-1,1,1)),OFFSET(Import.PLQ,$A20-1,BE$15-1,1,1)),(1-PLE!$AA$28)*OFFSET(Import.PLQ,$A20-1,BE$15-1,1,1))))</f>
        <v>0</v>
      </c>
      <c r="BF20" s="145">
        <f ca="1">IF(BF$13="",0,CHOOSE(Detalhamento.OpçãoServiços,OFFSET(Import.PLQ,$A20-1,BF$15-1,1,1),IF($E20&lt;&gt;1,IF(ISNUMBER(INDEX(Import.PLE,Detalhamento!$E20,Detalhamento!BF$15)),IF(INDEX(Import.PLE,Detalhamento!$E20,Detalhamento!BF$15)&lt;=mediçao,OFFSET(Import.PLQ,$A20-1,BF$15-1,1,1),0),0),PLE!$AA$28*OFFSET(Import.PLQ,$A20-1,BF$15-1,1,1)),IF($E20&lt;&gt;1,IF(ISNUMBER(INDEX(Import.PLE,Detalhamento!$E20,Detalhamento!BF$15)),IF(INDEX(Import.PLE,Detalhamento!$E20,Detalhamento!BF$15)&lt;=mediçao,0,OFFSET(Import.PLQ,$A20-1,BF$15-1,1,1)),OFFSET(Import.PLQ,$A20-1,BF$15-1,1,1)),(1-PLE!$AA$28)*OFFSET(Import.PLQ,$A20-1,BF$15-1,1,1))))</f>
        <v>0</v>
      </c>
      <c r="BG20" s="145">
        <f ca="1">IF(BG$13="",0,CHOOSE(Detalhamento.OpçãoServiços,OFFSET(Import.PLQ,$A20-1,BG$15-1,1,1),IF($E20&lt;&gt;1,IF(ISNUMBER(INDEX(Import.PLE,Detalhamento!$E20,Detalhamento!BG$15)),IF(INDEX(Import.PLE,Detalhamento!$E20,Detalhamento!BG$15)&lt;=mediçao,OFFSET(Import.PLQ,$A20-1,BG$15-1,1,1),0),0),PLE!$AA$28*OFFSET(Import.PLQ,$A20-1,BG$15-1,1,1)),IF($E20&lt;&gt;1,IF(ISNUMBER(INDEX(Import.PLE,Detalhamento!$E20,Detalhamento!BG$15)),IF(INDEX(Import.PLE,Detalhamento!$E20,Detalhamento!BG$15)&lt;=mediçao,0,OFFSET(Import.PLQ,$A20-1,BG$15-1,1,1)),OFFSET(Import.PLQ,$A20-1,BG$15-1,1,1)),(1-PLE!$AA$28)*OFFSET(Import.PLQ,$A20-1,BG$15-1,1,1))))</f>
        <v>0</v>
      </c>
      <c r="BH20" s="145">
        <f ca="1">IF(BH$13="",0,CHOOSE(Detalhamento.OpçãoServiços,OFFSET(Import.PLQ,$A20-1,BH$15-1,1,1),IF($E20&lt;&gt;1,IF(ISNUMBER(INDEX(Import.PLE,Detalhamento!$E20,Detalhamento!BH$15)),IF(INDEX(Import.PLE,Detalhamento!$E20,Detalhamento!BH$15)&lt;=mediçao,OFFSET(Import.PLQ,$A20-1,BH$15-1,1,1),0),0),PLE!$AA$28*OFFSET(Import.PLQ,$A20-1,BH$15-1,1,1)),IF($E20&lt;&gt;1,IF(ISNUMBER(INDEX(Import.PLE,Detalhamento!$E20,Detalhamento!BH$15)),IF(INDEX(Import.PLE,Detalhamento!$E20,Detalhamento!BH$15)&lt;=mediçao,0,OFFSET(Import.PLQ,$A20-1,BH$15-1,1,1)),OFFSET(Import.PLQ,$A20-1,BH$15-1,1,1)),(1-PLE!$AA$28)*OFFSET(Import.PLQ,$A20-1,BH$15-1,1,1))))</f>
        <v>0</v>
      </c>
      <c r="BI20" s="145">
        <f ca="1">IF(BI$13="",0,CHOOSE(Detalhamento.OpçãoServiços,OFFSET(Import.PLQ,$A20-1,BI$15-1,1,1),IF($E20&lt;&gt;1,IF(ISNUMBER(INDEX(Import.PLE,Detalhamento!$E20,Detalhamento!BI$15)),IF(INDEX(Import.PLE,Detalhamento!$E20,Detalhamento!BI$15)&lt;=mediçao,OFFSET(Import.PLQ,$A20-1,BI$15-1,1,1),0),0),PLE!$AA$28*OFFSET(Import.PLQ,$A20-1,BI$15-1,1,1)),IF($E20&lt;&gt;1,IF(ISNUMBER(INDEX(Import.PLE,Detalhamento!$E20,Detalhamento!BI$15)),IF(INDEX(Import.PLE,Detalhamento!$E20,Detalhamento!BI$15)&lt;=mediçao,0,OFFSET(Import.PLQ,$A20-1,BI$15-1,1,1)),OFFSET(Import.PLQ,$A20-1,BI$15-1,1,1)),(1-PLE!$AA$28)*OFFSET(Import.PLQ,$A20-1,BI$15-1,1,1))))</f>
        <v>0</v>
      </c>
    </row>
    <row r="21" spans="1:61" x14ac:dyDescent="0.2">
      <c r="A21" s="156">
        <v>21</v>
      </c>
      <c r="B21" s="21" t="str">
        <f t="shared" ca="1" si="8"/>
        <v>Evento</v>
      </c>
      <c r="E21" s="154">
        <f t="shared" ca="1" si="9"/>
        <v>2</v>
      </c>
      <c r="F21" s="155">
        <f t="shared" ca="1" si="10"/>
        <v>20000</v>
      </c>
      <c r="G21" s="155" t="str">
        <f t="shared" ca="1" si="11"/>
        <v>Evento</v>
      </c>
      <c r="H21" s="183" t="str">
        <f t="shared" ca="1" si="11"/>
        <v>PAVIMENTAÇÃO</v>
      </c>
      <c r="I21" s="37" t="str">
        <f t="shared" ca="1" si="12"/>
        <v>R$</v>
      </c>
      <c r="J21" s="145">
        <f t="shared" ca="1" si="13"/>
        <v>615269.24</v>
      </c>
      <c r="K21" s="67"/>
      <c r="L21" s="145">
        <f ca="1">IF(L$13="",0,CHOOSE(Detalhamento.OpçãoServiços,OFFSET(Import.PLQ,$A21-1,L$15-1,1,1),IF($E21&lt;&gt;1,IF(ISNUMBER(INDEX(Import.PLE,Detalhamento!$E21,Detalhamento!L$15)),IF(INDEX(Import.PLE,Detalhamento!$E21,Detalhamento!L$15)&lt;=mediçao,OFFSET(Import.PLQ,$A21-1,L$15-1,1,1),0),0),PLE!$AA$28*OFFSET(Import.PLQ,$A21-1,L$15-1,1,1)),IF($E21&lt;&gt;1,IF(ISNUMBER(INDEX(Import.PLE,Detalhamento!$E21,Detalhamento!L$15)),IF(INDEX(Import.PLE,Detalhamento!$E21,Detalhamento!L$15)&lt;=mediçao,0,OFFSET(Import.PLQ,$A21-1,L$15-1,1,1)),OFFSET(Import.PLQ,$A21-1,L$15-1,1,1)),(1-PLE!$AA$28)*OFFSET(Import.PLQ,$A21-1,L$15-1,1,1))))</f>
        <v>127606.92826723182</v>
      </c>
      <c r="M21" s="145">
        <f ca="1">IF(M$13="",0,CHOOSE(Detalhamento.OpçãoServiços,OFFSET(Import.PLQ,$A21-1,M$15-1,1,1),IF($E21&lt;&gt;1,IF(ISNUMBER(INDEX(Import.PLE,Detalhamento!$E21,Detalhamento!M$15)),IF(INDEX(Import.PLE,Detalhamento!$E21,Detalhamento!M$15)&lt;=mediçao,OFFSET(Import.PLQ,$A21-1,M$15-1,1,1),0),0),PLE!$AA$28*OFFSET(Import.PLQ,$A21-1,M$15-1,1,1)),IF($E21&lt;&gt;1,IF(ISNUMBER(INDEX(Import.PLE,Detalhamento!$E21,Detalhamento!M$15)),IF(INDEX(Import.PLE,Detalhamento!$E21,Detalhamento!M$15)&lt;=mediçao,0,OFFSET(Import.PLQ,$A21-1,M$15-1,1,1)),OFFSET(Import.PLQ,$A21-1,M$15-1,1,1)),(1-PLE!$AA$28)*OFFSET(Import.PLQ,$A21-1,M$15-1,1,1))))</f>
        <v>52187.484392814898</v>
      </c>
      <c r="N21" s="145">
        <f ca="1">IF(N$13="",0,CHOOSE(Detalhamento.OpçãoServiços,OFFSET(Import.PLQ,$A21-1,N$15-1,1,1),IF($E21&lt;&gt;1,IF(ISNUMBER(INDEX(Import.PLE,Detalhamento!$E21,Detalhamento!N$15)),IF(INDEX(Import.PLE,Detalhamento!$E21,Detalhamento!N$15)&lt;=mediçao,OFFSET(Import.PLQ,$A21-1,N$15-1,1,1),0),0),PLE!$AA$28*OFFSET(Import.PLQ,$A21-1,N$15-1,1,1)),IF($E21&lt;&gt;1,IF(ISNUMBER(INDEX(Import.PLE,Detalhamento!$E21,Detalhamento!N$15)),IF(INDEX(Import.PLE,Detalhamento!$E21,Detalhamento!N$15)&lt;=mediçao,0,OFFSET(Import.PLQ,$A21-1,N$15-1,1,1)),OFFSET(Import.PLQ,$A21-1,N$15-1,1,1)),(1-PLE!$AA$28)*OFFSET(Import.PLQ,$A21-1,N$15-1,1,1))))</f>
        <v>82542.48766674161</v>
      </c>
      <c r="O21" s="145">
        <f ca="1">IF(O$13="",0,CHOOSE(Detalhamento.OpçãoServiços,OFFSET(Import.PLQ,$A21-1,O$15-1,1,1),IF($E21&lt;&gt;1,IF(ISNUMBER(INDEX(Import.PLE,Detalhamento!$E21,Detalhamento!O$15)),IF(INDEX(Import.PLE,Detalhamento!$E21,Detalhamento!O$15)&lt;=mediçao,OFFSET(Import.PLQ,$A21-1,O$15-1,1,1),0),0),PLE!$AA$28*OFFSET(Import.PLQ,$A21-1,O$15-1,1,1)),IF($E21&lt;&gt;1,IF(ISNUMBER(INDEX(Import.PLE,Detalhamento!$E21,Detalhamento!O$15)),IF(INDEX(Import.PLE,Detalhamento!$E21,Detalhamento!O$15)&lt;=mediçao,0,OFFSET(Import.PLQ,$A21-1,O$15-1,1,1)),OFFSET(Import.PLQ,$A21-1,O$15-1,1,1)),(1-PLE!$AA$28)*OFFSET(Import.PLQ,$A21-1,O$15-1,1,1))))</f>
        <v>119094.94603201064</v>
      </c>
      <c r="P21" s="145">
        <f ca="1">IF(P$13="",0,CHOOSE(Detalhamento.OpçãoServiços,OFFSET(Import.PLQ,$A21-1,P$15-1,1,1),IF($E21&lt;&gt;1,IF(ISNUMBER(INDEX(Import.PLE,Detalhamento!$E21,Detalhamento!P$15)),IF(INDEX(Import.PLE,Detalhamento!$E21,Detalhamento!P$15)&lt;=mediçao,OFFSET(Import.PLQ,$A21-1,P$15-1,1,1),0),0),PLE!$AA$28*OFFSET(Import.PLQ,$A21-1,P$15-1,1,1)),IF($E21&lt;&gt;1,IF(ISNUMBER(INDEX(Import.PLE,Detalhamento!$E21,Detalhamento!P$15)),IF(INDEX(Import.PLE,Detalhamento!$E21,Detalhamento!P$15)&lt;=mediçao,0,OFFSET(Import.PLQ,$A21-1,P$15-1,1,1)),OFFSET(Import.PLQ,$A21-1,P$15-1,1,1)),(1-PLE!$AA$28)*OFFSET(Import.PLQ,$A21-1,P$15-1,1,1))))</f>
        <v>44801.922866560169</v>
      </c>
      <c r="Q21" s="145">
        <f ca="1">IF(Q$13="",0,CHOOSE(Detalhamento.OpçãoServiços,OFFSET(Import.PLQ,$A21-1,Q$15-1,1,1),IF($E21&lt;&gt;1,IF(ISNUMBER(INDEX(Import.PLE,Detalhamento!$E21,Detalhamento!Q$15)),IF(INDEX(Import.PLE,Detalhamento!$E21,Detalhamento!Q$15)&lt;=mediçao,OFFSET(Import.PLQ,$A21-1,Q$15-1,1,1),0),0),PLE!$AA$28*OFFSET(Import.PLQ,$A21-1,Q$15-1,1,1)),IF($E21&lt;&gt;1,IF(ISNUMBER(INDEX(Import.PLE,Detalhamento!$E21,Detalhamento!Q$15)),IF(INDEX(Import.PLE,Detalhamento!$E21,Detalhamento!Q$15)&lt;=mediçao,0,OFFSET(Import.PLQ,$A21-1,Q$15-1,1,1)),OFFSET(Import.PLQ,$A21-1,Q$15-1,1,1)),(1-PLE!$AA$28)*OFFSET(Import.PLQ,$A21-1,Q$15-1,1,1))))</f>
        <v>84346.677247393411</v>
      </c>
      <c r="R21" s="145">
        <f ca="1">IF(R$13="",0,CHOOSE(Detalhamento.OpçãoServiços,OFFSET(Import.PLQ,$A21-1,R$15-1,1,1),IF($E21&lt;&gt;1,IF(ISNUMBER(INDEX(Import.PLE,Detalhamento!$E21,Detalhamento!R$15)),IF(INDEX(Import.PLE,Detalhamento!$E21,Detalhamento!R$15)&lt;=mediçao,OFFSET(Import.PLQ,$A21-1,R$15-1,1,1),0),0),PLE!$AA$28*OFFSET(Import.PLQ,$A21-1,R$15-1,1,1)),IF($E21&lt;&gt;1,IF(ISNUMBER(INDEX(Import.PLE,Detalhamento!$E21,Detalhamento!R$15)),IF(INDEX(Import.PLE,Detalhamento!$E21,Detalhamento!R$15)&lt;=mediçao,0,OFFSET(Import.PLQ,$A21-1,R$15-1,1,1)),OFFSET(Import.PLQ,$A21-1,R$15-1,1,1)),(1-PLE!$AA$28)*OFFSET(Import.PLQ,$A21-1,R$15-1,1,1))))</f>
        <v>59981.004189717496</v>
      </c>
      <c r="S21" s="145">
        <f ca="1">IF(S$13="",0,CHOOSE(Detalhamento.OpçãoServiços,OFFSET(Import.PLQ,$A21-1,S$15-1,1,1),IF($E21&lt;&gt;1,IF(ISNUMBER(INDEX(Import.PLE,Detalhamento!$E21,Detalhamento!S$15)),IF(INDEX(Import.PLE,Detalhamento!$E21,Detalhamento!S$15)&lt;=mediçao,OFFSET(Import.PLQ,$A21-1,S$15-1,1,1),0),0),PLE!$AA$28*OFFSET(Import.PLQ,$A21-1,S$15-1,1,1)),IF($E21&lt;&gt;1,IF(ISNUMBER(INDEX(Import.PLE,Detalhamento!$E21,Detalhamento!S$15)),IF(INDEX(Import.PLE,Detalhamento!$E21,Detalhamento!S$15)&lt;=mediçao,0,OFFSET(Import.PLQ,$A21-1,S$15-1,1,1)),OFFSET(Import.PLQ,$A21-1,S$15-1,1,1)),(1-PLE!$AA$28)*OFFSET(Import.PLQ,$A21-1,S$15-1,1,1))))</f>
        <v>44707.789337529925</v>
      </c>
      <c r="T21" s="145">
        <f ca="1">IF(T$13="",0,CHOOSE(Detalhamento.OpçãoServiços,OFFSET(Import.PLQ,$A21-1,T$15-1,1,1),IF($E21&lt;&gt;1,IF(ISNUMBER(INDEX(Import.PLE,Detalhamento!$E21,Detalhamento!T$15)),IF(INDEX(Import.PLE,Detalhamento!$E21,Detalhamento!T$15)&lt;=mediçao,OFFSET(Import.PLQ,$A21-1,T$15-1,1,1),0),0),PLE!$AA$28*OFFSET(Import.PLQ,$A21-1,T$15-1,1,1)),IF($E21&lt;&gt;1,IF(ISNUMBER(INDEX(Import.PLE,Detalhamento!$E21,Detalhamento!T$15)),IF(INDEX(Import.PLE,Detalhamento!$E21,Detalhamento!T$15)&lt;=mediçao,0,OFFSET(Import.PLQ,$A21-1,T$15-1,1,1)),OFFSET(Import.PLQ,$A21-1,T$15-1,1,1)),(1-PLE!$AA$28)*OFFSET(Import.PLQ,$A21-1,T$15-1,1,1))))</f>
        <v>0</v>
      </c>
      <c r="U21" s="145">
        <f ca="1">IF(U$13="",0,CHOOSE(Detalhamento.OpçãoServiços,OFFSET(Import.PLQ,$A21-1,U$15-1,1,1),IF($E21&lt;&gt;1,IF(ISNUMBER(INDEX(Import.PLE,Detalhamento!$E21,Detalhamento!U$15)),IF(INDEX(Import.PLE,Detalhamento!$E21,Detalhamento!U$15)&lt;=mediçao,OFFSET(Import.PLQ,$A21-1,U$15-1,1,1),0),0),PLE!$AA$28*OFFSET(Import.PLQ,$A21-1,U$15-1,1,1)),IF($E21&lt;&gt;1,IF(ISNUMBER(INDEX(Import.PLE,Detalhamento!$E21,Detalhamento!U$15)),IF(INDEX(Import.PLE,Detalhamento!$E21,Detalhamento!U$15)&lt;=mediçao,0,OFFSET(Import.PLQ,$A21-1,U$15-1,1,1)),OFFSET(Import.PLQ,$A21-1,U$15-1,1,1)),(1-PLE!$AA$28)*OFFSET(Import.PLQ,$A21-1,U$15-1,1,1))))</f>
        <v>0</v>
      </c>
      <c r="V21" s="145">
        <f ca="1">IF(V$13="",0,CHOOSE(Detalhamento.OpçãoServiços,OFFSET(Import.PLQ,$A21-1,V$15-1,1,1),IF($E21&lt;&gt;1,IF(ISNUMBER(INDEX(Import.PLE,Detalhamento!$E21,Detalhamento!V$15)),IF(INDEX(Import.PLE,Detalhamento!$E21,Detalhamento!V$15)&lt;=mediçao,OFFSET(Import.PLQ,$A21-1,V$15-1,1,1),0),0),PLE!$AA$28*OFFSET(Import.PLQ,$A21-1,V$15-1,1,1)),IF($E21&lt;&gt;1,IF(ISNUMBER(INDEX(Import.PLE,Detalhamento!$E21,Detalhamento!V$15)),IF(INDEX(Import.PLE,Detalhamento!$E21,Detalhamento!V$15)&lt;=mediçao,0,OFFSET(Import.PLQ,$A21-1,V$15-1,1,1)),OFFSET(Import.PLQ,$A21-1,V$15-1,1,1)),(1-PLE!$AA$28)*OFFSET(Import.PLQ,$A21-1,V$15-1,1,1))))</f>
        <v>0</v>
      </c>
      <c r="W21" s="145">
        <f ca="1">IF(W$13="",0,CHOOSE(Detalhamento.OpçãoServiços,OFFSET(Import.PLQ,$A21-1,W$15-1,1,1),IF($E21&lt;&gt;1,IF(ISNUMBER(INDEX(Import.PLE,Detalhamento!$E21,Detalhamento!W$15)),IF(INDEX(Import.PLE,Detalhamento!$E21,Detalhamento!W$15)&lt;=mediçao,OFFSET(Import.PLQ,$A21-1,W$15-1,1,1),0),0),PLE!$AA$28*OFFSET(Import.PLQ,$A21-1,W$15-1,1,1)),IF($E21&lt;&gt;1,IF(ISNUMBER(INDEX(Import.PLE,Detalhamento!$E21,Detalhamento!W$15)),IF(INDEX(Import.PLE,Detalhamento!$E21,Detalhamento!W$15)&lt;=mediçao,0,OFFSET(Import.PLQ,$A21-1,W$15-1,1,1)),OFFSET(Import.PLQ,$A21-1,W$15-1,1,1)),(1-PLE!$AA$28)*OFFSET(Import.PLQ,$A21-1,W$15-1,1,1))))</f>
        <v>0</v>
      </c>
      <c r="X21" s="145">
        <f ca="1">IF(X$13="",0,CHOOSE(Detalhamento.OpçãoServiços,OFFSET(Import.PLQ,$A21-1,X$15-1,1,1),IF($E21&lt;&gt;1,IF(ISNUMBER(INDEX(Import.PLE,Detalhamento!$E21,Detalhamento!X$15)),IF(INDEX(Import.PLE,Detalhamento!$E21,Detalhamento!X$15)&lt;=mediçao,OFFSET(Import.PLQ,$A21-1,X$15-1,1,1),0),0),PLE!$AA$28*OFFSET(Import.PLQ,$A21-1,X$15-1,1,1)),IF($E21&lt;&gt;1,IF(ISNUMBER(INDEX(Import.PLE,Detalhamento!$E21,Detalhamento!X$15)),IF(INDEX(Import.PLE,Detalhamento!$E21,Detalhamento!X$15)&lt;=mediçao,0,OFFSET(Import.PLQ,$A21-1,X$15-1,1,1)),OFFSET(Import.PLQ,$A21-1,X$15-1,1,1)),(1-PLE!$AA$28)*OFFSET(Import.PLQ,$A21-1,X$15-1,1,1))))</f>
        <v>0</v>
      </c>
      <c r="Y21" s="145">
        <f ca="1">IF(Y$13="",0,CHOOSE(Detalhamento.OpçãoServiços,OFFSET(Import.PLQ,$A21-1,Y$15-1,1,1),IF($E21&lt;&gt;1,IF(ISNUMBER(INDEX(Import.PLE,Detalhamento!$E21,Detalhamento!Y$15)),IF(INDEX(Import.PLE,Detalhamento!$E21,Detalhamento!Y$15)&lt;=mediçao,OFFSET(Import.PLQ,$A21-1,Y$15-1,1,1),0),0),PLE!$AA$28*OFFSET(Import.PLQ,$A21-1,Y$15-1,1,1)),IF($E21&lt;&gt;1,IF(ISNUMBER(INDEX(Import.PLE,Detalhamento!$E21,Detalhamento!Y$15)),IF(INDEX(Import.PLE,Detalhamento!$E21,Detalhamento!Y$15)&lt;=mediçao,0,OFFSET(Import.PLQ,$A21-1,Y$15-1,1,1)),OFFSET(Import.PLQ,$A21-1,Y$15-1,1,1)),(1-PLE!$AA$28)*OFFSET(Import.PLQ,$A21-1,Y$15-1,1,1))))</f>
        <v>0</v>
      </c>
      <c r="Z21" s="145">
        <f ca="1">IF(Z$13="",0,CHOOSE(Detalhamento.OpçãoServiços,OFFSET(Import.PLQ,$A21-1,Z$15-1,1,1),IF($E21&lt;&gt;1,IF(ISNUMBER(INDEX(Import.PLE,Detalhamento!$E21,Detalhamento!Z$15)),IF(INDEX(Import.PLE,Detalhamento!$E21,Detalhamento!Z$15)&lt;=mediçao,OFFSET(Import.PLQ,$A21-1,Z$15-1,1,1),0),0),PLE!$AA$28*OFFSET(Import.PLQ,$A21-1,Z$15-1,1,1)),IF($E21&lt;&gt;1,IF(ISNUMBER(INDEX(Import.PLE,Detalhamento!$E21,Detalhamento!Z$15)),IF(INDEX(Import.PLE,Detalhamento!$E21,Detalhamento!Z$15)&lt;=mediçao,0,OFFSET(Import.PLQ,$A21-1,Z$15-1,1,1)),OFFSET(Import.PLQ,$A21-1,Z$15-1,1,1)),(1-PLE!$AA$28)*OFFSET(Import.PLQ,$A21-1,Z$15-1,1,1))))</f>
        <v>0</v>
      </c>
      <c r="AA21" s="145">
        <f ca="1">IF(AA$13="",0,CHOOSE(Detalhamento.OpçãoServiços,OFFSET(Import.PLQ,$A21-1,AA$15-1,1,1),IF($E21&lt;&gt;1,IF(ISNUMBER(INDEX(Import.PLE,Detalhamento!$E21,Detalhamento!AA$15)),IF(INDEX(Import.PLE,Detalhamento!$E21,Detalhamento!AA$15)&lt;=mediçao,OFFSET(Import.PLQ,$A21-1,AA$15-1,1,1),0),0),PLE!$AA$28*OFFSET(Import.PLQ,$A21-1,AA$15-1,1,1)),IF($E21&lt;&gt;1,IF(ISNUMBER(INDEX(Import.PLE,Detalhamento!$E21,Detalhamento!AA$15)),IF(INDEX(Import.PLE,Detalhamento!$E21,Detalhamento!AA$15)&lt;=mediçao,0,OFFSET(Import.PLQ,$A21-1,AA$15-1,1,1)),OFFSET(Import.PLQ,$A21-1,AA$15-1,1,1)),(1-PLE!$AA$28)*OFFSET(Import.PLQ,$A21-1,AA$15-1,1,1))))</f>
        <v>0</v>
      </c>
      <c r="AB21" s="145">
        <f ca="1">IF(AB$13="",0,CHOOSE(Detalhamento.OpçãoServiços,OFFSET(Import.PLQ,$A21-1,AB$15-1,1,1),IF($E21&lt;&gt;1,IF(ISNUMBER(INDEX(Import.PLE,Detalhamento!$E21,Detalhamento!AB$15)),IF(INDEX(Import.PLE,Detalhamento!$E21,Detalhamento!AB$15)&lt;=mediçao,OFFSET(Import.PLQ,$A21-1,AB$15-1,1,1),0),0),PLE!$AA$28*OFFSET(Import.PLQ,$A21-1,AB$15-1,1,1)),IF($E21&lt;&gt;1,IF(ISNUMBER(INDEX(Import.PLE,Detalhamento!$E21,Detalhamento!AB$15)),IF(INDEX(Import.PLE,Detalhamento!$E21,Detalhamento!AB$15)&lt;=mediçao,0,OFFSET(Import.PLQ,$A21-1,AB$15-1,1,1)),OFFSET(Import.PLQ,$A21-1,AB$15-1,1,1)),(1-PLE!$AA$28)*OFFSET(Import.PLQ,$A21-1,AB$15-1,1,1))))</f>
        <v>0</v>
      </c>
      <c r="AC21" s="145">
        <f ca="1">IF(AC$13="",0,CHOOSE(Detalhamento.OpçãoServiços,OFFSET(Import.PLQ,$A21-1,AC$15-1,1,1),IF($E21&lt;&gt;1,IF(ISNUMBER(INDEX(Import.PLE,Detalhamento!$E21,Detalhamento!AC$15)),IF(INDEX(Import.PLE,Detalhamento!$E21,Detalhamento!AC$15)&lt;=mediçao,OFFSET(Import.PLQ,$A21-1,AC$15-1,1,1),0),0),PLE!$AA$28*OFFSET(Import.PLQ,$A21-1,AC$15-1,1,1)),IF($E21&lt;&gt;1,IF(ISNUMBER(INDEX(Import.PLE,Detalhamento!$E21,Detalhamento!AC$15)),IF(INDEX(Import.PLE,Detalhamento!$E21,Detalhamento!AC$15)&lt;=mediçao,0,OFFSET(Import.PLQ,$A21-1,AC$15-1,1,1)),OFFSET(Import.PLQ,$A21-1,AC$15-1,1,1)),(1-PLE!$AA$28)*OFFSET(Import.PLQ,$A21-1,AC$15-1,1,1))))</f>
        <v>0</v>
      </c>
      <c r="AD21" s="145">
        <f ca="1">IF(AD$13="",0,CHOOSE(Detalhamento.OpçãoServiços,OFFSET(Import.PLQ,$A21-1,AD$15-1,1,1),IF($E21&lt;&gt;1,IF(ISNUMBER(INDEX(Import.PLE,Detalhamento!$E21,Detalhamento!AD$15)),IF(INDEX(Import.PLE,Detalhamento!$E21,Detalhamento!AD$15)&lt;=mediçao,OFFSET(Import.PLQ,$A21-1,AD$15-1,1,1),0),0),PLE!$AA$28*OFFSET(Import.PLQ,$A21-1,AD$15-1,1,1)),IF($E21&lt;&gt;1,IF(ISNUMBER(INDEX(Import.PLE,Detalhamento!$E21,Detalhamento!AD$15)),IF(INDEX(Import.PLE,Detalhamento!$E21,Detalhamento!AD$15)&lt;=mediçao,0,OFFSET(Import.PLQ,$A21-1,AD$15-1,1,1)),OFFSET(Import.PLQ,$A21-1,AD$15-1,1,1)),(1-PLE!$AA$28)*OFFSET(Import.PLQ,$A21-1,AD$15-1,1,1))))</f>
        <v>0</v>
      </c>
      <c r="AE21" s="145">
        <f ca="1">IF(AE$13="",0,CHOOSE(Detalhamento.OpçãoServiços,OFFSET(Import.PLQ,$A21-1,AE$15-1,1,1),IF($E21&lt;&gt;1,IF(ISNUMBER(INDEX(Import.PLE,Detalhamento!$E21,Detalhamento!AE$15)),IF(INDEX(Import.PLE,Detalhamento!$E21,Detalhamento!AE$15)&lt;=mediçao,OFFSET(Import.PLQ,$A21-1,AE$15-1,1,1),0),0),PLE!$AA$28*OFFSET(Import.PLQ,$A21-1,AE$15-1,1,1)),IF($E21&lt;&gt;1,IF(ISNUMBER(INDEX(Import.PLE,Detalhamento!$E21,Detalhamento!AE$15)),IF(INDEX(Import.PLE,Detalhamento!$E21,Detalhamento!AE$15)&lt;=mediçao,0,OFFSET(Import.PLQ,$A21-1,AE$15-1,1,1)),OFFSET(Import.PLQ,$A21-1,AE$15-1,1,1)),(1-PLE!$AA$28)*OFFSET(Import.PLQ,$A21-1,AE$15-1,1,1))))</f>
        <v>0</v>
      </c>
      <c r="AF21" s="145">
        <f ca="1">IF(AF$13="",0,CHOOSE(Detalhamento.OpçãoServiços,OFFSET(Import.PLQ,$A21-1,AF$15-1,1,1),IF($E21&lt;&gt;1,IF(ISNUMBER(INDEX(Import.PLE,Detalhamento!$E21,Detalhamento!AF$15)),IF(INDEX(Import.PLE,Detalhamento!$E21,Detalhamento!AF$15)&lt;=mediçao,OFFSET(Import.PLQ,$A21-1,AF$15-1,1,1),0),0),PLE!$AA$28*OFFSET(Import.PLQ,$A21-1,AF$15-1,1,1)),IF($E21&lt;&gt;1,IF(ISNUMBER(INDEX(Import.PLE,Detalhamento!$E21,Detalhamento!AF$15)),IF(INDEX(Import.PLE,Detalhamento!$E21,Detalhamento!AF$15)&lt;=mediçao,0,OFFSET(Import.PLQ,$A21-1,AF$15-1,1,1)),OFFSET(Import.PLQ,$A21-1,AF$15-1,1,1)),(1-PLE!$AA$28)*OFFSET(Import.PLQ,$A21-1,AF$15-1,1,1))))</f>
        <v>0</v>
      </c>
      <c r="AG21" s="145">
        <f ca="1">IF(AG$13="",0,CHOOSE(Detalhamento.OpçãoServiços,OFFSET(Import.PLQ,$A21-1,AG$15-1,1,1),IF($E21&lt;&gt;1,IF(ISNUMBER(INDEX(Import.PLE,Detalhamento!$E21,Detalhamento!AG$15)),IF(INDEX(Import.PLE,Detalhamento!$E21,Detalhamento!AG$15)&lt;=mediçao,OFFSET(Import.PLQ,$A21-1,AG$15-1,1,1),0),0),PLE!$AA$28*OFFSET(Import.PLQ,$A21-1,AG$15-1,1,1)),IF($E21&lt;&gt;1,IF(ISNUMBER(INDEX(Import.PLE,Detalhamento!$E21,Detalhamento!AG$15)),IF(INDEX(Import.PLE,Detalhamento!$E21,Detalhamento!AG$15)&lt;=mediçao,0,OFFSET(Import.PLQ,$A21-1,AG$15-1,1,1)),OFFSET(Import.PLQ,$A21-1,AG$15-1,1,1)),(1-PLE!$AA$28)*OFFSET(Import.PLQ,$A21-1,AG$15-1,1,1))))</f>
        <v>0</v>
      </c>
      <c r="AH21" s="145">
        <f ca="1">IF(AH$13="",0,CHOOSE(Detalhamento.OpçãoServiços,OFFSET(Import.PLQ,$A21-1,AH$15-1,1,1),IF($E21&lt;&gt;1,IF(ISNUMBER(INDEX(Import.PLE,Detalhamento!$E21,Detalhamento!AH$15)),IF(INDEX(Import.PLE,Detalhamento!$E21,Detalhamento!AH$15)&lt;=mediçao,OFFSET(Import.PLQ,$A21-1,AH$15-1,1,1),0),0),PLE!$AA$28*OFFSET(Import.PLQ,$A21-1,AH$15-1,1,1)),IF($E21&lt;&gt;1,IF(ISNUMBER(INDEX(Import.PLE,Detalhamento!$E21,Detalhamento!AH$15)),IF(INDEX(Import.PLE,Detalhamento!$E21,Detalhamento!AH$15)&lt;=mediçao,0,OFFSET(Import.PLQ,$A21-1,AH$15-1,1,1)),OFFSET(Import.PLQ,$A21-1,AH$15-1,1,1)),(1-PLE!$AA$28)*OFFSET(Import.PLQ,$A21-1,AH$15-1,1,1))))</f>
        <v>0</v>
      </c>
      <c r="AI21" s="145">
        <f ca="1">IF(AI$13="",0,CHOOSE(Detalhamento.OpçãoServiços,OFFSET(Import.PLQ,$A21-1,AI$15-1,1,1),IF($E21&lt;&gt;1,IF(ISNUMBER(INDEX(Import.PLE,Detalhamento!$E21,Detalhamento!AI$15)),IF(INDEX(Import.PLE,Detalhamento!$E21,Detalhamento!AI$15)&lt;=mediçao,OFFSET(Import.PLQ,$A21-1,AI$15-1,1,1),0),0),PLE!$AA$28*OFFSET(Import.PLQ,$A21-1,AI$15-1,1,1)),IF($E21&lt;&gt;1,IF(ISNUMBER(INDEX(Import.PLE,Detalhamento!$E21,Detalhamento!AI$15)),IF(INDEX(Import.PLE,Detalhamento!$E21,Detalhamento!AI$15)&lt;=mediçao,0,OFFSET(Import.PLQ,$A21-1,AI$15-1,1,1)),OFFSET(Import.PLQ,$A21-1,AI$15-1,1,1)),(1-PLE!$AA$28)*OFFSET(Import.PLQ,$A21-1,AI$15-1,1,1))))</f>
        <v>0</v>
      </c>
      <c r="AJ21" s="145">
        <f ca="1">IF(AJ$13="",0,CHOOSE(Detalhamento.OpçãoServiços,OFFSET(Import.PLQ,$A21-1,AJ$15-1,1,1),IF($E21&lt;&gt;1,IF(ISNUMBER(INDEX(Import.PLE,Detalhamento!$E21,Detalhamento!AJ$15)),IF(INDEX(Import.PLE,Detalhamento!$E21,Detalhamento!AJ$15)&lt;=mediçao,OFFSET(Import.PLQ,$A21-1,AJ$15-1,1,1),0),0),PLE!$AA$28*OFFSET(Import.PLQ,$A21-1,AJ$15-1,1,1)),IF($E21&lt;&gt;1,IF(ISNUMBER(INDEX(Import.PLE,Detalhamento!$E21,Detalhamento!AJ$15)),IF(INDEX(Import.PLE,Detalhamento!$E21,Detalhamento!AJ$15)&lt;=mediçao,0,OFFSET(Import.PLQ,$A21-1,AJ$15-1,1,1)),OFFSET(Import.PLQ,$A21-1,AJ$15-1,1,1)),(1-PLE!$AA$28)*OFFSET(Import.PLQ,$A21-1,AJ$15-1,1,1))))</f>
        <v>0</v>
      </c>
      <c r="AK21" s="145">
        <f ca="1">IF(AK$13="",0,CHOOSE(Detalhamento.OpçãoServiços,OFFSET(Import.PLQ,$A21-1,AK$15-1,1,1),IF($E21&lt;&gt;1,IF(ISNUMBER(INDEX(Import.PLE,Detalhamento!$E21,Detalhamento!AK$15)),IF(INDEX(Import.PLE,Detalhamento!$E21,Detalhamento!AK$15)&lt;=mediçao,OFFSET(Import.PLQ,$A21-1,AK$15-1,1,1),0),0),PLE!$AA$28*OFFSET(Import.PLQ,$A21-1,AK$15-1,1,1)),IF($E21&lt;&gt;1,IF(ISNUMBER(INDEX(Import.PLE,Detalhamento!$E21,Detalhamento!AK$15)),IF(INDEX(Import.PLE,Detalhamento!$E21,Detalhamento!AK$15)&lt;=mediçao,0,OFFSET(Import.PLQ,$A21-1,AK$15-1,1,1)),OFFSET(Import.PLQ,$A21-1,AK$15-1,1,1)),(1-PLE!$AA$28)*OFFSET(Import.PLQ,$A21-1,AK$15-1,1,1))))</f>
        <v>0</v>
      </c>
      <c r="AL21" s="145">
        <f ca="1">IF(AL$13="",0,CHOOSE(Detalhamento.OpçãoServiços,OFFSET(Import.PLQ,$A21-1,AL$15-1,1,1),IF($E21&lt;&gt;1,IF(ISNUMBER(INDEX(Import.PLE,Detalhamento!$E21,Detalhamento!AL$15)),IF(INDEX(Import.PLE,Detalhamento!$E21,Detalhamento!AL$15)&lt;=mediçao,OFFSET(Import.PLQ,$A21-1,AL$15-1,1,1),0),0),PLE!$AA$28*OFFSET(Import.PLQ,$A21-1,AL$15-1,1,1)),IF($E21&lt;&gt;1,IF(ISNUMBER(INDEX(Import.PLE,Detalhamento!$E21,Detalhamento!AL$15)),IF(INDEX(Import.PLE,Detalhamento!$E21,Detalhamento!AL$15)&lt;=mediçao,0,OFFSET(Import.PLQ,$A21-1,AL$15-1,1,1)),OFFSET(Import.PLQ,$A21-1,AL$15-1,1,1)),(1-PLE!$AA$28)*OFFSET(Import.PLQ,$A21-1,AL$15-1,1,1))))</f>
        <v>0</v>
      </c>
      <c r="AM21" s="145">
        <f ca="1">IF(AM$13="",0,CHOOSE(Detalhamento.OpçãoServiços,OFFSET(Import.PLQ,$A21-1,AM$15-1,1,1),IF($E21&lt;&gt;1,IF(ISNUMBER(INDEX(Import.PLE,Detalhamento!$E21,Detalhamento!AM$15)),IF(INDEX(Import.PLE,Detalhamento!$E21,Detalhamento!AM$15)&lt;=mediçao,OFFSET(Import.PLQ,$A21-1,AM$15-1,1,1),0),0),PLE!$AA$28*OFFSET(Import.PLQ,$A21-1,AM$15-1,1,1)),IF($E21&lt;&gt;1,IF(ISNUMBER(INDEX(Import.PLE,Detalhamento!$E21,Detalhamento!AM$15)),IF(INDEX(Import.PLE,Detalhamento!$E21,Detalhamento!AM$15)&lt;=mediçao,0,OFFSET(Import.PLQ,$A21-1,AM$15-1,1,1)),OFFSET(Import.PLQ,$A21-1,AM$15-1,1,1)),(1-PLE!$AA$28)*OFFSET(Import.PLQ,$A21-1,AM$15-1,1,1))))</f>
        <v>0</v>
      </c>
      <c r="AN21" s="145">
        <f ca="1">IF(AN$13="",0,CHOOSE(Detalhamento.OpçãoServiços,OFFSET(Import.PLQ,$A21-1,AN$15-1,1,1),IF($E21&lt;&gt;1,IF(ISNUMBER(INDEX(Import.PLE,Detalhamento!$E21,Detalhamento!AN$15)),IF(INDEX(Import.PLE,Detalhamento!$E21,Detalhamento!AN$15)&lt;=mediçao,OFFSET(Import.PLQ,$A21-1,AN$15-1,1,1),0),0),PLE!$AA$28*OFFSET(Import.PLQ,$A21-1,AN$15-1,1,1)),IF($E21&lt;&gt;1,IF(ISNUMBER(INDEX(Import.PLE,Detalhamento!$E21,Detalhamento!AN$15)),IF(INDEX(Import.PLE,Detalhamento!$E21,Detalhamento!AN$15)&lt;=mediçao,0,OFFSET(Import.PLQ,$A21-1,AN$15-1,1,1)),OFFSET(Import.PLQ,$A21-1,AN$15-1,1,1)),(1-PLE!$AA$28)*OFFSET(Import.PLQ,$A21-1,AN$15-1,1,1))))</f>
        <v>0</v>
      </c>
      <c r="AO21" s="145">
        <f ca="1">IF(AO$13="",0,CHOOSE(Detalhamento.OpçãoServiços,OFFSET(Import.PLQ,$A21-1,AO$15-1,1,1),IF($E21&lt;&gt;1,IF(ISNUMBER(INDEX(Import.PLE,Detalhamento!$E21,Detalhamento!AO$15)),IF(INDEX(Import.PLE,Detalhamento!$E21,Detalhamento!AO$15)&lt;=mediçao,OFFSET(Import.PLQ,$A21-1,AO$15-1,1,1),0),0),PLE!$AA$28*OFFSET(Import.PLQ,$A21-1,AO$15-1,1,1)),IF($E21&lt;&gt;1,IF(ISNUMBER(INDEX(Import.PLE,Detalhamento!$E21,Detalhamento!AO$15)),IF(INDEX(Import.PLE,Detalhamento!$E21,Detalhamento!AO$15)&lt;=mediçao,0,OFFSET(Import.PLQ,$A21-1,AO$15-1,1,1)),OFFSET(Import.PLQ,$A21-1,AO$15-1,1,1)),(1-PLE!$AA$28)*OFFSET(Import.PLQ,$A21-1,AO$15-1,1,1))))</f>
        <v>0</v>
      </c>
      <c r="AP21" s="145">
        <f ca="1">IF(AP$13="",0,CHOOSE(Detalhamento.OpçãoServiços,OFFSET(Import.PLQ,$A21-1,AP$15-1,1,1),IF($E21&lt;&gt;1,IF(ISNUMBER(INDEX(Import.PLE,Detalhamento!$E21,Detalhamento!AP$15)),IF(INDEX(Import.PLE,Detalhamento!$E21,Detalhamento!AP$15)&lt;=mediçao,OFFSET(Import.PLQ,$A21-1,AP$15-1,1,1),0),0),PLE!$AA$28*OFFSET(Import.PLQ,$A21-1,AP$15-1,1,1)),IF($E21&lt;&gt;1,IF(ISNUMBER(INDEX(Import.PLE,Detalhamento!$E21,Detalhamento!AP$15)),IF(INDEX(Import.PLE,Detalhamento!$E21,Detalhamento!AP$15)&lt;=mediçao,0,OFFSET(Import.PLQ,$A21-1,AP$15-1,1,1)),OFFSET(Import.PLQ,$A21-1,AP$15-1,1,1)),(1-PLE!$AA$28)*OFFSET(Import.PLQ,$A21-1,AP$15-1,1,1))))</f>
        <v>0</v>
      </c>
      <c r="AQ21" s="145">
        <f ca="1">IF(AQ$13="",0,CHOOSE(Detalhamento.OpçãoServiços,OFFSET(Import.PLQ,$A21-1,AQ$15-1,1,1),IF($E21&lt;&gt;1,IF(ISNUMBER(INDEX(Import.PLE,Detalhamento!$E21,Detalhamento!AQ$15)),IF(INDEX(Import.PLE,Detalhamento!$E21,Detalhamento!AQ$15)&lt;=mediçao,OFFSET(Import.PLQ,$A21-1,AQ$15-1,1,1),0),0),PLE!$AA$28*OFFSET(Import.PLQ,$A21-1,AQ$15-1,1,1)),IF($E21&lt;&gt;1,IF(ISNUMBER(INDEX(Import.PLE,Detalhamento!$E21,Detalhamento!AQ$15)),IF(INDEX(Import.PLE,Detalhamento!$E21,Detalhamento!AQ$15)&lt;=mediçao,0,OFFSET(Import.PLQ,$A21-1,AQ$15-1,1,1)),OFFSET(Import.PLQ,$A21-1,AQ$15-1,1,1)),(1-PLE!$AA$28)*OFFSET(Import.PLQ,$A21-1,AQ$15-1,1,1))))</f>
        <v>0</v>
      </c>
      <c r="AR21" s="145">
        <f ca="1">IF(AR$13="",0,CHOOSE(Detalhamento.OpçãoServiços,OFFSET(Import.PLQ,$A21-1,AR$15-1,1,1),IF($E21&lt;&gt;1,IF(ISNUMBER(INDEX(Import.PLE,Detalhamento!$E21,Detalhamento!AR$15)),IF(INDEX(Import.PLE,Detalhamento!$E21,Detalhamento!AR$15)&lt;=mediçao,OFFSET(Import.PLQ,$A21-1,AR$15-1,1,1),0),0),PLE!$AA$28*OFFSET(Import.PLQ,$A21-1,AR$15-1,1,1)),IF($E21&lt;&gt;1,IF(ISNUMBER(INDEX(Import.PLE,Detalhamento!$E21,Detalhamento!AR$15)),IF(INDEX(Import.PLE,Detalhamento!$E21,Detalhamento!AR$15)&lt;=mediçao,0,OFFSET(Import.PLQ,$A21-1,AR$15-1,1,1)),OFFSET(Import.PLQ,$A21-1,AR$15-1,1,1)),(1-PLE!$AA$28)*OFFSET(Import.PLQ,$A21-1,AR$15-1,1,1))))</f>
        <v>0</v>
      </c>
      <c r="AS21" s="145">
        <f ca="1">IF(AS$13="",0,CHOOSE(Detalhamento.OpçãoServiços,OFFSET(Import.PLQ,$A21-1,AS$15-1,1,1),IF($E21&lt;&gt;1,IF(ISNUMBER(INDEX(Import.PLE,Detalhamento!$E21,Detalhamento!AS$15)),IF(INDEX(Import.PLE,Detalhamento!$E21,Detalhamento!AS$15)&lt;=mediçao,OFFSET(Import.PLQ,$A21-1,AS$15-1,1,1),0),0),PLE!$AA$28*OFFSET(Import.PLQ,$A21-1,AS$15-1,1,1)),IF($E21&lt;&gt;1,IF(ISNUMBER(INDEX(Import.PLE,Detalhamento!$E21,Detalhamento!AS$15)),IF(INDEX(Import.PLE,Detalhamento!$E21,Detalhamento!AS$15)&lt;=mediçao,0,OFFSET(Import.PLQ,$A21-1,AS$15-1,1,1)),OFFSET(Import.PLQ,$A21-1,AS$15-1,1,1)),(1-PLE!$AA$28)*OFFSET(Import.PLQ,$A21-1,AS$15-1,1,1))))</f>
        <v>0</v>
      </c>
      <c r="AT21" s="145">
        <f ca="1">IF(AT$13="",0,CHOOSE(Detalhamento.OpçãoServiços,OFFSET(Import.PLQ,$A21-1,AT$15-1,1,1),IF($E21&lt;&gt;1,IF(ISNUMBER(INDEX(Import.PLE,Detalhamento!$E21,Detalhamento!AT$15)),IF(INDEX(Import.PLE,Detalhamento!$E21,Detalhamento!AT$15)&lt;=mediçao,OFFSET(Import.PLQ,$A21-1,AT$15-1,1,1),0),0),PLE!$AA$28*OFFSET(Import.PLQ,$A21-1,AT$15-1,1,1)),IF($E21&lt;&gt;1,IF(ISNUMBER(INDEX(Import.PLE,Detalhamento!$E21,Detalhamento!AT$15)),IF(INDEX(Import.PLE,Detalhamento!$E21,Detalhamento!AT$15)&lt;=mediçao,0,OFFSET(Import.PLQ,$A21-1,AT$15-1,1,1)),OFFSET(Import.PLQ,$A21-1,AT$15-1,1,1)),(1-PLE!$AA$28)*OFFSET(Import.PLQ,$A21-1,AT$15-1,1,1))))</f>
        <v>0</v>
      </c>
      <c r="AU21" s="145">
        <f ca="1">IF(AU$13="",0,CHOOSE(Detalhamento.OpçãoServiços,OFFSET(Import.PLQ,$A21-1,AU$15-1,1,1),IF($E21&lt;&gt;1,IF(ISNUMBER(INDEX(Import.PLE,Detalhamento!$E21,Detalhamento!AU$15)),IF(INDEX(Import.PLE,Detalhamento!$E21,Detalhamento!AU$15)&lt;=mediçao,OFFSET(Import.PLQ,$A21-1,AU$15-1,1,1),0),0),PLE!$AA$28*OFFSET(Import.PLQ,$A21-1,AU$15-1,1,1)),IF($E21&lt;&gt;1,IF(ISNUMBER(INDEX(Import.PLE,Detalhamento!$E21,Detalhamento!AU$15)),IF(INDEX(Import.PLE,Detalhamento!$E21,Detalhamento!AU$15)&lt;=mediçao,0,OFFSET(Import.PLQ,$A21-1,AU$15-1,1,1)),OFFSET(Import.PLQ,$A21-1,AU$15-1,1,1)),(1-PLE!$AA$28)*OFFSET(Import.PLQ,$A21-1,AU$15-1,1,1))))</f>
        <v>0</v>
      </c>
      <c r="AV21" s="145">
        <f ca="1">IF(AV$13="",0,CHOOSE(Detalhamento.OpçãoServiços,OFFSET(Import.PLQ,$A21-1,AV$15-1,1,1),IF($E21&lt;&gt;1,IF(ISNUMBER(INDEX(Import.PLE,Detalhamento!$E21,Detalhamento!AV$15)),IF(INDEX(Import.PLE,Detalhamento!$E21,Detalhamento!AV$15)&lt;=mediçao,OFFSET(Import.PLQ,$A21-1,AV$15-1,1,1),0),0),PLE!$AA$28*OFFSET(Import.PLQ,$A21-1,AV$15-1,1,1)),IF($E21&lt;&gt;1,IF(ISNUMBER(INDEX(Import.PLE,Detalhamento!$E21,Detalhamento!AV$15)),IF(INDEX(Import.PLE,Detalhamento!$E21,Detalhamento!AV$15)&lt;=mediçao,0,OFFSET(Import.PLQ,$A21-1,AV$15-1,1,1)),OFFSET(Import.PLQ,$A21-1,AV$15-1,1,1)),(1-PLE!$AA$28)*OFFSET(Import.PLQ,$A21-1,AV$15-1,1,1))))</f>
        <v>0</v>
      </c>
      <c r="AW21" s="145">
        <f ca="1">IF(AW$13="",0,CHOOSE(Detalhamento.OpçãoServiços,OFFSET(Import.PLQ,$A21-1,AW$15-1,1,1),IF($E21&lt;&gt;1,IF(ISNUMBER(INDEX(Import.PLE,Detalhamento!$E21,Detalhamento!AW$15)),IF(INDEX(Import.PLE,Detalhamento!$E21,Detalhamento!AW$15)&lt;=mediçao,OFFSET(Import.PLQ,$A21-1,AW$15-1,1,1),0),0),PLE!$AA$28*OFFSET(Import.PLQ,$A21-1,AW$15-1,1,1)),IF($E21&lt;&gt;1,IF(ISNUMBER(INDEX(Import.PLE,Detalhamento!$E21,Detalhamento!AW$15)),IF(INDEX(Import.PLE,Detalhamento!$E21,Detalhamento!AW$15)&lt;=mediçao,0,OFFSET(Import.PLQ,$A21-1,AW$15-1,1,1)),OFFSET(Import.PLQ,$A21-1,AW$15-1,1,1)),(1-PLE!$AA$28)*OFFSET(Import.PLQ,$A21-1,AW$15-1,1,1))))</f>
        <v>0</v>
      </c>
      <c r="AX21" s="145">
        <f ca="1">IF(AX$13="",0,CHOOSE(Detalhamento.OpçãoServiços,OFFSET(Import.PLQ,$A21-1,AX$15-1,1,1),IF($E21&lt;&gt;1,IF(ISNUMBER(INDEX(Import.PLE,Detalhamento!$E21,Detalhamento!AX$15)),IF(INDEX(Import.PLE,Detalhamento!$E21,Detalhamento!AX$15)&lt;=mediçao,OFFSET(Import.PLQ,$A21-1,AX$15-1,1,1),0),0),PLE!$AA$28*OFFSET(Import.PLQ,$A21-1,AX$15-1,1,1)),IF($E21&lt;&gt;1,IF(ISNUMBER(INDEX(Import.PLE,Detalhamento!$E21,Detalhamento!AX$15)),IF(INDEX(Import.PLE,Detalhamento!$E21,Detalhamento!AX$15)&lt;=mediçao,0,OFFSET(Import.PLQ,$A21-1,AX$15-1,1,1)),OFFSET(Import.PLQ,$A21-1,AX$15-1,1,1)),(1-PLE!$AA$28)*OFFSET(Import.PLQ,$A21-1,AX$15-1,1,1))))</f>
        <v>0</v>
      </c>
      <c r="AY21" s="145">
        <f ca="1">IF(AY$13="",0,CHOOSE(Detalhamento.OpçãoServiços,OFFSET(Import.PLQ,$A21-1,AY$15-1,1,1),IF($E21&lt;&gt;1,IF(ISNUMBER(INDEX(Import.PLE,Detalhamento!$E21,Detalhamento!AY$15)),IF(INDEX(Import.PLE,Detalhamento!$E21,Detalhamento!AY$15)&lt;=mediçao,OFFSET(Import.PLQ,$A21-1,AY$15-1,1,1),0),0),PLE!$AA$28*OFFSET(Import.PLQ,$A21-1,AY$15-1,1,1)),IF($E21&lt;&gt;1,IF(ISNUMBER(INDEX(Import.PLE,Detalhamento!$E21,Detalhamento!AY$15)),IF(INDEX(Import.PLE,Detalhamento!$E21,Detalhamento!AY$15)&lt;=mediçao,0,OFFSET(Import.PLQ,$A21-1,AY$15-1,1,1)),OFFSET(Import.PLQ,$A21-1,AY$15-1,1,1)),(1-PLE!$AA$28)*OFFSET(Import.PLQ,$A21-1,AY$15-1,1,1))))</f>
        <v>0</v>
      </c>
      <c r="AZ21" s="145">
        <f ca="1">IF(AZ$13="",0,CHOOSE(Detalhamento.OpçãoServiços,OFFSET(Import.PLQ,$A21-1,AZ$15-1,1,1),IF($E21&lt;&gt;1,IF(ISNUMBER(INDEX(Import.PLE,Detalhamento!$E21,Detalhamento!AZ$15)),IF(INDEX(Import.PLE,Detalhamento!$E21,Detalhamento!AZ$15)&lt;=mediçao,OFFSET(Import.PLQ,$A21-1,AZ$15-1,1,1),0),0),PLE!$AA$28*OFFSET(Import.PLQ,$A21-1,AZ$15-1,1,1)),IF($E21&lt;&gt;1,IF(ISNUMBER(INDEX(Import.PLE,Detalhamento!$E21,Detalhamento!AZ$15)),IF(INDEX(Import.PLE,Detalhamento!$E21,Detalhamento!AZ$15)&lt;=mediçao,0,OFFSET(Import.PLQ,$A21-1,AZ$15-1,1,1)),OFFSET(Import.PLQ,$A21-1,AZ$15-1,1,1)),(1-PLE!$AA$28)*OFFSET(Import.PLQ,$A21-1,AZ$15-1,1,1))))</f>
        <v>0</v>
      </c>
      <c r="BA21" s="145">
        <f ca="1">IF(BA$13="",0,CHOOSE(Detalhamento.OpçãoServiços,OFFSET(Import.PLQ,$A21-1,BA$15-1,1,1),IF($E21&lt;&gt;1,IF(ISNUMBER(INDEX(Import.PLE,Detalhamento!$E21,Detalhamento!BA$15)),IF(INDEX(Import.PLE,Detalhamento!$E21,Detalhamento!BA$15)&lt;=mediçao,OFFSET(Import.PLQ,$A21-1,BA$15-1,1,1),0),0),PLE!$AA$28*OFFSET(Import.PLQ,$A21-1,BA$15-1,1,1)),IF($E21&lt;&gt;1,IF(ISNUMBER(INDEX(Import.PLE,Detalhamento!$E21,Detalhamento!BA$15)),IF(INDEX(Import.PLE,Detalhamento!$E21,Detalhamento!BA$15)&lt;=mediçao,0,OFFSET(Import.PLQ,$A21-1,BA$15-1,1,1)),OFFSET(Import.PLQ,$A21-1,BA$15-1,1,1)),(1-PLE!$AA$28)*OFFSET(Import.PLQ,$A21-1,BA$15-1,1,1))))</f>
        <v>0</v>
      </c>
      <c r="BB21" s="145">
        <f ca="1">IF(BB$13="",0,CHOOSE(Detalhamento.OpçãoServiços,OFFSET(Import.PLQ,$A21-1,BB$15-1,1,1),IF($E21&lt;&gt;1,IF(ISNUMBER(INDEX(Import.PLE,Detalhamento!$E21,Detalhamento!BB$15)),IF(INDEX(Import.PLE,Detalhamento!$E21,Detalhamento!BB$15)&lt;=mediçao,OFFSET(Import.PLQ,$A21-1,BB$15-1,1,1),0),0),PLE!$AA$28*OFFSET(Import.PLQ,$A21-1,BB$15-1,1,1)),IF($E21&lt;&gt;1,IF(ISNUMBER(INDEX(Import.PLE,Detalhamento!$E21,Detalhamento!BB$15)),IF(INDEX(Import.PLE,Detalhamento!$E21,Detalhamento!BB$15)&lt;=mediçao,0,OFFSET(Import.PLQ,$A21-1,BB$15-1,1,1)),OFFSET(Import.PLQ,$A21-1,BB$15-1,1,1)),(1-PLE!$AA$28)*OFFSET(Import.PLQ,$A21-1,BB$15-1,1,1))))</f>
        <v>0</v>
      </c>
      <c r="BC21" s="145">
        <f ca="1">IF(BC$13="",0,CHOOSE(Detalhamento.OpçãoServiços,OFFSET(Import.PLQ,$A21-1,BC$15-1,1,1),IF($E21&lt;&gt;1,IF(ISNUMBER(INDEX(Import.PLE,Detalhamento!$E21,Detalhamento!BC$15)),IF(INDEX(Import.PLE,Detalhamento!$E21,Detalhamento!BC$15)&lt;=mediçao,OFFSET(Import.PLQ,$A21-1,BC$15-1,1,1),0),0),PLE!$AA$28*OFFSET(Import.PLQ,$A21-1,BC$15-1,1,1)),IF($E21&lt;&gt;1,IF(ISNUMBER(INDEX(Import.PLE,Detalhamento!$E21,Detalhamento!BC$15)),IF(INDEX(Import.PLE,Detalhamento!$E21,Detalhamento!BC$15)&lt;=mediçao,0,OFFSET(Import.PLQ,$A21-1,BC$15-1,1,1)),OFFSET(Import.PLQ,$A21-1,BC$15-1,1,1)),(1-PLE!$AA$28)*OFFSET(Import.PLQ,$A21-1,BC$15-1,1,1))))</f>
        <v>0</v>
      </c>
      <c r="BD21" s="145">
        <f ca="1">IF(BD$13="",0,CHOOSE(Detalhamento.OpçãoServiços,OFFSET(Import.PLQ,$A21-1,BD$15-1,1,1),IF($E21&lt;&gt;1,IF(ISNUMBER(INDEX(Import.PLE,Detalhamento!$E21,Detalhamento!BD$15)),IF(INDEX(Import.PLE,Detalhamento!$E21,Detalhamento!BD$15)&lt;=mediçao,OFFSET(Import.PLQ,$A21-1,BD$15-1,1,1),0),0),PLE!$AA$28*OFFSET(Import.PLQ,$A21-1,BD$15-1,1,1)),IF($E21&lt;&gt;1,IF(ISNUMBER(INDEX(Import.PLE,Detalhamento!$E21,Detalhamento!BD$15)),IF(INDEX(Import.PLE,Detalhamento!$E21,Detalhamento!BD$15)&lt;=mediçao,0,OFFSET(Import.PLQ,$A21-1,BD$15-1,1,1)),OFFSET(Import.PLQ,$A21-1,BD$15-1,1,1)),(1-PLE!$AA$28)*OFFSET(Import.PLQ,$A21-1,BD$15-1,1,1))))</f>
        <v>0</v>
      </c>
      <c r="BE21" s="145">
        <f ca="1">IF(BE$13="",0,CHOOSE(Detalhamento.OpçãoServiços,OFFSET(Import.PLQ,$A21-1,BE$15-1,1,1),IF($E21&lt;&gt;1,IF(ISNUMBER(INDEX(Import.PLE,Detalhamento!$E21,Detalhamento!BE$15)),IF(INDEX(Import.PLE,Detalhamento!$E21,Detalhamento!BE$15)&lt;=mediçao,OFFSET(Import.PLQ,$A21-1,BE$15-1,1,1),0),0),PLE!$AA$28*OFFSET(Import.PLQ,$A21-1,BE$15-1,1,1)),IF($E21&lt;&gt;1,IF(ISNUMBER(INDEX(Import.PLE,Detalhamento!$E21,Detalhamento!BE$15)),IF(INDEX(Import.PLE,Detalhamento!$E21,Detalhamento!BE$15)&lt;=mediçao,0,OFFSET(Import.PLQ,$A21-1,BE$15-1,1,1)),OFFSET(Import.PLQ,$A21-1,BE$15-1,1,1)),(1-PLE!$AA$28)*OFFSET(Import.PLQ,$A21-1,BE$15-1,1,1))))</f>
        <v>0</v>
      </c>
      <c r="BF21" s="145">
        <f ca="1">IF(BF$13="",0,CHOOSE(Detalhamento.OpçãoServiços,OFFSET(Import.PLQ,$A21-1,BF$15-1,1,1),IF($E21&lt;&gt;1,IF(ISNUMBER(INDEX(Import.PLE,Detalhamento!$E21,Detalhamento!BF$15)),IF(INDEX(Import.PLE,Detalhamento!$E21,Detalhamento!BF$15)&lt;=mediçao,OFFSET(Import.PLQ,$A21-1,BF$15-1,1,1),0),0),PLE!$AA$28*OFFSET(Import.PLQ,$A21-1,BF$15-1,1,1)),IF($E21&lt;&gt;1,IF(ISNUMBER(INDEX(Import.PLE,Detalhamento!$E21,Detalhamento!BF$15)),IF(INDEX(Import.PLE,Detalhamento!$E21,Detalhamento!BF$15)&lt;=mediçao,0,OFFSET(Import.PLQ,$A21-1,BF$15-1,1,1)),OFFSET(Import.PLQ,$A21-1,BF$15-1,1,1)),(1-PLE!$AA$28)*OFFSET(Import.PLQ,$A21-1,BF$15-1,1,1))))</f>
        <v>0</v>
      </c>
      <c r="BG21" s="145">
        <f ca="1">IF(BG$13="",0,CHOOSE(Detalhamento.OpçãoServiços,OFFSET(Import.PLQ,$A21-1,BG$15-1,1,1),IF($E21&lt;&gt;1,IF(ISNUMBER(INDEX(Import.PLE,Detalhamento!$E21,Detalhamento!BG$15)),IF(INDEX(Import.PLE,Detalhamento!$E21,Detalhamento!BG$15)&lt;=mediçao,OFFSET(Import.PLQ,$A21-1,BG$15-1,1,1),0),0),PLE!$AA$28*OFFSET(Import.PLQ,$A21-1,BG$15-1,1,1)),IF($E21&lt;&gt;1,IF(ISNUMBER(INDEX(Import.PLE,Detalhamento!$E21,Detalhamento!BG$15)),IF(INDEX(Import.PLE,Detalhamento!$E21,Detalhamento!BG$15)&lt;=mediçao,0,OFFSET(Import.PLQ,$A21-1,BG$15-1,1,1)),OFFSET(Import.PLQ,$A21-1,BG$15-1,1,1)),(1-PLE!$AA$28)*OFFSET(Import.PLQ,$A21-1,BG$15-1,1,1))))</f>
        <v>0</v>
      </c>
      <c r="BH21" s="145">
        <f ca="1">IF(BH$13="",0,CHOOSE(Detalhamento.OpçãoServiços,OFFSET(Import.PLQ,$A21-1,BH$15-1,1,1),IF($E21&lt;&gt;1,IF(ISNUMBER(INDEX(Import.PLE,Detalhamento!$E21,Detalhamento!BH$15)),IF(INDEX(Import.PLE,Detalhamento!$E21,Detalhamento!BH$15)&lt;=mediçao,OFFSET(Import.PLQ,$A21-1,BH$15-1,1,1),0),0),PLE!$AA$28*OFFSET(Import.PLQ,$A21-1,BH$15-1,1,1)),IF($E21&lt;&gt;1,IF(ISNUMBER(INDEX(Import.PLE,Detalhamento!$E21,Detalhamento!BH$15)),IF(INDEX(Import.PLE,Detalhamento!$E21,Detalhamento!BH$15)&lt;=mediçao,0,OFFSET(Import.PLQ,$A21-1,BH$15-1,1,1)),OFFSET(Import.PLQ,$A21-1,BH$15-1,1,1)),(1-PLE!$AA$28)*OFFSET(Import.PLQ,$A21-1,BH$15-1,1,1))))</f>
        <v>0</v>
      </c>
      <c r="BI21" s="145">
        <f ca="1">IF(BI$13="",0,CHOOSE(Detalhamento.OpçãoServiços,OFFSET(Import.PLQ,$A21-1,BI$15-1,1,1),IF($E21&lt;&gt;1,IF(ISNUMBER(INDEX(Import.PLE,Detalhamento!$E21,Detalhamento!BI$15)),IF(INDEX(Import.PLE,Detalhamento!$E21,Detalhamento!BI$15)&lt;=mediçao,OFFSET(Import.PLQ,$A21-1,BI$15-1,1,1),0),0),PLE!$AA$28*OFFSET(Import.PLQ,$A21-1,BI$15-1,1,1)),IF($E21&lt;&gt;1,IF(ISNUMBER(INDEX(Import.PLE,Detalhamento!$E21,Detalhamento!BI$15)),IF(INDEX(Import.PLE,Detalhamento!$E21,Detalhamento!BI$15)&lt;=mediçao,0,OFFSET(Import.PLQ,$A21-1,BI$15-1,1,1)),OFFSET(Import.PLQ,$A21-1,BI$15-1,1,1)),(1-PLE!$AA$28)*OFFSET(Import.PLQ,$A21-1,BI$15-1,1,1))))</f>
        <v>0</v>
      </c>
    </row>
    <row r="22" spans="1:61" hidden="1" x14ac:dyDescent="0.2">
      <c r="A22" s="156">
        <v>6</v>
      </c>
      <c r="B22" s="21" t="str">
        <f t="shared" ca="1" si="8"/>
        <v>Meta</v>
      </c>
      <c r="E22" s="154" t="str">
        <f t="shared" ca="1" si="9"/>
        <v/>
      </c>
      <c r="F22" s="155">
        <f t="shared" ca="1" si="10"/>
        <v>0</v>
      </c>
      <c r="G22" s="155">
        <f t="shared" ca="1" si="11"/>
        <v>3</v>
      </c>
      <c r="H22" s="183" t="str">
        <f t="shared" ca="1" si="11"/>
        <v>PAVIMENTAÇÃO</v>
      </c>
      <c r="I22" s="37" t="str">
        <f t="shared" ca="1" si="12"/>
        <v/>
      </c>
      <c r="J22" s="145" t="str">
        <f t="shared" ca="1" si="13"/>
        <v/>
      </c>
      <c r="K22" s="67"/>
      <c r="L22" s="145">
        <f ca="1">IF(L$13="",0,CHOOSE(Detalhamento.OpçãoServiços,OFFSET(Import.PLQ,$A22-1,L$15-1,1,1),IF($E22&lt;&gt;1,IF(ISNUMBER(INDEX(Import.PLE,Detalhamento!$E22,Detalhamento!L$15)),IF(INDEX(Import.PLE,Detalhamento!$E22,Detalhamento!L$15)&lt;=mediçao,OFFSET(Import.PLQ,$A22-1,L$15-1,1,1),0),0),PLE!$AA$28*OFFSET(Import.PLQ,$A22-1,L$15-1,1,1)),IF($E22&lt;&gt;1,IF(ISNUMBER(INDEX(Import.PLE,Detalhamento!$E22,Detalhamento!L$15)),IF(INDEX(Import.PLE,Detalhamento!$E22,Detalhamento!L$15)&lt;=mediçao,0,OFFSET(Import.PLQ,$A22-1,L$15-1,1,1)),OFFSET(Import.PLQ,$A22-1,L$15-1,1,1)),(1-PLE!$AA$28)*OFFSET(Import.PLQ,$A22-1,L$15-1,1,1))))</f>
        <v>0</v>
      </c>
      <c r="M22" s="145">
        <f ca="1">IF(M$13="",0,CHOOSE(Detalhamento.OpçãoServiços,OFFSET(Import.PLQ,$A22-1,M$15-1,1,1),IF($E22&lt;&gt;1,IF(ISNUMBER(INDEX(Import.PLE,Detalhamento!$E22,Detalhamento!M$15)),IF(INDEX(Import.PLE,Detalhamento!$E22,Detalhamento!M$15)&lt;=mediçao,OFFSET(Import.PLQ,$A22-1,M$15-1,1,1),0),0),PLE!$AA$28*OFFSET(Import.PLQ,$A22-1,M$15-1,1,1)),IF($E22&lt;&gt;1,IF(ISNUMBER(INDEX(Import.PLE,Detalhamento!$E22,Detalhamento!M$15)),IF(INDEX(Import.PLE,Detalhamento!$E22,Detalhamento!M$15)&lt;=mediçao,0,OFFSET(Import.PLQ,$A22-1,M$15-1,1,1)),OFFSET(Import.PLQ,$A22-1,M$15-1,1,1)),(1-PLE!$AA$28)*OFFSET(Import.PLQ,$A22-1,M$15-1,1,1))))</f>
        <v>0</v>
      </c>
      <c r="N22" s="145">
        <f ca="1">IF(N$13="",0,CHOOSE(Detalhamento.OpçãoServiços,OFFSET(Import.PLQ,$A22-1,N$15-1,1,1),IF($E22&lt;&gt;1,IF(ISNUMBER(INDEX(Import.PLE,Detalhamento!$E22,Detalhamento!N$15)),IF(INDEX(Import.PLE,Detalhamento!$E22,Detalhamento!N$15)&lt;=mediçao,OFFSET(Import.PLQ,$A22-1,N$15-1,1,1),0),0),PLE!$AA$28*OFFSET(Import.PLQ,$A22-1,N$15-1,1,1)),IF($E22&lt;&gt;1,IF(ISNUMBER(INDEX(Import.PLE,Detalhamento!$E22,Detalhamento!N$15)),IF(INDEX(Import.PLE,Detalhamento!$E22,Detalhamento!N$15)&lt;=mediçao,0,OFFSET(Import.PLQ,$A22-1,N$15-1,1,1)),OFFSET(Import.PLQ,$A22-1,N$15-1,1,1)),(1-PLE!$AA$28)*OFFSET(Import.PLQ,$A22-1,N$15-1,1,1))))</f>
        <v>0</v>
      </c>
      <c r="O22" s="145">
        <f ca="1">IF(O$13="",0,CHOOSE(Detalhamento.OpçãoServiços,OFFSET(Import.PLQ,$A22-1,O$15-1,1,1),IF($E22&lt;&gt;1,IF(ISNUMBER(INDEX(Import.PLE,Detalhamento!$E22,Detalhamento!O$15)),IF(INDEX(Import.PLE,Detalhamento!$E22,Detalhamento!O$15)&lt;=mediçao,OFFSET(Import.PLQ,$A22-1,O$15-1,1,1),0),0),PLE!$AA$28*OFFSET(Import.PLQ,$A22-1,O$15-1,1,1)),IF($E22&lt;&gt;1,IF(ISNUMBER(INDEX(Import.PLE,Detalhamento!$E22,Detalhamento!O$15)),IF(INDEX(Import.PLE,Detalhamento!$E22,Detalhamento!O$15)&lt;=mediçao,0,OFFSET(Import.PLQ,$A22-1,O$15-1,1,1)),OFFSET(Import.PLQ,$A22-1,O$15-1,1,1)),(1-PLE!$AA$28)*OFFSET(Import.PLQ,$A22-1,O$15-1,1,1))))</f>
        <v>0</v>
      </c>
      <c r="P22" s="145">
        <f ca="1">IF(P$13="",0,CHOOSE(Detalhamento.OpçãoServiços,OFFSET(Import.PLQ,$A22-1,P$15-1,1,1),IF($E22&lt;&gt;1,IF(ISNUMBER(INDEX(Import.PLE,Detalhamento!$E22,Detalhamento!P$15)),IF(INDEX(Import.PLE,Detalhamento!$E22,Detalhamento!P$15)&lt;=mediçao,OFFSET(Import.PLQ,$A22-1,P$15-1,1,1),0),0),PLE!$AA$28*OFFSET(Import.PLQ,$A22-1,P$15-1,1,1)),IF($E22&lt;&gt;1,IF(ISNUMBER(INDEX(Import.PLE,Detalhamento!$E22,Detalhamento!P$15)),IF(INDEX(Import.PLE,Detalhamento!$E22,Detalhamento!P$15)&lt;=mediçao,0,OFFSET(Import.PLQ,$A22-1,P$15-1,1,1)),OFFSET(Import.PLQ,$A22-1,P$15-1,1,1)),(1-PLE!$AA$28)*OFFSET(Import.PLQ,$A22-1,P$15-1,1,1))))</f>
        <v>0</v>
      </c>
      <c r="Q22" s="145">
        <f ca="1">IF(Q$13="",0,CHOOSE(Detalhamento.OpçãoServiços,OFFSET(Import.PLQ,$A22-1,Q$15-1,1,1),IF($E22&lt;&gt;1,IF(ISNUMBER(INDEX(Import.PLE,Detalhamento!$E22,Detalhamento!Q$15)),IF(INDEX(Import.PLE,Detalhamento!$E22,Detalhamento!Q$15)&lt;=mediçao,OFFSET(Import.PLQ,$A22-1,Q$15-1,1,1),0),0),PLE!$AA$28*OFFSET(Import.PLQ,$A22-1,Q$15-1,1,1)),IF($E22&lt;&gt;1,IF(ISNUMBER(INDEX(Import.PLE,Detalhamento!$E22,Detalhamento!Q$15)),IF(INDEX(Import.PLE,Detalhamento!$E22,Detalhamento!Q$15)&lt;=mediçao,0,OFFSET(Import.PLQ,$A22-1,Q$15-1,1,1)),OFFSET(Import.PLQ,$A22-1,Q$15-1,1,1)),(1-PLE!$AA$28)*OFFSET(Import.PLQ,$A22-1,Q$15-1,1,1))))</f>
        <v>0</v>
      </c>
      <c r="R22" s="145">
        <f ca="1">IF(R$13="",0,CHOOSE(Detalhamento.OpçãoServiços,OFFSET(Import.PLQ,$A22-1,R$15-1,1,1),IF($E22&lt;&gt;1,IF(ISNUMBER(INDEX(Import.PLE,Detalhamento!$E22,Detalhamento!R$15)),IF(INDEX(Import.PLE,Detalhamento!$E22,Detalhamento!R$15)&lt;=mediçao,OFFSET(Import.PLQ,$A22-1,R$15-1,1,1),0),0),PLE!$AA$28*OFFSET(Import.PLQ,$A22-1,R$15-1,1,1)),IF($E22&lt;&gt;1,IF(ISNUMBER(INDEX(Import.PLE,Detalhamento!$E22,Detalhamento!R$15)),IF(INDEX(Import.PLE,Detalhamento!$E22,Detalhamento!R$15)&lt;=mediçao,0,OFFSET(Import.PLQ,$A22-1,R$15-1,1,1)),OFFSET(Import.PLQ,$A22-1,R$15-1,1,1)),(1-PLE!$AA$28)*OFFSET(Import.PLQ,$A22-1,R$15-1,1,1))))</f>
        <v>0</v>
      </c>
      <c r="S22" s="145">
        <f ca="1">IF(S$13="",0,CHOOSE(Detalhamento.OpçãoServiços,OFFSET(Import.PLQ,$A22-1,S$15-1,1,1),IF($E22&lt;&gt;1,IF(ISNUMBER(INDEX(Import.PLE,Detalhamento!$E22,Detalhamento!S$15)),IF(INDEX(Import.PLE,Detalhamento!$E22,Detalhamento!S$15)&lt;=mediçao,OFFSET(Import.PLQ,$A22-1,S$15-1,1,1),0),0),PLE!$AA$28*OFFSET(Import.PLQ,$A22-1,S$15-1,1,1)),IF($E22&lt;&gt;1,IF(ISNUMBER(INDEX(Import.PLE,Detalhamento!$E22,Detalhamento!S$15)),IF(INDEX(Import.PLE,Detalhamento!$E22,Detalhamento!S$15)&lt;=mediçao,0,OFFSET(Import.PLQ,$A22-1,S$15-1,1,1)),OFFSET(Import.PLQ,$A22-1,S$15-1,1,1)),(1-PLE!$AA$28)*OFFSET(Import.PLQ,$A22-1,S$15-1,1,1))))</f>
        <v>0</v>
      </c>
      <c r="T22" s="145">
        <f ca="1">IF(T$13="",0,CHOOSE(Detalhamento.OpçãoServiços,OFFSET(Import.PLQ,$A22-1,T$15-1,1,1),IF($E22&lt;&gt;1,IF(ISNUMBER(INDEX(Import.PLE,Detalhamento!$E22,Detalhamento!T$15)),IF(INDEX(Import.PLE,Detalhamento!$E22,Detalhamento!T$15)&lt;=mediçao,OFFSET(Import.PLQ,$A22-1,T$15-1,1,1),0),0),PLE!$AA$28*OFFSET(Import.PLQ,$A22-1,T$15-1,1,1)),IF($E22&lt;&gt;1,IF(ISNUMBER(INDEX(Import.PLE,Detalhamento!$E22,Detalhamento!T$15)),IF(INDEX(Import.PLE,Detalhamento!$E22,Detalhamento!T$15)&lt;=mediçao,0,OFFSET(Import.PLQ,$A22-1,T$15-1,1,1)),OFFSET(Import.PLQ,$A22-1,T$15-1,1,1)),(1-PLE!$AA$28)*OFFSET(Import.PLQ,$A22-1,T$15-1,1,1))))</f>
        <v>0</v>
      </c>
      <c r="U22" s="145">
        <f ca="1">IF(U$13="",0,CHOOSE(Detalhamento.OpçãoServiços,OFFSET(Import.PLQ,$A22-1,U$15-1,1,1),IF($E22&lt;&gt;1,IF(ISNUMBER(INDEX(Import.PLE,Detalhamento!$E22,Detalhamento!U$15)),IF(INDEX(Import.PLE,Detalhamento!$E22,Detalhamento!U$15)&lt;=mediçao,OFFSET(Import.PLQ,$A22-1,U$15-1,1,1),0),0),PLE!$AA$28*OFFSET(Import.PLQ,$A22-1,U$15-1,1,1)),IF($E22&lt;&gt;1,IF(ISNUMBER(INDEX(Import.PLE,Detalhamento!$E22,Detalhamento!U$15)),IF(INDEX(Import.PLE,Detalhamento!$E22,Detalhamento!U$15)&lt;=mediçao,0,OFFSET(Import.PLQ,$A22-1,U$15-1,1,1)),OFFSET(Import.PLQ,$A22-1,U$15-1,1,1)),(1-PLE!$AA$28)*OFFSET(Import.PLQ,$A22-1,U$15-1,1,1))))</f>
        <v>0</v>
      </c>
      <c r="V22" s="145">
        <f ca="1">IF(V$13="",0,CHOOSE(Detalhamento.OpçãoServiços,OFFSET(Import.PLQ,$A22-1,V$15-1,1,1),IF($E22&lt;&gt;1,IF(ISNUMBER(INDEX(Import.PLE,Detalhamento!$E22,Detalhamento!V$15)),IF(INDEX(Import.PLE,Detalhamento!$E22,Detalhamento!V$15)&lt;=mediçao,OFFSET(Import.PLQ,$A22-1,V$15-1,1,1),0),0),PLE!$AA$28*OFFSET(Import.PLQ,$A22-1,V$15-1,1,1)),IF($E22&lt;&gt;1,IF(ISNUMBER(INDEX(Import.PLE,Detalhamento!$E22,Detalhamento!V$15)),IF(INDEX(Import.PLE,Detalhamento!$E22,Detalhamento!V$15)&lt;=mediçao,0,OFFSET(Import.PLQ,$A22-1,V$15-1,1,1)),OFFSET(Import.PLQ,$A22-1,V$15-1,1,1)),(1-PLE!$AA$28)*OFFSET(Import.PLQ,$A22-1,V$15-1,1,1))))</f>
        <v>0</v>
      </c>
      <c r="W22" s="145">
        <f ca="1">IF(W$13="",0,CHOOSE(Detalhamento.OpçãoServiços,OFFSET(Import.PLQ,$A22-1,W$15-1,1,1),IF($E22&lt;&gt;1,IF(ISNUMBER(INDEX(Import.PLE,Detalhamento!$E22,Detalhamento!W$15)),IF(INDEX(Import.PLE,Detalhamento!$E22,Detalhamento!W$15)&lt;=mediçao,OFFSET(Import.PLQ,$A22-1,W$15-1,1,1),0),0),PLE!$AA$28*OFFSET(Import.PLQ,$A22-1,W$15-1,1,1)),IF($E22&lt;&gt;1,IF(ISNUMBER(INDEX(Import.PLE,Detalhamento!$E22,Detalhamento!W$15)),IF(INDEX(Import.PLE,Detalhamento!$E22,Detalhamento!W$15)&lt;=mediçao,0,OFFSET(Import.PLQ,$A22-1,W$15-1,1,1)),OFFSET(Import.PLQ,$A22-1,W$15-1,1,1)),(1-PLE!$AA$28)*OFFSET(Import.PLQ,$A22-1,W$15-1,1,1))))</f>
        <v>0</v>
      </c>
      <c r="X22" s="145">
        <f ca="1">IF(X$13="",0,CHOOSE(Detalhamento.OpçãoServiços,OFFSET(Import.PLQ,$A22-1,X$15-1,1,1),IF($E22&lt;&gt;1,IF(ISNUMBER(INDEX(Import.PLE,Detalhamento!$E22,Detalhamento!X$15)),IF(INDEX(Import.PLE,Detalhamento!$E22,Detalhamento!X$15)&lt;=mediçao,OFFSET(Import.PLQ,$A22-1,X$15-1,1,1),0),0),PLE!$AA$28*OFFSET(Import.PLQ,$A22-1,X$15-1,1,1)),IF($E22&lt;&gt;1,IF(ISNUMBER(INDEX(Import.PLE,Detalhamento!$E22,Detalhamento!X$15)),IF(INDEX(Import.PLE,Detalhamento!$E22,Detalhamento!X$15)&lt;=mediçao,0,OFFSET(Import.PLQ,$A22-1,X$15-1,1,1)),OFFSET(Import.PLQ,$A22-1,X$15-1,1,1)),(1-PLE!$AA$28)*OFFSET(Import.PLQ,$A22-1,X$15-1,1,1))))</f>
        <v>0</v>
      </c>
      <c r="Y22" s="145">
        <f ca="1">IF(Y$13="",0,CHOOSE(Detalhamento.OpçãoServiços,OFFSET(Import.PLQ,$A22-1,Y$15-1,1,1),IF($E22&lt;&gt;1,IF(ISNUMBER(INDEX(Import.PLE,Detalhamento!$E22,Detalhamento!Y$15)),IF(INDEX(Import.PLE,Detalhamento!$E22,Detalhamento!Y$15)&lt;=mediçao,OFFSET(Import.PLQ,$A22-1,Y$15-1,1,1),0),0),PLE!$AA$28*OFFSET(Import.PLQ,$A22-1,Y$15-1,1,1)),IF($E22&lt;&gt;1,IF(ISNUMBER(INDEX(Import.PLE,Detalhamento!$E22,Detalhamento!Y$15)),IF(INDEX(Import.PLE,Detalhamento!$E22,Detalhamento!Y$15)&lt;=mediçao,0,OFFSET(Import.PLQ,$A22-1,Y$15-1,1,1)),OFFSET(Import.PLQ,$A22-1,Y$15-1,1,1)),(1-PLE!$AA$28)*OFFSET(Import.PLQ,$A22-1,Y$15-1,1,1))))</f>
        <v>0</v>
      </c>
      <c r="Z22" s="145">
        <f ca="1">IF(Z$13="",0,CHOOSE(Detalhamento.OpçãoServiços,OFFSET(Import.PLQ,$A22-1,Z$15-1,1,1),IF($E22&lt;&gt;1,IF(ISNUMBER(INDEX(Import.PLE,Detalhamento!$E22,Detalhamento!Z$15)),IF(INDEX(Import.PLE,Detalhamento!$E22,Detalhamento!Z$15)&lt;=mediçao,OFFSET(Import.PLQ,$A22-1,Z$15-1,1,1),0),0),PLE!$AA$28*OFFSET(Import.PLQ,$A22-1,Z$15-1,1,1)),IF($E22&lt;&gt;1,IF(ISNUMBER(INDEX(Import.PLE,Detalhamento!$E22,Detalhamento!Z$15)),IF(INDEX(Import.PLE,Detalhamento!$E22,Detalhamento!Z$15)&lt;=mediçao,0,OFFSET(Import.PLQ,$A22-1,Z$15-1,1,1)),OFFSET(Import.PLQ,$A22-1,Z$15-1,1,1)),(1-PLE!$AA$28)*OFFSET(Import.PLQ,$A22-1,Z$15-1,1,1))))</f>
        <v>0</v>
      </c>
      <c r="AA22" s="145">
        <f ca="1">IF(AA$13="",0,CHOOSE(Detalhamento.OpçãoServiços,OFFSET(Import.PLQ,$A22-1,AA$15-1,1,1),IF($E22&lt;&gt;1,IF(ISNUMBER(INDEX(Import.PLE,Detalhamento!$E22,Detalhamento!AA$15)),IF(INDEX(Import.PLE,Detalhamento!$E22,Detalhamento!AA$15)&lt;=mediçao,OFFSET(Import.PLQ,$A22-1,AA$15-1,1,1),0),0),PLE!$AA$28*OFFSET(Import.PLQ,$A22-1,AA$15-1,1,1)),IF($E22&lt;&gt;1,IF(ISNUMBER(INDEX(Import.PLE,Detalhamento!$E22,Detalhamento!AA$15)),IF(INDEX(Import.PLE,Detalhamento!$E22,Detalhamento!AA$15)&lt;=mediçao,0,OFFSET(Import.PLQ,$A22-1,AA$15-1,1,1)),OFFSET(Import.PLQ,$A22-1,AA$15-1,1,1)),(1-PLE!$AA$28)*OFFSET(Import.PLQ,$A22-1,AA$15-1,1,1))))</f>
        <v>0</v>
      </c>
      <c r="AB22" s="145">
        <f ca="1">IF(AB$13="",0,CHOOSE(Detalhamento.OpçãoServiços,OFFSET(Import.PLQ,$A22-1,AB$15-1,1,1),IF($E22&lt;&gt;1,IF(ISNUMBER(INDEX(Import.PLE,Detalhamento!$E22,Detalhamento!AB$15)),IF(INDEX(Import.PLE,Detalhamento!$E22,Detalhamento!AB$15)&lt;=mediçao,OFFSET(Import.PLQ,$A22-1,AB$15-1,1,1),0),0),PLE!$AA$28*OFFSET(Import.PLQ,$A22-1,AB$15-1,1,1)),IF($E22&lt;&gt;1,IF(ISNUMBER(INDEX(Import.PLE,Detalhamento!$E22,Detalhamento!AB$15)),IF(INDEX(Import.PLE,Detalhamento!$E22,Detalhamento!AB$15)&lt;=mediçao,0,OFFSET(Import.PLQ,$A22-1,AB$15-1,1,1)),OFFSET(Import.PLQ,$A22-1,AB$15-1,1,1)),(1-PLE!$AA$28)*OFFSET(Import.PLQ,$A22-1,AB$15-1,1,1))))</f>
        <v>0</v>
      </c>
      <c r="AC22" s="145">
        <f ca="1">IF(AC$13="",0,CHOOSE(Detalhamento.OpçãoServiços,OFFSET(Import.PLQ,$A22-1,AC$15-1,1,1),IF($E22&lt;&gt;1,IF(ISNUMBER(INDEX(Import.PLE,Detalhamento!$E22,Detalhamento!AC$15)),IF(INDEX(Import.PLE,Detalhamento!$E22,Detalhamento!AC$15)&lt;=mediçao,OFFSET(Import.PLQ,$A22-1,AC$15-1,1,1),0),0),PLE!$AA$28*OFFSET(Import.PLQ,$A22-1,AC$15-1,1,1)),IF($E22&lt;&gt;1,IF(ISNUMBER(INDEX(Import.PLE,Detalhamento!$E22,Detalhamento!AC$15)),IF(INDEX(Import.PLE,Detalhamento!$E22,Detalhamento!AC$15)&lt;=mediçao,0,OFFSET(Import.PLQ,$A22-1,AC$15-1,1,1)),OFFSET(Import.PLQ,$A22-1,AC$15-1,1,1)),(1-PLE!$AA$28)*OFFSET(Import.PLQ,$A22-1,AC$15-1,1,1))))</f>
        <v>0</v>
      </c>
      <c r="AD22" s="145">
        <f ca="1">IF(AD$13="",0,CHOOSE(Detalhamento.OpçãoServiços,OFFSET(Import.PLQ,$A22-1,AD$15-1,1,1),IF($E22&lt;&gt;1,IF(ISNUMBER(INDEX(Import.PLE,Detalhamento!$E22,Detalhamento!AD$15)),IF(INDEX(Import.PLE,Detalhamento!$E22,Detalhamento!AD$15)&lt;=mediçao,OFFSET(Import.PLQ,$A22-1,AD$15-1,1,1),0),0),PLE!$AA$28*OFFSET(Import.PLQ,$A22-1,AD$15-1,1,1)),IF($E22&lt;&gt;1,IF(ISNUMBER(INDEX(Import.PLE,Detalhamento!$E22,Detalhamento!AD$15)),IF(INDEX(Import.PLE,Detalhamento!$E22,Detalhamento!AD$15)&lt;=mediçao,0,OFFSET(Import.PLQ,$A22-1,AD$15-1,1,1)),OFFSET(Import.PLQ,$A22-1,AD$15-1,1,1)),(1-PLE!$AA$28)*OFFSET(Import.PLQ,$A22-1,AD$15-1,1,1))))</f>
        <v>0</v>
      </c>
      <c r="AE22" s="145">
        <f ca="1">IF(AE$13="",0,CHOOSE(Detalhamento.OpçãoServiços,OFFSET(Import.PLQ,$A22-1,AE$15-1,1,1),IF($E22&lt;&gt;1,IF(ISNUMBER(INDEX(Import.PLE,Detalhamento!$E22,Detalhamento!AE$15)),IF(INDEX(Import.PLE,Detalhamento!$E22,Detalhamento!AE$15)&lt;=mediçao,OFFSET(Import.PLQ,$A22-1,AE$15-1,1,1),0),0),PLE!$AA$28*OFFSET(Import.PLQ,$A22-1,AE$15-1,1,1)),IF($E22&lt;&gt;1,IF(ISNUMBER(INDEX(Import.PLE,Detalhamento!$E22,Detalhamento!AE$15)),IF(INDEX(Import.PLE,Detalhamento!$E22,Detalhamento!AE$15)&lt;=mediçao,0,OFFSET(Import.PLQ,$A22-1,AE$15-1,1,1)),OFFSET(Import.PLQ,$A22-1,AE$15-1,1,1)),(1-PLE!$AA$28)*OFFSET(Import.PLQ,$A22-1,AE$15-1,1,1))))</f>
        <v>0</v>
      </c>
      <c r="AF22" s="145">
        <f ca="1">IF(AF$13="",0,CHOOSE(Detalhamento.OpçãoServiços,OFFSET(Import.PLQ,$A22-1,AF$15-1,1,1),IF($E22&lt;&gt;1,IF(ISNUMBER(INDEX(Import.PLE,Detalhamento!$E22,Detalhamento!AF$15)),IF(INDEX(Import.PLE,Detalhamento!$E22,Detalhamento!AF$15)&lt;=mediçao,OFFSET(Import.PLQ,$A22-1,AF$15-1,1,1),0),0),PLE!$AA$28*OFFSET(Import.PLQ,$A22-1,AF$15-1,1,1)),IF($E22&lt;&gt;1,IF(ISNUMBER(INDEX(Import.PLE,Detalhamento!$E22,Detalhamento!AF$15)),IF(INDEX(Import.PLE,Detalhamento!$E22,Detalhamento!AF$15)&lt;=mediçao,0,OFFSET(Import.PLQ,$A22-1,AF$15-1,1,1)),OFFSET(Import.PLQ,$A22-1,AF$15-1,1,1)),(1-PLE!$AA$28)*OFFSET(Import.PLQ,$A22-1,AF$15-1,1,1))))</f>
        <v>0</v>
      </c>
      <c r="AG22" s="145">
        <f ca="1">IF(AG$13="",0,CHOOSE(Detalhamento.OpçãoServiços,OFFSET(Import.PLQ,$A22-1,AG$15-1,1,1),IF($E22&lt;&gt;1,IF(ISNUMBER(INDEX(Import.PLE,Detalhamento!$E22,Detalhamento!AG$15)),IF(INDEX(Import.PLE,Detalhamento!$E22,Detalhamento!AG$15)&lt;=mediçao,OFFSET(Import.PLQ,$A22-1,AG$15-1,1,1),0),0),PLE!$AA$28*OFFSET(Import.PLQ,$A22-1,AG$15-1,1,1)),IF($E22&lt;&gt;1,IF(ISNUMBER(INDEX(Import.PLE,Detalhamento!$E22,Detalhamento!AG$15)),IF(INDEX(Import.PLE,Detalhamento!$E22,Detalhamento!AG$15)&lt;=mediçao,0,OFFSET(Import.PLQ,$A22-1,AG$15-1,1,1)),OFFSET(Import.PLQ,$A22-1,AG$15-1,1,1)),(1-PLE!$AA$28)*OFFSET(Import.PLQ,$A22-1,AG$15-1,1,1))))</f>
        <v>0</v>
      </c>
      <c r="AH22" s="145">
        <f ca="1">IF(AH$13="",0,CHOOSE(Detalhamento.OpçãoServiços,OFFSET(Import.PLQ,$A22-1,AH$15-1,1,1),IF($E22&lt;&gt;1,IF(ISNUMBER(INDEX(Import.PLE,Detalhamento!$E22,Detalhamento!AH$15)),IF(INDEX(Import.PLE,Detalhamento!$E22,Detalhamento!AH$15)&lt;=mediçao,OFFSET(Import.PLQ,$A22-1,AH$15-1,1,1),0),0),PLE!$AA$28*OFFSET(Import.PLQ,$A22-1,AH$15-1,1,1)),IF($E22&lt;&gt;1,IF(ISNUMBER(INDEX(Import.PLE,Detalhamento!$E22,Detalhamento!AH$15)),IF(INDEX(Import.PLE,Detalhamento!$E22,Detalhamento!AH$15)&lt;=mediçao,0,OFFSET(Import.PLQ,$A22-1,AH$15-1,1,1)),OFFSET(Import.PLQ,$A22-1,AH$15-1,1,1)),(1-PLE!$AA$28)*OFFSET(Import.PLQ,$A22-1,AH$15-1,1,1))))</f>
        <v>0</v>
      </c>
      <c r="AI22" s="145">
        <f ca="1">IF(AI$13="",0,CHOOSE(Detalhamento.OpçãoServiços,OFFSET(Import.PLQ,$A22-1,AI$15-1,1,1),IF($E22&lt;&gt;1,IF(ISNUMBER(INDEX(Import.PLE,Detalhamento!$E22,Detalhamento!AI$15)),IF(INDEX(Import.PLE,Detalhamento!$E22,Detalhamento!AI$15)&lt;=mediçao,OFFSET(Import.PLQ,$A22-1,AI$15-1,1,1),0),0),PLE!$AA$28*OFFSET(Import.PLQ,$A22-1,AI$15-1,1,1)),IF($E22&lt;&gt;1,IF(ISNUMBER(INDEX(Import.PLE,Detalhamento!$E22,Detalhamento!AI$15)),IF(INDEX(Import.PLE,Detalhamento!$E22,Detalhamento!AI$15)&lt;=mediçao,0,OFFSET(Import.PLQ,$A22-1,AI$15-1,1,1)),OFFSET(Import.PLQ,$A22-1,AI$15-1,1,1)),(1-PLE!$AA$28)*OFFSET(Import.PLQ,$A22-1,AI$15-1,1,1))))</f>
        <v>0</v>
      </c>
      <c r="AJ22" s="145">
        <f ca="1">IF(AJ$13="",0,CHOOSE(Detalhamento.OpçãoServiços,OFFSET(Import.PLQ,$A22-1,AJ$15-1,1,1),IF($E22&lt;&gt;1,IF(ISNUMBER(INDEX(Import.PLE,Detalhamento!$E22,Detalhamento!AJ$15)),IF(INDEX(Import.PLE,Detalhamento!$E22,Detalhamento!AJ$15)&lt;=mediçao,OFFSET(Import.PLQ,$A22-1,AJ$15-1,1,1),0),0),PLE!$AA$28*OFFSET(Import.PLQ,$A22-1,AJ$15-1,1,1)),IF($E22&lt;&gt;1,IF(ISNUMBER(INDEX(Import.PLE,Detalhamento!$E22,Detalhamento!AJ$15)),IF(INDEX(Import.PLE,Detalhamento!$E22,Detalhamento!AJ$15)&lt;=mediçao,0,OFFSET(Import.PLQ,$A22-1,AJ$15-1,1,1)),OFFSET(Import.PLQ,$A22-1,AJ$15-1,1,1)),(1-PLE!$AA$28)*OFFSET(Import.PLQ,$A22-1,AJ$15-1,1,1))))</f>
        <v>0</v>
      </c>
      <c r="AK22" s="145">
        <f ca="1">IF(AK$13="",0,CHOOSE(Detalhamento.OpçãoServiços,OFFSET(Import.PLQ,$A22-1,AK$15-1,1,1),IF($E22&lt;&gt;1,IF(ISNUMBER(INDEX(Import.PLE,Detalhamento!$E22,Detalhamento!AK$15)),IF(INDEX(Import.PLE,Detalhamento!$E22,Detalhamento!AK$15)&lt;=mediçao,OFFSET(Import.PLQ,$A22-1,AK$15-1,1,1),0),0),PLE!$AA$28*OFFSET(Import.PLQ,$A22-1,AK$15-1,1,1)),IF($E22&lt;&gt;1,IF(ISNUMBER(INDEX(Import.PLE,Detalhamento!$E22,Detalhamento!AK$15)),IF(INDEX(Import.PLE,Detalhamento!$E22,Detalhamento!AK$15)&lt;=mediçao,0,OFFSET(Import.PLQ,$A22-1,AK$15-1,1,1)),OFFSET(Import.PLQ,$A22-1,AK$15-1,1,1)),(1-PLE!$AA$28)*OFFSET(Import.PLQ,$A22-1,AK$15-1,1,1))))</f>
        <v>0</v>
      </c>
      <c r="AL22" s="145">
        <f ca="1">IF(AL$13="",0,CHOOSE(Detalhamento.OpçãoServiços,OFFSET(Import.PLQ,$A22-1,AL$15-1,1,1),IF($E22&lt;&gt;1,IF(ISNUMBER(INDEX(Import.PLE,Detalhamento!$E22,Detalhamento!AL$15)),IF(INDEX(Import.PLE,Detalhamento!$E22,Detalhamento!AL$15)&lt;=mediçao,OFFSET(Import.PLQ,$A22-1,AL$15-1,1,1),0),0),PLE!$AA$28*OFFSET(Import.PLQ,$A22-1,AL$15-1,1,1)),IF($E22&lt;&gt;1,IF(ISNUMBER(INDEX(Import.PLE,Detalhamento!$E22,Detalhamento!AL$15)),IF(INDEX(Import.PLE,Detalhamento!$E22,Detalhamento!AL$15)&lt;=mediçao,0,OFFSET(Import.PLQ,$A22-1,AL$15-1,1,1)),OFFSET(Import.PLQ,$A22-1,AL$15-1,1,1)),(1-PLE!$AA$28)*OFFSET(Import.PLQ,$A22-1,AL$15-1,1,1))))</f>
        <v>0</v>
      </c>
      <c r="AM22" s="145">
        <f ca="1">IF(AM$13="",0,CHOOSE(Detalhamento.OpçãoServiços,OFFSET(Import.PLQ,$A22-1,AM$15-1,1,1),IF($E22&lt;&gt;1,IF(ISNUMBER(INDEX(Import.PLE,Detalhamento!$E22,Detalhamento!AM$15)),IF(INDEX(Import.PLE,Detalhamento!$E22,Detalhamento!AM$15)&lt;=mediçao,OFFSET(Import.PLQ,$A22-1,AM$15-1,1,1),0),0),PLE!$AA$28*OFFSET(Import.PLQ,$A22-1,AM$15-1,1,1)),IF($E22&lt;&gt;1,IF(ISNUMBER(INDEX(Import.PLE,Detalhamento!$E22,Detalhamento!AM$15)),IF(INDEX(Import.PLE,Detalhamento!$E22,Detalhamento!AM$15)&lt;=mediçao,0,OFFSET(Import.PLQ,$A22-1,AM$15-1,1,1)),OFFSET(Import.PLQ,$A22-1,AM$15-1,1,1)),(1-PLE!$AA$28)*OFFSET(Import.PLQ,$A22-1,AM$15-1,1,1))))</f>
        <v>0</v>
      </c>
      <c r="AN22" s="145">
        <f ca="1">IF(AN$13="",0,CHOOSE(Detalhamento.OpçãoServiços,OFFSET(Import.PLQ,$A22-1,AN$15-1,1,1),IF($E22&lt;&gt;1,IF(ISNUMBER(INDEX(Import.PLE,Detalhamento!$E22,Detalhamento!AN$15)),IF(INDEX(Import.PLE,Detalhamento!$E22,Detalhamento!AN$15)&lt;=mediçao,OFFSET(Import.PLQ,$A22-1,AN$15-1,1,1),0),0),PLE!$AA$28*OFFSET(Import.PLQ,$A22-1,AN$15-1,1,1)),IF($E22&lt;&gt;1,IF(ISNUMBER(INDEX(Import.PLE,Detalhamento!$E22,Detalhamento!AN$15)),IF(INDEX(Import.PLE,Detalhamento!$E22,Detalhamento!AN$15)&lt;=mediçao,0,OFFSET(Import.PLQ,$A22-1,AN$15-1,1,1)),OFFSET(Import.PLQ,$A22-1,AN$15-1,1,1)),(1-PLE!$AA$28)*OFFSET(Import.PLQ,$A22-1,AN$15-1,1,1))))</f>
        <v>0</v>
      </c>
      <c r="AO22" s="145">
        <f ca="1">IF(AO$13="",0,CHOOSE(Detalhamento.OpçãoServiços,OFFSET(Import.PLQ,$A22-1,AO$15-1,1,1),IF($E22&lt;&gt;1,IF(ISNUMBER(INDEX(Import.PLE,Detalhamento!$E22,Detalhamento!AO$15)),IF(INDEX(Import.PLE,Detalhamento!$E22,Detalhamento!AO$15)&lt;=mediçao,OFFSET(Import.PLQ,$A22-1,AO$15-1,1,1),0),0),PLE!$AA$28*OFFSET(Import.PLQ,$A22-1,AO$15-1,1,1)),IF($E22&lt;&gt;1,IF(ISNUMBER(INDEX(Import.PLE,Detalhamento!$E22,Detalhamento!AO$15)),IF(INDEX(Import.PLE,Detalhamento!$E22,Detalhamento!AO$15)&lt;=mediçao,0,OFFSET(Import.PLQ,$A22-1,AO$15-1,1,1)),OFFSET(Import.PLQ,$A22-1,AO$15-1,1,1)),(1-PLE!$AA$28)*OFFSET(Import.PLQ,$A22-1,AO$15-1,1,1))))</f>
        <v>0</v>
      </c>
      <c r="AP22" s="145">
        <f ca="1">IF(AP$13="",0,CHOOSE(Detalhamento.OpçãoServiços,OFFSET(Import.PLQ,$A22-1,AP$15-1,1,1),IF($E22&lt;&gt;1,IF(ISNUMBER(INDEX(Import.PLE,Detalhamento!$E22,Detalhamento!AP$15)),IF(INDEX(Import.PLE,Detalhamento!$E22,Detalhamento!AP$15)&lt;=mediçao,OFFSET(Import.PLQ,$A22-1,AP$15-1,1,1),0),0),PLE!$AA$28*OFFSET(Import.PLQ,$A22-1,AP$15-1,1,1)),IF($E22&lt;&gt;1,IF(ISNUMBER(INDEX(Import.PLE,Detalhamento!$E22,Detalhamento!AP$15)),IF(INDEX(Import.PLE,Detalhamento!$E22,Detalhamento!AP$15)&lt;=mediçao,0,OFFSET(Import.PLQ,$A22-1,AP$15-1,1,1)),OFFSET(Import.PLQ,$A22-1,AP$15-1,1,1)),(1-PLE!$AA$28)*OFFSET(Import.PLQ,$A22-1,AP$15-1,1,1))))</f>
        <v>0</v>
      </c>
      <c r="AQ22" s="145">
        <f ca="1">IF(AQ$13="",0,CHOOSE(Detalhamento.OpçãoServiços,OFFSET(Import.PLQ,$A22-1,AQ$15-1,1,1),IF($E22&lt;&gt;1,IF(ISNUMBER(INDEX(Import.PLE,Detalhamento!$E22,Detalhamento!AQ$15)),IF(INDEX(Import.PLE,Detalhamento!$E22,Detalhamento!AQ$15)&lt;=mediçao,OFFSET(Import.PLQ,$A22-1,AQ$15-1,1,1),0),0),PLE!$AA$28*OFFSET(Import.PLQ,$A22-1,AQ$15-1,1,1)),IF($E22&lt;&gt;1,IF(ISNUMBER(INDEX(Import.PLE,Detalhamento!$E22,Detalhamento!AQ$15)),IF(INDEX(Import.PLE,Detalhamento!$E22,Detalhamento!AQ$15)&lt;=mediçao,0,OFFSET(Import.PLQ,$A22-1,AQ$15-1,1,1)),OFFSET(Import.PLQ,$A22-1,AQ$15-1,1,1)),(1-PLE!$AA$28)*OFFSET(Import.PLQ,$A22-1,AQ$15-1,1,1))))</f>
        <v>0</v>
      </c>
      <c r="AR22" s="145">
        <f ca="1">IF(AR$13="",0,CHOOSE(Detalhamento.OpçãoServiços,OFFSET(Import.PLQ,$A22-1,AR$15-1,1,1),IF($E22&lt;&gt;1,IF(ISNUMBER(INDEX(Import.PLE,Detalhamento!$E22,Detalhamento!AR$15)),IF(INDEX(Import.PLE,Detalhamento!$E22,Detalhamento!AR$15)&lt;=mediçao,OFFSET(Import.PLQ,$A22-1,AR$15-1,1,1),0),0),PLE!$AA$28*OFFSET(Import.PLQ,$A22-1,AR$15-1,1,1)),IF($E22&lt;&gt;1,IF(ISNUMBER(INDEX(Import.PLE,Detalhamento!$E22,Detalhamento!AR$15)),IF(INDEX(Import.PLE,Detalhamento!$E22,Detalhamento!AR$15)&lt;=mediçao,0,OFFSET(Import.PLQ,$A22-1,AR$15-1,1,1)),OFFSET(Import.PLQ,$A22-1,AR$15-1,1,1)),(1-PLE!$AA$28)*OFFSET(Import.PLQ,$A22-1,AR$15-1,1,1))))</f>
        <v>0</v>
      </c>
      <c r="AS22" s="145">
        <f ca="1">IF(AS$13="",0,CHOOSE(Detalhamento.OpçãoServiços,OFFSET(Import.PLQ,$A22-1,AS$15-1,1,1),IF($E22&lt;&gt;1,IF(ISNUMBER(INDEX(Import.PLE,Detalhamento!$E22,Detalhamento!AS$15)),IF(INDEX(Import.PLE,Detalhamento!$E22,Detalhamento!AS$15)&lt;=mediçao,OFFSET(Import.PLQ,$A22-1,AS$15-1,1,1),0),0),PLE!$AA$28*OFFSET(Import.PLQ,$A22-1,AS$15-1,1,1)),IF($E22&lt;&gt;1,IF(ISNUMBER(INDEX(Import.PLE,Detalhamento!$E22,Detalhamento!AS$15)),IF(INDEX(Import.PLE,Detalhamento!$E22,Detalhamento!AS$15)&lt;=mediçao,0,OFFSET(Import.PLQ,$A22-1,AS$15-1,1,1)),OFFSET(Import.PLQ,$A22-1,AS$15-1,1,1)),(1-PLE!$AA$28)*OFFSET(Import.PLQ,$A22-1,AS$15-1,1,1))))</f>
        <v>0</v>
      </c>
      <c r="AT22" s="145">
        <f ca="1">IF(AT$13="",0,CHOOSE(Detalhamento.OpçãoServiços,OFFSET(Import.PLQ,$A22-1,AT$15-1,1,1),IF($E22&lt;&gt;1,IF(ISNUMBER(INDEX(Import.PLE,Detalhamento!$E22,Detalhamento!AT$15)),IF(INDEX(Import.PLE,Detalhamento!$E22,Detalhamento!AT$15)&lt;=mediçao,OFFSET(Import.PLQ,$A22-1,AT$15-1,1,1),0),0),PLE!$AA$28*OFFSET(Import.PLQ,$A22-1,AT$15-1,1,1)),IF($E22&lt;&gt;1,IF(ISNUMBER(INDEX(Import.PLE,Detalhamento!$E22,Detalhamento!AT$15)),IF(INDEX(Import.PLE,Detalhamento!$E22,Detalhamento!AT$15)&lt;=mediçao,0,OFFSET(Import.PLQ,$A22-1,AT$15-1,1,1)),OFFSET(Import.PLQ,$A22-1,AT$15-1,1,1)),(1-PLE!$AA$28)*OFFSET(Import.PLQ,$A22-1,AT$15-1,1,1))))</f>
        <v>0</v>
      </c>
      <c r="AU22" s="145">
        <f ca="1">IF(AU$13="",0,CHOOSE(Detalhamento.OpçãoServiços,OFFSET(Import.PLQ,$A22-1,AU$15-1,1,1),IF($E22&lt;&gt;1,IF(ISNUMBER(INDEX(Import.PLE,Detalhamento!$E22,Detalhamento!AU$15)),IF(INDEX(Import.PLE,Detalhamento!$E22,Detalhamento!AU$15)&lt;=mediçao,OFFSET(Import.PLQ,$A22-1,AU$15-1,1,1),0),0),PLE!$AA$28*OFFSET(Import.PLQ,$A22-1,AU$15-1,1,1)),IF($E22&lt;&gt;1,IF(ISNUMBER(INDEX(Import.PLE,Detalhamento!$E22,Detalhamento!AU$15)),IF(INDEX(Import.PLE,Detalhamento!$E22,Detalhamento!AU$15)&lt;=mediçao,0,OFFSET(Import.PLQ,$A22-1,AU$15-1,1,1)),OFFSET(Import.PLQ,$A22-1,AU$15-1,1,1)),(1-PLE!$AA$28)*OFFSET(Import.PLQ,$A22-1,AU$15-1,1,1))))</f>
        <v>0</v>
      </c>
      <c r="AV22" s="145">
        <f ca="1">IF(AV$13="",0,CHOOSE(Detalhamento.OpçãoServiços,OFFSET(Import.PLQ,$A22-1,AV$15-1,1,1),IF($E22&lt;&gt;1,IF(ISNUMBER(INDEX(Import.PLE,Detalhamento!$E22,Detalhamento!AV$15)),IF(INDEX(Import.PLE,Detalhamento!$E22,Detalhamento!AV$15)&lt;=mediçao,OFFSET(Import.PLQ,$A22-1,AV$15-1,1,1),0),0),PLE!$AA$28*OFFSET(Import.PLQ,$A22-1,AV$15-1,1,1)),IF($E22&lt;&gt;1,IF(ISNUMBER(INDEX(Import.PLE,Detalhamento!$E22,Detalhamento!AV$15)),IF(INDEX(Import.PLE,Detalhamento!$E22,Detalhamento!AV$15)&lt;=mediçao,0,OFFSET(Import.PLQ,$A22-1,AV$15-1,1,1)),OFFSET(Import.PLQ,$A22-1,AV$15-1,1,1)),(1-PLE!$AA$28)*OFFSET(Import.PLQ,$A22-1,AV$15-1,1,1))))</f>
        <v>0</v>
      </c>
      <c r="AW22" s="145">
        <f ca="1">IF(AW$13="",0,CHOOSE(Detalhamento.OpçãoServiços,OFFSET(Import.PLQ,$A22-1,AW$15-1,1,1),IF($E22&lt;&gt;1,IF(ISNUMBER(INDEX(Import.PLE,Detalhamento!$E22,Detalhamento!AW$15)),IF(INDEX(Import.PLE,Detalhamento!$E22,Detalhamento!AW$15)&lt;=mediçao,OFFSET(Import.PLQ,$A22-1,AW$15-1,1,1),0),0),PLE!$AA$28*OFFSET(Import.PLQ,$A22-1,AW$15-1,1,1)),IF($E22&lt;&gt;1,IF(ISNUMBER(INDEX(Import.PLE,Detalhamento!$E22,Detalhamento!AW$15)),IF(INDEX(Import.PLE,Detalhamento!$E22,Detalhamento!AW$15)&lt;=mediçao,0,OFFSET(Import.PLQ,$A22-1,AW$15-1,1,1)),OFFSET(Import.PLQ,$A22-1,AW$15-1,1,1)),(1-PLE!$AA$28)*OFFSET(Import.PLQ,$A22-1,AW$15-1,1,1))))</f>
        <v>0</v>
      </c>
      <c r="AX22" s="145">
        <f ca="1">IF(AX$13="",0,CHOOSE(Detalhamento.OpçãoServiços,OFFSET(Import.PLQ,$A22-1,AX$15-1,1,1),IF($E22&lt;&gt;1,IF(ISNUMBER(INDEX(Import.PLE,Detalhamento!$E22,Detalhamento!AX$15)),IF(INDEX(Import.PLE,Detalhamento!$E22,Detalhamento!AX$15)&lt;=mediçao,OFFSET(Import.PLQ,$A22-1,AX$15-1,1,1),0),0),PLE!$AA$28*OFFSET(Import.PLQ,$A22-1,AX$15-1,1,1)),IF($E22&lt;&gt;1,IF(ISNUMBER(INDEX(Import.PLE,Detalhamento!$E22,Detalhamento!AX$15)),IF(INDEX(Import.PLE,Detalhamento!$E22,Detalhamento!AX$15)&lt;=mediçao,0,OFFSET(Import.PLQ,$A22-1,AX$15-1,1,1)),OFFSET(Import.PLQ,$A22-1,AX$15-1,1,1)),(1-PLE!$AA$28)*OFFSET(Import.PLQ,$A22-1,AX$15-1,1,1))))</f>
        <v>0</v>
      </c>
      <c r="AY22" s="145">
        <f ca="1">IF(AY$13="",0,CHOOSE(Detalhamento.OpçãoServiços,OFFSET(Import.PLQ,$A22-1,AY$15-1,1,1),IF($E22&lt;&gt;1,IF(ISNUMBER(INDEX(Import.PLE,Detalhamento!$E22,Detalhamento!AY$15)),IF(INDEX(Import.PLE,Detalhamento!$E22,Detalhamento!AY$15)&lt;=mediçao,OFFSET(Import.PLQ,$A22-1,AY$15-1,1,1),0),0),PLE!$AA$28*OFFSET(Import.PLQ,$A22-1,AY$15-1,1,1)),IF($E22&lt;&gt;1,IF(ISNUMBER(INDEX(Import.PLE,Detalhamento!$E22,Detalhamento!AY$15)),IF(INDEX(Import.PLE,Detalhamento!$E22,Detalhamento!AY$15)&lt;=mediçao,0,OFFSET(Import.PLQ,$A22-1,AY$15-1,1,1)),OFFSET(Import.PLQ,$A22-1,AY$15-1,1,1)),(1-PLE!$AA$28)*OFFSET(Import.PLQ,$A22-1,AY$15-1,1,1))))</f>
        <v>0</v>
      </c>
      <c r="AZ22" s="145">
        <f ca="1">IF(AZ$13="",0,CHOOSE(Detalhamento.OpçãoServiços,OFFSET(Import.PLQ,$A22-1,AZ$15-1,1,1),IF($E22&lt;&gt;1,IF(ISNUMBER(INDEX(Import.PLE,Detalhamento!$E22,Detalhamento!AZ$15)),IF(INDEX(Import.PLE,Detalhamento!$E22,Detalhamento!AZ$15)&lt;=mediçao,OFFSET(Import.PLQ,$A22-1,AZ$15-1,1,1),0),0),PLE!$AA$28*OFFSET(Import.PLQ,$A22-1,AZ$15-1,1,1)),IF($E22&lt;&gt;1,IF(ISNUMBER(INDEX(Import.PLE,Detalhamento!$E22,Detalhamento!AZ$15)),IF(INDEX(Import.PLE,Detalhamento!$E22,Detalhamento!AZ$15)&lt;=mediçao,0,OFFSET(Import.PLQ,$A22-1,AZ$15-1,1,1)),OFFSET(Import.PLQ,$A22-1,AZ$15-1,1,1)),(1-PLE!$AA$28)*OFFSET(Import.PLQ,$A22-1,AZ$15-1,1,1))))</f>
        <v>0</v>
      </c>
      <c r="BA22" s="145">
        <f ca="1">IF(BA$13="",0,CHOOSE(Detalhamento.OpçãoServiços,OFFSET(Import.PLQ,$A22-1,BA$15-1,1,1),IF($E22&lt;&gt;1,IF(ISNUMBER(INDEX(Import.PLE,Detalhamento!$E22,Detalhamento!BA$15)),IF(INDEX(Import.PLE,Detalhamento!$E22,Detalhamento!BA$15)&lt;=mediçao,OFFSET(Import.PLQ,$A22-1,BA$15-1,1,1),0),0),PLE!$AA$28*OFFSET(Import.PLQ,$A22-1,BA$15-1,1,1)),IF($E22&lt;&gt;1,IF(ISNUMBER(INDEX(Import.PLE,Detalhamento!$E22,Detalhamento!BA$15)),IF(INDEX(Import.PLE,Detalhamento!$E22,Detalhamento!BA$15)&lt;=mediçao,0,OFFSET(Import.PLQ,$A22-1,BA$15-1,1,1)),OFFSET(Import.PLQ,$A22-1,BA$15-1,1,1)),(1-PLE!$AA$28)*OFFSET(Import.PLQ,$A22-1,BA$15-1,1,1))))</f>
        <v>0</v>
      </c>
      <c r="BB22" s="145">
        <f ca="1">IF(BB$13="",0,CHOOSE(Detalhamento.OpçãoServiços,OFFSET(Import.PLQ,$A22-1,BB$15-1,1,1),IF($E22&lt;&gt;1,IF(ISNUMBER(INDEX(Import.PLE,Detalhamento!$E22,Detalhamento!BB$15)),IF(INDEX(Import.PLE,Detalhamento!$E22,Detalhamento!BB$15)&lt;=mediçao,OFFSET(Import.PLQ,$A22-1,BB$15-1,1,1),0),0),PLE!$AA$28*OFFSET(Import.PLQ,$A22-1,BB$15-1,1,1)),IF($E22&lt;&gt;1,IF(ISNUMBER(INDEX(Import.PLE,Detalhamento!$E22,Detalhamento!BB$15)),IF(INDEX(Import.PLE,Detalhamento!$E22,Detalhamento!BB$15)&lt;=mediçao,0,OFFSET(Import.PLQ,$A22-1,BB$15-1,1,1)),OFFSET(Import.PLQ,$A22-1,BB$15-1,1,1)),(1-PLE!$AA$28)*OFFSET(Import.PLQ,$A22-1,BB$15-1,1,1))))</f>
        <v>0</v>
      </c>
      <c r="BC22" s="145">
        <f ca="1">IF(BC$13="",0,CHOOSE(Detalhamento.OpçãoServiços,OFFSET(Import.PLQ,$A22-1,BC$15-1,1,1),IF($E22&lt;&gt;1,IF(ISNUMBER(INDEX(Import.PLE,Detalhamento!$E22,Detalhamento!BC$15)),IF(INDEX(Import.PLE,Detalhamento!$E22,Detalhamento!BC$15)&lt;=mediçao,OFFSET(Import.PLQ,$A22-1,BC$15-1,1,1),0),0),PLE!$AA$28*OFFSET(Import.PLQ,$A22-1,BC$15-1,1,1)),IF($E22&lt;&gt;1,IF(ISNUMBER(INDEX(Import.PLE,Detalhamento!$E22,Detalhamento!BC$15)),IF(INDEX(Import.PLE,Detalhamento!$E22,Detalhamento!BC$15)&lt;=mediçao,0,OFFSET(Import.PLQ,$A22-1,BC$15-1,1,1)),OFFSET(Import.PLQ,$A22-1,BC$15-1,1,1)),(1-PLE!$AA$28)*OFFSET(Import.PLQ,$A22-1,BC$15-1,1,1))))</f>
        <v>0</v>
      </c>
      <c r="BD22" s="145">
        <f ca="1">IF(BD$13="",0,CHOOSE(Detalhamento.OpçãoServiços,OFFSET(Import.PLQ,$A22-1,BD$15-1,1,1),IF($E22&lt;&gt;1,IF(ISNUMBER(INDEX(Import.PLE,Detalhamento!$E22,Detalhamento!BD$15)),IF(INDEX(Import.PLE,Detalhamento!$E22,Detalhamento!BD$15)&lt;=mediçao,OFFSET(Import.PLQ,$A22-1,BD$15-1,1,1),0),0),PLE!$AA$28*OFFSET(Import.PLQ,$A22-1,BD$15-1,1,1)),IF($E22&lt;&gt;1,IF(ISNUMBER(INDEX(Import.PLE,Detalhamento!$E22,Detalhamento!BD$15)),IF(INDEX(Import.PLE,Detalhamento!$E22,Detalhamento!BD$15)&lt;=mediçao,0,OFFSET(Import.PLQ,$A22-1,BD$15-1,1,1)),OFFSET(Import.PLQ,$A22-1,BD$15-1,1,1)),(1-PLE!$AA$28)*OFFSET(Import.PLQ,$A22-1,BD$15-1,1,1))))</f>
        <v>0</v>
      </c>
      <c r="BE22" s="145">
        <f ca="1">IF(BE$13="",0,CHOOSE(Detalhamento.OpçãoServiços,OFFSET(Import.PLQ,$A22-1,BE$15-1,1,1),IF($E22&lt;&gt;1,IF(ISNUMBER(INDEX(Import.PLE,Detalhamento!$E22,Detalhamento!BE$15)),IF(INDEX(Import.PLE,Detalhamento!$E22,Detalhamento!BE$15)&lt;=mediçao,OFFSET(Import.PLQ,$A22-1,BE$15-1,1,1),0),0),PLE!$AA$28*OFFSET(Import.PLQ,$A22-1,BE$15-1,1,1)),IF($E22&lt;&gt;1,IF(ISNUMBER(INDEX(Import.PLE,Detalhamento!$E22,Detalhamento!BE$15)),IF(INDEX(Import.PLE,Detalhamento!$E22,Detalhamento!BE$15)&lt;=mediçao,0,OFFSET(Import.PLQ,$A22-1,BE$15-1,1,1)),OFFSET(Import.PLQ,$A22-1,BE$15-1,1,1)),(1-PLE!$AA$28)*OFFSET(Import.PLQ,$A22-1,BE$15-1,1,1))))</f>
        <v>0</v>
      </c>
      <c r="BF22" s="145">
        <f ca="1">IF(BF$13="",0,CHOOSE(Detalhamento.OpçãoServiços,OFFSET(Import.PLQ,$A22-1,BF$15-1,1,1),IF($E22&lt;&gt;1,IF(ISNUMBER(INDEX(Import.PLE,Detalhamento!$E22,Detalhamento!BF$15)),IF(INDEX(Import.PLE,Detalhamento!$E22,Detalhamento!BF$15)&lt;=mediçao,OFFSET(Import.PLQ,$A22-1,BF$15-1,1,1),0),0),PLE!$AA$28*OFFSET(Import.PLQ,$A22-1,BF$15-1,1,1)),IF($E22&lt;&gt;1,IF(ISNUMBER(INDEX(Import.PLE,Detalhamento!$E22,Detalhamento!BF$15)),IF(INDEX(Import.PLE,Detalhamento!$E22,Detalhamento!BF$15)&lt;=mediçao,0,OFFSET(Import.PLQ,$A22-1,BF$15-1,1,1)),OFFSET(Import.PLQ,$A22-1,BF$15-1,1,1)),(1-PLE!$AA$28)*OFFSET(Import.PLQ,$A22-1,BF$15-1,1,1))))</f>
        <v>0</v>
      </c>
      <c r="BG22" s="145">
        <f ca="1">IF(BG$13="",0,CHOOSE(Detalhamento.OpçãoServiços,OFFSET(Import.PLQ,$A22-1,BG$15-1,1,1),IF($E22&lt;&gt;1,IF(ISNUMBER(INDEX(Import.PLE,Detalhamento!$E22,Detalhamento!BG$15)),IF(INDEX(Import.PLE,Detalhamento!$E22,Detalhamento!BG$15)&lt;=mediçao,OFFSET(Import.PLQ,$A22-1,BG$15-1,1,1),0),0),PLE!$AA$28*OFFSET(Import.PLQ,$A22-1,BG$15-1,1,1)),IF($E22&lt;&gt;1,IF(ISNUMBER(INDEX(Import.PLE,Detalhamento!$E22,Detalhamento!BG$15)),IF(INDEX(Import.PLE,Detalhamento!$E22,Detalhamento!BG$15)&lt;=mediçao,0,OFFSET(Import.PLQ,$A22-1,BG$15-1,1,1)),OFFSET(Import.PLQ,$A22-1,BG$15-1,1,1)),(1-PLE!$AA$28)*OFFSET(Import.PLQ,$A22-1,BG$15-1,1,1))))</f>
        <v>0</v>
      </c>
      <c r="BH22" s="145">
        <f ca="1">IF(BH$13="",0,CHOOSE(Detalhamento.OpçãoServiços,OFFSET(Import.PLQ,$A22-1,BH$15-1,1,1),IF($E22&lt;&gt;1,IF(ISNUMBER(INDEX(Import.PLE,Detalhamento!$E22,Detalhamento!BH$15)),IF(INDEX(Import.PLE,Detalhamento!$E22,Detalhamento!BH$15)&lt;=mediçao,OFFSET(Import.PLQ,$A22-1,BH$15-1,1,1),0),0),PLE!$AA$28*OFFSET(Import.PLQ,$A22-1,BH$15-1,1,1)),IF($E22&lt;&gt;1,IF(ISNUMBER(INDEX(Import.PLE,Detalhamento!$E22,Detalhamento!BH$15)),IF(INDEX(Import.PLE,Detalhamento!$E22,Detalhamento!BH$15)&lt;=mediçao,0,OFFSET(Import.PLQ,$A22-1,BH$15-1,1,1)),OFFSET(Import.PLQ,$A22-1,BH$15-1,1,1)),(1-PLE!$AA$28)*OFFSET(Import.PLQ,$A22-1,BH$15-1,1,1))))</f>
        <v>0</v>
      </c>
      <c r="BI22" s="145">
        <f ca="1">IF(BI$13="",0,CHOOSE(Detalhamento.OpçãoServiços,OFFSET(Import.PLQ,$A22-1,BI$15-1,1,1),IF($E22&lt;&gt;1,IF(ISNUMBER(INDEX(Import.PLE,Detalhamento!$E22,Detalhamento!BI$15)),IF(INDEX(Import.PLE,Detalhamento!$E22,Detalhamento!BI$15)&lt;=mediçao,OFFSET(Import.PLQ,$A22-1,BI$15-1,1,1),0),0),PLE!$AA$28*OFFSET(Import.PLQ,$A22-1,BI$15-1,1,1)),IF($E22&lt;&gt;1,IF(ISNUMBER(INDEX(Import.PLE,Detalhamento!$E22,Detalhamento!BI$15)),IF(INDEX(Import.PLE,Detalhamento!$E22,Detalhamento!BI$15)&lt;=mediçao,0,OFFSET(Import.PLQ,$A22-1,BI$15-1,1,1)),OFFSET(Import.PLQ,$A22-1,BI$15-1,1,1)),(1-PLE!$AA$28)*OFFSET(Import.PLQ,$A22-1,BI$15-1,1,1))))</f>
        <v>0</v>
      </c>
    </row>
    <row r="23" spans="1:61" ht="22.5" x14ac:dyDescent="0.2">
      <c r="A23" s="156">
        <v>3</v>
      </c>
      <c r="B23" s="21" t="str">
        <f t="shared" ca="1" si="8"/>
        <v>Serviço</v>
      </c>
      <c r="E23" s="154">
        <f t="shared" ca="1" si="9"/>
        <v>2</v>
      </c>
      <c r="F23" s="155">
        <f t="shared" ca="1" si="10"/>
        <v>20003</v>
      </c>
      <c r="G23" s="155" t="str">
        <f t="shared" ca="1" si="11"/>
        <v>1.1</v>
      </c>
      <c r="H23" s="183" t="str">
        <f t="shared" ca="1" si="11"/>
        <v>Placa indicativa da obra em chapa de aço galvanizado (4,0m x 2,0m)</v>
      </c>
      <c r="I23" s="37" t="str">
        <f t="shared" ca="1" si="12"/>
        <v>m²</v>
      </c>
      <c r="J23" s="145">
        <f t="shared" ca="1" si="13"/>
        <v>8</v>
      </c>
      <c r="K23" s="67"/>
      <c r="L23" s="145">
        <f ca="1">IF(L$13="",0,CHOOSE(Detalhamento.OpçãoServiços,OFFSET(Import.PLQ,$A23-1,L$15-1,1,1),IF($E23&lt;&gt;1,IF(ISNUMBER(INDEX(Import.PLE,Detalhamento!$E23,Detalhamento!L$15)),IF(INDEX(Import.PLE,Detalhamento!$E23,Detalhamento!L$15)&lt;=mediçao,OFFSET(Import.PLQ,$A23-1,L$15-1,1,1),0),0),PLE!$AA$28*OFFSET(Import.PLQ,$A23-1,L$15-1,1,1)),IF($E23&lt;&gt;1,IF(ISNUMBER(INDEX(Import.PLE,Detalhamento!$E23,Detalhamento!L$15)),IF(INDEX(Import.PLE,Detalhamento!$E23,Detalhamento!L$15)&lt;=mediçao,0,OFFSET(Import.PLQ,$A23-1,L$15-1,1,1)),OFFSET(Import.PLQ,$A23-1,L$15-1,1,1)),(1-PLE!$AA$28)*OFFSET(Import.PLQ,$A23-1,L$15-1,1,1))))</f>
        <v>8</v>
      </c>
      <c r="M23" s="145">
        <f ca="1">IF(M$13="",0,CHOOSE(Detalhamento.OpçãoServiços,OFFSET(Import.PLQ,$A23-1,M$15-1,1,1),IF($E23&lt;&gt;1,IF(ISNUMBER(INDEX(Import.PLE,Detalhamento!$E23,Detalhamento!M$15)),IF(INDEX(Import.PLE,Detalhamento!$E23,Detalhamento!M$15)&lt;=mediçao,OFFSET(Import.PLQ,$A23-1,M$15-1,1,1),0),0),PLE!$AA$28*OFFSET(Import.PLQ,$A23-1,M$15-1,1,1)),IF($E23&lt;&gt;1,IF(ISNUMBER(INDEX(Import.PLE,Detalhamento!$E23,Detalhamento!M$15)),IF(INDEX(Import.PLE,Detalhamento!$E23,Detalhamento!M$15)&lt;=mediçao,0,OFFSET(Import.PLQ,$A23-1,M$15-1,1,1)),OFFSET(Import.PLQ,$A23-1,M$15-1,1,1)),(1-PLE!$AA$28)*OFFSET(Import.PLQ,$A23-1,M$15-1,1,1))))</f>
        <v>0</v>
      </c>
      <c r="N23" s="145">
        <f ca="1">IF(N$13="",0,CHOOSE(Detalhamento.OpçãoServiços,OFFSET(Import.PLQ,$A23-1,N$15-1,1,1),IF($E23&lt;&gt;1,IF(ISNUMBER(INDEX(Import.PLE,Detalhamento!$E23,Detalhamento!N$15)),IF(INDEX(Import.PLE,Detalhamento!$E23,Detalhamento!N$15)&lt;=mediçao,OFFSET(Import.PLQ,$A23-1,N$15-1,1,1),0),0),PLE!$AA$28*OFFSET(Import.PLQ,$A23-1,N$15-1,1,1)),IF($E23&lt;&gt;1,IF(ISNUMBER(INDEX(Import.PLE,Detalhamento!$E23,Detalhamento!N$15)),IF(INDEX(Import.PLE,Detalhamento!$E23,Detalhamento!N$15)&lt;=mediçao,0,OFFSET(Import.PLQ,$A23-1,N$15-1,1,1)),OFFSET(Import.PLQ,$A23-1,N$15-1,1,1)),(1-PLE!$AA$28)*OFFSET(Import.PLQ,$A23-1,N$15-1,1,1))))</f>
        <v>0</v>
      </c>
      <c r="O23" s="145">
        <f ca="1">IF(O$13="",0,CHOOSE(Detalhamento.OpçãoServiços,OFFSET(Import.PLQ,$A23-1,O$15-1,1,1),IF($E23&lt;&gt;1,IF(ISNUMBER(INDEX(Import.PLE,Detalhamento!$E23,Detalhamento!O$15)),IF(INDEX(Import.PLE,Detalhamento!$E23,Detalhamento!O$15)&lt;=mediçao,OFFSET(Import.PLQ,$A23-1,O$15-1,1,1),0),0),PLE!$AA$28*OFFSET(Import.PLQ,$A23-1,O$15-1,1,1)),IF($E23&lt;&gt;1,IF(ISNUMBER(INDEX(Import.PLE,Detalhamento!$E23,Detalhamento!O$15)),IF(INDEX(Import.PLE,Detalhamento!$E23,Detalhamento!O$15)&lt;=mediçao,0,OFFSET(Import.PLQ,$A23-1,O$15-1,1,1)),OFFSET(Import.PLQ,$A23-1,O$15-1,1,1)),(1-PLE!$AA$28)*OFFSET(Import.PLQ,$A23-1,O$15-1,1,1))))</f>
        <v>0</v>
      </c>
      <c r="P23" s="145">
        <f ca="1">IF(P$13="",0,CHOOSE(Detalhamento.OpçãoServiços,OFFSET(Import.PLQ,$A23-1,P$15-1,1,1),IF($E23&lt;&gt;1,IF(ISNUMBER(INDEX(Import.PLE,Detalhamento!$E23,Detalhamento!P$15)),IF(INDEX(Import.PLE,Detalhamento!$E23,Detalhamento!P$15)&lt;=mediçao,OFFSET(Import.PLQ,$A23-1,P$15-1,1,1),0),0),PLE!$AA$28*OFFSET(Import.PLQ,$A23-1,P$15-1,1,1)),IF($E23&lt;&gt;1,IF(ISNUMBER(INDEX(Import.PLE,Detalhamento!$E23,Detalhamento!P$15)),IF(INDEX(Import.PLE,Detalhamento!$E23,Detalhamento!P$15)&lt;=mediçao,0,OFFSET(Import.PLQ,$A23-1,P$15-1,1,1)),OFFSET(Import.PLQ,$A23-1,P$15-1,1,1)),(1-PLE!$AA$28)*OFFSET(Import.PLQ,$A23-1,P$15-1,1,1))))</f>
        <v>0</v>
      </c>
      <c r="Q23" s="145">
        <f ca="1">IF(Q$13="",0,CHOOSE(Detalhamento.OpçãoServiços,OFFSET(Import.PLQ,$A23-1,Q$15-1,1,1),IF($E23&lt;&gt;1,IF(ISNUMBER(INDEX(Import.PLE,Detalhamento!$E23,Detalhamento!Q$15)),IF(INDEX(Import.PLE,Detalhamento!$E23,Detalhamento!Q$15)&lt;=mediçao,OFFSET(Import.PLQ,$A23-1,Q$15-1,1,1),0),0),PLE!$AA$28*OFFSET(Import.PLQ,$A23-1,Q$15-1,1,1)),IF($E23&lt;&gt;1,IF(ISNUMBER(INDEX(Import.PLE,Detalhamento!$E23,Detalhamento!Q$15)),IF(INDEX(Import.PLE,Detalhamento!$E23,Detalhamento!Q$15)&lt;=mediçao,0,OFFSET(Import.PLQ,$A23-1,Q$15-1,1,1)),OFFSET(Import.PLQ,$A23-1,Q$15-1,1,1)),(1-PLE!$AA$28)*OFFSET(Import.PLQ,$A23-1,Q$15-1,1,1))))</f>
        <v>0</v>
      </c>
      <c r="R23" s="145">
        <f ca="1">IF(R$13="",0,CHOOSE(Detalhamento.OpçãoServiços,OFFSET(Import.PLQ,$A23-1,R$15-1,1,1),IF($E23&lt;&gt;1,IF(ISNUMBER(INDEX(Import.PLE,Detalhamento!$E23,Detalhamento!R$15)),IF(INDEX(Import.PLE,Detalhamento!$E23,Detalhamento!R$15)&lt;=mediçao,OFFSET(Import.PLQ,$A23-1,R$15-1,1,1),0),0),PLE!$AA$28*OFFSET(Import.PLQ,$A23-1,R$15-1,1,1)),IF($E23&lt;&gt;1,IF(ISNUMBER(INDEX(Import.PLE,Detalhamento!$E23,Detalhamento!R$15)),IF(INDEX(Import.PLE,Detalhamento!$E23,Detalhamento!R$15)&lt;=mediçao,0,OFFSET(Import.PLQ,$A23-1,R$15-1,1,1)),OFFSET(Import.PLQ,$A23-1,R$15-1,1,1)),(1-PLE!$AA$28)*OFFSET(Import.PLQ,$A23-1,R$15-1,1,1))))</f>
        <v>0</v>
      </c>
      <c r="S23" s="145">
        <f ca="1">IF(S$13="",0,CHOOSE(Detalhamento.OpçãoServiços,OFFSET(Import.PLQ,$A23-1,S$15-1,1,1),IF($E23&lt;&gt;1,IF(ISNUMBER(INDEX(Import.PLE,Detalhamento!$E23,Detalhamento!S$15)),IF(INDEX(Import.PLE,Detalhamento!$E23,Detalhamento!S$15)&lt;=mediçao,OFFSET(Import.PLQ,$A23-1,S$15-1,1,1),0),0),PLE!$AA$28*OFFSET(Import.PLQ,$A23-1,S$15-1,1,1)),IF($E23&lt;&gt;1,IF(ISNUMBER(INDEX(Import.PLE,Detalhamento!$E23,Detalhamento!S$15)),IF(INDEX(Import.PLE,Detalhamento!$E23,Detalhamento!S$15)&lt;=mediçao,0,OFFSET(Import.PLQ,$A23-1,S$15-1,1,1)),OFFSET(Import.PLQ,$A23-1,S$15-1,1,1)),(1-PLE!$AA$28)*OFFSET(Import.PLQ,$A23-1,S$15-1,1,1))))</f>
        <v>0</v>
      </c>
      <c r="T23" s="145">
        <f ca="1">IF(T$13="",0,CHOOSE(Detalhamento.OpçãoServiços,OFFSET(Import.PLQ,$A23-1,T$15-1,1,1),IF($E23&lt;&gt;1,IF(ISNUMBER(INDEX(Import.PLE,Detalhamento!$E23,Detalhamento!T$15)),IF(INDEX(Import.PLE,Detalhamento!$E23,Detalhamento!T$15)&lt;=mediçao,OFFSET(Import.PLQ,$A23-1,T$15-1,1,1),0),0),PLE!$AA$28*OFFSET(Import.PLQ,$A23-1,T$15-1,1,1)),IF($E23&lt;&gt;1,IF(ISNUMBER(INDEX(Import.PLE,Detalhamento!$E23,Detalhamento!T$15)),IF(INDEX(Import.PLE,Detalhamento!$E23,Detalhamento!T$15)&lt;=mediçao,0,OFFSET(Import.PLQ,$A23-1,T$15-1,1,1)),OFFSET(Import.PLQ,$A23-1,T$15-1,1,1)),(1-PLE!$AA$28)*OFFSET(Import.PLQ,$A23-1,T$15-1,1,1))))</f>
        <v>0</v>
      </c>
      <c r="U23" s="145">
        <f ca="1">IF(U$13="",0,CHOOSE(Detalhamento.OpçãoServiços,OFFSET(Import.PLQ,$A23-1,U$15-1,1,1),IF($E23&lt;&gt;1,IF(ISNUMBER(INDEX(Import.PLE,Detalhamento!$E23,Detalhamento!U$15)),IF(INDEX(Import.PLE,Detalhamento!$E23,Detalhamento!U$15)&lt;=mediçao,OFFSET(Import.PLQ,$A23-1,U$15-1,1,1),0),0),PLE!$AA$28*OFFSET(Import.PLQ,$A23-1,U$15-1,1,1)),IF($E23&lt;&gt;1,IF(ISNUMBER(INDEX(Import.PLE,Detalhamento!$E23,Detalhamento!U$15)),IF(INDEX(Import.PLE,Detalhamento!$E23,Detalhamento!U$15)&lt;=mediçao,0,OFFSET(Import.PLQ,$A23-1,U$15-1,1,1)),OFFSET(Import.PLQ,$A23-1,U$15-1,1,1)),(1-PLE!$AA$28)*OFFSET(Import.PLQ,$A23-1,U$15-1,1,1))))</f>
        <v>0</v>
      </c>
      <c r="V23" s="145">
        <f ca="1">IF(V$13="",0,CHOOSE(Detalhamento.OpçãoServiços,OFFSET(Import.PLQ,$A23-1,V$15-1,1,1),IF($E23&lt;&gt;1,IF(ISNUMBER(INDEX(Import.PLE,Detalhamento!$E23,Detalhamento!V$15)),IF(INDEX(Import.PLE,Detalhamento!$E23,Detalhamento!V$15)&lt;=mediçao,OFFSET(Import.PLQ,$A23-1,V$15-1,1,1),0),0),PLE!$AA$28*OFFSET(Import.PLQ,$A23-1,V$15-1,1,1)),IF($E23&lt;&gt;1,IF(ISNUMBER(INDEX(Import.PLE,Detalhamento!$E23,Detalhamento!V$15)),IF(INDEX(Import.PLE,Detalhamento!$E23,Detalhamento!V$15)&lt;=mediçao,0,OFFSET(Import.PLQ,$A23-1,V$15-1,1,1)),OFFSET(Import.PLQ,$A23-1,V$15-1,1,1)),(1-PLE!$AA$28)*OFFSET(Import.PLQ,$A23-1,V$15-1,1,1))))</f>
        <v>0</v>
      </c>
      <c r="W23" s="145">
        <f ca="1">IF(W$13="",0,CHOOSE(Detalhamento.OpçãoServiços,OFFSET(Import.PLQ,$A23-1,W$15-1,1,1),IF($E23&lt;&gt;1,IF(ISNUMBER(INDEX(Import.PLE,Detalhamento!$E23,Detalhamento!W$15)),IF(INDEX(Import.PLE,Detalhamento!$E23,Detalhamento!W$15)&lt;=mediçao,OFFSET(Import.PLQ,$A23-1,W$15-1,1,1),0),0),PLE!$AA$28*OFFSET(Import.PLQ,$A23-1,W$15-1,1,1)),IF($E23&lt;&gt;1,IF(ISNUMBER(INDEX(Import.PLE,Detalhamento!$E23,Detalhamento!W$15)),IF(INDEX(Import.PLE,Detalhamento!$E23,Detalhamento!W$15)&lt;=mediçao,0,OFFSET(Import.PLQ,$A23-1,W$15-1,1,1)),OFFSET(Import.PLQ,$A23-1,W$15-1,1,1)),(1-PLE!$AA$28)*OFFSET(Import.PLQ,$A23-1,W$15-1,1,1))))</f>
        <v>0</v>
      </c>
      <c r="X23" s="145">
        <f ca="1">IF(X$13="",0,CHOOSE(Detalhamento.OpçãoServiços,OFFSET(Import.PLQ,$A23-1,X$15-1,1,1),IF($E23&lt;&gt;1,IF(ISNUMBER(INDEX(Import.PLE,Detalhamento!$E23,Detalhamento!X$15)),IF(INDEX(Import.PLE,Detalhamento!$E23,Detalhamento!X$15)&lt;=mediçao,OFFSET(Import.PLQ,$A23-1,X$15-1,1,1),0),0),PLE!$AA$28*OFFSET(Import.PLQ,$A23-1,X$15-1,1,1)),IF($E23&lt;&gt;1,IF(ISNUMBER(INDEX(Import.PLE,Detalhamento!$E23,Detalhamento!X$15)),IF(INDEX(Import.PLE,Detalhamento!$E23,Detalhamento!X$15)&lt;=mediçao,0,OFFSET(Import.PLQ,$A23-1,X$15-1,1,1)),OFFSET(Import.PLQ,$A23-1,X$15-1,1,1)),(1-PLE!$AA$28)*OFFSET(Import.PLQ,$A23-1,X$15-1,1,1))))</f>
        <v>0</v>
      </c>
      <c r="Y23" s="145">
        <f ca="1">IF(Y$13="",0,CHOOSE(Detalhamento.OpçãoServiços,OFFSET(Import.PLQ,$A23-1,Y$15-1,1,1),IF($E23&lt;&gt;1,IF(ISNUMBER(INDEX(Import.PLE,Detalhamento!$E23,Detalhamento!Y$15)),IF(INDEX(Import.PLE,Detalhamento!$E23,Detalhamento!Y$15)&lt;=mediçao,OFFSET(Import.PLQ,$A23-1,Y$15-1,1,1),0),0),PLE!$AA$28*OFFSET(Import.PLQ,$A23-1,Y$15-1,1,1)),IF($E23&lt;&gt;1,IF(ISNUMBER(INDEX(Import.PLE,Detalhamento!$E23,Detalhamento!Y$15)),IF(INDEX(Import.PLE,Detalhamento!$E23,Detalhamento!Y$15)&lt;=mediçao,0,OFFSET(Import.PLQ,$A23-1,Y$15-1,1,1)),OFFSET(Import.PLQ,$A23-1,Y$15-1,1,1)),(1-PLE!$AA$28)*OFFSET(Import.PLQ,$A23-1,Y$15-1,1,1))))</f>
        <v>0</v>
      </c>
      <c r="Z23" s="145">
        <f ca="1">IF(Z$13="",0,CHOOSE(Detalhamento.OpçãoServiços,OFFSET(Import.PLQ,$A23-1,Z$15-1,1,1),IF($E23&lt;&gt;1,IF(ISNUMBER(INDEX(Import.PLE,Detalhamento!$E23,Detalhamento!Z$15)),IF(INDEX(Import.PLE,Detalhamento!$E23,Detalhamento!Z$15)&lt;=mediçao,OFFSET(Import.PLQ,$A23-1,Z$15-1,1,1),0),0),PLE!$AA$28*OFFSET(Import.PLQ,$A23-1,Z$15-1,1,1)),IF($E23&lt;&gt;1,IF(ISNUMBER(INDEX(Import.PLE,Detalhamento!$E23,Detalhamento!Z$15)),IF(INDEX(Import.PLE,Detalhamento!$E23,Detalhamento!Z$15)&lt;=mediçao,0,OFFSET(Import.PLQ,$A23-1,Z$15-1,1,1)),OFFSET(Import.PLQ,$A23-1,Z$15-1,1,1)),(1-PLE!$AA$28)*OFFSET(Import.PLQ,$A23-1,Z$15-1,1,1))))</f>
        <v>0</v>
      </c>
      <c r="AA23" s="145">
        <f ca="1">IF(AA$13="",0,CHOOSE(Detalhamento.OpçãoServiços,OFFSET(Import.PLQ,$A23-1,AA$15-1,1,1),IF($E23&lt;&gt;1,IF(ISNUMBER(INDEX(Import.PLE,Detalhamento!$E23,Detalhamento!AA$15)),IF(INDEX(Import.PLE,Detalhamento!$E23,Detalhamento!AA$15)&lt;=mediçao,OFFSET(Import.PLQ,$A23-1,AA$15-1,1,1),0),0),PLE!$AA$28*OFFSET(Import.PLQ,$A23-1,AA$15-1,1,1)),IF($E23&lt;&gt;1,IF(ISNUMBER(INDEX(Import.PLE,Detalhamento!$E23,Detalhamento!AA$15)),IF(INDEX(Import.PLE,Detalhamento!$E23,Detalhamento!AA$15)&lt;=mediçao,0,OFFSET(Import.PLQ,$A23-1,AA$15-1,1,1)),OFFSET(Import.PLQ,$A23-1,AA$15-1,1,1)),(1-PLE!$AA$28)*OFFSET(Import.PLQ,$A23-1,AA$15-1,1,1))))</f>
        <v>0</v>
      </c>
      <c r="AB23" s="145">
        <f ca="1">IF(AB$13="",0,CHOOSE(Detalhamento.OpçãoServiços,OFFSET(Import.PLQ,$A23-1,AB$15-1,1,1),IF($E23&lt;&gt;1,IF(ISNUMBER(INDEX(Import.PLE,Detalhamento!$E23,Detalhamento!AB$15)),IF(INDEX(Import.PLE,Detalhamento!$E23,Detalhamento!AB$15)&lt;=mediçao,OFFSET(Import.PLQ,$A23-1,AB$15-1,1,1),0),0),PLE!$AA$28*OFFSET(Import.PLQ,$A23-1,AB$15-1,1,1)),IF($E23&lt;&gt;1,IF(ISNUMBER(INDEX(Import.PLE,Detalhamento!$E23,Detalhamento!AB$15)),IF(INDEX(Import.PLE,Detalhamento!$E23,Detalhamento!AB$15)&lt;=mediçao,0,OFFSET(Import.PLQ,$A23-1,AB$15-1,1,1)),OFFSET(Import.PLQ,$A23-1,AB$15-1,1,1)),(1-PLE!$AA$28)*OFFSET(Import.PLQ,$A23-1,AB$15-1,1,1))))</f>
        <v>0</v>
      </c>
      <c r="AC23" s="145">
        <f ca="1">IF(AC$13="",0,CHOOSE(Detalhamento.OpçãoServiços,OFFSET(Import.PLQ,$A23-1,AC$15-1,1,1),IF($E23&lt;&gt;1,IF(ISNUMBER(INDEX(Import.PLE,Detalhamento!$E23,Detalhamento!AC$15)),IF(INDEX(Import.PLE,Detalhamento!$E23,Detalhamento!AC$15)&lt;=mediçao,OFFSET(Import.PLQ,$A23-1,AC$15-1,1,1),0),0),PLE!$AA$28*OFFSET(Import.PLQ,$A23-1,AC$15-1,1,1)),IF($E23&lt;&gt;1,IF(ISNUMBER(INDEX(Import.PLE,Detalhamento!$E23,Detalhamento!AC$15)),IF(INDEX(Import.PLE,Detalhamento!$E23,Detalhamento!AC$15)&lt;=mediçao,0,OFFSET(Import.PLQ,$A23-1,AC$15-1,1,1)),OFFSET(Import.PLQ,$A23-1,AC$15-1,1,1)),(1-PLE!$AA$28)*OFFSET(Import.PLQ,$A23-1,AC$15-1,1,1))))</f>
        <v>0</v>
      </c>
      <c r="AD23" s="145">
        <f ca="1">IF(AD$13="",0,CHOOSE(Detalhamento.OpçãoServiços,OFFSET(Import.PLQ,$A23-1,AD$15-1,1,1),IF($E23&lt;&gt;1,IF(ISNUMBER(INDEX(Import.PLE,Detalhamento!$E23,Detalhamento!AD$15)),IF(INDEX(Import.PLE,Detalhamento!$E23,Detalhamento!AD$15)&lt;=mediçao,OFFSET(Import.PLQ,$A23-1,AD$15-1,1,1),0),0),PLE!$AA$28*OFFSET(Import.PLQ,$A23-1,AD$15-1,1,1)),IF($E23&lt;&gt;1,IF(ISNUMBER(INDEX(Import.PLE,Detalhamento!$E23,Detalhamento!AD$15)),IF(INDEX(Import.PLE,Detalhamento!$E23,Detalhamento!AD$15)&lt;=mediçao,0,OFFSET(Import.PLQ,$A23-1,AD$15-1,1,1)),OFFSET(Import.PLQ,$A23-1,AD$15-1,1,1)),(1-PLE!$AA$28)*OFFSET(Import.PLQ,$A23-1,AD$15-1,1,1))))</f>
        <v>0</v>
      </c>
      <c r="AE23" s="145">
        <f ca="1">IF(AE$13="",0,CHOOSE(Detalhamento.OpçãoServiços,OFFSET(Import.PLQ,$A23-1,AE$15-1,1,1),IF($E23&lt;&gt;1,IF(ISNUMBER(INDEX(Import.PLE,Detalhamento!$E23,Detalhamento!AE$15)),IF(INDEX(Import.PLE,Detalhamento!$E23,Detalhamento!AE$15)&lt;=mediçao,OFFSET(Import.PLQ,$A23-1,AE$15-1,1,1),0),0),PLE!$AA$28*OFFSET(Import.PLQ,$A23-1,AE$15-1,1,1)),IF($E23&lt;&gt;1,IF(ISNUMBER(INDEX(Import.PLE,Detalhamento!$E23,Detalhamento!AE$15)),IF(INDEX(Import.PLE,Detalhamento!$E23,Detalhamento!AE$15)&lt;=mediçao,0,OFFSET(Import.PLQ,$A23-1,AE$15-1,1,1)),OFFSET(Import.PLQ,$A23-1,AE$15-1,1,1)),(1-PLE!$AA$28)*OFFSET(Import.PLQ,$A23-1,AE$15-1,1,1))))</f>
        <v>0</v>
      </c>
      <c r="AF23" s="145">
        <f ca="1">IF(AF$13="",0,CHOOSE(Detalhamento.OpçãoServiços,OFFSET(Import.PLQ,$A23-1,AF$15-1,1,1),IF($E23&lt;&gt;1,IF(ISNUMBER(INDEX(Import.PLE,Detalhamento!$E23,Detalhamento!AF$15)),IF(INDEX(Import.PLE,Detalhamento!$E23,Detalhamento!AF$15)&lt;=mediçao,OFFSET(Import.PLQ,$A23-1,AF$15-1,1,1),0),0),PLE!$AA$28*OFFSET(Import.PLQ,$A23-1,AF$15-1,1,1)),IF($E23&lt;&gt;1,IF(ISNUMBER(INDEX(Import.PLE,Detalhamento!$E23,Detalhamento!AF$15)),IF(INDEX(Import.PLE,Detalhamento!$E23,Detalhamento!AF$15)&lt;=mediçao,0,OFFSET(Import.PLQ,$A23-1,AF$15-1,1,1)),OFFSET(Import.PLQ,$A23-1,AF$15-1,1,1)),(1-PLE!$AA$28)*OFFSET(Import.PLQ,$A23-1,AF$15-1,1,1))))</f>
        <v>0</v>
      </c>
      <c r="AG23" s="145">
        <f ca="1">IF(AG$13="",0,CHOOSE(Detalhamento.OpçãoServiços,OFFSET(Import.PLQ,$A23-1,AG$15-1,1,1),IF($E23&lt;&gt;1,IF(ISNUMBER(INDEX(Import.PLE,Detalhamento!$E23,Detalhamento!AG$15)),IF(INDEX(Import.PLE,Detalhamento!$E23,Detalhamento!AG$15)&lt;=mediçao,OFFSET(Import.PLQ,$A23-1,AG$15-1,1,1),0),0),PLE!$AA$28*OFFSET(Import.PLQ,$A23-1,AG$15-1,1,1)),IF($E23&lt;&gt;1,IF(ISNUMBER(INDEX(Import.PLE,Detalhamento!$E23,Detalhamento!AG$15)),IF(INDEX(Import.PLE,Detalhamento!$E23,Detalhamento!AG$15)&lt;=mediçao,0,OFFSET(Import.PLQ,$A23-1,AG$15-1,1,1)),OFFSET(Import.PLQ,$A23-1,AG$15-1,1,1)),(1-PLE!$AA$28)*OFFSET(Import.PLQ,$A23-1,AG$15-1,1,1))))</f>
        <v>0</v>
      </c>
      <c r="AH23" s="145">
        <f ca="1">IF(AH$13="",0,CHOOSE(Detalhamento.OpçãoServiços,OFFSET(Import.PLQ,$A23-1,AH$15-1,1,1),IF($E23&lt;&gt;1,IF(ISNUMBER(INDEX(Import.PLE,Detalhamento!$E23,Detalhamento!AH$15)),IF(INDEX(Import.PLE,Detalhamento!$E23,Detalhamento!AH$15)&lt;=mediçao,OFFSET(Import.PLQ,$A23-1,AH$15-1,1,1),0),0),PLE!$AA$28*OFFSET(Import.PLQ,$A23-1,AH$15-1,1,1)),IF($E23&lt;&gt;1,IF(ISNUMBER(INDEX(Import.PLE,Detalhamento!$E23,Detalhamento!AH$15)),IF(INDEX(Import.PLE,Detalhamento!$E23,Detalhamento!AH$15)&lt;=mediçao,0,OFFSET(Import.PLQ,$A23-1,AH$15-1,1,1)),OFFSET(Import.PLQ,$A23-1,AH$15-1,1,1)),(1-PLE!$AA$28)*OFFSET(Import.PLQ,$A23-1,AH$15-1,1,1))))</f>
        <v>0</v>
      </c>
      <c r="AI23" s="145">
        <f ca="1">IF(AI$13="",0,CHOOSE(Detalhamento.OpçãoServiços,OFFSET(Import.PLQ,$A23-1,AI$15-1,1,1),IF($E23&lt;&gt;1,IF(ISNUMBER(INDEX(Import.PLE,Detalhamento!$E23,Detalhamento!AI$15)),IF(INDEX(Import.PLE,Detalhamento!$E23,Detalhamento!AI$15)&lt;=mediçao,OFFSET(Import.PLQ,$A23-1,AI$15-1,1,1),0),0),PLE!$AA$28*OFFSET(Import.PLQ,$A23-1,AI$15-1,1,1)),IF($E23&lt;&gt;1,IF(ISNUMBER(INDEX(Import.PLE,Detalhamento!$E23,Detalhamento!AI$15)),IF(INDEX(Import.PLE,Detalhamento!$E23,Detalhamento!AI$15)&lt;=mediçao,0,OFFSET(Import.PLQ,$A23-1,AI$15-1,1,1)),OFFSET(Import.PLQ,$A23-1,AI$15-1,1,1)),(1-PLE!$AA$28)*OFFSET(Import.PLQ,$A23-1,AI$15-1,1,1))))</f>
        <v>0</v>
      </c>
      <c r="AJ23" s="145">
        <f ca="1">IF(AJ$13="",0,CHOOSE(Detalhamento.OpçãoServiços,OFFSET(Import.PLQ,$A23-1,AJ$15-1,1,1),IF($E23&lt;&gt;1,IF(ISNUMBER(INDEX(Import.PLE,Detalhamento!$E23,Detalhamento!AJ$15)),IF(INDEX(Import.PLE,Detalhamento!$E23,Detalhamento!AJ$15)&lt;=mediçao,OFFSET(Import.PLQ,$A23-1,AJ$15-1,1,1),0),0),PLE!$AA$28*OFFSET(Import.PLQ,$A23-1,AJ$15-1,1,1)),IF($E23&lt;&gt;1,IF(ISNUMBER(INDEX(Import.PLE,Detalhamento!$E23,Detalhamento!AJ$15)),IF(INDEX(Import.PLE,Detalhamento!$E23,Detalhamento!AJ$15)&lt;=mediçao,0,OFFSET(Import.PLQ,$A23-1,AJ$15-1,1,1)),OFFSET(Import.PLQ,$A23-1,AJ$15-1,1,1)),(1-PLE!$AA$28)*OFFSET(Import.PLQ,$A23-1,AJ$15-1,1,1))))</f>
        <v>0</v>
      </c>
      <c r="AK23" s="145">
        <f ca="1">IF(AK$13="",0,CHOOSE(Detalhamento.OpçãoServiços,OFFSET(Import.PLQ,$A23-1,AK$15-1,1,1),IF($E23&lt;&gt;1,IF(ISNUMBER(INDEX(Import.PLE,Detalhamento!$E23,Detalhamento!AK$15)),IF(INDEX(Import.PLE,Detalhamento!$E23,Detalhamento!AK$15)&lt;=mediçao,OFFSET(Import.PLQ,$A23-1,AK$15-1,1,1),0),0),PLE!$AA$28*OFFSET(Import.PLQ,$A23-1,AK$15-1,1,1)),IF($E23&lt;&gt;1,IF(ISNUMBER(INDEX(Import.PLE,Detalhamento!$E23,Detalhamento!AK$15)),IF(INDEX(Import.PLE,Detalhamento!$E23,Detalhamento!AK$15)&lt;=mediçao,0,OFFSET(Import.PLQ,$A23-1,AK$15-1,1,1)),OFFSET(Import.PLQ,$A23-1,AK$15-1,1,1)),(1-PLE!$AA$28)*OFFSET(Import.PLQ,$A23-1,AK$15-1,1,1))))</f>
        <v>0</v>
      </c>
      <c r="AL23" s="145">
        <f ca="1">IF(AL$13="",0,CHOOSE(Detalhamento.OpçãoServiços,OFFSET(Import.PLQ,$A23-1,AL$15-1,1,1),IF($E23&lt;&gt;1,IF(ISNUMBER(INDEX(Import.PLE,Detalhamento!$E23,Detalhamento!AL$15)),IF(INDEX(Import.PLE,Detalhamento!$E23,Detalhamento!AL$15)&lt;=mediçao,OFFSET(Import.PLQ,$A23-1,AL$15-1,1,1),0),0),PLE!$AA$28*OFFSET(Import.PLQ,$A23-1,AL$15-1,1,1)),IF($E23&lt;&gt;1,IF(ISNUMBER(INDEX(Import.PLE,Detalhamento!$E23,Detalhamento!AL$15)),IF(INDEX(Import.PLE,Detalhamento!$E23,Detalhamento!AL$15)&lt;=mediçao,0,OFFSET(Import.PLQ,$A23-1,AL$15-1,1,1)),OFFSET(Import.PLQ,$A23-1,AL$15-1,1,1)),(1-PLE!$AA$28)*OFFSET(Import.PLQ,$A23-1,AL$15-1,1,1))))</f>
        <v>0</v>
      </c>
      <c r="AM23" s="145">
        <f ca="1">IF(AM$13="",0,CHOOSE(Detalhamento.OpçãoServiços,OFFSET(Import.PLQ,$A23-1,AM$15-1,1,1),IF($E23&lt;&gt;1,IF(ISNUMBER(INDEX(Import.PLE,Detalhamento!$E23,Detalhamento!AM$15)),IF(INDEX(Import.PLE,Detalhamento!$E23,Detalhamento!AM$15)&lt;=mediçao,OFFSET(Import.PLQ,$A23-1,AM$15-1,1,1),0),0),PLE!$AA$28*OFFSET(Import.PLQ,$A23-1,AM$15-1,1,1)),IF($E23&lt;&gt;1,IF(ISNUMBER(INDEX(Import.PLE,Detalhamento!$E23,Detalhamento!AM$15)),IF(INDEX(Import.PLE,Detalhamento!$E23,Detalhamento!AM$15)&lt;=mediçao,0,OFFSET(Import.PLQ,$A23-1,AM$15-1,1,1)),OFFSET(Import.PLQ,$A23-1,AM$15-1,1,1)),(1-PLE!$AA$28)*OFFSET(Import.PLQ,$A23-1,AM$15-1,1,1))))</f>
        <v>0</v>
      </c>
      <c r="AN23" s="145">
        <f ca="1">IF(AN$13="",0,CHOOSE(Detalhamento.OpçãoServiços,OFFSET(Import.PLQ,$A23-1,AN$15-1,1,1),IF($E23&lt;&gt;1,IF(ISNUMBER(INDEX(Import.PLE,Detalhamento!$E23,Detalhamento!AN$15)),IF(INDEX(Import.PLE,Detalhamento!$E23,Detalhamento!AN$15)&lt;=mediçao,OFFSET(Import.PLQ,$A23-1,AN$15-1,1,1),0),0),PLE!$AA$28*OFFSET(Import.PLQ,$A23-1,AN$15-1,1,1)),IF($E23&lt;&gt;1,IF(ISNUMBER(INDEX(Import.PLE,Detalhamento!$E23,Detalhamento!AN$15)),IF(INDEX(Import.PLE,Detalhamento!$E23,Detalhamento!AN$15)&lt;=mediçao,0,OFFSET(Import.PLQ,$A23-1,AN$15-1,1,1)),OFFSET(Import.PLQ,$A23-1,AN$15-1,1,1)),(1-PLE!$AA$28)*OFFSET(Import.PLQ,$A23-1,AN$15-1,1,1))))</f>
        <v>0</v>
      </c>
      <c r="AO23" s="145">
        <f ca="1">IF(AO$13="",0,CHOOSE(Detalhamento.OpçãoServiços,OFFSET(Import.PLQ,$A23-1,AO$15-1,1,1),IF($E23&lt;&gt;1,IF(ISNUMBER(INDEX(Import.PLE,Detalhamento!$E23,Detalhamento!AO$15)),IF(INDEX(Import.PLE,Detalhamento!$E23,Detalhamento!AO$15)&lt;=mediçao,OFFSET(Import.PLQ,$A23-1,AO$15-1,1,1),0),0),PLE!$AA$28*OFFSET(Import.PLQ,$A23-1,AO$15-1,1,1)),IF($E23&lt;&gt;1,IF(ISNUMBER(INDEX(Import.PLE,Detalhamento!$E23,Detalhamento!AO$15)),IF(INDEX(Import.PLE,Detalhamento!$E23,Detalhamento!AO$15)&lt;=mediçao,0,OFFSET(Import.PLQ,$A23-1,AO$15-1,1,1)),OFFSET(Import.PLQ,$A23-1,AO$15-1,1,1)),(1-PLE!$AA$28)*OFFSET(Import.PLQ,$A23-1,AO$15-1,1,1))))</f>
        <v>0</v>
      </c>
      <c r="AP23" s="145">
        <f ca="1">IF(AP$13="",0,CHOOSE(Detalhamento.OpçãoServiços,OFFSET(Import.PLQ,$A23-1,AP$15-1,1,1),IF($E23&lt;&gt;1,IF(ISNUMBER(INDEX(Import.PLE,Detalhamento!$E23,Detalhamento!AP$15)),IF(INDEX(Import.PLE,Detalhamento!$E23,Detalhamento!AP$15)&lt;=mediçao,OFFSET(Import.PLQ,$A23-1,AP$15-1,1,1),0),0),PLE!$AA$28*OFFSET(Import.PLQ,$A23-1,AP$15-1,1,1)),IF($E23&lt;&gt;1,IF(ISNUMBER(INDEX(Import.PLE,Detalhamento!$E23,Detalhamento!AP$15)),IF(INDEX(Import.PLE,Detalhamento!$E23,Detalhamento!AP$15)&lt;=mediçao,0,OFFSET(Import.PLQ,$A23-1,AP$15-1,1,1)),OFFSET(Import.PLQ,$A23-1,AP$15-1,1,1)),(1-PLE!$AA$28)*OFFSET(Import.PLQ,$A23-1,AP$15-1,1,1))))</f>
        <v>0</v>
      </c>
      <c r="AQ23" s="145">
        <f ca="1">IF(AQ$13="",0,CHOOSE(Detalhamento.OpçãoServiços,OFFSET(Import.PLQ,$A23-1,AQ$15-1,1,1),IF($E23&lt;&gt;1,IF(ISNUMBER(INDEX(Import.PLE,Detalhamento!$E23,Detalhamento!AQ$15)),IF(INDEX(Import.PLE,Detalhamento!$E23,Detalhamento!AQ$15)&lt;=mediçao,OFFSET(Import.PLQ,$A23-1,AQ$15-1,1,1),0),0),PLE!$AA$28*OFFSET(Import.PLQ,$A23-1,AQ$15-1,1,1)),IF($E23&lt;&gt;1,IF(ISNUMBER(INDEX(Import.PLE,Detalhamento!$E23,Detalhamento!AQ$15)),IF(INDEX(Import.PLE,Detalhamento!$E23,Detalhamento!AQ$15)&lt;=mediçao,0,OFFSET(Import.PLQ,$A23-1,AQ$15-1,1,1)),OFFSET(Import.PLQ,$A23-1,AQ$15-1,1,1)),(1-PLE!$AA$28)*OFFSET(Import.PLQ,$A23-1,AQ$15-1,1,1))))</f>
        <v>0</v>
      </c>
      <c r="AR23" s="145">
        <f ca="1">IF(AR$13="",0,CHOOSE(Detalhamento.OpçãoServiços,OFFSET(Import.PLQ,$A23-1,AR$15-1,1,1),IF($E23&lt;&gt;1,IF(ISNUMBER(INDEX(Import.PLE,Detalhamento!$E23,Detalhamento!AR$15)),IF(INDEX(Import.PLE,Detalhamento!$E23,Detalhamento!AR$15)&lt;=mediçao,OFFSET(Import.PLQ,$A23-1,AR$15-1,1,1),0),0),PLE!$AA$28*OFFSET(Import.PLQ,$A23-1,AR$15-1,1,1)),IF($E23&lt;&gt;1,IF(ISNUMBER(INDEX(Import.PLE,Detalhamento!$E23,Detalhamento!AR$15)),IF(INDEX(Import.PLE,Detalhamento!$E23,Detalhamento!AR$15)&lt;=mediçao,0,OFFSET(Import.PLQ,$A23-1,AR$15-1,1,1)),OFFSET(Import.PLQ,$A23-1,AR$15-1,1,1)),(1-PLE!$AA$28)*OFFSET(Import.PLQ,$A23-1,AR$15-1,1,1))))</f>
        <v>0</v>
      </c>
      <c r="AS23" s="145">
        <f ca="1">IF(AS$13="",0,CHOOSE(Detalhamento.OpçãoServiços,OFFSET(Import.PLQ,$A23-1,AS$15-1,1,1),IF($E23&lt;&gt;1,IF(ISNUMBER(INDEX(Import.PLE,Detalhamento!$E23,Detalhamento!AS$15)),IF(INDEX(Import.PLE,Detalhamento!$E23,Detalhamento!AS$15)&lt;=mediçao,OFFSET(Import.PLQ,$A23-1,AS$15-1,1,1),0),0),PLE!$AA$28*OFFSET(Import.PLQ,$A23-1,AS$15-1,1,1)),IF($E23&lt;&gt;1,IF(ISNUMBER(INDEX(Import.PLE,Detalhamento!$E23,Detalhamento!AS$15)),IF(INDEX(Import.PLE,Detalhamento!$E23,Detalhamento!AS$15)&lt;=mediçao,0,OFFSET(Import.PLQ,$A23-1,AS$15-1,1,1)),OFFSET(Import.PLQ,$A23-1,AS$15-1,1,1)),(1-PLE!$AA$28)*OFFSET(Import.PLQ,$A23-1,AS$15-1,1,1))))</f>
        <v>0</v>
      </c>
      <c r="AT23" s="145">
        <f ca="1">IF(AT$13="",0,CHOOSE(Detalhamento.OpçãoServiços,OFFSET(Import.PLQ,$A23-1,AT$15-1,1,1),IF($E23&lt;&gt;1,IF(ISNUMBER(INDEX(Import.PLE,Detalhamento!$E23,Detalhamento!AT$15)),IF(INDEX(Import.PLE,Detalhamento!$E23,Detalhamento!AT$15)&lt;=mediçao,OFFSET(Import.PLQ,$A23-1,AT$15-1,1,1),0),0),PLE!$AA$28*OFFSET(Import.PLQ,$A23-1,AT$15-1,1,1)),IF($E23&lt;&gt;1,IF(ISNUMBER(INDEX(Import.PLE,Detalhamento!$E23,Detalhamento!AT$15)),IF(INDEX(Import.PLE,Detalhamento!$E23,Detalhamento!AT$15)&lt;=mediçao,0,OFFSET(Import.PLQ,$A23-1,AT$15-1,1,1)),OFFSET(Import.PLQ,$A23-1,AT$15-1,1,1)),(1-PLE!$AA$28)*OFFSET(Import.PLQ,$A23-1,AT$15-1,1,1))))</f>
        <v>0</v>
      </c>
      <c r="AU23" s="145">
        <f ca="1">IF(AU$13="",0,CHOOSE(Detalhamento.OpçãoServiços,OFFSET(Import.PLQ,$A23-1,AU$15-1,1,1),IF($E23&lt;&gt;1,IF(ISNUMBER(INDEX(Import.PLE,Detalhamento!$E23,Detalhamento!AU$15)),IF(INDEX(Import.PLE,Detalhamento!$E23,Detalhamento!AU$15)&lt;=mediçao,OFFSET(Import.PLQ,$A23-1,AU$15-1,1,1),0),0),PLE!$AA$28*OFFSET(Import.PLQ,$A23-1,AU$15-1,1,1)),IF($E23&lt;&gt;1,IF(ISNUMBER(INDEX(Import.PLE,Detalhamento!$E23,Detalhamento!AU$15)),IF(INDEX(Import.PLE,Detalhamento!$E23,Detalhamento!AU$15)&lt;=mediçao,0,OFFSET(Import.PLQ,$A23-1,AU$15-1,1,1)),OFFSET(Import.PLQ,$A23-1,AU$15-1,1,1)),(1-PLE!$AA$28)*OFFSET(Import.PLQ,$A23-1,AU$15-1,1,1))))</f>
        <v>0</v>
      </c>
      <c r="AV23" s="145">
        <f ca="1">IF(AV$13="",0,CHOOSE(Detalhamento.OpçãoServiços,OFFSET(Import.PLQ,$A23-1,AV$15-1,1,1),IF($E23&lt;&gt;1,IF(ISNUMBER(INDEX(Import.PLE,Detalhamento!$E23,Detalhamento!AV$15)),IF(INDEX(Import.PLE,Detalhamento!$E23,Detalhamento!AV$15)&lt;=mediçao,OFFSET(Import.PLQ,$A23-1,AV$15-1,1,1),0),0),PLE!$AA$28*OFFSET(Import.PLQ,$A23-1,AV$15-1,1,1)),IF($E23&lt;&gt;1,IF(ISNUMBER(INDEX(Import.PLE,Detalhamento!$E23,Detalhamento!AV$15)),IF(INDEX(Import.PLE,Detalhamento!$E23,Detalhamento!AV$15)&lt;=mediçao,0,OFFSET(Import.PLQ,$A23-1,AV$15-1,1,1)),OFFSET(Import.PLQ,$A23-1,AV$15-1,1,1)),(1-PLE!$AA$28)*OFFSET(Import.PLQ,$A23-1,AV$15-1,1,1))))</f>
        <v>0</v>
      </c>
      <c r="AW23" s="145">
        <f ca="1">IF(AW$13="",0,CHOOSE(Detalhamento.OpçãoServiços,OFFSET(Import.PLQ,$A23-1,AW$15-1,1,1),IF($E23&lt;&gt;1,IF(ISNUMBER(INDEX(Import.PLE,Detalhamento!$E23,Detalhamento!AW$15)),IF(INDEX(Import.PLE,Detalhamento!$E23,Detalhamento!AW$15)&lt;=mediçao,OFFSET(Import.PLQ,$A23-1,AW$15-1,1,1),0),0),PLE!$AA$28*OFFSET(Import.PLQ,$A23-1,AW$15-1,1,1)),IF($E23&lt;&gt;1,IF(ISNUMBER(INDEX(Import.PLE,Detalhamento!$E23,Detalhamento!AW$15)),IF(INDEX(Import.PLE,Detalhamento!$E23,Detalhamento!AW$15)&lt;=mediçao,0,OFFSET(Import.PLQ,$A23-1,AW$15-1,1,1)),OFFSET(Import.PLQ,$A23-1,AW$15-1,1,1)),(1-PLE!$AA$28)*OFFSET(Import.PLQ,$A23-1,AW$15-1,1,1))))</f>
        <v>0</v>
      </c>
      <c r="AX23" s="145">
        <f ca="1">IF(AX$13="",0,CHOOSE(Detalhamento.OpçãoServiços,OFFSET(Import.PLQ,$A23-1,AX$15-1,1,1),IF($E23&lt;&gt;1,IF(ISNUMBER(INDEX(Import.PLE,Detalhamento!$E23,Detalhamento!AX$15)),IF(INDEX(Import.PLE,Detalhamento!$E23,Detalhamento!AX$15)&lt;=mediçao,OFFSET(Import.PLQ,$A23-1,AX$15-1,1,1),0),0),PLE!$AA$28*OFFSET(Import.PLQ,$A23-1,AX$15-1,1,1)),IF($E23&lt;&gt;1,IF(ISNUMBER(INDEX(Import.PLE,Detalhamento!$E23,Detalhamento!AX$15)),IF(INDEX(Import.PLE,Detalhamento!$E23,Detalhamento!AX$15)&lt;=mediçao,0,OFFSET(Import.PLQ,$A23-1,AX$15-1,1,1)),OFFSET(Import.PLQ,$A23-1,AX$15-1,1,1)),(1-PLE!$AA$28)*OFFSET(Import.PLQ,$A23-1,AX$15-1,1,1))))</f>
        <v>0</v>
      </c>
      <c r="AY23" s="145">
        <f ca="1">IF(AY$13="",0,CHOOSE(Detalhamento.OpçãoServiços,OFFSET(Import.PLQ,$A23-1,AY$15-1,1,1),IF($E23&lt;&gt;1,IF(ISNUMBER(INDEX(Import.PLE,Detalhamento!$E23,Detalhamento!AY$15)),IF(INDEX(Import.PLE,Detalhamento!$E23,Detalhamento!AY$15)&lt;=mediçao,OFFSET(Import.PLQ,$A23-1,AY$15-1,1,1),0),0),PLE!$AA$28*OFFSET(Import.PLQ,$A23-1,AY$15-1,1,1)),IF($E23&lt;&gt;1,IF(ISNUMBER(INDEX(Import.PLE,Detalhamento!$E23,Detalhamento!AY$15)),IF(INDEX(Import.PLE,Detalhamento!$E23,Detalhamento!AY$15)&lt;=mediçao,0,OFFSET(Import.PLQ,$A23-1,AY$15-1,1,1)),OFFSET(Import.PLQ,$A23-1,AY$15-1,1,1)),(1-PLE!$AA$28)*OFFSET(Import.PLQ,$A23-1,AY$15-1,1,1))))</f>
        <v>0</v>
      </c>
      <c r="AZ23" s="145">
        <f ca="1">IF(AZ$13="",0,CHOOSE(Detalhamento.OpçãoServiços,OFFSET(Import.PLQ,$A23-1,AZ$15-1,1,1),IF($E23&lt;&gt;1,IF(ISNUMBER(INDEX(Import.PLE,Detalhamento!$E23,Detalhamento!AZ$15)),IF(INDEX(Import.PLE,Detalhamento!$E23,Detalhamento!AZ$15)&lt;=mediçao,OFFSET(Import.PLQ,$A23-1,AZ$15-1,1,1),0),0),PLE!$AA$28*OFFSET(Import.PLQ,$A23-1,AZ$15-1,1,1)),IF($E23&lt;&gt;1,IF(ISNUMBER(INDEX(Import.PLE,Detalhamento!$E23,Detalhamento!AZ$15)),IF(INDEX(Import.PLE,Detalhamento!$E23,Detalhamento!AZ$15)&lt;=mediçao,0,OFFSET(Import.PLQ,$A23-1,AZ$15-1,1,1)),OFFSET(Import.PLQ,$A23-1,AZ$15-1,1,1)),(1-PLE!$AA$28)*OFFSET(Import.PLQ,$A23-1,AZ$15-1,1,1))))</f>
        <v>0</v>
      </c>
      <c r="BA23" s="145">
        <f ca="1">IF(BA$13="",0,CHOOSE(Detalhamento.OpçãoServiços,OFFSET(Import.PLQ,$A23-1,BA$15-1,1,1),IF($E23&lt;&gt;1,IF(ISNUMBER(INDEX(Import.PLE,Detalhamento!$E23,Detalhamento!BA$15)),IF(INDEX(Import.PLE,Detalhamento!$E23,Detalhamento!BA$15)&lt;=mediçao,OFFSET(Import.PLQ,$A23-1,BA$15-1,1,1),0),0),PLE!$AA$28*OFFSET(Import.PLQ,$A23-1,BA$15-1,1,1)),IF($E23&lt;&gt;1,IF(ISNUMBER(INDEX(Import.PLE,Detalhamento!$E23,Detalhamento!BA$15)),IF(INDEX(Import.PLE,Detalhamento!$E23,Detalhamento!BA$15)&lt;=mediçao,0,OFFSET(Import.PLQ,$A23-1,BA$15-1,1,1)),OFFSET(Import.PLQ,$A23-1,BA$15-1,1,1)),(1-PLE!$AA$28)*OFFSET(Import.PLQ,$A23-1,BA$15-1,1,1))))</f>
        <v>0</v>
      </c>
      <c r="BB23" s="145">
        <f ca="1">IF(BB$13="",0,CHOOSE(Detalhamento.OpçãoServiços,OFFSET(Import.PLQ,$A23-1,BB$15-1,1,1),IF($E23&lt;&gt;1,IF(ISNUMBER(INDEX(Import.PLE,Detalhamento!$E23,Detalhamento!BB$15)),IF(INDEX(Import.PLE,Detalhamento!$E23,Detalhamento!BB$15)&lt;=mediçao,OFFSET(Import.PLQ,$A23-1,BB$15-1,1,1),0),0),PLE!$AA$28*OFFSET(Import.PLQ,$A23-1,BB$15-1,1,1)),IF($E23&lt;&gt;1,IF(ISNUMBER(INDEX(Import.PLE,Detalhamento!$E23,Detalhamento!BB$15)),IF(INDEX(Import.PLE,Detalhamento!$E23,Detalhamento!BB$15)&lt;=mediçao,0,OFFSET(Import.PLQ,$A23-1,BB$15-1,1,1)),OFFSET(Import.PLQ,$A23-1,BB$15-1,1,1)),(1-PLE!$AA$28)*OFFSET(Import.PLQ,$A23-1,BB$15-1,1,1))))</f>
        <v>0</v>
      </c>
      <c r="BC23" s="145">
        <f ca="1">IF(BC$13="",0,CHOOSE(Detalhamento.OpçãoServiços,OFFSET(Import.PLQ,$A23-1,BC$15-1,1,1),IF($E23&lt;&gt;1,IF(ISNUMBER(INDEX(Import.PLE,Detalhamento!$E23,Detalhamento!BC$15)),IF(INDEX(Import.PLE,Detalhamento!$E23,Detalhamento!BC$15)&lt;=mediçao,OFFSET(Import.PLQ,$A23-1,BC$15-1,1,1),0),0),PLE!$AA$28*OFFSET(Import.PLQ,$A23-1,BC$15-1,1,1)),IF($E23&lt;&gt;1,IF(ISNUMBER(INDEX(Import.PLE,Detalhamento!$E23,Detalhamento!BC$15)),IF(INDEX(Import.PLE,Detalhamento!$E23,Detalhamento!BC$15)&lt;=mediçao,0,OFFSET(Import.PLQ,$A23-1,BC$15-1,1,1)),OFFSET(Import.PLQ,$A23-1,BC$15-1,1,1)),(1-PLE!$AA$28)*OFFSET(Import.PLQ,$A23-1,BC$15-1,1,1))))</f>
        <v>0</v>
      </c>
      <c r="BD23" s="145">
        <f ca="1">IF(BD$13="",0,CHOOSE(Detalhamento.OpçãoServiços,OFFSET(Import.PLQ,$A23-1,BD$15-1,1,1),IF($E23&lt;&gt;1,IF(ISNUMBER(INDEX(Import.PLE,Detalhamento!$E23,Detalhamento!BD$15)),IF(INDEX(Import.PLE,Detalhamento!$E23,Detalhamento!BD$15)&lt;=mediçao,OFFSET(Import.PLQ,$A23-1,BD$15-1,1,1),0),0),PLE!$AA$28*OFFSET(Import.PLQ,$A23-1,BD$15-1,1,1)),IF($E23&lt;&gt;1,IF(ISNUMBER(INDEX(Import.PLE,Detalhamento!$E23,Detalhamento!BD$15)),IF(INDEX(Import.PLE,Detalhamento!$E23,Detalhamento!BD$15)&lt;=mediçao,0,OFFSET(Import.PLQ,$A23-1,BD$15-1,1,1)),OFFSET(Import.PLQ,$A23-1,BD$15-1,1,1)),(1-PLE!$AA$28)*OFFSET(Import.PLQ,$A23-1,BD$15-1,1,1))))</f>
        <v>0</v>
      </c>
      <c r="BE23" s="145">
        <f ca="1">IF(BE$13="",0,CHOOSE(Detalhamento.OpçãoServiços,OFFSET(Import.PLQ,$A23-1,BE$15-1,1,1),IF($E23&lt;&gt;1,IF(ISNUMBER(INDEX(Import.PLE,Detalhamento!$E23,Detalhamento!BE$15)),IF(INDEX(Import.PLE,Detalhamento!$E23,Detalhamento!BE$15)&lt;=mediçao,OFFSET(Import.PLQ,$A23-1,BE$15-1,1,1),0),0),PLE!$AA$28*OFFSET(Import.PLQ,$A23-1,BE$15-1,1,1)),IF($E23&lt;&gt;1,IF(ISNUMBER(INDEX(Import.PLE,Detalhamento!$E23,Detalhamento!BE$15)),IF(INDEX(Import.PLE,Detalhamento!$E23,Detalhamento!BE$15)&lt;=mediçao,0,OFFSET(Import.PLQ,$A23-1,BE$15-1,1,1)),OFFSET(Import.PLQ,$A23-1,BE$15-1,1,1)),(1-PLE!$AA$28)*OFFSET(Import.PLQ,$A23-1,BE$15-1,1,1))))</f>
        <v>0</v>
      </c>
      <c r="BF23" s="145">
        <f ca="1">IF(BF$13="",0,CHOOSE(Detalhamento.OpçãoServiços,OFFSET(Import.PLQ,$A23-1,BF$15-1,1,1),IF($E23&lt;&gt;1,IF(ISNUMBER(INDEX(Import.PLE,Detalhamento!$E23,Detalhamento!BF$15)),IF(INDEX(Import.PLE,Detalhamento!$E23,Detalhamento!BF$15)&lt;=mediçao,OFFSET(Import.PLQ,$A23-1,BF$15-1,1,1),0),0),PLE!$AA$28*OFFSET(Import.PLQ,$A23-1,BF$15-1,1,1)),IF($E23&lt;&gt;1,IF(ISNUMBER(INDEX(Import.PLE,Detalhamento!$E23,Detalhamento!BF$15)),IF(INDEX(Import.PLE,Detalhamento!$E23,Detalhamento!BF$15)&lt;=mediçao,0,OFFSET(Import.PLQ,$A23-1,BF$15-1,1,1)),OFFSET(Import.PLQ,$A23-1,BF$15-1,1,1)),(1-PLE!$AA$28)*OFFSET(Import.PLQ,$A23-1,BF$15-1,1,1))))</f>
        <v>0</v>
      </c>
      <c r="BG23" s="145">
        <f ca="1">IF(BG$13="",0,CHOOSE(Detalhamento.OpçãoServiços,OFFSET(Import.PLQ,$A23-1,BG$15-1,1,1),IF($E23&lt;&gt;1,IF(ISNUMBER(INDEX(Import.PLE,Detalhamento!$E23,Detalhamento!BG$15)),IF(INDEX(Import.PLE,Detalhamento!$E23,Detalhamento!BG$15)&lt;=mediçao,OFFSET(Import.PLQ,$A23-1,BG$15-1,1,1),0),0),PLE!$AA$28*OFFSET(Import.PLQ,$A23-1,BG$15-1,1,1)),IF($E23&lt;&gt;1,IF(ISNUMBER(INDEX(Import.PLE,Detalhamento!$E23,Detalhamento!BG$15)),IF(INDEX(Import.PLE,Detalhamento!$E23,Detalhamento!BG$15)&lt;=mediçao,0,OFFSET(Import.PLQ,$A23-1,BG$15-1,1,1)),OFFSET(Import.PLQ,$A23-1,BG$15-1,1,1)),(1-PLE!$AA$28)*OFFSET(Import.PLQ,$A23-1,BG$15-1,1,1))))</f>
        <v>0</v>
      </c>
      <c r="BH23" s="145">
        <f ca="1">IF(BH$13="",0,CHOOSE(Detalhamento.OpçãoServiços,OFFSET(Import.PLQ,$A23-1,BH$15-1,1,1),IF($E23&lt;&gt;1,IF(ISNUMBER(INDEX(Import.PLE,Detalhamento!$E23,Detalhamento!BH$15)),IF(INDEX(Import.PLE,Detalhamento!$E23,Detalhamento!BH$15)&lt;=mediçao,OFFSET(Import.PLQ,$A23-1,BH$15-1,1,1),0),0),PLE!$AA$28*OFFSET(Import.PLQ,$A23-1,BH$15-1,1,1)),IF($E23&lt;&gt;1,IF(ISNUMBER(INDEX(Import.PLE,Detalhamento!$E23,Detalhamento!BH$15)),IF(INDEX(Import.PLE,Detalhamento!$E23,Detalhamento!BH$15)&lt;=mediçao,0,OFFSET(Import.PLQ,$A23-1,BH$15-1,1,1)),OFFSET(Import.PLQ,$A23-1,BH$15-1,1,1)),(1-PLE!$AA$28)*OFFSET(Import.PLQ,$A23-1,BH$15-1,1,1))))</f>
        <v>0</v>
      </c>
      <c r="BI23" s="145">
        <f ca="1">IF(BI$13="",0,CHOOSE(Detalhamento.OpçãoServiços,OFFSET(Import.PLQ,$A23-1,BI$15-1,1,1),IF($E23&lt;&gt;1,IF(ISNUMBER(INDEX(Import.PLE,Detalhamento!$E23,Detalhamento!BI$15)),IF(INDEX(Import.PLE,Detalhamento!$E23,Detalhamento!BI$15)&lt;=mediçao,OFFSET(Import.PLQ,$A23-1,BI$15-1,1,1),0),0),PLE!$AA$28*OFFSET(Import.PLQ,$A23-1,BI$15-1,1,1)),IF($E23&lt;&gt;1,IF(ISNUMBER(INDEX(Import.PLE,Detalhamento!$E23,Detalhamento!BI$15)),IF(INDEX(Import.PLE,Detalhamento!$E23,Detalhamento!BI$15)&lt;=mediçao,0,OFFSET(Import.PLQ,$A23-1,BI$15-1,1,1)),OFFSET(Import.PLQ,$A23-1,BI$15-1,1,1)),(1-PLE!$AA$28)*OFFSET(Import.PLQ,$A23-1,BI$15-1,1,1))))</f>
        <v>0</v>
      </c>
    </row>
    <row r="24" spans="1:61" x14ac:dyDescent="0.2">
      <c r="A24" s="156">
        <v>5</v>
      </c>
      <c r="B24" s="21" t="str">
        <f t="shared" ca="1" si="8"/>
        <v>Serviço</v>
      </c>
      <c r="E24" s="154">
        <f t="shared" ca="1" si="9"/>
        <v>2</v>
      </c>
      <c r="F24" s="155">
        <f t="shared" ca="1" si="10"/>
        <v>20005</v>
      </c>
      <c r="G24" s="155" t="str">
        <f t="shared" ca="1" si="11"/>
        <v>2.1</v>
      </c>
      <c r="H24" s="183" t="str">
        <f t="shared" ca="1" si="11"/>
        <v>Regularização e compactação de sub-leito até 20cm de espessura</v>
      </c>
      <c r="I24" s="37" t="str">
        <f t="shared" ca="1" si="12"/>
        <v>m²</v>
      </c>
      <c r="J24" s="145">
        <f t="shared" ca="1" si="13"/>
        <v>5349.12</v>
      </c>
      <c r="K24" s="67"/>
      <c r="L24" s="145">
        <f ca="1">IF(L$13="",0,CHOOSE(Detalhamento.OpçãoServiços,OFFSET(Import.PLQ,$A24-1,L$15-1,1,1),IF($E24&lt;&gt;1,IF(ISNUMBER(INDEX(Import.PLE,Detalhamento!$E24,Detalhamento!L$15)),IF(INDEX(Import.PLE,Detalhamento!$E24,Detalhamento!L$15)&lt;=mediçao,OFFSET(Import.PLQ,$A24-1,L$15-1,1,1),0),0),PLE!$AA$28*OFFSET(Import.PLQ,$A24-1,L$15-1,1,1)),IF($E24&lt;&gt;1,IF(ISNUMBER(INDEX(Import.PLE,Detalhamento!$E24,Detalhamento!L$15)),IF(INDEX(Import.PLE,Detalhamento!$E24,Detalhamento!L$15)&lt;=mediçao,0,OFFSET(Import.PLQ,$A24-1,L$15-1,1,1)),OFFSET(Import.PLQ,$A24-1,L$15-1,1,1)),(1-PLE!$AA$28)*OFFSET(Import.PLQ,$A24-1,L$15-1,1,1))))</f>
        <v>1102.8499999999999</v>
      </c>
      <c r="M24" s="145">
        <f ca="1">IF(M$13="",0,CHOOSE(Detalhamento.OpçãoServiços,OFFSET(Import.PLQ,$A24-1,M$15-1,1,1),IF($E24&lt;&gt;1,IF(ISNUMBER(INDEX(Import.PLE,Detalhamento!$E24,Detalhamento!M$15)),IF(INDEX(Import.PLE,Detalhamento!$E24,Detalhamento!M$15)&lt;=mediçao,OFFSET(Import.PLQ,$A24-1,M$15-1,1,1),0),0),PLE!$AA$28*OFFSET(Import.PLQ,$A24-1,M$15-1,1,1)),IF($E24&lt;&gt;1,IF(ISNUMBER(INDEX(Import.PLE,Detalhamento!$E24,Detalhamento!M$15)),IF(INDEX(Import.PLE,Detalhamento!$E24,Detalhamento!M$15)&lt;=mediçao,0,OFFSET(Import.PLQ,$A24-1,M$15-1,1,1)),OFFSET(Import.PLQ,$A24-1,M$15-1,1,1)),(1-PLE!$AA$28)*OFFSET(Import.PLQ,$A24-1,M$15-1,1,1))))</f>
        <v>452.76</v>
      </c>
      <c r="N24" s="145">
        <f ca="1">IF(N$13="",0,CHOOSE(Detalhamento.OpçãoServiços,OFFSET(Import.PLQ,$A24-1,N$15-1,1,1),IF($E24&lt;&gt;1,IF(ISNUMBER(INDEX(Import.PLE,Detalhamento!$E24,Detalhamento!N$15)),IF(INDEX(Import.PLE,Detalhamento!$E24,Detalhamento!N$15)&lt;=mediçao,OFFSET(Import.PLQ,$A24-1,N$15-1,1,1),0),0),PLE!$AA$28*OFFSET(Import.PLQ,$A24-1,N$15-1,1,1)),IF($E24&lt;&gt;1,IF(ISNUMBER(INDEX(Import.PLE,Detalhamento!$E24,Detalhamento!N$15)),IF(INDEX(Import.PLE,Detalhamento!$E24,Detalhamento!N$15)&lt;=mediçao,0,OFFSET(Import.PLQ,$A24-1,N$15-1,1,1)),OFFSET(Import.PLQ,$A24-1,N$15-1,1,1)),(1-PLE!$AA$28)*OFFSET(Import.PLQ,$A24-1,N$15-1,1,1))))</f>
        <v>727.62</v>
      </c>
      <c r="O24" s="145">
        <f ca="1">IF(O$13="",0,CHOOSE(Detalhamento.OpçãoServiços,OFFSET(Import.PLQ,$A24-1,O$15-1,1,1),IF($E24&lt;&gt;1,IF(ISNUMBER(INDEX(Import.PLE,Detalhamento!$E24,Detalhamento!O$15)),IF(INDEX(Import.PLE,Detalhamento!$E24,Detalhamento!O$15)&lt;=mediçao,OFFSET(Import.PLQ,$A24-1,O$15-1,1,1),0),0),PLE!$AA$28*OFFSET(Import.PLQ,$A24-1,O$15-1,1,1)),IF($E24&lt;&gt;1,IF(ISNUMBER(INDEX(Import.PLE,Detalhamento!$E24,Detalhamento!O$15)),IF(INDEX(Import.PLE,Detalhamento!$E24,Detalhamento!O$15)&lt;=mediçao,0,OFFSET(Import.PLQ,$A24-1,O$15-1,1,1)),OFFSET(Import.PLQ,$A24-1,O$15-1,1,1)),(1-PLE!$AA$28)*OFFSET(Import.PLQ,$A24-1,O$15-1,1,1))))</f>
        <v>1032.9000000000001</v>
      </c>
      <c r="P24" s="145">
        <f ca="1">IF(P$13="",0,CHOOSE(Detalhamento.OpçãoServiços,OFFSET(Import.PLQ,$A24-1,P$15-1,1,1),IF($E24&lt;&gt;1,IF(ISNUMBER(INDEX(Import.PLE,Detalhamento!$E24,Detalhamento!P$15)),IF(INDEX(Import.PLE,Detalhamento!$E24,Detalhamento!P$15)&lt;=mediçao,OFFSET(Import.PLQ,$A24-1,P$15-1,1,1),0),0),PLE!$AA$28*OFFSET(Import.PLQ,$A24-1,P$15-1,1,1)),IF($E24&lt;&gt;1,IF(ISNUMBER(INDEX(Import.PLE,Detalhamento!$E24,Detalhamento!P$15)),IF(INDEX(Import.PLE,Detalhamento!$E24,Detalhamento!P$15)&lt;=mediçao,0,OFFSET(Import.PLQ,$A24-1,P$15-1,1,1)),OFFSET(Import.PLQ,$A24-1,P$15-1,1,1)),(1-PLE!$AA$28)*OFFSET(Import.PLQ,$A24-1,P$15-1,1,1))))</f>
        <v>390.01</v>
      </c>
      <c r="Q24" s="145">
        <f ca="1">IF(Q$13="",0,CHOOSE(Detalhamento.OpçãoServiços,OFFSET(Import.PLQ,$A24-1,Q$15-1,1,1),IF($E24&lt;&gt;1,IF(ISNUMBER(INDEX(Import.PLE,Detalhamento!$E24,Detalhamento!Q$15)),IF(INDEX(Import.PLE,Detalhamento!$E24,Detalhamento!Q$15)&lt;=mediçao,OFFSET(Import.PLQ,$A24-1,Q$15-1,1,1),0),0),PLE!$AA$28*OFFSET(Import.PLQ,$A24-1,Q$15-1,1,1)),IF($E24&lt;&gt;1,IF(ISNUMBER(INDEX(Import.PLE,Detalhamento!$E24,Detalhamento!Q$15)),IF(INDEX(Import.PLE,Detalhamento!$E24,Detalhamento!Q$15)&lt;=mediçao,0,OFFSET(Import.PLQ,$A24-1,Q$15-1,1,1)),OFFSET(Import.PLQ,$A24-1,Q$15-1,1,1)),(1-PLE!$AA$28)*OFFSET(Import.PLQ,$A24-1,Q$15-1,1,1))))</f>
        <v>733.74</v>
      </c>
      <c r="R24" s="145">
        <f ca="1">IF(R$13="",0,CHOOSE(Detalhamento.OpçãoServiços,OFFSET(Import.PLQ,$A24-1,R$15-1,1,1),IF($E24&lt;&gt;1,IF(ISNUMBER(INDEX(Import.PLE,Detalhamento!$E24,Detalhamento!R$15)),IF(INDEX(Import.PLE,Detalhamento!$E24,Detalhamento!R$15)&lt;=mediçao,OFFSET(Import.PLQ,$A24-1,R$15-1,1,1),0),0),PLE!$AA$28*OFFSET(Import.PLQ,$A24-1,R$15-1,1,1)),IF($E24&lt;&gt;1,IF(ISNUMBER(INDEX(Import.PLE,Detalhamento!$E24,Detalhamento!R$15)),IF(INDEX(Import.PLE,Detalhamento!$E24,Detalhamento!R$15)&lt;=mediçao,0,OFFSET(Import.PLQ,$A24-1,R$15-1,1,1)),OFFSET(Import.PLQ,$A24-1,R$15-1,1,1)),(1-PLE!$AA$28)*OFFSET(Import.PLQ,$A24-1,R$15-1,1,1))))</f>
        <v>523.79999999999995</v>
      </c>
      <c r="S24" s="145">
        <f ca="1">IF(S$13="",0,CHOOSE(Detalhamento.OpçãoServiços,OFFSET(Import.PLQ,$A24-1,S$15-1,1,1),IF($E24&lt;&gt;1,IF(ISNUMBER(INDEX(Import.PLE,Detalhamento!$E24,Detalhamento!S$15)),IF(INDEX(Import.PLE,Detalhamento!$E24,Detalhamento!S$15)&lt;=mediçao,OFFSET(Import.PLQ,$A24-1,S$15-1,1,1),0),0),PLE!$AA$28*OFFSET(Import.PLQ,$A24-1,S$15-1,1,1)),IF($E24&lt;&gt;1,IF(ISNUMBER(INDEX(Import.PLE,Detalhamento!$E24,Detalhamento!S$15)),IF(INDEX(Import.PLE,Detalhamento!$E24,Detalhamento!S$15)&lt;=mediçao,0,OFFSET(Import.PLQ,$A24-1,S$15-1,1,1)),OFFSET(Import.PLQ,$A24-1,S$15-1,1,1)),(1-PLE!$AA$28)*OFFSET(Import.PLQ,$A24-1,S$15-1,1,1))))</f>
        <v>385.44</v>
      </c>
      <c r="T24" s="145">
        <f ca="1">IF(T$13="",0,CHOOSE(Detalhamento.OpçãoServiços,OFFSET(Import.PLQ,$A24-1,T$15-1,1,1),IF($E24&lt;&gt;1,IF(ISNUMBER(INDEX(Import.PLE,Detalhamento!$E24,Detalhamento!T$15)),IF(INDEX(Import.PLE,Detalhamento!$E24,Detalhamento!T$15)&lt;=mediçao,OFFSET(Import.PLQ,$A24-1,T$15-1,1,1),0),0),PLE!$AA$28*OFFSET(Import.PLQ,$A24-1,T$15-1,1,1)),IF($E24&lt;&gt;1,IF(ISNUMBER(INDEX(Import.PLE,Detalhamento!$E24,Detalhamento!T$15)),IF(INDEX(Import.PLE,Detalhamento!$E24,Detalhamento!T$15)&lt;=mediçao,0,OFFSET(Import.PLQ,$A24-1,T$15-1,1,1)),OFFSET(Import.PLQ,$A24-1,T$15-1,1,1)),(1-PLE!$AA$28)*OFFSET(Import.PLQ,$A24-1,T$15-1,1,1))))</f>
        <v>0</v>
      </c>
      <c r="U24" s="145">
        <f ca="1">IF(U$13="",0,CHOOSE(Detalhamento.OpçãoServiços,OFFSET(Import.PLQ,$A24-1,U$15-1,1,1),IF($E24&lt;&gt;1,IF(ISNUMBER(INDEX(Import.PLE,Detalhamento!$E24,Detalhamento!U$15)),IF(INDEX(Import.PLE,Detalhamento!$E24,Detalhamento!U$15)&lt;=mediçao,OFFSET(Import.PLQ,$A24-1,U$15-1,1,1),0),0),PLE!$AA$28*OFFSET(Import.PLQ,$A24-1,U$15-1,1,1)),IF($E24&lt;&gt;1,IF(ISNUMBER(INDEX(Import.PLE,Detalhamento!$E24,Detalhamento!U$15)),IF(INDEX(Import.PLE,Detalhamento!$E24,Detalhamento!U$15)&lt;=mediçao,0,OFFSET(Import.PLQ,$A24-1,U$15-1,1,1)),OFFSET(Import.PLQ,$A24-1,U$15-1,1,1)),(1-PLE!$AA$28)*OFFSET(Import.PLQ,$A24-1,U$15-1,1,1))))</f>
        <v>0</v>
      </c>
      <c r="V24" s="145">
        <f ca="1">IF(V$13="",0,CHOOSE(Detalhamento.OpçãoServiços,OFFSET(Import.PLQ,$A24-1,V$15-1,1,1),IF($E24&lt;&gt;1,IF(ISNUMBER(INDEX(Import.PLE,Detalhamento!$E24,Detalhamento!V$15)),IF(INDEX(Import.PLE,Detalhamento!$E24,Detalhamento!V$15)&lt;=mediçao,OFFSET(Import.PLQ,$A24-1,V$15-1,1,1),0),0),PLE!$AA$28*OFFSET(Import.PLQ,$A24-1,V$15-1,1,1)),IF($E24&lt;&gt;1,IF(ISNUMBER(INDEX(Import.PLE,Detalhamento!$E24,Detalhamento!V$15)),IF(INDEX(Import.PLE,Detalhamento!$E24,Detalhamento!V$15)&lt;=mediçao,0,OFFSET(Import.PLQ,$A24-1,V$15-1,1,1)),OFFSET(Import.PLQ,$A24-1,V$15-1,1,1)),(1-PLE!$AA$28)*OFFSET(Import.PLQ,$A24-1,V$15-1,1,1))))</f>
        <v>0</v>
      </c>
      <c r="W24" s="145">
        <f ca="1">IF(W$13="",0,CHOOSE(Detalhamento.OpçãoServiços,OFFSET(Import.PLQ,$A24-1,W$15-1,1,1),IF($E24&lt;&gt;1,IF(ISNUMBER(INDEX(Import.PLE,Detalhamento!$E24,Detalhamento!W$15)),IF(INDEX(Import.PLE,Detalhamento!$E24,Detalhamento!W$15)&lt;=mediçao,OFFSET(Import.PLQ,$A24-1,W$15-1,1,1),0),0),PLE!$AA$28*OFFSET(Import.PLQ,$A24-1,W$15-1,1,1)),IF($E24&lt;&gt;1,IF(ISNUMBER(INDEX(Import.PLE,Detalhamento!$E24,Detalhamento!W$15)),IF(INDEX(Import.PLE,Detalhamento!$E24,Detalhamento!W$15)&lt;=mediçao,0,OFFSET(Import.PLQ,$A24-1,W$15-1,1,1)),OFFSET(Import.PLQ,$A24-1,W$15-1,1,1)),(1-PLE!$AA$28)*OFFSET(Import.PLQ,$A24-1,W$15-1,1,1))))</f>
        <v>0</v>
      </c>
      <c r="X24" s="145">
        <f ca="1">IF(X$13="",0,CHOOSE(Detalhamento.OpçãoServiços,OFFSET(Import.PLQ,$A24-1,X$15-1,1,1),IF($E24&lt;&gt;1,IF(ISNUMBER(INDEX(Import.PLE,Detalhamento!$E24,Detalhamento!X$15)),IF(INDEX(Import.PLE,Detalhamento!$E24,Detalhamento!X$15)&lt;=mediçao,OFFSET(Import.PLQ,$A24-1,X$15-1,1,1),0),0),PLE!$AA$28*OFFSET(Import.PLQ,$A24-1,X$15-1,1,1)),IF($E24&lt;&gt;1,IF(ISNUMBER(INDEX(Import.PLE,Detalhamento!$E24,Detalhamento!X$15)),IF(INDEX(Import.PLE,Detalhamento!$E24,Detalhamento!X$15)&lt;=mediçao,0,OFFSET(Import.PLQ,$A24-1,X$15-1,1,1)),OFFSET(Import.PLQ,$A24-1,X$15-1,1,1)),(1-PLE!$AA$28)*OFFSET(Import.PLQ,$A24-1,X$15-1,1,1))))</f>
        <v>0</v>
      </c>
      <c r="Y24" s="145">
        <f ca="1">IF(Y$13="",0,CHOOSE(Detalhamento.OpçãoServiços,OFFSET(Import.PLQ,$A24-1,Y$15-1,1,1),IF($E24&lt;&gt;1,IF(ISNUMBER(INDEX(Import.PLE,Detalhamento!$E24,Detalhamento!Y$15)),IF(INDEX(Import.PLE,Detalhamento!$E24,Detalhamento!Y$15)&lt;=mediçao,OFFSET(Import.PLQ,$A24-1,Y$15-1,1,1),0),0),PLE!$AA$28*OFFSET(Import.PLQ,$A24-1,Y$15-1,1,1)),IF($E24&lt;&gt;1,IF(ISNUMBER(INDEX(Import.PLE,Detalhamento!$E24,Detalhamento!Y$15)),IF(INDEX(Import.PLE,Detalhamento!$E24,Detalhamento!Y$15)&lt;=mediçao,0,OFFSET(Import.PLQ,$A24-1,Y$15-1,1,1)),OFFSET(Import.PLQ,$A24-1,Y$15-1,1,1)),(1-PLE!$AA$28)*OFFSET(Import.PLQ,$A24-1,Y$15-1,1,1))))</f>
        <v>0</v>
      </c>
      <c r="Z24" s="145">
        <f ca="1">IF(Z$13="",0,CHOOSE(Detalhamento.OpçãoServiços,OFFSET(Import.PLQ,$A24-1,Z$15-1,1,1),IF($E24&lt;&gt;1,IF(ISNUMBER(INDEX(Import.PLE,Detalhamento!$E24,Detalhamento!Z$15)),IF(INDEX(Import.PLE,Detalhamento!$E24,Detalhamento!Z$15)&lt;=mediçao,OFFSET(Import.PLQ,$A24-1,Z$15-1,1,1),0),0),PLE!$AA$28*OFFSET(Import.PLQ,$A24-1,Z$15-1,1,1)),IF($E24&lt;&gt;1,IF(ISNUMBER(INDEX(Import.PLE,Detalhamento!$E24,Detalhamento!Z$15)),IF(INDEX(Import.PLE,Detalhamento!$E24,Detalhamento!Z$15)&lt;=mediçao,0,OFFSET(Import.PLQ,$A24-1,Z$15-1,1,1)),OFFSET(Import.PLQ,$A24-1,Z$15-1,1,1)),(1-PLE!$AA$28)*OFFSET(Import.PLQ,$A24-1,Z$15-1,1,1))))</f>
        <v>0</v>
      </c>
      <c r="AA24" s="145">
        <f ca="1">IF(AA$13="",0,CHOOSE(Detalhamento.OpçãoServiços,OFFSET(Import.PLQ,$A24-1,AA$15-1,1,1),IF($E24&lt;&gt;1,IF(ISNUMBER(INDEX(Import.PLE,Detalhamento!$E24,Detalhamento!AA$15)),IF(INDEX(Import.PLE,Detalhamento!$E24,Detalhamento!AA$15)&lt;=mediçao,OFFSET(Import.PLQ,$A24-1,AA$15-1,1,1),0),0),PLE!$AA$28*OFFSET(Import.PLQ,$A24-1,AA$15-1,1,1)),IF($E24&lt;&gt;1,IF(ISNUMBER(INDEX(Import.PLE,Detalhamento!$E24,Detalhamento!AA$15)),IF(INDEX(Import.PLE,Detalhamento!$E24,Detalhamento!AA$15)&lt;=mediçao,0,OFFSET(Import.PLQ,$A24-1,AA$15-1,1,1)),OFFSET(Import.PLQ,$A24-1,AA$15-1,1,1)),(1-PLE!$AA$28)*OFFSET(Import.PLQ,$A24-1,AA$15-1,1,1))))</f>
        <v>0</v>
      </c>
      <c r="AB24" s="145">
        <f ca="1">IF(AB$13="",0,CHOOSE(Detalhamento.OpçãoServiços,OFFSET(Import.PLQ,$A24-1,AB$15-1,1,1),IF($E24&lt;&gt;1,IF(ISNUMBER(INDEX(Import.PLE,Detalhamento!$E24,Detalhamento!AB$15)),IF(INDEX(Import.PLE,Detalhamento!$E24,Detalhamento!AB$15)&lt;=mediçao,OFFSET(Import.PLQ,$A24-1,AB$15-1,1,1),0),0),PLE!$AA$28*OFFSET(Import.PLQ,$A24-1,AB$15-1,1,1)),IF($E24&lt;&gt;1,IF(ISNUMBER(INDEX(Import.PLE,Detalhamento!$E24,Detalhamento!AB$15)),IF(INDEX(Import.PLE,Detalhamento!$E24,Detalhamento!AB$15)&lt;=mediçao,0,OFFSET(Import.PLQ,$A24-1,AB$15-1,1,1)),OFFSET(Import.PLQ,$A24-1,AB$15-1,1,1)),(1-PLE!$AA$28)*OFFSET(Import.PLQ,$A24-1,AB$15-1,1,1))))</f>
        <v>0</v>
      </c>
      <c r="AC24" s="145">
        <f ca="1">IF(AC$13="",0,CHOOSE(Detalhamento.OpçãoServiços,OFFSET(Import.PLQ,$A24-1,AC$15-1,1,1),IF($E24&lt;&gt;1,IF(ISNUMBER(INDEX(Import.PLE,Detalhamento!$E24,Detalhamento!AC$15)),IF(INDEX(Import.PLE,Detalhamento!$E24,Detalhamento!AC$15)&lt;=mediçao,OFFSET(Import.PLQ,$A24-1,AC$15-1,1,1),0),0),PLE!$AA$28*OFFSET(Import.PLQ,$A24-1,AC$15-1,1,1)),IF($E24&lt;&gt;1,IF(ISNUMBER(INDEX(Import.PLE,Detalhamento!$E24,Detalhamento!AC$15)),IF(INDEX(Import.PLE,Detalhamento!$E24,Detalhamento!AC$15)&lt;=mediçao,0,OFFSET(Import.PLQ,$A24-1,AC$15-1,1,1)),OFFSET(Import.PLQ,$A24-1,AC$15-1,1,1)),(1-PLE!$AA$28)*OFFSET(Import.PLQ,$A24-1,AC$15-1,1,1))))</f>
        <v>0</v>
      </c>
      <c r="AD24" s="145">
        <f ca="1">IF(AD$13="",0,CHOOSE(Detalhamento.OpçãoServiços,OFFSET(Import.PLQ,$A24-1,AD$15-1,1,1),IF($E24&lt;&gt;1,IF(ISNUMBER(INDEX(Import.PLE,Detalhamento!$E24,Detalhamento!AD$15)),IF(INDEX(Import.PLE,Detalhamento!$E24,Detalhamento!AD$15)&lt;=mediçao,OFFSET(Import.PLQ,$A24-1,AD$15-1,1,1),0),0),PLE!$AA$28*OFFSET(Import.PLQ,$A24-1,AD$15-1,1,1)),IF($E24&lt;&gt;1,IF(ISNUMBER(INDEX(Import.PLE,Detalhamento!$E24,Detalhamento!AD$15)),IF(INDEX(Import.PLE,Detalhamento!$E24,Detalhamento!AD$15)&lt;=mediçao,0,OFFSET(Import.PLQ,$A24-1,AD$15-1,1,1)),OFFSET(Import.PLQ,$A24-1,AD$15-1,1,1)),(1-PLE!$AA$28)*OFFSET(Import.PLQ,$A24-1,AD$15-1,1,1))))</f>
        <v>0</v>
      </c>
      <c r="AE24" s="145">
        <f ca="1">IF(AE$13="",0,CHOOSE(Detalhamento.OpçãoServiços,OFFSET(Import.PLQ,$A24-1,AE$15-1,1,1),IF($E24&lt;&gt;1,IF(ISNUMBER(INDEX(Import.PLE,Detalhamento!$E24,Detalhamento!AE$15)),IF(INDEX(Import.PLE,Detalhamento!$E24,Detalhamento!AE$15)&lt;=mediçao,OFFSET(Import.PLQ,$A24-1,AE$15-1,1,1),0),0),PLE!$AA$28*OFFSET(Import.PLQ,$A24-1,AE$15-1,1,1)),IF($E24&lt;&gt;1,IF(ISNUMBER(INDEX(Import.PLE,Detalhamento!$E24,Detalhamento!AE$15)),IF(INDEX(Import.PLE,Detalhamento!$E24,Detalhamento!AE$15)&lt;=mediçao,0,OFFSET(Import.PLQ,$A24-1,AE$15-1,1,1)),OFFSET(Import.PLQ,$A24-1,AE$15-1,1,1)),(1-PLE!$AA$28)*OFFSET(Import.PLQ,$A24-1,AE$15-1,1,1))))</f>
        <v>0</v>
      </c>
      <c r="AF24" s="145">
        <f ca="1">IF(AF$13="",0,CHOOSE(Detalhamento.OpçãoServiços,OFFSET(Import.PLQ,$A24-1,AF$15-1,1,1),IF($E24&lt;&gt;1,IF(ISNUMBER(INDEX(Import.PLE,Detalhamento!$E24,Detalhamento!AF$15)),IF(INDEX(Import.PLE,Detalhamento!$E24,Detalhamento!AF$15)&lt;=mediçao,OFFSET(Import.PLQ,$A24-1,AF$15-1,1,1),0),0),PLE!$AA$28*OFFSET(Import.PLQ,$A24-1,AF$15-1,1,1)),IF($E24&lt;&gt;1,IF(ISNUMBER(INDEX(Import.PLE,Detalhamento!$E24,Detalhamento!AF$15)),IF(INDEX(Import.PLE,Detalhamento!$E24,Detalhamento!AF$15)&lt;=mediçao,0,OFFSET(Import.PLQ,$A24-1,AF$15-1,1,1)),OFFSET(Import.PLQ,$A24-1,AF$15-1,1,1)),(1-PLE!$AA$28)*OFFSET(Import.PLQ,$A24-1,AF$15-1,1,1))))</f>
        <v>0</v>
      </c>
      <c r="AG24" s="145">
        <f ca="1">IF(AG$13="",0,CHOOSE(Detalhamento.OpçãoServiços,OFFSET(Import.PLQ,$A24-1,AG$15-1,1,1),IF($E24&lt;&gt;1,IF(ISNUMBER(INDEX(Import.PLE,Detalhamento!$E24,Detalhamento!AG$15)),IF(INDEX(Import.PLE,Detalhamento!$E24,Detalhamento!AG$15)&lt;=mediçao,OFFSET(Import.PLQ,$A24-1,AG$15-1,1,1),0),0),PLE!$AA$28*OFFSET(Import.PLQ,$A24-1,AG$15-1,1,1)),IF($E24&lt;&gt;1,IF(ISNUMBER(INDEX(Import.PLE,Detalhamento!$E24,Detalhamento!AG$15)),IF(INDEX(Import.PLE,Detalhamento!$E24,Detalhamento!AG$15)&lt;=mediçao,0,OFFSET(Import.PLQ,$A24-1,AG$15-1,1,1)),OFFSET(Import.PLQ,$A24-1,AG$15-1,1,1)),(1-PLE!$AA$28)*OFFSET(Import.PLQ,$A24-1,AG$15-1,1,1))))</f>
        <v>0</v>
      </c>
      <c r="AH24" s="145">
        <f ca="1">IF(AH$13="",0,CHOOSE(Detalhamento.OpçãoServiços,OFFSET(Import.PLQ,$A24-1,AH$15-1,1,1),IF($E24&lt;&gt;1,IF(ISNUMBER(INDEX(Import.PLE,Detalhamento!$E24,Detalhamento!AH$15)),IF(INDEX(Import.PLE,Detalhamento!$E24,Detalhamento!AH$15)&lt;=mediçao,OFFSET(Import.PLQ,$A24-1,AH$15-1,1,1),0),0),PLE!$AA$28*OFFSET(Import.PLQ,$A24-1,AH$15-1,1,1)),IF($E24&lt;&gt;1,IF(ISNUMBER(INDEX(Import.PLE,Detalhamento!$E24,Detalhamento!AH$15)),IF(INDEX(Import.PLE,Detalhamento!$E24,Detalhamento!AH$15)&lt;=mediçao,0,OFFSET(Import.PLQ,$A24-1,AH$15-1,1,1)),OFFSET(Import.PLQ,$A24-1,AH$15-1,1,1)),(1-PLE!$AA$28)*OFFSET(Import.PLQ,$A24-1,AH$15-1,1,1))))</f>
        <v>0</v>
      </c>
      <c r="AI24" s="145">
        <f ca="1">IF(AI$13="",0,CHOOSE(Detalhamento.OpçãoServiços,OFFSET(Import.PLQ,$A24-1,AI$15-1,1,1),IF($E24&lt;&gt;1,IF(ISNUMBER(INDEX(Import.PLE,Detalhamento!$E24,Detalhamento!AI$15)),IF(INDEX(Import.PLE,Detalhamento!$E24,Detalhamento!AI$15)&lt;=mediçao,OFFSET(Import.PLQ,$A24-1,AI$15-1,1,1),0),0),PLE!$AA$28*OFFSET(Import.PLQ,$A24-1,AI$15-1,1,1)),IF($E24&lt;&gt;1,IF(ISNUMBER(INDEX(Import.PLE,Detalhamento!$E24,Detalhamento!AI$15)),IF(INDEX(Import.PLE,Detalhamento!$E24,Detalhamento!AI$15)&lt;=mediçao,0,OFFSET(Import.PLQ,$A24-1,AI$15-1,1,1)),OFFSET(Import.PLQ,$A24-1,AI$15-1,1,1)),(1-PLE!$AA$28)*OFFSET(Import.PLQ,$A24-1,AI$15-1,1,1))))</f>
        <v>0</v>
      </c>
      <c r="AJ24" s="145">
        <f ca="1">IF(AJ$13="",0,CHOOSE(Detalhamento.OpçãoServiços,OFFSET(Import.PLQ,$A24-1,AJ$15-1,1,1),IF($E24&lt;&gt;1,IF(ISNUMBER(INDEX(Import.PLE,Detalhamento!$E24,Detalhamento!AJ$15)),IF(INDEX(Import.PLE,Detalhamento!$E24,Detalhamento!AJ$15)&lt;=mediçao,OFFSET(Import.PLQ,$A24-1,AJ$15-1,1,1),0),0),PLE!$AA$28*OFFSET(Import.PLQ,$A24-1,AJ$15-1,1,1)),IF($E24&lt;&gt;1,IF(ISNUMBER(INDEX(Import.PLE,Detalhamento!$E24,Detalhamento!AJ$15)),IF(INDEX(Import.PLE,Detalhamento!$E24,Detalhamento!AJ$15)&lt;=mediçao,0,OFFSET(Import.PLQ,$A24-1,AJ$15-1,1,1)),OFFSET(Import.PLQ,$A24-1,AJ$15-1,1,1)),(1-PLE!$AA$28)*OFFSET(Import.PLQ,$A24-1,AJ$15-1,1,1))))</f>
        <v>0</v>
      </c>
      <c r="AK24" s="145">
        <f ca="1">IF(AK$13="",0,CHOOSE(Detalhamento.OpçãoServiços,OFFSET(Import.PLQ,$A24-1,AK$15-1,1,1),IF($E24&lt;&gt;1,IF(ISNUMBER(INDEX(Import.PLE,Detalhamento!$E24,Detalhamento!AK$15)),IF(INDEX(Import.PLE,Detalhamento!$E24,Detalhamento!AK$15)&lt;=mediçao,OFFSET(Import.PLQ,$A24-1,AK$15-1,1,1),0),0),PLE!$AA$28*OFFSET(Import.PLQ,$A24-1,AK$15-1,1,1)),IF($E24&lt;&gt;1,IF(ISNUMBER(INDEX(Import.PLE,Detalhamento!$E24,Detalhamento!AK$15)),IF(INDEX(Import.PLE,Detalhamento!$E24,Detalhamento!AK$15)&lt;=mediçao,0,OFFSET(Import.PLQ,$A24-1,AK$15-1,1,1)),OFFSET(Import.PLQ,$A24-1,AK$15-1,1,1)),(1-PLE!$AA$28)*OFFSET(Import.PLQ,$A24-1,AK$15-1,1,1))))</f>
        <v>0</v>
      </c>
      <c r="AL24" s="145">
        <f ca="1">IF(AL$13="",0,CHOOSE(Detalhamento.OpçãoServiços,OFFSET(Import.PLQ,$A24-1,AL$15-1,1,1),IF($E24&lt;&gt;1,IF(ISNUMBER(INDEX(Import.PLE,Detalhamento!$E24,Detalhamento!AL$15)),IF(INDEX(Import.PLE,Detalhamento!$E24,Detalhamento!AL$15)&lt;=mediçao,OFFSET(Import.PLQ,$A24-1,AL$15-1,1,1),0),0),PLE!$AA$28*OFFSET(Import.PLQ,$A24-1,AL$15-1,1,1)),IF($E24&lt;&gt;1,IF(ISNUMBER(INDEX(Import.PLE,Detalhamento!$E24,Detalhamento!AL$15)),IF(INDEX(Import.PLE,Detalhamento!$E24,Detalhamento!AL$15)&lt;=mediçao,0,OFFSET(Import.PLQ,$A24-1,AL$15-1,1,1)),OFFSET(Import.PLQ,$A24-1,AL$15-1,1,1)),(1-PLE!$AA$28)*OFFSET(Import.PLQ,$A24-1,AL$15-1,1,1))))</f>
        <v>0</v>
      </c>
      <c r="AM24" s="145">
        <f ca="1">IF(AM$13="",0,CHOOSE(Detalhamento.OpçãoServiços,OFFSET(Import.PLQ,$A24-1,AM$15-1,1,1),IF($E24&lt;&gt;1,IF(ISNUMBER(INDEX(Import.PLE,Detalhamento!$E24,Detalhamento!AM$15)),IF(INDEX(Import.PLE,Detalhamento!$E24,Detalhamento!AM$15)&lt;=mediçao,OFFSET(Import.PLQ,$A24-1,AM$15-1,1,1),0),0),PLE!$AA$28*OFFSET(Import.PLQ,$A24-1,AM$15-1,1,1)),IF($E24&lt;&gt;1,IF(ISNUMBER(INDEX(Import.PLE,Detalhamento!$E24,Detalhamento!AM$15)),IF(INDEX(Import.PLE,Detalhamento!$E24,Detalhamento!AM$15)&lt;=mediçao,0,OFFSET(Import.PLQ,$A24-1,AM$15-1,1,1)),OFFSET(Import.PLQ,$A24-1,AM$15-1,1,1)),(1-PLE!$AA$28)*OFFSET(Import.PLQ,$A24-1,AM$15-1,1,1))))</f>
        <v>0</v>
      </c>
      <c r="AN24" s="145">
        <f ca="1">IF(AN$13="",0,CHOOSE(Detalhamento.OpçãoServiços,OFFSET(Import.PLQ,$A24-1,AN$15-1,1,1),IF($E24&lt;&gt;1,IF(ISNUMBER(INDEX(Import.PLE,Detalhamento!$E24,Detalhamento!AN$15)),IF(INDEX(Import.PLE,Detalhamento!$E24,Detalhamento!AN$15)&lt;=mediçao,OFFSET(Import.PLQ,$A24-1,AN$15-1,1,1),0),0),PLE!$AA$28*OFFSET(Import.PLQ,$A24-1,AN$15-1,1,1)),IF($E24&lt;&gt;1,IF(ISNUMBER(INDEX(Import.PLE,Detalhamento!$E24,Detalhamento!AN$15)),IF(INDEX(Import.PLE,Detalhamento!$E24,Detalhamento!AN$15)&lt;=mediçao,0,OFFSET(Import.PLQ,$A24-1,AN$15-1,1,1)),OFFSET(Import.PLQ,$A24-1,AN$15-1,1,1)),(1-PLE!$AA$28)*OFFSET(Import.PLQ,$A24-1,AN$15-1,1,1))))</f>
        <v>0</v>
      </c>
      <c r="AO24" s="145">
        <f ca="1">IF(AO$13="",0,CHOOSE(Detalhamento.OpçãoServiços,OFFSET(Import.PLQ,$A24-1,AO$15-1,1,1),IF($E24&lt;&gt;1,IF(ISNUMBER(INDEX(Import.PLE,Detalhamento!$E24,Detalhamento!AO$15)),IF(INDEX(Import.PLE,Detalhamento!$E24,Detalhamento!AO$15)&lt;=mediçao,OFFSET(Import.PLQ,$A24-1,AO$15-1,1,1),0),0),PLE!$AA$28*OFFSET(Import.PLQ,$A24-1,AO$15-1,1,1)),IF($E24&lt;&gt;1,IF(ISNUMBER(INDEX(Import.PLE,Detalhamento!$E24,Detalhamento!AO$15)),IF(INDEX(Import.PLE,Detalhamento!$E24,Detalhamento!AO$15)&lt;=mediçao,0,OFFSET(Import.PLQ,$A24-1,AO$15-1,1,1)),OFFSET(Import.PLQ,$A24-1,AO$15-1,1,1)),(1-PLE!$AA$28)*OFFSET(Import.PLQ,$A24-1,AO$15-1,1,1))))</f>
        <v>0</v>
      </c>
      <c r="AP24" s="145">
        <f ca="1">IF(AP$13="",0,CHOOSE(Detalhamento.OpçãoServiços,OFFSET(Import.PLQ,$A24-1,AP$15-1,1,1),IF($E24&lt;&gt;1,IF(ISNUMBER(INDEX(Import.PLE,Detalhamento!$E24,Detalhamento!AP$15)),IF(INDEX(Import.PLE,Detalhamento!$E24,Detalhamento!AP$15)&lt;=mediçao,OFFSET(Import.PLQ,$A24-1,AP$15-1,1,1),0),0),PLE!$AA$28*OFFSET(Import.PLQ,$A24-1,AP$15-1,1,1)),IF($E24&lt;&gt;1,IF(ISNUMBER(INDEX(Import.PLE,Detalhamento!$E24,Detalhamento!AP$15)),IF(INDEX(Import.PLE,Detalhamento!$E24,Detalhamento!AP$15)&lt;=mediçao,0,OFFSET(Import.PLQ,$A24-1,AP$15-1,1,1)),OFFSET(Import.PLQ,$A24-1,AP$15-1,1,1)),(1-PLE!$AA$28)*OFFSET(Import.PLQ,$A24-1,AP$15-1,1,1))))</f>
        <v>0</v>
      </c>
      <c r="AQ24" s="145">
        <f ca="1">IF(AQ$13="",0,CHOOSE(Detalhamento.OpçãoServiços,OFFSET(Import.PLQ,$A24-1,AQ$15-1,1,1),IF($E24&lt;&gt;1,IF(ISNUMBER(INDEX(Import.PLE,Detalhamento!$E24,Detalhamento!AQ$15)),IF(INDEX(Import.PLE,Detalhamento!$E24,Detalhamento!AQ$15)&lt;=mediçao,OFFSET(Import.PLQ,$A24-1,AQ$15-1,1,1),0),0),PLE!$AA$28*OFFSET(Import.PLQ,$A24-1,AQ$15-1,1,1)),IF($E24&lt;&gt;1,IF(ISNUMBER(INDEX(Import.PLE,Detalhamento!$E24,Detalhamento!AQ$15)),IF(INDEX(Import.PLE,Detalhamento!$E24,Detalhamento!AQ$15)&lt;=mediçao,0,OFFSET(Import.PLQ,$A24-1,AQ$15-1,1,1)),OFFSET(Import.PLQ,$A24-1,AQ$15-1,1,1)),(1-PLE!$AA$28)*OFFSET(Import.PLQ,$A24-1,AQ$15-1,1,1))))</f>
        <v>0</v>
      </c>
      <c r="AR24" s="145">
        <f ca="1">IF(AR$13="",0,CHOOSE(Detalhamento.OpçãoServiços,OFFSET(Import.PLQ,$A24-1,AR$15-1,1,1),IF($E24&lt;&gt;1,IF(ISNUMBER(INDEX(Import.PLE,Detalhamento!$E24,Detalhamento!AR$15)),IF(INDEX(Import.PLE,Detalhamento!$E24,Detalhamento!AR$15)&lt;=mediçao,OFFSET(Import.PLQ,$A24-1,AR$15-1,1,1),0),0),PLE!$AA$28*OFFSET(Import.PLQ,$A24-1,AR$15-1,1,1)),IF($E24&lt;&gt;1,IF(ISNUMBER(INDEX(Import.PLE,Detalhamento!$E24,Detalhamento!AR$15)),IF(INDEX(Import.PLE,Detalhamento!$E24,Detalhamento!AR$15)&lt;=mediçao,0,OFFSET(Import.PLQ,$A24-1,AR$15-1,1,1)),OFFSET(Import.PLQ,$A24-1,AR$15-1,1,1)),(1-PLE!$AA$28)*OFFSET(Import.PLQ,$A24-1,AR$15-1,1,1))))</f>
        <v>0</v>
      </c>
      <c r="AS24" s="145">
        <f ca="1">IF(AS$13="",0,CHOOSE(Detalhamento.OpçãoServiços,OFFSET(Import.PLQ,$A24-1,AS$15-1,1,1),IF($E24&lt;&gt;1,IF(ISNUMBER(INDEX(Import.PLE,Detalhamento!$E24,Detalhamento!AS$15)),IF(INDEX(Import.PLE,Detalhamento!$E24,Detalhamento!AS$15)&lt;=mediçao,OFFSET(Import.PLQ,$A24-1,AS$15-1,1,1),0),0),PLE!$AA$28*OFFSET(Import.PLQ,$A24-1,AS$15-1,1,1)),IF($E24&lt;&gt;1,IF(ISNUMBER(INDEX(Import.PLE,Detalhamento!$E24,Detalhamento!AS$15)),IF(INDEX(Import.PLE,Detalhamento!$E24,Detalhamento!AS$15)&lt;=mediçao,0,OFFSET(Import.PLQ,$A24-1,AS$15-1,1,1)),OFFSET(Import.PLQ,$A24-1,AS$15-1,1,1)),(1-PLE!$AA$28)*OFFSET(Import.PLQ,$A24-1,AS$15-1,1,1))))</f>
        <v>0</v>
      </c>
      <c r="AT24" s="145">
        <f ca="1">IF(AT$13="",0,CHOOSE(Detalhamento.OpçãoServiços,OFFSET(Import.PLQ,$A24-1,AT$15-1,1,1),IF($E24&lt;&gt;1,IF(ISNUMBER(INDEX(Import.PLE,Detalhamento!$E24,Detalhamento!AT$15)),IF(INDEX(Import.PLE,Detalhamento!$E24,Detalhamento!AT$15)&lt;=mediçao,OFFSET(Import.PLQ,$A24-1,AT$15-1,1,1),0),0),PLE!$AA$28*OFFSET(Import.PLQ,$A24-1,AT$15-1,1,1)),IF($E24&lt;&gt;1,IF(ISNUMBER(INDEX(Import.PLE,Detalhamento!$E24,Detalhamento!AT$15)),IF(INDEX(Import.PLE,Detalhamento!$E24,Detalhamento!AT$15)&lt;=mediçao,0,OFFSET(Import.PLQ,$A24-1,AT$15-1,1,1)),OFFSET(Import.PLQ,$A24-1,AT$15-1,1,1)),(1-PLE!$AA$28)*OFFSET(Import.PLQ,$A24-1,AT$15-1,1,1))))</f>
        <v>0</v>
      </c>
      <c r="AU24" s="145">
        <f ca="1">IF(AU$13="",0,CHOOSE(Detalhamento.OpçãoServiços,OFFSET(Import.PLQ,$A24-1,AU$15-1,1,1),IF($E24&lt;&gt;1,IF(ISNUMBER(INDEX(Import.PLE,Detalhamento!$E24,Detalhamento!AU$15)),IF(INDEX(Import.PLE,Detalhamento!$E24,Detalhamento!AU$15)&lt;=mediçao,OFFSET(Import.PLQ,$A24-1,AU$15-1,1,1),0),0),PLE!$AA$28*OFFSET(Import.PLQ,$A24-1,AU$15-1,1,1)),IF($E24&lt;&gt;1,IF(ISNUMBER(INDEX(Import.PLE,Detalhamento!$E24,Detalhamento!AU$15)),IF(INDEX(Import.PLE,Detalhamento!$E24,Detalhamento!AU$15)&lt;=mediçao,0,OFFSET(Import.PLQ,$A24-1,AU$15-1,1,1)),OFFSET(Import.PLQ,$A24-1,AU$15-1,1,1)),(1-PLE!$AA$28)*OFFSET(Import.PLQ,$A24-1,AU$15-1,1,1))))</f>
        <v>0</v>
      </c>
      <c r="AV24" s="145">
        <f ca="1">IF(AV$13="",0,CHOOSE(Detalhamento.OpçãoServiços,OFFSET(Import.PLQ,$A24-1,AV$15-1,1,1),IF($E24&lt;&gt;1,IF(ISNUMBER(INDEX(Import.PLE,Detalhamento!$E24,Detalhamento!AV$15)),IF(INDEX(Import.PLE,Detalhamento!$E24,Detalhamento!AV$15)&lt;=mediçao,OFFSET(Import.PLQ,$A24-1,AV$15-1,1,1),0),0),PLE!$AA$28*OFFSET(Import.PLQ,$A24-1,AV$15-1,1,1)),IF($E24&lt;&gt;1,IF(ISNUMBER(INDEX(Import.PLE,Detalhamento!$E24,Detalhamento!AV$15)),IF(INDEX(Import.PLE,Detalhamento!$E24,Detalhamento!AV$15)&lt;=mediçao,0,OFFSET(Import.PLQ,$A24-1,AV$15-1,1,1)),OFFSET(Import.PLQ,$A24-1,AV$15-1,1,1)),(1-PLE!$AA$28)*OFFSET(Import.PLQ,$A24-1,AV$15-1,1,1))))</f>
        <v>0</v>
      </c>
      <c r="AW24" s="145">
        <f ca="1">IF(AW$13="",0,CHOOSE(Detalhamento.OpçãoServiços,OFFSET(Import.PLQ,$A24-1,AW$15-1,1,1),IF($E24&lt;&gt;1,IF(ISNUMBER(INDEX(Import.PLE,Detalhamento!$E24,Detalhamento!AW$15)),IF(INDEX(Import.PLE,Detalhamento!$E24,Detalhamento!AW$15)&lt;=mediçao,OFFSET(Import.PLQ,$A24-1,AW$15-1,1,1),0),0),PLE!$AA$28*OFFSET(Import.PLQ,$A24-1,AW$15-1,1,1)),IF($E24&lt;&gt;1,IF(ISNUMBER(INDEX(Import.PLE,Detalhamento!$E24,Detalhamento!AW$15)),IF(INDEX(Import.PLE,Detalhamento!$E24,Detalhamento!AW$15)&lt;=mediçao,0,OFFSET(Import.PLQ,$A24-1,AW$15-1,1,1)),OFFSET(Import.PLQ,$A24-1,AW$15-1,1,1)),(1-PLE!$AA$28)*OFFSET(Import.PLQ,$A24-1,AW$15-1,1,1))))</f>
        <v>0</v>
      </c>
      <c r="AX24" s="145">
        <f ca="1">IF(AX$13="",0,CHOOSE(Detalhamento.OpçãoServiços,OFFSET(Import.PLQ,$A24-1,AX$15-1,1,1),IF($E24&lt;&gt;1,IF(ISNUMBER(INDEX(Import.PLE,Detalhamento!$E24,Detalhamento!AX$15)),IF(INDEX(Import.PLE,Detalhamento!$E24,Detalhamento!AX$15)&lt;=mediçao,OFFSET(Import.PLQ,$A24-1,AX$15-1,1,1),0),0),PLE!$AA$28*OFFSET(Import.PLQ,$A24-1,AX$15-1,1,1)),IF($E24&lt;&gt;1,IF(ISNUMBER(INDEX(Import.PLE,Detalhamento!$E24,Detalhamento!AX$15)),IF(INDEX(Import.PLE,Detalhamento!$E24,Detalhamento!AX$15)&lt;=mediçao,0,OFFSET(Import.PLQ,$A24-1,AX$15-1,1,1)),OFFSET(Import.PLQ,$A24-1,AX$15-1,1,1)),(1-PLE!$AA$28)*OFFSET(Import.PLQ,$A24-1,AX$15-1,1,1))))</f>
        <v>0</v>
      </c>
      <c r="AY24" s="145">
        <f ca="1">IF(AY$13="",0,CHOOSE(Detalhamento.OpçãoServiços,OFFSET(Import.PLQ,$A24-1,AY$15-1,1,1),IF($E24&lt;&gt;1,IF(ISNUMBER(INDEX(Import.PLE,Detalhamento!$E24,Detalhamento!AY$15)),IF(INDEX(Import.PLE,Detalhamento!$E24,Detalhamento!AY$15)&lt;=mediçao,OFFSET(Import.PLQ,$A24-1,AY$15-1,1,1),0),0),PLE!$AA$28*OFFSET(Import.PLQ,$A24-1,AY$15-1,1,1)),IF($E24&lt;&gt;1,IF(ISNUMBER(INDEX(Import.PLE,Detalhamento!$E24,Detalhamento!AY$15)),IF(INDEX(Import.PLE,Detalhamento!$E24,Detalhamento!AY$15)&lt;=mediçao,0,OFFSET(Import.PLQ,$A24-1,AY$15-1,1,1)),OFFSET(Import.PLQ,$A24-1,AY$15-1,1,1)),(1-PLE!$AA$28)*OFFSET(Import.PLQ,$A24-1,AY$15-1,1,1))))</f>
        <v>0</v>
      </c>
      <c r="AZ24" s="145">
        <f ca="1">IF(AZ$13="",0,CHOOSE(Detalhamento.OpçãoServiços,OFFSET(Import.PLQ,$A24-1,AZ$15-1,1,1),IF($E24&lt;&gt;1,IF(ISNUMBER(INDEX(Import.PLE,Detalhamento!$E24,Detalhamento!AZ$15)),IF(INDEX(Import.PLE,Detalhamento!$E24,Detalhamento!AZ$15)&lt;=mediçao,OFFSET(Import.PLQ,$A24-1,AZ$15-1,1,1),0),0),PLE!$AA$28*OFFSET(Import.PLQ,$A24-1,AZ$15-1,1,1)),IF($E24&lt;&gt;1,IF(ISNUMBER(INDEX(Import.PLE,Detalhamento!$E24,Detalhamento!AZ$15)),IF(INDEX(Import.PLE,Detalhamento!$E24,Detalhamento!AZ$15)&lt;=mediçao,0,OFFSET(Import.PLQ,$A24-1,AZ$15-1,1,1)),OFFSET(Import.PLQ,$A24-1,AZ$15-1,1,1)),(1-PLE!$AA$28)*OFFSET(Import.PLQ,$A24-1,AZ$15-1,1,1))))</f>
        <v>0</v>
      </c>
      <c r="BA24" s="145">
        <f ca="1">IF(BA$13="",0,CHOOSE(Detalhamento.OpçãoServiços,OFFSET(Import.PLQ,$A24-1,BA$15-1,1,1),IF($E24&lt;&gt;1,IF(ISNUMBER(INDEX(Import.PLE,Detalhamento!$E24,Detalhamento!BA$15)),IF(INDEX(Import.PLE,Detalhamento!$E24,Detalhamento!BA$15)&lt;=mediçao,OFFSET(Import.PLQ,$A24-1,BA$15-1,1,1),0),0),PLE!$AA$28*OFFSET(Import.PLQ,$A24-1,BA$15-1,1,1)),IF($E24&lt;&gt;1,IF(ISNUMBER(INDEX(Import.PLE,Detalhamento!$E24,Detalhamento!BA$15)),IF(INDEX(Import.PLE,Detalhamento!$E24,Detalhamento!BA$15)&lt;=mediçao,0,OFFSET(Import.PLQ,$A24-1,BA$15-1,1,1)),OFFSET(Import.PLQ,$A24-1,BA$15-1,1,1)),(1-PLE!$AA$28)*OFFSET(Import.PLQ,$A24-1,BA$15-1,1,1))))</f>
        <v>0</v>
      </c>
      <c r="BB24" s="145">
        <f ca="1">IF(BB$13="",0,CHOOSE(Detalhamento.OpçãoServiços,OFFSET(Import.PLQ,$A24-1,BB$15-1,1,1),IF($E24&lt;&gt;1,IF(ISNUMBER(INDEX(Import.PLE,Detalhamento!$E24,Detalhamento!BB$15)),IF(INDEX(Import.PLE,Detalhamento!$E24,Detalhamento!BB$15)&lt;=mediçao,OFFSET(Import.PLQ,$A24-1,BB$15-1,1,1),0),0),PLE!$AA$28*OFFSET(Import.PLQ,$A24-1,BB$15-1,1,1)),IF($E24&lt;&gt;1,IF(ISNUMBER(INDEX(Import.PLE,Detalhamento!$E24,Detalhamento!BB$15)),IF(INDEX(Import.PLE,Detalhamento!$E24,Detalhamento!BB$15)&lt;=mediçao,0,OFFSET(Import.PLQ,$A24-1,BB$15-1,1,1)),OFFSET(Import.PLQ,$A24-1,BB$15-1,1,1)),(1-PLE!$AA$28)*OFFSET(Import.PLQ,$A24-1,BB$15-1,1,1))))</f>
        <v>0</v>
      </c>
      <c r="BC24" s="145">
        <f ca="1">IF(BC$13="",0,CHOOSE(Detalhamento.OpçãoServiços,OFFSET(Import.PLQ,$A24-1,BC$15-1,1,1),IF($E24&lt;&gt;1,IF(ISNUMBER(INDEX(Import.PLE,Detalhamento!$E24,Detalhamento!BC$15)),IF(INDEX(Import.PLE,Detalhamento!$E24,Detalhamento!BC$15)&lt;=mediçao,OFFSET(Import.PLQ,$A24-1,BC$15-1,1,1),0),0),PLE!$AA$28*OFFSET(Import.PLQ,$A24-1,BC$15-1,1,1)),IF($E24&lt;&gt;1,IF(ISNUMBER(INDEX(Import.PLE,Detalhamento!$E24,Detalhamento!BC$15)),IF(INDEX(Import.PLE,Detalhamento!$E24,Detalhamento!BC$15)&lt;=mediçao,0,OFFSET(Import.PLQ,$A24-1,BC$15-1,1,1)),OFFSET(Import.PLQ,$A24-1,BC$15-1,1,1)),(1-PLE!$AA$28)*OFFSET(Import.PLQ,$A24-1,BC$15-1,1,1))))</f>
        <v>0</v>
      </c>
      <c r="BD24" s="145">
        <f ca="1">IF(BD$13="",0,CHOOSE(Detalhamento.OpçãoServiços,OFFSET(Import.PLQ,$A24-1,BD$15-1,1,1),IF($E24&lt;&gt;1,IF(ISNUMBER(INDEX(Import.PLE,Detalhamento!$E24,Detalhamento!BD$15)),IF(INDEX(Import.PLE,Detalhamento!$E24,Detalhamento!BD$15)&lt;=mediçao,OFFSET(Import.PLQ,$A24-1,BD$15-1,1,1),0),0),PLE!$AA$28*OFFSET(Import.PLQ,$A24-1,BD$15-1,1,1)),IF($E24&lt;&gt;1,IF(ISNUMBER(INDEX(Import.PLE,Detalhamento!$E24,Detalhamento!BD$15)),IF(INDEX(Import.PLE,Detalhamento!$E24,Detalhamento!BD$15)&lt;=mediçao,0,OFFSET(Import.PLQ,$A24-1,BD$15-1,1,1)),OFFSET(Import.PLQ,$A24-1,BD$15-1,1,1)),(1-PLE!$AA$28)*OFFSET(Import.PLQ,$A24-1,BD$15-1,1,1))))</f>
        <v>0</v>
      </c>
      <c r="BE24" s="145">
        <f ca="1">IF(BE$13="",0,CHOOSE(Detalhamento.OpçãoServiços,OFFSET(Import.PLQ,$A24-1,BE$15-1,1,1),IF($E24&lt;&gt;1,IF(ISNUMBER(INDEX(Import.PLE,Detalhamento!$E24,Detalhamento!BE$15)),IF(INDEX(Import.PLE,Detalhamento!$E24,Detalhamento!BE$15)&lt;=mediçao,OFFSET(Import.PLQ,$A24-1,BE$15-1,1,1),0),0),PLE!$AA$28*OFFSET(Import.PLQ,$A24-1,BE$15-1,1,1)),IF($E24&lt;&gt;1,IF(ISNUMBER(INDEX(Import.PLE,Detalhamento!$E24,Detalhamento!BE$15)),IF(INDEX(Import.PLE,Detalhamento!$E24,Detalhamento!BE$15)&lt;=mediçao,0,OFFSET(Import.PLQ,$A24-1,BE$15-1,1,1)),OFFSET(Import.PLQ,$A24-1,BE$15-1,1,1)),(1-PLE!$AA$28)*OFFSET(Import.PLQ,$A24-1,BE$15-1,1,1))))</f>
        <v>0</v>
      </c>
      <c r="BF24" s="145">
        <f ca="1">IF(BF$13="",0,CHOOSE(Detalhamento.OpçãoServiços,OFFSET(Import.PLQ,$A24-1,BF$15-1,1,1),IF($E24&lt;&gt;1,IF(ISNUMBER(INDEX(Import.PLE,Detalhamento!$E24,Detalhamento!BF$15)),IF(INDEX(Import.PLE,Detalhamento!$E24,Detalhamento!BF$15)&lt;=mediçao,OFFSET(Import.PLQ,$A24-1,BF$15-1,1,1),0),0),PLE!$AA$28*OFFSET(Import.PLQ,$A24-1,BF$15-1,1,1)),IF($E24&lt;&gt;1,IF(ISNUMBER(INDEX(Import.PLE,Detalhamento!$E24,Detalhamento!BF$15)),IF(INDEX(Import.PLE,Detalhamento!$E24,Detalhamento!BF$15)&lt;=mediçao,0,OFFSET(Import.PLQ,$A24-1,BF$15-1,1,1)),OFFSET(Import.PLQ,$A24-1,BF$15-1,1,1)),(1-PLE!$AA$28)*OFFSET(Import.PLQ,$A24-1,BF$15-1,1,1))))</f>
        <v>0</v>
      </c>
      <c r="BG24" s="145">
        <f ca="1">IF(BG$13="",0,CHOOSE(Detalhamento.OpçãoServiços,OFFSET(Import.PLQ,$A24-1,BG$15-1,1,1),IF($E24&lt;&gt;1,IF(ISNUMBER(INDEX(Import.PLE,Detalhamento!$E24,Detalhamento!BG$15)),IF(INDEX(Import.PLE,Detalhamento!$E24,Detalhamento!BG$15)&lt;=mediçao,OFFSET(Import.PLQ,$A24-1,BG$15-1,1,1),0),0),PLE!$AA$28*OFFSET(Import.PLQ,$A24-1,BG$15-1,1,1)),IF($E24&lt;&gt;1,IF(ISNUMBER(INDEX(Import.PLE,Detalhamento!$E24,Detalhamento!BG$15)),IF(INDEX(Import.PLE,Detalhamento!$E24,Detalhamento!BG$15)&lt;=mediçao,0,OFFSET(Import.PLQ,$A24-1,BG$15-1,1,1)),OFFSET(Import.PLQ,$A24-1,BG$15-1,1,1)),(1-PLE!$AA$28)*OFFSET(Import.PLQ,$A24-1,BG$15-1,1,1))))</f>
        <v>0</v>
      </c>
      <c r="BH24" s="145">
        <f ca="1">IF(BH$13="",0,CHOOSE(Detalhamento.OpçãoServiços,OFFSET(Import.PLQ,$A24-1,BH$15-1,1,1),IF($E24&lt;&gt;1,IF(ISNUMBER(INDEX(Import.PLE,Detalhamento!$E24,Detalhamento!BH$15)),IF(INDEX(Import.PLE,Detalhamento!$E24,Detalhamento!BH$15)&lt;=mediçao,OFFSET(Import.PLQ,$A24-1,BH$15-1,1,1),0),0),PLE!$AA$28*OFFSET(Import.PLQ,$A24-1,BH$15-1,1,1)),IF($E24&lt;&gt;1,IF(ISNUMBER(INDEX(Import.PLE,Detalhamento!$E24,Detalhamento!BH$15)),IF(INDEX(Import.PLE,Detalhamento!$E24,Detalhamento!BH$15)&lt;=mediçao,0,OFFSET(Import.PLQ,$A24-1,BH$15-1,1,1)),OFFSET(Import.PLQ,$A24-1,BH$15-1,1,1)),(1-PLE!$AA$28)*OFFSET(Import.PLQ,$A24-1,BH$15-1,1,1))))</f>
        <v>0</v>
      </c>
      <c r="BI24" s="145">
        <f ca="1">IF(BI$13="",0,CHOOSE(Detalhamento.OpçãoServiços,OFFSET(Import.PLQ,$A24-1,BI$15-1,1,1),IF($E24&lt;&gt;1,IF(ISNUMBER(INDEX(Import.PLE,Detalhamento!$E24,Detalhamento!BI$15)),IF(INDEX(Import.PLE,Detalhamento!$E24,Detalhamento!BI$15)&lt;=mediçao,OFFSET(Import.PLQ,$A24-1,BI$15-1,1,1),0),0),PLE!$AA$28*OFFSET(Import.PLQ,$A24-1,BI$15-1,1,1)),IF($E24&lt;&gt;1,IF(ISNUMBER(INDEX(Import.PLE,Detalhamento!$E24,Detalhamento!BI$15)),IF(INDEX(Import.PLE,Detalhamento!$E24,Detalhamento!BI$15)&lt;=mediçao,0,OFFSET(Import.PLQ,$A24-1,BI$15-1,1,1)),OFFSET(Import.PLQ,$A24-1,BI$15-1,1,1)),(1-PLE!$AA$28)*OFFSET(Import.PLQ,$A24-1,BI$15-1,1,1))))</f>
        <v>0</v>
      </c>
    </row>
    <row r="25" spans="1:61" ht="22.5" x14ac:dyDescent="0.2">
      <c r="A25" s="156">
        <v>7</v>
      </c>
      <c r="B25" s="21" t="str">
        <f t="shared" ca="1" si="8"/>
        <v>Serviço</v>
      </c>
      <c r="E25" s="154">
        <f t="shared" ca="1" si="9"/>
        <v>2</v>
      </c>
      <c r="F25" s="155">
        <f t="shared" ca="1" si="10"/>
        <v>20007</v>
      </c>
      <c r="G25" s="155" t="str">
        <f t="shared" ca="1" si="11"/>
        <v>3.1</v>
      </c>
      <c r="H25" s="183" t="str">
        <f t="shared" ca="1" si="11"/>
        <v>Serviços topográficos para pavimentação (locação e nivelamento), inclusive nota de serviços, acompanhamento e greide</v>
      </c>
      <c r="I25" s="37" t="str">
        <f t="shared" ca="1" si="12"/>
        <v>m²</v>
      </c>
      <c r="J25" s="145">
        <f t="shared" ca="1" si="13"/>
        <v>5349.12</v>
      </c>
      <c r="K25" s="67"/>
      <c r="L25" s="145">
        <f ca="1">IF(L$13="",0,CHOOSE(Detalhamento.OpçãoServiços,OFFSET(Import.PLQ,$A25-1,L$15-1,1,1),IF($E25&lt;&gt;1,IF(ISNUMBER(INDEX(Import.PLE,Detalhamento!$E25,Detalhamento!L$15)),IF(INDEX(Import.PLE,Detalhamento!$E25,Detalhamento!L$15)&lt;=mediçao,OFFSET(Import.PLQ,$A25-1,L$15-1,1,1),0),0),PLE!$AA$28*OFFSET(Import.PLQ,$A25-1,L$15-1,1,1)),IF($E25&lt;&gt;1,IF(ISNUMBER(INDEX(Import.PLE,Detalhamento!$E25,Detalhamento!L$15)),IF(INDEX(Import.PLE,Detalhamento!$E25,Detalhamento!L$15)&lt;=mediçao,0,OFFSET(Import.PLQ,$A25-1,L$15-1,1,1)),OFFSET(Import.PLQ,$A25-1,L$15-1,1,1)),(1-PLE!$AA$28)*OFFSET(Import.PLQ,$A25-1,L$15-1,1,1))))</f>
        <v>1102.8499999999999</v>
      </c>
      <c r="M25" s="145">
        <f ca="1">IF(M$13="",0,CHOOSE(Detalhamento.OpçãoServiços,OFFSET(Import.PLQ,$A25-1,M$15-1,1,1),IF($E25&lt;&gt;1,IF(ISNUMBER(INDEX(Import.PLE,Detalhamento!$E25,Detalhamento!M$15)),IF(INDEX(Import.PLE,Detalhamento!$E25,Detalhamento!M$15)&lt;=mediçao,OFFSET(Import.PLQ,$A25-1,M$15-1,1,1),0),0),PLE!$AA$28*OFFSET(Import.PLQ,$A25-1,M$15-1,1,1)),IF($E25&lt;&gt;1,IF(ISNUMBER(INDEX(Import.PLE,Detalhamento!$E25,Detalhamento!M$15)),IF(INDEX(Import.PLE,Detalhamento!$E25,Detalhamento!M$15)&lt;=mediçao,0,OFFSET(Import.PLQ,$A25-1,M$15-1,1,1)),OFFSET(Import.PLQ,$A25-1,M$15-1,1,1)),(1-PLE!$AA$28)*OFFSET(Import.PLQ,$A25-1,M$15-1,1,1))))</f>
        <v>452.76</v>
      </c>
      <c r="N25" s="145">
        <f ca="1">IF(N$13="",0,CHOOSE(Detalhamento.OpçãoServiços,OFFSET(Import.PLQ,$A25-1,N$15-1,1,1),IF($E25&lt;&gt;1,IF(ISNUMBER(INDEX(Import.PLE,Detalhamento!$E25,Detalhamento!N$15)),IF(INDEX(Import.PLE,Detalhamento!$E25,Detalhamento!N$15)&lt;=mediçao,OFFSET(Import.PLQ,$A25-1,N$15-1,1,1),0),0),PLE!$AA$28*OFFSET(Import.PLQ,$A25-1,N$15-1,1,1)),IF($E25&lt;&gt;1,IF(ISNUMBER(INDEX(Import.PLE,Detalhamento!$E25,Detalhamento!N$15)),IF(INDEX(Import.PLE,Detalhamento!$E25,Detalhamento!N$15)&lt;=mediçao,0,OFFSET(Import.PLQ,$A25-1,N$15-1,1,1)),OFFSET(Import.PLQ,$A25-1,N$15-1,1,1)),(1-PLE!$AA$28)*OFFSET(Import.PLQ,$A25-1,N$15-1,1,1))))</f>
        <v>727.62</v>
      </c>
      <c r="O25" s="145">
        <f ca="1">IF(O$13="",0,CHOOSE(Detalhamento.OpçãoServiços,OFFSET(Import.PLQ,$A25-1,O$15-1,1,1),IF($E25&lt;&gt;1,IF(ISNUMBER(INDEX(Import.PLE,Detalhamento!$E25,Detalhamento!O$15)),IF(INDEX(Import.PLE,Detalhamento!$E25,Detalhamento!O$15)&lt;=mediçao,OFFSET(Import.PLQ,$A25-1,O$15-1,1,1),0),0),PLE!$AA$28*OFFSET(Import.PLQ,$A25-1,O$15-1,1,1)),IF($E25&lt;&gt;1,IF(ISNUMBER(INDEX(Import.PLE,Detalhamento!$E25,Detalhamento!O$15)),IF(INDEX(Import.PLE,Detalhamento!$E25,Detalhamento!O$15)&lt;=mediçao,0,OFFSET(Import.PLQ,$A25-1,O$15-1,1,1)),OFFSET(Import.PLQ,$A25-1,O$15-1,1,1)),(1-PLE!$AA$28)*OFFSET(Import.PLQ,$A25-1,O$15-1,1,1))))</f>
        <v>1032.9000000000001</v>
      </c>
      <c r="P25" s="145">
        <f ca="1">IF(P$13="",0,CHOOSE(Detalhamento.OpçãoServiços,OFFSET(Import.PLQ,$A25-1,P$15-1,1,1),IF($E25&lt;&gt;1,IF(ISNUMBER(INDEX(Import.PLE,Detalhamento!$E25,Detalhamento!P$15)),IF(INDEX(Import.PLE,Detalhamento!$E25,Detalhamento!P$15)&lt;=mediçao,OFFSET(Import.PLQ,$A25-1,P$15-1,1,1),0),0),PLE!$AA$28*OFFSET(Import.PLQ,$A25-1,P$15-1,1,1)),IF($E25&lt;&gt;1,IF(ISNUMBER(INDEX(Import.PLE,Detalhamento!$E25,Detalhamento!P$15)),IF(INDEX(Import.PLE,Detalhamento!$E25,Detalhamento!P$15)&lt;=mediçao,0,OFFSET(Import.PLQ,$A25-1,P$15-1,1,1)),OFFSET(Import.PLQ,$A25-1,P$15-1,1,1)),(1-PLE!$AA$28)*OFFSET(Import.PLQ,$A25-1,P$15-1,1,1))))</f>
        <v>390.01</v>
      </c>
      <c r="Q25" s="145">
        <f ca="1">IF(Q$13="",0,CHOOSE(Detalhamento.OpçãoServiços,OFFSET(Import.PLQ,$A25-1,Q$15-1,1,1),IF($E25&lt;&gt;1,IF(ISNUMBER(INDEX(Import.PLE,Detalhamento!$E25,Detalhamento!Q$15)),IF(INDEX(Import.PLE,Detalhamento!$E25,Detalhamento!Q$15)&lt;=mediçao,OFFSET(Import.PLQ,$A25-1,Q$15-1,1,1),0),0),PLE!$AA$28*OFFSET(Import.PLQ,$A25-1,Q$15-1,1,1)),IF($E25&lt;&gt;1,IF(ISNUMBER(INDEX(Import.PLE,Detalhamento!$E25,Detalhamento!Q$15)),IF(INDEX(Import.PLE,Detalhamento!$E25,Detalhamento!Q$15)&lt;=mediçao,0,OFFSET(Import.PLQ,$A25-1,Q$15-1,1,1)),OFFSET(Import.PLQ,$A25-1,Q$15-1,1,1)),(1-PLE!$AA$28)*OFFSET(Import.PLQ,$A25-1,Q$15-1,1,1))))</f>
        <v>733.74</v>
      </c>
      <c r="R25" s="145">
        <f ca="1">IF(R$13="",0,CHOOSE(Detalhamento.OpçãoServiços,OFFSET(Import.PLQ,$A25-1,R$15-1,1,1),IF($E25&lt;&gt;1,IF(ISNUMBER(INDEX(Import.PLE,Detalhamento!$E25,Detalhamento!R$15)),IF(INDEX(Import.PLE,Detalhamento!$E25,Detalhamento!R$15)&lt;=mediçao,OFFSET(Import.PLQ,$A25-1,R$15-1,1,1),0),0),PLE!$AA$28*OFFSET(Import.PLQ,$A25-1,R$15-1,1,1)),IF($E25&lt;&gt;1,IF(ISNUMBER(INDEX(Import.PLE,Detalhamento!$E25,Detalhamento!R$15)),IF(INDEX(Import.PLE,Detalhamento!$E25,Detalhamento!R$15)&lt;=mediçao,0,OFFSET(Import.PLQ,$A25-1,R$15-1,1,1)),OFFSET(Import.PLQ,$A25-1,R$15-1,1,1)),(1-PLE!$AA$28)*OFFSET(Import.PLQ,$A25-1,R$15-1,1,1))))</f>
        <v>523.79999999999995</v>
      </c>
      <c r="S25" s="145">
        <f ca="1">IF(S$13="",0,CHOOSE(Detalhamento.OpçãoServiços,OFFSET(Import.PLQ,$A25-1,S$15-1,1,1),IF($E25&lt;&gt;1,IF(ISNUMBER(INDEX(Import.PLE,Detalhamento!$E25,Detalhamento!S$15)),IF(INDEX(Import.PLE,Detalhamento!$E25,Detalhamento!S$15)&lt;=mediçao,OFFSET(Import.PLQ,$A25-1,S$15-1,1,1),0),0),PLE!$AA$28*OFFSET(Import.PLQ,$A25-1,S$15-1,1,1)),IF($E25&lt;&gt;1,IF(ISNUMBER(INDEX(Import.PLE,Detalhamento!$E25,Detalhamento!S$15)),IF(INDEX(Import.PLE,Detalhamento!$E25,Detalhamento!S$15)&lt;=mediçao,0,OFFSET(Import.PLQ,$A25-1,S$15-1,1,1)),OFFSET(Import.PLQ,$A25-1,S$15-1,1,1)),(1-PLE!$AA$28)*OFFSET(Import.PLQ,$A25-1,S$15-1,1,1))))</f>
        <v>385.44</v>
      </c>
      <c r="T25" s="145">
        <f ca="1">IF(T$13="",0,CHOOSE(Detalhamento.OpçãoServiços,OFFSET(Import.PLQ,$A25-1,T$15-1,1,1),IF($E25&lt;&gt;1,IF(ISNUMBER(INDEX(Import.PLE,Detalhamento!$E25,Detalhamento!T$15)),IF(INDEX(Import.PLE,Detalhamento!$E25,Detalhamento!T$15)&lt;=mediçao,OFFSET(Import.PLQ,$A25-1,T$15-1,1,1),0),0),PLE!$AA$28*OFFSET(Import.PLQ,$A25-1,T$15-1,1,1)),IF($E25&lt;&gt;1,IF(ISNUMBER(INDEX(Import.PLE,Detalhamento!$E25,Detalhamento!T$15)),IF(INDEX(Import.PLE,Detalhamento!$E25,Detalhamento!T$15)&lt;=mediçao,0,OFFSET(Import.PLQ,$A25-1,T$15-1,1,1)),OFFSET(Import.PLQ,$A25-1,T$15-1,1,1)),(1-PLE!$AA$28)*OFFSET(Import.PLQ,$A25-1,T$15-1,1,1))))</f>
        <v>0</v>
      </c>
      <c r="U25" s="145">
        <f ca="1">IF(U$13="",0,CHOOSE(Detalhamento.OpçãoServiços,OFFSET(Import.PLQ,$A25-1,U$15-1,1,1),IF($E25&lt;&gt;1,IF(ISNUMBER(INDEX(Import.PLE,Detalhamento!$E25,Detalhamento!U$15)),IF(INDEX(Import.PLE,Detalhamento!$E25,Detalhamento!U$15)&lt;=mediçao,OFFSET(Import.PLQ,$A25-1,U$15-1,1,1),0),0),PLE!$AA$28*OFFSET(Import.PLQ,$A25-1,U$15-1,1,1)),IF($E25&lt;&gt;1,IF(ISNUMBER(INDEX(Import.PLE,Detalhamento!$E25,Detalhamento!U$15)),IF(INDEX(Import.PLE,Detalhamento!$E25,Detalhamento!U$15)&lt;=mediçao,0,OFFSET(Import.PLQ,$A25-1,U$15-1,1,1)),OFFSET(Import.PLQ,$A25-1,U$15-1,1,1)),(1-PLE!$AA$28)*OFFSET(Import.PLQ,$A25-1,U$15-1,1,1))))</f>
        <v>0</v>
      </c>
      <c r="V25" s="145">
        <f ca="1">IF(V$13="",0,CHOOSE(Detalhamento.OpçãoServiços,OFFSET(Import.PLQ,$A25-1,V$15-1,1,1),IF($E25&lt;&gt;1,IF(ISNUMBER(INDEX(Import.PLE,Detalhamento!$E25,Detalhamento!V$15)),IF(INDEX(Import.PLE,Detalhamento!$E25,Detalhamento!V$15)&lt;=mediçao,OFFSET(Import.PLQ,$A25-1,V$15-1,1,1),0),0),PLE!$AA$28*OFFSET(Import.PLQ,$A25-1,V$15-1,1,1)),IF($E25&lt;&gt;1,IF(ISNUMBER(INDEX(Import.PLE,Detalhamento!$E25,Detalhamento!V$15)),IF(INDEX(Import.PLE,Detalhamento!$E25,Detalhamento!V$15)&lt;=mediçao,0,OFFSET(Import.PLQ,$A25-1,V$15-1,1,1)),OFFSET(Import.PLQ,$A25-1,V$15-1,1,1)),(1-PLE!$AA$28)*OFFSET(Import.PLQ,$A25-1,V$15-1,1,1))))</f>
        <v>0</v>
      </c>
      <c r="W25" s="145">
        <f ca="1">IF(W$13="",0,CHOOSE(Detalhamento.OpçãoServiços,OFFSET(Import.PLQ,$A25-1,W$15-1,1,1),IF($E25&lt;&gt;1,IF(ISNUMBER(INDEX(Import.PLE,Detalhamento!$E25,Detalhamento!W$15)),IF(INDEX(Import.PLE,Detalhamento!$E25,Detalhamento!W$15)&lt;=mediçao,OFFSET(Import.PLQ,$A25-1,W$15-1,1,1),0),0),PLE!$AA$28*OFFSET(Import.PLQ,$A25-1,W$15-1,1,1)),IF($E25&lt;&gt;1,IF(ISNUMBER(INDEX(Import.PLE,Detalhamento!$E25,Detalhamento!W$15)),IF(INDEX(Import.PLE,Detalhamento!$E25,Detalhamento!W$15)&lt;=mediçao,0,OFFSET(Import.PLQ,$A25-1,W$15-1,1,1)),OFFSET(Import.PLQ,$A25-1,W$15-1,1,1)),(1-PLE!$AA$28)*OFFSET(Import.PLQ,$A25-1,W$15-1,1,1))))</f>
        <v>0</v>
      </c>
      <c r="X25" s="145">
        <f ca="1">IF(X$13="",0,CHOOSE(Detalhamento.OpçãoServiços,OFFSET(Import.PLQ,$A25-1,X$15-1,1,1),IF($E25&lt;&gt;1,IF(ISNUMBER(INDEX(Import.PLE,Detalhamento!$E25,Detalhamento!X$15)),IF(INDEX(Import.PLE,Detalhamento!$E25,Detalhamento!X$15)&lt;=mediçao,OFFSET(Import.PLQ,$A25-1,X$15-1,1,1),0),0),PLE!$AA$28*OFFSET(Import.PLQ,$A25-1,X$15-1,1,1)),IF($E25&lt;&gt;1,IF(ISNUMBER(INDEX(Import.PLE,Detalhamento!$E25,Detalhamento!X$15)),IF(INDEX(Import.PLE,Detalhamento!$E25,Detalhamento!X$15)&lt;=mediçao,0,OFFSET(Import.PLQ,$A25-1,X$15-1,1,1)),OFFSET(Import.PLQ,$A25-1,X$15-1,1,1)),(1-PLE!$AA$28)*OFFSET(Import.PLQ,$A25-1,X$15-1,1,1))))</f>
        <v>0</v>
      </c>
      <c r="Y25" s="145">
        <f ca="1">IF(Y$13="",0,CHOOSE(Detalhamento.OpçãoServiços,OFFSET(Import.PLQ,$A25-1,Y$15-1,1,1),IF($E25&lt;&gt;1,IF(ISNUMBER(INDEX(Import.PLE,Detalhamento!$E25,Detalhamento!Y$15)),IF(INDEX(Import.PLE,Detalhamento!$E25,Detalhamento!Y$15)&lt;=mediçao,OFFSET(Import.PLQ,$A25-1,Y$15-1,1,1),0),0),PLE!$AA$28*OFFSET(Import.PLQ,$A25-1,Y$15-1,1,1)),IF($E25&lt;&gt;1,IF(ISNUMBER(INDEX(Import.PLE,Detalhamento!$E25,Detalhamento!Y$15)),IF(INDEX(Import.PLE,Detalhamento!$E25,Detalhamento!Y$15)&lt;=mediçao,0,OFFSET(Import.PLQ,$A25-1,Y$15-1,1,1)),OFFSET(Import.PLQ,$A25-1,Y$15-1,1,1)),(1-PLE!$AA$28)*OFFSET(Import.PLQ,$A25-1,Y$15-1,1,1))))</f>
        <v>0</v>
      </c>
      <c r="Z25" s="145">
        <f ca="1">IF(Z$13="",0,CHOOSE(Detalhamento.OpçãoServiços,OFFSET(Import.PLQ,$A25-1,Z$15-1,1,1),IF($E25&lt;&gt;1,IF(ISNUMBER(INDEX(Import.PLE,Detalhamento!$E25,Detalhamento!Z$15)),IF(INDEX(Import.PLE,Detalhamento!$E25,Detalhamento!Z$15)&lt;=mediçao,OFFSET(Import.PLQ,$A25-1,Z$15-1,1,1),0),0),PLE!$AA$28*OFFSET(Import.PLQ,$A25-1,Z$15-1,1,1)),IF($E25&lt;&gt;1,IF(ISNUMBER(INDEX(Import.PLE,Detalhamento!$E25,Detalhamento!Z$15)),IF(INDEX(Import.PLE,Detalhamento!$E25,Detalhamento!Z$15)&lt;=mediçao,0,OFFSET(Import.PLQ,$A25-1,Z$15-1,1,1)),OFFSET(Import.PLQ,$A25-1,Z$15-1,1,1)),(1-PLE!$AA$28)*OFFSET(Import.PLQ,$A25-1,Z$15-1,1,1))))</f>
        <v>0</v>
      </c>
      <c r="AA25" s="145">
        <f ca="1">IF(AA$13="",0,CHOOSE(Detalhamento.OpçãoServiços,OFFSET(Import.PLQ,$A25-1,AA$15-1,1,1),IF($E25&lt;&gt;1,IF(ISNUMBER(INDEX(Import.PLE,Detalhamento!$E25,Detalhamento!AA$15)),IF(INDEX(Import.PLE,Detalhamento!$E25,Detalhamento!AA$15)&lt;=mediçao,OFFSET(Import.PLQ,$A25-1,AA$15-1,1,1),0),0),PLE!$AA$28*OFFSET(Import.PLQ,$A25-1,AA$15-1,1,1)),IF($E25&lt;&gt;1,IF(ISNUMBER(INDEX(Import.PLE,Detalhamento!$E25,Detalhamento!AA$15)),IF(INDEX(Import.PLE,Detalhamento!$E25,Detalhamento!AA$15)&lt;=mediçao,0,OFFSET(Import.PLQ,$A25-1,AA$15-1,1,1)),OFFSET(Import.PLQ,$A25-1,AA$15-1,1,1)),(1-PLE!$AA$28)*OFFSET(Import.PLQ,$A25-1,AA$15-1,1,1))))</f>
        <v>0</v>
      </c>
      <c r="AB25" s="145">
        <f ca="1">IF(AB$13="",0,CHOOSE(Detalhamento.OpçãoServiços,OFFSET(Import.PLQ,$A25-1,AB$15-1,1,1),IF($E25&lt;&gt;1,IF(ISNUMBER(INDEX(Import.PLE,Detalhamento!$E25,Detalhamento!AB$15)),IF(INDEX(Import.PLE,Detalhamento!$E25,Detalhamento!AB$15)&lt;=mediçao,OFFSET(Import.PLQ,$A25-1,AB$15-1,1,1),0),0),PLE!$AA$28*OFFSET(Import.PLQ,$A25-1,AB$15-1,1,1)),IF($E25&lt;&gt;1,IF(ISNUMBER(INDEX(Import.PLE,Detalhamento!$E25,Detalhamento!AB$15)),IF(INDEX(Import.PLE,Detalhamento!$E25,Detalhamento!AB$15)&lt;=mediçao,0,OFFSET(Import.PLQ,$A25-1,AB$15-1,1,1)),OFFSET(Import.PLQ,$A25-1,AB$15-1,1,1)),(1-PLE!$AA$28)*OFFSET(Import.PLQ,$A25-1,AB$15-1,1,1))))</f>
        <v>0</v>
      </c>
      <c r="AC25" s="145">
        <f ca="1">IF(AC$13="",0,CHOOSE(Detalhamento.OpçãoServiços,OFFSET(Import.PLQ,$A25-1,AC$15-1,1,1),IF($E25&lt;&gt;1,IF(ISNUMBER(INDEX(Import.PLE,Detalhamento!$E25,Detalhamento!AC$15)),IF(INDEX(Import.PLE,Detalhamento!$E25,Detalhamento!AC$15)&lt;=mediçao,OFFSET(Import.PLQ,$A25-1,AC$15-1,1,1),0),0),PLE!$AA$28*OFFSET(Import.PLQ,$A25-1,AC$15-1,1,1)),IF($E25&lt;&gt;1,IF(ISNUMBER(INDEX(Import.PLE,Detalhamento!$E25,Detalhamento!AC$15)),IF(INDEX(Import.PLE,Detalhamento!$E25,Detalhamento!AC$15)&lt;=mediçao,0,OFFSET(Import.PLQ,$A25-1,AC$15-1,1,1)),OFFSET(Import.PLQ,$A25-1,AC$15-1,1,1)),(1-PLE!$AA$28)*OFFSET(Import.PLQ,$A25-1,AC$15-1,1,1))))</f>
        <v>0</v>
      </c>
      <c r="AD25" s="145">
        <f ca="1">IF(AD$13="",0,CHOOSE(Detalhamento.OpçãoServiços,OFFSET(Import.PLQ,$A25-1,AD$15-1,1,1),IF($E25&lt;&gt;1,IF(ISNUMBER(INDEX(Import.PLE,Detalhamento!$E25,Detalhamento!AD$15)),IF(INDEX(Import.PLE,Detalhamento!$E25,Detalhamento!AD$15)&lt;=mediçao,OFFSET(Import.PLQ,$A25-1,AD$15-1,1,1),0),0),PLE!$AA$28*OFFSET(Import.PLQ,$A25-1,AD$15-1,1,1)),IF($E25&lt;&gt;1,IF(ISNUMBER(INDEX(Import.PLE,Detalhamento!$E25,Detalhamento!AD$15)),IF(INDEX(Import.PLE,Detalhamento!$E25,Detalhamento!AD$15)&lt;=mediçao,0,OFFSET(Import.PLQ,$A25-1,AD$15-1,1,1)),OFFSET(Import.PLQ,$A25-1,AD$15-1,1,1)),(1-PLE!$AA$28)*OFFSET(Import.PLQ,$A25-1,AD$15-1,1,1))))</f>
        <v>0</v>
      </c>
      <c r="AE25" s="145">
        <f ca="1">IF(AE$13="",0,CHOOSE(Detalhamento.OpçãoServiços,OFFSET(Import.PLQ,$A25-1,AE$15-1,1,1),IF($E25&lt;&gt;1,IF(ISNUMBER(INDEX(Import.PLE,Detalhamento!$E25,Detalhamento!AE$15)),IF(INDEX(Import.PLE,Detalhamento!$E25,Detalhamento!AE$15)&lt;=mediçao,OFFSET(Import.PLQ,$A25-1,AE$15-1,1,1),0),0),PLE!$AA$28*OFFSET(Import.PLQ,$A25-1,AE$15-1,1,1)),IF($E25&lt;&gt;1,IF(ISNUMBER(INDEX(Import.PLE,Detalhamento!$E25,Detalhamento!AE$15)),IF(INDEX(Import.PLE,Detalhamento!$E25,Detalhamento!AE$15)&lt;=mediçao,0,OFFSET(Import.PLQ,$A25-1,AE$15-1,1,1)),OFFSET(Import.PLQ,$A25-1,AE$15-1,1,1)),(1-PLE!$AA$28)*OFFSET(Import.PLQ,$A25-1,AE$15-1,1,1))))</f>
        <v>0</v>
      </c>
      <c r="AF25" s="145">
        <f ca="1">IF(AF$13="",0,CHOOSE(Detalhamento.OpçãoServiços,OFFSET(Import.PLQ,$A25-1,AF$15-1,1,1),IF($E25&lt;&gt;1,IF(ISNUMBER(INDEX(Import.PLE,Detalhamento!$E25,Detalhamento!AF$15)),IF(INDEX(Import.PLE,Detalhamento!$E25,Detalhamento!AF$15)&lt;=mediçao,OFFSET(Import.PLQ,$A25-1,AF$15-1,1,1),0),0),PLE!$AA$28*OFFSET(Import.PLQ,$A25-1,AF$15-1,1,1)),IF($E25&lt;&gt;1,IF(ISNUMBER(INDEX(Import.PLE,Detalhamento!$E25,Detalhamento!AF$15)),IF(INDEX(Import.PLE,Detalhamento!$E25,Detalhamento!AF$15)&lt;=mediçao,0,OFFSET(Import.PLQ,$A25-1,AF$15-1,1,1)),OFFSET(Import.PLQ,$A25-1,AF$15-1,1,1)),(1-PLE!$AA$28)*OFFSET(Import.PLQ,$A25-1,AF$15-1,1,1))))</f>
        <v>0</v>
      </c>
      <c r="AG25" s="145">
        <f ca="1">IF(AG$13="",0,CHOOSE(Detalhamento.OpçãoServiços,OFFSET(Import.PLQ,$A25-1,AG$15-1,1,1),IF($E25&lt;&gt;1,IF(ISNUMBER(INDEX(Import.PLE,Detalhamento!$E25,Detalhamento!AG$15)),IF(INDEX(Import.PLE,Detalhamento!$E25,Detalhamento!AG$15)&lt;=mediçao,OFFSET(Import.PLQ,$A25-1,AG$15-1,1,1),0),0),PLE!$AA$28*OFFSET(Import.PLQ,$A25-1,AG$15-1,1,1)),IF($E25&lt;&gt;1,IF(ISNUMBER(INDEX(Import.PLE,Detalhamento!$E25,Detalhamento!AG$15)),IF(INDEX(Import.PLE,Detalhamento!$E25,Detalhamento!AG$15)&lt;=mediçao,0,OFFSET(Import.PLQ,$A25-1,AG$15-1,1,1)),OFFSET(Import.PLQ,$A25-1,AG$15-1,1,1)),(1-PLE!$AA$28)*OFFSET(Import.PLQ,$A25-1,AG$15-1,1,1))))</f>
        <v>0</v>
      </c>
      <c r="AH25" s="145">
        <f ca="1">IF(AH$13="",0,CHOOSE(Detalhamento.OpçãoServiços,OFFSET(Import.PLQ,$A25-1,AH$15-1,1,1),IF($E25&lt;&gt;1,IF(ISNUMBER(INDEX(Import.PLE,Detalhamento!$E25,Detalhamento!AH$15)),IF(INDEX(Import.PLE,Detalhamento!$E25,Detalhamento!AH$15)&lt;=mediçao,OFFSET(Import.PLQ,$A25-1,AH$15-1,1,1),0),0),PLE!$AA$28*OFFSET(Import.PLQ,$A25-1,AH$15-1,1,1)),IF($E25&lt;&gt;1,IF(ISNUMBER(INDEX(Import.PLE,Detalhamento!$E25,Detalhamento!AH$15)),IF(INDEX(Import.PLE,Detalhamento!$E25,Detalhamento!AH$15)&lt;=mediçao,0,OFFSET(Import.PLQ,$A25-1,AH$15-1,1,1)),OFFSET(Import.PLQ,$A25-1,AH$15-1,1,1)),(1-PLE!$AA$28)*OFFSET(Import.PLQ,$A25-1,AH$15-1,1,1))))</f>
        <v>0</v>
      </c>
      <c r="AI25" s="145">
        <f ca="1">IF(AI$13="",0,CHOOSE(Detalhamento.OpçãoServiços,OFFSET(Import.PLQ,$A25-1,AI$15-1,1,1),IF($E25&lt;&gt;1,IF(ISNUMBER(INDEX(Import.PLE,Detalhamento!$E25,Detalhamento!AI$15)),IF(INDEX(Import.PLE,Detalhamento!$E25,Detalhamento!AI$15)&lt;=mediçao,OFFSET(Import.PLQ,$A25-1,AI$15-1,1,1),0),0),PLE!$AA$28*OFFSET(Import.PLQ,$A25-1,AI$15-1,1,1)),IF($E25&lt;&gt;1,IF(ISNUMBER(INDEX(Import.PLE,Detalhamento!$E25,Detalhamento!AI$15)),IF(INDEX(Import.PLE,Detalhamento!$E25,Detalhamento!AI$15)&lt;=mediçao,0,OFFSET(Import.PLQ,$A25-1,AI$15-1,1,1)),OFFSET(Import.PLQ,$A25-1,AI$15-1,1,1)),(1-PLE!$AA$28)*OFFSET(Import.PLQ,$A25-1,AI$15-1,1,1))))</f>
        <v>0</v>
      </c>
      <c r="AJ25" s="145">
        <f ca="1">IF(AJ$13="",0,CHOOSE(Detalhamento.OpçãoServiços,OFFSET(Import.PLQ,$A25-1,AJ$15-1,1,1),IF($E25&lt;&gt;1,IF(ISNUMBER(INDEX(Import.PLE,Detalhamento!$E25,Detalhamento!AJ$15)),IF(INDEX(Import.PLE,Detalhamento!$E25,Detalhamento!AJ$15)&lt;=mediçao,OFFSET(Import.PLQ,$A25-1,AJ$15-1,1,1),0),0),PLE!$AA$28*OFFSET(Import.PLQ,$A25-1,AJ$15-1,1,1)),IF($E25&lt;&gt;1,IF(ISNUMBER(INDEX(Import.PLE,Detalhamento!$E25,Detalhamento!AJ$15)),IF(INDEX(Import.PLE,Detalhamento!$E25,Detalhamento!AJ$15)&lt;=mediçao,0,OFFSET(Import.PLQ,$A25-1,AJ$15-1,1,1)),OFFSET(Import.PLQ,$A25-1,AJ$15-1,1,1)),(1-PLE!$AA$28)*OFFSET(Import.PLQ,$A25-1,AJ$15-1,1,1))))</f>
        <v>0</v>
      </c>
      <c r="AK25" s="145">
        <f ca="1">IF(AK$13="",0,CHOOSE(Detalhamento.OpçãoServiços,OFFSET(Import.PLQ,$A25-1,AK$15-1,1,1),IF($E25&lt;&gt;1,IF(ISNUMBER(INDEX(Import.PLE,Detalhamento!$E25,Detalhamento!AK$15)),IF(INDEX(Import.PLE,Detalhamento!$E25,Detalhamento!AK$15)&lt;=mediçao,OFFSET(Import.PLQ,$A25-1,AK$15-1,1,1),0),0),PLE!$AA$28*OFFSET(Import.PLQ,$A25-1,AK$15-1,1,1)),IF($E25&lt;&gt;1,IF(ISNUMBER(INDEX(Import.PLE,Detalhamento!$E25,Detalhamento!AK$15)),IF(INDEX(Import.PLE,Detalhamento!$E25,Detalhamento!AK$15)&lt;=mediçao,0,OFFSET(Import.PLQ,$A25-1,AK$15-1,1,1)),OFFSET(Import.PLQ,$A25-1,AK$15-1,1,1)),(1-PLE!$AA$28)*OFFSET(Import.PLQ,$A25-1,AK$15-1,1,1))))</f>
        <v>0</v>
      </c>
      <c r="AL25" s="145">
        <f ca="1">IF(AL$13="",0,CHOOSE(Detalhamento.OpçãoServiços,OFFSET(Import.PLQ,$A25-1,AL$15-1,1,1),IF($E25&lt;&gt;1,IF(ISNUMBER(INDEX(Import.PLE,Detalhamento!$E25,Detalhamento!AL$15)),IF(INDEX(Import.PLE,Detalhamento!$E25,Detalhamento!AL$15)&lt;=mediçao,OFFSET(Import.PLQ,$A25-1,AL$15-1,1,1),0),0),PLE!$AA$28*OFFSET(Import.PLQ,$A25-1,AL$15-1,1,1)),IF($E25&lt;&gt;1,IF(ISNUMBER(INDEX(Import.PLE,Detalhamento!$E25,Detalhamento!AL$15)),IF(INDEX(Import.PLE,Detalhamento!$E25,Detalhamento!AL$15)&lt;=mediçao,0,OFFSET(Import.PLQ,$A25-1,AL$15-1,1,1)),OFFSET(Import.PLQ,$A25-1,AL$15-1,1,1)),(1-PLE!$AA$28)*OFFSET(Import.PLQ,$A25-1,AL$15-1,1,1))))</f>
        <v>0</v>
      </c>
      <c r="AM25" s="145">
        <f ca="1">IF(AM$13="",0,CHOOSE(Detalhamento.OpçãoServiços,OFFSET(Import.PLQ,$A25-1,AM$15-1,1,1),IF($E25&lt;&gt;1,IF(ISNUMBER(INDEX(Import.PLE,Detalhamento!$E25,Detalhamento!AM$15)),IF(INDEX(Import.PLE,Detalhamento!$E25,Detalhamento!AM$15)&lt;=mediçao,OFFSET(Import.PLQ,$A25-1,AM$15-1,1,1),0),0),PLE!$AA$28*OFFSET(Import.PLQ,$A25-1,AM$15-1,1,1)),IF($E25&lt;&gt;1,IF(ISNUMBER(INDEX(Import.PLE,Detalhamento!$E25,Detalhamento!AM$15)),IF(INDEX(Import.PLE,Detalhamento!$E25,Detalhamento!AM$15)&lt;=mediçao,0,OFFSET(Import.PLQ,$A25-1,AM$15-1,1,1)),OFFSET(Import.PLQ,$A25-1,AM$15-1,1,1)),(1-PLE!$AA$28)*OFFSET(Import.PLQ,$A25-1,AM$15-1,1,1))))</f>
        <v>0</v>
      </c>
      <c r="AN25" s="145">
        <f ca="1">IF(AN$13="",0,CHOOSE(Detalhamento.OpçãoServiços,OFFSET(Import.PLQ,$A25-1,AN$15-1,1,1),IF($E25&lt;&gt;1,IF(ISNUMBER(INDEX(Import.PLE,Detalhamento!$E25,Detalhamento!AN$15)),IF(INDEX(Import.PLE,Detalhamento!$E25,Detalhamento!AN$15)&lt;=mediçao,OFFSET(Import.PLQ,$A25-1,AN$15-1,1,1),0),0),PLE!$AA$28*OFFSET(Import.PLQ,$A25-1,AN$15-1,1,1)),IF($E25&lt;&gt;1,IF(ISNUMBER(INDEX(Import.PLE,Detalhamento!$E25,Detalhamento!AN$15)),IF(INDEX(Import.PLE,Detalhamento!$E25,Detalhamento!AN$15)&lt;=mediçao,0,OFFSET(Import.PLQ,$A25-1,AN$15-1,1,1)),OFFSET(Import.PLQ,$A25-1,AN$15-1,1,1)),(1-PLE!$AA$28)*OFFSET(Import.PLQ,$A25-1,AN$15-1,1,1))))</f>
        <v>0</v>
      </c>
      <c r="AO25" s="145">
        <f ca="1">IF(AO$13="",0,CHOOSE(Detalhamento.OpçãoServiços,OFFSET(Import.PLQ,$A25-1,AO$15-1,1,1),IF($E25&lt;&gt;1,IF(ISNUMBER(INDEX(Import.PLE,Detalhamento!$E25,Detalhamento!AO$15)),IF(INDEX(Import.PLE,Detalhamento!$E25,Detalhamento!AO$15)&lt;=mediçao,OFFSET(Import.PLQ,$A25-1,AO$15-1,1,1),0),0),PLE!$AA$28*OFFSET(Import.PLQ,$A25-1,AO$15-1,1,1)),IF($E25&lt;&gt;1,IF(ISNUMBER(INDEX(Import.PLE,Detalhamento!$E25,Detalhamento!AO$15)),IF(INDEX(Import.PLE,Detalhamento!$E25,Detalhamento!AO$15)&lt;=mediçao,0,OFFSET(Import.PLQ,$A25-1,AO$15-1,1,1)),OFFSET(Import.PLQ,$A25-1,AO$15-1,1,1)),(1-PLE!$AA$28)*OFFSET(Import.PLQ,$A25-1,AO$15-1,1,1))))</f>
        <v>0</v>
      </c>
      <c r="AP25" s="145">
        <f ca="1">IF(AP$13="",0,CHOOSE(Detalhamento.OpçãoServiços,OFFSET(Import.PLQ,$A25-1,AP$15-1,1,1),IF($E25&lt;&gt;1,IF(ISNUMBER(INDEX(Import.PLE,Detalhamento!$E25,Detalhamento!AP$15)),IF(INDEX(Import.PLE,Detalhamento!$E25,Detalhamento!AP$15)&lt;=mediçao,OFFSET(Import.PLQ,$A25-1,AP$15-1,1,1),0),0),PLE!$AA$28*OFFSET(Import.PLQ,$A25-1,AP$15-1,1,1)),IF($E25&lt;&gt;1,IF(ISNUMBER(INDEX(Import.PLE,Detalhamento!$E25,Detalhamento!AP$15)),IF(INDEX(Import.PLE,Detalhamento!$E25,Detalhamento!AP$15)&lt;=mediçao,0,OFFSET(Import.PLQ,$A25-1,AP$15-1,1,1)),OFFSET(Import.PLQ,$A25-1,AP$15-1,1,1)),(1-PLE!$AA$28)*OFFSET(Import.PLQ,$A25-1,AP$15-1,1,1))))</f>
        <v>0</v>
      </c>
      <c r="AQ25" s="145">
        <f ca="1">IF(AQ$13="",0,CHOOSE(Detalhamento.OpçãoServiços,OFFSET(Import.PLQ,$A25-1,AQ$15-1,1,1),IF($E25&lt;&gt;1,IF(ISNUMBER(INDEX(Import.PLE,Detalhamento!$E25,Detalhamento!AQ$15)),IF(INDEX(Import.PLE,Detalhamento!$E25,Detalhamento!AQ$15)&lt;=mediçao,OFFSET(Import.PLQ,$A25-1,AQ$15-1,1,1),0),0),PLE!$AA$28*OFFSET(Import.PLQ,$A25-1,AQ$15-1,1,1)),IF($E25&lt;&gt;1,IF(ISNUMBER(INDEX(Import.PLE,Detalhamento!$E25,Detalhamento!AQ$15)),IF(INDEX(Import.PLE,Detalhamento!$E25,Detalhamento!AQ$15)&lt;=mediçao,0,OFFSET(Import.PLQ,$A25-1,AQ$15-1,1,1)),OFFSET(Import.PLQ,$A25-1,AQ$15-1,1,1)),(1-PLE!$AA$28)*OFFSET(Import.PLQ,$A25-1,AQ$15-1,1,1))))</f>
        <v>0</v>
      </c>
      <c r="AR25" s="145">
        <f ca="1">IF(AR$13="",0,CHOOSE(Detalhamento.OpçãoServiços,OFFSET(Import.PLQ,$A25-1,AR$15-1,1,1),IF($E25&lt;&gt;1,IF(ISNUMBER(INDEX(Import.PLE,Detalhamento!$E25,Detalhamento!AR$15)),IF(INDEX(Import.PLE,Detalhamento!$E25,Detalhamento!AR$15)&lt;=mediçao,OFFSET(Import.PLQ,$A25-1,AR$15-1,1,1),0),0),PLE!$AA$28*OFFSET(Import.PLQ,$A25-1,AR$15-1,1,1)),IF($E25&lt;&gt;1,IF(ISNUMBER(INDEX(Import.PLE,Detalhamento!$E25,Detalhamento!AR$15)),IF(INDEX(Import.PLE,Detalhamento!$E25,Detalhamento!AR$15)&lt;=mediçao,0,OFFSET(Import.PLQ,$A25-1,AR$15-1,1,1)),OFFSET(Import.PLQ,$A25-1,AR$15-1,1,1)),(1-PLE!$AA$28)*OFFSET(Import.PLQ,$A25-1,AR$15-1,1,1))))</f>
        <v>0</v>
      </c>
      <c r="AS25" s="145">
        <f ca="1">IF(AS$13="",0,CHOOSE(Detalhamento.OpçãoServiços,OFFSET(Import.PLQ,$A25-1,AS$15-1,1,1),IF($E25&lt;&gt;1,IF(ISNUMBER(INDEX(Import.PLE,Detalhamento!$E25,Detalhamento!AS$15)),IF(INDEX(Import.PLE,Detalhamento!$E25,Detalhamento!AS$15)&lt;=mediçao,OFFSET(Import.PLQ,$A25-1,AS$15-1,1,1),0),0),PLE!$AA$28*OFFSET(Import.PLQ,$A25-1,AS$15-1,1,1)),IF($E25&lt;&gt;1,IF(ISNUMBER(INDEX(Import.PLE,Detalhamento!$E25,Detalhamento!AS$15)),IF(INDEX(Import.PLE,Detalhamento!$E25,Detalhamento!AS$15)&lt;=mediçao,0,OFFSET(Import.PLQ,$A25-1,AS$15-1,1,1)),OFFSET(Import.PLQ,$A25-1,AS$15-1,1,1)),(1-PLE!$AA$28)*OFFSET(Import.PLQ,$A25-1,AS$15-1,1,1))))</f>
        <v>0</v>
      </c>
      <c r="AT25" s="145">
        <f ca="1">IF(AT$13="",0,CHOOSE(Detalhamento.OpçãoServiços,OFFSET(Import.PLQ,$A25-1,AT$15-1,1,1),IF($E25&lt;&gt;1,IF(ISNUMBER(INDEX(Import.PLE,Detalhamento!$E25,Detalhamento!AT$15)),IF(INDEX(Import.PLE,Detalhamento!$E25,Detalhamento!AT$15)&lt;=mediçao,OFFSET(Import.PLQ,$A25-1,AT$15-1,1,1),0),0),PLE!$AA$28*OFFSET(Import.PLQ,$A25-1,AT$15-1,1,1)),IF($E25&lt;&gt;1,IF(ISNUMBER(INDEX(Import.PLE,Detalhamento!$E25,Detalhamento!AT$15)),IF(INDEX(Import.PLE,Detalhamento!$E25,Detalhamento!AT$15)&lt;=mediçao,0,OFFSET(Import.PLQ,$A25-1,AT$15-1,1,1)),OFFSET(Import.PLQ,$A25-1,AT$15-1,1,1)),(1-PLE!$AA$28)*OFFSET(Import.PLQ,$A25-1,AT$15-1,1,1))))</f>
        <v>0</v>
      </c>
      <c r="AU25" s="145">
        <f ca="1">IF(AU$13="",0,CHOOSE(Detalhamento.OpçãoServiços,OFFSET(Import.PLQ,$A25-1,AU$15-1,1,1),IF($E25&lt;&gt;1,IF(ISNUMBER(INDEX(Import.PLE,Detalhamento!$E25,Detalhamento!AU$15)),IF(INDEX(Import.PLE,Detalhamento!$E25,Detalhamento!AU$15)&lt;=mediçao,OFFSET(Import.PLQ,$A25-1,AU$15-1,1,1),0),0),PLE!$AA$28*OFFSET(Import.PLQ,$A25-1,AU$15-1,1,1)),IF($E25&lt;&gt;1,IF(ISNUMBER(INDEX(Import.PLE,Detalhamento!$E25,Detalhamento!AU$15)),IF(INDEX(Import.PLE,Detalhamento!$E25,Detalhamento!AU$15)&lt;=mediçao,0,OFFSET(Import.PLQ,$A25-1,AU$15-1,1,1)),OFFSET(Import.PLQ,$A25-1,AU$15-1,1,1)),(1-PLE!$AA$28)*OFFSET(Import.PLQ,$A25-1,AU$15-1,1,1))))</f>
        <v>0</v>
      </c>
      <c r="AV25" s="145">
        <f ca="1">IF(AV$13="",0,CHOOSE(Detalhamento.OpçãoServiços,OFFSET(Import.PLQ,$A25-1,AV$15-1,1,1),IF($E25&lt;&gt;1,IF(ISNUMBER(INDEX(Import.PLE,Detalhamento!$E25,Detalhamento!AV$15)),IF(INDEX(Import.PLE,Detalhamento!$E25,Detalhamento!AV$15)&lt;=mediçao,OFFSET(Import.PLQ,$A25-1,AV$15-1,1,1),0),0),PLE!$AA$28*OFFSET(Import.PLQ,$A25-1,AV$15-1,1,1)),IF($E25&lt;&gt;1,IF(ISNUMBER(INDEX(Import.PLE,Detalhamento!$E25,Detalhamento!AV$15)),IF(INDEX(Import.PLE,Detalhamento!$E25,Detalhamento!AV$15)&lt;=mediçao,0,OFFSET(Import.PLQ,$A25-1,AV$15-1,1,1)),OFFSET(Import.PLQ,$A25-1,AV$15-1,1,1)),(1-PLE!$AA$28)*OFFSET(Import.PLQ,$A25-1,AV$15-1,1,1))))</f>
        <v>0</v>
      </c>
      <c r="AW25" s="145">
        <f ca="1">IF(AW$13="",0,CHOOSE(Detalhamento.OpçãoServiços,OFFSET(Import.PLQ,$A25-1,AW$15-1,1,1),IF($E25&lt;&gt;1,IF(ISNUMBER(INDEX(Import.PLE,Detalhamento!$E25,Detalhamento!AW$15)),IF(INDEX(Import.PLE,Detalhamento!$E25,Detalhamento!AW$15)&lt;=mediçao,OFFSET(Import.PLQ,$A25-1,AW$15-1,1,1),0),0),PLE!$AA$28*OFFSET(Import.PLQ,$A25-1,AW$15-1,1,1)),IF($E25&lt;&gt;1,IF(ISNUMBER(INDEX(Import.PLE,Detalhamento!$E25,Detalhamento!AW$15)),IF(INDEX(Import.PLE,Detalhamento!$E25,Detalhamento!AW$15)&lt;=mediçao,0,OFFSET(Import.PLQ,$A25-1,AW$15-1,1,1)),OFFSET(Import.PLQ,$A25-1,AW$15-1,1,1)),(1-PLE!$AA$28)*OFFSET(Import.PLQ,$A25-1,AW$15-1,1,1))))</f>
        <v>0</v>
      </c>
      <c r="AX25" s="145">
        <f ca="1">IF(AX$13="",0,CHOOSE(Detalhamento.OpçãoServiços,OFFSET(Import.PLQ,$A25-1,AX$15-1,1,1),IF($E25&lt;&gt;1,IF(ISNUMBER(INDEX(Import.PLE,Detalhamento!$E25,Detalhamento!AX$15)),IF(INDEX(Import.PLE,Detalhamento!$E25,Detalhamento!AX$15)&lt;=mediçao,OFFSET(Import.PLQ,$A25-1,AX$15-1,1,1),0),0),PLE!$AA$28*OFFSET(Import.PLQ,$A25-1,AX$15-1,1,1)),IF($E25&lt;&gt;1,IF(ISNUMBER(INDEX(Import.PLE,Detalhamento!$E25,Detalhamento!AX$15)),IF(INDEX(Import.PLE,Detalhamento!$E25,Detalhamento!AX$15)&lt;=mediçao,0,OFFSET(Import.PLQ,$A25-1,AX$15-1,1,1)),OFFSET(Import.PLQ,$A25-1,AX$15-1,1,1)),(1-PLE!$AA$28)*OFFSET(Import.PLQ,$A25-1,AX$15-1,1,1))))</f>
        <v>0</v>
      </c>
      <c r="AY25" s="145">
        <f ca="1">IF(AY$13="",0,CHOOSE(Detalhamento.OpçãoServiços,OFFSET(Import.PLQ,$A25-1,AY$15-1,1,1),IF($E25&lt;&gt;1,IF(ISNUMBER(INDEX(Import.PLE,Detalhamento!$E25,Detalhamento!AY$15)),IF(INDEX(Import.PLE,Detalhamento!$E25,Detalhamento!AY$15)&lt;=mediçao,OFFSET(Import.PLQ,$A25-1,AY$15-1,1,1),0),0),PLE!$AA$28*OFFSET(Import.PLQ,$A25-1,AY$15-1,1,1)),IF($E25&lt;&gt;1,IF(ISNUMBER(INDEX(Import.PLE,Detalhamento!$E25,Detalhamento!AY$15)),IF(INDEX(Import.PLE,Detalhamento!$E25,Detalhamento!AY$15)&lt;=mediçao,0,OFFSET(Import.PLQ,$A25-1,AY$15-1,1,1)),OFFSET(Import.PLQ,$A25-1,AY$15-1,1,1)),(1-PLE!$AA$28)*OFFSET(Import.PLQ,$A25-1,AY$15-1,1,1))))</f>
        <v>0</v>
      </c>
      <c r="AZ25" s="145">
        <f ca="1">IF(AZ$13="",0,CHOOSE(Detalhamento.OpçãoServiços,OFFSET(Import.PLQ,$A25-1,AZ$15-1,1,1),IF($E25&lt;&gt;1,IF(ISNUMBER(INDEX(Import.PLE,Detalhamento!$E25,Detalhamento!AZ$15)),IF(INDEX(Import.PLE,Detalhamento!$E25,Detalhamento!AZ$15)&lt;=mediçao,OFFSET(Import.PLQ,$A25-1,AZ$15-1,1,1),0),0),PLE!$AA$28*OFFSET(Import.PLQ,$A25-1,AZ$15-1,1,1)),IF($E25&lt;&gt;1,IF(ISNUMBER(INDEX(Import.PLE,Detalhamento!$E25,Detalhamento!AZ$15)),IF(INDEX(Import.PLE,Detalhamento!$E25,Detalhamento!AZ$15)&lt;=mediçao,0,OFFSET(Import.PLQ,$A25-1,AZ$15-1,1,1)),OFFSET(Import.PLQ,$A25-1,AZ$15-1,1,1)),(1-PLE!$AA$28)*OFFSET(Import.PLQ,$A25-1,AZ$15-1,1,1))))</f>
        <v>0</v>
      </c>
      <c r="BA25" s="145">
        <f ca="1">IF(BA$13="",0,CHOOSE(Detalhamento.OpçãoServiços,OFFSET(Import.PLQ,$A25-1,BA$15-1,1,1),IF($E25&lt;&gt;1,IF(ISNUMBER(INDEX(Import.PLE,Detalhamento!$E25,Detalhamento!BA$15)),IF(INDEX(Import.PLE,Detalhamento!$E25,Detalhamento!BA$15)&lt;=mediçao,OFFSET(Import.PLQ,$A25-1,BA$15-1,1,1),0),0),PLE!$AA$28*OFFSET(Import.PLQ,$A25-1,BA$15-1,1,1)),IF($E25&lt;&gt;1,IF(ISNUMBER(INDEX(Import.PLE,Detalhamento!$E25,Detalhamento!BA$15)),IF(INDEX(Import.PLE,Detalhamento!$E25,Detalhamento!BA$15)&lt;=mediçao,0,OFFSET(Import.PLQ,$A25-1,BA$15-1,1,1)),OFFSET(Import.PLQ,$A25-1,BA$15-1,1,1)),(1-PLE!$AA$28)*OFFSET(Import.PLQ,$A25-1,BA$15-1,1,1))))</f>
        <v>0</v>
      </c>
      <c r="BB25" s="145">
        <f ca="1">IF(BB$13="",0,CHOOSE(Detalhamento.OpçãoServiços,OFFSET(Import.PLQ,$A25-1,BB$15-1,1,1),IF($E25&lt;&gt;1,IF(ISNUMBER(INDEX(Import.PLE,Detalhamento!$E25,Detalhamento!BB$15)),IF(INDEX(Import.PLE,Detalhamento!$E25,Detalhamento!BB$15)&lt;=mediçao,OFFSET(Import.PLQ,$A25-1,BB$15-1,1,1),0),0),PLE!$AA$28*OFFSET(Import.PLQ,$A25-1,BB$15-1,1,1)),IF($E25&lt;&gt;1,IF(ISNUMBER(INDEX(Import.PLE,Detalhamento!$E25,Detalhamento!BB$15)),IF(INDEX(Import.PLE,Detalhamento!$E25,Detalhamento!BB$15)&lt;=mediçao,0,OFFSET(Import.PLQ,$A25-1,BB$15-1,1,1)),OFFSET(Import.PLQ,$A25-1,BB$15-1,1,1)),(1-PLE!$AA$28)*OFFSET(Import.PLQ,$A25-1,BB$15-1,1,1))))</f>
        <v>0</v>
      </c>
      <c r="BC25" s="145">
        <f ca="1">IF(BC$13="",0,CHOOSE(Detalhamento.OpçãoServiços,OFFSET(Import.PLQ,$A25-1,BC$15-1,1,1),IF($E25&lt;&gt;1,IF(ISNUMBER(INDEX(Import.PLE,Detalhamento!$E25,Detalhamento!BC$15)),IF(INDEX(Import.PLE,Detalhamento!$E25,Detalhamento!BC$15)&lt;=mediçao,OFFSET(Import.PLQ,$A25-1,BC$15-1,1,1),0),0),PLE!$AA$28*OFFSET(Import.PLQ,$A25-1,BC$15-1,1,1)),IF($E25&lt;&gt;1,IF(ISNUMBER(INDEX(Import.PLE,Detalhamento!$E25,Detalhamento!BC$15)),IF(INDEX(Import.PLE,Detalhamento!$E25,Detalhamento!BC$15)&lt;=mediçao,0,OFFSET(Import.PLQ,$A25-1,BC$15-1,1,1)),OFFSET(Import.PLQ,$A25-1,BC$15-1,1,1)),(1-PLE!$AA$28)*OFFSET(Import.PLQ,$A25-1,BC$15-1,1,1))))</f>
        <v>0</v>
      </c>
      <c r="BD25" s="145">
        <f ca="1">IF(BD$13="",0,CHOOSE(Detalhamento.OpçãoServiços,OFFSET(Import.PLQ,$A25-1,BD$15-1,1,1),IF($E25&lt;&gt;1,IF(ISNUMBER(INDEX(Import.PLE,Detalhamento!$E25,Detalhamento!BD$15)),IF(INDEX(Import.PLE,Detalhamento!$E25,Detalhamento!BD$15)&lt;=mediçao,OFFSET(Import.PLQ,$A25-1,BD$15-1,1,1),0),0),PLE!$AA$28*OFFSET(Import.PLQ,$A25-1,BD$15-1,1,1)),IF($E25&lt;&gt;1,IF(ISNUMBER(INDEX(Import.PLE,Detalhamento!$E25,Detalhamento!BD$15)),IF(INDEX(Import.PLE,Detalhamento!$E25,Detalhamento!BD$15)&lt;=mediçao,0,OFFSET(Import.PLQ,$A25-1,BD$15-1,1,1)),OFFSET(Import.PLQ,$A25-1,BD$15-1,1,1)),(1-PLE!$AA$28)*OFFSET(Import.PLQ,$A25-1,BD$15-1,1,1))))</f>
        <v>0</v>
      </c>
      <c r="BE25" s="145">
        <f ca="1">IF(BE$13="",0,CHOOSE(Detalhamento.OpçãoServiços,OFFSET(Import.PLQ,$A25-1,BE$15-1,1,1),IF($E25&lt;&gt;1,IF(ISNUMBER(INDEX(Import.PLE,Detalhamento!$E25,Detalhamento!BE$15)),IF(INDEX(Import.PLE,Detalhamento!$E25,Detalhamento!BE$15)&lt;=mediçao,OFFSET(Import.PLQ,$A25-1,BE$15-1,1,1),0),0),PLE!$AA$28*OFFSET(Import.PLQ,$A25-1,BE$15-1,1,1)),IF($E25&lt;&gt;1,IF(ISNUMBER(INDEX(Import.PLE,Detalhamento!$E25,Detalhamento!BE$15)),IF(INDEX(Import.PLE,Detalhamento!$E25,Detalhamento!BE$15)&lt;=mediçao,0,OFFSET(Import.PLQ,$A25-1,BE$15-1,1,1)),OFFSET(Import.PLQ,$A25-1,BE$15-1,1,1)),(1-PLE!$AA$28)*OFFSET(Import.PLQ,$A25-1,BE$15-1,1,1))))</f>
        <v>0</v>
      </c>
      <c r="BF25" s="145">
        <f ca="1">IF(BF$13="",0,CHOOSE(Detalhamento.OpçãoServiços,OFFSET(Import.PLQ,$A25-1,BF$15-1,1,1),IF($E25&lt;&gt;1,IF(ISNUMBER(INDEX(Import.PLE,Detalhamento!$E25,Detalhamento!BF$15)),IF(INDEX(Import.PLE,Detalhamento!$E25,Detalhamento!BF$15)&lt;=mediçao,OFFSET(Import.PLQ,$A25-1,BF$15-1,1,1),0),0),PLE!$AA$28*OFFSET(Import.PLQ,$A25-1,BF$15-1,1,1)),IF($E25&lt;&gt;1,IF(ISNUMBER(INDEX(Import.PLE,Detalhamento!$E25,Detalhamento!BF$15)),IF(INDEX(Import.PLE,Detalhamento!$E25,Detalhamento!BF$15)&lt;=mediçao,0,OFFSET(Import.PLQ,$A25-1,BF$15-1,1,1)),OFFSET(Import.PLQ,$A25-1,BF$15-1,1,1)),(1-PLE!$AA$28)*OFFSET(Import.PLQ,$A25-1,BF$15-1,1,1))))</f>
        <v>0</v>
      </c>
      <c r="BG25" s="145">
        <f ca="1">IF(BG$13="",0,CHOOSE(Detalhamento.OpçãoServiços,OFFSET(Import.PLQ,$A25-1,BG$15-1,1,1),IF($E25&lt;&gt;1,IF(ISNUMBER(INDEX(Import.PLE,Detalhamento!$E25,Detalhamento!BG$15)),IF(INDEX(Import.PLE,Detalhamento!$E25,Detalhamento!BG$15)&lt;=mediçao,OFFSET(Import.PLQ,$A25-1,BG$15-1,1,1),0),0),PLE!$AA$28*OFFSET(Import.PLQ,$A25-1,BG$15-1,1,1)),IF($E25&lt;&gt;1,IF(ISNUMBER(INDEX(Import.PLE,Detalhamento!$E25,Detalhamento!BG$15)),IF(INDEX(Import.PLE,Detalhamento!$E25,Detalhamento!BG$15)&lt;=mediçao,0,OFFSET(Import.PLQ,$A25-1,BG$15-1,1,1)),OFFSET(Import.PLQ,$A25-1,BG$15-1,1,1)),(1-PLE!$AA$28)*OFFSET(Import.PLQ,$A25-1,BG$15-1,1,1))))</f>
        <v>0</v>
      </c>
      <c r="BH25" s="145">
        <f ca="1">IF(BH$13="",0,CHOOSE(Detalhamento.OpçãoServiços,OFFSET(Import.PLQ,$A25-1,BH$15-1,1,1),IF($E25&lt;&gt;1,IF(ISNUMBER(INDEX(Import.PLE,Detalhamento!$E25,Detalhamento!BH$15)),IF(INDEX(Import.PLE,Detalhamento!$E25,Detalhamento!BH$15)&lt;=mediçao,OFFSET(Import.PLQ,$A25-1,BH$15-1,1,1),0),0),PLE!$AA$28*OFFSET(Import.PLQ,$A25-1,BH$15-1,1,1)),IF($E25&lt;&gt;1,IF(ISNUMBER(INDEX(Import.PLE,Detalhamento!$E25,Detalhamento!BH$15)),IF(INDEX(Import.PLE,Detalhamento!$E25,Detalhamento!BH$15)&lt;=mediçao,0,OFFSET(Import.PLQ,$A25-1,BH$15-1,1,1)),OFFSET(Import.PLQ,$A25-1,BH$15-1,1,1)),(1-PLE!$AA$28)*OFFSET(Import.PLQ,$A25-1,BH$15-1,1,1))))</f>
        <v>0</v>
      </c>
      <c r="BI25" s="145">
        <f ca="1">IF(BI$13="",0,CHOOSE(Detalhamento.OpçãoServiços,OFFSET(Import.PLQ,$A25-1,BI$15-1,1,1),IF($E25&lt;&gt;1,IF(ISNUMBER(INDEX(Import.PLE,Detalhamento!$E25,Detalhamento!BI$15)),IF(INDEX(Import.PLE,Detalhamento!$E25,Detalhamento!BI$15)&lt;=mediçao,OFFSET(Import.PLQ,$A25-1,BI$15-1,1,1),0),0),PLE!$AA$28*OFFSET(Import.PLQ,$A25-1,BI$15-1,1,1)),IF($E25&lt;&gt;1,IF(ISNUMBER(INDEX(Import.PLE,Detalhamento!$E25,Detalhamento!BI$15)),IF(INDEX(Import.PLE,Detalhamento!$E25,Detalhamento!BI$15)&lt;=mediçao,0,OFFSET(Import.PLQ,$A25-1,BI$15-1,1,1)),OFFSET(Import.PLQ,$A25-1,BI$15-1,1,1)),(1-PLE!$AA$28)*OFFSET(Import.PLQ,$A25-1,BI$15-1,1,1))))</f>
        <v>0</v>
      </c>
    </row>
    <row r="26" spans="1:61" ht="45" x14ac:dyDescent="0.2">
      <c r="A26" s="156">
        <v>8</v>
      </c>
      <c r="B26" s="21" t="str">
        <f t="shared" ca="1" si="8"/>
        <v>Serviço</v>
      </c>
      <c r="E26" s="154">
        <f t="shared" ca="1" si="9"/>
        <v>2</v>
      </c>
      <c r="F26" s="155">
        <f t="shared" ca="1" si="10"/>
        <v>20008</v>
      </c>
      <c r="G26" s="155" t="str">
        <f t="shared" ca="1" si="11"/>
        <v>3.2</v>
      </c>
      <c r="H26" s="183" t="str">
        <f t="shared" ca="1" si="11"/>
        <v>Assentamento de guia (meio-fio) em trecho reto, confeccionada em concreto pré-fabricado, dimensões 100x15x13x30 cm (comprimento x base inferior x base superior x altura), para vias urbanas (uso viário)</v>
      </c>
      <c r="I26" s="37" t="str">
        <f t="shared" ca="1" si="12"/>
        <v>m</v>
      </c>
      <c r="J26" s="145">
        <f t="shared" ca="1" si="13"/>
        <v>1740.41</v>
      </c>
      <c r="K26" s="67"/>
      <c r="L26" s="145">
        <f ca="1">IF(L$13="",0,CHOOSE(Detalhamento.OpçãoServiços,OFFSET(Import.PLQ,$A26-1,L$15-1,1,1),IF($E26&lt;&gt;1,IF(ISNUMBER(INDEX(Import.PLE,Detalhamento!$E26,Detalhamento!L$15)),IF(INDEX(Import.PLE,Detalhamento!$E26,Detalhamento!L$15)&lt;=mediçao,OFFSET(Import.PLQ,$A26-1,L$15-1,1,1),0),0),PLE!$AA$28*OFFSET(Import.PLQ,$A26-1,L$15-1,1,1)),IF($E26&lt;&gt;1,IF(ISNUMBER(INDEX(Import.PLE,Detalhamento!$E26,Detalhamento!L$15)),IF(INDEX(Import.PLE,Detalhamento!$E26,Detalhamento!L$15)&lt;=mediçao,0,OFFSET(Import.PLQ,$A26-1,L$15-1,1,1)),OFFSET(Import.PLQ,$A26-1,L$15-1,1,1)),(1-PLE!$AA$28)*OFFSET(Import.PLQ,$A26-1,L$15-1,1,1))))</f>
        <v>353.89</v>
      </c>
      <c r="M26" s="145">
        <f ca="1">IF(M$13="",0,CHOOSE(Detalhamento.OpçãoServiços,OFFSET(Import.PLQ,$A26-1,M$15-1,1,1),IF($E26&lt;&gt;1,IF(ISNUMBER(INDEX(Import.PLE,Detalhamento!$E26,Detalhamento!M$15)),IF(INDEX(Import.PLE,Detalhamento!$E26,Detalhamento!M$15)&lt;=mediçao,OFFSET(Import.PLQ,$A26-1,M$15-1,1,1),0),0),PLE!$AA$28*OFFSET(Import.PLQ,$A26-1,M$15-1,1,1)),IF($E26&lt;&gt;1,IF(ISNUMBER(INDEX(Import.PLE,Detalhamento!$E26,Detalhamento!M$15)),IF(INDEX(Import.PLE,Detalhamento!$E26,Detalhamento!M$15)&lt;=mediçao,0,OFFSET(Import.PLQ,$A26-1,M$15-1,1,1)),OFFSET(Import.PLQ,$A26-1,M$15-1,1,1)),(1-PLE!$AA$28)*OFFSET(Import.PLQ,$A26-1,M$15-1,1,1))))</f>
        <v>154.35</v>
      </c>
      <c r="N26" s="145">
        <f ca="1">IF(N$13="",0,CHOOSE(Detalhamento.OpçãoServiços,OFFSET(Import.PLQ,$A26-1,N$15-1,1,1),IF($E26&lt;&gt;1,IF(ISNUMBER(INDEX(Import.PLE,Detalhamento!$E26,Detalhamento!N$15)),IF(INDEX(Import.PLE,Detalhamento!$E26,Detalhamento!N$15)&lt;=mediçao,OFFSET(Import.PLQ,$A26-1,N$15-1,1,1),0),0),PLE!$AA$28*OFFSET(Import.PLQ,$A26-1,N$15-1,1,1)),IF($E26&lt;&gt;1,IF(ISNUMBER(INDEX(Import.PLE,Detalhamento!$E26,Detalhamento!N$15)),IF(INDEX(Import.PLE,Detalhamento!$E26,Detalhamento!N$15)&lt;=mediçao,0,OFFSET(Import.PLQ,$A26-1,N$15-1,1,1)),OFFSET(Import.PLQ,$A26-1,N$15-1,1,1)),(1-PLE!$AA$28)*OFFSET(Import.PLQ,$A26-1,N$15-1,1,1))))</f>
        <v>215.58</v>
      </c>
      <c r="O26" s="145">
        <f ca="1">IF(O$13="",0,CHOOSE(Detalhamento.OpçãoServiços,OFFSET(Import.PLQ,$A26-1,O$15-1,1,1),IF($E26&lt;&gt;1,IF(ISNUMBER(INDEX(Import.PLE,Detalhamento!$E26,Detalhamento!O$15)),IF(INDEX(Import.PLE,Detalhamento!$E26,Detalhamento!O$15)&lt;=mediçao,OFFSET(Import.PLQ,$A26-1,O$15-1,1,1),0),0),PLE!$AA$28*OFFSET(Import.PLQ,$A26-1,O$15-1,1,1)),IF($E26&lt;&gt;1,IF(ISNUMBER(INDEX(Import.PLE,Detalhamento!$E26,Detalhamento!O$15)),IF(INDEX(Import.PLE,Detalhamento!$E26,Detalhamento!O$15)&lt;=mediçao,0,OFFSET(Import.PLQ,$A26-1,O$15-1,1,1)),OFFSET(Import.PLQ,$A26-1,O$15-1,1,1)),(1-PLE!$AA$28)*OFFSET(Import.PLQ,$A26-1,O$15-1,1,1))))</f>
        <v>348.78</v>
      </c>
      <c r="P26" s="145">
        <f ca="1">IF(P$13="",0,CHOOSE(Detalhamento.OpçãoServiços,OFFSET(Import.PLQ,$A26-1,P$15-1,1,1),IF($E26&lt;&gt;1,IF(ISNUMBER(INDEX(Import.PLE,Detalhamento!$E26,Detalhamento!P$15)),IF(INDEX(Import.PLE,Detalhamento!$E26,Detalhamento!P$15)&lt;=mediçao,OFFSET(Import.PLQ,$A26-1,P$15-1,1,1),0),0),PLE!$AA$28*OFFSET(Import.PLQ,$A26-1,P$15-1,1,1)),IF($E26&lt;&gt;1,IF(ISNUMBER(INDEX(Import.PLE,Detalhamento!$E26,Detalhamento!P$15)),IF(INDEX(Import.PLE,Detalhamento!$E26,Detalhamento!P$15)&lt;=mediçao,0,OFFSET(Import.PLQ,$A26-1,P$15-1,1,1)),OFFSET(Import.PLQ,$A26-1,P$15-1,1,1)),(1-PLE!$AA$28)*OFFSET(Import.PLQ,$A26-1,P$15-1,1,1))))</f>
        <v>130.15</v>
      </c>
      <c r="Q26" s="145">
        <f ca="1">IF(Q$13="",0,CHOOSE(Detalhamento.OpçãoServiços,OFFSET(Import.PLQ,$A26-1,Q$15-1,1,1),IF($E26&lt;&gt;1,IF(ISNUMBER(INDEX(Import.PLE,Detalhamento!$E26,Detalhamento!Q$15)),IF(INDEX(Import.PLE,Detalhamento!$E26,Detalhamento!Q$15)&lt;=mediçao,OFFSET(Import.PLQ,$A26-1,Q$15-1,1,1),0),0),PLE!$AA$28*OFFSET(Import.PLQ,$A26-1,Q$15-1,1,1)),IF($E26&lt;&gt;1,IF(ISNUMBER(INDEX(Import.PLE,Detalhamento!$E26,Detalhamento!Q$15)),IF(INDEX(Import.PLE,Detalhamento!$E26,Detalhamento!Q$15)&lt;=mediçao,0,OFFSET(Import.PLQ,$A26-1,Q$15-1,1,1)),OFFSET(Import.PLQ,$A26-1,Q$15-1,1,1)),(1-PLE!$AA$28)*OFFSET(Import.PLQ,$A26-1,Q$15-1,1,1))))</f>
        <v>241.91</v>
      </c>
      <c r="R26" s="145">
        <f ca="1">IF(R$13="",0,CHOOSE(Detalhamento.OpçãoServiços,OFFSET(Import.PLQ,$A26-1,R$15-1,1,1),IF($E26&lt;&gt;1,IF(ISNUMBER(INDEX(Import.PLE,Detalhamento!$E26,Detalhamento!R$15)),IF(INDEX(Import.PLE,Detalhamento!$E26,Detalhamento!R$15)&lt;=mediçao,OFFSET(Import.PLQ,$A26-1,R$15-1,1,1),0),0),PLE!$AA$28*OFFSET(Import.PLQ,$A26-1,R$15-1,1,1)),IF($E26&lt;&gt;1,IF(ISNUMBER(INDEX(Import.PLE,Detalhamento!$E26,Detalhamento!R$15)),IF(INDEX(Import.PLE,Detalhamento!$E26,Detalhamento!R$15)&lt;=mediçao,0,OFFSET(Import.PLQ,$A26-1,R$15-1,1,1)),OFFSET(Import.PLQ,$A26-1,R$15-1,1,1)),(1-PLE!$AA$28)*OFFSET(Import.PLQ,$A26-1,R$15-1,1,1))))</f>
        <v>167.27</v>
      </c>
      <c r="S26" s="145">
        <f ca="1">IF(S$13="",0,CHOOSE(Detalhamento.OpçãoServiços,OFFSET(Import.PLQ,$A26-1,S$15-1,1,1),IF($E26&lt;&gt;1,IF(ISNUMBER(INDEX(Import.PLE,Detalhamento!$E26,Detalhamento!S$15)),IF(INDEX(Import.PLE,Detalhamento!$E26,Detalhamento!S$15)&lt;=mediçao,OFFSET(Import.PLQ,$A26-1,S$15-1,1,1),0),0),PLE!$AA$28*OFFSET(Import.PLQ,$A26-1,S$15-1,1,1)),IF($E26&lt;&gt;1,IF(ISNUMBER(INDEX(Import.PLE,Detalhamento!$E26,Detalhamento!S$15)),IF(INDEX(Import.PLE,Detalhamento!$E26,Detalhamento!S$15)&lt;=mediçao,0,OFFSET(Import.PLQ,$A26-1,S$15-1,1,1)),OFFSET(Import.PLQ,$A26-1,S$15-1,1,1)),(1-PLE!$AA$28)*OFFSET(Import.PLQ,$A26-1,S$15-1,1,1))))</f>
        <v>128.47999999999999</v>
      </c>
      <c r="T26" s="145">
        <f ca="1">IF(T$13="",0,CHOOSE(Detalhamento.OpçãoServiços,OFFSET(Import.PLQ,$A26-1,T$15-1,1,1),IF($E26&lt;&gt;1,IF(ISNUMBER(INDEX(Import.PLE,Detalhamento!$E26,Detalhamento!T$15)),IF(INDEX(Import.PLE,Detalhamento!$E26,Detalhamento!T$15)&lt;=mediçao,OFFSET(Import.PLQ,$A26-1,T$15-1,1,1),0),0),PLE!$AA$28*OFFSET(Import.PLQ,$A26-1,T$15-1,1,1)),IF($E26&lt;&gt;1,IF(ISNUMBER(INDEX(Import.PLE,Detalhamento!$E26,Detalhamento!T$15)),IF(INDEX(Import.PLE,Detalhamento!$E26,Detalhamento!T$15)&lt;=mediçao,0,OFFSET(Import.PLQ,$A26-1,T$15-1,1,1)),OFFSET(Import.PLQ,$A26-1,T$15-1,1,1)),(1-PLE!$AA$28)*OFFSET(Import.PLQ,$A26-1,T$15-1,1,1))))</f>
        <v>0</v>
      </c>
      <c r="U26" s="145">
        <f ca="1">IF(U$13="",0,CHOOSE(Detalhamento.OpçãoServiços,OFFSET(Import.PLQ,$A26-1,U$15-1,1,1),IF($E26&lt;&gt;1,IF(ISNUMBER(INDEX(Import.PLE,Detalhamento!$E26,Detalhamento!U$15)),IF(INDEX(Import.PLE,Detalhamento!$E26,Detalhamento!U$15)&lt;=mediçao,OFFSET(Import.PLQ,$A26-1,U$15-1,1,1),0),0),PLE!$AA$28*OFFSET(Import.PLQ,$A26-1,U$15-1,1,1)),IF($E26&lt;&gt;1,IF(ISNUMBER(INDEX(Import.PLE,Detalhamento!$E26,Detalhamento!U$15)),IF(INDEX(Import.PLE,Detalhamento!$E26,Detalhamento!U$15)&lt;=mediçao,0,OFFSET(Import.PLQ,$A26-1,U$15-1,1,1)),OFFSET(Import.PLQ,$A26-1,U$15-1,1,1)),(1-PLE!$AA$28)*OFFSET(Import.PLQ,$A26-1,U$15-1,1,1))))</f>
        <v>0</v>
      </c>
      <c r="V26" s="145">
        <f ca="1">IF(V$13="",0,CHOOSE(Detalhamento.OpçãoServiços,OFFSET(Import.PLQ,$A26-1,V$15-1,1,1),IF($E26&lt;&gt;1,IF(ISNUMBER(INDEX(Import.PLE,Detalhamento!$E26,Detalhamento!V$15)),IF(INDEX(Import.PLE,Detalhamento!$E26,Detalhamento!V$15)&lt;=mediçao,OFFSET(Import.PLQ,$A26-1,V$15-1,1,1),0),0),PLE!$AA$28*OFFSET(Import.PLQ,$A26-1,V$15-1,1,1)),IF($E26&lt;&gt;1,IF(ISNUMBER(INDEX(Import.PLE,Detalhamento!$E26,Detalhamento!V$15)),IF(INDEX(Import.PLE,Detalhamento!$E26,Detalhamento!V$15)&lt;=mediçao,0,OFFSET(Import.PLQ,$A26-1,V$15-1,1,1)),OFFSET(Import.PLQ,$A26-1,V$15-1,1,1)),(1-PLE!$AA$28)*OFFSET(Import.PLQ,$A26-1,V$15-1,1,1))))</f>
        <v>0</v>
      </c>
      <c r="W26" s="145">
        <f ca="1">IF(W$13="",0,CHOOSE(Detalhamento.OpçãoServiços,OFFSET(Import.PLQ,$A26-1,W$15-1,1,1),IF($E26&lt;&gt;1,IF(ISNUMBER(INDEX(Import.PLE,Detalhamento!$E26,Detalhamento!W$15)),IF(INDEX(Import.PLE,Detalhamento!$E26,Detalhamento!W$15)&lt;=mediçao,OFFSET(Import.PLQ,$A26-1,W$15-1,1,1),0),0),PLE!$AA$28*OFFSET(Import.PLQ,$A26-1,W$15-1,1,1)),IF($E26&lt;&gt;1,IF(ISNUMBER(INDEX(Import.PLE,Detalhamento!$E26,Detalhamento!W$15)),IF(INDEX(Import.PLE,Detalhamento!$E26,Detalhamento!W$15)&lt;=mediçao,0,OFFSET(Import.PLQ,$A26-1,W$15-1,1,1)),OFFSET(Import.PLQ,$A26-1,W$15-1,1,1)),(1-PLE!$AA$28)*OFFSET(Import.PLQ,$A26-1,W$15-1,1,1))))</f>
        <v>0</v>
      </c>
      <c r="X26" s="145">
        <f ca="1">IF(X$13="",0,CHOOSE(Detalhamento.OpçãoServiços,OFFSET(Import.PLQ,$A26-1,X$15-1,1,1),IF($E26&lt;&gt;1,IF(ISNUMBER(INDEX(Import.PLE,Detalhamento!$E26,Detalhamento!X$15)),IF(INDEX(Import.PLE,Detalhamento!$E26,Detalhamento!X$15)&lt;=mediçao,OFFSET(Import.PLQ,$A26-1,X$15-1,1,1),0),0),PLE!$AA$28*OFFSET(Import.PLQ,$A26-1,X$15-1,1,1)),IF($E26&lt;&gt;1,IF(ISNUMBER(INDEX(Import.PLE,Detalhamento!$E26,Detalhamento!X$15)),IF(INDEX(Import.PLE,Detalhamento!$E26,Detalhamento!X$15)&lt;=mediçao,0,OFFSET(Import.PLQ,$A26-1,X$15-1,1,1)),OFFSET(Import.PLQ,$A26-1,X$15-1,1,1)),(1-PLE!$AA$28)*OFFSET(Import.PLQ,$A26-1,X$15-1,1,1))))</f>
        <v>0</v>
      </c>
      <c r="Y26" s="145">
        <f ca="1">IF(Y$13="",0,CHOOSE(Detalhamento.OpçãoServiços,OFFSET(Import.PLQ,$A26-1,Y$15-1,1,1),IF($E26&lt;&gt;1,IF(ISNUMBER(INDEX(Import.PLE,Detalhamento!$E26,Detalhamento!Y$15)),IF(INDEX(Import.PLE,Detalhamento!$E26,Detalhamento!Y$15)&lt;=mediçao,OFFSET(Import.PLQ,$A26-1,Y$15-1,1,1),0),0),PLE!$AA$28*OFFSET(Import.PLQ,$A26-1,Y$15-1,1,1)),IF($E26&lt;&gt;1,IF(ISNUMBER(INDEX(Import.PLE,Detalhamento!$E26,Detalhamento!Y$15)),IF(INDEX(Import.PLE,Detalhamento!$E26,Detalhamento!Y$15)&lt;=mediçao,0,OFFSET(Import.PLQ,$A26-1,Y$15-1,1,1)),OFFSET(Import.PLQ,$A26-1,Y$15-1,1,1)),(1-PLE!$AA$28)*OFFSET(Import.PLQ,$A26-1,Y$15-1,1,1))))</f>
        <v>0</v>
      </c>
      <c r="Z26" s="145">
        <f ca="1">IF(Z$13="",0,CHOOSE(Detalhamento.OpçãoServiços,OFFSET(Import.PLQ,$A26-1,Z$15-1,1,1),IF($E26&lt;&gt;1,IF(ISNUMBER(INDEX(Import.PLE,Detalhamento!$E26,Detalhamento!Z$15)),IF(INDEX(Import.PLE,Detalhamento!$E26,Detalhamento!Z$15)&lt;=mediçao,OFFSET(Import.PLQ,$A26-1,Z$15-1,1,1),0),0),PLE!$AA$28*OFFSET(Import.PLQ,$A26-1,Z$15-1,1,1)),IF($E26&lt;&gt;1,IF(ISNUMBER(INDEX(Import.PLE,Detalhamento!$E26,Detalhamento!Z$15)),IF(INDEX(Import.PLE,Detalhamento!$E26,Detalhamento!Z$15)&lt;=mediçao,0,OFFSET(Import.PLQ,$A26-1,Z$15-1,1,1)),OFFSET(Import.PLQ,$A26-1,Z$15-1,1,1)),(1-PLE!$AA$28)*OFFSET(Import.PLQ,$A26-1,Z$15-1,1,1))))</f>
        <v>0</v>
      </c>
      <c r="AA26" s="145">
        <f ca="1">IF(AA$13="",0,CHOOSE(Detalhamento.OpçãoServiços,OFFSET(Import.PLQ,$A26-1,AA$15-1,1,1),IF($E26&lt;&gt;1,IF(ISNUMBER(INDEX(Import.PLE,Detalhamento!$E26,Detalhamento!AA$15)),IF(INDEX(Import.PLE,Detalhamento!$E26,Detalhamento!AA$15)&lt;=mediçao,OFFSET(Import.PLQ,$A26-1,AA$15-1,1,1),0),0),PLE!$AA$28*OFFSET(Import.PLQ,$A26-1,AA$15-1,1,1)),IF($E26&lt;&gt;1,IF(ISNUMBER(INDEX(Import.PLE,Detalhamento!$E26,Detalhamento!AA$15)),IF(INDEX(Import.PLE,Detalhamento!$E26,Detalhamento!AA$15)&lt;=mediçao,0,OFFSET(Import.PLQ,$A26-1,AA$15-1,1,1)),OFFSET(Import.PLQ,$A26-1,AA$15-1,1,1)),(1-PLE!$AA$28)*OFFSET(Import.PLQ,$A26-1,AA$15-1,1,1))))</f>
        <v>0</v>
      </c>
      <c r="AB26" s="145">
        <f ca="1">IF(AB$13="",0,CHOOSE(Detalhamento.OpçãoServiços,OFFSET(Import.PLQ,$A26-1,AB$15-1,1,1),IF($E26&lt;&gt;1,IF(ISNUMBER(INDEX(Import.PLE,Detalhamento!$E26,Detalhamento!AB$15)),IF(INDEX(Import.PLE,Detalhamento!$E26,Detalhamento!AB$15)&lt;=mediçao,OFFSET(Import.PLQ,$A26-1,AB$15-1,1,1),0),0),PLE!$AA$28*OFFSET(Import.PLQ,$A26-1,AB$15-1,1,1)),IF($E26&lt;&gt;1,IF(ISNUMBER(INDEX(Import.PLE,Detalhamento!$E26,Detalhamento!AB$15)),IF(INDEX(Import.PLE,Detalhamento!$E26,Detalhamento!AB$15)&lt;=mediçao,0,OFFSET(Import.PLQ,$A26-1,AB$15-1,1,1)),OFFSET(Import.PLQ,$A26-1,AB$15-1,1,1)),(1-PLE!$AA$28)*OFFSET(Import.PLQ,$A26-1,AB$15-1,1,1))))</f>
        <v>0</v>
      </c>
      <c r="AC26" s="145">
        <f ca="1">IF(AC$13="",0,CHOOSE(Detalhamento.OpçãoServiços,OFFSET(Import.PLQ,$A26-1,AC$15-1,1,1),IF($E26&lt;&gt;1,IF(ISNUMBER(INDEX(Import.PLE,Detalhamento!$E26,Detalhamento!AC$15)),IF(INDEX(Import.PLE,Detalhamento!$E26,Detalhamento!AC$15)&lt;=mediçao,OFFSET(Import.PLQ,$A26-1,AC$15-1,1,1),0),0),PLE!$AA$28*OFFSET(Import.PLQ,$A26-1,AC$15-1,1,1)),IF($E26&lt;&gt;1,IF(ISNUMBER(INDEX(Import.PLE,Detalhamento!$E26,Detalhamento!AC$15)),IF(INDEX(Import.PLE,Detalhamento!$E26,Detalhamento!AC$15)&lt;=mediçao,0,OFFSET(Import.PLQ,$A26-1,AC$15-1,1,1)),OFFSET(Import.PLQ,$A26-1,AC$15-1,1,1)),(1-PLE!$AA$28)*OFFSET(Import.PLQ,$A26-1,AC$15-1,1,1))))</f>
        <v>0</v>
      </c>
      <c r="AD26" s="145">
        <f ca="1">IF(AD$13="",0,CHOOSE(Detalhamento.OpçãoServiços,OFFSET(Import.PLQ,$A26-1,AD$15-1,1,1),IF($E26&lt;&gt;1,IF(ISNUMBER(INDEX(Import.PLE,Detalhamento!$E26,Detalhamento!AD$15)),IF(INDEX(Import.PLE,Detalhamento!$E26,Detalhamento!AD$15)&lt;=mediçao,OFFSET(Import.PLQ,$A26-1,AD$15-1,1,1),0),0),PLE!$AA$28*OFFSET(Import.PLQ,$A26-1,AD$15-1,1,1)),IF($E26&lt;&gt;1,IF(ISNUMBER(INDEX(Import.PLE,Detalhamento!$E26,Detalhamento!AD$15)),IF(INDEX(Import.PLE,Detalhamento!$E26,Detalhamento!AD$15)&lt;=mediçao,0,OFFSET(Import.PLQ,$A26-1,AD$15-1,1,1)),OFFSET(Import.PLQ,$A26-1,AD$15-1,1,1)),(1-PLE!$AA$28)*OFFSET(Import.PLQ,$A26-1,AD$15-1,1,1))))</f>
        <v>0</v>
      </c>
      <c r="AE26" s="145">
        <f ca="1">IF(AE$13="",0,CHOOSE(Detalhamento.OpçãoServiços,OFFSET(Import.PLQ,$A26-1,AE$15-1,1,1),IF($E26&lt;&gt;1,IF(ISNUMBER(INDEX(Import.PLE,Detalhamento!$E26,Detalhamento!AE$15)),IF(INDEX(Import.PLE,Detalhamento!$E26,Detalhamento!AE$15)&lt;=mediçao,OFFSET(Import.PLQ,$A26-1,AE$15-1,1,1),0),0),PLE!$AA$28*OFFSET(Import.PLQ,$A26-1,AE$15-1,1,1)),IF($E26&lt;&gt;1,IF(ISNUMBER(INDEX(Import.PLE,Detalhamento!$E26,Detalhamento!AE$15)),IF(INDEX(Import.PLE,Detalhamento!$E26,Detalhamento!AE$15)&lt;=mediçao,0,OFFSET(Import.PLQ,$A26-1,AE$15-1,1,1)),OFFSET(Import.PLQ,$A26-1,AE$15-1,1,1)),(1-PLE!$AA$28)*OFFSET(Import.PLQ,$A26-1,AE$15-1,1,1))))</f>
        <v>0</v>
      </c>
      <c r="AF26" s="145">
        <f ca="1">IF(AF$13="",0,CHOOSE(Detalhamento.OpçãoServiços,OFFSET(Import.PLQ,$A26-1,AF$15-1,1,1),IF($E26&lt;&gt;1,IF(ISNUMBER(INDEX(Import.PLE,Detalhamento!$E26,Detalhamento!AF$15)),IF(INDEX(Import.PLE,Detalhamento!$E26,Detalhamento!AF$15)&lt;=mediçao,OFFSET(Import.PLQ,$A26-1,AF$15-1,1,1),0),0),PLE!$AA$28*OFFSET(Import.PLQ,$A26-1,AF$15-1,1,1)),IF($E26&lt;&gt;1,IF(ISNUMBER(INDEX(Import.PLE,Detalhamento!$E26,Detalhamento!AF$15)),IF(INDEX(Import.PLE,Detalhamento!$E26,Detalhamento!AF$15)&lt;=mediçao,0,OFFSET(Import.PLQ,$A26-1,AF$15-1,1,1)),OFFSET(Import.PLQ,$A26-1,AF$15-1,1,1)),(1-PLE!$AA$28)*OFFSET(Import.PLQ,$A26-1,AF$15-1,1,1))))</f>
        <v>0</v>
      </c>
      <c r="AG26" s="145">
        <f ca="1">IF(AG$13="",0,CHOOSE(Detalhamento.OpçãoServiços,OFFSET(Import.PLQ,$A26-1,AG$15-1,1,1),IF($E26&lt;&gt;1,IF(ISNUMBER(INDEX(Import.PLE,Detalhamento!$E26,Detalhamento!AG$15)),IF(INDEX(Import.PLE,Detalhamento!$E26,Detalhamento!AG$15)&lt;=mediçao,OFFSET(Import.PLQ,$A26-1,AG$15-1,1,1),0),0),PLE!$AA$28*OFFSET(Import.PLQ,$A26-1,AG$15-1,1,1)),IF($E26&lt;&gt;1,IF(ISNUMBER(INDEX(Import.PLE,Detalhamento!$E26,Detalhamento!AG$15)),IF(INDEX(Import.PLE,Detalhamento!$E26,Detalhamento!AG$15)&lt;=mediçao,0,OFFSET(Import.PLQ,$A26-1,AG$15-1,1,1)),OFFSET(Import.PLQ,$A26-1,AG$15-1,1,1)),(1-PLE!$AA$28)*OFFSET(Import.PLQ,$A26-1,AG$15-1,1,1))))</f>
        <v>0</v>
      </c>
      <c r="AH26" s="145">
        <f ca="1">IF(AH$13="",0,CHOOSE(Detalhamento.OpçãoServiços,OFFSET(Import.PLQ,$A26-1,AH$15-1,1,1),IF($E26&lt;&gt;1,IF(ISNUMBER(INDEX(Import.PLE,Detalhamento!$E26,Detalhamento!AH$15)),IF(INDEX(Import.PLE,Detalhamento!$E26,Detalhamento!AH$15)&lt;=mediçao,OFFSET(Import.PLQ,$A26-1,AH$15-1,1,1),0),0),PLE!$AA$28*OFFSET(Import.PLQ,$A26-1,AH$15-1,1,1)),IF($E26&lt;&gt;1,IF(ISNUMBER(INDEX(Import.PLE,Detalhamento!$E26,Detalhamento!AH$15)),IF(INDEX(Import.PLE,Detalhamento!$E26,Detalhamento!AH$15)&lt;=mediçao,0,OFFSET(Import.PLQ,$A26-1,AH$15-1,1,1)),OFFSET(Import.PLQ,$A26-1,AH$15-1,1,1)),(1-PLE!$AA$28)*OFFSET(Import.PLQ,$A26-1,AH$15-1,1,1))))</f>
        <v>0</v>
      </c>
      <c r="AI26" s="145">
        <f ca="1">IF(AI$13="",0,CHOOSE(Detalhamento.OpçãoServiços,OFFSET(Import.PLQ,$A26-1,AI$15-1,1,1),IF($E26&lt;&gt;1,IF(ISNUMBER(INDEX(Import.PLE,Detalhamento!$E26,Detalhamento!AI$15)),IF(INDEX(Import.PLE,Detalhamento!$E26,Detalhamento!AI$15)&lt;=mediçao,OFFSET(Import.PLQ,$A26-1,AI$15-1,1,1),0),0),PLE!$AA$28*OFFSET(Import.PLQ,$A26-1,AI$15-1,1,1)),IF($E26&lt;&gt;1,IF(ISNUMBER(INDEX(Import.PLE,Detalhamento!$E26,Detalhamento!AI$15)),IF(INDEX(Import.PLE,Detalhamento!$E26,Detalhamento!AI$15)&lt;=mediçao,0,OFFSET(Import.PLQ,$A26-1,AI$15-1,1,1)),OFFSET(Import.PLQ,$A26-1,AI$15-1,1,1)),(1-PLE!$AA$28)*OFFSET(Import.PLQ,$A26-1,AI$15-1,1,1))))</f>
        <v>0</v>
      </c>
      <c r="AJ26" s="145">
        <f ca="1">IF(AJ$13="",0,CHOOSE(Detalhamento.OpçãoServiços,OFFSET(Import.PLQ,$A26-1,AJ$15-1,1,1),IF($E26&lt;&gt;1,IF(ISNUMBER(INDEX(Import.PLE,Detalhamento!$E26,Detalhamento!AJ$15)),IF(INDEX(Import.PLE,Detalhamento!$E26,Detalhamento!AJ$15)&lt;=mediçao,OFFSET(Import.PLQ,$A26-1,AJ$15-1,1,1),0),0),PLE!$AA$28*OFFSET(Import.PLQ,$A26-1,AJ$15-1,1,1)),IF($E26&lt;&gt;1,IF(ISNUMBER(INDEX(Import.PLE,Detalhamento!$E26,Detalhamento!AJ$15)),IF(INDEX(Import.PLE,Detalhamento!$E26,Detalhamento!AJ$15)&lt;=mediçao,0,OFFSET(Import.PLQ,$A26-1,AJ$15-1,1,1)),OFFSET(Import.PLQ,$A26-1,AJ$15-1,1,1)),(1-PLE!$AA$28)*OFFSET(Import.PLQ,$A26-1,AJ$15-1,1,1))))</f>
        <v>0</v>
      </c>
      <c r="AK26" s="145">
        <f ca="1">IF(AK$13="",0,CHOOSE(Detalhamento.OpçãoServiços,OFFSET(Import.PLQ,$A26-1,AK$15-1,1,1),IF($E26&lt;&gt;1,IF(ISNUMBER(INDEX(Import.PLE,Detalhamento!$E26,Detalhamento!AK$15)),IF(INDEX(Import.PLE,Detalhamento!$E26,Detalhamento!AK$15)&lt;=mediçao,OFFSET(Import.PLQ,$A26-1,AK$15-1,1,1),0),0),PLE!$AA$28*OFFSET(Import.PLQ,$A26-1,AK$15-1,1,1)),IF($E26&lt;&gt;1,IF(ISNUMBER(INDEX(Import.PLE,Detalhamento!$E26,Detalhamento!AK$15)),IF(INDEX(Import.PLE,Detalhamento!$E26,Detalhamento!AK$15)&lt;=mediçao,0,OFFSET(Import.PLQ,$A26-1,AK$15-1,1,1)),OFFSET(Import.PLQ,$A26-1,AK$15-1,1,1)),(1-PLE!$AA$28)*OFFSET(Import.PLQ,$A26-1,AK$15-1,1,1))))</f>
        <v>0</v>
      </c>
      <c r="AL26" s="145">
        <f ca="1">IF(AL$13="",0,CHOOSE(Detalhamento.OpçãoServiços,OFFSET(Import.PLQ,$A26-1,AL$15-1,1,1),IF($E26&lt;&gt;1,IF(ISNUMBER(INDEX(Import.PLE,Detalhamento!$E26,Detalhamento!AL$15)),IF(INDEX(Import.PLE,Detalhamento!$E26,Detalhamento!AL$15)&lt;=mediçao,OFFSET(Import.PLQ,$A26-1,AL$15-1,1,1),0),0),PLE!$AA$28*OFFSET(Import.PLQ,$A26-1,AL$15-1,1,1)),IF($E26&lt;&gt;1,IF(ISNUMBER(INDEX(Import.PLE,Detalhamento!$E26,Detalhamento!AL$15)),IF(INDEX(Import.PLE,Detalhamento!$E26,Detalhamento!AL$15)&lt;=mediçao,0,OFFSET(Import.PLQ,$A26-1,AL$15-1,1,1)),OFFSET(Import.PLQ,$A26-1,AL$15-1,1,1)),(1-PLE!$AA$28)*OFFSET(Import.PLQ,$A26-1,AL$15-1,1,1))))</f>
        <v>0</v>
      </c>
      <c r="AM26" s="145">
        <f ca="1">IF(AM$13="",0,CHOOSE(Detalhamento.OpçãoServiços,OFFSET(Import.PLQ,$A26-1,AM$15-1,1,1),IF($E26&lt;&gt;1,IF(ISNUMBER(INDEX(Import.PLE,Detalhamento!$E26,Detalhamento!AM$15)),IF(INDEX(Import.PLE,Detalhamento!$E26,Detalhamento!AM$15)&lt;=mediçao,OFFSET(Import.PLQ,$A26-1,AM$15-1,1,1),0),0),PLE!$AA$28*OFFSET(Import.PLQ,$A26-1,AM$15-1,1,1)),IF($E26&lt;&gt;1,IF(ISNUMBER(INDEX(Import.PLE,Detalhamento!$E26,Detalhamento!AM$15)),IF(INDEX(Import.PLE,Detalhamento!$E26,Detalhamento!AM$15)&lt;=mediçao,0,OFFSET(Import.PLQ,$A26-1,AM$15-1,1,1)),OFFSET(Import.PLQ,$A26-1,AM$15-1,1,1)),(1-PLE!$AA$28)*OFFSET(Import.PLQ,$A26-1,AM$15-1,1,1))))</f>
        <v>0</v>
      </c>
      <c r="AN26" s="145">
        <f ca="1">IF(AN$13="",0,CHOOSE(Detalhamento.OpçãoServiços,OFFSET(Import.PLQ,$A26-1,AN$15-1,1,1),IF($E26&lt;&gt;1,IF(ISNUMBER(INDEX(Import.PLE,Detalhamento!$E26,Detalhamento!AN$15)),IF(INDEX(Import.PLE,Detalhamento!$E26,Detalhamento!AN$15)&lt;=mediçao,OFFSET(Import.PLQ,$A26-1,AN$15-1,1,1),0),0),PLE!$AA$28*OFFSET(Import.PLQ,$A26-1,AN$15-1,1,1)),IF($E26&lt;&gt;1,IF(ISNUMBER(INDEX(Import.PLE,Detalhamento!$E26,Detalhamento!AN$15)),IF(INDEX(Import.PLE,Detalhamento!$E26,Detalhamento!AN$15)&lt;=mediçao,0,OFFSET(Import.PLQ,$A26-1,AN$15-1,1,1)),OFFSET(Import.PLQ,$A26-1,AN$15-1,1,1)),(1-PLE!$AA$28)*OFFSET(Import.PLQ,$A26-1,AN$15-1,1,1))))</f>
        <v>0</v>
      </c>
      <c r="AO26" s="145">
        <f ca="1">IF(AO$13="",0,CHOOSE(Detalhamento.OpçãoServiços,OFFSET(Import.PLQ,$A26-1,AO$15-1,1,1),IF($E26&lt;&gt;1,IF(ISNUMBER(INDEX(Import.PLE,Detalhamento!$E26,Detalhamento!AO$15)),IF(INDEX(Import.PLE,Detalhamento!$E26,Detalhamento!AO$15)&lt;=mediçao,OFFSET(Import.PLQ,$A26-1,AO$15-1,1,1),0),0),PLE!$AA$28*OFFSET(Import.PLQ,$A26-1,AO$15-1,1,1)),IF($E26&lt;&gt;1,IF(ISNUMBER(INDEX(Import.PLE,Detalhamento!$E26,Detalhamento!AO$15)),IF(INDEX(Import.PLE,Detalhamento!$E26,Detalhamento!AO$15)&lt;=mediçao,0,OFFSET(Import.PLQ,$A26-1,AO$15-1,1,1)),OFFSET(Import.PLQ,$A26-1,AO$15-1,1,1)),(1-PLE!$AA$28)*OFFSET(Import.PLQ,$A26-1,AO$15-1,1,1))))</f>
        <v>0</v>
      </c>
      <c r="AP26" s="145">
        <f ca="1">IF(AP$13="",0,CHOOSE(Detalhamento.OpçãoServiços,OFFSET(Import.PLQ,$A26-1,AP$15-1,1,1),IF($E26&lt;&gt;1,IF(ISNUMBER(INDEX(Import.PLE,Detalhamento!$E26,Detalhamento!AP$15)),IF(INDEX(Import.PLE,Detalhamento!$E26,Detalhamento!AP$15)&lt;=mediçao,OFFSET(Import.PLQ,$A26-1,AP$15-1,1,1),0),0),PLE!$AA$28*OFFSET(Import.PLQ,$A26-1,AP$15-1,1,1)),IF($E26&lt;&gt;1,IF(ISNUMBER(INDEX(Import.PLE,Detalhamento!$E26,Detalhamento!AP$15)),IF(INDEX(Import.PLE,Detalhamento!$E26,Detalhamento!AP$15)&lt;=mediçao,0,OFFSET(Import.PLQ,$A26-1,AP$15-1,1,1)),OFFSET(Import.PLQ,$A26-1,AP$15-1,1,1)),(1-PLE!$AA$28)*OFFSET(Import.PLQ,$A26-1,AP$15-1,1,1))))</f>
        <v>0</v>
      </c>
      <c r="AQ26" s="145">
        <f ca="1">IF(AQ$13="",0,CHOOSE(Detalhamento.OpçãoServiços,OFFSET(Import.PLQ,$A26-1,AQ$15-1,1,1),IF($E26&lt;&gt;1,IF(ISNUMBER(INDEX(Import.PLE,Detalhamento!$E26,Detalhamento!AQ$15)),IF(INDEX(Import.PLE,Detalhamento!$E26,Detalhamento!AQ$15)&lt;=mediçao,OFFSET(Import.PLQ,$A26-1,AQ$15-1,1,1),0),0),PLE!$AA$28*OFFSET(Import.PLQ,$A26-1,AQ$15-1,1,1)),IF($E26&lt;&gt;1,IF(ISNUMBER(INDEX(Import.PLE,Detalhamento!$E26,Detalhamento!AQ$15)),IF(INDEX(Import.PLE,Detalhamento!$E26,Detalhamento!AQ$15)&lt;=mediçao,0,OFFSET(Import.PLQ,$A26-1,AQ$15-1,1,1)),OFFSET(Import.PLQ,$A26-1,AQ$15-1,1,1)),(1-PLE!$AA$28)*OFFSET(Import.PLQ,$A26-1,AQ$15-1,1,1))))</f>
        <v>0</v>
      </c>
      <c r="AR26" s="145">
        <f ca="1">IF(AR$13="",0,CHOOSE(Detalhamento.OpçãoServiços,OFFSET(Import.PLQ,$A26-1,AR$15-1,1,1),IF($E26&lt;&gt;1,IF(ISNUMBER(INDEX(Import.PLE,Detalhamento!$E26,Detalhamento!AR$15)),IF(INDEX(Import.PLE,Detalhamento!$E26,Detalhamento!AR$15)&lt;=mediçao,OFFSET(Import.PLQ,$A26-1,AR$15-1,1,1),0),0),PLE!$AA$28*OFFSET(Import.PLQ,$A26-1,AR$15-1,1,1)),IF($E26&lt;&gt;1,IF(ISNUMBER(INDEX(Import.PLE,Detalhamento!$E26,Detalhamento!AR$15)),IF(INDEX(Import.PLE,Detalhamento!$E26,Detalhamento!AR$15)&lt;=mediçao,0,OFFSET(Import.PLQ,$A26-1,AR$15-1,1,1)),OFFSET(Import.PLQ,$A26-1,AR$15-1,1,1)),(1-PLE!$AA$28)*OFFSET(Import.PLQ,$A26-1,AR$15-1,1,1))))</f>
        <v>0</v>
      </c>
      <c r="AS26" s="145">
        <f ca="1">IF(AS$13="",0,CHOOSE(Detalhamento.OpçãoServiços,OFFSET(Import.PLQ,$A26-1,AS$15-1,1,1),IF($E26&lt;&gt;1,IF(ISNUMBER(INDEX(Import.PLE,Detalhamento!$E26,Detalhamento!AS$15)),IF(INDEX(Import.PLE,Detalhamento!$E26,Detalhamento!AS$15)&lt;=mediçao,OFFSET(Import.PLQ,$A26-1,AS$15-1,1,1),0),0),PLE!$AA$28*OFFSET(Import.PLQ,$A26-1,AS$15-1,1,1)),IF($E26&lt;&gt;1,IF(ISNUMBER(INDEX(Import.PLE,Detalhamento!$E26,Detalhamento!AS$15)),IF(INDEX(Import.PLE,Detalhamento!$E26,Detalhamento!AS$15)&lt;=mediçao,0,OFFSET(Import.PLQ,$A26-1,AS$15-1,1,1)),OFFSET(Import.PLQ,$A26-1,AS$15-1,1,1)),(1-PLE!$AA$28)*OFFSET(Import.PLQ,$A26-1,AS$15-1,1,1))))</f>
        <v>0</v>
      </c>
      <c r="AT26" s="145">
        <f ca="1">IF(AT$13="",0,CHOOSE(Detalhamento.OpçãoServiços,OFFSET(Import.PLQ,$A26-1,AT$15-1,1,1),IF($E26&lt;&gt;1,IF(ISNUMBER(INDEX(Import.PLE,Detalhamento!$E26,Detalhamento!AT$15)),IF(INDEX(Import.PLE,Detalhamento!$E26,Detalhamento!AT$15)&lt;=mediçao,OFFSET(Import.PLQ,$A26-1,AT$15-1,1,1),0),0),PLE!$AA$28*OFFSET(Import.PLQ,$A26-1,AT$15-1,1,1)),IF($E26&lt;&gt;1,IF(ISNUMBER(INDEX(Import.PLE,Detalhamento!$E26,Detalhamento!AT$15)),IF(INDEX(Import.PLE,Detalhamento!$E26,Detalhamento!AT$15)&lt;=mediçao,0,OFFSET(Import.PLQ,$A26-1,AT$15-1,1,1)),OFFSET(Import.PLQ,$A26-1,AT$15-1,1,1)),(1-PLE!$AA$28)*OFFSET(Import.PLQ,$A26-1,AT$15-1,1,1))))</f>
        <v>0</v>
      </c>
      <c r="AU26" s="145">
        <f ca="1">IF(AU$13="",0,CHOOSE(Detalhamento.OpçãoServiços,OFFSET(Import.PLQ,$A26-1,AU$15-1,1,1),IF($E26&lt;&gt;1,IF(ISNUMBER(INDEX(Import.PLE,Detalhamento!$E26,Detalhamento!AU$15)),IF(INDEX(Import.PLE,Detalhamento!$E26,Detalhamento!AU$15)&lt;=mediçao,OFFSET(Import.PLQ,$A26-1,AU$15-1,1,1),0),0),PLE!$AA$28*OFFSET(Import.PLQ,$A26-1,AU$15-1,1,1)),IF($E26&lt;&gt;1,IF(ISNUMBER(INDEX(Import.PLE,Detalhamento!$E26,Detalhamento!AU$15)),IF(INDEX(Import.PLE,Detalhamento!$E26,Detalhamento!AU$15)&lt;=mediçao,0,OFFSET(Import.PLQ,$A26-1,AU$15-1,1,1)),OFFSET(Import.PLQ,$A26-1,AU$15-1,1,1)),(1-PLE!$AA$28)*OFFSET(Import.PLQ,$A26-1,AU$15-1,1,1))))</f>
        <v>0</v>
      </c>
      <c r="AV26" s="145">
        <f ca="1">IF(AV$13="",0,CHOOSE(Detalhamento.OpçãoServiços,OFFSET(Import.PLQ,$A26-1,AV$15-1,1,1),IF($E26&lt;&gt;1,IF(ISNUMBER(INDEX(Import.PLE,Detalhamento!$E26,Detalhamento!AV$15)),IF(INDEX(Import.PLE,Detalhamento!$E26,Detalhamento!AV$15)&lt;=mediçao,OFFSET(Import.PLQ,$A26-1,AV$15-1,1,1),0),0),PLE!$AA$28*OFFSET(Import.PLQ,$A26-1,AV$15-1,1,1)),IF($E26&lt;&gt;1,IF(ISNUMBER(INDEX(Import.PLE,Detalhamento!$E26,Detalhamento!AV$15)),IF(INDEX(Import.PLE,Detalhamento!$E26,Detalhamento!AV$15)&lt;=mediçao,0,OFFSET(Import.PLQ,$A26-1,AV$15-1,1,1)),OFFSET(Import.PLQ,$A26-1,AV$15-1,1,1)),(1-PLE!$AA$28)*OFFSET(Import.PLQ,$A26-1,AV$15-1,1,1))))</f>
        <v>0</v>
      </c>
      <c r="AW26" s="145">
        <f ca="1">IF(AW$13="",0,CHOOSE(Detalhamento.OpçãoServiços,OFFSET(Import.PLQ,$A26-1,AW$15-1,1,1),IF($E26&lt;&gt;1,IF(ISNUMBER(INDEX(Import.PLE,Detalhamento!$E26,Detalhamento!AW$15)),IF(INDEX(Import.PLE,Detalhamento!$E26,Detalhamento!AW$15)&lt;=mediçao,OFFSET(Import.PLQ,$A26-1,AW$15-1,1,1),0),0),PLE!$AA$28*OFFSET(Import.PLQ,$A26-1,AW$15-1,1,1)),IF($E26&lt;&gt;1,IF(ISNUMBER(INDEX(Import.PLE,Detalhamento!$E26,Detalhamento!AW$15)),IF(INDEX(Import.PLE,Detalhamento!$E26,Detalhamento!AW$15)&lt;=mediçao,0,OFFSET(Import.PLQ,$A26-1,AW$15-1,1,1)),OFFSET(Import.PLQ,$A26-1,AW$15-1,1,1)),(1-PLE!$AA$28)*OFFSET(Import.PLQ,$A26-1,AW$15-1,1,1))))</f>
        <v>0</v>
      </c>
      <c r="AX26" s="145">
        <f ca="1">IF(AX$13="",0,CHOOSE(Detalhamento.OpçãoServiços,OFFSET(Import.PLQ,$A26-1,AX$15-1,1,1),IF($E26&lt;&gt;1,IF(ISNUMBER(INDEX(Import.PLE,Detalhamento!$E26,Detalhamento!AX$15)),IF(INDEX(Import.PLE,Detalhamento!$E26,Detalhamento!AX$15)&lt;=mediçao,OFFSET(Import.PLQ,$A26-1,AX$15-1,1,1),0),0),PLE!$AA$28*OFFSET(Import.PLQ,$A26-1,AX$15-1,1,1)),IF($E26&lt;&gt;1,IF(ISNUMBER(INDEX(Import.PLE,Detalhamento!$E26,Detalhamento!AX$15)),IF(INDEX(Import.PLE,Detalhamento!$E26,Detalhamento!AX$15)&lt;=mediçao,0,OFFSET(Import.PLQ,$A26-1,AX$15-1,1,1)),OFFSET(Import.PLQ,$A26-1,AX$15-1,1,1)),(1-PLE!$AA$28)*OFFSET(Import.PLQ,$A26-1,AX$15-1,1,1))))</f>
        <v>0</v>
      </c>
      <c r="AY26" s="145">
        <f ca="1">IF(AY$13="",0,CHOOSE(Detalhamento.OpçãoServiços,OFFSET(Import.PLQ,$A26-1,AY$15-1,1,1),IF($E26&lt;&gt;1,IF(ISNUMBER(INDEX(Import.PLE,Detalhamento!$E26,Detalhamento!AY$15)),IF(INDEX(Import.PLE,Detalhamento!$E26,Detalhamento!AY$15)&lt;=mediçao,OFFSET(Import.PLQ,$A26-1,AY$15-1,1,1),0),0),PLE!$AA$28*OFFSET(Import.PLQ,$A26-1,AY$15-1,1,1)),IF($E26&lt;&gt;1,IF(ISNUMBER(INDEX(Import.PLE,Detalhamento!$E26,Detalhamento!AY$15)),IF(INDEX(Import.PLE,Detalhamento!$E26,Detalhamento!AY$15)&lt;=mediçao,0,OFFSET(Import.PLQ,$A26-1,AY$15-1,1,1)),OFFSET(Import.PLQ,$A26-1,AY$15-1,1,1)),(1-PLE!$AA$28)*OFFSET(Import.PLQ,$A26-1,AY$15-1,1,1))))</f>
        <v>0</v>
      </c>
      <c r="AZ26" s="145">
        <f ca="1">IF(AZ$13="",0,CHOOSE(Detalhamento.OpçãoServiços,OFFSET(Import.PLQ,$A26-1,AZ$15-1,1,1),IF($E26&lt;&gt;1,IF(ISNUMBER(INDEX(Import.PLE,Detalhamento!$E26,Detalhamento!AZ$15)),IF(INDEX(Import.PLE,Detalhamento!$E26,Detalhamento!AZ$15)&lt;=mediçao,OFFSET(Import.PLQ,$A26-1,AZ$15-1,1,1),0),0),PLE!$AA$28*OFFSET(Import.PLQ,$A26-1,AZ$15-1,1,1)),IF($E26&lt;&gt;1,IF(ISNUMBER(INDEX(Import.PLE,Detalhamento!$E26,Detalhamento!AZ$15)),IF(INDEX(Import.PLE,Detalhamento!$E26,Detalhamento!AZ$15)&lt;=mediçao,0,OFFSET(Import.PLQ,$A26-1,AZ$15-1,1,1)),OFFSET(Import.PLQ,$A26-1,AZ$15-1,1,1)),(1-PLE!$AA$28)*OFFSET(Import.PLQ,$A26-1,AZ$15-1,1,1))))</f>
        <v>0</v>
      </c>
      <c r="BA26" s="145">
        <f ca="1">IF(BA$13="",0,CHOOSE(Detalhamento.OpçãoServiços,OFFSET(Import.PLQ,$A26-1,BA$15-1,1,1),IF($E26&lt;&gt;1,IF(ISNUMBER(INDEX(Import.PLE,Detalhamento!$E26,Detalhamento!BA$15)),IF(INDEX(Import.PLE,Detalhamento!$E26,Detalhamento!BA$15)&lt;=mediçao,OFFSET(Import.PLQ,$A26-1,BA$15-1,1,1),0),0),PLE!$AA$28*OFFSET(Import.PLQ,$A26-1,BA$15-1,1,1)),IF($E26&lt;&gt;1,IF(ISNUMBER(INDEX(Import.PLE,Detalhamento!$E26,Detalhamento!BA$15)),IF(INDEX(Import.PLE,Detalhamento!$E26,Detalhamento!BA$15)&lt;=mediçao,0,OFFSET(Import.PLQ,$A26-1,BA$15-1,1,1)),OFFSET(Import.PLQ,$A26-1,BA$15-1,1,1)),(1-PLE!$AA$28)*OFFSET(Import.PLQ,$A26-1,BA$15-1,1,1))))</f>
        <v>0</v>
      </c>
      <c r="BB26" s="145">
        <f ca="1">IF(BB$13="",0,CHOOSE(Detalhamento.OpçãoServiços,OFFSET(Import.PLQ,$A26-1,BB$15-1,1,1),IF($E26&lt;&gt;1,IF(ISNUMBER(INDEX(Import.PLE,Detalhamento!$E26,Detalhamento!BB$15)),IF(INDEX(Import.PLE,Detalhamento!$E26,Detalhamento!BB$15)&lt;=mediçao,OFFSET(Import.PLQ,$A26-1,BB$15-1,1,1),0),0),PLE!$AA$28*OFFSET(Import.PLQ,$A26-1,BB$15-1,1,1)),IF($E26&lt;&gt;1,IF(ISNUMBER(INDEX(Import.PLE,Detalhamento!$E26,Detalhamento!BB$15)),IF(INDEX(Import.PLE,Detalhamento!$E26,Detalhamento!BB$15)&lt;=mediçao,0,OFFSET(Import.PLQ,$A26-1,BB$15-1,1,1)),OFFSET(Import.PLQ,$A26-1,BB$15-1,1,1)),(1-PLE!$AA$28)*OFFSET(Import.PLQ,$A26-1,BB$15-1,1,1))))</f>
        <v>0</v>
      </c>
      <c r="BC26" s="145">
        <f ca="1">IF(BC$13="",0,CHOOSE(Detalhamento.OpçãoServiços,OFFSET(Import.PLQ,$A26-1,BC$15-1,1,1),IF($E26&lt;&gt;1,IF(ISNUMBER(INDEX(Import.PLE,Detalhamento!$E26,Detalhamento!BC$15)),IF(INDEX(Import.PLE,Detalhamento!$E26,Detalhamento!BC$15)&lt;=mediçao,OFFSET(Import.PLQ,$A26-1,BC$15-1,1,1),0),0),PLE!$AA$28*OFFSET(Import.PLQ,$A26-1,BC$15-1,1,1)),IF($E26&lt;&gt;1,IF(ISNUMBER(INDEX(Import.PLE,Detalhamento!$E26,Detalhamento!BC$15)),IF(INDEX(Import.PLE,Detalhamento!$E26,Detalhamento!BC$15)&lt;=mediçao,0,OFFSET(Import.PLQ,$A26-1,BC$15-1,1,1)),OFFSET(Import.PLQ,$A26-1,BC$15-1,1,1)),(1-PLE!$AA$28)*OFFSET(Import.PLQ,$A26-1,BC$15-1,1,1))))</f>
        <v>0</v>
      </c>
      <c r="BD26" s="145">
        <f ca="1">IF(BD$13="",0,CHOOSE(Detalhamento.OpçãoServiços,OFFSET(Import.PLQ,$A26-1,BD$15-1,1,1),IF($E26&lt;&gt;1,IF(ISNUMBER(INDEX(Import.PLE,Detalhamento!$E26,Detalhamento!BD$15)),IF(INDEX(Import.PLE,Detalhamento!$E26,Detalhamento!BD$15)&lt;=mediçao,OFFSET(Import.PLQ,$A26-1,BD$15-1,1,1),0),0),PLE!$AA$28*OFFSET(Import.PLQ,$A26-1,BD$15-1,1,1)),IF($E26&lt;&gt;1,IF(ISNUMBER(INDEX(Import.PLE,Detalhamento!$E26,Detalhamento!BD$15)),IF(INDEX(Import.PLE,Detalhamento!$E26,Detalhamento!BD$15)&lt;=mediçao,0,OFFSET(Import.PLQ,$A26-1,BD$15-1,1,1)),OFFSET(Import.PLQ,$A26-1,BD$15-1,1,1)),(1-PLE!$AA$28)*OFFSET(Import.PLQ,$A26-1,BD$15-1,1,1))))</f>
        <v>0</v>
      </c>
      <c r="BE26" s="145">
        <f ca="1">IF(BE$13="",0,CHOOSE(Detalhamento.OpçãoServiços,OFFSET(Import.PLQ,$A26-1,BE$15-1,1,1),IF($E26&lt;&gt;1,IF(ISNUMBER(INDEX(Import.PLE,Detalhamento!$E26,Detalhamento!BE$15)),IF(INDEX(Import.PLE,Detalhamento!$E26,Detalhamento!BE$15)&lt;=mediçao,OFFSET(Import.PLQ,$A26-1,BE$15-1,1,1),0),0),PLE!$AA$28*OFFSET(Import.PLQ,$A26-1,BE$15-1,1,1)),IF($E26&lt;&gt;1,IF(ISNUMBER(INDEX(Import.PLE,Detalhamento!$E26,Detalhamento!BE$15)),IF(INDEX(Import.PLE,Detalhamento!$E26,Detalhamento!BE$15)&lt;=mediçao,0,OFFSET(Import.PLQ,$A26-1,BE$15-1,1,1)),OFFSET(Import.PLQ,$A26-1,BE$15-1,1,1)),(1-PLE!$AA$28)*OFFSET(Import.PLQ,$A26-1,BE$15-1,1,1))))</f>
        <v>0</v>
      </c>
      <c r="BF26" s="145">
        <f ca="1">IF(BF$13="",0,CHOOSE(Detalhamento.OpçãoServiços,OFFSET(Import.PLQ,$A26-1,BF$15-1,1,1),IF($E26&lt;&gt;1,IF(ISNUMBER(INDEX(Import.PLE,Detalhamento!$E26,Detalhamento!BF$15)),IF(INDEX(Import.PLE,Detalhamento!$E26,Detalhamento!BF$15)&lt;=mediçao,OFFSET(Import.PLQ,$A26-1,BF$15-1,1,1),0),0),PLE!$AA$28*OFFSET(Import.PLQ,$A26-1,BF$15-1,1,1)),IF($E26&lt;&gt;1,IF(ISNUMBER(INDEX(Import.PLE,Detalhamento!$E26,Detalhamento!BF$15)),IF(INDEX(Import.PLE,Detalhamento!$E26,Detalhamento!BF$15)&lt;=mediçao,0,OFFSET(Import.PLQ,$A26-1,BF$15-1,1,1)),OFFSET(Import.PLQ,$A26-1,BF$15-1,1,1)),(1-PLE!$AA$28)*OFFSET(Import.PLQ,$A26-1,BF$15-1,1,1))))</f>
        <v>0</v>
      </c>
      <c r="BG26" s="145">
        <f ca="1">IF(BG$13="",0,CHOOSE(Detalhamento.OpçãoServiços,OFFSET(Import.PLQ,$A26-1,BG$15-1,1,1),IF($E26&lt;&gt;1,IF(ISNUMBER(INDEX(Import.PLE,Detalhamento!$E26,Detalhamento!BG$15)),IF(INDEX(Import.PLE,Detalhamento!$E26,Detalhamento!BG$15)&lt;=mediçao,OFFSET(Import.PLQ,$A26-1,BG$15-1,1,1),0),0),PLE!$AA$28*OFFSET(Import.PLQ,$A26-1,BG$15-1,1,1)),IF($E26&lt;&gt;1,IF(ISNUMBER(INDEX(Import.PLE,Detalhamento!$E26,Detalhamento!BG$15)),IF(INDEX(Import.PLE,Detalhamento!$E26,Detalhamento!BG$15)&lt;=mediçao,0,OFFSET(Import.PLQ,$A26-1,BG$15-1,1,1)),OFFSET(Import.PLQ,$A26-1,BG$15-1,1,1)),(1-PLE!$AA$28)*OFFSET(Import.PLQ,$A26-1,BG$15-1,1,1))))</f>
        <v>0</v>
      </c>
      <c r="BH26" s="145">
        <f ca="1">IF(BH$13="",0,CHOOSE(Detalhamento.OpçãoServiços,OFFSET(Import.PLQ,$A26-1,BH$15-1,1,1),IF($E26&lt;&gt;1,IF(ISNUMBER(INDEX(Import.PLE,Detalhamento!$E26,Detalhamento!BH$15)),IF(INDEX(Import.PLE,Detalhamento!$E26,Detalhamento!BH$15)&lt;=mediçao,OFFSET(Import.PLQ,$A26-1,BH$15-1,1,1),0),0),PLE!$AA$28*OFFSET(Import.PLQ,$A26-1,BH$15-1,1,1)),IF($E26&lt;&gt;1,IF(ISNUMBER(INDEX(Import.PLE,Detalhamento!$E26,Detalhamento!BH$15)),IF(INDEX(Import.PLE,Detalhamento!$E26,Detalhamento!BH$15)&lt;=mediçao,0,OFFSET(Import.PLQ,$A26-1,BH$15-1,1,1)),OFFSET(Import.PLQ,$A26-1,BH$15-1,1,1)),(1-PLE!$AA$28)*OFFSET(Import.PLQ,$A26-1,BH$15-1,1,1))))</f>
        <v>0</v>
      </c>
      <c r="BI26" s="145">
        <f ca="1">IF(BI$13="",0,CHOOSE(Detalhamento.OpçãoServiços,OFFSET(Import.PLQ,$A26-1,BI$15-1,1,1),IF($E26&lt;&gt;1,IF(ISNUMBER(INDEX(Import.PLE,Detalhamento!$E26,Detalhamento!BI$15)),IF(INDEX(Import.PLE,Detalhamento!$E26,Detalhamento!BI$15)&lt;=mediçao,OFFSET(Import.PLQ,$A26-1,BI$15-1,1,1),0),0),PLE!$AA$28*OFFSET(Import.PLQ,$A26-1,BI$15-1,1,1)),IF($E26&lt;&gt;1,IF(ISNUMBER(INDEX(Import.PLE,Detalhamento!$E26,Detalhamento!BI$15)),IF(INDEX(Import.PLE,Detalhamento!$E26,Detalhamento!BI$15)&lt;=mediçao,0,OFFSET(Import.PLQ,$A26-1,BI$15-1,1,1)),OFFSET(Import.PLQ,$A26-1,BI$15-1,1,1)),(1-PLE!$AA$28)*OFFSET(Import.PLQ,$A26-1,BI$15-1,1,1))))</f>
        <v>0</v>
      </c>
    </row>
    <row r="27" spans="1:61" hidden="1" x14ac:dyDescent="0.2">
      <c r="A27" s="156">
        <v>11</v>
      </c>
      <c r="B27" s="21" t="str">
        <f t="shared" ca="1" si="8"/>
        <v>Meta</v>
      </c>
      <c r="E27" s="154" t="str">
        <f t="shared" ca="1" si="9"/>
        <v/>
      </c>
      <c r="F27" s="155">
        <f t="shared" ca="1" si="10"/>
        <v>0</v>
      </c>
      <c r="G27" s="155">
        <f t="shared" ca="1" si="11"/>
        <v>4</v>
      </c>
      <c r="H27" s="183" t="str">
        <f t="shared" ca="1" si="11"/>
        <v>SERVIÇOS COMPLEMENTARES</v>
      </c>
      <c r="I27" s="37" t="str">
        <f t="shared" ca="1" si="12"/>
        <v/>
      </c>
      <c r="J27" s="145" t="str">
        <f t="shared" ca="1" si="13"/>
        <v/>
      </c>
      <c r="K27" s="67"/>
      <c r="L27" s="145">
        <f ca="1">IF(L$13="",0,CHOOSE(Detalhamento.OpçãoServiços,OFFSET(Import.PLQ,$A27-1,L$15-1,1,1),IF($E27&lt;&gt;1,IF(ISNUMBER(INDEX(Import.PLE,Detalhamento!$E27,Detalhamento!L$15)),IF(INDEX(Import.PLE,Detalhamento!$E27,Detalhamento!L$15)&lt;=mediçao,OFFSET(Import.PLQ,$A27-1,L$15-1,1,1),0),0),PLE!$AA$28*OFFSET(Import.PLQ,$A27-1,L$15-1,1,1)),IF($E27&lt;&gt;1,IF(ISNUMBER(INDEX(Import.PLE,Detalhamento!$E27,Detalhamento!L$15)),IF(INDEX(Import.PLE,Detalhamento!$E27,Detalhamento!L$15)&lt;=mediçao,0,OFFSET(Import.PLQ,$A27-1,L$15-1,1,1)),OFFSET(Import.PLQ,$A27-1,L$15-1,1,1)),(1-PLE!$AA$28)*OFFSET(Import.PLQ,$A27-1,L$15-1,1,1))))</f>
        <v>0</v>
      </c>
      <c r="M27" s="145">
        <f ca="1">IF(M$13="",0,CHOOSE(Detalhamento.OpçãoServiços,OFFSET(Import.PLQ,$A27-1,M$15-1,1,1),IF($E27&lt;&gt;1,IF(ISNUMBER(INDEX(Import.PLE,Detalhamento!$E27,Detalhamento!M$15)),IF(INDEX(Import.PLE,Detalhamento!$E27,Detalhamento!M$15)&lt;=mediçao,OFFSET(Import.PLQ,$A27-1,M$15-1,1,1),0),0),PLE!$AA$28*OFFSET(Import.PLQ,$A27-1,M$15-1,1,1)),IF($E27&lt;&gt;1,IF(ISNUMBER(INDEX(Import.PLE,Detalhamento!$E27,Detalhamento!M$15)),IF(INDEX(Import.PLE,Detalhamento!$E27,Detalhamento!M$15)&lt;=mediçao,0,OFFSET(Import.PLQ,$A27-1,M$15-1,1,1)),OFFSET(Import.PLQ,$A27-1,M$15-1,1,1)),(1-PLE!$AA$28)*OFFSET(Import.PLQ,$A27-1,M$15-1,1,1))))</f>
        <v>0</v>
      </c>
      <c r="N27" s="145">
        <f ca="1">IF(N$13="",0,CHOOSE(Detalhamento.OpçãoServiços,OFFSET(Import.PLQ,$A27-1,N$15-1,1,1),IF($E27&lt;&gt;1,IF(ISNUMBER(INDEX(Import.PLE,Detalhamento!$E27,Detalhamento!N$15)),IF(INDEX(Import.PLE,Detalhamento!$E27,Detalhamento!N$15)&lt;=mediçao,OFFSET(Import.PLQ,$A27-1,N$15-1,1,1),0),0),PLE!$AA$28*OFFSET(Import.PLQ,$A27-1,N$15-1,1,1)),IF($E27&lt;&gt;1,IF(ISNUMBER(INDEX(Import.PLE,Detalhamento!$E27,Detalhamento!N$15)),IF(INDEX(Import.PLE,Detalhamento!$E27,Detalhamento!N$15)&lt;=mediçao,0,OFFSET(Import.PLQ,$A27-1,N$15-1,1,1)),OFFSET(Import.PLQ,$A27-1,N$15-1,1,1)),(1-PLE!$AA$28)*OFFSET(Import.PLQ,$A27-1,N$15-1,1,1))))</f>
        <v>0</v>
      </c>
      <c r="O27" s="145">
        <f ca="1">IF(O$13="",0,CHOOSE(Detalhamento.OpçãoServiços,OFFSET(Import.PLQ,$A27-1,O$15-1,1,1),IF($E27&lt;&gt;1,IF(ISNUMBER(INDEX(Import.PLE,Detalhamento!$E27,Detalhamento!O$15)),IF(INDEX(Import.PLE,Detalhamento!$E27,Detalhamento!O$15)&lt;=mediçao,OFFSET(Import.PLQ,$A27-1,O$15-1,1,1),0),0),PLE!$AA$28*OFFSET(Import.PLQ,$A27-1,O$15-1,1,1)),IF($E27&lt;&gt;1,IF(ISNUMBER(INDEX(Import.PLE,Detalhamento!$E27,Detalhamento!O$15)),IF(INDEX(Import.PLE,Detalhamento!$E27,Detalhamento!O$15)&lt;=mediçao,0,OFFSET(Import.PLQ,$A27-1,O$15-1,1,1)),OFFSET(Import.PLQ,$A27-1,O$15-1,1,1)),(1-PLE!$AA$28)*OFFSET(Import.PLQ,$A27-1,O$15-1,1,1))))</f>
        <v>0</v>
      </c>
      <c r="P27" s="145">
        <f ca="1">IF(P$13="",0,CHOOSE(Detalhamento.OpçãoServiços,OFFSET(Import.PLQ,$A27-1,P$15-1,1,1),IF($E27&lt;&gt;1,IF(ISNUMBER(INDEX(Import.PLE,Detalhamento!$E27,Detalhamento!P$15)),IF(INDEX(Import.PLE,Detalhamento!$E27,Detalhamento!P$15)&lt;=mediçao,OFFSET(Import.PLQ,$A27-1,P$15-1,1,1),0),0),PLE!$AA$28*OFFSET(Import.PLQ,$A27-1,P$15-1,1,1)),IF($E27&lt;&gt;1,IF(ISNUMBER(INDEX(Import.PLE,Detalhamento!$E27,Detalhamento!P$15)),IF(INDEX(Import.PLE,Detalhamento!$E27,Detalhamento!P$15)&lt;=mediçao,0,OFFSET(Import.PLQ,$A27-1,P$15-1,1,1)),OFFSET(Import.PLQ,$A27-1,P$15-1,1,1)),(1-PLE!$AA$28)*OFFSET(Import.PLQ,$A27-1,P$15-1,1,1))))</f>
        <v>0</v>
      </c>
      <c r="Q27" s="145">
        <f ca="1">IF(Q$13="",0,CHOOSE(Detalhamento.OpçãoServiços,OFFSET(Import.PLQ,$A27-1,Q$15-1,1,1),IF($E27&lt;&gt;1,IF(ISNUMBER(INDEX(Import.PLE,Detalhamento!$E27,Detalhamento!Q$15)),IF(INDEX(Import.PLE,Detalhamento!$E27,Detalhamento!Q$15)&lt;=mediçao,OFFSET(Import.PLQ,$A27-1,Q$15-1,1,1),0),0),PLE!$AA$28*OFFSET(Import.PLQ,$A27-1,Q$15-1,1,1)),IF($E27&lt;&gt;1,IF(ISNUMBER(INDEX(Import.PLE,Detalhamento!$E27,Detalhamento!Q$15)),IF(INDEX(Import.PLE,Detalhamento!$E27,Detalhamento!Q$15)&lt;=mediçao,0,OFFSET(Import.PLQ,$A27-1,Q$15-1,1,1)),OFFSET(Import.PLQ,$A27-1,Q$15-1,1,1)),(1-PLE!$AA$28)*OFFSET(Import.PLQ,$A27-1,Q$15-1,1,1))))</f>
        <v>0</v>
      </c>
      <c r="R27" s="145">
        <f ca="1">IF(R$13="",0,CHOOSE(Detalhamento.OpçãoServiços,OFFSET(Import.PLQ,$A27-1,R$15-1,1,1),IF($E27&lt;&gt;1,IF(ISNUMBER(INDEX(Import.PLE,Detalhamento!$E27,Detalhamento!R$15)),IF(INDEX(Import.PLE,Detalhamento!$E27,Detalhamento!R$15)&lt;=mediçao,OFFSET(Import.PLQ,$A27-1,R$15-1,1,1),0),0),PLE!$AA$28*OFFSET(Import.PLQ,$A27-1,R$15-1,1,1)),IF($E27&lt;&gt;1,IF(ISNUMBER(INDEX(Import.PLE,Detalhamento!$E27,Detalhamento!R$15)),IF(INDEX(Import.PLE,Detalhamento!$E27,Detalhamento!R$15)&lt;=mediçao,0,OFFSET(Import.PLQ,$A27-1,R$15-1,1,1)),OFFSET(Import.PLQ,$A27-1,R$15-1,1,1)),(1-PLE!$AA$28)*OFFSET(Import.PLQ,$A27-1,R$15-1,1,1))))</f>
        <v>0</v>
      </c>
      <c r="S27" s="145">
        <f ca="1">IF(S$13="",0,CHOOSE(Detalhamento.OpçãoServiços,OFFSET(Import.PLQ,$A27-1,S$15-1,1,1),IF($E27&lt;&gt;1,IF(ISNUMBER(INDEX(Import.PLE,Detalhamento!$E27,Detalhamento!S$15)),IF(INDEX(Import.PLE,Detalhamento!$E27,Detalhamento!S$15)&lt;=mediçao,OFFSET(Import.PLQ,$A27-1,S$15-1,1,1),0),0),PLE!$AA$28*OFFSET(Import.PLQ,$A27-1,S$15-1,1,1)),IF($E27&lt;&gt;1,IF(ISNUMBER(INDEX(Import.PLE,Detalhamento!$E27,Detalhamento!S$15)),IF(INDEX(Import.PLE,Detalhamento!$E27,Detalhamento!S$15)&lt;=mediçao,0,OFFSET(Import.PLQ,$A27-1,S$15-1,1,1)),OFFSET(Import.PLQ,$A27-1,S$15-1,1,1)),(1-PLE!$AA$28)*OFFSET(Import.PLQ,$A27-1,S$15-1,1,1))))</f>
        <v>0</v>
      </c>
      <c r="T27" s="145">
        <f ca="1">IF(T$13="",0,CHOOSE(Detalhamento.OpçãoServiços,OFFSET(Import.PLQ,$A27-1,T$15-1,1,1),IF($E27&lt;&gt;1,IF(ISNUMBER(INDEX(Import.PLE,Detalhamento!$E27,Detalhamento!T$15)),IF(INDEX(Import.PLE,Detalhamento!$E27,Detalhamento!T$15)&lt;=mediçao,OFFSET(Import.PLQ,$A27-1,T$15-1,1,1),0),0),PLE!$AA$28*OFFSET(Import.PLQ,$A27-1,T$15-1,1,1)),IF($E27&lt;&gt;1,IF(ISNUMBER(INDEX(Import.PLE,Detalhamento!$E27,Detalhamento!T$15)),IF(INDEX(Import.PLE,Detalhamento!$E27,Detalhamento!T$15)&lt;=mediçao,0,OFFSET(Import.PLQ,$A27-1,T$15-1,1,1)),OFFSET(Import.PLQ,$A27-1,T$15-1,1,1)),(1-PLE!$AA$28)*OFFSET(Import.PLQ,$A27-1,T$15-1,1,1))))</f>
        <v>0</v>
      </c>
      <c r="U27" s="145">
        <f ca="1">IF(U$13="",0,CHOOSE(Detalhamento.OpçãoServiços,OFFSET(Import.PLQ,$A27-1,U$15-1,1,1),IF($E27&lt;&gt;1,IF(ISNUMBER(INDEX(Import.PLE,Detalhamento!$E27,Detalhamento!U$15)),IF(INDEX(Import.PLE,Detalhamento!$E27,Detalhamento!U$15)&lt;=mediçao,OFFSET(Import.PLQ,$A27-1,U$15-1,1,1),0),0),PLE!$AA$28*OFFSET(Import.PLQ,$A27-1,U$15-1,1,1)),IF($E27&lt;&gt;1,IF(ISNUMBER(INDEX(Import.PLE,Detalhamento!$E27,Detalhamento!U$15)),IF(INDEX(Import.PLE,Detalhamento!$E27,Detalhamento!U$15)&lt;=mediçao,0,OFFSET(Import.PLQ,$A27-1,U$15-1,1,1)),OFFSET(Import.PLQ,$A27-1,U$15-1,1,1)),(1-PLE!$AA$28)*OFFSET(Import.PLQ,$A27-1,U$15-1,1,1))))</f>
        <v>0</v>
      </c>
      <c r="V27" s="145">
        <f ca="1">IF(V$13="",0,CHOOSE(Detalhamento.OpçãoServiços,OFFSET(Import.PLQ,$A27-1,V$15-1,1,1),IF($E27&lt;&gt;1,IF(ISNUMBER(INDEX(Import.PLE,Detalhamento!$E27,Detalhamento!V$15)),IF(INDEX(Import.PLE,Detalhamento!$E27,Detalhamento!V$15)&lt;=mediçao,OFFSET(Import.PLQ,$A27-1,V$15-1,1,1),0),0),PLE!$AA$28*OFFSET(Import.PLQ,$A27-1,V$15-1,1,1)),IF($E27&lt;&gt;1,IF(ISNUMBER(INDEX(Import.PLE,Detalhamento!$E27,Detalhamento!V$15)),IF(INDEX(Import.PLE,Detalhamento!$E27,Detalhamento!V$15)&lt;=mediçao,0,OFFSET(Import.PLQ,$A27-1,V$15-1,1,1)),OFFSET(Import.PLQ,$A27-1,V$15-1,1,1)),(1-PLE!$AA$28)*OFFSET(Import.PLQ,$A27-1,V$15-1,1,1))))</f>
        <v>0</v>
      </c>
      <c r="W27" s="145">
        <f ca="1">IF(W$13="",0,CHOOSE(Detalhamento.OpçãoServiços,OFFSET(Import.PLQ,$A27-1,W$15-1,1,1),IF($E27&lt;&gt;1,IF(ISNUMBER(INDEX(Import.PLE,Detalhamento!$E27,Detalhamento!W$15)),IF(INDEX(Import.PLE,Detalhamento!$E27,Detalhamento!W$15)&lt;=mediçao,OFFSET(Import.PLQ,$A27-1,W$15-1,1,1),0),0),PLE!$AA$28*OFFSET(Import.PLQ,$A27-1,W$15-1,1,1)),IF($E27&lt;&gt;1,IF(ISNUMBER(INDEX(Import.PLE,Detalhamento!$E27,Detalhamento!W$15)),IF(INDEX(Import.PLE,Detalhamento!$E27,Detalhamento!W$15)&lt;=mediçao,0,OFFSET(Import.PLQ,$A27-1,W$15-1,1,1)),OFFSET(Import.PLQ,$A27-1,W$15-1,1,1)),(1-PLE!$AA$28)*OFFSET(Import.PLQ,$A27-1,W$15-1,1,1))))</f>
        <v>0</v>
      </c>
      <c r="X27" s="145">
        <f ca="1">IF(X$13="",0,CHOOSE(Detalhamento.OpçãoServiços,OFFSET(Import.PLQ,$A27-1,X$15-1,1,1),IF($E27&lt;&gt;1,IF(ISNUMBER(INDEX(Import.PLE,Detalhamento!$E27,Detalhamento!X$15)),IF(INDEX(Import.PLE,Detalhamento!$E27,Detalhamento!X$15)&lt;=mediçao,OFFSET(Import.PLQ,$A27-1,X$15-1,1,1),0),0),PLE!$AA$28*OFFSET(Import.PLQ,$A27-1,X$15-1,1,1)),IF($E27&lt;&gt;1,IF(ISNUMBER(INDEX(Import.PLE,Detalhamento!$E27,Detalhamento!X$15)),IF(INDEX(Import.PLE,Detalhamento!$E27,Detalhamento!X$15)&lt;=mediçao,0,OFFSET(Import.PLQ,$A27-1,X$15-1,1,1)),OFFSET(Import.PLQ,$A27-1,X$15-1,1,1)),(1-PLE!$AA$28)*OFFSET(Import.PLQ,$A27-1,X$15-1,1,1))))</f>
        <v>0</v>
      </c>
      <c r="Y27" s="145">
        <f ca="1">IF(Y$13="",0,CHOOSE(Detalhamento.OpçãoServiços,OFFSET(Import.PLQ,$A27-1,Y$15-1,1,1),IF($E27&lt;&gt;1,IF(ISNUMBER(INDEX(Import.PLE,Detalhamento!$E27,Detalhamento!Y$15)),IF(INDEX(Import.PLE,Detalhamento!$E27,Detalhamento!Y$15)&lt;=mediçao,OFFSET(Import.PLQ,$A27-1,Y$15-1,1,1),0),0),PLE!$AA$28*OFFSET(Import.PLQ,$A27-1,Y$15-1,1,1)),IF($E27&lt;&gt;1,IF(ISNUMBER(INDEX(Import.PLE,Detalhamento!$E27,Detalhamento!Y$15)),IF(INDEX(Import.PLE,Detalhamento!$E27,Detalhamento!Y$15)&lt;=mediçao,0,OFFSET(Import.PLQ,$A27-1,Y$15-1,1,1)),OFFSET(Import.PLQ,$A27-1,Y$15-1,1,1)),(1-PLE!$AA$28)*OFFSET(Import.PLQ,$A27-1,Y$15-1,1,1))))</f>
        <v>0</v>
      </c>
      <c r="Z27" s="145">
        <f ca="1">IF(Z$13="",0,CHOOSE(Detalhamento.OpçãoServiços,OFFSET(Import.PLQ,$A27-1,Z$15-1,1,1),IF($E27&lt;&gt;1,IF(ISNUMBER(INDEX(Import.PLE,Detalhamento!$E27,Detalhamento!Z$15)),IF(INDEX(Import.PLE,Detalhamento!$E27,Detalhamento!Z$15)&lt;=mediçao,OFFSET(Import.PLQ,$A27-1,Z$15-1,1,1),0),0),PLE!$AA$28*OFFSET(Import.PLQ,$A27-1,Z$15-1,1,1)),IF($E27&lt;&gt;1,IF(ISNUMBER(INDEX(Import.PLE,Detalhamento!$E27,Detalhamento!Z$15)),IF(INDEX(Import.PLE,Detalhamento!$E27,Detalhamento!Z$15)&lt;=mediçao,0,OFFSET(Import.PLQ,$A27-1,Z$15-1,1,1)),OFFSET(Import.PLQ,$A27-1,Z$15-1,1,1)),(1-PLE!$AA$28)*OFFSET(Import.PLQ,$A27-1,Z$15-1,1,1))))</f>
        <v>0</v>
      </c>
      <c r="AA27" s="145">
        <f ca="1">IF(AA$13="",0,CHOOSE(Detalhamento.OpçãoServiços,OFFSET(Import.PLQ,$A27-1,AA$15-1,1,1),IF($E27&lt;&gt;1,IF(ISNUMBER(INDEX(Import.PLE,Detalhamento!$E27,Detalhamento!AA$15)),IF(INDEX(Import.PLE,Detalhamento!$E27,Detalhamento!AA$15)&lt;=mediçao,OFFSET(Import.PLQ,$A27-1,AA$15-1,1,1),0),0),PLE!$AA$28*OFFSET(Import.PLQ,$A27-1,AA$15-1,1,1)),IF($E27&lt;&gt;1,IF(ISNUMBER(INDEX(Import.PLE,Detalhamento!$E27,Detalhamento!AA$15)),IF(INDEX(Import.PLE,Detalhamento!$E27,Detalhamento!AA$15)&lt;=mediçao,0,OFFSET(Import.PLQ,$A27-1,AA$15-1,1,1)),OFFSET(Import.PLQ,$A27-1,AA$15-1,1,1)),(1-PLE!$AA$28)*OFFSET(Import.PLQ,$A27-1,AA$15-1,1,1))))</f>
        <v>0</v>
      </c>
      <c r="AB27" s="145">
        <f ca="1">IF(AB$13="",0,CHOOSE(Detalhamento.OpçãoServiços,OFFSET(Import.PLQ,$A27-1,AB$15-1,1,1),IF($E27&lt;&gt;1,IF(ISNUMBER(INDEX(Import.PLE,Detalhamento!$E27,Detalhamento!AB$15)),IF(INDEX(Import.PLE,Detalhamento!$E27,Detalhamento!AB$15)&lt;=mediçao,OFFSET(Import.PLQ,$A27-1,AB$15-1,1,1),0),0),PLE!$AA$28*OFFSET(Import.PLQ,$A27-1,AB$15-1,1,1)),IF($E27&lt;&gt;1,IF(ISNUMBER(INDEX(Import.PLE,Detalhamento!$E27,Detalhamento!AB$15)),IF(INDEX(Import.PLE,Detalhamento!$E27,Detalhamento!AB$15)&lt;=mediçao,0,OFFSET(Import.PLQ,$A27-1,AB$15-1,1,1)),OFFSET(Import.PLQ,$A27-1,AB$15-1,1,1)),(1-PLE!$AA$28)*OFFSET(Import.PLQ,$A27-1,AB$15-1,1,1))))</f>
        <v>0</v>
      </c>
      <c r="AC27" s="145">
        <f ca="1">IF(AC$13="",0,CHOOSE(Detalhamento.OpçãoServiços,OFFSET(Import.PLQ,$A27-1,AC$15-1,1,1),IF($E27&lt;&gt;1,IF(ISNUMBER(INDEX(Import.PLE,Detalhamento!$E27,Detalhamento!AC$15)),IF(INDEX(Import.PLE,Detalhamento!$E27,Detalhamento!AC$15)&lt;=mediçao,OFFSET(Import.PLQ,$A27-1,AC$15-1,1,1),0),0),PLE!$AA$28*OFFSET(Import.PLQ,$A27-1,AC$15-1,1,1)),IF($E27&lt;&gt;1,IF(ISNUMBER(INDEX(Import.PLE,Detalhamento!$E27,Detalhamento!AC$15)),IF(INDEX(Import.PLE,Detalhamento!$E27,Detalhamento!AC$15)&lt;=mediçao,0,OFFSET(Import.PLQ,$A27-1,AC$15-1,1,1)),OFFSET(Import.PLQ,$A27-1,AC$15-1,1,1)),(1-PLE!$AA$28)*OFFSET(Import.PLQ,$A27-1,AC$15-1,1,1))))</f>
        <v>0</v>
      </c>
      <c r="AD27" s="145">
        <f ca="1">IF(AD$13="",0,CHOOSE(Detalhamento.OpçãoServiços,OFFSET(Import.PLQ,$A27-1,AD$15-1,1,1),IF($E27&lt;&gt;1,IF(ISNUMBER(INDEX(Import.PLE,Detalhamento!$E27,Detalhamento!AD$15)),IF(INDEX(Import.PLE,Detalhamento!$E27,Detalhamento!AD$15)&lt;=mediçao,OFFSET(Import.PLQ,$A27-1,AD$15-1,1,1),0),0),PLE!$AA$28*OFFSET(Import.PLQ,$A27-1,AD$15-1,1,1)),IF($E27&lt;&gt;1,IF(ISNUMBER(INDEX(Import.PLE,Detalhamento!$E27,Detalhamento!AD$15)),IF(INDEX(Import.PLE,Detalhamento!$E27,Detalhamento!AD$15)&lt;=mediçao,0,OFFSET(Import.PLQ,$A27-1,AD$15-1,1,1)),OFFSET(Import.PLQ,$A27-1,AD$15-1,1,1)),(1-PLE!$AA$28)*OFFSET(Import.PLQ,$A27-1,AD$15-1,1,1))))</f>
        <v>0</v>
      </c>
      <c r="AE27" s="145">
        <f ca="1">IF(AE$13="",0,CHOOSE(Detalhamento.OpçãoServiços,OFFSET(Import.PLQ,$A27-1,AE$15-1,1,1),IF($E27&lt;&gt;1,IF(ISNUMBER(INDEX(Import.PLE,Detalhamento!$E27,Detalhamento!AE$15)),IF(INDEX(Import.PLE,Detalhamento!$E27,Detalhamento!AE$15)&lt;=mediçao,OFFSET(Import.PLQ,$A27-1,AE$15-1,1,1),0),0),PLE!$AA$28*OFFSET(Import.PLQ,$A27-1,AE$15-1,1,1)),IF($E27&lt;&gt;1,IF(ISNUMBER(INDEX(Import.PLE,Detalhamento!$E27,Detalhamento!AE$15)),IF(INDEX(Import.PLE,Detalhamento!$E27,Detalhamento!AE$15)&lt;=mediçao,0,OFFSET(Import.PLQ,$A27-1,AE$15-1,1,1)),OFFSET(Import.PLQ,$A27-1,AE$15-1,1,1)),(1-PLE!$AA$28)*OFFSET(Import.PLQ,$A27-1,AE$15-1,1,1))))</f>
        <v>0</v>
      </c>
      <c r="AF27" s="145">
        <f ca="1">IF(AF$13="",0,CHOOSE(Detalhamento.OpçãoServiços,OFFSET(Import.PLQ,$A27-1,AF$15-1,1,1),IF($E27&lt;&gt;1,IF(ISNUMBER(INDEX(Import.PLE,Detalhamento!$E27,Detalhamento!AF$15)),IF(INDEX(Import.PLE,Detalhamento!$E27,Detalhamento!AF$15)&lt;=mediçao,OFFSET(Import.PLQ,$A27-1,AF$15-1,1,1),0),0),PLE!$AA$28*OFFSET(Import.PLQ,$A27-1,AF$15-1,1,1)),IF($E27&lt;&gt;1,IF(ISNUMBER(INDEX(Import.PLE,Detalhamento!$E27,Detalhamento!AF$15)),IF(INDEX(Import.PLE,Detalhamento!$E27,Detalhamento!AF$15)&lt;=mediçao,0,OFFSET(Import.PLQ,$A27-1,AF$15-1,1,1)),OFFSET(Import.PLQ,$A27-1,AF$15-1,1,1)),(1-PLE!$AA$28)*OFFSET(Import.PLQ,$A27-1,AF$15-1,1,1))))</f>
        <v>0</v>
      </c>
      <c r="AG27" s="145">
        <f ca="1">IF(AG$13="",0,CHOOSE(Detalhamento.OpçãoServiços,OFFSET(Import.PLQ,$A27-1,AG$15-1,1,1),IF($E27&lt;&gt;1,IF(ISNUMBER(INDEX(Import.PLE,Detalhamento!$E27,Detalhamento!AG$15)),IF(INDEX(Import.PLE,Detalhamento!$E27,Detalhamento!AG$15)&lt;=mediçao,OFFSET(Import.PLQ,$A27-1,AG$15-1,1,1),0),0),PLE!$AA$28*OFFSET(Import.PLQ,$A27-1,AG$15-1,1,1)),IF($E27&lt;&gt;1,IF(ISNUMBER(INDEX(Import.PLE,Detalhamento!$E27,Detalhamento!AG$15)),IF(INDEX(Import.PLE,Detalhamento!$E27,Detalhamento!AG$15)&lt;=mediçao,0,OFFSET(Import.PLQ,$A27-1,AG$15-1,1,1)),OFFSET(Import.PLQ,$A27-1,AG$15-1,1,1)),(1-PLE!$AA$28)*OFFSET(Import.PLQ,$A27-1,AG$15-1,1,1))))</f>
        <v>0</v>
      </c>
      <c r="AH27" s="145">
        <f ca="1">IF(AH$13="",0,CHOOSE(Detalhamento.OpçãoServiços,OFFSET(Import.PLQ,$A27-1,AH$15-1,1,1),IF($E27&lt;&gt;1,IF(ISNUMBER(INDEX(Import.PLE,Detalhamento!$E27,Detalhamento!AH$15)),IF(INDEX(Import.PLE,Detalhamento!$E27,Detalhamento!AH$15)&lt;=mediçao,OFFSET(Import.PLQ,$A27-1,AH$15-1,1,1),0),0),PLE!$AA$28*OFFSET(Import.PLQ,$A27-1,AH$15-1,1,1)),IF($E27&lt;&gt;1,IF(ISNUMBER(INDEX(Import.PLE,Detalhamento!$E27,Detalhamento!AH$15)),IF(INDEX(Import.PLE,Detalhamento!$E27,Detalhamento!AH$15)&lt;=mediçao,0,OFFSET(Import.PLQ,$A27-1,AH$15-1,1,1)),OFFSET(Import.PLQ,$A27-1,AH$15-1,1,1)),(1-PLE!$AA$28)*OFFSET(Import.PLQ,$A27-1,AH$15-1,1,1))))</f>
        <v>0</v>
      </c>
      <c r="AI27" s="145">
        <f ca="1">IF(AI$13="",0,CHOOSE(Detalhamento.OpçãoServiços,OFFSET(Import.PLQ,$A27-1,AI$15-1,1,1),IF($E27&lt;&gt;1,IF(ISNUMBER(INDEX(Import.PLE,Detalhamento!$E27,Detalhamento!AI$15)),IF(INDEX(Import.PLE,Detalhamento!$E27,Detalhamento!AI$15)&lt;=mediçao,OFFSET(Import.PLQ,$A27-1,AI$15-1,1,1),0),0),PLE!$AA$28*OFFSET(Import.PLQ,$A27-1,AI$15-1,1,1)),IF($E27&lt;&gt;1,IF(ISNUMBER(INDEX(Import.PLE,Detalhamento!$E27,Detalhamento!AI$15)),IF(INDEX(Import.PLE,Detalhamento!$E27,Detalhamento!AI$15)&lt;=mediçao,0,OFFSET(Import.PLQ,$A27-1,AI$15-1,1,1)),OFFSET(Import.PLQ,$A27-1,AI$15-1,1,1)),(1-PLE!$AA$28)*OFFSET(Import.PLQ,$A27-1,AI$15-1,1,1))))</f>
        <v>0</v>
      </c>
      <c r="AJ27" s="145">
        <f ca="1">IF(AJ$13="",0,CHOOSE(Detalhamento.OpçãoServiços,OFFSET(Import.PLQ,$A27-1,AJ$15-1,1,1),IF($E27&lt;&gt;1,IF(ISNUMBER(INDEX(Import.PLE,Detalhamento!$E27,Detalhamento!AJ$15)),IF(INDEX(Import.PLE,Detalhamento!$E27,Detalhamento!AJ$15)&lt;=mediçao,OFFSET(Import.PLQ,$A27-1,AJ$15-1,1,1),0),0),PLE!$AA$28*OFFSET(Import.PLQ,$A27-1,AJ$15-1,1,1)),IF($E27&lt;&gt;1,IF(ISNUMBER(INDEX(Import.PLE,Detalhamento!$E27,Detalhamento!AJ$15)),IF(INDEX(Import.PLE,Detalhamento!$E27,Detalhamento!AJ$15)&lt;=mediçao,0,OFFSET(Import.PLQ,$A27-1,AJ$15-1,1,1)),OFFSET(Import.PLQ,$A27-1,AJ$15-1,1,1)),(1-PLE!$AA$28)*OFFSET(Import.PLQ,$A27-1,AJ$15-1,1,1))))</f>
        <v>0</v>
      </c>
      <c r="AK27" s="145">
        <f ca="1">IF(AK$13="",0,CHOOSE(Detalhamento.OpçãoServiços,OFFSET(Import.PLQ,$A27-1,AK$15-1,1,1),IF($E27&lt;&gt;1,IF(ISNUMBER(INDEX(Import.PLE,Detalhamento!$E27,Detalhamento!AK$15)),IF(INDEX(Import.PLE,Detalhamento!$E27,Detalhamento!AK$15)&lt;=mediçao,OFFSET(Import.PLQ,$A27-1,AK$15-1,1,1),0),0),PLE!$AA$28*OFFSET(Import.PLQ,$A27-1,AK$15-1,1,1)),IF($E27&lt;&gt;1,IF(ISNUMBER(INDEX(Import.PLE,Detalhamento!$E27,Detalhamento!AK$15)),IF(INDEX(Import.PLE,Detalhamento!$E27,Detalhamento!AK$15)&lt;=mediçao,0,OFFSET(Import.PLQ,$A27-1,AK$15-1,1,1)),OFFSET(Import.PLQ,$A27-1,AK$15-1,1,1)),(1-PLE!$AA$28)*OFFSET(Import.PLQ,$A27-1,AK$15-1,1,1))))</f>
        <v>0</v>
      </c>
      <c r="AL27" s="145">
        <f ca="1">IF(AL$13="",0,CHOOSE(Detalhamento.OpçãoServiços,OFFSET(Import.PLQ,$A27-1,AL$15-1,1,1),IF($E27&lt;&gt;1,IF(ISNUMBER(INDEX(Import.PLE,Detalhamento!$E27,Detalhamento!AL$15)),IF(INDEX(Import.PLE,Detalhamento!$E27,Detalhamento!AL$15)&lt;=mediçao,OFFSET(Import.PLQ,$A27-1,AL$15-1,1,1),0),0),PLE!$AA$28*OFFSET(Import.PLQ,$A27-1,AL$15-1,1,1)),IF($E27&lt;&gt;1,IF(ISNUMBER(INDEX(Import.PLE,Detalhamento!$E27,Detalhamento!AL$15)),IF(INDEX(Import.PLE,Detalhamento!$E27,Detalhamento!AL$15)&lt;=mediçao,0,OFFSET(Import.PLQ,$A27-1,AL$15-1,1,1)),OFFSET(Import.PLQ,$A27-1,AL$15-1,1,1)),(1-PLE!$AA$28)*OFFSET(Import.PLQ,$A27-1,AL$15-1,1,1))))</f>
        <v>0</v>
      </c>
      <c r="AM27" s="145">
        <f ca="1">IF(AM$13="",0,CHOOSE(Detalhamento.OpçãoServiços,OFFSET(Import.PLQ,$A27-1,AM$15-1,1,1),IF($E27&lt;&gt;1,IF(ISNUMBER(INDEX(Import.PLE,Detalhamento!$E27,Detalhamento!AM$15)),IF(INDEX(Import.PLE,Detalhamento!$E27,Detalhamento!AM$15)&lt;=mediçao,OFFSET(Import.PLQ,$A27-1,AM$15-1,1,1),0),0),PLE!$AA$28*OFFSET(Import.PLQ,$A27-1,AM$15-1,1,1)),IF($E27&lt;&gt;1,IF(ISNUMBER(INDEX(Import.PLE,Detalhamento!$E27,Detalhamento!AM$15)),IF(INDEX(Import.PLE,Detalhamento!$E27,Detalhamento!AM$15)&lt;=mediçao,0,OFFSET(Import.PLQ,$A27-1,AM$15-1,1,1)),OFFSET(Import.PLQ,$A27-1,AM$15-1,1,1)),(1-PLE!$AA$28)*OFFSET(Import.PLQ,$A27-1,AM$15-1,1,1))))</f>
        <v>0</v>
      </c>
      <c r="AN27" s="145">
        <f ca="1">IF(AN$13="",0,CHOOSE(Detalhamento.OpçãoServiços,OFFSET(Import.PLQ,$A27-1,AN$15-1,1,1),IF($E27&lt;&gt;1,IF(ISNUMBER(INDEX(Import.PLE,Detalhamento!$E27,Detalhamento!AN$15)),IF(INDEX(Import.PLE,Detalhamento!$E27,Detalhamento!AN$15)&lt;=mediçao,OFFSET(Import.PLQ,$A27-1,AN$15-1,1,1),0),0),PLE!$AA$28*OFFSET(Import.PLQ,$A27-1,AN$15-1,1,1)),IF($E27&lt;&gt;1,IF(ISNUMBER(INDEX(Import.PLE,Detalhamento!$E27,Detalhamento!AN$15)),IF(INDEX(Import.PLE,Detalhamento!$E27,Detalhamento!AN$15)&lt;=mediçao,0,OFFSET(Import.PLQ,$A27-1,AN$15-1,1,1)),OFFSET(Import.PLQ,$A27-1,AN$15-1,1,1)),(1-PLE!$AA$28)*OFFSET(Import.PLQ,$A27-1,AN$15-1,1,1))))</f>
        <v>0</v>
      </c>
      <c r="AO27" s="145">
        <f ca="1">IF(AO$13="",0,CHOOSE(Detalhamento.OpçãoServiços,OFFSET(Import.PLQ,$A27-1,AO$15-1,1,1),IF($E27&lt;&gt;1,IF(ISNUMBER(INDEX(Import.PLE,Detalhamento!$E27,Detalhamento!AO$15)),IF(INDEX(Import.PLE,Detalhamento!$E27,Detalhamento!AO$15)&lt;=mediçao,OFFSET(Import.PLQ,$A27-1,AO$15-1,1,1),0),0),PLE!$AA$28*OFFSET(Import.PLQ,$A27-1,AO$15-1,1,1)),IF($E27&lt;&gt;1,IF(ISNUMBER(INDEX(Import.PLE,Detalhamento!$E27,Detalhamento!AO$15)),IF(INDEX(Import.PLE,Detalhamento!$E27,Detalhamento!AO$15)&lt;=mediçao,0,OFFSET(Import.PLQ,$A27-1,AO$15-1,1,1)),OFFSET(Import.PLQ,$A27-1,AO$15-1,1,1)),(1-PLE!$AA$28)*OFFSET(Import.PLQ,$A27-1,AO$15-1,1,1))))</f>
        <v>0</v>
      </c>
      <c r="AP27" s="145">
        <f ca="1">IF(AP$13="",0,CHOOSE(Detalhamento.OpçãoServiços,OFFSET(Import.PLQ,$A27-1,AP$15-1,1,1),IF($E27&lt;&gt;1,IF(ISNUMBER(INDEX(Import.PLE,Detalhamento!$E27,Detalhamento!AP$15)),IF(INDEX(Import.PLE,Detalhamento!$E27,Detalhamento!AP$15)&lt;=mediçao,OFFSET(Import.PLQ,$A27-1,AP$15-1,1,1),0),0),PLE!$AA$28*OFFSET(Import.PLQ,$A27-1,AP$15-1,1,1)),IF($E27&lt;&gt;1,IF(ISNUMBER(INDEX(Import.PLE,Detalhamento!$E27,Detalhamento!AP$15)),IF(INDEX(Import.PLE,Detalhamento!$E27,Detalhamento!AP$15)&lt;=mediçao,0,OFFSET(Import.PLQ,$A27-1,AP$15-1,1,1)),OFFSET(Import.PLQ,$A27-1,AP$15-1,1,1)),(1-PLE!$AA$28)*OFFSET(Import.PLQ,$A27-1,AP$15-1,1,1))))</f>
        <v>0</v>
      </c>
      <c r="AQ27" s="145">
        <f ca="1">IF(AQ$13="",0,CHOOSE(Detalhamento.OpçãoServiços,OFFSET(Import.PLQ,$A27-1,AQ$15-1,1,1),IF($E27&lt;&gt;1,IF(ISNUMBER(INDEX(Import.PLE,Detalhamento!$E27,Detalhamento!AQ$15)),IF(INDEX(Import.PLE,Detalhamento!$E27,Detalhamento!AQ$15)&lt;=mediçao,OFFSET(Import.PLQ,$A27-1,AQ$15-1,1,1),0),0),PLE!$AA$28*OFFSET(Import.PLQ,$A27-1,AQ$15-1,1,1)),IF($E27&lt;&gt;1,IF(ISNUMBER(INDEX(Import.PLE,Detalhamento!$E27,Detalhamento!AQ$15)),IF(INDEX(Import.PLE,Detalhamento!$E27,Detalhamento!AQ$15)&lt;=mediçao,0,OFFSET(Import.PLQ,$A27-1,AQ$15-1,1,1)),OFFSET(Import.PLQ,$A27-1,AQ$15-1,1,1)),(1-PLE!$AA$28)*OFFSET(Import.PLQ,$A27-1,AQ$15-1,1,1))))</f>
        <v>0</v>
      </c>
      <c r="AR27" s="145">
        <f ca="1">IF(AR$13="",0,CHOOSE(Detalhamento.OpçãoServiços,OFFSET(Import.PLQ,$A27-1,AR$15-1,1,1),IF($E27&lt;&gt;1,IF(ISNUMBER(INDEX(Import.PLE,Detalhamento!$E27,Detalhamento!AR$15)),IF(INDEX(Import.PLE,Detalhamento!$E27,Detalhamento!AR$15)&lt;=mediçao,OFFSET(Import.PLQ,$A27-1,AR$15-1,1,1),0),0),PLE!$AA$28*OFFSET(Import.PLQ,$A27-1,AR$15-1,1,1)),IF($E27&lt;&gt;1,IF(ISNUMBER(INDEX(Import.PLE,Detalhamento!$E27,Detalhamento!AR$15)),IF(INDEX(Import.PLE,Detalhamento!$E27,Detalhamento!AR$15)&lt;=mediçao,0,OFFSET(Import.PLQ,$A27-1,AR$15-1,1,1)),OFFSET(Import.PLQ,$A27-1,AR$15-1,1,1)),(1-PLE!$AA$28)*OFFSET(Import.PLQ,$A27-1,AR$15-1,1,1))))</f>
        <v>0</v>
      </c>
      <c r="AS27" s="145">
        <f ca="1">IF(AS$13="",0,CHOOSE(Detalhamento.OpçãoServiços,OFFSET(Import.PLQ,$A27-1,AS$15-1,1,1),IF($E27&lt;&gt;1,IF(ISNUMBER(INDEX(Import.PLE,Detalhamento!$E27,Detalhamento!AS$15)),IF(INDEX(Import.PLE,Detalhamento!$E27,Detalhamento!AS$15)&lt;=mediçao,OFFSET(Import.PLQ,$A27-1,AS$15-1,1,1),0),0),PLE!$AA$28*OFFSET(Import.PLQ,$A27-1,AS$15-1,1,1)),IF($E27&lt;&gt;1,IF(ISNUMBER(INDEX(Import.PLE,Detalhamento!$E27,Detalhamento!AS$15)),IF(INDEX(Import.PLE,Detalhamento!$E27,Detalhamento!AS$15)&lt;=mediçao,0,OFFSET(Import.PLQ,$A27-1,AS$15-1,1,1)),OFFSET(Import.PLQ,$A27-1,AS$15-1,1,1)),(1-PLE!$AA$28)*OFFSET(Import.PLQ,$A27-1,AS$15-1,1,1))))</f>
        <v>0</v>
      </c>
      <c r="AT27" s="145">
        <f ca="1">IF(AT$13="",0,CHOOSE(Detalhamento.OpçãoServiços,OFFSET(Import.PLQ,$A27-1,AT$15-1,1,1),IF($E27&lt;&gt;1,IF(ISNUMBER(INDEX(Import.PLE,Detalhamento!$E27,Detalhamento!AT$15)),IF(INDEX(Import.PLE,Detalhamento!$E27,Detalhamento!AT$15)&lt;=mediçao,OFFSET(Import.PLQ,$A27-1,AT$15-1,1,1),0),0),PLE!$AA$28*OFFSET(Import.PLQ,$A27-1,AT$15-1,1,1)),IF($E27&lt;&gt;1,IF(ISNUMBER(INDEX(Import.PLE,Detalhamento!$E27,Detalhamento!AT$15)),IF(INDEX(Import.PLE,Detalhamento!$E27,Detalhamento!AT$15)&lt;=mediçao,0,OFFSET(Import.PLQ,$A27-1,AT$15-1,1,1)),OFFSET(Import.PLQ,$A27-1,AT$15-1,1,1)),(1-PLE!$AA$28)*OFFSET(Import.PLQ,$A27-1,AT$15-1,1,1))))</f>
        <v>0</v>
      </c>
      <c r="AU27" s="145">
        <f ca="1">IF(AU$13="",0,CHOOSE(Detalhamento.OpçãoServiços,OFFSET(Import.PLQ,$A27-1,AU$15-1,1,1),IF($E27&lt;&gt;1,IF(ISNUMBER(INDEX(Import.PLE,Detalhamento!$E27,Detalhamento!AU$15)),IF(INDEX(Import.PLE,Detalhamento!$E27,Detalhamento!AU$15)&lt;=mediçao,OFFSET(Import.PLQ,$A27-1,AU$15-1,1,1),0),0),PLE!$AA$28*OFFSET(Import.PLQ,$A27-1,AU$15-1,1,1)),IF($E27&lt;&gt;1,IF(ISNUMBER(INDEX(Import.PLE,Detalhamento!$E27,Detalhamento!AU$15)),IF(INDEX(Import.PLE,Detalhamento!$E27,Detalhamento!AU$15)&lt;=mediçao,0,OFFSET(Import.PLQ,$A27-1,AU$15-1,1,1)),OFFSET(Import.PLQ,$A27-1,AU$15-1,1,1)),(1-PLE!$AA$28)*OFFSET(Import.PLQ,$A27-1,AU$15-1,1,1))))</f>
        <v>0</v>
      </c>
      <c r="AV27" s="145">
        <f ca="1">IF(AV$13="",0,CHOOSE(Detalhamento.OpçãoServiços,OFFSET(Import.PLQ,$A27-1,AV$15-1,1,1),IF($E27&lt;&gt;1,IF(ISNUMBER(INDEX(Import.PLE,Detalhamento!$E27,Detalhamento!AV$15)),IF(INDEX(Import.PLE,Detalhamento!$E27,Detalhamento!AV$15)&lt;=mediçao,OFFSET(Import.PLQ,$A27-1,AV$15-1,1,1),0),0),PLE!$AA$28*OFFSET(Import.PLQ,$A27-1,AV$15-1,1,1)),IF($E27&lt;&gt;1,IF(ISNUMBER(INDEX(Import.PLE,Detalhamento!$E27,Detalhamento!AV$15)),IF(INDEX(Import.PLE,Detalhamento!$E27,Detalhamento!AV$15)&lt;=mediçao,0,OFFSET(Import.PLQ,$A27-1,AV$15-1,1,1)),OFFSET(Import.PLQ,$A27-1,AV$15-1,1,1)),(1-PLE!$AA$28)*OFFSET(Import.PLQ,$A27-1,AV$15-1,1,1))))</f>
        <v>0</v>
      </c>
      <c r="AW27" s="145">
        <f ca="1">IF(AW$13="",0,CHOOSE(Detalhamento.OpçãoServiços,OFFSET(Import.PLQ,$A27-1,AW$15-1,1,1),IF($E27&lt;&gt;1,IF(ISNUMBER(INDEX(Import.PLE,Detalhamento!$E27,Detalhamento!AW$15)),IF(INDEX(Import.PLE,Detalhamento!$E27,Detalhamento!AW$15)&lt;=mediçao,OFFSET(Import.PLQ,$A27-1,AW$15-1,1,1),0),0),PLE!$AA$28*OFFSET(Import.PLQ,$A27-1,AW$15-1,1,1)),IF($E27&lt;&gt;1,IF(ISNUMBER(INDEX(Import.PLE,Detalhamento!$E27,Detalhamento!AW$15)),IF(INDEX(Import.PLE,Detalhamento!$E27,Detalhamento!AW$15)&lt;=mediçao,0,OFFSET(Import.PLQ,$A27-1,AW$15-1,1,1)),OFFSET(Import.PLQ,$A27-1,AW$15-1,1,1)),(1-PLE!$AA$28)*OFFSET(Import.PLQ,$A27-1,AW$15-1,1,1))))</f>
        <v>0</v>
      </c>
      <c r="AX27" s="145">
        <f ca="1">IF(AX$13="",0,CHOOSE(Detalhamento.OpçãoServiços,OFFSET(Import.PLQ,$A27-1,AX$15-1,1,1),IF($E27&lt;&gt;1,IF(ISNUMBER(INDEX(Import.PLE,Detalhamento!$E27,Detalhamento!AX$15)),IF(INDEX(Import.PLE,Detalhamento!$E27,Detalhamento!AX$15)&lt;=mediçao,OFFSET(Import.PLQ,$A27-1,AX$15-1,1,1),0),0),PLE!$AA$28*OFFSET(Import.PLQ,$A27-1,AX$15-1,1,1)),IF($E27&lt;&gt;1,IF(ISNUMBER(INDEX(Import.PLE,Detalhamento!$E27,Detalhamento!AX$15)),IF(INDEX(Import.PLE,Detalhamento!$E27,Detalhamento!AX$15)&lt;=mediçao,0,OFFSET(Import.PLQ,$A27-1,AX$15-1,1,1)),OFFSET(Import.PLQ,$A27-1,AX$15-1,1,1)),(1-PLE!$AA$28)*OFFSET(Import.PLQ,$A27-1,AX$15-1,1,1))))</f>
        <v>0</v>
      </c>
      <c r="AY27" s="145">
        <f ca="1">IF(AY$13="",0,CHOOSE(Detalhamento.OpçãoServiços,OFFSET(Import.PLQ,$A27-1,AY$15-1,1,1),IF($E27&lt;&gt;1,IF(ISNUMBER(INDEX(Import.PLE,Detalhamento!$E27,Detalhamento!AY$15)),IF(INDEX(Import.PLE,Detalhamento!$E27,Detalhamento!AY$15)&lt;=mediçao,OFFSET(Import.PLQ,$A27-1,AY$15-1,1,1),0),0),PLE!$AA$28*OFFSET(Import.PLQ,$A27-1,AY$15-1,1,1)),IF($E27&lt;&gt;1,IF(ISNUMBER(INDEX(Import.PLE,Detalhamento!$E27,Detalhamento!AY$15)),IF(INDEX(Import.PLE,Detalhamento!$E27,Detalhamento!AY$15)&lt;=mediçao,0,OFFSET(Import.PLQ,$A27-1,AY$15-1,1,1)),OFFSET(Import.PLQ,$A27-1,AY$15-1,1,1)),(1-PLE!$AA$28)*OFFSET(Import.PLQ,$A27-1,AY$15-1,1,1))))</f>
        <v>0</v>
      </c>
      <c r="AZ27" s="145">
        <f ca="1">IF(AZ$13="",0,CHOOSE(Detalhamento.OpçãoServiços,OFFSET(Import.PLQ,$A27-1,AZ$15-1,1,1),IF($E27&lt;&gt;1,IF(ISNUMBER(INDEX(Import.PLE,Detalhamento!$E27,Detalhamento!AZ$15)),IF(INDEX(Import.PLE,Detalhamento!$E27,Detalhamento!AZ$15)&lt;=mediçao,OFFSET(Import.PLQ,$A27-1,AZ$15-1,1,1),0),0),PLE!$AA$28*OFFSET(Import.PLQ,$A27-1,AZ$15-1,1,1)),IF($E27&lt;&gt;1,IF(ISNUMBER(INDEX(Import.PLE,Detalhamento!$E27,Detalhamento!AZ$15)),IF(INDEX(Import.PLE,Detalhamento!$E27,Detalhamento!AZ$15)&lt;=mediçao,0,OFFSET(Import.PLQ,$A27-1,AZ$15-1,1,1)),OFFSET(Import.PLQ,$A27-1,AZ$15-1,1,1)),(1-PLE!$AA$28)*OFFSET(Import.PLQ,$A27-1,AZ$15-1,1,1))))</f>
        <v>0</v>
      </c>
      <c r="BA27" s="145">
        <f ca="1">IF(BA$13="",0,CHOOSE(Detalhamento.OpçãoServiços,OFFSET(Import.PLQ,$A27-1,BA$15-1,1,1),IF($E27&lt;&gt;1,IF(ISNUMBER(INDEX(Import.PLE,Detalhamento!$E27,Detalhamento!BA$15)),IF(INDEX(Import.PLE,Detalhamento!$E27,Detalhamento!BA$15)&lt;=mediçao,OFFSET(Import.PLQ,$A27-1,BA$15-1,1,1),0),0),PLE!$AA$28*OFFSET(Import.PLQ,$A27-1,BA$15-1,1,1)),IF($E27&lt;&gt;1,IF(ISNUMBER(INDEX(Import.PLE,Detalhamento!$E27,Detalhamento!BA$15)),IF(INDEX(Import.PLE,Detalhamento!$E27,Detalhamento!BA$15)&lt;=mediçao,0,OFFSET(Import.PLQ,$A27-1,BA$15-1,1,1)),OFFSET(Import.PLQ,$A27-1,BA$15-1,1,1)),(1-PLE!$AA$28)*OFFSET(Import.PLQ,$A27-1,BA$15-1,1,1))))</f>
        <v>0</v>
      </c>
      <c r="BB27" s="145">
        <f ca="1">IF(BB$13="",0,CHOOSE(Detalhamento.OpçãoServiços,OFFSET(Import.PLQ,$A27-1,BB$15-1,1,1),IF($E27&lt;&gt;1,IF(ISNUMBER(INDEX(Import.PLE,Detalhamento!$E27,Detalhamento!BB$15)),IF(INDEX(Import.PLE,Detalhamento!$E27,Detalhamento!BB$15)&lt;=mediçao,OFFSET(Import.PLQ,$A27-1,BB$15-1,1,1),0),0),PLE!$AA$28*OFFSET(Import.PLQ,$A27-1,BB$15-1,1,1)),IF($E27&lt;&gt;1,IF(ISNUMBER(INDEX(Import.PLE,Detalhamento!$E27,Detalhamento!BB$15)),IF(INDEX(Import.PLE,Detalhamento!$E27,Detalhamento!BB$15)&lt;=mediçao,0,OFFSET(Import.PLQ,$A27-1,BB$15-1,1,1)),OFFSET(Import.PLQ,$A27-1,BB$15-1,1,1)),(1-PLE!$AA$28)*OFFSET(Import.PLQ,$A27-1,BB$15-1,1,1))))</f>
        <v>0</v>
      </c>
      <c r="BC27" s="145">
        <f ca="1">IF(BC$13="",0,CHOOSE(Detalhamento.OpçãoServiços,OFFSET(Import.PLQ,$A27-1,BC$15-1,1,1),IF($E27&lt;&gt;1,IF(ISNUMBER(INDEX(Import.PLE,Detalhamento!$E27,Detalhamento!BC$15)),IF(INDEX(Import.PLE,Detalhamento!$E27,Detalhamento!BC$15)&lt;=mediçao,OFFSET(Import.PLQ,$A27-1,BC$15-1,1,1),0),0),PLE!$AA$28*OFFSET(Import.PLQ,$A27-1,BC$15-1,1,1)),IF($E27&lt;&gt;1,IF(ISNUMBER(INDEX(Import.PLE,Detalhamento!$E27,Detalhamento!BC$15)),IF(INDEX(Import.PLE,Detalhamento!$E27,Detalhamento!BC$15)&lt;=mediçao,0,OFFSET(Import.PLQ,$A27-1,BC$15-1,1,1)),OFFSET(Import.PLQ,$A27-1,BC$15-1,1,1)),(1-PLE!$AA$28)*OFFSET(Import.PLQ,$A27-1,BC$15-1,1,1))))</f>
        <v>0</v>
      </c>
      <c r="BD27" s="145">
        <f ca="1">IF(BD$13="",0,CHOOSE(Detalhamento.OpçãoServiços,OFFSET(Import.PLQ,$A27-1,BD$15-1,1,1),IF($E27&lt;&gt;1,IF(ISNUMBER(INDEX(Import.PLE,Detalhamento!$E27,Detalhamento!BD$15)),IF(INDEX(Import.PLE,Detalhamento!$E27,Detalhamento!BD$15)&lt;=mediçao,OFFSET(Import.PLQ,$A27-1,BD$15-1,1,1),0),0),PLE!$AA$28*OFFSET(Import.PLQ,$A27-1,BD$15-1,1,1)),IF($E27&lt;&gt;1,IF(ISNUMBER(INDEX(Import.PLE,Detalhamento!$E27,Detalhamento!BD$15)),IF(INDEX(Import.PLE,Detalhamento!$E27,Detalhamento!BD$15)&lt;=mediçao,0,OFFSET(Import.PLQ,$A27-1,BD$15-1,1,1)),OFFSET(Import.PLQ,$A27-1,BD$15-1,1,1)),(1-PLE!$AA$28)*OFFSET(Import.PLQ,$A27-1,BD$15-1,1,1))))</f>
        <v>0</v>
      </c>
      <c r="BE27" s="145">
        <f ca="1">IF(BE$13="",0,CHOOSE(Detalhamento.OpçãoServiços,OFFSET(Import.PLQ,$A27-1,BE$15-1,1,1),IF($E27&lt;&gt;1,IF(ISNUMBER(INDEX(Import.PLE,Detalhamento!$E27,Detalhamento!BE$15)),IF(INDEX(Import.PLE,Detalhamento!$E27,Detalhamento!BE$15)&lt;=mediçao,OFFSET(Import.PLQ,$A27-1,BE$15-1,1,1),0),0),PLE!$AA$28*OFFSET(Import.PLQ,$A27-1,BE$15-1,1,1)),IF($E27&lt;&gt;1,IF(ISNUMBER(INDEX(Import.PLE,Detalhamento!$E27,Detalhamento!BE$15)),IF(INDEX(Import.PLE,Detalhamento!$E27,Detalhamento!BE$15)&lt;=mediçao,0,OFFSET(Import.PLQ,$A27-1,BE$15-1,1,1)),OFFSET(Import.PLQ,$A27-1,BE$15-1,1,1)),(1-PLE!$AA$28)*OFFSET(Import.PLQ,$A27-1,BE$15-1,1,1))))</f>
        <v>0</v>
      </c>
      <c r="BF27" s="145">
        <f ca="1">IF(BF$13="",0,CHOOSE(Detalhamento.OpçãoServiços,OFFSET(Import.PLQ,$A27-1,BF$15-1,1,1),IF($E27&lt;&gt;1,IF(ISNUMBER(INDEX(Import.PLE,Detalhamento!$E27,Detalhamento!BF$15)),IF(INDEX(Import.PLE,Detalhamento!$E27,Detalhamento!BF$15)&lt;=mediçao,OFFSET(Import.PLQ,$A27-1,BF$15-1,1,1),0),0),PLE!$AA$28*OFFSET(Import.PLQ,$A27-1,BF$15-1,1,1)),IF($E27&lt;&gt;1,IF(ISNUMBER(INDEX(Import.PLE,Detalhamento!$E27,Detalhamento!BF$15)),IF(INDEX(Import.PLE,Detalhamento!$E27,Detalhamento!BF$15)&lt;=mediçao,0,OFFSET(Import.PLQ,$A27-1,BF$15-1,1,1)),OFFSET(Import.PLQ,$A27-1,BF$15-1,1,1)),(1-PLE!$AA$28)*OFFSET(Import.PLQ,$A27-1,BF$15-1,1,1))))</f>
        <v>0</v>
      </c>
      <c r="BG27" s="145">
        <f ca="1">IF(BG$13="",0,CHOOSE(Detalhamento.OpçãoServiços,OFFSET(Import.PLQ,$A27-1,BG$15-1,1,1),IF($E27&lt;&gt;1,IF(ISNUMBER(INDEX(Import.PLE,Detalhamento!$E27,Detalhamento!BG$15)),IF(INDEX(Import.PLE,Detalhamento!$E27,Detalhamento!BG$15)&lt;=mediçao,OFFSET(Import.PLQ,$A27-1,BG$15-1,1,1),0),0),PLE!$AA$28*OFFSET(Import.PLQ,$A27-1,BG$15-1,1,1)),IF($E27&lt;&gt;1,IF(ISNUMBER(INDEX(Import.PLE,Detalhamento!$E27,Detalhamento!BG$15)),IF(INDEX(Import.PLE,Detalhamento!$E27,Detalhamento!BG$15)&lt;=mediçao,0,OFFSET(Import.PLQ,$A27-1,BG$15-1,1,1)),OFFSET(Import.PLQ,$A27-1,BG$15-1,1,1)),(1-PLE!$AA$28)*OFFSET(Import.PLQ,$A27-1,BG$15-1,1,1))))</f>
        <v>0</v>
      </c>
      <c r="BH27" s="145">
        <f ca="1">IF(BH$13="",0,CHOOSE(Detalhamento.OpçãoServiços,OFFSET(Import.PLQ,$A27-1,BH$15-1,1,1),IF($E27&lt;&gt;1,IF(ISNUMBER(INDEX(Import.PLE,Detalhamento!$E27,Detalhamento!BH$15)),IF(INDEX(Import.PLE,Detalhamento!$E27,Detalhamento!BH$15)&lt;=mediçao,OFFSET(Import.PLQ,$A27-1,BH$15-1,1,1),0),0),PLE!$AA$28*OFFSET(Import.PLQ,$A27-1,BH$15-1,1,1)),IF($E27&lt;&gt;1,IF(ISNUMBER(INDEX(Import.PLE,Detalhamento!$E27,Detalhamento!BH$15)),IF(INDEX(Import.PLE,Detalhamento!$E27,Detalhamento!BH$15)&lt;=mediçao,0,OFFSET(Import.PLQ,$A27-1,BH$15-1,1,1)),OFFSET(Import.PLQ,$A27-1,BH$15-1,1,1)),(1-PLE!$AA$28)*OFFSET(Import.PLQ,$A27-1,BH$15-1,1,1))))</f>
        <v>0</v>
      </c>
      <c r="BI27" s="145">
        <f ca="1">IF(BI$13="",0,CHOOSE(Detalhamento.OpçãoServiços,OFFSET(Import.PLQ,$A27-1,BI$15-1,1,1),IF($E27&lt;&gt;1,IF(ISNUMBER(INDEX(Import.PLE,Detalhamento!$E27,Detalhamento!BI$15)),IF(INDEX(Import.PLE,Detalhamento!$E27,Detalhamento!BI$15)&lt;=mediçao,OFFSET(Import.PLQ,$A27-1,BI$15-1,1,1),0),0),PLE!$AA$28*OFFSET(Import.PLQ,$A27-1,BI$15-1,1,1)),IF($E27&lt;&gt;1,IF(ISNUMBER(INDEX(Import.PLE,Detalhamento!$E27,Detalhamento!BI$15)),IF(INDEX(Import.PLE,Detalhamento!$E27,Detalhamento!BI$15)&lt;=mediçao,0,OFFSET(Import.PLQ,$A27-1,BI$15-1,1,1)),OFFSET(Import.PLQ,$A27-1,BI$15-1,1,1)),(1-PLE!$AA$28)*OFFSET(Import.PLQ,$A27-1,BI$15-1,1,1))))</f>
        <v>0</v>
      </c>
    </row>
    <row r="28" spans="1:61" ht="22.5" x14ac:dyDescent="0.2">
      <c r="A28" s="156">
        <v>9</v>
      </c>
      <c r="B28" s="21" t="str">
        <f t="shared" ca="1" si="8"/>
        <v>Serviço</v>
      </c>
      <c r="E28" s="154">
        <f t="shared" ca="1" si="9"/>
        <v>2</v>
      </c>
      <c r="F28" s="155">
        <f t="shared" ca="1" si="10"/>
        <v>20009</v>
      </c>
      <c r="G28" s="155" t="str">
        <f t="shared" ca="1" si="11"/>
        <v>3.3</v>
      </c>
      <c r="H28" s="183" t="str">
        <f t="shared" ca="1" si="11"/>
        <v>Revestimento em paralelepipedo inclusive colchão de areia rejuntado no traço 1:3 (Cimento e areia)</v>
      </c>
      <c r="I28" s="37" t="str">
        <f t="shared" ca="1" si="12"/>
        <v>m²</v>
      </c>
      <c r="J28" s="145">
        <f t="shared" ca="1" si="13"/>
        <v>5349.12</v>
      </c>
      <c r="K28" s="67"/>
      <c r="L28" s="145">
        <f ca="1">IF(L$13="",0,CHOOSE(Detalhamento.OpçãoServiços,OFFSET(Import.PLQ,$A28-1,L$15-1,1,1),IF($E28&lt;&gt;1,IF(ISNUMBER(INDEX(Import.PLE,Detalhamento!$E28,Detalhamento!L$15)),IF(INDEX(Import.PLE,Detalhamento!$E28,Detalhamento!L$15)&lt;=mediçao,OFFSET(Import.PLQ,$A28-1,L$15-1,1,1),0),0),PLE!$AA$28*OFFSET(Import.PLQ,$A28-1,L$15-1,1,1)),IF($E28&lt;&gt;1,IF(ISNUMBER(INDEX(Import.PLE,Detalhamento!$E28,Detalhamento!L$15)),IF(INDEX(Import.PLE,Detalhamento!$E28,Detalhamento!L$15)&lt;=mediçao,0,OFFSET(Import.PLQ,$A28-1,L$15-1,1,1)),OFFSET(Import.PLQ,$A28-1,L$15-1,1,1)),(1-PLE!$AA$28)*OFFSET(Import.PLQ,$A28-1,L$15-1,1,1))))</f>
        <v>1102.8499999999999</v>
      </c>
      <c r="M28" s="145">
        <f ca="1">IF(M$13="",0,CHOOSE(Detalhamento.OpçãoServiços,OFFSET(Import.PLQ,$A28-1,M$15-1,1,1),IF($E28&lt;&gt;1,IF(ISNUMBER(INDEX(Import.PLE,Detalhamento!$E28,Detalhamento!M$15)),IF(INDEX(Import.PLE,Detalhamento!$E28,Detalhamento!M$15)&lt;=mediçao,OFFSET(Import.PLQ,$A28-1,M$15-1,1,1),0),0),PLE!$AA$28*OFFSET(Import.PLQ,$A28-1,M$15-1,1,1)),IF($E28&lt;&gt;1,IF(ISNUMBER(INDEX(Import.PLE,Detalhamento!$E28,Detalhamento!M$15)),IF(INDEX(Import.PLE,Detalhamento!$E28,Detalhamento!M$15)&lt;=mediçao,0,OFFSET(Import.PLQ,$A28-1,M$15-1,1,1)),OFFSET(Import.PLQ,$A28-1,M$15-1,1,1)),(1-PLE!$AA$28)*OFFSET(Import.PLQ,$A28-1,M$15-1,1,1))))</f>
        <v>452.76</v>
      </c>
      <c r="N28" s="145">
        <f ca="1">IF(N$13="",0,CHOOSE(Detalhamento.OpçãoServiços,OFFSET(Import.PLQ,$A28-1,N$15-1,1,1),IF($E28&lt;&gt;1,IF(ISNUMBER(INDEX(Import.PLE,Detalhamento!$E28,Detalhamento!N$15)),IF(INDEX(Import.PLE,Detalhamento!$E28,Detalhamento!N$15)&lt;=mediçao,OFFSET(Import.PLQ,$A28-1,N$15-1,1,1),0),0),PLE!$AA$28*OFFSET(Import.PLQ,$A28-1,N$15-1,1,1)),IF($E28&lt;&gt;1,IF(ISNUMBER(INDEX(Import.PLE,Detalhamento!$E28,Detalhamento!N$15)),IF(INDEX(Import.PLE,Detalhamento!$E28,Detalhamento!N$15)&lt;=mediçao,0,OFFSET(Import.PLQ,$A28-1,N$15-1,1,1)),OFFSET(Import.PLQ,$A28-1,N$15-1,1,1)),(1-PLE!$AA$28)*OFFSET(Import.PLQ,$A28-1,N$15-1,1,1))))</f>
        <v>727.62</v>
      </c>
      <c r="O28" s="145">
        <f ca="1">IF(O$13="",0,CHOOSE(Detalhamento.OpçãoServiços,OFFSET(Import.PLQ,$A28-1,O$15-1,1,1),IF($E28&lt;&gt;1,IF(ISNUMBER(INDEX(Import.PLE,Detalhamento!$E28,Detalhamento!O$15)),IF(INDEX(Import.PLE,Detalhamento!$E28,Detalhamento!O$15)&lt;=mediçao,OFFSET(Import.PLQ,$A28-1,O$15-1,1,1),0),0),PLE!$AA$28*OFFSET(Import.PLQ,$A28-1,O$15-1,1,1)),IF($E28&lt;&gt;1,IF(ISNUMBER(INDEX(Import.PLE,Detalhamento!$E28,Detalhamento!O$15)),IF(INDEX(Import.PLE,Detalhamento!$E28,Detalhamento!O$15)&lt;=mediçao,0,OFFSET(Import.PLQ,$A28-1,O$15-1,1,1)),OFFSET(Import.PLQ,$A28-1,O$15-1,1,1)),(1-PLE!$AA$28)*OFFSET(Import.PLQ,$A28-1,O$15-1,1,1))))</f>
        <v>1032.9000000000001</v>
      </c>
      <c r="P28" s="145">
        <f ca="1">IF(P$13="",0,CHOOSE(Detalhamento.OpçãoServiços,OFFSET(Import.PLQ,$A28-1,P$15-1,1,1),IF($E28&lt;&gt;1,IF(ISNUMBER(INDEX(Import.PLE,Detalhamento!$E28,Detalhamento!P$15)),IF(INDEX(Import.PLE,Detalhamento!$E28,Detalhamento!P$15)&lt;=mediçao,OFFSET(Import.PLQ,$A28-1,P$15-1,1,1),0),0),PLE!$AA$28*OFFSET(Import.PLQ,$A28-1,P$15-1,1,1)),IF($E28&lt;&gt;1,IF(ISNUMBER(INDEX(Import.PLE,Detalhamento!$E28,Detalhamento!P$15)),IF(INDEX(Import.PLE,Detalhamento!$E28,Detalhamento!P$15)&lt;=mediçao,0,OFFSET(Import.PLQ,$A28-1,P$15-1,1,1)),OFFSET(Import.PLQ,$A28-1,P$15-1,1,1)),(1-PLE!$AA$28)*OFFSET(Import.PLQ,$A28-1,P$15-1,1,1))))</f>
        <v>390.01</v>
      </c>
      <c r="Q28" s="145">
        <f ca="1">IF(Q$13="",0,CHOOSE(Detalhamento.OpçãoServiços,OFFSET(Import.PLQ,$A28-1,Q$15-1,1,1),IF($E28&lt;&gt;1,IF(ISNUMBER(INDEX(Import.PLE,Detalhamento!$E28,Detalhamento!Q$15)),IF(INDEX(Import.PLE,Detalhamento!$E28,Detalhamento!Q$15)&lt;=mediçao,OFFSET(Import.PLQ,$A28-1,Q$15-1,1,1),0),0),PLE!$AA$28*OFFSET(Import.PLQ,$A28-1,Q$15-1,1,1)),IF($E28&lt;&gt;1,IF(ISNUMBER(INDEX(Import.PLE,Detalhamento!$E28,Detalhamento!Q$15)),IF(INDEX(Import.PLE,Detalhamento!$E28,Detalhamento!Q$15)&lt;=mediçao,0,OFFSET(Import.PLQ,$A28-1,Q$15-1,1,1)),OFFSET(Import.PLQ,$A28-1,Q$15-1,1,1)),(1-PLE!$AA$28)*OFFSET(Import.PLQ,$A28-1,Q$15-1,1,1))))</f>
        <v>733.74</v>
      </c>
      <c r="R28" s="145">
        <f ca="1">IF(R$13="",0,CHOOSE(Detalhamento.OpçãoServiços,OFFSET(Import.PLQ,$A28-1,R$15-1,1,1),IF($E28&lt;&gt;1,IF(ISNUMBER(INDEX(Import.PLE,Detalhamento!$E28,Detalhamento!R$15)),IF(INDEX(Import.PLE,Detalhamento!$E28,Detalhamento!R$15)&lt;=mediçao,OFFSET(Import.PLQ,$A28-1,R$15-1,1,1),0),0),PLE!$AA$28*OFFSET(Import.PLQ,$A28-1,R$15-1,1,1)),IF($E28&lt;&gt;1,IF(ISNUMBER(INDEX(Import.PLE,Detalhamento!$E28,Detalhamento!R$15)),IF(INDEX(Import.PLE,Detalhamento!$E28,Detalhamento!R$15)&lt;=mediçao,0,OFFSET(Import.PLQ,$A28-1,R$15-1,1,1)),OFFSET(Import.PLQ,$A28-1,R$15-1,1,1)),(1-PLE!$AA$28)*OFFSET(Import.PLQ,$A28-1,R$15-1,1,1))))</f>
        <v>523.79999999999995</v>
      </c>
      <c r="S28" s="145">
        <f ca="1">IF(S$13="",0,CHOOSE(Detalhamento.OpçãoServiços,OFFSET(Import.PLQ,$A28-1,S$15-1,1,1),IF($E28&lt;&gt;1,IF(ISNUMBER(INDEX(Import.PLE,Detalhamento!$E28,Detalhamento!S$15)),IF(INDEX(Import.PLE,Detalhamento!$E28,Detalhamento!S$15)&lt;=mediçao,OFFSET(Import.PLQ,$A28-1,S$15-1,1,1),0),0),PLE!$AA$28*OFFSET(Import.PLQ,$A28-1,S$15-1,1,1)),IF($E28&lt;&gt;1,IF(ISNUMBER(INDEX(Import.PLE,Detalhamento!$E28,Detalhamento!S$15)),IF(INDEX(Import.PLE,Detalhamento!$E28,Detalhamento!S$15)&lt;=mediçao,0,OFFSET(Import.PLQ,$A28-1,S$15-1,1,1)),OFFSET(Import.PLQ,$A28-1,S$15-1,1,1)),(1-PLE!$AA$28)*OFFSET(Import.PLQ,$A28-1,S$15-1,1,1))))</f>
        <v>385.44</v>
      </c>
      <c r="T28" s="145">
        <f ca="1">IF(T$13="",0,CHOOSE(Detalhamento.OpçãoServiços,OFFSET(Import.PLQ,$A28-1,T$15-1,1,1),IF($E28&lt;&gt;1,IF(ISNUMBER(INDEX(Import.PLE,Detalhamento!$E28,Detalhamento!T$15)),IF(INDEX(Import.PLE,Detalhamento!$E28,Detalhamento!T$15)&lt;=mediçao,OFFSET(Import.PLQ,$A28-1,T$15-1,1,1),0),0),PLE!$AA$28*OFFSET(Import.PLQ,$A28-1,T$15-1,1,1)),IF($E28&lt;&gt;1,IF(ISNUMBER(INDEX(Import.PLE,Detalhamento!$E28,Detalhamento!T$15)),IF(INDEX(Import.PLE,Detalhamento!$E28,Detalhamento!T$15)&lt;=mediçao,0,OFFSET(Import.PLQ,$A28-1,T$15-1,1,1)),OFFSET(Import.PLQ,$A28-1,T$15-1,1,1)),(1-PLE!$AA$28)*OFFSET(Import.PLQ,$A28-1,T$15-1,1,1))))</f>
        <v>0</v>
      </c>
      <c r="U28" s="145">
        <f ca="1">IF(U$13="",0,CHOOSE(Detalhamento.OpçãoServiços,OFFSET(Import.PLQ,$A28-1,U$15-1,1,1),IF($E28&lt;&gt;1,IF(ISNUMBER(INDEX(Import.PLE,Detalhamento!$E28,Detalhamento!U$15)),IF(INDEX(Import.PLE,Detalhamento!$E28,Detalhamento!U$15)&lt;=mediçao,OFFSET(Import.PLQ,$A28-1,U$15-1,1,1),0),0),PLE!$AA$28*OFFSET(Import.PLQ,$A28-1,U$15-1,1,1)),IF($E28&lt;&gt;1,IF(ISNUMBER(INDEX(Import.PLE,Detalhamento!$E28,Detalhamento!U$15)),IF(INDEX(Import.PLE,Detalhamento!$E28,Detalhamento!U$15)&lt;=mediçao,0,OFFSET(Import.PLQ,$A28-1,U$15-1,1,1)),OFFSET(Import.PLQ,$A28-1,U$15-1,1,1)),(1-PLE!$AA$28)*OFFSET(Import.PLQ,$A28-1,U$15-1,1,1))))</f>
        <v>0</v>
      </c>
      <c r="V28" s="145">
        <f ca="1">IF(V$13="",0,CHOOSE(Detalhamento.OpçãoServiços,OFFSET(Import.PLQ,$A28-1,V$15-1,1,1),IF($E28&lt;&gt;1,IF(ISNUMBER(INDEX(Import.PLE,Detalhamento!$E28,Detalhamento!V$15)),IF(INDEX(Import.PLE,Detalhamento!$E28,Detalhamento!V$15)&lt;=mediçao,OFFSET(Import.PLQ,$A28-1,V$15-1,1,1),0),0),PLE!$AA$28*OFFSET(Import.PLQ,$A28-1,V$15-1,1,1)),IF($E28&lt;&gt;1,IF(ISNUMBER(INDEX(Import.PLE,Detalhamento!$E28,Detalhamento!V$15)),IF(INDEX(Import.PLE,Detalhamento!$E28,Detalhamento!V$15)&lt;=mediçao,0,OFFSET(Import.PLQ,$A28-1,V$15-1,1,1)),OFFSET(Import.PLQ,$A28-1,V$15-1,1,1)),(1-PLE!$AA$28)*OFFSET(Import.PLQ,$A28-1,V$15-1,1,1))))</f>
        <v>0</v>
      </c>
      <c r="W28" s="145">
        <f ca="1">IF(W$13="",0,CHOOSE(Detalhamento.OpçãoServiços,OFFSET(Import.PLQ,$A28-1,W$15-1,1,1),IF($E28&lt;&gt;1,IF(ISNUMBER(INDEX(Import.PLE,Detalhamento!$E28,Detalhamento!W$15)),IF(INDEX(Import.PLE,Detalhamento!$E28,Detalhamento!W$15)&lt;=mediçao,OFFSET(Import.PLQ,$A28-1,W$15-1,1,1),0),0),PLE!$AA$28*OFFSET(Import.PLQ,$A28-1,W$15-1,1,1)),IF($E28&lt;&gt;1,IF(ISNUMBER(INDEX(Import.PLE,Detalhamento!$E28,Detalhamento!W$15)),IF(INDEX(Import.PLE,Detalhamento!$E28,Detalhamento!W$15)&lt;=mediçao,0,OFFSET(Import.PLQ,$A28-1,W$15-1,1,1)),OFFSET(Import.PLQ,$A28-1,W$15-1,1,1)),(1-PLE!$AA$28)*OFFSET(Import.PLQ,$A28-1,W$15-1,1,1))))</f>
        <v>0</v>
      </c>
      <c r="X28" s="145">
        <f ca="1">IF(X$13="",0,CHOOSE(Detalhamento.OpçãoServiços,OFFSET(Import.PLQ,$A28-1,X$15-1,1,1),IF($E28&lt;&gt;1,IF(ISNUMBER(INDEX(Import.PLE,Detalhamento!$E28,Detalhamento!X$15)),IF(INDEX(Import.PLE,Detalhamento!$E28,Detalhamento!X$15)&lt;=mediçao,OFFSET(Import.PLQ,$A28-1,X$15-1,1,1),0),0),PLE!$AA$28*OFFSET(Import.PLQ,$A28-1,X$15-1,1,1)),IF($E28&lt;&gt;1,IF(ISNUMBER(INDEX(Import.PLE,Detalhamento!$E28,Detalhamento!X$15)),IF(INDEX(Import.PLE,Detalhamento!$E28,Detalhamento!X$15)&lt;=mediçao,0,OFFSET(Import.PLQ,$A28-1,X$15-1,1,1)),OFFSET(Import.PLQ,$A28-1,X$15-1,1,1)),(1-PLE!$AA$28)*OFFSET(Import.PLQ,$A28-1,X$15-1,1,1))))</f>
        <v>0</v>
      </c>
      <c r="Y28" s="145">
        <f ca="1">IF(Y$13="",0,CHOOSE(Detalhamento.OpçãoServiços,OFFSET(Import.PLQ,$A28-1,Y$15-1,1,1),IF($E28&lt;&gt;1,IF(ISNUMBER(INDEX(Import.PLE,Detalhamento!$E28,Detalhamento!Y$15)),IF(INDEX(Import.PLE,Detalhamento!$E28,Detalhamento!Y$15)&lt;=mediçao,OFFSET(Import.PLQ,$A28-1,Y$15-1,1,1),0),0),PLE!$AA$28*OFFSET(Import.PLQ,$A28-1,Y$15-1,1,1)),IF($E28&lt;&gt;1,IF(ISNUMBER(INDEX(Import.PLE,Detalhamento!$E28,Detalhamento!Y$15)),IF(INDEX(Import.PLE,Detalhamento!$E28,Detalhamento!Y$15)&lt;=mediçao,0,OFFSET(Import.PLQ,$A28-1,Y$15-1,1,1)),OFFSET(Import.PLQ,$A28-1,Y$15-1,1,1)),(1-PLE!$AA$28)*OFFSET(Import.PLQ,$A28-1,Y$15-1,1,1))))</f>
        <v>0</v>
      </c>
      <c r="Z28" s="145">
        <f ca="1">IF(Z$13="",0,CHOOSE(Detalhamento.OpçãoServiços,OFFSET(Import.PLQ,$A28-1,Z$15-1,1,1),IF($E28&lt;&gt;1,IF(ISNUMBER(INDEX(Import.PLE,Detalhamento!$E28,Detalhamento!Z$15)),IF(INDEX(Import.PLE,Detalhamento!$E28,Detalhamento!Z$15)&lt;=mediçao,OFFSET(Import.PLQ,$A28-1,Z$15-1,1,1),0),0),PLE!$AA$28*OFFSET(Import.PLQ,$A28-1,Z$15-1,1,1)),IF($E28&lt;&gt;1,IF(ISNUMBER(INDEX(Import.PLE,Detalhamento!$E28,Detalhamento!Z$15)),IF(INDEX(Import.PLE,Detalhamento!$E28,Detalhamento!Z$15)&lt;=mediçao,0,OFFSET(Import.PLQ,$A28-1,Z$15-1,1,1)),OFFSET(Import.PLQ,$A28-1,Z$15-1,1,1)),(1-PLE!$AA$28)*OFFSET(Import.PLQ,$A28-1,Z$15-1,1,1))))</f>
        <v>0</v>
      </c>
      <c r="AA28" s="145">
        <f ca="1">IF(AA$13="",0,CHOOSE(Detalhamento.OpçãoServiços,OFFSET(Import.PLQ,$A28-1,AA$15-1,1,1),IF($E28&lt;&gt;1,IF(ISNUMBER(INDEX(Import.PLE,Detalhamento!$E28,Detalhamento!AA$15)),IF(INDEX(Import.PLE,Detalhamento!$E28,Detalhamento!AA$15)&lt;=mediçao,OFFSET(Import.PLQ,$A28-1,AA$15-1,1,1),0),0),PLE!$AA$28*OFFSET(Import.PLQ,$A28-1,AA$15-1,1,1)),IF($E28&lt;&gt;1,IF(ISNUMBER(INDEX(Import.PLE,Detalhamento!$E28,Detalhamento!AA$15)),IF(INDEX(Import.PLE,Detalhamento!$E28,Detalhamento!AA$15)&lt;=mediçao,0,OFFSET(Import.PLQ,$A28-1,AA$15-1,1,1)),OFFSET(Import.PLQ,$A28-1,AA$15-1,1,1)),(1-PLE!$AA$28)*OFFSET(Import.PLQ,$A28-1,AA$15-1,1,1))))</f>
        <v>0</v>
      </c>
      <c r="AB28" s="145">
        <f ca="1">IF(AB$13="",0,CHOOSE(Detalhamento.OpçãoServiços,OFFSET(Import.PLQ,$A28-1,AB$15-1,1,1),IF($E28&lt;&gt;1,IF(ISNUMBER(INDEX(Import.PLE,Detalhamento!$E28,Detalhamento!AB$15)),IF(INDEX(Import.PLE,Detalhamento!$E28,Detalhamento!AB$15)&lt;=mediçao,OFFSET(Import.PLQ,$A28-1,AB$15-1,1,1),0),0),PLE!$AA$28*OFFSET(Import.PLQ,$A28-1,AB$15-1,1,1)),IF($E28&lt;&gt;1,IF(ISNUMBER(INDEX(Import.PLE,Detalhamento!$E28,Detalhamento!AB$15)),IF(INDEX(Import.PLE,Detalhamento!$E28,Detalhamento!AB$15)&lt;=mediçao,0,OFFSET(Import.PLQ,$A28-1,AB$15-1,1,1)),OFFSET(Import.PLQ,$A28-1,AB$15-1,1,1)),(1-PLE!$AA$28)*OFFSET(Import.PLQ,$A28-1,AB$15-1,1,1))))</f>
        <v>0</v>
      </c>
      <c r="AC28" s="145">
        <f ca="1">IF(AC$13="",0,CHOOSE(Detalhamento.OpçãoServiços,OFFSET(Import.PLQ,$A28-1,AC$15-1,1,1),IF($E28&lt;&gt;1,IF(ISNUMBER(INDEX(Import.PLE,Detalhamento!$E28,Detalhamento!AC$15)),IF(INDEX(Import.PLE,Detalhamento!$E28,Detalhamento!AC$15)&lt;=mediçao,OFFSET(Import.PLQ,$A28-1,AC$15-1,1,1),0),0),PLE!$AA$28*OFFSET(Import.PLQ,$A28-1,AC$15-1,1,1)),IF($E28&lt;&gt;1,IF(ISNUMBER(INDEX(Import.PLE,Detalhamento!$E28,Detalhamento!AC$15)),IF(INDEX(Import.PLE,Detalhamento!$E28,Detalhamento!AC$15)&lt;=mediçao,0,OFFSET(Import.PLQ,$A28-1,AC$15-1,1,1)),OFFSET(Import.PLQ,$A28-1,AC$15-1,1,1)),(1-PLE!$AA$28)*OFFSET(Import.PLQ,$A28-1,AC$15-1,1,1))))</f>
        <v>0</v>
      </c>
      <c r="AD28" s="145">
        <f ca="1">IF(AD$13="",0,CHOOSE(Detalhamento.OpçãoServiços,OFFSET(Import.PLQ,$A28-1,AD$15-1,1,1),IF($E28&lt;&gt;1,IF(ISNUMBER(INDEX(Import.PLE,Detalhamento!$E28,Detalhamento!AD$15)),IF(INDEX(Import.PLE,Detalhamento!$E28,Detalhamento!AD$15)&lt;=mediçao,OFFSET(Import.PLQ,$A28-1,AD$15-1,1,1),0),0),PLE!$AA$28*OFFSET(Import.PLQ,$A28-1,AD$15-1,1,1)),IF($E28&lt;&gt;1,IF(ISNUMBER(INDEX(Import.PLE,Detalhamento!$E28,Detalhamento!AD$15)),IF(INDEX(Import.PLE,Detalhamento!$E28,Detalhamento!AD$15)&lt;=mediçao,0,OFFSET(Import.PLQ,$A28-1,AD$15-1,1,1)),OFFSET(Import.PLQ,$A28-1,AD$15-1,1,1)),(1-PLE!$AA$28)*OFFSET(Import.PLQ,$A28-1,AD$15-1,1,1))))</f>
        <v>0</v>
      </c>
      <c r="AE28" s="145">
        <f ca="1">IF(AE$13="",0,CHOOSE(Detalhamento.OpçãoServiços,OFFSET(Import.PLQ,$A28-1,AE$15-1,1,1),IF($E28&lt;&gt;1,IF(ISNUMBER(INDEX(Import.PLE,Detalhamento!$E28,Detalhamento!AE$15)),IF(INDEX(Import.PLE,Detalhamento!$E28,Detalhamento!AE$15)&lt;=mediçao,OFFSET(Import.PLQ,$A28-1,AE$15-1,1,1),0),0),PLE!$AA$28*OFFSET(Import.PLQ,$A28-1,AE$15-1,1,1)),IF($E28&lt;&gt;1,IF(ISNUMBER(INDEX(Import.PLE,Detalhamento!$E28,Detalhamento!AE$15)),IF(INDEX(Import.PLE,Detalhamento!$E28,Detalhamento!AE$15)&lt;=mediçao,0,OFFSET(Import.PLQ,$A28-1,AE$15-1,1,1)),OFFSET(Import.PLQ,$A28-1,AE$15-1,1,1)),(1-PLE!$AA$28)*OFFSET(Import.PLQ,$A28-1,AE$15-1,1,1))))</f>
        <v>0</v>
      </c>
      <c r="AF28" s="145">
        <f ca="1">IF(AF$13="",0,CHOOSE(Detalhamento.OpçãoServiços,OFFSET(Import.PLQ,$A28-1,AF$15-1,1,1),IF($E28&lt;&gt;1,IF(ISNUMBER(INDEX(Import.PLE,Detalhamento!$E28,Detalhamento!AF$15)),IF(INDEX(Import.PLE,Detalhamento!$E28,Detalhamento!AF$15)&lt;=mediçao,OFFSET(Import.PLQ,$A28-1,AF$15-1,1,1),0),0),PLE!$AA$28*OFFSET(Import.PLQ,$A28-1,AF$15-1,1,1)),IF($E28&lt;&gt;1,IF(ISNUMBER(INDEX(Import.PLE,Detalhamento!$E28,Detalhamento!AF$15)),IF(INDEX(Import.PLE,Detalhamento!$E28,Detalhamento!AF$15)&lt;=mediçao,0,OFFSET(Import.PLQ,$A28-1,AF$15-1,1,1)),OFFSET(Import.PLQ,$A28-1,AF$15-1,1,1)),(1-PLE!$AA$28)*OFFSET(Import.PLQ,$A28-1,AF$15-1,1,1))))</f>
        <v>0</v>
      </c>
      <c r="AG28" s="145">
        <f ca="1">IF(AG$13="",0,CHOOSE(Detalhamento.OpçãoServiços,OFFSET(Import.PLQ,$A28-1,AG$15-1,1,1),IF($E28&lt;&gt;1,IF(ISNUMBER(INDEX(Import.PLE,Detalhamento!$E28,Detalhamento!AG$15)),IF(INDEX(Import.PLE,Detalhamento!$E28,Detalhamento!AG$15)&lt;=mediçao,OFFSET(Import.PLQ,$A28-1,AG$15-1,1,1),0),0),PLE!$AA$28*OFFSET(Import.PLQ,$A28-1,AG$15-1,1,1)),IF($E28&lt;&gt;1,IF(ISNUMBER(INDEX(Import.PLE,Detalhamento!$E28,Detalhamento!AG$15)),IF(INDEX(Import.PLE,Detalhamento!$E28,Detalhamento!AG$15)&lt;=mediçao,0,OFFSET(Import.PLQ,$A28-1,AG$15-1,1,1)),OFFSET(Import.PLQ,$A28-1,AG$15-1,1,1)),(1-PLE!$AA$28)*OFFSET(Import.PLQ,$A28-1,AG$15-1,1,1))))</f>
        <v>0</v>
      </c>
      <c r="AH28" s="145">
        <f ca="1">IF(AH$13="",0,CHOOSE(Detalhamento.OpçãoServiços,OFFSET(Import.PLQ,$A28-1,AH$15-1,1,1),IF($E28&lt;&gt;1,IF(ISNUMBER(INDEX(Import.PLE,Detalhamento!$E28,Detalhamento!AH$15)),IF(INDEX(Import.PLE,Detalhamento!$E28,Detalhamento!AH$15)&lt;=mediçao,OFFSET(Import.PLQ,$A28-1,AH$15-1,1,1),0),0),PLE!$AA$28*OFFSET(Import.PLQ,$A28-1,AH$15-1,1,1)),IF($E28&lt;&gt;1,IF(ISNUMBER(INDEX(Import.PLE,Detalhamento!$E28,Detalhamento!AH$15)),IF(INDEX(Import.PLE,Detalhamento!$E28,Detalhamento!AH$15)&lt;=mediçao,0,OFFSET(Import.PLQ,$A28-1,AH$15-1,1,1)),OFFSET(Import.PLQ,$A28-1,AH$15-1,1,1)),(1-PLE!$AA$28)*OFFSET(Import.PLQ,$A28-1,AH$15-1,1,1))))</f>
        <v>0</v>
      </c>
      <c r="AI28" s="145">
        <f ca="1">IF(AI$13="",0,CHOOSE(Detalhamento.OpçãoServiços,OFFSET(Import.PLQ,$A28-1,AI$15-1,1,1),IF($E28&lt;&gt;1,IF(ISNUMBER(INDEX(Import.PLE,Detalhamento!$E28,Detalhamento!AI$15)),IF(INDEX(Import.PLE,Detalhamento!$E28,Detalhamento!AI$15)&lt;=mediçao,OFFSET(Import.PLQ,$A28-1,AI$15-1,1,1),0),0),PLE!$AA$28*OFFSET(Import.PLQ,$A28-1,AI$15-1,1,1)),IF($E28&lt;&gt;1,IF(ISNUMBER(INDEX(Import.PLE,Detalhamento!$E28,Detalhamento!AI$15)),IF(INDEX(Import.PLE,Detalhamento!$E28,Detalhamento!AI$15)&lt;=mediçao,0,OFFSET(Import.PLQ,$A28-1,AI$15-1,1,1)),OFFSET(Import.PLQ,$A28-1,AI$15-1,1,1)),(1-PLE!$AA$28)*OFFSET(Import.PLQ,$A28-1,AI$15-1,1,1))))</f>
        <v>0</v>
      </c>
      <c r="AJ28" s="145">
        <f ca="1">IF(AJ$13="",0,CHOOSE(Detalhamento.OpçãoServiços,OFFSET(Import.PLQ,$A28-1,AJ$15-1,1,1),IF($E28&lt;&gt;1,IF(ISNUMBER(INDEX(Import.PLE,Detalhamento!$E28,Detalhamento!AJ$15)),IF(INDEX(Import.PLE,Detalhamento!$E28,Detalhamento!AJ$15)&lt;=mediçao,OFFSET(Import.PLQ,$A28-1,AJ$15-1,1,1),0),0),PLE!$AA$28*OFFSET(Import.PLQ,$A28-1,AJ$15-1,1,1)),IF($E28&lt;&gt;1,IF(ISNUMBER(INDEX(Import.PLE,Detalhamento!$E28,Detalhamento!AJ$15)),IF(INDEX(Import.PLE,Detalhamento!$E28,Detalhamento!AJ$15)&lt;=mediçao,0,OFFSET(Import.PLQ,$A28-1,AJ$15-1,1,1)),OFFSET(Import.PLQ,$A28-1,AJ$15-1,1,1)),(1-PLE!$AA$28)*OFFSET(Import.PLQ,$A28-1,AJ$15-1,1,1))))</f>
        <v>0</v>
      </c>
      <c r="AK28" s="145">
        <f ca="1">IF(AK$13="",0,CHOOSE(Detalhamento.OpçãoServiços,OFFSET(Import.PLQ,$A28-1,AK$15-1,1,1),IF($E28&lt;&gt;1,IF(ISNUMBER(INDEX(Import.PLE,Detalhamento!$E28,Detalhamento!AK$15)),IF(INDEX(Import.PLE,Detalhamento!$E28,Detalhamento!AK$15)&lt;=mediçao,OFFSET(Import.PLQ,$A28-1,AK$15-1,1,1),0),0),PLE!$AA$28*OFFSET(Import.PLQ,$A28-1,AK$15-1,1,1)),IF($E28&lt;&gt;1,IF(ISNUMBER(INDEX(Import.PLE,Detalhamento!$E28,Detalhamento!AK$15)),IF(INDEX(Import.PLE,Detalhamento!$E28,Detalhamento!AK$15)&lt;=mediçao,0,OFFSET(Import.PLQ,$A28-1,AK$15-1,1,1)),OFFSET(Import.PLQ,$A28-1,AK$15-1,1,1)),(1-PLE!$AA$28)*OFFSET(Import.PLQ,$A28-1,AK$15-1,1,1))))</f>
        <v>0</v>
      </c>
      <c r="AL28" s="145">
        <f ca="1">IF(AL$13="",0,CHOOSE(Detalhamento.OpçãoServiços,OFFSET(Import.PLQ,$A28-1,AL$15-1,1,1),IF($E28&lt;&gt;1,IF(ISNUMBER(INDEX(Import.PLE,Detalhamento!$E28,Detalhamento!AL$15)),IF(INDEX(Import.PLE,Detalhamento!$E28,Detalhamento!AL$15)&lt;=mediçao,OFFSET(Import.PLQ,$A28-1,AL$15-1,1,1),0),0),PLE!$AA$28*OFFSET(Import.PLQ,$A28-1,AL$15-1,1,1)),IF($E28&lt;&gt;1,IF(ISNUMBER(INDEX(Import.PLE,Detalhamento!$E28,Detalhamento!AL$15)),IF(INDEX(Import.PLE,Detalhamento!$E28,Detalhamento!AL$15)&lt;=mediçao,0,OFFSET(Import.PLQ,$A28-1,AL$15-1,1,1)),OFFSET(Import.PLQ,$A28-1,AL$15-1,1,1)),(1-PLE!$AA$28)*OFFSET(Import.PLQ,$A28-1,AL$15-1,1,1))))</f>
        <v>0</v>
      </c>
      <c r="AM28" s="145">
        <f ca="1">IF(AM$13="",0,CHOOSE(Detalhamento.OpçãoServiços,OFFSET(Import.PLQ,$A28-1,AM$15-1,1,1),IF($E28&lt;&gt;1,IF(ISNUMBER(INDEX(Import.PLE,Detalhamento!$E28,Detalhamento!AM$15)),IF(INDEX(Import.PLE,Detalhamento!$E28,Detalhamento!AM$15)&lt;=mediçao,OFFSET(Import.PLQ,$A28-1,AM$15-1,1,1),0),0),PLE!$AA$28*OFFSET(Import.PLQ,$A28-1,AM$15-1,1,1)),IF($E28&lt;&gt;1,IF(ISNUMBER(INDEX(Import.PLE,Detalhamento!$E28,Detalhamento!AM$15)),IF(INDEX(Import.PLE,Detalhamento!$E28,Detalhamento!AM$15)&lt;=mediçao,0,OFFSET(Import.PLQ,$A28-1,AM$15-1,1,1)),OFFSET(Import.PLQ,$A28-1,AM$15-1,1,1)),(1-PLE!$AA$28)*OFFSET(Import.PLQ,$A28-1,AM$15-1,1,1))))</f>
        <v>0</v>
      </c>
      <c r="AN28" s="145">
        <f ca="1">IF(AN$13="",0,CHOOSE(Detalhamento.OpçãoServiços,OFFSET(Import.PLQ,$A28-1,AN$15-1,1,1),IF($E28&lt;&gt;1,IF(ISNUMBER(INDEX(Import.PLE,Detalhamento!$E28,Detalhamento!AN$15)),IF(INDEX(Import.PLE,Detalhamento!$E28,Detalhamento!AN$15)&lt;=mediçao,OFFSET(Import.PLQ,$A28-1,AN$15-1,1,1),0),0),PLE!$AA$28*OFFSET(Import.PLQ,$A28-1,AN$15-1,1,1)),IF($E28&lt;&gt;1,IF(ISNUMBER(INDEX(Import.PLE,Detalhamento!$E28,Detalhamento!AN$15)),IF(INDEX(Import.PLE,Detalhamento!$E28,Detalhamento!AN$15)&lt;=mediçao,0,OFFSET(Import.PLQ,$A28-1,AN$15-1,1,1)),OFFSET(Import.PLQ,$A28-1,AN$15-1,1,1)),(1-PLE!$AA$28)*OFFSET(Import.PLQ,$A28-1,AN$15-1,1,1))))</f>
        <v>0</v>
      </c>
      <c r="AO28" s="145">
        <f ca="1">IF(AO$13="",0,CHOOSE(Detalhamento.OpçãoServiços,OFFSET(Import.PLQ,$A28-1,AO$15-1,1,1),IF($E28&lt;&gt;1,IF(ISNUMBER(INDEX(Import.PLE,Detalhamento!$E28,Detalhamento!AO$15)),IF(INDEX(Import.PLE,Detalhamento!$E28,Detalhamento!AO$15)&lt;=mediçao,OFFSET(Import.PLQ,$A28-1,AO$15-1,1,1),0),0),PLE!$AA$28*OFFSET(Import.PLQ,$A28-1,AO$15-1,1,1)),IF($E28&lt;&gt;1,IF(ISNUMBER(INDEX(Import.PLE,Detalhamento!$E28,Detalhamento!AO$15)),IF(INDEX(Import.PLE,Detalhamento!$E28,Detalhamento!AO$15)&lt;=mediçao,0,OFFSET(Import.PLQ,$A28-1,AO$15-1,1,1)),OFFSET(Import.PLQ,$A28-1,AO$15-1,1,1)),(1-PLE!$AA$28)*OFFSET(Import.PLQ,$A28-1,AO$15-1,1,1))))</f>
        <v>0</v>
      </c>
      <c r="AP28" s="145">
        <f ca="1">IF(AP$13="",0,CHOOSE(Detalhamento.OpçãoServiços,OFFSET(Import.PLQ,$A28-1,AP$15-1,1,1),IF($E28&lt;&gt;1,IF(ISNUMBER(INDEX(Import.PLE,Detalhamento!$E28,Detalhamento!AP$15)),IF(INDEX(Import.PLE,Detalhamento!$E28,Detalhamento!AP$15)&lt;=mediçao,OFFSET(Import.PLQ,$A28-1,AP$15-1,1,1),0),0),PLE!$AA$28*OFFSET(Import.PLQ,$A28-1,AP$15-1,1,1)),IF($E28&lt;&gt;1,IF(ISNUMBER(INDEX(Import.PLE,Detalhamento!$E28,Detalhamento!AP$15)),IF(INDEX(Import.PLE,Detalhamento!$E28,Detalhamento!AP$15)&lt;=mediçao,0,OFFSET(Import.PLQ,$A28-1,AP$15-1,1,1)),OFFSET(Import.PLQ,$A28-1,AP$15-1,1,1)),(1-PLE!$AA$28)*OFFSET(Import.PLQ,$A28-1,AP$15-1,1,1))))</f>
        <v>0</v>
      </c>
      <c r="AQ28" s="145">
        <f ca="1">IF(AQ$13="",0,CHOOSE(Detalhamento.OpçãoServiços,OFFSET(Import.PLQ,$A28-1,AQ$15-1,1,1),IF($E28&lt;&gt;1,IF(ISNUMBER(INDEX(Import.PLE,Detalhamento!$E28,Detalhamento!AQ$15)),IF(INDEX(Import.PLE,Detalhamento!$E28,Detalhamento!AQ$15)&lt;=mediçao,OFFSET(Import.PLQ,$A28-1,AQ$15-1,1,1),0),0),PLE!$AA$28*OFFSET(Import.PLQ,$A28-1,AQ$15-1,1,1)),IF($E28&lt;&gt;1,IF(ISNUMBER(INDEX(Import.PLE,Detalhamento!$E28,Detalhamento!AQ$15)),IF(INDEX(Import.PLE,Detalhamento!$E28,Detalhamento!AQ$15)&lt;=mediçao,0,OFFSET(Import.PLQ,$A28-1,AQ$15-1,1,1)),OFFSET(Import.PLQ,$A28-1,AQ$15-1,1,1)),(1-PLE!$AA$28)*OFFSET(Import.PLQ,$A28-1,AQ$15-1,1,1))))</f>
        <v>0</v>
      </c>
      <c r="AR28" s="145">
        <f ca="1">IF(AR$13="",0,CHOOSE(Detalhamento.OpçãoServiços,OFFSET(Import.PLQ,$A28-1,AR$15-1,1,1),IF($E28&lt;&gt;1,IF(ISNUMBER(INDEX(Import.PLE,Detalhamento!$E28,Detalhamento!AR$15)),IF(INDEX(Import.PLE,Detalhamento!$E28,Detalhamento!AR$15)&lt;=mediçao,OFFSET(Import.PLQ,$A28-1,AR$15-1,1,1),0),0),PLE!$AA$28*OFFSET(Import.PLQ,$A28-1,AR$15-1,1,1)),IF($E28&lt;&gt;1,IF(ISNUMBER(INDEX(Import.PLE,Detalhamento!$E28,Detalhamento!AR$15)),IF(INDEX(Import.PLE,Detalhamento!$E28,Detalhamento!AR$15)&lt;=mediçao,0,OFFSET(Import.PLQ,$A28-1,AR$15-1,1,1)),OFFSET(Import.PLQ,$A28-1,AR$15-1,1,1)),(1-PLE!$AA$28)*OFFSET(Import.PLQ,$A28-1,AR$15-1,1,1))))</f>
        <v>0</v>
      </c>
      <c r="AS28" s="145">
        <f ca="1">IF(AS$13="",0,CHOOSE(Detalhamento.OpçãoServiços,OFFSET(Import.PLQ,$A28-1,AS$15-1,1,1),IF($E28&lt;&gt;1,IF(ISNUMBER(INDEX(Import.PLE,Detalhamento!$E28,Detalhamento!AS$15)),IF(INDEX(Import.PLE,Detalhamento!$E28,Detalhamento!AS$15)&lt;=mediçao,OFFSET(Import.PLQ,$A28-1,AS$15-1,1,1),0),0),PLE!$AA$28*OFFSET(Import.PLQ,$A28-1,AS$15-1,1,1)),IF($E28&lt;&gt;1,IF(ISNUMBER(INDEX(Import.PLE,Detalhamento!$E28,Detalhamento!AS$15)),IF(INDEX(Import.PLE,Detalhamento!$E28,Detalhamento!AS$15)&lt;=mediçao,0,OFFSET(Import.PLQ,$A28-1,AS$15-1,1,1)),OFFSET(Import.PLQ,$A28-1,AS$15-1,1,1)),(1-PLE!$AA$28)*OFFSET(Import.PLQ,$A28-1,AS$15-1,1,1))))</f>
        <v>0</v>
      </c>
      <c r="AT28" s="145">
        <f ca="1">IF(AT$13="",0,CHOOSE(Detalhamento.OpçãoServiços,OFFSET(Import.PLQ,$A28-1,AT$15-1,1,1),IF($E28&lt;&gt;1,IF(ISNUMBER(INDEX(Import.PLE,Detalhamento!$E28,Detalhamento!AT$15)),IF(INDEX(Import.PLE,Detalhamento!$E28,Detalhamento!AT$15)&lt;=mediçao,OFFSET(Import.PLQ,$A28-1,AT$15-1,1,1),0),0),PLE!$AA$28*OFFSET(Import.PLQ,$A28-1,AT$15-1,1,1)),IF($E28&lt;&gt;1,IF(ISNUMBER(INDEX(Import.PLE,Detalhamento!$E28,Detalhamento!AT$15)),IF(INDEX(Import.PLE,Detalhamento!$E28,Detalhamento!AT$15)&lt;=mediçao,0,OFFSET(Import.PLQ,$A28-1,AT$15-1,1,1)),OFFSET(Import.PLQ,$A28-1,AT$15-1,1,1)),(1-PLE!$AA$28)*OFFSET(Import.PLQ,$A28-1,AT$15-1,1,1))))</f>
        <v>0</v>
      </c>
      <c r="AU28" s="145">
        <f ca="1">IF(AU$13="",0,CHOOSE(Detalhamento.OpçãoServiços,OFFSET(Import.PLQ,$A28-1,AU$15-1,1,1),IF($E28&lt;&gt;1,IF(ISNUMBER(INDEX(Import.PLE,Detalhamento!$E28,Detalhamento!AU$15)),IF(INDEX(Import.PLE,Detalhamento!$E28,Detalhamento!AU$15)&lt;=mediçao,OFFSET(Import.PLQ,$A28-1,AU$15-1,1,1),0),0),PLE!$AA$28*OFFSET(Import.PLQ,$A28-1,AU$15-1,1,1)),IF($E28&lt;&gt;1,IF(ISNUMBER(INDEX(Import.PLE,Detalhamento!$E28,Detalhamento!AU$15)),IF(INDEX(Import.PLE,Detalhamento!$E28,Detalhamento!AU$15)&lt;=mediçao,0,OFFSET(Import.PLQ,$A28-1,AU$15-1,1,1)),OFFSET(Import.PLQ,$A28-1,AU$15-1,1,1)),(1-PLE!$AA$28)*OFFSET(Import.PLQ,$A28-1,AU$15-1,1,1))))</f>
        <v>0</v>
      </c>
      <c r="AV28" s="145">
        <f ca="1">IF(AV$13="",0,CHOOSE(Detalhamento.OpçãoServiços,OFFSET(Import.PLQ,$A28-1,AV$15-1,1,1),IF($E28&lt;&gt;1,IF(ISNUMBER(INDEX(Import.PLE,Detalhamento!$E28,Detalhamento!AV$15)),IF(INDEX(Import.PLE,Detalhamento!$E28,Detalhamento!AV$15)&lt;=mediçao,OFFSET(Import.PLQ,$A28-1,AV$15-1,1,1),0),0),PLE!$AA$28*OFFSET(Import.PLQ,$A28-1,AV$15-1,1,1)),IF($E28&lt;&gt;1,IF(ISNUMBER(INDEX(Import.PLE,Detalhamento!$E28,Detalhamento!AV$15)),IF(INDEX(Import.PLE,Detalhamento!$E28,Detalhamento!AV$15)&lt;=mediçao,0,OFFSET(Import.PLQ,$A28-1,AV$15-1,1,1)),OFFSET(Import.PLQ,$A28-1,AV$15-1,1,1)),(1-PLE!$AA$28)*OFFSET(Import.PLQ,$A28-1,AV$15-1,1,1))))</f>
        <v>0</v>
      </c>
      <c r="AW28" s="145">
        <f ca="1">IF(AW$13="",0,CHOOSE(Detalhamento.OpçãoServiços,OFFSET(Import.PLQ,$A28-1,AW$15-1,1,1),IF($E28&lt;&gt;1,IF(ISNUMBER(INDEX(Import.PLE,Detalhamento!$E28,Detalhamento!AW$15)),IF(INDEX(Import.PLE,Detalhamento!$E28,Detalhamento!AW$15)&lt;=mediçao,OFFSET(Import.PLQ,$A28-1,AW$15-1,1,1),0),0),PLE!$AA$28*OFFSET(Import.PLQ,$A28-1,AW$15-1,1,1)),IF($E28&lt;&gt;1,IF(ISNUMBER(INDEX(Import.PLE,Detalhamento!$E28,Detalhamento!AW$15)),IF(INDEX(Import.PLE,Detalhamento!$E28,Detalhamento!AW$15)&lt;=mediçao,0,OFFSET(Import.PLQ,$A28-1,AW$15-1,1,1)),OFFSET(Import.PLQ,$A28-1,AW$15-1,1,1)),(1-PLE!$AA$28)*OFFSET(Import.PLQ,$A28-1,AW$15-1,1,1))))</f>
        <v>0</v>
      </c>
      <c r="AX28" s="145">
        <f ca="1">IF(AX$13="",0,CHOOSE(Detalhamento.OpçãoServiços,OFFSET(Import.PLQ,$A28-1,AX$15-1,1,1),IF($E28&lt;&gt;1,IF(ISNUMBER(INDEX(Import.PLE,Detalhamento!$E28,Detalhamento!AX$15)),IF(INDEX(Import.PLE,Detalhamento!$E28,Detalhamento!AX$15)&lt;=mediçao,OFFSET(Import.PLQ,$A28-1,AX$15-1,1,1),0),0),PLE!$AA$28*OFFSET(Import.PLQ,$A28-1,AX$15-1,1,1)),IF($E28&lt;&gt;1,IF(ISNUMBER(INDEX(Import.PLE,Detalhamento!$E28,Detalhamento!AX$15)),IF(INDEX(Import.PLE,Detalhamento!$E28,Detalhamento!AX$15)&lt;=mediçao,0,OFFSET(Import.PLQ,$A28-1,AX$15-1,1,1)),OFFSET(Import.PLQ,$A28-1,AX$15-1,1,1)),(1-PLE!$AA$28)*OFFSET(Import.PLQ,$A28-1,AX$15-1,1,1))))</f>
        <v>0</v>
      </c>
      <c r="AY28" s="145">
        <f ca="1">IF(AY$13="",0,CHOOSE(Detalhamento.OpçãoServiços,OFFSET(Import.PLQ,$A28-1,AY$15-1,1,1),IF($E28&lt;&gt;1,IF(ISNUMBER(INDEX(Import.PLE,Detalhamento!$E28,Detalhamento!AY$15)),IF(INDEX(Import.PLE,Detalhamento!$E28,Detalhamento!AY$15)&lt;=mediçao,OFFSET(Import.PLQ,$A28-1,AY$15-1,1,1),0),0),PLE!$AA$28*OFFSET(Import.PLQ,$A28-1,AY$15-1,1,1)),IF($E28&lt;&gt;1,IF(ISNUMBER(INDEX(Import.PLE,Detalhamento!$E28,Detalhamento!AY$15)),IF(INDEX(Import.PLE,Detalhamento!$E28,Detalhamento!AY$15)&lt;=mediçao,0,OFFSET(Import.PLQ,$A28-1,AY$15-1,1,1)),OFFSET(Import.PLQ,$A28-1,AY$15-1,1,1)),(1-PLE!$AA$28)*OFFSET(Import.PLQ,$A28-1,AY$15-1,1,1))))</f>
        <v>0</v>
      </c>
      <c r="AZ28" s="145">
        <f ca="1">IF(AZ$13="",0,CHOOSE(Detalhamento.OpçãoServiços,OFFSET(Import.PLQ,$A28-1,AZ$15-1,1,1),IF($E28&lt;&gt;1,IF(ISNUMBER(INDEX(Import.PLE,Detalhamento!$E28,Detalhamento!AZ$15)),IF(INDEX(Import.PLE,Detalhamento!$E28,Detalhamento!AZ$15)&lt;=mediçao,OFFSET(Import.PLQ,$A28-1,AZ$15-1,1,1),0),0),PLE!$AA$28*OFFSET(Import.PLQ,$A28-1,AZ$15-1,1,1)),IF($E28&lt;&gt;1,IF(ISNUMBER(INDEX(Import.PLE,Detalhamento!$E28,Detalhamento!AZ$15)),IF(INDEX(Import.PLE,Detalhamento!$E28,Detalhamento!AZ$15)&lt;=mediçao,0,OFFSET(Import.PLQ,$A28-1,AZ$15-1,1,1)),OFFSET(Import.PLQ,$A28-1,AZ$15-1,1,1)),(1-PLE!$AA$28)*OFFSET(Import.PLQ,$A28-1,AZ$15-1,1,1))))</f>
        <v>0</v>
      </c>
      <c r="BA28" s="145">
        <f ca="1">IF(BA$13="",0,CHOOSE(Detalhamento.OpçãoServiços,OFFSET(Import.PLQ,$A28-1,BA$15-1,1,1),IF($E28&lt;&gt;1,IF(ISNUMBER(INDEX(Import.PLE,Detalhamento!$E28,Detalhamento!BA$15)),IF(INDEX(Import.PLE,Detalhamento!$E28,Detalhamento!BA$15)&lt;=mediçao,OFFSET(Import.PLQ,$A28-1,BA$15-1,1,1),0),0),PLE!$AA$28*OFFSET(Import.PLQ,$A28-1,BA$15-1,1,1)),IF($E28&lt;&gt;1,IF(ISNUMBER(INDEX(Import.PLE,Detalhamento!$E28,Detalhamento!BA$15)),IF(INDEX(Import.PLE,Detalhamento!$E28,Detalhamento!BA$15)&lt;=mediçao,0,OFFSET(Import.PLQ,$A28-1,BA$15-1,1,1)),OFFSET(Import.PLQ,$A28-1,BA$15-1,1,1)),(1-PLE!$AA$28)*OFFSET(Import.PLQ,$A28-1,BA$15-1,1,1))))</f>
        <v>0</v>
      </c>
      <c r="BB28" s="145">
        <f ca="1">IF(BB$13="",0,CHOOSE(Detalhamento.OpçãoServiços,OFFSET(Import.PLQ,$A28-1,BB$15-1,1,1),IF($E28&lt;&gt;1,IF(ISNUMBER(INDEX(Import.PLE,Detalhamento!$E28,Detalhamento!BB$15)),IF(INDEX(Import.PLE,Detalhamento!$E28,Detalhamento!BB$15)&lt;=mediçao,OFFSET(Import.PLQ,$A28-1,BB$15-1,1,1),0),0),PLE!$AA$28*OFFSET(Import.PLQ,$A28-1,BB$15-1,1,1)),IF($E28&lt;&gt;1,IF(ISNUMBER(INDEX(Import.PLE,Detalhamento!$E28,Detalhamento!BB$15)),IF(INDEX(Import.PLE,Detalhamento!$E28,Detalhamento!BB$15)&lt;=mediçao,0,OFFSET(Import.PLQ,$A28-1,BB$15-1,1,1)),OFFSET(Import.PLQ,$A28-1,BB$15-1,1,1)),(1-PLE!$AA$28)*OFFSET(Import.PLQ,$A28-1,BB$15-1,1,1))))</f>
        <v>0</v>
      </c>
      <c r="BC28" s="145">
        <f ca="1">IF(BC$13="",0,CHOOSE(Detalhamento.OpçãoServiços,OFFSET(Import.PLQ,$A28-1,BC$15-1,1,1),IF($E28&lt;&gt;1,IF(ISNUMBER(INDEX(Import.PLE,Detalhamento!$E28,Detalhamento!BC$15)),IF(INDEX(Import.PLE,Detalhamento!$E28,Detalhamento!BC$15)&lt;=mediçao,OFFSET(Import.PLQ,$A28-1,BC$15-1,1,1),0),0),PLE!$AA$28*OFFSET(Import.PLQ,$A28-1,BC$15-1,1,1)),IF($E28&lt;&gt;1,IF(ISNUMBER(INDEX(Import.PLE,Detalhamento!$E28,Detalhamento!BC$15)),IF(INDEX(Import.PLE,Detalhamento!$E28,Detalhamento!BC$15)&lt;=mediçao,0,OFFSET(Import.PLQ,$A28-1,BC$15-1,1,1)),OFFSET(Import.PLQ,$A28-1,BC$15-1,1,1)),(1-PLE!$AA$28)*OFFSET(Import.PLQ,$A28-1,BC$15-1,1,1))))</f>
        <v>0</v>
      </c>
      <c r="BD28" s="145">
        <f ca="1">IF(BD$13="",0,CHOOSE(Detalhamento.OpçãoServiços,OFFSET(Import.PLQ,$A28-1,BD$15-1,1,1),IF($E28&lt;&gt;1,IF(ISNUMBER(INDEX(Import.PLE,Detalhamento!$E28,Detalhamento!BD$15)),IF(INDEX(Import.PLE,Detalhamento!$E28,Detalhamento!BD$15)&lt;=mediçao,OFFSET(Import.PLQ,$A28-1,BD$15-1,1,1),0),0),PLE!$AA$28*OFFSET(Import.PLQ,$A28-1,BD$15-1,1,1)),IF($E28&lt;&gt;1,IF(ISNUMBER(INDEX(Import.PLE,Detalhamento!$E28,Detalhamento!BD$15)),IF(INDEX(Import.PLE,Detalhamento!$E28,Detalhamento!BD$15)&lt;=mediçao,0,OFFSET(Import.PLQ,$A28-1,BD$15-1,1,1)),OFFSET(Import.PLQ,$A28-1,BD$15-1,1,1)),(1-PLE!$AA$28)*OFFSET(Import.PLQ,$A28-1,BD$15-1,1,1))))</f>
        <v>0</v>
      </c>
      <c r="BE28" s="145">
        <f ca="1">IF(BE$13="",0,CHOOSE(Detalhamento.OpçãoServiços,OFFSET(Import.PLQ,$A28-1,BE$15-1,1,1),IF($E28&lt;&gt;1,IF(ISNUMBER(INDEX(Import.PLE,Detalhamento!$E28,Detalhamento!BE$15)),IF(INDEX(Import.PLE,Detalhamento!$E28,Detalhamento!BE$15)&lt;=mediçao,OFFSET(Import.PLQ,$A28-1,BE$15-1,1,1),0),0),PLE!$AA$28*OFFSET(Import.PLQ,$A28-1,BE$15-1,1,1)),IF($E28&lt;&gt;1,IF(ISNUMBER(INDEX(Import.PLE,Detalhamento!$E28,Detalhamento!BE$15)),IF(INDEX(Import.PLE,Detalhamento!$E28,Detalhamento!BE$15)&lt;=mediçao,0,OFFSET(Import.PLQ,$A28-1,BE$15-1,1,1)),OFFSET(Import.PLQ,$A28-1,BE$15-1,1,1)),(1-PLE!$AA$28)*OFFSET(Import.PLQ,$A28-1,BE$15-1,1,1))))</f>
        <v>0</v>
      </c>
      <c r="BF28" s="145">
        <f ca="1">IF(BF$13="",0,CHOOSE(Detalhamento.OpçãoServiços,OFFSET(Import.PLQ,$A28-1,BF$15-1,1,1),IF($E28&lt;&gt;1,IF(ISNUMBER(INDEX(Import.PLE,Detalhamento!$E28,Detalhamento!BF$15)),IF(INDEX(Import.PLE,Detalhamento!$E28,Detalhamento!BF$15)&lt;=mediçao,OFFSET(Import.PLQ,$A28-1,BF$15-1,1,1),0),0),PLE!$AA$28*OFFSET(Import.PLQ,$A28-1,BF$15-1,1,1)),IF($E28&lt;&gt;1,IF(ISNUMBER(INDEX(Import.PLE,Detalhamento!$E28,Detalhamento!BF$15)),IF(INDEX(Import.PLE,Detalhamento!$E28,Detalhamento!BF$15)&lt;=mediçao,0,OFFSET(Import.PLQ,$A28-1,BF$15-1,1,1)),OFFSET(Import.PLQ,$A28-1,BF$15-1,1,1)),(1-PLE!$AA$28)*OFFSET(Import.PLQ,$A28-1,BF$15-1,1,1))))</f>
        <v>0</v>
      </c>
      <c r="BG28" s="145">
        <f ca="1">IF(BG$13="",0,CHOOSE(Detalhamento.OpçãoServiços,OFFSET(Import.PLQ,$A28-1,BG$15-1,1,1),IF($E28&lt;&gt;1,IF(ISNUMBER(INDEX(Import.PLE,Detalhamento!$E28,Detalhamento!BG$15)),IF(INDEX(Import.PLE,Detalhamento!$E28,Detalhamento!BG$15)&lt;=mediçao,OFFSET(Import.PLQ,$A28-1,BG$15-1,1,1),0),0),PLE!$AA$28*OFFSET(Import.PLQ,$A28-1,BG$15-1,1,1)),IF($E28&lt;&gt;1,IF(ISNUMBER(INDEX(Import.PLE,Detalhamento!$E28,Detalhamento!BG$15)),IF(INDEX(Import.PLE,Detalhamento!$E28,Detalhamento!BG$15)&lt;=mediçao,0,OFFSET(Import.PLQ,$A28-1,BG$15-1,1,1)),OFFSET(Import.PLQ,$A28-1,BG$15-1,1,1)),(1-PLE!$AA$28)*OFFSET(Import.PLQ,$A28-1,BG$15-1,1,1))))</f>
        <v>0</v>
      </c>
      <c r="BH28" s="145">
        <f ca="1">IF(BH$13="",0,CHOOSE(Detalhamento.OpçãoServiços,OFFSET(Import.PLQ,$A28-1,BH$15-1,1,1),IF($E28&lt;&gt;1,IF(ISNUMBER(INDEX(Import.PLE,Detalhamento!$E28,Detalhamento!BH$15)),IF(INDEX(Import.PLE,Detalhamento!$E28,Detalhamento!BH$15)&lt;=mediçao,OFFSET(Import.PLQ,$A28-1,BH$15-1,1,1),0),0),PLE!$AA$28*OFFSET(Import.PLQ,$A28-1,BH$15-1,1,1)),IF($E28&lt;&gt;1,IF(ISNUMBER(INDEX(Import.PLE,Detalhamento!$E28,Detalhamento!BH$15)),IF(INDEX(Import.PLE,Detalhamento!$E28,Detalhamento!BH$15)&lt;=mediçao,0,OFFSET(Import.PLQ,$A28-1,BH$15-1,1,1)),OFFSET(Import.PLQ,$A28-1,BH$15-1,1,1)),(1-PLE!$AA$28)*OFFSET(Import.PLQ,$A28-1,BH$15-1,1,1))))</f>
        <v>0</v>
      </c>
      <c r="BI28" s="145">
        <f ca="1">IF(BI$13="",0,CHOOSE(Detalhamento.OpçãoServiços,OFFSET(Import.PLQ,$A28-1,BI$15-1,1,1),IF($E28&lt;&gt;1,IF(ISNUMBER(INDEX(Import.PLE,Detalhamento!$E28,Detalhamento!BI$15)),IF(INDEX(Import.PLE,Detalhamento!$E28,Detalhamento!BI$15)&lt;=mediçao,OFFSET(Import.PLQ,$A28-1,BI$15-1,1,1),0),0),PLE!$AA$28*OFFSET(Import.PLQ,$A28-1,BI$15-1,1,1)),IF($E28&lt;&gt;1,IF(ISNUMBER(INDEX(Import.PLE,Detalhamento!$E28,Detalhamento!BI$15)),IF(INDEX(Import.PLE,Detalhamento!$E28,Detalhamento!BI$15)&lt;=mediçao,0,OFFSET(Import.PLQ,$A28-1,BI$15-1,1,1)),OFFSET(Import.PLQ,$A28-1,BI$15-1,1,1)),(1-PLE!$AA$28)*OFFSET(Import.PLQ,$A28-1,BI$15-1,1,1))))</f>
        <v>0</v>
      </c>
    </row>
    <row r="29" spans="1:61" x14ac:dyDescent="0.2">
      <c r="A29" s="156">
        <v>10</v>
      </c>
      <c r="B29" s="21" t="str">
        <f t="shared" ca="1" si="8"/>
        <v>Serviço</v>
      </c>
      <c r="E29" s="154">
        <f t="shared" ca="1" si="9"/>
        <v>2</v>
      </c>
      <c r="F29" s="155">
        <f t="shared" ca="1" si="10"/>
        <v>20010</v>
      </c>
      <c r="G29" s="155" t="str">
        <f t="shared" ca="1" si="11"/>
        <v>3.4</v>
      </c>
      <c r="H29" s="183" t="str">
        <f t="shared" ca="1" si="11"/>
        <v>Fornecimento e aplicação de meio fio em pedra granitica.(Cordão)</v>
      </c>
      <c r="I29" s="37" t="str">
        <f t="shared" ca="1" si="12"/>
        <v>m</v>
      </c>
      <c r="J29" s="145">
        <f t="shared" ca="1" si="13"/>
        <v>50.8</v>
      </c>
      <c r="K29" s="67"/>
      <c r="L29" s="145">
        <f ca="1">IF(L$13="",0,CHOOSE(Detalhamento.OpçãoServiços,OFFSET(Import.PLQ,$A29-1,L$15-1,1,1),IF($E29&lt;&gt;1,IF(ISNUMBER(INDEX(Import.PLE,Detalhamento!$E29,Detalhamento!L$15)),IF(INDEX(Import.PLE,Detalhamento!$E29,Detalhamento!L$15)&lt;=mediçao,OFFSET(Import.PLQ,$A29-1,L$15-1,1,1),0),0),PLE!$AA$28*OFFSET(Import.PLQ,$A29-1,L$15-1,1,1)),IF($E29&lt;&gt;1,IF(ISNUMBER(INDEX(Import.PLE,Detalhamento!$E29,Detalhamento!L$15)),IF(INDEX(Import.PLE,Detalhamento!$E29,Detalhamento!L$15)&lt;=mediçao,0,OFFSET(Import.PLQ,$A29-1,L$15-1,1,1)),OFFSET(Import.PLQ,$A29-1,L$15-1,1,1)),(1-PLE!$AA$28)*OFFSET(Import.PLQ,$A29-1,L$15-1,1,1))))</f>
        <v>8.8000000000000007</v>
      </c>
      <c r="M29" s="145">
        <f ca="1">IF(M$13="",0,CHOOSE(Detalhamento.OpçãoServiços,OFFSET(Import.PLQ,$A29-1,M$15-1,1,1),IF($E29&lt;&gt;1,IF(ISNUMBER(INDEX(Import.PLE,Detalhamento!$E29,Detalhamento!M$15)),IF(INDEX(Import.PLE,Detalhamento!$E29,Detalhamento!M$15)&lt;=mediçao,OFFSET(Import.PLQ,$A29-1,M$15-1,1,1),0),0),PLE!$AA$28*OFFSET(Import.PLQ,$A29-1,M$15-1,1,1)),IF($E29&lt;&gt;1,IF(ISNUMBER(INDEX(Import.PLE,Detalhamento!$E29,Detalhamento!M$15)),IF(INDEX(Import.PLE,Detalhamento!$E29,Detalhamento!M$15)&lt;=mediçao,0,OFFSET(Import.PLQ,$A29-1,M$15-1,1,1)),OFFSET(Import.PLQ,$A29-1,M$15-1,1,1)),(1-PLE!$AA$28)*OFFSET(Import.PLQ,$A29-1,M$15-1,1,1))))</f>
        <v>0</v>
      </c>
      <c r="N29" s="145">
        <f ca="1">IF(N$13="",0,CHOOSE(Detalhamento.OpçãoServiços,OFFSET(Import.PLQ,$A29-1,N$15-1,1,1),IF($E29&lt;&gt;1,IF(ISNUMBER(INDEX(Import.PLE,Detalhamento!$E29,Detalhamento!N$15)),IF(INDEX(Import.PLE,Detalhamento!$E29,Detalhamento!N$15)&lt;=mediçao,OFFSET(Import.PLQ,$A29-1,N$15-1,1,1),0),0),PLE!$AA$28*OFFSET(Import.PLQ,$A29-1,N$15-1,1,1)),IF($E29&lt;&gt;1,IF(ISNUMBER(INDEX(Import.PLE,Detalhamento!$E29,Detalhamento!N$15)),IF(INDEX(Import.PLE,Detalhamento!$E29,Detalhamento!N$15)&lt;=mediçao,0,OFFSET(Import.PLQ,$A29-1,N$15-1,1,1)),OFFSET(Import.PLQ,$A29-1,N$15-1,1,1)),(1-PLE!$AA$28)*OFFSET(Import.PLQ,$A29-1,N$15-1,1,1))))</f>
        <v>12</v>
      </c>
      <c r="O29" s="145">
        <f ca="1">IF(O$13="",0,CHOOSE(Detalhamento.OpçãoServiços,OFFSET(Import.PLQ,$A29-1,O$15-1,1,1),IF($E29&lt;&gt;1,IF(ISNUMBER(INDEX(Import.PLE,Detalhamento!$E29,Detalhamento!O$15)),IF(INDEX(Import.PLE,Detalhamento!$E29,Detalhamento!O$15)&lt;=mediçao,OFFSET(Import.PLQ,$A29-1,O$15-1,1,1),0),0),PLE!$AA$28*OFFSET(Import.PLQ,$A29-1,O$15-1,1,1)),IF($E29&lt;&gt;1,IF(ISNUMBER(INDEX(Import.PLE,Detalhamento!$E29,Detalhamento!O$15)),IF(INDEX(Import.PLE,Detalhamento!$E29,Detalhamento!O$15)&lt;=mediçao,0,OFFSET(Import.PLQ,$A29-1,O$15-1,1,1)),OFFSET(Import.PLQ,$A29-1,O$15-1,1,1)),(1-PLE!$AA$28)*OFFSET(Import.PLQ,$A29-1,O$15-1,1,1))))</f>
        <v>6</v>
      </c>
      <c r="P29" s="145">
        <f ca="1">IF(P$13="",0,CHOOSE(Detalhamento.OpçãoServiços,OFFSET(Import.PLQ,$A29-1,P$15-1,1,1),IF($E29&lt;&gt;1,IF(ISNUMBER(INDEX(Import.PLE,Detalhamento!$E29,Detalhamento!P$15)),IF(INDEX(Import.PLE,Detalhamento!$E29,Detalhamento!P$15)&lt;=mediçao,OFFSET(Import.PLQ,$A29-1,P$15-1,1,1),0),0),PLE!$AA$28*OFFSET(Import.PLQ,$A29-1,P$15-1,1,1)),IF($E29&lt;&gt;1,IF(ISNUMBER(INDEX(Import.PLE,Detalhamento!$E29,Detalhamento!P$15)),IF(INDEX(Import.PLE,Detalhamento!$E29,Detalhamento!P$15)&lt;=mediçao,0,OFFSET(Import.PLQ,$A29-1,P$15-1,1,1)),OFFSET(Import.PLQ,$A29-1,P$15-1,1,1)),(1-PLE!$AA$28)*OFFSET(Import.PLQ,$A29-1,P$15-1,1,1))))</f>
        <v>0</v>
      </c>
      <c r="Q29" s="145">
        <f ca="1">IF(Q$13="",0,CHOOSE(Detalhamento.OpçãoServiços,OFFSET(Import.PLQ,$A29-1,Q$15-1,1,1),IF($E29&lt;&gt;1,IF(ISNUMBER(INDEX(Import.PLE,Detalhamento!$E29,Detalhamento!Q$15)),IF(INDEX(Import.PLE,Detalhamento!$E29,Detalhamento!Q$15)&lt;=mediçao,OFFSET(Import.PLQ,$A29-1,Q$15-1,1,1),0),0),PLE!$AA$28*OFFSET(Import.PLQ,$A29-1,Q$15-1,1,1)),IF($E29&lt;&gt;1,IF(ISNUMBER(INDEX(Import.PLE,Detalhamento!$E29,Detalhamento!Q$15)),IF(INDEX(Import.PLE,Detalhamento!$E29,Detalhamento!Q$15)&lt;=mediçao,0,OFFSET(Import.PLQ,$A29-1,Q$15-1,1,1)),OFFSET(Import.PLQ,$A29-1,Q$15-1,1,1)),(1-PLE!$AA$28)*OFFSET(Import.PLQ,$A29-1,Q$15-1,1,1))))</f>
        <v>6</v>
      </c>
      <c r="R29" s="145">
        <f ca="1">IF(R$13="",0,CHOOSE(Detalhamento.OpçãoServiços,OFFSET(Import.PLQ,$A29-1,R$15-1,1,1),IF($E29&lt;&gt;1,IF(ISNUMBER(INDEX(Import.PLE,Detalhamento!$E29,Detalhamento!R$15)),IF(INDEX(Import.PLE,Detalhamento!$E29,Detalhamento!R$15)&lt;=mediçao,OFFSET(Import.PLQ,$A29-1,R$15-1,1,1),0),0),PLE!$AA$28*OFFSET(Import.PLQ,$A29-1,R$15-1,1,1)),IF($E29&lt;&gt;1,IF(ISNUMBER(INDEX(Import.PLE,Detalhamento!$E29,Detalhamento!R$15)),IF(INDEX(Import.PLE,Detalhamento!$E29,Detalhamento!R$15)&lt;=mediçao,0,OFFSET(Import.PLQ,$A29-1,R$15-1,1,1)),OFFSET(Import.PLQ,$A29-1,R$15-1,1,1)),(1-PLE!$AA$28)*OFFSET(Import.PLQ,$A29-1,R$15-1,1,1))))</f>
        <v>6</v>
      </c>
      <c r="S29" s="145">
        <f ca="1">IF(S$13="",0,CHOOSE(Detalhamento.OpçãoServiços,OFFSET(Import.PLQ,$A29-1,S$15-1,1,1),IF($E29&lt;&gt;1,IF(ISNUMBER(INDEX(Import.PLE,Detalhamento!$E29,Detalhamento!S$15)),IF(INDEX(Import.PLE,Detalhamento!$E29,Detalhamento!S$15)&lt;=mediçao,OFFSET(Import.PLQ,$A29-1,S$15-1,1,1),0),0),PLE!$AA$28*OFFSET(Import.PLQ,$A29-1,S$15-1,1,1)),IF($E29&lt;&gt;1,IF(ISNUMBER(INDEX(Import.PLE,Detalhamento!$E29,Detalhamento!S$15)),IF(INDEX(Import.PLE,Detalhamento!$E29,Detalhamento!S$15)&lt;=mediçao,0,OFFSET(Import.PLQ,$A29-1,S$15-1,1,1)),OFFSET(Import.PLQ,$A29-1,S$15-1,1,1)),(1-PLE!$AA$28)*OFFSET(Import.PLQ,$A29-1,S$15-1,1,1))))</f>
        <v>12</v>
      </c>
      <c r="T29" s="145">
        <f ca="1">IF(T$13="",0,CHOOSE(Detalhamento.OpçãoServiços,OFFSET(Import.PLQ,$A29-1,T$15-1,1,1),IF($E29&lt;&gt;1,IF(ISNUMBER(INDEX(Import.PLE,Detalhamento!$E29,Detalhamento!T$15)),IF(INDEX(Import.PLE,Detalhamento!$E29,Detalhamento!T$15)&lt;=mediçao,OFFSET(Import.PLQ,$A29-1,T$15-1,1,1),0),0),PLE!$AA$28*OFFSET(Import.PLQ,$A29-1,T$15-1,1,1)),IF($E29&lt;&gt;1,IF(ISNUMBER(INDEX(Import.PLE,Detalhamento!$E29,Detalhamento!T$15)),IF(INDEX(Import.PLE,Detalhamento!$E29,Detalhamento!T$15)&lt;=mediçao,0,OFFSET(Import.PLQ,$A29-1,T$15-1,1,1)),OFFSET(Import.PLQ,$A29-1,T$15-1,1,1)),(1-PLE!$AA$28)*OFFSET(Import.PLQ,$A29-1,T$15-1,1,1))))</f>
        <v>0</v>
      </c>
      <c r="U29" s="145">
        <f ca="1">IF(U$13="",0,CHOOSE(Detalhamento.OpçãoServiços,OFFSET(Import.PLQ,$A29-1,U$15-1,1,1),IF($E29&lt;&gt;1,IF(ISNUMBER(INDEX(Import.PLE,Detalhamento!$E29,Detalhamento!U$15)),IF(INDEX(Import.PLE,Detalhamento!$E29,Detalhamento!U$15)&lt;=mediçao,OFFSET(Import.PLQ,$A29-1,U$15-1,1,1),0),0),PLE!$AA$28*OFFSET(Import.PLQ,$A29-1,U$15-1,1,1)),IF($E29&lt;&gt;1,IF(ISNUMBER(INDEX(Import.PLE,Detalhamento!$E29,Detalhamento!U$15)),IF(INDEX(Import.PLE,Detalhamento!$E29,Detalhamento!U$15)&lt;=mediçao,0,OFFSET(Import.PLQ,$A29-1,U$15-1,1,1)),OFFSET(Import.PLQ,$A29-1,U$15-1,1,1)),(1-PLE!$AA$28)*OFFSET(Import.PLQ,$A29-1,U$15-1,1,1))))</f>
        <v>0</v>
      </c>
      <c r="V29" s="145">
        <f ca="1">IF(V$13="",0,CHOOSE(Detalhamento.OpçãoServiços,OFFSET(Import.PLQ,$A29-1,V$15-1,1,1),IF($E29&lt;&gt;1,IF(ISNUMBER(INDEX(Import.PLE,Detalhamento!$E29,Detalhamento!V$15)),IF(INDEX(Import.PLE,Detalhamento!$E29,Detalhamento!V$15)&lt;=mediçao,OFFSET(Import.PLQ,$A29-1,V$15-1,1,1),0),0),PLE!$AA$28*OFFSET(Import.PLQ,$A29-1,V$15-1,1,1)),IF($E29&lt;&gt;1,IF(ISNUMBER(INDEX(Import.PLE,Detalhamento!$E29,Detalhamento!V$15)),IF(INDEX(Import.PLE,Detalhamento!$E29,Detalhamento!V$15)&lt;=mediçao,0,OFFSET(Import.PLQ,$A29-1,V$15-1,1,1)),OFFSET(Import.PLQ,$A29-1,V$15-1,1,1)),(1-PLE!$AA$28)*OFFSET(Import.PLQ,$A29-1,V$15-1,1,1))))</f>
        <v>0</v>
      </c>
      <c r="W29" s="145">
        <f ca="1">IF(W$13="",0,CHOOSE(Detalhamento.OpçãoServiços,OFFSET(Import.PLQ,$A29-1,W$15-1,1,1),IF($E29&lt;&gt;1,IF(ISNUMBER(INDEX(Import.PLE,Detalhamento!$E29,Detalhamento!W$15)),IF(INDEX(Import.PLE,Detalhamento!$E29,Detalhamento!W$15)&lt;=mediçao,OFFSET(Import.PLQ,$A29-1,W$15-1,1,1),0),0),PLE!$AA$28*OFFSET(Import.PLQ,$A29-1,W$15-1,1,1)),IF($E29&lt;&gt;1,IF(ISNUMBER(INDEX(Import.PLE,Detalhamento!$E29,Detalhamento!W$15)),IF(INDEX(Import.PLE,Detalhamento!$E29,Detalhamento!W$15)&lt;=mediçao,0,OFFSET(Import.PLQ,$A29-1,W$15-1,1,1)),OFFSET(Import.PLQ,$A29-1,W$15-1,1,1)),(1-PLE!$AA$28)*OFFSET(Import.PLQ,$A29-1,W$15-1,1,1))))</f>
        <v>0</v>
      </c>
      <c r="X29" s="145">
        <f ca="1">IF(X$13="",0,CHOOSE(Detalhamento.OpçãoServiços,OFFSET(Import.PLQ,$A29-1,X$15-1,1,1),IF($E29&lt;&gt;1,IF(ISNUMBER(INDEX(Import.PLE,Detalhamento!$E29,Detalhamento!X$15)),IF(INDEX(Import.PLE,Detalhamento!$E29,Detalhamento!X$15)&lt;=mediçao,OFFSET(Import.PLQ,$A29-1,X$15-1,1,1),0),0),PLE!$AA$28*OFFSET(Import.PLQ,$A29-1,X$15-1,1,1)),IF($E29&lt;&gt;1,IF(ISNUMBER(INDEX(Import.PLE,Detalhamento!$E29,Detalhamento!X$15)),IF(INDEX(Import.PLE,Detalhamento!$E29,Detalhamento!X$15)&lt;=mediçao,0,OFFSET(Import.PLQ,$A29-1,X$15-1,1,1)),OFFSET(Import.PLQ,$A29-1,X$15-1,1,1)),(1-PLE!$AA$28)*OFFSET(Import.PLQ,$A29-1,X$15-1,1,1))))</f>
        <v>0</v>
      </c>
      <c r="Y29" s="145">
        <f ca="1">IF(Y$13="",0,CHOOSE(Detalhamento.OpçãoServiços,OFFSET(Import.PLQ,$A29-1,Y$15-1,1,1),IF($E29&lt;&gt;1,IF(ISNUMBER(INDEX(Import.PLE,Detalhamento!$E29,Detalhamento!Y$15)),IF(INDEX(Import.PLE,Detalhamento!$E29,Detalhamento!Y$15)&lt;=mediçao,OFFSET(Import.PLQ,$A29-1,Y$15-1,1,1),0),0),PLE!$AA$28*OFFSET(Import.PLQ,$A29-1,Y$15-1,1,1)),IF($E29&lt;&gt;1,IF(ISNUMBER(INDEX(Import.PLE,Detalhamento!$E29,Detalhamento!Y$15)),IF(INDEX(Import.PLE,Detalhamento!$E29,Detalhamento!Y$15)&lt;=mediçao,0,OFFSET(Import.PLQ,$A29-1,Y$15-1,1,1)),OFFSET(Import.PLQ,$A29-1,Y$15-1,1,1)),(1-PLE!$AA$28)*OFFSET(Import.PLQ,$A29-1,Y$15-1,1,1))))</f>
        <v>0</v>
      </c>
      <c r="Z29" s="145">
        <f ca="1">IF(Z$13="",0,CHOOSE(Detalhamento.OpçãoServiços,OFFSET(Import.PLQ,$A29-1,Z$15-1,1,1),IF($E29&lt;&gt;1,IF(ISNUMBER(INDEX(Import.PLE,Detalhamento!$E29,Detalhamento!Z$15)),IF(INDEX(Import.PLE,Detalhamento!$E29,Detalhamento!Z$15)&lt;=mediçao,OFFSET(Import.PLQ,$A29-1,Z$15-1,1,1),0),0),PLE!$AA$28*OFFSET(Import.PLQ,$A29-1,Z$15-1,1,1)),IF($E29&lt;&gt;1,IF(ISNUMBER(INDEX(Import.PLE,Detalhamento!$E29,Detalhamento!Z$15)),IF(INDEX(Import.PLE,Detalhamento!$E29,Detalhamento!Z$15)&lt;=mediçao,0,OFFSET(Import.PLQ,$A29-1,Z$15-1,1,1)),OFFSET(Import.PLQ,$A29-1,Z$15-1,1,1)),(1-PLE!$AA$28)*OFFSET(Import.PLQ,$A29-1,Z$15-1,1,1))))</f>
        <v>0</v>
      </c>
      <c r="AA29" s="145">
        <f ca="1">IF(AA$13="",0,CHOOSE(Detalhamento.OpçãoServiços,OFFSET(Import.PLQ,$A29-1,AA$15-1,1,1),IF($E29&lt;&gt;1,IF(ISNUMBER(INDEX(Import.PLE,Detalhamento!$E29,Detalhamento!AA$15)),IF(INDEX(Import.PLE,Detalhamento!$E29,Detalhamento!AA$15)&lt;=mediçao,OFFSET(Import.PLQ,$A29-1,AA$15-1,1,1),0),0),PLE!$AA$28*OFFSET(Import.PLQ,$A29-1,AA$15-1,1,1)),IF($E29&lt;&gt;1,IF(ISNUMBER(INDEX(Import.PLE,Detalhamento!$E29,Detalhamento!AA$15)),IF(INDEX(Import.PLE,Detalhamento!$E29,Detalhamento!AA$15)&lt;=mediçao,0,OFFSET(Import.PLQ,$A29-1,AA$15-1,1,1)),OFFSET(Import.PLQ,$A29-1,AA$15-1,1,1)),(1-PLE!$AA$28)*OFFSET(Import.PLQ,$A29-1,AA$15-1,1,1))))</f>
        <v>0</v>
      </c>
      <c r="AB29" s="145">
        <f ca="1">IF(AB$13="",0,CHOOSE(Detalhamento.OpçãoServiços,OFFSET(Import.PLQ,$A29-1,AB$15-1,1,1),IF($E29&lt;&gt;1,IF(ISNUMBER(INDEX(Import.PLE,Detalhamento!$E29,Detalhamento!AB$15)),IF(INDEX(Import.PLE,Detalhamento!$E29,Detalhamento!AB$15)&lt;=mediçao,OFFSET(Import.PLQ,$A29-1,AB$15-1,1,1),0),0),PLE!$AA$28*OFFSET(Import.PLQ,$A29-1,AB$15-1,1,1)),IF($E29&lt;&gt;1,IF(ISNUMBER(INDEX(Import.PLE,Detalhamento!$E29,Detalhamento!AB$15)),IF(INDEX(Import.PLE,Detalhamento!$E29,Detalhamento!AB$15)&lt;=mediçao,0,OFFSET(Import.PLQ,$A29-1,AB$15-1,1,1)),OFFSET(Import.PLQ,$A29-1,AB$15-1,1,1)),(1-PLE!$AA$28)*OFFSET(Import.PLQ,$A29-1,AB$15-1,1,1))))</f>
        <v>0</v>
      </c>
      <c r="AC29" s="145">
        <f ca="1">IF(AC$13="",0,CHOOSE(Detalhamento.OpçãoServiços,OFFSET(Import.PLQ,$A29-1,AC$15-1,1,1),IF($E29&lt;&gt;1,IF(ISNUMBER(INDEX(Import.PLE,Detalhamento!$E29,Detalhamento!AC$15)),IF(INDEX(Import.PLE,Detalhamento!$E29,Detalhamento!AC$15)&lt;=mediçao,OFFSET(Import.PLQ,$A29-1,AC$15-1,1,1),0),0),PLE!$AA$28*OFFSET(Import.PLQ,$A29-1,AC$15-1,1,1)),IF($E29&lt;&gt;1,IF(ISNUMBER(INDEX(Import.PLE,Detalhamento!$E29,Detalhamento!AC$15)),IF(INDEX(Import.PLE,Detalhamento!$E29,Detalhamento!AC$15)&lt;=mediçao,0,OFFSET(Import.PLQ,$A29-1,AC$15-1,1,1)),OFFSET(Import.PLQ,$A29-1,AC$15-1,1,1)),(1-PLE!$AA$28)*OFFSET(Import.PLQ,$A29-1,AC$15-1,1,1))))</f>
        <v>0</v>
      </c>
      <c r="AD29" s="145">
        <f ca="1">IF(AD$13="",0,CHOOSE(Detalhamento.OpçãoServiços,OFFSET(Import.PLQ,$A29-1,AD$15-1,1,1),IF($E29&lt;&gt;1,IF(ISNUMBER(INDEX(Import.PLE,Detalhamento!$E29,Detalhamento!AD$15)),IF(INDEX(Import.PLE,Detalhamento!$E29,Detalhamento!AD$15)&lt;=mediçao,OFFSET(Import.PLQ,$A29-1,AD$15-1,1,1),0),0),PLE!$AA$28*OFFSET(Import.PLQ,$A29-1,AD$15-1,1,1)),IF($E29&lt;&gt;1,IF(ISNUMBER(INDEX(Import.PLE,Detalhamento!$E29,Detalhamento!AD$15)),IF(INDEX(Import.PLE,Detalhamento!$E29,Detalhamento!AD$15)&lt;=mediçao,0,OFFSET(Import.PLQ,$A29-1,AD$15-1,1,1)),OFFSET(Import.PLQ,$A29-1,AD$15-1,1,1)),(1-PLE!$AA$28)*OFFSET(Import.PLQ,$A29-1,AD$15-1,1,1))))</f>
        <v>0</v>
      </c>
      <c r="AE29" s="145">
        <f ca="1">IF(AE$13="",0,CHOOSE(Detalhamento.OpçãoServiços,OFFSET(Import.PLQ,$A29-1,AE$15-1,1,1),IF($E29&lt;&gt;1,IF(ISNUMBER(INDEX(Import.PLE,Detalhamento!$E29,Detalhamento!AE$15)),IF(INDEX(Import.PLE,Detalhamento!$E29,Detalhamento!AE$15)&lt;=mediçao,OFFSET(Import.PLQ,$A29-1,AE$15-1,1,1),0),0),PLE!$AA$28*OFFSET(Import.PLQ,$A29-1,AE$15-1,1,1)),IF($E29&lt;&gt;1,IF(ISNUMBER(INDEX(Import.PLE,Detalhamento!$E29,Detalhamento!AE$15)),IF(INDEX(Import.PLE,Detalhamento!$E29,Detalhamento!AE$15)&lt;=mediçao,0,OFFSET(Import.PLQ,$A29-1,AE$15-1,1,1)),OFFSET(Import.PLQ,$A29-1,AE$15-1,1,1)),(1-PLE!$AA$28)*OFFSET(Import.PLQ,$A29-1,AE$15-1,1,1))))</f>
        <v>0</v>
      </c>
      <c r="AF29" s="145">
        <f ca="1">IF(AF$13="",0,CHOOSE(Detalhamento.OpçãoServiços,OFFSET(Import.PLQ,$A29-1,AF$15-1,1,1),IF($E29&lt;&gt;1,IF(ISNUMBER(INDEX(Import.PLE,Detalhamento!$E29,Detalhamento!AF$15)),IF(INDEX(Import.PLE,Detalhamento!$E29,Detalhamento!AF$15)&lt;=mediçao,OFFSET(Import.PLQ,$A29-1,AF$15-1,1,1),0),0),PLE!$AA$28*OFFSET(Import.PLQ,$A29-1,AF$15-1,1,1)),IF($E29&lt;&gt;1,IF(ISNUMBER(INDEX(Import.PLE,Detalhamento!$E29,Detalhamento!AF$15)),IF(INDEX(Import.PLE,Detalhamento!$E29,Detalhamento!AF$15)&lt;=mediçao,0,OFFSET(Import.PLQ,$A29-1,AF$15-1,1,1)),OFFSET(Import.PLQ,$A29-1,AF$15-1,1,1)),(1-PLE!$AA$28)*OFFSET(Import.PLQ,$A29-1,AF$15-1,1,1))))</f>
        <v>0</v>
      </c>
      <c r="AG29" s="145">
        <f ca="1">IF(AG$13="",0,CHOOSE(Detalhamento.OpçãoServiços,OFFSET(Import.PLQ,$A29-1,AG$15-1,1,1),IF($E29&lt;&gt;1,IF(ISNUMBER(INDEX(Import.PLE,Detalhamento!$E29,Detalhamento!AG$15)),IF(INDEX(Import.PLE,Detalhamento!$E29,Detalhamento!AG$15)&lt;=mediçao,OFFSET(Import.PLQ,$A29-1,AG$15-1,1,1),0),0),PLE!$AA$28*OFFSET(Import.PLQ,$A29-1,AG$15-1,1,1)),IF($E29&lt;&gt;1,IF(ISNUMBER(INDEX(Import.PLE,Detalhamento!$E29,Detalhamento!AG$15)),IF(INDEX(Import.PLE,Detalhamento!$E29,Detalhamento!AG$15)&lt;=mediçao,0,OFFSET(Import.PLQ,$A29-1,AG$15-1,1,1)),OFFSET(Import.PLQ,$A29-1,AG$15-1,1,1)),(1-PLE!$AA$28)*OFFSET(Import.PLQ,$A29-1,AG$15-1,1,1))))</f>
        <v>0</v>
      </c>
      <c r="AH29" s="145">
        <f ca="1">IF(AH$13="",0,CHOOSE(Detalhamento.OpçãoServiços,OFFSET(Import.PLQ,$A29-1,AH$15-1,1,1),IF($E29&lt;&gt;1,IF(ISNUMBER(INDEX(Import.PLE,Detalhamento!$E29,Detalhamento!AH$15)),IF(INDEX(Import.PLE,Detalhamento!$E29,Detalhamento!AH$15)&lt;=mediçao,OFFSET(Import.PLQ,$A29-1,AH$15-1,1,1),0),0),PLE!$AA$28*OFFSET(Import.PLQ,$A29-1,AH$15-1,1,1)),IF($E29&lt;&gt;1,IF(ISNUMBER(INDEX(Import.PLE,Detalhamento!$E29,Detalhamento!AH$15)),IF(INDEX(Import.PLE,Detalhamento!$E29,Detalhamento!AH$15)&lt;=mediçao,0,OFFSET(Import.PLQ,$A29-1,AH$15-1,1,1)),OFFSET(Import.PLQ,$A29-1,AH$15-1,1,1)),(1-PLE!$AA$28)*OFFSET(Import.PLQ,$A29-1,AH$15-1,1,1))))</f>
        <v>0</v>
      </c>
      <c r="AI29" s="145">
        <f ca="1">IF(AI$13="",0,CHOOSE(Detalhamento.OpçãoServiços,OFFSET(Import.PLQ,$A29-1,AI$15-1,1,1),IF($E29&lt;&gt;1,IF(ISNUMBER(INDEX(Import.PLE,Detalhamento!$E29,Detalhamento!AI$15)),IF(INDEX(Import.PLE,Detalhamento!$E29,Detalhamento!AI$15)&lt;=mediçao,OFFSET(Import.PLQ,$A29-1,AI$15-1,1,1),0),0),PLE!$AA$28*OFFSET(Import.PLQ,$A29-1,AI$15-1,1,1)),IF($E29&lt;&gt;1,IF(ISNUMBER(INDEX(Import.PLE,Detalhamento!$E29,Detalhamento!AI$15)),IF(INDEX(Import.PLE,Detalhamento!$E29,Detalhamento!AI$15)&lt;=mediçao,0,OFFSET(Import.PLQ,$A29-1,AI$15-1,1,1)),OFFSET(Import.PLQ,$A29-1,AI$15-1,1,1)),(1-PLE!$AA$28)*OFFSET(Import.PLQ,$A29-1,AI$15-1,1,1))))</f>
        <v>0</v>
      </c>
      <c r="AJ29" s="145">
        <f ca="1">IF(AJ$13="",0,CHOOSE(Detalhamento.OpçãoServiços,OFFSET(Import.PLQ,$A29-1,AJ$15-1,1,1),IF($E29&lt;&gt;1,IF(ISNUMBER(INDEX(Import.PLE,Detalhamento!$E29,Detalhamento!AJ$15)),IF(INDEX(Import.PLE,Detalhamento!$E29,Detalhamento!AJ$15)&lt;=mediçao,OFFSET(Import.PLQ,$A29-1,AJ$15-1,1,1),0),0),PLE!$AA$28*OFFSET(Import.PLQ,$A29-1,AJ$15-1,1,1)),IF($E29&lt;&gt;1,IF(ISNUMBER(INDEX(Import.PLE,Detalhamento!$E29,Detalhamento!AJ$15)),IF(INDEX(Import.PLE,Detalhamento!$E29,Detalhamento!AJ$15)&lt;=mediçao,0,OFFSET(Import.PLQ,$A29-1,AJ$15-1,1,1)),OFFSET(Import.PLQ,$A29-1,AJ$15-1,1,1)),(1-PLE!$AA$28)*OFFSET(Import.PLQ,$A29-1,AJ$15-1,1,1))))</f>
        <v>0</v>
      </c>
      <c r="AK29" s="145">
        <f ca="1">IF(AK$13="",0,CHOOSE(Detalhamento.OpçãoServiços,OFFSET(Import.PLQ,$A29-1,AK$15-1,1,1),IF($E29&lt;&gt;1,IF(ISNUMBER(INDEX(Import.PLE,Detalhamento!$E29,Detalhamento!AK$15)),IF(INDEX(Import.PLE,Detalhamento!$E29,Detalhamento!AK$15)&lt;=mediçao,OFFSET(Import.PLQ,$A29-1,AK$15-1,1,1),0),0),PLE!$AA$28*OFFSET(Import.PLQ,$A29-1,AK$15-1,1,1)),IF($E29&lt;&gt;1,IF(ISNUMBER(INDEX(Import.PLE,Detalhamento!$E29,Detalhamento!AK$15)),IF(INDEX(Import.PLE,Detalhamento!$E29,Detalhamento!AK$15)&lt;=mediçao,0,OFFSET(Import.PLQ,$A29-1,AK$15-1,1,1)),OFFSET(Import.PLQ,$A29-1,AK$15-1,1,1)),(1-PLE!$AA$28)*OFFSET(Import.PLQ,$A29-1,AK$15-1,1,1))))</f>
        <v>0</v>
      </c>
      <c r="AL29" s="145">
        <f ca="1">IF(AL$13="",0,CHOOSE(Detalhamento.OpçãoServiços,OFFSET(Import.PLQ,$A29-1,AL$15-1,1,1),IF($E29&lt;&gt;1,IF(ISNUMBER(INDEX(Import.PLE,Detalhamento!$E29,Detalhamento!AL$15)),IF(INDEX(Import.PLE,Detalhamento!$E29,Detalhamento!AL$15)&lt;=mediçao,OFFSET(Import.PLQ,$A29-1,AL$15-1,1,1),0),0),PLE!$AA$28*OFFSET(Import.PLQ,$A29-1,AL$15-1,1,1)),IF($E29&lt;&gt;1,IF(ISNUMBER(INDEX(Import.PLE,Detalhamento!$E29,Detalhamento!AL$15)),IF(INDEX(Import.PLE,Detalhamento!$E29,Detalhamento!AL$15)&lt;=mediçao,0,OFFSET(Import.PLQ,$A29-1,AL$15-1,1,1)),OFFSET(Import.PLQ,$A29-1,AL$15-1,1,1)),(1-PLE!$AA$28)*OFFSET(Import.PLQ,$A29-1,AL$15-1,1,1))))</f>
        <v>0</v>
      </c>
      <c r="AM29" s="145">
        <f ca="1">IF(AM$13="",0,CHOOSE(Detalhamento.OpçãoServiços,OFFSET(Import.PLQ,$A29-1,AM$15-1,1,1),IF($E29&lt;&gt;1,IF(ISNUMBER(INDEX(Import.PLE,Detalhamento!$E29,Detalhamento!AM$15)),IF(INDEX(Import.PLE,Detalhamento!$E29,Detalhamento!AM$15)&lt;=mediçao,OFFSET(Import.PLQ,$A29-1,AM$15-1,1,1),0),0),PLE!$AA$28*OFFSET(Import.PLQ,$A29-1,AM$15-1,1,1)),IF($E29&lt;&gt;1,IF(ISNUMBER(INDEX(Import.PLE,Detalhamento!$E29,Detalhamento!AM$15)),IF(INDEX(Import.PLE,Detalhamento!$E29,Detalhamento!AM$15)&lt;=mediçao,0,OFFSET(Import.PLQ,$A29-1,AM$15-1,1,1)),OFFSET(Import.PLQ,$A29-1,AM$15-1,1,1)),(1-PLE!$AA$28)*OFFSET(Import.PLQ,$A29-1,AM$15-1,1,1))))</f>
        <v>0</v>
      </c>
      <c r="AN29" s="145">
        <f ca="1">IF(AN$13="",0,CHOOSE(Detalhamento.OpçãoServiços,OFFSET(Import.PLQ,$A29-1,AN$15-1,1,1),IF($E29&lt;&gt;1,IF(ISNUMBER(INDEX(Import.PLE,Detalhamento!$E29,Detalhamento!AN$15)),IF(INDEX(Import.PLE,Detalhamento!$E29,Detalhamento!AN$15)&lt;=mediçao,OFFSET(Import.PLQ,$A29-1,AN$15-1,1,1),0),0),PLE!$AA$28*OFFSET(Import.PLQ,$A29-1,AN$15-1,1,1)),IF($E29&lt;&gt;1,IF(ISNUMBER(INDEX(Import.PLE,Detalhamento!$E29,Detalhamento!AN$15)),IF(INDEX(Import.PLE,Detalhamento!$E29,Detalhamento!AN$15)&lt;=mediçao,0,OFFSET(Import.PLQ,$A29-1,AN$15-1,1,1)),OFFSET(Import.PLQ,$A29-1,AN$15-1,1,1)),(1-PLE!$AA$28)*OFFSET(Import.PLQ,$A29-1,AN$15-1,1,1))))</f>
        <v>0</v>
      </c>
      <c r="AO29" s="145">
        <f ca="1">IF(AO$13="",0,CHOOSE(Detalhamento.OpçãoServiços,OFFSET(Import.PLQ,$A29-1,AO$15-1,1,1),IF($E29&lt;&gt;1,IF(ISNUMBER(INDEX(Import.PLE,Detalhamento!$E29,Detalhamento!AO$15)),IF(INDEX(Import.PLE,Detalhamento!$E29,Detalhamento!AO$15)&lt;=mediçao,OFFSET(Import.PLQ,$A29-1,AO$15-1,1,1),0),0),PLE!$AA$28*OFFSET(Import.PLQ,$A29-1,AO$15-1,1,1)),IF($E29&lt;&gt;1,IF(ISNUMBER(INDEX(Import.PLE,Detalhamento!$E29,Detalhamento!AO$15)),IF(INDEX(Import.PLE,Detalhamento!$E29,Detalhamento!AO$15)&lt;=mediçao,0,OFFSET(Import.PLQ,$A29-1,AO$15-1,1,1)),OFFSET(Import.PLQ,$A29-1,AO$15-1,1,1)),(1-PLE!$AA$28)*OFFSET(Import.PLQ,$A29-1,AO$15-1,1,1))))</f>
        <v>0</v>
      </c>
      <c r="AP29" s="145">
        <f ca="1">IF(AP$13="",0,CHOOSE(Detalhamento.OpçãoServiços,OFFSET(Import.PLQ,$A29-1,AP$15-1,1,1),IF($E29&lt;&gt;1,IF(ISNUMBER(INDEX(Import.PLE,Detalhamento!$E29,Detalhamento!AP$15)),IF(INDEX(Import.PLE,Detalhamento!$E29,Detalhamento!AP$15)&lt;=mediçao,OFFSET(Import.PLQ,$A29-1,AP$15-1,1,1),0),0),PLE!$AA$28*OFFSET(Import.PLQ,$A29-1,AP$15-1,1,1)),IF($E29&lt;&gt;1,IF(ISNUMBER(INDEX(Import.PLE,Detalhamento!$E29,Detalhamento!AP$15)),IF(INDEX(Import.PLE,Detalhamento!$E29,Detalhamento!AP$15)&lt;=mediçao,0,OFFSET(Import.PLQ,$A29-1,AP$15-1,1,1)),OFFSET(Import.PLQ,$A29-1,AP$15-1,1,1)),(1-PLE!$AA$28)*OFFSET(Import.PLQ,$A29-1,AP$15-1,1,1))))</f>
        <v>0</v>
      </c>
      <c r="AQ29" s="145">
        <f ca="1">IF(AQ$13="",0,CHOOSE(Detalhamento.OpçãoServiços,OFFSET(Import.PLQ,$A29-1,AQ$15-1,1,1),IF($E29&lt;&gt;1,IF(ISNUMBER(INDEX(Import.PLE,Detalhamento!$E29,Detalhamento!AQ$15)),IF(INDEX(Import.PLE,Detalhamento!$E29,Detalhamento!AQ$15)&lt;=mediçao,OFFSET(Import.PLQ,$A29-1,AQ$15-1,1,1),0),0),PLE!$AA$28*OFFSET(Import.PLQ,$A29-1,AQ$15-1,1,1)),IF($E29&lt;&gt;1,IF(ISNUMBER(INDEX(Import.PLE,Detalhamento!$E29,Detalhamento!AQ$15)),IF(INDEX(Import.PLE,Detalhamento!$E29,Detalhamento!AQ$15)&lt;=mediçao,0,OFFSET(Import.PLQ,$A29-1,AQ$15-1,1,1)),OFFSET(Import.PLQ,$A29-1,AQ$15-1,1,1)),(1-PLE!$AA$28)*OFFSET(Import.PLQ,$A29-1,AQ$15-1,1,1))))</f>
        <v>0</v>
      </c>
      <c r="AR29" s="145">
        <f ca="1">IF(AR$13="",0,CHOOSE(Detalhamento.OpçãoServiços,OFFSET(Import.PLQ,$A29-1,AR$15-1,1,1),IF($E29&lt;&gt;1,IF(ISNUMBER(INDEX(Import.PLE,Detalhamento!$E29,Detalhamento!AR$15)),IF(INDEX(Import.PLE,Detalhamento!$E29,Detalhamento!AR$15)&lt;=mediçao,OFFSET(Import.PLQ,$A29-1,AR$15-1,1,1),0),0),PLE!$AA$28*OFFSET(Import.PLQ,$A29-1,AR$15-1,1,1)),IF($E29&lt;&gt;1,IF(ISNUMBER(INDEX(Import.PLE,Detalhamento!$E29,Detalhamento!AR$15)),IF(INDEX(Import.PLE,Detalhamento!$E29,Detalhamento!AR$15)&lt;=mediçao,0,OFFSET(Import.PLQ,$A29-1,AR$15-1,1,1)),OFFSET(Import.PLQ,$A29-1,AR$15-1,1,1)),(1-PLE!$AA$28)*OFFSET(Import.PLQ,$A29-1,AR$15-1,1,1))))</f>
        <v>0</v>
      </c>
      <c r="AS29" s="145">
        <f ca="1">IF(AS$13="",0,CHOOSE(Detalhamento.OpçãoServiços,OFFSET(Import.PLQ,$A29-1,AS$15-1,1,1),IF($E29&lt;&gt;1,IF(ISNUMBER(INDEX(Import.PLE,Detalhamento!$E29,Detalhamento!AS$15)),IF(INDEX(Import.PLE,Detalhamento!$E29,Detalhamento!AS$15)&lt;=mediçao,OFFSET(Import.PLQ,$A29-1,AS$15-1,1,1),0),0),PLE!$AA$28*OFFSET(Import.PLQ,$A29-1,AS$15-1,1,1)),IF($E29&lt;&gt;1,IF(ISNUMBER(INDEX(Import.PLE,Detalhamento!$E29,Detalhamento!AS$15)),IF(INDEX(Import.PLE,Detalhamento!$E29,Detalhamento!AS$15)&lt;=mediçao,0,OFFSET(Import.PLQ,$A29-1,AS$15-1,1,1)),OFFSET(Import.PLQ,$A29-1,AS$15-1,1,1)),(1-PLE!$AA$28)*OFFSET(Import.PLQ,$A29-1,AS$15-1,1,1))))</f>
        <v>0</v>
      </c>
      <c r="AT29" s="145">
        <f ca="1">IF(AT$13="",0,CHOOSE(Detalhamento.OpçãoServiços,OFFSET(Import.PLQ,$A29-1,AT$15-1,1,1),IF($E29&lt;&gt;1,IF(ISNUMBER(INDEX(Import.PLE,Detalhamento!$E29,Detalhamento!AT$15)),IF(INDEX(Import.PLE,Detalhamento!$E29,Detalhamento!AT$15)&lt;=mediçao,OFFSET(Import.PLQ,$A29-1,AT$15-1,1,1),0),0),PLE!$AA$28*OFFSET(Import.PLQ,$A29-1,AT$15-1,1,1)),IF($E29&lt;&gt;1,IF(ISNUMBER(INDEX(Import.PLE,Detalhamento!$E29,Detalhamento!AT$15)),IF(INDEX(Import.PLE,Detalhamento!$E29,Detalhamento!AT$15)&lt;=mediçao,0,OFFSET(Import.PLQ,$A29-1,AT$15-1,1,1)),OFFSET(Import.PLQ,$A29-1,AT$15-1,1,1)),(1-PLE!$AA$28)*OFFSET(Import.PLQ,$A29-1,AT$15-1,1,1))))</f>
        <v>0</v>
      </c>
      <c r="AU29" s="145">
        <f ca="1">IF(AU$13="",0,CHOOSE(Detalhamento.OpçãoServiços,OFFSET(Import.PLQ,$A29-1,AU$15-1,1,1),IF($E29&lt;&gt;1,IF(ISNUMBER(INDEX(Import.PLE,Detalhamento!$E29,Detalhamento!AU$15)),IF(INDEX(Import.PLE,Detalhamento!$E29,Detalhamento!AU$15)&lt;=mediçao,OFFSET(Import.PLQ,$A29-1,AU$15-1,1,1),0),0),PLE!$AA$28*OFFSET(Import.PLQ,$A29-1,AU$15-1,1,1)),IF($E29&lt;&gt;1,IF(ISNUMBER(INDEX(Import.PLE,Detalhamento!$E29,Detalhamento!AU$15)),IF(INDEX(Import.PLE,Detalhamento!$E29,Detalhamento!AU$15)&lt;=mediçao,0,OFFSET(Import.PLQ,$A29-1,AU$15-1,1,1)),OFFSET(Import.PLQ,$A29-1,AU$15-1,1,1)),(1-PLE!$AA$28)*OFFSET(Import.PLQ,$A29-1,AU$15-1,1,1))))</f>
        <v>0</v>
      </c>
      <c r="AV29" s="145">
        <f ca="1">IF(AV$13="",0,CHOOSE(Detalhamento.OpçãoServiços,OFFSET(Import.PLQ,$A29-1,AV$15-1,1,1),IF($E29&lt;&gt;1,IF(ISNUMBER(INDEX(Import.PLE,Detalhamento!$E29,Detalhamento!AV$15)),IF(INDEX(Import.PLE,Detalhamento!$E29,Detalhamento!AV$15)&lt;=mediçao,OFFSET(Import.PLQ,$A29-1,AV$15-1,1,1),0),0),PLE!$AA$28*OFFSET(Import.PLQ,$A29-1,AV$15-1,1,1)),IF($E29&lt;&gt;1,IF(ISNUMBER(INDEX(Import.PLE,Detalhamento!$E29,Detalhamento!AV$15)),IF(INDEX(Import.PLE,Detalhamento!$E29,Detalhamento!AV$15)&lt;=mediçao,0,OFFSET(Import.PLQ,$A29-1,AV$15-1,1,1)),OFFSET(Import.PLQ,$A29-1,AV$15-1,1,1)),(1-PLE!$AA$28)*OFFSET(Import.PLQ,$A29-1,AV$15-1,1,1))))</f>
        <v>0</v>
      </c>
      <c r="AW29" s="145">
        <f ca="1">IF(AW$13="",0,CHOOSE(Detalhamento.OpçãoServiços,OFFSET(Import.PLQ,$A29-1,AW$15-1,1,1),IF($E29&lt;&gt;1,IF(ISNUMBER(INDEX(Import.PLE,Detalhamento!$E29,Detalhamento!AW$15)),IF(INDEX(Import.PLE,Detalhamento!$E29,Detalhamento!AW$15)&lt;=mediçao,OFFSET(Import.PLQ,$A29-1,AW$15-1,1,1),0),0),PLE!$AA$28*OFFSET(Import.PLQ,$A29-1,AW$15-1,1,1)),IF($E29&lt;&gt;1,IF(ISNUMBER(INDEX(Import.PLE,Detalhamento!$E29,Detalhamento!AW$15)),IF(INDEX(Import.PLE,Detalhamento!$E29,Detalhamento!AW$15)&lt;=mediçao,0,OFFSET(Import.PLQ,$A29-1,AW$15-1,1,1)),OFFSET(Import.PLQ,$A29-1,AW$15-1,1,1)),(1-PLE!$AA$28)*OFFSET(Import.PLQ,$A29-1,AW$15-1,1,1))))</f>
        <v>0</v>
      </c>
      <c r="AX29" s="145">
        <f ca="1">IF(AX$13="",0,CHOOSE(Detalhamento.OpçãoServiços,OFFSET(Import.PLQ,$A29-1,AX$15-1,1,1),IF($E29&lt;&gt;1,IF(ISNUMBER(INDEX(Import.PLE,Detalhamento!$E29,Detalhamento!AX$15)),IF(INDEX(Import.PLE,Detalhamento!$E29,Detalhamento!AX$15)&lt;=mediçao,OFFSET(Import.PLQ,$A29-1,AX$15-1,1,1),0),0),PLE!$AA$28*OFFSET(Import.PLQ,$A29-1,AX$15-1,1,1)),IF($E29&lt;&gt;1,IF(ISNUMBER(INDEX(Import.PLE,Detalhamento!$E29,Detalhamento!AX$15)),IF(INDEX(Import.PLE,Detalhamento!$E29,Detalhamento!AX$15)&lt;=mediçao,0,OFFSET(Import.PLQ,$A29-1,AX$15-1,1,1)),OFFSET(Import.PLQ,$A29-1,AX$15-1,1,1)),(1-PLE!$AA$28)*OFFSET(Import.PLQ,$A29-1,AX$15-1,1,1))))</f>
        <v>0</v>
      </c>
      <c r="AY29" s="145">
        <f ca="1">IF(AY$13="",0,CHOOSE(Detalhamento.OpçãoServiços,OFFSET(Import.PLQ,$A29-1,AY$15-1,1,1),IF($E29&lt;&gt;1,IF(ISNUMBER(INDEX(Import.PLE,Detalhamento!$E29,Detalhamento!AY$15)),IF(INDEX(Import.PLE,Detalhamento!$E29,Detalhamento!AY$15)&lt;=mediçao,OFFSET(Import.PLQ,$A29-1,AY$15-1,1,1),0),0),PLE!$AA$28*OFFSET(Import.PLQ,$A29-1,AY$15-1,1,1)),IF($E29&lt;&gt;1,IF(ISNUMBER(INDEX(Import.PLE,Detalhamento!$E29,Detalhamento!AY$15)),IF(INDEX(Import.PLE,Detalhamento!$E29,Detalhamento!AY$15)&lt;=mediçao,0,OFFSET(Import.PLQ,$A29-1,AY$15-1,1,1)),OFFSET(Import.PLQ,$A29-1,AY$15-1,1,1)),(1-PLE!$AA$28)*OFFSET(Import.PLQ,$A29-1,AY$15-1,1,1))))</f>
        <v>0</v>
      </c>
      <c r="AZ29" s="145">
        <f ca="1">IF(AZ$13="",0,CHOOSE(Detalhamento.OpçãoServiços,OFFSET(Import.PLQ,$A29-1,AZ$15-1,1,1),IF($E29&lt;&gt;1,IF(ISNUMBER(INDEX(Import.PLE,Detalhamento!$E29,Detalhamento!AZ$15)),IF(INDEX(Import.PLE,Detalhamento!$E29,Detalhamento!AZ$15)&lt;=mediçao,OFFSET(Import.PLQ,$A29-1,AZ$15-1,1,1),0),0),PLE!$AA$28*OFFSET(Import.PLQ,$A29-1,AZ$15-1,1,1)),IF($E29&lt;&gt;1,IF(ISNUMBER(INDEX(Import.PLE,Detalhamento!$E29,Detalhamento!AZ$15)),IF(INDEX(Import.PLE,Detalhamento!$E29,Detalhamento!AZ$15)&lt;=mediçao,0,OFFSET(Import.PLQ,$A29-1,AZ$15-1,1,1)),OFFSET(Import.PLQ,$A29-1,AZ$15-1,1,1)),(1-PLE!$AA$28)*OFFSET(Import.PLQ,$A29-1,AZ$15-1,1,1))))</f>
        <v>0</v>
      </c>
      <c r="BA29" s="145">
        <f ca="1">IF(BA$13="",0,CHOOSE(Detalhamento.OpçãoServiços,OFFSET(Import.PLQ,$A29-1,BA$15-1,1,1),IF($E29&lt;&gt;1,IF(ISNUMBER(INDEX(Import.PLE,Detalhamento!$E29,Detalhamento!BA$15)),IF(INDEX(Import.PLE,Detalhamento!$E29,Detalhamento!BA$15)&lt;=mediçao,OFFSET(Import.PLQ,$A29-1,BA$15-1,1,1),0),0),PLE!$AA$28*OFFSET(Import.PLQ,$A29-1,BA$15-1,1,1)),IF($E29&lt;&gt;1,IF(ISNUMBER(INDEX(Import.PLE,Detalhamento!$E29,Detalhamento!BA$15)),IF(INDEX(Import.PLE,Detalhamento!$E29,Detalhamento!BA$15)&lt;=mediçao,0,OFFSET(Import.PLQ,$A29-1,BA$15-1,1,1)),OFFSET(Import.PLQ,$A29-1,BA$15-1,1,1)),(1-PLE!$AA$28)*OFFSET(Import.PLQ,$A29-1,BA$15-1,1,1))))</f>
        <v>0</v>
      </c>
      <c r="BB29" s="145">
        <f ca="1">IF(BB$13="",0,CHOOSE(Detalhamento.OpçãoServiços,OFFSET(Import.PLQ,$A29-1,BB$15-1,1,1),IF($E29&lt;&gt;1,IF(ISNUMBER(INDEX(Import.PLE,Detalhamento!$E29,Detalhamento!BB$15)),IF(INDEX(Import.PLE,Detalhamento!$E29,Detalhamento!BB$15)&lt;=mediçao,OFFSET(Import.PLQ,$A29-1,BB$15-1,1,1),0),0),PLE!$AA$28*OFFSET(Import.PLQ,$A29-1,BB$15-1,1,1)),IF($E29&lt;&gt;1,IF(ISNUMBER(INDEX(Import.PLE,Detalhamento!$E29,Detalhamento!BB$15)),IF(INDEX(Import.PLE,Detalhamento!$E29,Detalhamento!BB$15)&lt;=mediçao,0,OFFSET(Import.PLQ,$A29-1,BB$15-1,1,1)),OFFSET(Import.PLQ,$A29-1,BB$15-1,1,1)),(1-PLE!$AA$28)*OFFSET(Import.PLQ,$A29-1,BB$15-1,1,1))))</f>
        <v>0</v>
      </c>
      <c r="BC29" s="145">
        <f ca="1">IF(BC$13="",0,CHOOSE(Detalhamento.OpçãoServiços,OFFSET(Import.PLQ,$A29-1,BC$15-1,1,1),IF($E29&lt;&gt;1,IF(ISNUMBER(INDEX(Import.PLE,Detalhamento!$E29,Detalhamento!BC$15)),IF(INDEX(Import.PLE,Detalhamento!$E29,Detalhamento!BC$15)&lt;=mediçao,OFFSET(Import.PLQ,$A29-1,BC$15-1,1,1),0),0),PLE!$AA$28*OFFSET(Import.PLQ,$A29-1,BC$15-1,1,1)),IF($E29&lt;&gt;1,IF(ISNUMBER(INDEX(Import.PLE,Detalhamento!$E29,Detalhamento!BC$15)),IF(INDEX(Import.PLE,Detalhamento!$E29,Detalhamento!BC$15)&lt;=mediçao,0,OFFSET(Import.PLQ,$A29-1,BC$15-1,1,1)),OFFSET(Import.PLQ,$A29-1,BC$15-1,1,1)),(1-PLE!$AA$28)*OFFSET(Import.PLQ,$A29-1,BC$15-1,1,1))))</f>
        <v>0</v>
      </c>
      <c r="BD29" s="145">
        <f ca="1">IF(BD$13="",0,CHOOSE(Detalhamento.OpçãoServiços,OFFSET(Import.PLQ,$A29-1,BD$15-1,1,1),IF($E29&lt;&gt;1,IF(ISNUMBER(INDEX(Import.PLE,Detalhamento!$E29,Detalhamento!BD$15)),IF(INDEX(Import.PLE,Detalhamento!$E29,Detalhamento!BD$15)&lt;=mediçao,OFFSET(Import.PLQ,$A29-1,BD$15-1,1,1),0),0),PLE!$AA$28*OFFSET(Import.PLQ,$A29-1,BD$15-1,1,1)),IF($E29&lt;&gt;1,IF(ISNUMBER(INDEX(Import.PLE,Detalhamento!$E29,Detalhamento!BD$15)),IF(INDEX(Import.PLE,Detalhamento!$E29,Detalhamento!BD$15)&lt;=mediçao,0,OFFSET(Import.PLQ,$A29-1,BD$15-1,1,1)),OFFSET(Import.PLQ,$A29-1,BD$15-1,1,1)),(1-PLE!$AA$28)*OFFSET(Import.PLQ,$A29-1,BD$15-1,1,1))))</f>
        <v>0</v>
      </c>
      <c r="BE29" s="145">
        <f ca="1">IF(BE$13="",0,CHOOSE(Detalhamento.OpçãoServiços,OFFSET(Import.PLQ,$A29-1,BE$15-1,1,1),IF($E29&lt;&gt;1,IF(ISNUMBER(INDEX(Import.PLE,Detalhamento!$E29,Detalhamento!BE$15)),IF(INDEX(Import.PLE,Detalhamento!$E29,Detalhamento!BE$15)&lt;=mediçao,OFFSET(Import.PLQ,$A29-1,BE$15-1,1,1),0),0),PLE!$AA$28*OFFSET(Import.PLQ,$A29-1,BE$15-1,1,1)),IF($E29&lt;&gt;1,IF(ISNUMBER(INDEX(Import.PLE,Detalhamento!$E29,Detalhamento!BE$15)),IF(INDEX(Import.PLE,Detalhamento!$E29,Detalhamento!BE$15)&lt;=mediçao,0,OFFSET(Import.PLQ,$A29-1,BE$15-1,1,1)),OFFSET(Import.PLQ,$A29-1,BE$15-1,1,1)),(1-PLE!$AA$28)*OFFSET(Import.PLQ,$A29-1,BE$15-1,1,1))))</f>
        <v>0</v>
      </c>
      <c r="BF29" s="145">
        <f ca="1">IF(BF$13="",0,CHOOSE(Detalhamento.OpçãoServiços,OFFSET(Import.PLQ,$A29-1,BF$15-1,1,1),IF($E29&lt;&gt;1,IF(ISNUMBER(INDEX(Import.PLE,Detalhamento!$E29,Detalhamento!BF$15)),IF(INDEX(Import.PLE,Detalhamento!$E29,Detalhamento!BF$15)&lt;=mediçao,OFFSET(Import.PLQ,$A29-1,BF$15-1,1,1),0),0),PLE!$AA$28*OFFSET(Import.PLQ,$A29-1,BF$15-1,1,1)),IF($E29&lt;&gt;1,IF(ISNUMBER(INDEX(Import.PLE,Detalhamento!$E29,Detalhamento!BF$15)),IF(INDEX(Import.PLE,Detalhamento!$E29,Detalhamento!BF$15)&lt;=mediçao,0,OFFSET(Import.PLQ,$A29-1,BF$15-1,1,1)),OFFSET(Import.PLQ,$A29-1,BF$15-1,1,1)),(1-PLE!$AA$28)*OFFSET(Import.PLQ,$A29-1,BF$15-1,1,1))))</f>
        <v>0</v>
      </c>
      <c r="BG29" s="145">
        <f ca="1">IF(BG$13="",0,CHOOSE(Detalhamento.OpçãoServiços,OFFSET(Import.PLQ,$A29-1,BG$15-1,1,1),IF($E29&lt;&gt;1,IF(ISNUMBER(INDEX(Import.PLE,Detalhamento!$E29,Detalhamento!BG$15)),IF(INDEX(Import.PLE,Detalhamento!$E29,Detalhamento!BG$15)&lt;=mediçao,OFFSET(Import.PLQ,$A29-1,BG$15-1,1,1),0),0),PLE!$AA$28*OFFSET(Import.PLQ,$A29-1,BG$15-1,1,1)),IF($E29&lt;&gt;1,IF(ISNUMBER(INDEX(Import.PLE,Detalhamento!$E29,Detalhamento!BG$15)),IF(INDEX(Import.PLE,Detalhamento!$E29,Detalhamento!BG$15)&lt;=mediçao,0,OFFSET(Import.PLQ,$A29-1,BG$15-1,1,1)),OFFSET(Import.PLQ,$A29-1,BG$15-1,1,1)),(1-PLE!$AA$28)*OFFSET(Import.PLQ,$A29-1,BG$15-1,1,1))))</f>
        <v>0</v>
      </c>
      <c r="BH29" s="145">
        <f ca="1">IF(BH$13="",0,CHOOSE(Detalhamento.OpçãoServiços,OFFSET(Import.PLQ,$A29-1,BH$15-1,1,1),IF($E29&lt;&gt;1,IF(ISNUMBER(INDEX(Import.PLE,Detalhamento!$E29,Detalhamento!BH$15)),IF(INDEX(Import.PLE,Detalhamento!$E29,Detalhamento!BH$15)&lt;=mediçao,OFFSET(Import.PLQ,$A29-1,BH$15-1,1,1),0),0),PLE!$AA$28*OFFSET(Import.PLQ,$A29-1,BH$15-1,1,1)),IF($E29&lt;&gt;1,IF(ISNUMBER(INDEX(Import.PLE,Detalhamento!$E29,Detalhamento!BH$15)),IF(INDEX(Import.PLE,Detalhamento!$E29,Detalhamento!BH$15)&lt;=mediçao,0,OFFSET(Import.PLQ,$A29-1,BH$15-1,1,1)),OFFSET(Import.PLQ,$A29-1,BH$15-1,1,1)),(1-PLE!$AA$28)*OFFSET(Import.PLQ,$A29-1,BH$15-1,1,1))))</f>
        <v>0</v>
      </c>
      <c r="BI29" s="145">
        <f ca="1">IF(BI$13="",0,CHOOSE(Detalhamento.OpçãoServiços,OFFSET(Import.PLQ,$A29-1,BI$15-1,1,1),IF($E29&lt;&gt;1,IF(ISNUMBER(INDEX(Import.PLE,Detalhamento!$E29,Detalhamento!BI$15)),IF(INDEX(Import.PLE,Detalhamento!$E29,Detalhamento!BI$15)&lt;=mediçao,OFFSET(Import.PLQ,$A29-1,BI$15-1,1,1),0),0),PLE!$AA$28*OFFSET(Import.PLQ,$A29-1,BI$15-1,1,1)),IF($E29&lt;&gt;1,IF(ISNUMBER(INDEX(Import.PLE,Detalhamento!$E29,Detalhamento!BI$15)),IF(INDEX(Import.PLE,Detalhamento!$E29,Detalhamento!BI$15)&lt;=mediçao,0,OFFSET(Import.PLQ,$A29-1,BI$15-1,1,1)),OFFSET(Import.PLQ,$A29-1,BI$15-1,1,1)),(1-PLE!$AA$28)*OFFSET(Import.PLQ,$A29-1,BI$15-1,1,1))))</f>
        <v>0</v>
      </c>
    </row>
    <row r="30" spans="1:61" x14ac:dyDescent="0.2">
      <c r="A30" s="156">
        <v>22</v>
      </c>
      <c r="B30" s="21" t="str">
        <f t="shared" ca="1" si="8"/>
        <v>Evento</v>
      </c>
      <c r="E30" s="154">
        <f t="shared" ca="1" si="9"/>
        <v>3</v>
      </c>
      <c r="F30" s="155">
        <f t="shared" ca="1" si="10"/>
        <v>30000</v>
      </c>
      <c r="G30" s="155" t="str">
        <f t="shared" ca="1" si="11"/>
        <v>Evento</v>
      </c>
      <c r="H30" s="183" t="str">
        <f t="shared" ca="1" si="11"/>
        <v>CALÇADAS E RAMPAS</v>
      </c>
      <c r="I30" s="37" t="str">
        <f t="shared" ca="1" si="12"/>
        <v>R$</v>
      </c>
      <c r="J30" s="145">
        <f t="shared" ca="1" si="13"/>
        <v>163338.89000000004</v>
      </c>
      <c r="K30" s="67"/>
      <c r="L30" s="145">
        <f ca="1">IF(L$13="",0,CHOOSE(Detalhamento.OpçãoServiços,OFFSET(Import.PLQ,$A30-1,L$15-1,1,1),IF($E30&lt;&gt;1,IF(ISNUMBER(INDEX(Import.PLE,Detalhamento!$E30,Detalhamento!L$15)),IF(INDEX(Import.PLE,Detalhamento!$E30,Detalhamento!L$15)&lt;=mediçao,OFFSET(Import.PLQ,$A30-1,L$15-1,1,1),0),0),PLE!$AA$28*OFFSET(Import.PLQ,$A30-1,L$15-1,1,1)),IF($E30&lt;&gt;1,IF(ISNUMBER(INDEX(Import.PLE,Detalhamento!$E30,Detalhamento!L$15)),IF(INDEX(Import.PLE,Detalhamento!$E30,Detalhamento!L$15)&lt;=mediçao,0,OFFSET(Import.PLQ,$A30-1,L$15-1,1,1)),OFFSET(Import.PLQ,$A30-1,L$15-1,1,1)),(1-PLE!$AA$28)*OFFSET(Import.PLQ,$A30-1,L$15-1,1,1))))</f>
        <v>29855.215592766002</v>
      </c>
      <c r="M30" s="145">
        <f ca="1">IF(M$13="",0,CHOOSE(Detalhamento.OpçãoServiços,OFFSET(Import.PLQ,$A30-1,M$15-1,1,1),IF($E30&lt;&gt;1,IF(ISNUMBER(INDEX(Import.PLE,Detalhamento!$E30,Detalhamento!M$15)),IF(INDEX(Import.PLE,Detalhamento!$E30,Detalhamento!M$15)&lt;=mediçao,OFFSET(Import.PLQ,$A30-1,M$15-1,1,1),0),0),PLE!$AA$28*OFFSET(Import.PLQ,$A30-1,M$15-1,1,1)),IF($E30&lt;&gt;1,IF(ISNUMBER(INDEX(Import.PLE,Detalhamento!$E30,Detalhamento!M$15)),IF(INDEX(Import.PLE,Detalhamento!$E30,Detalhamento!M$15)&lt;=mediçao,0,OFFSET(Import.PLQ,$A30-1,M$15-1,1,1)),OFFSET(Import.PLQ,$A30-1,M$15-1,1,1)),(1-PLE!$AA$28)*OFFSET(Import.PLQ,$A30-1,M$15-1,1,1))))</f>
        <v>14892.38917065161</v>
      </c>
      <c r="N30" s="145">
        <f ca="1">IF(N$13="",0,CHOOSE(Detalhamento.OpçãoServiços,OFFSET(Import.PLQ,$A30-1,N$15-1,1,1),IF($E30&lt;&gt;1,IF(ISNUMBER(INDEX(Import.PLE,Detalhamento!$E30,Detalhamento!N$15)),IF(INDEX(Import.PLE,Detalhamento!$E30,Detalhamento!N$15)&lt;=mediçao,OFFSET(Import.PLQ,$A30-1,N$15-1,1,1),0),0),PLE!$AA$28*OFFSET(Import.PLQ,$A30-1,N$15-1,1,1)),IF($E30&lt;&gt;1,IF(ISNUMBER(INDEX(Import.PLE,Detalhamento!$E30,Detalhamento!N$15)),IF(INDEX(Import.PLE,Detalhamento!$E30,Detalhamento!N$15)&lt;=mediçao,0,OFFSET(Import.PLQ,$A30-1,N$15-1,1,1)),OFFSET(Import.PLQ,$A30-1,N$15-1,1,1)),(1-PLE!$AA$28)*OFFSET(Import.PLQ,$A30-1,N$15-1,1,1))))</f>
        <v>20918.748260780325</v>
      </c>
      <c r="O30" s="145">
        <f ca="1">IF(O$13="",0,CHOOSE(Detalhamento.OpçãoServiços,OFFSET(Import.PLQ,$A30-1,O$15-1,1,1),IF($E30&lt;&gt;1,IF(ISNUMBER(INDEX(Import.PLE,Detalhamento!$E30,Detalhamento!O$15)),IF(INDEX(Import.PLE,Detalhamento!$E30,Detalhamento!O$15)&lt;=mediçao,OFFSET(Import.PLQ,$A30-1,O$15-1,1,1),0),0),PLE!$AA$28*OFFSET(Import.PLQ,$A30-1,O$15-1,1,1)),IF($E30&lt;&gt;1,IF(ISNUMBER(INDEX(Import.PLE,Detalhamento!$E30,Detalhamento!O$15)),IF(INDEX(Import.PLE,Detalhamento!$E30,Detalhamento!O$15)&lt;=mediçao,0,OFFSET(Import.PLQ,$A30-1,O$15-1,1,1)),OFFSET(Import.PLQ,$A30-1,O$15-1,1,1)),(1-PLE!$AA$28)*OFFSET(Import.PLQ,$A30-1,O$15-1,1,1))))</f>
        <v>33719.604419150812</v>
      </c>
      <c r="P30" s="145">
        <f ca="1">IF(P$13="",0,CHOOSE(Detalhamento.OpçãoServiços,OFFSET(Import.PLQ,$A30-1,P$15-1,1,1),IF($E30&lt;&gt;1,IF(ISNUMBER(INDEX(Import.PLE,Detalhamento!$E30,Detalhamento!P$15)),IF(INDEX(Import.PLE,Detalhamento!$E30,Detalhamento!P$15)&lt;=mediçao,OFFSET(Import.PLQ,$A30-1,P$15-1,1,1),0),0),PLE!$AA$28*OFFSET(Import.PLQ,$A30-1,P$15-1,1,1)),IF($E30&lt;&gt;1,IF(ISNUMBER(INDEX(Import.PLE,Detalhamento!$E30,Detalhamento!P$15)),IF(INDEX(Import.PLE,Detalhamento!$E30,Detalhamento!P$15)&lt;=mediçao,0,OFFSET(Import.PLQ,$A30-1,P$15-1,1,1)),OFFSET(Import.PLQ,$A30-1,P$15-1,1,1)),(1-PLE!$AA$28)*OFFSET(Import.PLQ,$A30-1,P$15-1,1,1))))</f>
        <v>12053.397873882619</v>
      </c>
      <c r="Q30" s="145">
        <f ca="1">IF(Q$13="",0,CHOOSE(Detalhamento.OpçãoServiços,OFFSET(Import.PLQ,$A30-1,Q$15-1,1,1),IF($E30&lt;&gt;1,IF(ISNUMBER(INDEX(Import.PLE,Detalhamento!$E30,Detalhamento!Q$15)),IF(INDEX(Import.PLE,Detalhamento!$E30,Detalhamento!Q$15)&lt;=mediçao,OFFSET(Import.PLQ,$A30-1,Q$15-1,1,1),0),0),PLE!$AA$28*OFFSET(Import.PLQ,$A30-1,Q$15-1,1,1)),IF($E30&lt;&gt;1,IF(ISNUMBER(INDEX(Import.PLE,Detalhamento!$E30,Detalhamento!Q$15)),IF(INDEX(Import.PLE,Detalhamento!$E30,Detalhamento!Q$15)&lt;=mediçao,0,OFFSET(Import.PLQ,$A30-1,Q$15-1,1,1)),OFFSET(Import.PLQ,$A30-1,Q$15-1,1,1)),(1-PLE!$AA$28)*OFFSET(Import.PLQ,$A30-1,Q$15-1,1,1))))</f>
        <v>22525.570531685567</v>
      </c>
      <c r="R30" s="145">
        <f ca="1">IF(R$13="",0,CHOOSE(Detalhamento.OpçãoServiços,OFFSET(Import.PLQ,$A30-1,R$15-1,1,1),IF($E30&lt;&gt;1,IF(ISNUMBER(INDEX(Import.PLE,Detalhamento!$E30,Detalhamento!R$15)),IF(INDEX(Import.PLE,Detalhamento!$E30,Detalhamento!R$15)&lt;=mediçao,OFFSET(Import.PLQ,$A30-1,R$15-1,1,1),0),0),PLE!$AA$28*OFFSET(Import.PLQ,$A30-1,R$15-1,1,1)),IF($E30&lt;&gt;1,IF(ISNUMBER(INDEX(Import.PLE,Detalhamento!$E30,Detalhamento!R$15)),IF(INDEX(Import.PLE,Detalhamento!$E30,Detalhamento!R$15)&lt;=mediçao,0,OFFSET(Import.PLQ,$A30-1,R$15-1,1,1)),OFFSET(Import.PLQ,$A30-1,R$15-1,1,1)),(1-PLE!$AA$28)*OFFSET(Import.PLQ,$A30-1,R$15-1,1,1))))</f>
        <v>16508.355665639472</v>
      </c>
      <c r="S30" s="145">
        <f ca="1">IF(S$13="",0,CHOOSE(Detalhamento.OpçãoServiços,OFFSET(Import.PLQ,$A30-1,S$15-1,1,1),IF($E30&lt;&gt;1,IF(ISNUMBER(INDEX(Import.PLE,Detalhamento!$E30,Detalhamento!S$15)),IF(INDEX(Import.PLE,Detalhamento!$E30,Detalhamento!S$15)&lt;=mediçao,OFFSET(Import.PLQ,$A30-1,S$15-1,1,1),0),0),PLE!$AA$28*OFFSET(Import.PLQ,$A30-1,S$15-1,1,1)),IF($E30&lt;&gt;1,IF(ISNUMBER(INDEX(Import.PLE,Detalhamento!$E30,Detalhamento!S$15)),IF(INDEX(Import.PLE,Detalhamento!$E30,Detalhamento!S$15)&lt;=mediçao,0,OFFSET(Import.PLQ,$A30-1,S$15-1,1,1)),OFFSET(Import.PLQ,$A30-1,S$15-1,1,1)),(1-PLE!$AA$28)*OFFSET(Import.PLQ,$A30-1,S$15-1,1,1))))</f>
        <v>12865.60848544361</v>
      </c>
      <c r="T30" s="145">
        <f ca="1">IF(T$13="",0,CHOOSE(Detalhamento.OpçãoServiços,OFFSET(Import.PLQ,$A30-1,T$15-1,1,1),IF($E30&lt;&gt;1,IF(ISNUMBER(INDEX(Import.PLE,Detalhamento!$E30,Detalhamento!T$15)),IF(INDEX(Import.PLE,Detalhamento!$E30,Detalhamento!T$15)&lt;=mediçao,OFFSET(Import.PLQ,$A30-1,T$15-1,1,1),0),0),PLE!$AA$28*OFFSET(Import.PLQ,$A30-1,T$15-1,1,1)),IF($E30&lt;&gt;1,IF(ISNUMBER(INDEX(Import.PLE,Detalhamento!$E30,Detalhamento!T$15)),IF(INDEX(Import.PLE,Detalhamento!$E30,Detalhamento!T$15)&lt;=mediçao,0,OFFSET(Import.PLQ,$A30-1,T$15-1,1,1)),OFFSET(Import.PLQ,$A30-1,T$15-1,1,1)),(1-PLE!$AA$28)*OFFSET(Import.PLQ,$A30-1,T$15-1,1,1))))</f>
        <v>0</v>
      </c>
      <c r="U30" s="145">
        <f ca="1">IF(U$13="",0,CHOOSE(Detalhamento.OpçãoServiços,OFFSET(Import.PLQ,$A30-1,U$15-1,1,1),IF($E30&lt;&gt;1,IF(ISNUMBER(INDEX(Import.PLE,Detalhamento!$E30,Detalhamento!U$15)),IF(INDEX(Import.PLE,Detalhamento!$E30,Detalhamento!U$15)&lt;=mediçao,OFFSET(Import.PLQ,$A30-1,U$15-1,1,1),0),0),PLE!$AA$28*OFFSET(Import.PLQ,$A30-1,U$15-1,1,1)),IF($E30&lt;&gt;1,IF(ISNUMBER(INDEX(Import.PLE,Detalhamento!$E30,Detalhamento!U$15)),IF(INDEX(Import.PLE,Detalhamento!$E30,Detalhamento!U$15)&lt;=mediçao,0,OFFSET(Import.PLQ,$A30-1,U$15-1,1,1)),OFFSET(Import.PLQ,$A30-1,U$15-1,1,1)),(1-PLE!$AA$28)*OFFSET(Import.PLQ,$A30-1,U$15-1,1,1))))</f>
        <v>0</v>
      </c>
      <c r="V30" s="145">
        <f ca="1">IF(V$13="",0,CHOOSE(Detalhamento.OpçãoServiços,OFFSET(Import.PLQ,$A30-1,V$15-1,1,1),IF($E30&lt;&gt;1,IF(ISNUMBER(INDEX(Import.PLE,Detalhamento!$E30,Detalhamento!V$15)),IF(INDEX(Import.PLE,Detalhamento!$E30,Detalhamento!V$15)&lt;=mediçao,OFFSET(Import.PLQ,$A30-1,V$15-1,1,1),0),0),PLE!$AA$28*OFFSET(Import.PLQ,$A30-1,V$15-1,1,1)),IF($E30&lt;&gt;1,IF(ISNUMBER(INDEX(Import.PLE,Detalhamento!$E30,Detalhamento!V$15)),IF(INDEX(Import.PLE,Detalhamento!$E30,Detalhamento!V$15)&lt;=mediçao,0,OFFSET(Import.PLQ,$A30-1,V$15-1,1,1)),OFFSET(Import.PLQ,$A30-1,V$15-1,1,1)),(1-PLE!$AA$28)*OFFSET(Import.PLQ,$A30-1,V$15-1,1,1))))</f>
        <v>0</v>
      </c>
      <c r="W30" s="145">
        <f ca="1">IF(W$13="",0,CHOOSE(Detalhamento.OpçãoServiços,OFFSET(Import.PLQ,$A30-1,W$15-1,1,1),IF($E30&lt;&gt;1,IF(ISNUMBER(INDEX(Import.PLE,Detalhamento!$E30,Detalhamento!W$15)),IF(INDEX(Import.PLE,Detalhamento!$E30,Detalhamento!W$15)&lt;=mediçao,OFFSET(Import.PLQ,$A30-1,W$15-1,1,1),0),0),PLE!$AA$28*OFFSET(Import.PLQ,$A30-1,W$15-1,1,1)),IF($E30&lt;&gt;1,IF(ISNUMBER(INDEX(Import.PLE,Detalhamento!$E30,Detalhamento!W$15)),IF(INDEX(Import.PLE,Detalhamento!$E30,Detalhamento!W$15)&lt;=mediçao,0,OFFSET(Import.PLQ,$A30-1,W$15-1,1,1)),OFFSET(Import.PLQ,$A30-1,W$15-1,1,1)),(1-PLE!$AA$28)*OFFSET(Import.PLQ,$A30-1,W$15-1,1,1))))</f>
        <v>0</v>
      </c>
      <c r="X30" s="145">
        <f ca="1">IF(X$13="",0,CHOOSE(Detalhamento.OpçãoServiços,OFFSET(Import.PLQ,$A30-1,X$15-1,1,1),IF($E30&lt;&gt;1,IF(ISNUMBER(INDEX(Import.PLE,Detalhamento!$E30,Detalhamento!X$15)),IF(INDEX(Import.PLE,Detalhamento!$E30,Detalhamento!X$15)&lt;=mediçao,OFFSET(Import.PLQ,$A30-1,X$15-1,1,1),0),0),PLE!$AA$28*OFFSET(Import.PLQ,$A30-1,X$15-1,1,1)),IF($E30&lt;&gt;1,IF(ISNUMBER(INDEX(Import.PLE,Detalhamento!$E30,Detalhamento!X$15)),IF(INDEX(Import.PLE,Detalhamento!$E30,Detalhamento!X$15)&lt;=mediçao,0,OFFSET(Import.PLQ,$A30-1,X$15-1,1,1)),OFFSET(Import.PLQ,$A30-1,X$15-1,1,1)),(1-PLE!$AA$28)*OFFSET(Import.PLQ,$A30-1,X$15-1,1,1))))</f>
        <v>0</v>
      </c>
      <c r="Y30" s="145">
        <f ca="1">IF(Y$13="",0,CHOOSE(Detalhamento.OpçãoServiços,OFFSET(Import.PLQ,$A30-1,Y$15-1,1,1),IF($E30&lt;&gt;1,IF(ISNUMBER(INDEX(Import.PLE,Detalhamento!$E30,Detalhamento!Y$15)),IF(INDEX(Import.PLE,Detalhamento!$E30,Detalhamento!Y$15)&lt;=mediçao,OFFSET(Import.PLQ,$A30-1,Y$15-1,1,1),0),0),PLE!$AA$28*OFFSET(Import.PLQ,$A30-1,Y$15-1,1,1)),IF($E30&lt;&gt;1,IF(ISNUMBER(INDEX(Import.PLE,Detalhamento!$E30,Detalhamento!Y$15)),IF(INDEX(Import.PLE,Detalhamento!$E30,Detalhamento!Y$15)&lt;=mediçao,0,OFFSET(Import.PLQ,$A30-1,Y$15-1,1,1)),OFFSET(Import.PLQ,$A30-1,Y$15-1,1,1)),(1-PLE!$AA$28)*OFFSET(Import.PLQ,$A30-1,Y$15-1,1,1))))</f>
        <v>0</v>
      </c>
      <c r="Z30" s="145">
        <f ca="1">IF(Z$13="",0,CHOOSE(Detalhamento.OpçãoServiços,OFFSET(Import.PLQ,$A30-1,Z$15-1,1,1),IF($E30&lt;&gt;1,IF(ISNUMBER(INDEX(Import.PLE,Detalhamento!$E30,Detalhamento!Z$15)),IF(INDEX(Import.PLE,Detalhamento!$E30,Detalhamento!Z$15)&lt;=mediçao,OFFSET(Import.PLQ,$A30-1,Z$15-1,1,1),0),0),PLE!$AA$28*OFFSET(Import.PLQ,$A30-1,Z$15-1,1,1)),IF($E30&lt;&gt;1,IF(ISNUMBER(INDEX(Import.PLE,Detalhamento!$E30,Detalhamento!Z$15)),IF(INDEX(Import.PLE,Detalhamento!$E30,Detalhamento!Z$15)&lt;=mediçao,0,OFFSET(Import.PLQ,$A30-1,Z$15-1,1,1)),OFFSET(Import.PLQ,$A30-1,Z$15-1,1,1)),(1-PLE!$AA$28)*OFFSET(Import.PLQ,$A30-1,Z$15-1,1,1))))</f>
        <v>0</v>
      </c>
      <c r="AA30" s="145">
        <f ca="1">IF(AA$13="",0,CHOOSE(Detalhamento.OpçãoServiços,OFFSET(Import.PLQ,$A30-1,AA$15-1,1,1),IF($E30&lt;&gt;1,IF(ISNUMBER(INDEX(Import.PLE,Detalhamento!$E30,Detalhamento!AA$15)),IF(INDEX(Import.PLE,Detalhamento!$E30,Detalhamento!AA$15)&lt;=mediçao,OFFSET(Import.PLQ,$A30-1,AA$15-1,1,1),0),0),PLE!$AA$28*OFFSET(Import.PLQ,$A30-1,AA$15-1,1,1)),IF($E30&lt;&gt;1,IF(ISNUMBER(INDEX(Import.PLE,Detalhamento!$E30,Detalhamento!AA$15)),IF(INDEX(Import.PLE,Detalhamento!$E30,Detalhamento!AA$15)&lt;=mediçao,0,OFFSET(Import.PLQ,$A30-1,AA$15-1,1,1)),OFFSET(Import.PLQ,$A30-1,AA$15-1,1,1)),(1-PLE!$AA$28)*OFFSET(Import.PLQ,$A30-1,AA$15-1,1,1))))</f>
        <v>0</v>
      </c>
      <c r="AB30" s="145">
        <f ca="1">IF(AB$13="",0,CHOOSE(Detalhamento.OpçãoServiços,OFFSET(Import.PLQ,$A30-1,AB$15-1,1,1),IF($E30&lt;&gt;1,IF(ISNUMBER(INDEX(Import.PLE,Detalhamento!$E30,Detalhamento!AB$15)),IF(INDEX(Import.PLE,Detalhamento!$E30,Detalhamento!AB$15)&lt;=mediçao,OFFSET(Import.PLQ,$A30-1,AB$15-1,1,1),0),0),PLE!$AA$28*OFFSET(Import.PLQ,$A30-1,AB$15-1,1,1)),IF($E30&lt;&gt;1,IF(ISNUMBER(INDEX(Import.PLE,Detalhamento!$E30,Detalhamento!AB$15)),IF(INDEX(Import.PLE,Detalhamento!$E30,Detalhamento!AB$15)&lt;=mediçao,0,OFFSET(Import.PLQ,$A30-1,AB$15-1,1,1)),OFFSET(Import.PLQ,$A30-1,AB$15-1,1,1)),(1-PLE!$AA$28)*OFFSET(Import.PLQ,$A30-1,AB$15-1,1,1))))</f>
        <v>0</v>
      </c>
      <c r="AC30" s="145">
        <f ca="1">IF(AC$13="",0,CHOOSE(Detalhamento.OpçãoServiços,OFFSET(Import.PLQ,$A30-1,AC$15-1,1,1),IF($E30&lt;&gt;1,IF(ISNUMBER(INDEX(Import.PLE,Detalhamento!$E30,Detalhamento!AC$15)),IF(INDEX(Import.PLE,Detalhamento!$E30,Detalhamento!AC$15)&lt;=mediçao,OFFSET(Import.PLQ,$A30-1,AC$15-1,1,1),0),0),PLE!$AA$28*OFFSET(Import.PLQ,$A30-1,AC$15-1,1,1)),IF($E30&lt;&gt;1,IF(ISNUMBER(INDEX(Import.PLE,Detalhamento!$E30,Detalhamento!AC$15)),IF(INDEX(Import.PLE,Detalhamento!$E30,Detalhamento!AC$15)&lt;=mediçao,0,OFFSET(Import.PLQ,$A30-1,AC$15-1,1,1)),OFFSET(Import.PLQ,$A30-1,AC$15-1,1,1)),(1-PLE!$AA$28)*OFFSET(Import.PLQ,$A30-1,AC$15-1,1,1))))</f>
        <v>0</v>
      </c>
      <c r="AD30" s="145">
        <f ca="1">IF(AD$13="",0,CHOOSE(Detalhamento.OpçãoServiços,OFFSET(Import.PLQ,$A30-1,AD$15-1,1,1),IF($E30&lt;&gt;1,IF(ISNUMBER(INDEX(Import.PLE,Detalhamento!$E30,Detalhamento!AD$15)),IF(INDEX(Import.PLE,Detalhamento!$E30,Detalhamento!AD$15)&lt;=mediçao,OFFSET(Import.PLQ,$A30-1,AD$15-1,1,1),0),0),PLE!$AA$28*OFFSET(Import.PLQ,$A30-1,AD$15-1,1,1)),IF($E30&lt;&gt;1,IF(ISNUMBER(INDEX(Import.PLE,Detalhamento!$E30,Detalhamento!AD$15)),IF(INDEX(Import.PLE,Detalhamento!$E30,Detalhamento!AD$15)&lt;=mediçao,0,OFFSET(Import.PLQ,$A30-1,AD$15-1,1,1)),OFFSET(Import.PLQ,$A30-1,AD$15-1,1,1)),(1-PLE!$AA$28)*OFFSET(Import.PLQ,$A30-1,AD$15-1,1,1))))</f>
        <v>0</v>
      </c>
      <c r="AE30" s="145">
        <f ca="1">IF(AE$13="",0,CHOOSE(Detalhamento.OpçãoServiços,OFFSET(Import.PLQ,$A30-1,AE$15-1,1,1),IF($E30&lt;&gt;1,IF(ISNUMBER(INDEX(Import.PLE,Detalhamento!$E30,Detalhamento!AE$15)),IF(INDEX(Import.PLE,Detalhamento!$E30,Detalhamento!AE$15)&lt;=mediçao,OFFSET(Import.PLQ,$A30-1,AE$15-1,1,1),0),0),PLE!$AA$28*OFFSET(Import.PLQ,$A30-1,AE$15-1,1,1)),IF($E30&lt;&gt;1,IF(ISNUMBER(INDEX(Import.PLE,Detalhamento!$E30,Detalhamento!AE$15)),IF(INDEX(Import.PLE,Detalhamento!$E30,Detalhamento!AE$15)&lt;=mediçao,0,OFFSET(Import.PLQ,$A30-1,AE$15-1,1,1)),OFFSET(Import.PLQ,$A30-1,AE$15-1,1,1)),(1-PLE!$AA$28)*OFFSET(Import.PLQ,$A30-1,AE$15-1,1,1))))</f>
        <v>0</v>
      </c>
      <c r="AF30" s="145">
        <f ca="1">IF(AF$13="",0,CHOOSE(Detalhamento.OpçãoServiços,OFFSET(Import.PLQ,$A30-1,AF$15-1,1,1),IF($E30&lt;&gt;1,IF(ISNUMBER(INDEX(Import.PLE,Detalhamento!$E30,Detalhamento!AF$15)),IF(INDEX(Import.PLE,Detalhamento!$E30,Detalhamento!AF$15)&lt;=mediçao,OFFSET(Import.PLQ,$A30-1,AF$15-1,1,1),0),0),PLE!$AA$28*OFFSET(Import.PLQ,$A30-1,AF$15-1,1,1)),IF($E30&lt;&gt;1,IF(ISNUMBER(INDEX(Import.PLE,Detalhamento!$E30,Detalhamento!AF$15)),IF(INDEX(Import.PLE,Detalhamento!$E30,Detalhamento!AF$15)&lt;=mediçao,0,OFFSET(Import.PLQ,$A30-1,AF$15-1,1,1)),OFFSET(Import.PLQ,$A30-1,AF$15-1,1,1)),(1-PLE!$AA$28)*OFFSET(Import.PLQ,$A30-1,AF$15-1,1,1))))</f>
        <v>0</v>
      </c>
      <c r="AG30" s="145">
        <f ca="1">IF(AG$13="",0,CHOOSE(Detalhamento.OpçãoServiços,OFFSET(Import.PLQ,$A30-1,AG$15-1,1,1),IF($E30&lt;&gt;1,IF(ISNUMBER(INDEX(Import.PLE,Detalhamento!$E30,Detalhamento!AG$15)),IF(INDEX(Import.PLE,Detalhamento!$E30,Detalhamento!AG$15)&lt;=mediçao,OFFSET(Import.PLQ,$A30-1,AG$15-1,1,1),0),0),PLE!$AA$28*OFFSET(Import.PLQ,$A30-1,AG$15-1,1,1)),IF($E30&lt;&gt;1,IF(ISNUMBER(INDEX(Import.PLE,Detalhamento!$E30,Detalhamento!AG$15)),IF(INDEX(Import.PLE,Detalhamento!$E30,Detalhamento!AG$15)&lt;=mediçao,0,OFFSET(Import.PLQ,$A30-1,AG$15-1,1,1)),OFFSET(Import.PLQ,$A30-1,AG$15-1,1,1)),(1-PLE!$AA$28)*OFFSET(Import.PLQ,$A30-1,AG$15-1,1,1))))</f>
        <v>0</v>
      </c>
      <c r="AH30" s="145">
        <f ca="1">IF(AH$13="",0,CHOOSE(Detalhamento.OpçãoServiços,OFFSET(Import.PLQ,$A30-1,AH$15-1,1,1),IF($E30&lt;&gt;1,IF(ISNUMBER(INDEX(Import.PLE,Detalhamento!$E30,Detalhamento!AH$15)),IF(INDEX(Import.PLE,Detalhamento!$E30,Detalhamento!AH$15)&lt;=mediçao,OFFSET(Import.PLQ,$A30-1,AH$15-1,1,1),0),0),PLE!$AA$28*OFFSET(Import.PLQ,$A30-1,AH$15-1,1,1)),IF($E30&lt;&gt;1,IF(ISNUMBER(INDEX(Import.PLE,Detalhamento!$E30,Detalhamento!AH$15)),IF(INDEX(Import.PLE,Detalhamento!$E30,Detalhamento!AH$15)&lt;=mediçao,0,OFFSET(Import.PLQ,$A30-1,AH$15-1,1,1)),OFFSET(Import.PLQ,$A30-1,AH$15-1,1,1)),(1-PLE!$AA$28)*OFFSET(Import.PLQ,$A30-1,AH$15-1,1,1))))</f>
        <v>0</v>
      </c>
      <c r="AI30" s="145">
        <f ca="1">IF(AI$13="",0,CHOOSE(Detalhamento.OpçãoServiços,OFFSET(Import.PLQ,$A30-1,AI$15-1,1,1),IF($E30&lt;&gt;1,IF(ISNUMBER(INDEX(Import.PLE,Detalhamento!$E30,Detalhamento!AI$15)),IF(INDEX(Import.PLE,Detalhamento!$E30,Detalhamento!AI$15)&lt;=mediçao,OFFSET(Import.PLQ,$A30-1,AI$15-1,1,1),0),0),PLE!$AA$28*OFFSET(Import.PLQ,$A30-1,AI$15-1,1,1)),IF($E30&lt;&gt;1,IF(ISNUMBER(INDEX(Import.PLE,Detalhamento!$E30,Detalhamento!AI$15)),IF(INDEX(Import.PLE,Detalhamento!$E30,Detalhamento!AI$15)&lt;=mediçao,0,OFFSET(Import.PLQ,$A30-1,AI$15-1,1,1)),OFFSET(Import.PLQ,$A30-1,AI$15-1,1,1)),(1-PLE!$AA$28)*OFFSET(Import.PLQ,$A30-1,AI$15-1,1,1))))</f>
        <v>0</v>
      </c>
      <c r="AJ30" s="145">
        <f ca="1">IF(AJ$13="",0,CHOOSE(Detalhamento.OpçãoServiços,OFFSET(Import.PLQ,$A30-1,AJ$15-1,1,1),IF($E30&lt;&gt;1,IF(ISNUMBER(INDEX(Import.PLE,Detalhamento!$E30,Detalhamento!AJ$15)),IF(INDEX(Import.PLE,Detalhamento!$E30,Detalhamento!AJ$15)&lt;=mediçao,OFFSET(Import.PLQ,$A30-1,AJ$15-1,1,1),0),0),PLE!$AA$28*OFFSET(Import.PLQ,$A30-1,AJ$15-1,1,1)),IF($E30&lt;&gt;1,IF(ISNUMBER(INDEX(Import.PLE,Detalhamento!$E30,Detalhamento!AJ$15)),IF(INDEX(Import.PLE,Detalhamento!$E30,Detalhamento!AJ$15)&lt;=mediçao,0,OFFSET(Import.PLQ,$A30-1,AJ$15-1,1,1)),OFFSET(Import.PLQ,$A30-1,AJ$15-1,1,1)),(1-PLE!$AA$28)*OFFSET(Import.PLQ,$A30-1,AJ$15-1,1,1))))</f>
        <v>0</v>
      </c>
      <c r="AK30" s="145">
        <f ca="1">IF(AK$13="",0,CHOOSE(Detalhamento.OpçãoServiços,OFFSET(Import.PLQ,$A30-1,AK$15-1,1,1),IF($E30&lt;&gt;1,IF(ISNUMBER(INDEX(Import.PLE,Detalhamento!$E30,Detalhamento!AK$15)),IF(INDEX(Import.PLE,Detalhamento!$E30,Detalhamento!AK$15)&lt;=mediçao,OFFSET(Import.PLQ,$A30-1,AK$15-1,1,1),0),0),PLE!$AA$28*OFFSET(Import.PLQ,$A30-1,AK$15-1,1,1)),IF($E30&lt;&gt;1,IF(ISNUMBER(INDEX(Import.PLE,Detalhamento!$E30,Detalhamento!AK$15)),IF(INDEX(Import.PLE,Detalhamento!$E30,Detalhamento!AK$15)&lt;=mediçao,0,OFFSET(Import.PLQ,$A30-1,AK$15-1,1,1)),OFFSET(Import.PLQ,$A30-1,AK$15-1,1,1)),(1-PLE!$AA$28)*OFFSET(Import.PLQ,$A30-1,AK$15-1,1,1))))</f>
        <v>0</v>
      </c>
      <c r="AL30" s="145">
        <f ca="1">IF(AL$13="",0,CHOOSE(Detalhamento.OpçãoServiços,OFFSET(Import.PLQ,$A30-1,AL$15-1,1,1),IF($E30&lt;&gt;1,IF(ISNUMBER(INDEX(Import.PLE,Detalhamento!$E30,Detalhamento!AL$15)),IF(INDEX(Import.PLE,Detalhamento!$E30,Detalhamento!AL$15)&lt;=mediçao,OFFSET(Import.PLQ,$A30-1,AL$15-1,1,1),0),0),PLE!$AA$28*OFFSET(Import.PLQ,$A30-1,AL$15-1,1,1)),IF($E30&lt;&gt;1,IF(ISNUMBER(INDEX(Import.PLE,Detalhamento!$E30,Detalhamento!AL$15)),IF(INDEX(Import.PLE,Detalhamento!$E30,Detalhamento!AL$15)&lt;=mediçao,0,OFFSET(Import.PLQ,$A30-1,AL$15-1,1,1)),OFFSET(Import.PLQ,$A30-1,AL$15-1,1,1)),(1-PLE!$AA$28)*OFFSET(Import.PLQ,$A30-1,AL$15-1,1,1))))</f>
        <v>0</v>
      </c>
      <c r="AM30" s="145">
        <f ca="1">IF(AM$13="",0,CHOOSE(Detalhamento.OpçãoServiços,OFFSET(Import.PLQ,$A30-1,AM$15-1,1,1),IF($E30&lt;&gt;1,IF(ISNUMBER(INDEX(Import.PLE,Detalhamento!$E30,Detalhamento!AM$15)),IF(INDEX(Import.PLE,Detalhamento!$E30,Detalhamento!AM$15)&lt;=mediçao,OFFSET(Import.PLQ,$A30-1,AM$15-1,1,1),0),0),PLE!$AA$28*OFFSET(Import.PLQ,$A30-1,AM$15-1,1,1)),IF($E30&lt;&gt;1,IF(ISNUMBER(INDEX(Import.PLE,Detalhamento!$E30,Detalhamento!AM$15)),IF(INDEX(Import.PLE,Detalhamento!$E30,Detalhamento!AM$15)&lt;=mediçao,0,OFFSET(Import.PLQ,$A30-1,AM$15-1,1,1)),OFFSET(Import.PLQ,$A30-1,AM$15-1,1,1)),(1-PLE!$AA$28)*OFFSET(Import.PLQ,$A30-1,AM$15-1,1,1))))</f>
        <v>0</v>
      </c>
      <c r="AN30" s="145">
        <f ca="1">IF(AN$13="",0,CHOOSE(Detalhamento.OpçãoServiços,OFFSET(Import.PLQ,$A30-1,AN$15-1,1,1),IF($E30&lt;&gt;1,IF(ISNUMBER(INDEX(Import.PLE,Detalhamento!$E30,Detalhamento!AN$15)),IF(INDEX(Import.PLE,Detalhamento!$E30,Detalhamento!AN$15)&lt;=mediçao,OFFSET(Import.PLQ,$A30-1,AN$15-1,1,1),0),0),PLE!$AA$28*OFFSET(Import.PLQ,$A30-1,AN$15-1,1,1)),IF($E30&lt;&gt;1,IF(ISNUMBER(INDEX(Import.PLE,Detalhamento!$E30,Detalhamento!AN$15)),IF(INDEX(Import.PLE,Detalhamento!$E30,Detalhamento!AN$15)&lt;=mediçao,0,OFFSET(Import.PLQ,$A30-1,AN$15-1,1,1)),OFFSET(Import.PLQ,$A30-1,AN$15-1,1,1)),(1-PLE!$AA$28)*OFFSET(Import.PLQ,$A30-1,AN$15-1,1,1))))</f>
        <v>0</v>
      </c>
      <c r="AO30" s="145">
        <f ca="1">IF(AO$13="",0,CHOOSE(Detalhamento.OpçãoServiços,OFFSET(Import.PLQ,$A30-1,AO$15-1,1,1),IF($E30&lt;&gt;1,IF(ISNUMBER(INDEX(Import.PLE,Detalhamento!$E30,Detalhamento!AO$15)),IF(INDEX(Import.PLE,Detalhamento!$E30,Detalhamento!AO$15)&lt;=mediçao,OFFSET(Import.PLQ,$A30-1,AO$15-1,1,1),0),0),PLE!$AA$28*OFFSET(Import.PLQ,$A30-1,AO$15-1,1,1)),IF($E30&lt;&gt;1,IF(ISNUMBER(INDEX(Import.PLE,Detalhamento!$E30,Detalhamento!AO$15)),IF(INDEX(Import.PLE,Detalhamento!$E30,Detalhamento!AO$15)&lt;=mediçao,0,OFFSET(Import.PLQ,$A30-1,AO$15-1,1,1)),OFFSET(Import.PLQ,$A30-1,AO$15-1,1,1)),(1-PLE!$AA$28)*OFFSET(Import.PLQ,$A30-1,AO$15-1,1,1))))</f>
        <v>0</v>
      </c>
      <c r="AP30" s="145">
        <f ca="1">IF(AP$13="",0,CHOOSE(Detalhamento.OpçãoServiços,OFFSET(Import.PLQ,$A30-1,AP$15-1,1,1),IF($E30&lt;&gt;1,IF(ISNUMBER(INDEX(Import.PLE,Detalhamento!$E30,Detalhamento!AP$15)),IF(INDEX(Import.PLE,Detalhamento!$E30,Detalhamento!AP$15)&lt;=mediçao,OFFSET(Import.PLQ,$A30-1,AP$15-1,1,1),0),0),PLE!$AA$28*OFFSET(Import.PLQ,$A30-1,AP$15-1,1,1)),IF($E30&lt;&gt;1,IF(ISNUMBER(INDEX(Import.PLE,Detalhamento!$E30,Detalhamento!AP$15)),IF(INDEX(Import.PLE,Detalhamento!$E30,Detalhamento!AP$15)&lt;=mediçao,0,OFFSET(Import.PLQ,$A30-1,AP$15-1,1,1)),OFFSET(Import.PLQ,$A30-1,AP$15-1,1,1)),(1-PLE!$AA$28)*OFFSET(Import.PLQ,$A30-1,AP$15-1,1,1))))</f>
        <v>0</v>
      </c>
      <c r="AQ30" s="145">
        <f ca="1">IF(AQ$13="",0,CHOOSE(Detalhamento.OpçãoServiços,OFFSET(Import.PLQ,$A30-1,AQ$15-1,1,1),IF($E30&lt;&gt;1,IF(ISNUMBER(INDEX(Import.PLE,Detalhamento!$E30,Detalhamento!AQ$15)),IF(INDEX(Import.PLE,Detalhamento!$E30,Detalhamento!AQ$15)&lt;=mediçao,OFFSET(Import.PLQ,$A30-1,AQ$15-1,1,1),0),0),PLE!$AA$28*OFFSET(Import.PLQ,$A30-1,AQ$15-1,1,1)),IF($E30&lt;&gt;1,IF(ISNUMBER(INDEX(Import.PLE,Detalhamento!$E30,Detalhamento!AQ$15)),IF(INDEX(Import.PLE,Detalhamento!$E30,Detalhamento!AQ$15)&lt;=mediçao,0,OFFSET(Import.PLQ,$A30-1,AQ$15-1,1,1)),OFFSET(Import.PLQ,$A30-1,AQ$15-1,1,1)),(1-PLE!$AA$28)*OFFSET(Import.PLQ,$A30-1,AQ$15-1,1,1))))</f>
        <v>0</v>
      </c>
      <c r="AR30" s="145">
        <f ca="1">IF(AR$13="",0,CHOOSE(Detalhamento.OpçãoServiços,OFFSET(Import.PLQ,$A30-1,AR$15-1,1,1),IF($E30&lt;&gt;1,IF(ISNUMBER(INDEX(Import.PLE,Detalhamento!$E30,Detalhamento!AR$15)),IF(INDEX(Import.PLE,Detalhamento!$E30,Detalhamento!AR$15)&lt;=mediçao,OFFSET(Import.PLQ,$A30-1,AR$15-1,1,1),0),0),PLE!$AA$28*OFFSET(Import.PLQ,$A30-1,AR$15-1,1,1)),IF($E30&lt;&gt;1,IF(ISNUMBER(INDEX(Import.PLE,Detalhamento!$E30,Detalhamento!AR$15)),IF(INDEX(Import.PLE,Detalhamento!$E30,Detalhamento!AR$15)&lt;=mediçao,0,OFFSET(Import.PLQ,$A30-1,AR$15-1,1,1)),OFFSET(Import.PLQ,$A30-1,AR$15-1,1,1)),(1-PLE!$AA$28)*OFFSET(Import.PLQ,$A30-1,AR$15-1,1,1))))</f>
        <v>0</v>
      </c>
      <c r="AS30" s="145">
        <f ca="1">IF(AS$13="",0,CHOOSE(Detalhamento.OpçãoServiços,OFFSET(Import.PLQ,$A30-1,AS$15-1,1,1),IF($E30&lt;&gt;1,IF(ISNUMBER(INDEX(Import.PLE,Detalhamento!$E30,Detalhamento!AS$15)),IF(INDEX(Import.PLE,Detalhamento!$E30,Detalhamento!AS$15)&lt;=mediçao,OFFSET(Import.PLQ,$A30-1,AS$15-1,1,1),0),0),PLE!$AA$28*OFFSET(Import.PLQ,$A30-1,AS$15-1,1,1)),IF($E30&lt;&gt;1,IF(ISNUMBER(INDEX(Import.PLE,Detalhamento!$E30,Detalhamento!AS$15)),IF(INDEX(Import.PLE,Detalhamento!$E30,Detalhamento!AS$15)&lt;=mediçao,0,OFFSET(Import.PLQ,$A30-1,AS$15-1,1,1)),OFFSET(Import.PLQ,$A30-1,AS$15-1,1,1)),(1-PLE!$AA$28)*OFFSET(Import.PLQ,$A30-1,AS$15-1,1,1))))</f>
        <v>0</v>
      </c>
      <c r="AT30" s="145">
        <f ca="1">IF(AT$13="",0,CHOOSE(Detalhamento.OpçãoServiços,OFFSET(Import.PLQ,$A30-1,AT$15-1,1,1),IF($E30&lt;&gt;1,IF(ISNUMBER(INDEX(Import.PLE,Detalhamento!$E30,Detalhamento!AT$15)),IF(INDEX(Import.PLE,Detalhamento!$E30,Detalhamento!AT$15)&lt;=mediçao,OFFSET(Import.PLQ,$A30-1,AT$15-1,1,1),0),0),PLE!$AA$28*OFFSET(Import.PLQ,$A30-1,AT$15-1,1,1)),IF($E30&lt;&gt;1,IF(ISNUMBER(INDEX(Import.PLE,Detalhamento!$E30,Detalhamento!AT$15)),IF(INDEX(Import.PLE,Detalhamento!$E30,Detalhamento!AT$15)&lt;=mediçao,0,OFFSET(Import.PLQ,$A30-1,AT$15-1,1,1)),OFFSET(Import.PLQ,$A30-1,AT$15-1,1,1)),(1-PLE!$AA$28)*OFFSET(Import.PLQ,$A30-1,AT$15-1,1,1))))</f>
        <v>0</v>
      </c>
      <c r="AU30" s="145">
        <f ca="1">IF(AU$13="",0,CHOOSE(Detalhamento.OpçãoServiços,OFFSET(Import.PLQ,$A30-1,AU$15-1,1,1),IF($E30&lt;&gt;1,IF(ISNUMBER(INDEX(Import.PLE,Detalhamento!$E30,Detalhamento!AU$15)),IF(INDEX(Import.PLE,Detalhamento!$E30,Detalhamento!AU$15)&lt;=mediçao,OFFSET(Import.PLQ,$A30-1,AU$15-1,1,1),0),0),PLE!$AA$28*OFFSET(Import.PLQ,$A30-1,AU$15-1,1,1)),IF($E30&lt;&gt;1,IF(ISNUMBER(INDEX(Import.PLE,Detalhamento!$E30,Detalhamento!AU$15)),IF(INDEX(Import.PLE,Detalhamento!$E30,Detalhamento!AU$15)&lt;=mediçao,0,OFFSET(Import.PLQ,$A30-1,AU$15-1,1,1)),OFFSET(Import.PLQ,$A30-1,AU$15-1,1,1)),(1-PLE!$AA$28)*OFFSET(Import.PLQ,$A30-1,AU$15-1,1,1))))</f>
        <v>0</v>
      </c>
      <c r="AV30" s="145">
        <f ca="1">IF(AV$13="",0,CHOOSE(Detalhamento.OpçãoServiços,OFFSET(Import.PLQ,$A30-1,AV$15-1,1,1),IF($E30&lt;&gt;1,IF(ISNUMBER(INDEX(Import.PLE,Detalhamento!$E30,Detalhamento!AV$15)),IF(INDEX(Import.PLE,Detalhamento!$E30,Detalhamento!AV$15)&lt;=mediçao,OFFSET(Import.PLQ,$A30-1,AV$15-1,1,1),0),0),PLE!$AA$28*OFFSET(Import.PLQ,$A30-1,AV$15-1,1,1)),IF($E30&lt;&gt;1,IF(ISNUMBER(INDEX(Import.PLE,Detalhamento!$E30,Detalhamento!AV$15)),IF(INDEX(Import.PLE,Detalhamento!$E30,Detalhamento!AV$15)&lt;=mediçao,0,OFFSET(Import.PLQ,$A30-1,AV$15-1,1,1)),OFFSET(Import.PLQ,$A30-1,AV$15-1,1,1)),(1-PLE!$AA$28)*OFFSET(Import.PLQ,$A30-1,AV$15-1,1,1))))</f>
        <v>0</v>
      </c>
      <c r="AW30" s="145">
        <f ca="1">IF(AW$13="",0,CHOOSE(Detalhamento.OpçãoServiços,OFFSET(Import.PLQ,$A30-1,AW$15-1,1,1),IF($E30&lt;&gt;1,IF(ISNUMBER(INDEX(Import.PLE,Detalhamento!$E30,Detalhamento!AW$15)),IF(INDEX(Import.PLE,Detalhamento!$E30,Detalhamento!AW$15)&lt;=mediçao,OFFSET(Import.PLQ,$A30-1,AW$15-1,1,1),0),0),PLE!$AA$28*OFFSET(Import.PLQ,$A30-1,AW$15-1,1,1)),IF($E30&lt;&gt;1,IF(ISNUMBER(INDEX(Import.PLE,Detalhamento!$E30,Detalhamento!AW$15)),IF(INDEX(Import.PLE,Detalhamento!$E30,Detalhamento!AW$15)&lt;=mediçao,0,OFFSET(Import.PLQ,$A30-1,AW$15-1,1,1)),OFFSET(Import.PLQ,$A30-1,AW$15-1,1,1)),(1-PLE!$AA$28)*OFFSET(Import.PLQ,$A30-1,AW$15-1,1,1))))</f>
        <v>0</v>
      </c>
      <c r="AX30" s="145">
        <f ca="1">IF(AX$13="",0,CHOOSE(Detalhamento.OpçãoServiços,OFFSET(Import.PLQ,$A30-1,AX$15-1,1,1),IF($E30&lt;&gt;1,IF(ISNUMBER(INDEX(Import.PLE,Detalhamento!$E30,Detalhamento!AX$15)),IF(INDEX(Import.PLE,Detalhamento!$E30,Detalhamento!AX$15)&lt;=mediçao,OFFSET(Import.PLQ,$A30-1,AX$15-1,1,1),0),0),PLE!$AA$28*OFFSET(Import.PLQ,$A30-1,AX$15-1,1,1)),IF($E30&lt;&gt;1,IF(ISNUMBER(INDEX(Import.PLE,Detalhamento!$E30,Detalhamento!AX$15)),IF(INDEX(Import.PLE,Detalhamento!$E30,Detalhamento!AX$15)&lt;=mediçao,0,OFFSET(Import.PLQ,$A30-1,AX$15-1,1,1)),OFFSET(Import.PLQ,$A30-1,AX$15-1,1,1)),(1-PLE!$AA$28)*OFFSET(Import.PLQ,$A30-1,AX$15-1,1,1))))</f>
        <v>0</v>
      </c>
      <c r="AY30" s="145">
        <f ca="1">IF(AY$13="",0,CHOOSE(Detalhamento.OpçãoServiços,OFFSET(Import.PLQ,$A30-1,AY$15-1,1,1),IF($E30&lt;&gt;1,IF(ISNUMBER(INDEX(Import.PLE,Detalhamento!$E30,Detalhamento!AY$15)),IF(INDEX(Import.PLE,Detalhamento!$E30,Detalhamento!AY$15)&lt;=mediçao,OFFSET(Import.PLQ,$A30-1,AY$15-1,1,1),0),0),PLE!$AA$28*OFFSET(Import.PLQ,$A30-1,AY$15-1,1,1)),IF($E30&lt;&gt;1,IF(ISNUMBER(INDEX(Import.PLE,Detalhamento!$E30,Detalhamento!AY$15)),IF(INDEX(Import.PLE,Detalhamento!$E30,Detalhamento!AY$15)&lt;=mediçao,0,OFFSET(Import.PLQ,$A30-1,AY$15-1,1,1)),OFFSET(Import.PLQ,$A30-1,AY$15-1,1,1)),(1-PLE!$AA$28)*OFFSET(Import.PLQ,$A30-1,AY$15-1,1,1))))</f>
        <v>0</v>
      </c>
      <c r="AZ30" s="145">
        <f ca="1">IF(AZ$13="",0,CHOOSE(Detalhamento.OpçãoServiços,OFFSET(Import.PLQ,$A30-1,AZ$15-1,1,1),IF($E30&lt;&gt;1,IF(ISNUMBER(INDEX(Import.PLE,Detalhamento!$E30,Detalhamento!AZ$15)),IF(INDEX(Import.PLE,Detalhamento!$E30,Detalhamento!AZ$15)&lt;=mediçao,OFFSET(Import.PLQ,$A30-1,AZ$15-1,1,1),0),0),PLE!$AA$28*OFFSET(Import.PLQ,$A30-1,AZ$15-1,1,1)),IF($E30&lt;&gt;1,IF(ISNUMBER(INDEX(Import.PLE,Detalhamento!$E30,Detalhamento!AZ$15)),IF(INDEX(Import.PLE,Detalhamento!$E30,Detalhamento!AZ$15)&lt;=mediçao,0,OFFSET(Import.PLQ,$A30-1,AZ$15-1,1,1)),OFFSET(Import.PLQ,$A30-1,AZ$15-1,1,1)),(1-PLE!$AA$28)*OFFSET(Import.PLQ,$A30-1,AZ$15-1,1,1))))</f>
        <v>0</v>
      </c>
      <c r="BA30" s="145">
        <f ca="1">IF(BA$13="",0,CHOOSE(Detalhamento.OpçãoServiços,OFFSET(Import.PLQ,$A30-1,BA$15-1,1,1),IF($E30&lt;&gt;1,IF(ISNUMBER(INDEX(Import.PLE,Detalhamento!$E30,Detalhamento!BA$15)),IF(INDEX(Import.PLE,Detalhamento!$E30,Detalhamento!BA$15)&lt;=mediçao,OFFSET(Import.PLQ,$A30-1,BA$15-1,1,1),0),0),PLE!$AA$28*OFFSET(Import.PLQ,$A30-1,BA$15-1,1,1)),IF($E30&lt;&gt;1,IF(ISNUMBER(INDEX(Import.PLE,Detalhamento!$E30,Detalhamento!BA$15)),IF(INDEX(Import.PLE,Detalhamento!$E30,Detalhamento!BA$15)&lt;=mediçao,0,OFFSET(Import.PLQ,$A30-1,BA$15-1,1,1)),OFFSET(Import.PLQ,$A30-1,BA$15-1,1,1)),(1-PLE!$AA$28)*OFFSET(Import.PLQ,$A30-1,BA$15-1,1,1))))</f>
        <v>0</v>
      </c>
      <c r="BB30" s="145">
        <f ca="1">IF(BB$13="",0,CHOOSE(Detalhamento.OpçãoServiços,OFFSET(Import.PLQ,$A30-1,BB$15-1,1,1),IF($E30&lt;&gt;1,IF(ISNUMBER(INDEX(Import.PLE,Detalhamento!$E30,Detalhamento!BB$15)),IF(INDEX(Import.PLE,Detalhamento!$E30,Detalhamento!BB$15)&lt;=mediçao,OFFSET(Import.PLQ,$A30-1,BB$15-1,1,1),0),0),PLE!$AA$28*OFFSET(Import.PLQ,$A30-1,BB$15-1,1,1)),IF($E30&lt;&gt;1,IF(ISNUMBER(INDEX(Import.PLE,Detalhamento!$E30,Detalhamento!BB$15)),IF(INDEX(Import.PLE,Detalhamento!$E30,Detalhamento!BB$15)&lt;=mediçao,0,OFFSET(Import.PLQ,$A30-1,BB$15-1,1,1)),OFFSET(Import.PLQ,$A30-1,BB$15-1,1,1)),(1-PLE!$AA$28)*OFFSET(Import.PLQ,$A30-1,BB$15-1,1,1))))</f>
        <v>0</v>
      </c>
      <c r="BC30" s="145">
        <f ca="1">IF(BC$13="",0,CHOOSE(Detalhamento.OpçãoServiços,OFFSET(Import.PLQ,$A30-1,BC$15-1,1,1),IF($E30&lt;&gt;1,IF(ISNUMBER(INDEX(Import.PLE,Detalhamento!$E30,Detalhamento!BC$15)),IF(INDEX(Import.PLE,Detalhamento!$E30,Detalhamento!BC$15)&lt;=mediçao,OFFSET(Import.PLQ,$A30-1,BC$15-1,1,1),0),0),PLE!$AA$28*OFFSET(Import.PLQ,$A30-1,BC$15-1,1,1)),IF($E30&lt;&gt;1,IF(ISNUMBER(INDEX(Import.PLE,Detalhamento!$E30,Detalhamento!BC$15)),IF(INDEX(Import.PLE,Detalhamento!$E30,Detalhamento!BC$15)&lt;=mediçao,0,OFFSET(Import.PLQ,$A30-1,BC$15-1,1,1)),OFFSET(Import.PLQ,$A30-1,BC$15-1,1,1)),(1-PLE!$AA$28)*OFFSET(Import.PLQ,$A30-1,BC$15-1,1,1))))</f>
        <v>0</v>
      </c>
      <c r="BD30" s="145">
        <f ca="1">IF(BD$13="",0,CHOOSE(Detalhamento.OpçãoServiços,OFFSET(Import.PLQ,$A30-1,BD$15-1,1,1),IF($E30&lt;&gt;1,IF(ISNUMBER(INDEX(Import.PLE,Detalhamento!$E30,Detalhamento!BD$15)),IF(INDEX(Import.PLE,Detalhamento!$E30,Detalhamento!BD$15)&lt;=mediçao,OFFSET(Import.PLQ,$A30-1,BD$15-1,1,1),0),0),PLE!$AA$28*OFFSET(Import.PLQ,$A30-1,BD$15-1,1,1)),IF($E30&lt;&gt;1,IF(ISNUMBER(INDEX(Import.PLE,Detalhamento!$E30,Detalhamento!BD$15)),IF(INDEX(Import.PLE,Detalhamento!$E30,Detalhamento!BD$15)&lt;=mediçao,0,OFFSET(Import.PLQ,$A30-1,BD$15-1,1,1)),OFFSET(Import.PLQ,$A30-1,BD$15-1,1,1)),(1-PLE!$AA$28)*OFFSET(Import.PLQ,$A30-1,BD$15-1,1,1))))</f>
        <v>0</v>
      </c>
      <c r="BE30" s="145">
        <f ca="1">IF(BE$13="",0,CHOOSE(Detalhamento.OpçãoServiços,OFFSET(Import.PLQ,$A30-1,BE$15-1,1,1),IF($E30&lt;&gt;1,IF(ISNUMBER(INDEX(Import.PLE,Detalhamento!$E30,Detalhamento!BE$15)),IF(INDEX(Import.PLE,Detalhamento!$E30,Detalhamento!BE$15)&lt;=mediçao,OFFSET(Import.PLQ,$A30-1,BE$15-1,1,1),0),0),PLE!$AA$28*OFFSET(Import.PLQ,$A30-1,BE$15-1,1,1)),IF($E30&lt;&gt;1,IF(ISNUMBER(INDEX(Import.PLE,Detalhamento!$E30,Detalhamento!BE$15)),IF(INDEX(Import.PLE,Detalhamento!$E30,Detalhamento!BE$15)&lt;=mediçao,0,OFFSET(Import.PLQ,$A30-1,BE$15-1,1,1)),OFFSET(Import.PLQ,$A30-1,BE$15-1,1,1)),(1-PLE!$AA$28)*OFFSET(Import.PLQ,$A30-1,BE$15-1,1,1))))</f>
        <v>0</v>
      </c>
      <c r="BF30" s="145">
        <f ca="1">IF(BF$13="",0,CHOOSE(Detalhamento.OpçãoServiços,OFFSET(Import.PLQ,$A30-1,BF$15-1,1,1),IF($E30&lt;&gt;1,IF(ISNUMBER(INDEX(Import.PLE,Detalhamento!$E30,Detalhamento!BF$15)),IF(INDEX(Import.PLE,Detalhamento!$E30,Detalhamento!BF$15)&lt;=mediçao,OFFSET(Import.PLQ,$A30-1,BF$15-1,1,1),0),0),PLE!$AA$28*OFFSET(Import.PLQ,$A30-1,BF$15-1,1,1)),IF($E30&lt;&gt;1,IF(ISNUMBER(INDEX(Import.PLE,Detalhamento!$E30,Detalhamento!BF$15)),IF(INDEX(Import.PLE,Detalhamento!$E30,Detalhamento!BF$15)&lt;=mediçao,0,OFFSET(Import.PLQ,$A30-1,BF$15-1,1,1)),OFFSET(Import.PLQ,$A30-1,BF$15-1,1,1)),(1-PLE!$AA$28)*OFFSET(Import.PLQ,$A30-1,BF$15-1,1,1))))</f>
        <v>0</v>
      </c>
      <c r="BG30" s="145">
        <f ca="1">IF(BG$13="",0,CHOOSE(Detalhamento.OpçãoServiços,OFFSET(Import.PLQ,$A30-1,BG$15-1,1,1),IF($E30&lt;&gt;1,IF(ISNUMBER(INDEX(Import.PLE,Detalhamento!$E30,Detalhamento!BG$15)),IF(INDEX(Import.PLE,Detalhamento!$E30,Detalhamento!BG$15)&lt;=mediçao,OFFSET(Import.PLQ,$A30-1,BG$15-1,1,1),0),0),PLE!$AA$28*OFFSET(Import.PLQ,$A30-1,BG$15-1,1,1)),IF($E30&lt;&gt;1,IF(ISNUMBER(INDEX(Import.PLE,Detalhamento!$E30,Detalhamento!BG$15)),IF(INDEX(Import.PLE,Detalhamento!$E30,Detalhamento!BG$15)&lt;=mediçao,0,OFFSET(Import.PLQ,$A30-1,BG$15-1,1,1)),OFFSET(Import.PLQ,$A30-1,BG$15-1,1,1)),(1-PLE!$AA$28)*OFFSET(Import.PLQ,$A30-1,BG$15-1,1,1))))</f>
        <v>0</v>
      </c>
      <c r="BH30" s="145">
        <f ca="1">IF(BH$13="",0,CHOOSE(Detalhamento.OpçãoServiços,OFFSET(Import.PLQ,$A30-1,BH$15-1,1,1),IF($E30&lt;&gt;1,IF(ISNUMBER(INDEX(Import.PLE,Detalhamento!$E30,Detalhamento!BH$15)),IF(INDEX(Import.PLE,Detalhamento!$E30,Detalhamento!BH$15)&lt;=mediçao,OFFSET(Import.PLQ,$A30-1,BH$15-1,1,1),0),0),PLE!$AA$28*OFFSET(Import.PLQ,$A30-1,BH$15-1,1,1)),IF($E30&lt;&gt;1,IF(ISNUMBER(INDEX(Import.PLE,Detalhamento!$E30,Detalhamento!BH$15)),IF(INDEX(Import.PLE,Detalhamento!$E30,Detalhamento!BH$15)&lt;=mediçao,0,OFFSET(Import.PLQ,$A30-1,BH$15-1,1,1)),OFFSET(Import.PLQ,$A30-1,BH$15-1,1,1)),(1-PLE!$AA$28)*OFFSET(Import.PLQ,$A30-1,BH$15-1,1,1))))</f>
        <v>0</v>
      </c>
      <c r="BI30" s="145">
        <f ca="1">IF(BI$13="",0,CHOOSE(Detalhamento.OpçãoServiços,OFFSET(Import.PLQ,$A30-1,BI$15-1,1,1),IF($E30&lt;&gt;1,IF(ISNUMBER(INDEX(Import.PLE,Detalhamento!$E30,Detalhamento!BI$15)),IF(INDEX(Import.PLE,Detalhamento!$E30,Detalhamento!BI$15)&lt;=mediçao,OFFSET(Import.PLQ,$A30-1,BI$15-1,1,1),0),0),PLE!$AA$28*OFFSET(Import.PLQ,$A30-1,BI$15-1,1,1)),IF($E30&lt;&gt;1,IF(ISNUMBER(INDEX(Import.PLE,Detalhamento!$E30,Detalhamento!BI$15)),IF(INDEX(Import.PLE,Detalhamento!$E30,Detalhamento!BI$15)&lt;=mediçao,0,OFFSET(Import.PLQ,$A30-1,BI$15-1,1,1)),OFFSET(Import.PLQ,$A30-1,BI$15-1,1,1)),(1-PLE!$AA$28)*OFFSET(Import.PLQ,$A30-1,BI$15-1,1,1))))</f>
        <v>0</v>
      </c>
    </row>
    <row r="31" spans="1:61" ht="22.5" x14ac:dyDescent="0.2">
      <c r="A31" s="156">
        <v>12</v>
      </c>
      <c r="B31" s="21" t="str">
        <f t="shared" ca="1" si="8"/>
        <v>Serviço</v>
      </c>
      <c r="E31" s="154">
        <f t="shared" ca="1" si="9"/>
        <v>3</v>
      </c>
      <c r="F31" s="155">
        <f t="shared" ca="1" si="10"/>
        <v>30012</v>
      </c>
      <c r="G31" s="155" t="str">
        <f t="shared" ca="1" si="11"/>
        <v>4.1</v>
      </c>
      <c r="H31" s="183" t="str">
        <f t="shared" ca="1" si="11"/>
        <v>Execução de passeio (calçada) em concreto moldado in loco, feito em obra, acabamento convencional, não armado, espessura 6 cm</v>
      </c>
      <c r="I31" s="37" t="str">
        <f t="shared" ca="1" si="12"/>
        <v>m³</v>
      </c>
      <c r="J31" s="145">
        <f t="shared" ca="1" si="13"/>
        <v>100.66999999999999</v>
      </c>
      <c r="K31" s="67"/>
      <c r="L31" s="145">
        <f ca="1">IF(L$13="",0,CHOOSE(Detalhamento.OpçãoServiços,OFFSET(Import.PLQ,$A31-1,L$15-1,1,1),IF($E31&lt;&gt;1,IF(ISNUMBER(INDEX(Import.PLE,Detalhamento!$E31,Detalhamento!L$15)),IF(INDEX(Import.PLE,Detalhamento!$E31,Detalhamento!L$15)&lt;=mediçao,OFFSET(Import.PLQ,$A31-1,L$15-1,1,1),0),0),PLE!$AA$28*OFFSET(Import.PLQ,$A31-1,L$15-1,1,1)),IF($E31&lt;&gt;1,IF(ISNUMBER(INDEX(Import.PLE,Detalhamento!$E31,Detalhamento!L$15)),IF(INDEX(Import.PLE,Detalhamento!$E31,Detalhamento!L$15)&lt;=mediçao,0,OFFSET(Import.PLQ,$A31-1,L$15-1,1,1)),OFFSET(Import.PLQ,$A31-1,L$15-1,1,1)),(1-PLE!$AA$28)*OFFSET(Import.PLQ,$A31-1,L$15-1,1,1))))</f>
        <v>18.23</v>
      </c>
      <c r="M31" s="145">
        <f ca="1">IF(M$13="",0,CHOOSE(Detalhamento.OpçãoServiços,OFFSET(Import.PLQ,$A31-1,M$15-1,1,1),IF($E31&lt;&gt;1,IF(ISNUMBER(INDEX(Import.PLE,Detalhamento!$E31,Detalhamento!M$15)),IF(INDEX(Import.PLE,Detalhamento!$E31,Detalhamento!M$15)&lt;=mediçao,OFFSET(Import.PLQ,$A31-1,M$15-1,1,1),0),0),PLE!$AA$28*OFFSET(Import.PLQ,$A31-1,M$15-1,1,1)),IF($E31&lt;&gt;1,IF(ISNUMBER(INDEX(Import.PLE,Detalhamento!$E31,Detalhamento!M$15)),IF(INDEX(Import.PLE,Detalhamento!$E31,Detalhamento!M$15)&lt;=mediçao,0,OFFSET(Import.PLQ,$A31-1,M$15-1,1,1)),OFFSET(Import.PLQ,$A31-1,M$15-1,1,1)),(1-PLE!$AA$28)*OFFSET(Import.PLQ,$A31-1,M$15-1,1,1))))</f>
        <v>8.89</v>
      </c>
      <c r="N31" s="145">
        <f ca="1">IF(N$13="",0,CHOOSE(Detalhamento.OpçãoServiços,OFFSET(Import.PLQ,$A31-1,N$15-1,1,1),IF($E31&lt;&gt;1,IF(ISNUMBER(INDEX(Import.PLE,Detalhamento!$E31,Detalhamento!N$15)),IF(INDEX(Import.PLE,Detalhamento!$E31,Detalhamento!N$15)&lt;=mediçao,OFFSET(Import.PLQ,$A31-1,N$15-1,1,1),0),0),PLE!$AA$28*OFFSET(Import.PLQ,$A31-1,N$15-1,1,1)),IF($E31&lt;&gt;1,IF(ISNUMBER(INDEX(Import.PLE,Detalhamento!$E31,Detalhamento!N$15)),IF(INDEX(Import.PLE,Detalhamento!$E31,Detalhamento!N$15)&lt;=mediçao,0,OFFSET(Import.PLQ,$A31-1,N$15-1,1,1)),OFFSET(Import.PLQ,$A31-1,N$15-1,1,1)),(1-PLE!$AA$28)*OFFSET(Import.PLQ,$A31-1,N$15-1,1,1))))</f>
        <v>12.29</v>
      </c>
      <c r="O31" s="145">
        <f ca="1">IF(O$13="",0,CHOOSE(Detalhamento.OpçãoServiços,OFFSET(Import.PLQ,$A31-1,O$15-1,1,1),IF($E31&lt;&gt;1,IF(ISNUMBER(INDEX(Import.PLE,Detalhamento!$E31,Detalhamento!O$15)),IF(INDEX(Import.PLE,Detalhamento!$E31,Detalhamento!O$15)&lt;=mediçao,OFFSET(Import.PLQ,$A31-1,O$15-1,1,1),0),0),PLE!$AA$28*OFFSET(Import.PLQ,$A31-1,O$15-1,1,1)),IF($E31&lt;&gt;1,IF(ISNUMBER(INDEX(Import.PLE,Detalhamento!$E31,Detalhamento!O$15)),IF(INDEX(Import.PLE,Detalhamento!$E31,Detalhamento!O$15)&lt;=mediçao,0,OFFSET(Import.PLQ,$A31-1,O$15-1,1,1)),OFFSET(Import.PLQ,$A31-1,O$15-1,1,1)),(1-PLE!$AA$28)*OFFSET(Import.PLQ,$A31-1,O$15-1,1,1))))</f>
        <v>20.81</v>
      </c>
      <c r="P31" s="145">
        <f ca="1">IF(P$13="",0,CHOOSE(Detalhamento.OpçãoServiços,OFFSET(Import.PLQ,$A31-1,P$15-1,1,1),IF($E31&lt;&gt;1,IF(ISNUMBER(INDEX(Import.PLE,Detalhamento!$E31,Detalhamento!P$15)),IF(INDEX(Import.PLE,Detalhamento!$E31,Detalhamento!P$15)&lt;=mediçao,OFFSET(Import.PLQ,$A31-1,P$15-1,1,1),0),0),PLE!$AA$28*OFFSET(Import.PLQ,$A31-1,P$15-1,1,1)),IF($E31&lt;&gt;1,IF(ISNUMBER(INDEX(Import.PLE,Detalhamento!$E31,Detalhamento!P$15)),IF(INDEX(Import.PLE,Detalhamento!$E31,Detalhamento!P$15)&lt;=mediçao,0,OFFSET(Import.PLQ,$A31-1,P$15-1,1,1)),OFFSET(Import.PLQ,$A31-1,P$15-1,1,1)),(1-PLE!$AA$28)*OFFSET(Import.PLQ,$A31-1,P$15-1,1,1))))</f>
        <v>7.84</v>
      </c>
      <c r="Q31" s="145">
        <f ca="1">IF(Q$13="",0,CHOOSE(Detalhamento.OpçãoServiços,OFFSET(Import.PLQ,$A31-1,Q$15-1,1,1),IF($E31&lt;&gt;1,IF(ISNUMBER(INDEX(Import.PLE,Detalhamento!$E31,Detalhamento!Q$15)),IF(INDEX(Import.PLE,Detalhamento!$E31,Detalhamento!Q$15)&lt;=mediçao,OFFSET(Import.PLQ,$A31-1,Q$15-1,1,1),0),0),PLE!$AA$28*OFFSET(Import.PLQ,$A31-1,Q$15-1,1,1)),IF($E31&lt;&gt;1,IF(ISNUMBER(INDEX(Import.PLE,Detalhamento!$E31,Detalhamento!Q$15)),IF(INDEX(Import.PLE,Detalhamento!$E31,Detalhamento!Q$15)&lt;=mediçao,0,OFFSET(Import.PLQ,$A31-1,Q$15-1,1,1)),OFFSET(Import.PLQ,$A31-1,Q$15-1,1,1)),(1-PLE!$AA$28)*OFFSET(Import.PLQ,$A31-1,Q$15-1,1,1))))</f>
        <v>15.19</v>
      </c>
      <c r="R31" s="145">
        <f ca="1">IF(R$13="",0,CHOOSE(Detalhamento.OpçãoServiços,OFFSET(Import.PLQ,$A31-1,R$15-1,1,1),IF($E31&lt;&gt;1,IF(ISNUMBER(INDEX(Import.PLE,Detalhamento!$E31,Detalhamento!R$15)),IF(INDEX(Import.PLE,Detalhamento!$E31,Detalhamento!R$15)&lt;=mediçao,OFFSET(Import.PLQ,$A31-1,R$15-1,1,1),0),0),PLE!$AA$28*OFFSET(Import.PLQ,$A31-1,R$15-1,1,1)),IF($E31&lt;&gt;1,IF(ISNUMBER(INDEX(Import.PLE,Detalhamento!$E31,Detalhamento!R$15)),IF(INDEX(Import.PLE,Detalhamento!$E31,Detalhamento!R$15)&lt;=mediçao,0,OFFSET(Import.PLQ,$A31-1,R$15-1,1,1)),OFFSET(Import.PLQ,$A31-1,R$15-1,1,1)),(1-PLE!$AA$28)*OFFSET(Import.PLQ,$A31-1,R$15-1,1,1))))</f>
        <v>10.1</v>
      </c>
      <c r="S31" s="145">
        <f ca="1">IF(S$13="",0,CHOOSE(Detalhamento.OpçãoServiços,OFFSET(Import.PLQ,$A31-1,S$15-1,1,1),IF($E31&lt;&gt;1,IF(ISNUMBER(INDEX(Import.PLE,Detalhamento!$E31,Detalhamento!S$15)),IF(INDEX(Import.PLE,Detalhamento!$E31,Detalhamento!S$15)&lt;=mediçao,OFFSET(Import.PLQ,$A31-1,S$15-1,1,1),0),0),PLE!$AA$28*OFFSET(Import.PLQ,$A31-1,S$15-1,1,1)),IF($E31&lt;&gt;1,IF(ISNUMBER(INDEX(Import.PLE,Detalhamento!$E31,Detalhamento!S$15)),IF(INDEX(Import.PLE,Detalhamento!$E31,Detalhamento!S$15)&lt;=mediçao,0,OFFSET(Import.PLQ,$A31-1,S$15-1,1,1)),OFFSET(Import.PLQ,$A31-1,S$15-1,1,1)),(1-PLE!$AA$28)*OFFSET(Import.PLQ,$A31-1,S$15-1,1,1))))</f>
        <v>7.32</v>
      </c>
      <c r="T31" s="145">
        <f ca="1">IF(T$13="",0,CHOOSE(Detalhamento.OpçãoServiços,OFFSET(Import.PLQ,$A31-1,T$15-1,1,1),IF($E31&lt;&gt;1,IF(ISNUMBER(INDEX(Import.PLE,Detalhamento!$E31,Detalhamento!T$15)),IF(INDEX(Import.PLE,Detalhamento!$E31,Detalhamento!T$15)&lt;=mediçao,OFFSET(Import.PLQ,$A31-1,T$15-1,1,1),0),0),PLE!$AA$28*OFFSET(Import.PLQ,$A31-1,T$15-1,1,1)),IF($E31&lt;&gt;1,IF(ISNUMBER(INDEX(Import.PLE,Detalhamento!$E31,Detalhamento!T$15)),IF(INDEX(Import.PLE,Detalhamento!$E31,Detalhamento!T$15)&lt;=mediçao,0,OFFSET(Import.PLQ,$A31-1,T$15-1,1,1)),OFFSET(Import.PLQ,$A31-1,T$15-1,1,1)),(1-PLE!$AA$28)*OFFSET(Import.PLQ,$A31-1,T$15-1,1,1))))</f>
        <v>0</v>
      </c>
      <c r="U31" s="145">
        <f ca="1">IF(U$13="",0,CHOOSE(Detalhamento.OpçãoServiços,OFFSET(Import.PLQ,$A31-1,U$15-1,1,1),IF($E31&lt;&gt;1,IF(ISNUMBER(INDEX(Import.PLE,Detalhamento!$E31,Detalhamento!U$15)),IF(INDEX(Import.PLE,Detalhamento!$E31,Detalhamento!U$15)&lt;=mediçao,OFFSET(Import.PLQ,$A31-1,U$15-1,1,1),0),0),PLE!$AA$28*OFFSET(Import.PLQ,$A31-1,U$15-1,1,1)),IF($E31&lt;&gt;1,IF(ISNUMBER(INDEX(Import.PLE,Detalhamento!$E31,Detalhamento!U$15)),IF(INDEX(Import.PLE,Detalhamento!$E31,Detalhamento!U$15)&lt;=mediçao,0,OFFSET(Import.PLQ,$A31-1,U$15-1,1,1)),OFFSET(Import.PLQ,$A31-1,U$15-1,1,1)),(1-PLE!$AA$28)*OFFSET(Import.PLQ,$A31-1,U$15-1,1,1))))</f>
        <v>0</v>
      </c>
      <c r="V31" s="145">
        <f ca="1">IF(V$13="",0,CHOOSE(Detalhamento.OpçãoServiços,OFFSET(Import.PLQ,$A31-1,V$15-1,1,1),IF($E31&lt;&gt;1,IF(ISNUMBER(INDEX(Import.PLE,Detalhamento!$E31,Detalhamento!V$15)),IF(INDEX(Import.PLE,Detalhamento!$E31,Detalhamento!V$15)&lt;=mediçao,OFFSET(Import.PLQ,$A31-1,V$15-1,1,1),0),0),PLE!$AA$28*OFFSET(Import.PLQ,$A31-1,V$15-1,1,1)),IF($E31&lt;&gt;1,IF(ISNUMBER(INDEX(Import.PLE,Detalhamento!$E31,Detalhamento!V$15)),IF(INDEX(Import.PLE,Detalhamento!$E31,Detalhamento!V$15)&lt;=mediçao,0,OFFSET(Import.PLQ,$A31-1,V$15-1,1,1)),OFFSET(Import.PLQ,$A31-1,V$15-1,1,1)),(1-PLE!$AA$28)*OFFSET(Import.PLQ,$A31-1,V$15-1,1,1))))</f>
        <v>0</v>
      </c>
      <c r="W31" s="145">
        <f ca="1">IF(W$13="",0,CHOOSE(Detalhamento.OpçãoServiços,OFFSET(Import.PLQ,$A31-1,W$15-1,1,1),IF($E31&lt;&gt;1,IF(ISNUMBER(INDEX(Import.PLE,Detalhamento!$E31,Detalhamento!W$15)),IF(INDEX(Import.PLE,Detalhamento!$E31,Detalhamento!W$15)&lt;=mediçao,OFFSET(Import.PLQ,$A31-1,W$15-1,1,1),0),0),PLE!$AA$28*OFFSET(Import.PLQ,$A31-1,W$15-1,1,1)),IF($E31&lt;&gt;1,IF(ISNUMBER(INDEX(Import.PLE,Detalhamento!$E31,Detalhamento!W$15)),IF(INDEX(Import.PLE,Detalhamento!$E31,Detalhamento!W$15)&lt;=mediçao,0,OFFSET(Import.PLQ,$A31-1,W$15-1,1,1)),OFFSET(Import.PLQ,$A31-1,W$15-1,1,1)),(1-PLE!$AA$28)*OFFSET(Import.PLQ,$A31-1,W$15-1,1,1))))</f>
        <v>0</v>
      </c>
      <c r="X31" s="145">
        <f ca="1">IF(X$13="",0,CHOOSE(Detalhamento.OpçãoServiços,OFFSET(Import.PLQ,$A31-1,X$15-1,1,1),IF($E31&lt;&gt;1,IF(ISNUMBER(INDEX(Import.PLE,Detalhamento!$E31,Detalhamento!X$15)),IF(INDEX(Import.PLE,Detalhamento!$E31,Detalhamento!X$15)&lt;=mediçao,OFFSET(Import.PLQ,$A31-1,X$15-1,1,1),0),0),PLE!$AA$28*OFFSET(Import.PLQ,$A31-1,X$15-1,1,1)),IF($E31&lt;&gt;1,IF(ISNUMBER(INDEX(Import.PLE,Detalhamento!$E31,Detalhamento!X$15)),IF(INDEX(Import.PLE,Detalhamento!$E31,Detalhamento!X$15)&lt;=mediçao,0,OFFSET(Import.PLQ,$A31-1,X$15-1,1,1)),OFFSET(Import.PLQ,$A31-1,X$15-1,1,1)),(1-PLE!$AA$28)*OFFSET(Import.PLQ,$A31-1,X$15-1,1,1))))</f>
        <v>0</v>
      </c>
      <c r="Y31" s="145">
        <f ca="1">IF(Y$13="",0,CHOOSE(Detalhamento.OpçãoServiços,OFFSET(Import.PLQ,$A31-1,Y$15-1,1,1),IF($E31&lt;&gt;1,IF(ISNUMBER(INDEX(Import.PLE,Detalhamento!$E31,Detalhamento!Y$15)),IF(INDEX(Import.PLE,Detalhamento!$E31,Detalhamento!Y$15)&lt;=mediçao,OFFSET(Import.PLQ,$A31-1,Y$15-1,1,1),0),0),PLE!$AA$28*OFFSET(Import.PLQ,$A31-1,Y$15-1,1,1)),IF($E31&lt;&gt;1,IF(ISNUMBER(INDEX(Import.PLE,Detalhamento!$E31,Detalhamento!Y$15)),IF(INDEX(Import.PLE,Detalhamento!$E31,Detalhamento!Y$15)&lt;=mediçao,0,OFFSET(Import.PLQ,$A31-1,Y$15-1,1,1)),OFFSET(Import.PLQ,$A31-1,Y$15-1,1,1)),(1-PLE!$AA$28)*OFFSET(Import.PLQ,$A31-1,Y$15-1,1,1))))</f>
        <v>0</v>
      </c>
      <c r="Z31" s="145">
        <f ca="1">IF(Z$13="",0,CHOOSE(Detalhamento.OpçãoServiços,OFFSET(Import.PLQ,$A31-1,Z$15-1,1,1),IF($E31&lt;&gt;1,IF(ISNUMBER(INDEX(Import.PLE,Detalhamento!$E31,Detalhamento!Z$15)),IF(INDEX(Import.PLE,Detalhamento!$E31,Detalhamento!Z$15)&lt;=mediçao,OFFSET(Import.PLQ,$A31-1,Z$15-1,1,1),0),0),PLE!$AA$28*OFFSET(Import.PLQ,$A31-1,Z$15-1,1,1)),IF($E31&lt;&gt;1,IF(ISNUMBER(INDEX(Import.PLE,Detalhamento!$E31,Detalhamento!Z$15)),IF(INDEX(Import.PLE,Detalhamento!$E31,Detalhamento!Z$15)&lt;=mediçao,0,OFFSET(Import.PLQ,$A31-1,Z$15-1,1,1)),OFFSET(Import.PLQ,$A31-1,Z$15-1,1,1)),(1-PLE!$AA$28)*OFFSET(Import.PLQ,$A31-1,Z$15-1,1,1))))</f>
        <v>0</v>
      </c>
      <c r="AA31" s="145">
        <f ca="1">IF(AA$13="",0,CHOOSE(Detalhamento.OpçãoServiços,OFFSET(Import.PLQ,$A31-1,AA$15-1,1,1),IF($E31&lt;&gt;1,IF(ISNUMBER(INDEX(Import.PLE,Detalhamento!$E31,Detalhamento!AA$15)),IF(INDEX(Import.PLE,Detalhamento!$E31,Detalhamento!AA$15)&lt;=mediçao,OFFSET(Import.PLQ,$A31-1,AA$15-1,1,1),0),0),PLE!$AA$28*OFFSET(Import.PLQ,$A31-1,AA$15-1,1,1)),IF($E31&lt;&gt;1,IF(ISNUMBER(INDEX(Import.PLE,Detalhamento!$E31,Detalhamento!AA$15)),IF(INDEX(Import.PLE,Detalhamento!$E31,Detalhamento!AA$15)&lt;=mediçao,0,OFFSET(Import.PLQ,$A31-1,AA$15-1,1,1)),OFFSET(Import.PLQ,$A31-1,AA$15-1,1,1)),(1-PLE!$AA$28)*OFFSET(Import.PLQ,$A31-1,AA$15-1,1,1))))</f>
        <v>0</v>
      </c>
      <c r="AB31" s="145">
        <f ca="1">IF(AB$13="",0,CHOOSE(Detalhamento.OpçãoServiços,OFFSET(Import.PLQ,$A31-1,AB$15-1,1,1),IF($E31&lt;&gt;1,IF(ISNUMBER(INDEX(Import.PLE,Detalhamento!$E31,Detalhamento!AB$15)),IF(INDEX(Import.PLE,Detalhamento!$E31,Detalhamento!AB$15)&lt;=mediçao,OFFSET(Import.PLQ,$A31-1,AB$15-1,1,1),0),0),PLE!$AA$28*OFFSET(Import.PLQ,$A31-1,AB$15-1,1,1)),IF($E31&lt;&gt;1,IF(ISNUMBER(INDEX(Import.PLE,Detalhamento!$E31,Detalhamento!AB$15)),IF(INDEX(Import.PLE,Detalhamento!$E31,Detalhamento!AB$15)&lt;=mediçao,0,OFFSET(Import.PLQ,$A31-1,AB$15-1,1,1)),OFFSET(Import.PLQ,$A31-1,AB$15-1,1,1)),(1-PLE!$AA$28)*OFFSET(Import.PLQ,$A31-1,AB$15-1,1,1))))</f>
        <v>0</v>
      </c>
      <c r="AC31" s="145">
        <f ca="1">IF(AC$13="",0,CHOOSE(Detalhamento.OpçãoServiços,OFFSET(Import.PLQ,$A31-1,AC$15-1,1,1),IF($E31&lt;&gt;1,IF(ISNUMBER(INDEX(Import.PLE,Detalhamento!$E31,Detalhamento!AC$15)),IF(INDEX(Import.PLE,Detalhamento!$E31,Detalhamento!AC$15)&lt;=mediçao,OFFSET(Import.PLQ,$A31-1,AC$15-1,1,1),0),0),PLE!$AA$28*OFFSET(Import.PLQ,$A31-1,AC$15-1,1,1)),IF($E31&lt;&gt;1,IF(ISNUMBER(INDEX(Import.PLE,Detalhamento!$E31,Detalhamento!AC$15)),IF(INDEX(Import.PLE,Detalhamento!$E31,Detalhamento!AC$15)&lt;=mediçao,0,OFFSET(Import.PLQ,$A31-1,AC$15-1,1,1)),OFFSET(Import.PLQ,$A31-1,AC$15-1,1,1)),(1-PLE!$AA$28)*OFFSET(Import.PLQ,$A31-1,AC$15-1,1,1))))</f>
        <v>0</v>
      </c>
      <c r="AD31" s="145">
        <f ca="1">IF(AD$13="",0,CHOOSE(Detalhamento.OpçãoServiços,OFFSET(Import.PLQ,$A31-1,AD$15-1,1,1),IF($E31&lt;&gt;1,IF(ISNUMBER(INDEX(Import.PLE,Detalhamento!$E31,Detalhamento!AD$15)),IF(INDEX(Import.PLE,Detalhamento!$E31,Detalhamento!AD$15)&lt;=mediçao,OFFSET(Import.PLQ,$A31-1,AD$15-1,1,1),0),0),PLE!$AA$28*OFFSET(Import.PLQ,$A31-1,AD$15-1,1,1)),IF($E31&lt;&gt;1,IF(ISNUMBER(INDEX(Import.PLE,Detalhamento!$E31,Detalhamento!AD$15)),IF(INDEX(Import.PLE,Detalhamento!$E31,Detalhamento!AD$15)&lt;=mediçao,0,OFFSET(Import.PLQ,$A31-1,AD$15-1,1,1)),OFFSET(Import.PLQ,$A31-1,AD$15-1,1,1)),(1-PLE!$AA$28)*OFFSET(Import.PLQ,$A31-1,AD$15-1,1,1))))</f>
        <v>0</v>
      </c>
      <c r="AE31" s="145">
        <f ca="1">IF(AE$13="",0,CHOOSE(Detalhamento.OpçãoServiços,OFFSET(Import.PLQ,$A31-1,AE$15-1,1,1),IF($E31&lt;&gt;1,IF(ISNUMBER(INDEX(Import.PLE,Detalhamento!$E31,Detalhamento!AE$15)),IF(INDEX(Import.PLE,Detalhamento!$E31,Detalhamento!AE$15)&lt;=mediçao,OFFSET(Import.PLQ,$A31-1,AE$15-1,1,1),0),0),PLE!$AA$28*OFFSET(Import.PLQ,$A31-1,AE$15-1,1,1)),IF($E31&lt;&gt;1,IF(ISNUMBER(INDEX(Import.PLE,Detalhamento!$E31,Detalhamento!AE$15)),IF(INDEX(Import.PLE,Detalhamento!$E31,Detalhamento!AE$15)&lt;=mediçao,0,OFFSET(Import.PLQ,$A31-1,AE$15-1,1,1)),OFFSET(Import.PLQ,$A31-1,AE$15-1,1,1)),(1-PLE!$AA$28)*OFFSET(Import.PLQ,$A31-1,AE$15-1,1,1))))</f>
        <v>0</v>
      </c>
      <c r="AF31" s="145">
        <f ca="1">IF(AF$13="",0,CHOOSE(Detalhamento.OpçãoServiços,OFFSET(Import.PLQ,$A31-1,AF$15-1,1,1),IF($E31&lt;&gt;1,IF(ISNUMBER(INDEX(Import.PLE,Detalhamento!$E31,Detalhamento!AF$15)),IF(INDEX(Import.PLE,Detalhamento!$E31,Detalhamento!AF$15)&lt;=mediçao,OFFSET(Import.PLQ,$A31-1,AF$15-1,1,1),0),0),PLE!$AA$28*OFFSET(Import.PLQ,$A31-1,AF$15-1,1,1)),IF($E31&lt;&gt;1,IF(ISNUMBER(INDEX(Import.PLE,Detalhamento!$E31,Detalhamento!AF$15)),IF(INDEX(Import.PLE,Detalhamento!$E31,Detalhamento!AF$15)&lt;=mediçao,0,OFFSET(Import.PLQ,$A31-1,AF$15-1,1,1)),OFFSET(Import.PLQ,$A31-1,AF$15-1,1,1)),(1-PLE!$AA$28)*OFFSET(Import.PLQ,$A31-1,AF$15-1,1,1))))</f>
        <v>0</v>
      </c>
      <c r="AG31" s="145">
        <f ca="1">IF(AG$13="",0,CHOOSE(Detalhamento.OpçãoServiços,OFFSET(Import.PLQ,$A31-1,AG$15-1,1,1),IF($E31&lt;&gt;1,IF(ISNUMBER(INDEX(Import.PLE,Detalhamento!$E31,Detalhamento!AG$15)),IF(INDEX(Import.PLE,Detalhamento!$E31,Detalhamento!AG$15)&lt;=mediçao,OFFSET(Import.PLQ,$A31-1,AG$15-1,1,1),0),0),PLE!$AA$28*OFFSET(Import.PLQ,$A31-1,AG$15-1,1,1)),IF($E31&lt;&gt;1,IF(ISNUMBER(INDEX(Import.PLE,Detalhamento!$E31,Detalhamento!AG$15)),IF(INDEX(Import.PLE,Detalhamento!$E31,Detalhamento!AG$15)&lt;=mediçao,0,OFFSET(Import.PLQ,$A31-1,AG$15-1,1,1)),OFFSET(Import.PLQ,$A31-1,AG$15-1,1,1)),(1-PLE!$AA$28)*OFFSET(Import.PLQ,$A31-1,AG$15-1,1,1))))</f>
        <v>0</v>
      </c>
      <c r="AH31" s="145">
        <f ca="1">IF(AH$13="",0,CHOOSE(Detalhamento.OpçãoServiços,OFFSET(Import.PLQ,$A31-1,AH$15-1,1,1),IF($E31&lt;&gt;1,IF(ISNUMBER(INDEX(Import.PLE,Detalhamento!$E31,Detalhamento!AH$15)),IF(INDEX(Import.PLE,Detalhamento!$E31,Detalhamento!AH$15)&lt;=mediçao,OFFSET(Import.PLQ,$A31-1,AH$15-1,1,1),0),0),PLE!$AA$28*OFFSET(Import.PLQ,$A31-1,AH$15-1,1,1)),IF($E31&lt;&gt;1,IF(ISNUMBER(INDEX(Import.PLE,Detalhamento!$E31,Detalhamento!AH$15)),IF(INDEX(Import.PLE,Detalhamento!$E31,Detalhamento!AH$15)&lt;=mediçao,0,OFFSET(Import.PLQ,$A31-1,AH$15-1,1,1)),OFFSET(Import.PLQ,$A31-1,AH$15-1,1,1)),(1-PLE!$AA$28)*OFFSET(Import.PLQ,$A31-1,AH$15-1,1,1))))</f>
        <v>0</v>
      </c>
      <c r="AI31" s="145">
        <f ca="1">IF(AI$13="",0,CHOOSE(Detalhamento.OpçãoServiços,OFFSET(Import.PLQ,$A31-1,AI$15-1,1,1),IF($E31&lt;&gt;1,IF(ISNUMBER(INDEX(Import.PLE,Detalhamento!$E31,Detalhamento!AI$15)),IF(INDEX(Import.PLE,Detalhamento!$E31,Detalhamento!AI$15)&lt;=mediçao,OFFSET(Import.PLQ,$A31-1,AI$15-1,1,1),0),0),PLE!$AA$28*OFFSET(Import.PLQ,$A31-1,AI$15-1,1,1)),IF($E31&lt;&gt;1,IF(ISNUMBER(INDEX(Import.PLE,Detalhamento!$E31,Detalhamento!AI$15)),IF(INDEX(Import.PLE,Detalhamento!$E31,Detalhamento!AI$15)&lt;=mediçao,0,OFFSET(Import.PLQ,$A31-1,AI$15-1,1,1)),OFFSET(Import.PLQ,$A31-1,AI$15-1,1,1)),(1-PLE!$AA$28)*OFFSET(Import.PLQ,$A31-1,AI$15-1,1,1))))</f>
        <v>0</v>
      </c>
      <c r="AJ31" s="145">
        <f ca="1">IF(AJ$13="",0,CHOOSE(Detalhamento.OpçãoServiços,OFFSET(Import.PLQ,$A31-1,AJ$15-1,1,1),IF($E31&lt;&gt;1,IF(ISNUMBER(INDEX(Import.PLE,Detalhamento!$E31,Detalhamento!AJ$15)),IF(INDEX(Import.PLE,Detalhamento!$E31,Detalhamento!AJ$15)&lt;=mediçao,OFFSET(Import.PLQ,$A31-1,AJ$15-1,1,1),0),0),PLE!$AA$28*OFFSET(Import.PLQ,$A31-1,AJ$15-1,1,1)),IF($E31&lt;&gt;1,IF(ISNUMBER(INDEX(Import.PLE,Detalhamento!$E31,Detalhamento!AJ$15)),IF(INDEX(Import.PLE,Detalhamento!$E31,Detalhamento!AJ$15)&lt;=mediçao,0,OFFSET(Import.PLQ,$A31-1,AJ$15-1,1,1)),OFFSET(Import.PLQ,$A31-1,AJ$15-1,1,1)),(1-PLE!$AA$28)*OFFSET(Import.PLQ,$A31-1,AJ$15-1,1,1))))</f>
        <v>0</v>
      </c>
      <c r="AK31" s="145">
        <f ca="1">IF(AK$13="",0,CHOOSE(Detalhamento.OpçãoServiços,OFFSET(Import.PLQ,$A31-1,AK$15-1,1,1),IF($E31&lt;&gt;1,IF(ISNUMBER(INDEX(Import.PLE,Detalhamento!$E31,Detalhamento!AK$15)),IF(INDEX(Import.PLE,Detalhamento!$E31,Detalhamento!AK$15)&lt;=mediçao,OFFSET(Import.PLQ,$A31-1,AK$15-1,1,1),0),0),PLE!$AA$28*OFFSET(Import.PLQ,$A31-1,AK$15-1,1,1)),IF($E31&lt;&gt;1,IF(ISNUMBER(INDEX(Import.PLE,Detalhamento!$E31,Detalhamento!AK$15)),IF(INDEX(Import.PLE,Detalhamento!$E31,Detalhamento!AK$15)&lt;=mediçao,0,OFFSET(Import.PLQ,$A31-1,AK$15-1,1,1)),OFFSET(Import.PLQ,$A31-1,AK$15-1,1,1)),(1-PLE!$AA$28)*OFFSET(Import.PLQ,$A31-1,AK$15-1,1,1))))</f>
        <v>0</v>
      </c>
      <c r="AL31" s="145">
        <f ca="1">IF(AL$13="",0,CHOOSE(Detalhamento.OpçãoServiços,OFFSET(Import.PLQ,$A31-1,AL$15-1,1,1),IF($E31&lt;&gt;1,IF(ISNUMBER(INDEX(Import.PLE,Detalhamento!$E31,Detalhamento!AL$15)),IF(INDEX(Import.PLE,Detalhamento!$E31,Detalhamento!AL$15)&lt;=mediçao,OFFSET(Import.PLQ,$A31-1,AL$15-1,1,1),0),0),PLE!$AA$28*OFFSET(Import.PLQ,$A31-1,AL$15-1,1,1)),IF($E31&lt;&gt;1,IF(ISNUMBER(INDEX(Import.PLE,Detalhamento!$E31,Detalhamento!AL$15)),IF(INDEX(Import.PLE,Detalhamento!$E31,Detalhamento!AL$15)&lt;=mediçao,0,OFFSET(Import.PLQ,$A31-1,AL$15-1,1,1)),OFFSET(Import.PLQ,$A31-1,AL$15-1,1,1)),(1-PLE!$AA$28)*OFFSET(Import.PLQ,$A31-1,AL$15-1,1,1))))</f>
        <v>0</v>
      </c>
      <c r="AM31" s="145">
        <f ca="1">IF(AM$13="",0,CHOOSE(Detalhamento.OpçãoServiços,OFFSET(Import.PLQ,$A31-1,AM$15-1,1,1),IF($E31&lt;&gt;1,IF(ISNUMBER(INDEX(Import.PLE,Detalhamento!$E31,Detalhamento!AM$15)),IF(INDEX(Import.PLE,Detalhamento!$E31,Detalhamento!AM$15)&lt;=mediçao,OFFSET(Import.PLQ,$A31-1,AM$15-1,1,1),0),0),PLE!$AA$28*OFFSET(Import.PLQ,$A31-1,AM$15-1,1,1)),IF($E31&lt;&gt;1,IF(ISNUMBER(INDEX(Import.PLE,Detalhamento!$E31,Detalhamento!AM$15)),IF(INDEX(Import.PLE,Detalhamento!$E31,Detalhamento!AM$15)&lt;=mediçao,0,OFFSET(Import.PLQ,$A31-1,AM$15-1,1,1)),OFFSET(Import.PLQ,$A31-1,AM$15-1,1,1)),(1-PLE!$AA$28)*OFFSET(Import.PLQ,$A31-1,AM$15-1,1,1))))</f>
        <v>0</v>
      </c>
      <c r="AN31" s="145">
        <f ca="1">IF(AN$13="",0,CHOOSE(Detalhamento.OpçãoServiços,OFFSET(Import.PLQ,$A31-1,AN$15-1,1,1),IF($E31&lt;&gt;1,IF(ISNUMBER(INDEX(Import.PLE,Detalhamento!$E31,Detalhamento!AN$15)),IF(INDEX(Import.PLE,Detalhamento!$E31,Detalhamento!AN$15)&lt;=mediçao,OFFSET(Import.PLQ,$A31-1,AN$15-1,1,1),0),0),PLE!$AA$28*OFFSET(Import.PLQ,$A31-1,AN$15-1,1,1)),IF($E31&lt;&gt;1,IF(ISNUMBER(INDEX(Import.PLE,Detalhamento!$E31,Detalhamento!AN$15)),IF(INDEX(Import.PLE,Detalhamento!$E31,Detalhamento!AN$15)&lt;=mediçao,0,OFFSET(Import.PLQ,$A31-1,AN$15-1,1,1)),OFFSET(Import.PLQ,$A31-1,AN$15-1,1,1)),(1-PLE!$AA$28)*OFFSET(Import.PLQ,$A31-1,AN$15-1,1,1))))</f>
        <v>0</v>
      </c>
      <c r="AO31" s="145">
        <f ca="1">IF(AO$13="",0,CHOOSE(Detalhamento.OpçãoServiços,OFFSET(Import.PLQ,$A31-1,AO$15-1,1,1),IF($E31&lt;&gt;1,IF(ISNUMBER(INDEX(Import.PLE,Detalhamento!$E31,Detalhamento!AO$15)),IF(INDEX(Import.PLE,Detalhamento!$E31,Detalhamento!AO$15)&lt;=mediçao,OFFSET(Import.PLQ,$A31-1,AO$15-1,1,1),0),0),PLE!$AA$28*OFFSET(Import.PLQ,$A31-1,AO$15-1,1,1)),IF($E31&lt;&gt;1,IF(ISNUMBER(INDEX(Import.PLE,Detalhamento!$E31,Detalhamento!AO$15)),IF(INDEX(Import.PLE,Detalhamento!$E31,Detalhamento!AO$15)&lt;=mediçao,0,OFFSET(Import.PLQ,$A31-1,AO$15-1,1,1)),OFFSET(Import.PLQ,$A31-1,AO$15-1,1,1)),(1-PLE!$AA$28)*OFFSET(Import.PLQ,$A31-1,AO$15-1,1,1))))</f>
        <v>0</v>
      </c>
      <c r="AP31" s="145">
        <f ca="1">IF(AP$13="",0,CHOOSE(Detalhamento.OpçãoServiços,OFFSET(Import.PLQ,$A31-1,AP$15-1,1,1),IF($E31&lt;&gt;1,IF(ISNUMBER(INDEX(Import.PLE,Detalhamento!$E31,Detalhamento!AP$15)),IF(INDEX(Import.PLE,Detalhamento!$E31,Detalhamento!AP$15)&lt;=mediçao,OFFSET(Import.PLQ,$A31-1,AP$15-1,1,1),0),0),PLE!$AA$28*OFFSET(Import.PLQ,$A31-1,AP$15-1,1,1)),IF($E31&lt;&gt;1,IF(ISNUMBER(INDEX(Import.PLE,Detalhamento!$E31,Detalhamento!AP$15)),IF(INDEX(Import.PLE,Detalhamento!$E31,Detalhamento!AP$15)&lt;=mediçao,0,OFFSET(Import.PLQ,$A31-1,AP$15-1,1,1)),OFFSET(Import.PLQ,$A31-1,AP$15-1,1,1)),(1-PLE!$AA$28)*OFFSET(Import.PLQ,$A31-1,AP$15-1,1,1))))</f>
        <v>0</v>
      </c>
      <c r="AQ31" s="145">
        <f ca="1">IF(AQ$13="",0,CHOOSE(Detalhamento.OpçãoServiços,OFFSET(Import.PLQ,$A31-1,AQ$15-1,1,1),IF($E31&lt;&gt;1,IF(ISNUMBER(INDEX(Import.PLE,Detalhamento!$E31,Detalhamento!AQ$15)),IF(INDEX(Import.PLE,Detalhamento!$E31,Detalhamento!AQ$15)&lt;=mediçao,OFFSET(Import.PLQ,$A31-1,AQ$15-1,1,1),0),0),PLE!$AA$28*OFFSET(Import.PLQ,$A31-1,AQ$15-1,1,1)),IF($E31&lt;&gt;1,IF(ISNUMBER(INDEX(Import.PLE,Detalhamento!$E31,Detalhamento!AQ$15)),IF(INDEX(Import.PLE,Detalhamento!$E31,Detalhamento!AQ$15)&lt;=mediçao,0,OFFSET(Import.PLQ,$A31-1,AQ$15-1,1,1)),OFFSET(Import.PLQ,$A31-1,AQ$15-1,1,1)),(1-PLE!$AA$28)*OFFSET(Import.PLQ,$A31-1,AQ$15-1,1,1))))</f>
        <v>0</v>
      </c>
      <c r="AR31" s="145">
        <f ca="1">IF(AR$13="",0,CHOOSE(Detalhamento.OpçãoServiços,OFFSET(Import.PLQ,$A31-1,AR$15-1,1,1),IF($E31&lt;&gt;1,IF(ISNUMBER(INDEX(Import.PLE,Detalhamento!$E31,Detalhamento!AR$15)),IF(INDEX(Import.PLE,Detalhamento!$E31,Detalhamento!AR$15)&lt;=mediçao,OFFSET(Import.PLQ,$A31-1,AR$15-1,1,1),0),0),PLE!$AA$28*OFFSET(Import.PLQ,$A31-1,AR$15-1,1,1)),IF($E31&lt;&gt;1,IF(ISNUMBER(INDEX(Import.PLE,Detalhamento!$E31,Detalhamento!AR$15)),IF(INDEX(Import.PLE,Detalhamento!$E31,Detalhamento!AR$15)&lt;=mediçao,0,OFFSET(Import.PLQ,$A31-1,AR$15-1,1,1)),OFFSET(Import.PLQ,$A31-1,AR$15-1,1,1)),(1-PLE!$AA$28)*OFFSET(Import.PLQ,$A31-1,AR$15-1,1,1))))</f>
        <v>0</v>
      </c>
      <c r="AS31" s="145">
        <f ca="1">IF(AS$13="",0,CHOOSE(Detalhamento.OpçãoServiços,OFFSET(Import.PLQ,$A31-1,AS$15-1,1,1),IF($E31&lt;&gt;1,IF(ISNUMBER(INDEX(Import.PLE,Detalhamento!$E31,Detalhamento!AS$15)),IF(INDEX(Import.PLE,Detalhamento!$E31,Detalhamento!AS$15)&lt;=mediçao,OFFSET(Import.PLQ,$A31-1,AS$15-1,1,1),0),0),PLE!$AA$28*OFFSET(Import.PLQ,$A31-1,AS$15-1,1,1)),IF($E31&lt;&gt;1,IF(ISNUMBER(INDEX(Import.PLE,Detalhamento!$E31,Detalhamento!AS$15)),IF(INDEX(Import.PLE,Detalhamento!$E31,Detalhamento!AS$15)&lt;=mediçao,0,OFFSET(Import.PLQ,$A31-1,AS$15-1,1,1)),OFFSET(Import.PLQ,$A31-1,AS$15-1,1,1)),(1-PLE!$AA$28)*OFFSET(Import.PLQ,$A31-1,AS$15-1,1,1))))</f>
        <v>0</v>
      </c>
      <c r="AT31" s="145">
        <f ca="1">IF(AT$13="",0,CHOOSE(Detalhamento.OpçãoServiços,OFFSET(Import.PLQ,$A31-1,AT$15-1,1,1),IF($E31&lt;&gt;1,IF(ISNUMBER(INDEX(Import.PLE,Detalhamento!$E31,Detalhamento!AT$15)),IF(INDEX(Import.PLE,Detalhamento!$E31,Detalhamento!AT$15)&lt;=mediçao,OFFSET(Import.PLQ,$A31-1,AT$15-1,1,1),0),0),PLE!$AA$28*OFFSET(Import.PLQ,$A31-1,AT$15-1,1,1)),IF($E31&lt;&gt;1,IF(ISNUMBER(INDEX(Import.PLE,Detalhamento!$E31,Detalhamento!AT$15)),IF(INDEX(Import.PLE,Detalhamento!$E31,Detalhamento!AT$15)&lt;=mediçao,0,OFFSET(Import.PLQ,$A31-1,AT$15-1,1,1)),OFFSET(Import.PLQ,$A31-1,AT$15-1,1,1)),(1-PLE!$AA$28)*OFFSET(Import.PLQ,$A31-1,AT$15-1,1,1))))</f>
        <v>0</v>
      </c>
      <c r="AU31" s="145">
        <f ca="1">IF(AU$13="",0,CHOOSE(Detalhamento.OpçãoServiços,OFFSET(Import.PLQ,$A31-1,AU$15-1,1,1),IF($E31&lt;&gt;1,IF(ISNUMBER(INDEX(Import.PLE,Detalhamento!$E31,Detalhamento!AU$15)),IF(INDEX(Import.PLE,Detalhamento!$E31,Detalhamento!AU$15)&lt;=mediçao,OFFSET(Import.PLQ,$A31-1,AU$15-1,1,1),0),0),PLE!$AA$28*OFFSET(Import.PLQ,$A31-1,AU$15-1,1,1)),IF($E31&lt;&gt;1,IF(ISNUMBER(INDEX(Import.PLE,Detalhamento!$E31,Detalhamento!AU$15)),IF(INDEX(Import.PLE,Detalhamento!$E31,Detalhamento!AU$15)&lt;=mediçao,0,OFFSET(Import.PLQ,$A31-1,AU$15-1,1,1)),OFFSET(Import.PLQ,$A31-1,AU$15-1,1,1)),(1-PLE!$AA$28)*OFFSET(Import.PLQ,$A31-1,AU$15-1,1,1))))</f>
        <v>0</v>
      </c>
      <c r="AV31" s="145">
        <f ca="1">IF(AV$13="",0,CHOOSE(Detalhamento.OpçãoServiços,OFFSET(Import.PLQ,$A31-1,AV$15-1,1,1),IF($E31&lt;&gt;1,IF(ISNUMBER(INDEX(Import.PLE,Detalhamento!$E31,Detalhamento!AV$15)),IF(INDEX(Import.PLE,Detalhamento!$E31,Detalhamento!AV$15)&lt;=mediçao,OFFSET(Import.PLQ,$A31-1,AV$15-1,1,1),0),0),PLE!$AA$28*OFFSET(Import.PLQ,$A31-1,AV$15-1,1,1)),IF($E31&lt;&gt;1,IF(ISNUMBER(INDEX(Import.PLE,Detalhamento!$E31,Detalhamento!AV$15)),IF(INDEX(Import.PLE,Detalhamento!$E31,Detalhamento!AV$15)&lt;=mediçao,0,OFFSET(Import.PLQ,$A31-1,AV$15-1,1,1)),OFFSET(Import.PLQ,$A31-1,AV$15-1,1,1)),(1-PLE!$AA$28)*OFFSET(Import.PLQ,$A31-1,AV$15-1,1,1))))</f>
        <v>0</v>
      </c>
      <c r="AW31" s="145">
        <f ca="1">IF(AW$13="",0,CHOOSE(Detalhamento.OpçãoServiços,OFFSET(Import.PLQ,$A31-1,AW$15-1,1,1),IF($E31&lt;&gt;1,IF(ISNUMBER(INDEX(Import.PLE,Detalhamento!$E31,Detalhamento!AW$15)),IF(INDEX(Import.PLE,Detalhamento!$E31,Detalhamento!AW$15)&lt;=mediçao,OFFSET(Import.PLQ,$A31-1,AW$15-1,1,1),0),0),PLE!$AA$28*OFFSET(Import.PLQ,$A31-1,AW$15-1,1,1)),IF($E31&lt;&gt;1,IF(ISNUMBER(INDEX(Import.PLE,Detalhamento!$E31,Detalhamento!AW$15)),IF(INDEX(Import.PLE,Detalhamento!$E31,Detalhamento!AW$15)&lt;=mediçao,0,OFFSET(Import.PLQ,$A31-1,AW$15-1,1,1)),OFFSET(Import.PLQ,$A31-1,AW$15-1,1,1)),(1-PLE!$AA$28)*OFFSET(Import.PLQ,$A31-1,AW$15-1,1,1))))</f>
        <v>0</v>
      </c>
      <c r="AX31" s="145">
        <f ca="1">IF(AX$13="",0,CHOOSE(Detalhamento.OpçãoServiços,OFFSET(Import.PLQ,$A31-1,AX$15-1,1,1),IF($E31&lt;&gt;1,IF(ISNUMBER(INDEX(Import.PLE,Detalhamento!$E31,Detalhamento!AX$15)),IF(INDEX(Import.PLE,Detalhamento!$E31,Detalhamento!AX$15)&lt;=mediçao,OFFSET(Import.PLQ,$A31-1,AX$15-1,1,1),0),0),PLE!$AA$28*OFFSET(Import.PLQ,$A31-1,AX$15-1,1,1)),IF($E31&lt;&gt;1,IF(ISNUMBER(INDEX(Import.PLE,Detalhamento!$E31,Detalhamento!AX$15)),IF(INDEX(Import.PLE,Detalhamento!$E31,Detalhamento!AX$15)&lt;=mediçao,0,OFFSET(Import.PLQ,$A31-1,AX$15-1,1,1)),OFFSET(Import.PLQ,$A31-1,AX$15-1,1,1)),(1-PLE!$AA$28)*OFFSET(Import.PLQ,$A31-1,AX$15-1,1,1))))</f>
        <v>0</v>
      </c>
      <c r="AY31" s="145">
        <f ca="1">IF(AY$13="",0,CHOOSE(Detalhamento.OpçãoServiços,OFFSET(Import.PLQ,$A31-1,AY$15-1,1,1),IF($E31&lt;&gt;1,IF(ISNUMBER(INDEX(Import.PLE,Detalhamento!$E31,Detalhamento!AY$15)),IF(INDEX(Import.PLE,Detalhamento!$E31,Detalhamento!AY$15)&lt;=mediçao,OFFSET(Import.PLQ,$A31-1,AY$15-1,1,1),0),0),PLE!$AA$28*OFFSET(Import.PLQ,$A31-1,AY$15-1,1,1)),IF($E31&lt;&gt;1,IF(ISNUMBER(INDEX(Import.PLE,Detalhamento!$E31,Detalhamento!AY$15)),IF(INDEX(Import.PLE,Detalhamento!$E31,Detalhamento!AY$15)&lt;=mediçao,0,OFFSET(Import.PLQ,$A31-1,AY$15-1,1,1)),OFFSET(Import.PLQ,$A31-1,AY$15-1,1,1)),(1-PLE!$AA$28)*OFFSET(Import.PLQ,$A31-1,AY$15-1,1,1))))</f>
        <v>0</v>
      </c>
      <c r="AZ31" s="145">
        <f ca="1">IF(AZ$13="",0,CHOOSE(Detalhamento.OpçãoServiços,OFFSET(Import.PLQ,$A31-1,AZ$15-1,1,1),IF($E31&lt;&gt;1,IF(ISNUMBER(INDEX(Import.PLE,Detalhamento!$E31,Detalhamento!AZ$15)),IF(INDEX(Import.PLE,Detalhamento!$E31,Detalhamento!AZ$15)&lt;=mediçao,OFFSET(Import.PLQ,$A31-1,AZ$15-1,1,1),0),0),PLE!$AA$28*OFFSET(Import.PLQ,$A31-1,AZ$15-1,1,1)),IF($E31&lt;&gt;1,IF(ISNUMBER(INDEX(Import.PLE,Detalhamento!$E31,Detalhamento!AZ$15)),IF(INDEX(Import.PLE,Detalhamento!$E31,Detalhamento!AZ$15)&lt;=mediçao,0,OFFSET(Import.PLQ,$A31-1,AZ$15-1,1,1)),OFFSET(Import.PLQ,$A31-1,AZ$15-1,1,1)),(1-PLE!$AA$28)*OFFSET(Import.PLQ,$A31-1,AZ$15-1,1,1))))</f>
        <v>0</v>
      </c>
      <c r="BA31" s="145">
        <f ca="1">IF(BA$13="",0,CHOOSE(Detalhamento.OpçãoServiços,OFFSET(Import.PLQ,$A31-1,BA$15-1,1,1),IF($E31&lt;&gt;1,IF(ISNUMBER(INDEX(Import.PLE,Detalhamento!$E31,Detalhamento!BA$15)),IF(INDEX(Import.PLE,Detalhamento!$E31,Detalhamento!BA$15)&lt;=mediçao,OFFSET(Import.PLQ,$A31-1,BA$15-1,1,1),0),0),PLE!$AA$28*OFFSET(Import.PLQ,$A31-1,BA$15-1,1,1)),IF($E31&lt;&gt;1,IF(ISNUMBER(INDEX(Import.PLE,Detalhamento!$E31,Detalhamento!BA$15)),IF(INDEX(Import.PLE,Detalhamento!$E31,Detalhamento!BA$15)&lt;=mediçao,0,OFFSET(Import.PLQ,$A31-1,BA$15-1,1,1)),OFFSET(Import.PLQ,$A31-1,BA$15-1,1,1)),(1-PLE!$AA$28)*OFFSET(Import.PLQ,$A31-1,BA$15-1,1,1))))</f>
        <v>0</v>
      </c>
      <c r="BB31" s="145">
        <f ca="1">IF(BB$13="",0,CHOOSE(Detalhamento.OpçãoServiços,OFFSET(Import.PLQ,$A31-1,BB$15-1,1,1),IF($E31&lt;&gt;1,IF(ISNUMBER(INDEX(Import.PLE,Detalhamento!$E31,Detalhamento!BB$15)),IF(INDEX(Import.PLE,Detalhamento!$E31,Detalhamento!BB$15)&lt;=mediçao,OFFSET(Import.PLQ,$A31-1,BB$15-1,1,1),0),0),PLE!$AA$28*OFFSET(Import.PLQ,$A31-1,BB$15-1,1,1)),IF($E31&lt;&gt;1,IF(ISNUMBER(INDEX(Import.PLE,Detalhamento!$E31,Detalhamento!BB$15)),IF(INDEX(Import.PLE,Detalhamento!$E31,Detalhamento!BB$15)&lt;=mediçao,0,OFFSET(Import.PLQ,$A31-1,BB$15-1,1,1)),OFFSET(Import.PLQ,$A31-1,BB$15-1,1,1)),(1-PLE!$AA$28)*OFFSET(Import.PLQ,$A31-1,BB$15-1,1,1))))</f>
        <v>0</v>
      </c>
      <c r="BC31" s="145">
        <f ca="1">IF(BC$13="",0,CHOOSE(Detalhamento.OpçãoServiços,OFFSET(Import.PLQ,$A31-1,BC$15-1,1,1),IF($E31&lt;&gt;1,IF(ISNUMBER(INDEX(Import.PLE,Detalhamento!$E31,Detalhamento!BC$15)),IF(INDEX(Import.PLE,Detalhamento!$E31,Detalhamento!BC$15)&lt;=mediçao,OFFSET(Import.PLQ,$A31-1,BC$15-1,1,1),0),0),PLE!$AA$28*OFFSET(Import.PLQ,$A31-1,BC$15-1,1,1)),IF($E31&lt;&gt;1,IF(ISNUMBER(INDEX(Import.PLE,Detalhamento!$E31,Detalhamento!BC$15)),IF(INDEX(Import.PLE,Detalhamento!$E31,Detalhamento!BC$15)&lt;=mediçao,0,OFFSET(Import.PLQ,$A31-1,BC$15-1,1,1)),OFFSET(Import.PLQ,$A31-1,BC$15-1,1,1)),(1-PLE!$AA$28)*OFFSET(Import.PLQ,$A31-1,BC$15-1,1,1))))</f>
        <v>0</v>
      </c>
      <c r="BD31" s="145">
        <f ca="1">IF(BD$13="",0,CHOOSE(Detalhamento.OpçãoServiços,OFFSET(Import.PLQ,$A31-1,BD$15-1,1,1),IF($E31&lt;&gt;1,IF(ISNUMBER(INDEX(Import.PLE,Detalhamento!$E31,Detalhamento!BD$15)),IF(INDEX(Import.PLE,Detalhamento!$E31,Detalhamento!BD$15)&lt;=mediçao,OFFSET(Import.PLQ,$A31-1,BD$15-1,1,1),0),0),PLE!$AA$28*OFFSET(Import.PLQ,$A31-1,BD$15-1,1,1)),IF($E31&lt;&gt;1,IF(ISNUMBER(INDEX(Import.PLE,Detalhamento!$E31,Detalhamento!BD$15)),IF(INDEX(Import.PLE,Detalhamento!$E31,Detalhamento!BD$15)&lt;=mediçao,0,OFFSET(Import.PLQ,$A31-1,BD$15-1,1,1)),OFFSET(Import.PLQ,$A31-1,BD$15-1,1,1)),(1-PLE!$AA$28)*OFFSET(Import.PLQ,$A31-1,BD$15-1,1,1))))</f>
        <v>0</v>
      </c>
      <c r="BE31" s="145">
        <f ca="1">IF(BE$13="",0,CHOOSE(Detalhamento.OpçãoServiços,OFFSET(Import.PLQ,$A31-1,BE$15-1,1,1),IF($E31&lt;&gt;1,IF(ISNUMBER(INDEX(Import.PLE,Detalhamento!$E31,Detalhamento!BE$15)),IF(INDEX(Import.PLE,Detalhamento!$E31,Detalhamento!BE$15)&lt;=mediçao,OFFSET(Import.PLQ,$A31-1,BE$15-1,1,1),0),0),PLE!$AA$28*OFFSET(Import.PLQ,$A31-1,BE$15-1,1,1)),IF($E31&lt;&gt;1,IF(ISNUMBER(INDEX(Import.PLE,Detalhamento!$E31,Detalhamento!BE$15)),IF(INDEX(Import.PLE,Detalhamento!$E31,Detalhamento!BE$15)&lt;=mediçao,0,OFFSET(Import.PLQ,$A31-1,BE$15-1,1,1)),OFFSET(Import.PLQ,$A31-1,BE$15-1,1,1)),(1-PLE!$AA$28)*OFFSET(Import.PLQ,$A31-1,BE$15-1,1,1))))</f>
        <v>0</v>
      </c>
      <c r="BF31" s="145">
        <f ca="1">IF(BF$13="",0,CHOOSE(Detalhamento.OpçãoServiços,OFFSET(Import.PLQ,$A31-1,BF$15-1,1,1),IF($E31&lt;&gt;1,IF(ISNUMBER(INDEX(Import.PLE,Detalhamento!$E31,Detalhamento!BF$15)),IF(INDEX(Import.PLE,Detalhamento!$E31,Detalhamento!BF$15)&lt;=mediçao,OFFSET(Import.PLQ,$A31-1,BF$15-1,1,1),0),0),PLE!$AA$28*OFFSET(Import.PLQ,$A31-1,BF$15-1,1,1)),IF($E31&lt;&gt;1,IF(ISNUMBER(INDEX(Import.PLE,Detalhamento!$E31,Detalhamento!BF$15)),IF(INDEX(Import.PLE,Detalhamento!$E31,Detalhamento!BF$15)&lt;=mediçao,0,OFFSET(Import.PLQ,$A31-1,BF$15-1,1,1)),OFFSET(Import.PLQ,$A31-1,BF$15-1,1,1)),(1-PLE!$AA$28)*OFFSET(Import.PLQ,$A31-1,BF$15-1,1,1))))</f>
        <v>0</v>
      </c>
      <c r="BG31" s="145">
        <f ca="1">IF(BG$13="",0,CHOOSE(Detalhamento.OpçãoServiços,OFFSET(Import.PLQ,$A31-1,BG$15-1,1,1),IF($E31&lt;&gt;1,IF(ISNUMBER(INDEX(Import.PLE,Detalhamento!$E31,Detalhamento!BG$15)),IF(INDEX(Import.PLE,Detalhamento!$E31,Detalhamento!BG$15)&lt;=mediçao,OFFSET(Import.PLQ,$A31-1,BG$15-1,1,1),0),0),PLE!$AA$28*OFFSET(Import.PLQ,$A31-1,BG$15-1,1,1)),IF($E31&lt;&gt;1,IF(ISNUMBER(INDEX(Import.PLE,Detalhamento!$E31,Detalhamento!BG$15)),IF(INDEX(Import.PLE,Detalhamento!$E31,Detalhamento!BG$15)&lt;=mediçao,0,OFFSET(Import.PLQ,$A31-1,BG$15-1,1,1)),OFFSET(Import.PLQ,$A31-1,BG$15-1,1,1)),(1-PLE!$AA$28)*OFFSET(Import.PLQ,$A31-1,BG$15-1,1,1))))</f>
        <v>0</v>
      </c>
      <c r="BH31" s="145">
        <f ca="1">IF(BH$13="",0,CHOOSE(Detalhamento.OpçãoServiços,OFFSET(Import.PLQ,$A31-1,BH$15-1,1,1),IF($E31&lt;&gt;1,IF(ISNUMBER(INDEX(Import.PLE,Detalhamento!$E31,Detalhamento!BH$15)),IF(INDEX(Import.PLE,Detalhamento!$E31,Detalhamento!BH$15)&lt;=mediçao,OFFSET(Import.PLQ,$A31-1,BH$15-1,1,1),0),0),PLE!$AA$28*OFFSET(Import.PLQ,$A31-1,BH$15-1,1,1)),IF($E31&lt;&gt;1,IF(ISNUMBER(INDEX(Import.PLE,Detalhamento!$E31,Detalhamento!BH$15)),IF(INDEX(Import.PLE,Detalhamento!$E31,Detalhamento!BH$15)&lt;=mediçao,0,OFFSET(Import.PLQ,$A31-1,BH$15-1,1,1)),OFFSET(Import.PLQ,$A31-1,BH$15-1,1,1)),(1-PLE!$AA$28)*OFFSET(Import.PLQ,$A31-1,BH$15-1,1,1))))</f>
        <v>0</v>
      </c>
      <c r="BI31" s="145">
        <f ca="1">IF(BI$13="",0,CHOOSE(Detalhamento.OpçãoServiços,OFFSET(Import.PLQ,$A31-1,BI$15-1,1,1),IF($E31&lt;&gt;1,IF(ISNUMBER(INDEX(Import.PLE,Detalhamento!$E31,Detalhamento!BI$15)),IF(INDEX(Import.PLE,Detalhamento!$E31,Detalhamento!BI$15)&lt;=mediçao,OFFSET(Import.PLQ,$A31-1,BI$15-1,1,1),0),0),PLE!$AA$28*OFFSET(Import.PLQ,$A31-1,BI$15-1,1,1)),IF($E31&lt;&gt;1,IF(ISNUMBER(INDEX(Import.PLE,Detalhamento!$E31,Detalhamento!BI$15)),IF(INDEX(Import.PLE,Detalhamento!$E31,Detalhamento!BI$15)&lt;=mediçao,0,OFFSET(Import.PLQ,$A31-1,BI$15-1,1,1)),OFFSET(Import.PLQ,$A31-1,BI$15-1,1,1)),(1-PLE!$AA$28)*OFFSET(Import.PLQ,$A31-1,BI$15-1,1,1))))</f>
        <v>0</v>
      </c>
    </row>
    <row r="32" spans="1:61" ht="33.75" x14ac:dyDescent="0.2">
      <c r="A32" s="156">
        <v>13</v>
      </c>
      <c r="B32" s="21" t="str">
        <f t="shared" ca="1" si="8"/>
        <v>Serviço</v>
      </c>
      <c r="E32" s="154">
        <f t="shared" ca="1" si="9"/>
        <v>3</v>
      </c>
      <c r="F32" s="155">
        <f t="shared" ca="1" si="10"/>
        <v>30013</v>
      </c>
      <c r="G32" s="155" t="str">
        <f t="shared" ca="1" si="11"/>
        <v>4.2</v>
      </c>
      <c r="H32" s="183" t="str">
        <f t="shared" ca="1" si="11"/>
        <v>Alvenaria de vedação de blocos cerâmicos furados na horizontal de 9x19x19cm (espessura 9cm)para execução de passeio e argamassa de assentamento com preparo em betoneira</v>
      </c>
      <c r="I32" s="37" t="str">
        <f t="shared" ca="1" si="12"/>
        <v>m²</v>
      </c>
      <c r="J32" s="145">
        <f t="shared" ca="1" si="13"/>
        <v>314.72999999999996</v>
      </c>
      <c r="K32" s="67"/>
      <c r="L32" s="145">
        <f ca="1">IF(L$13="",0,CHOOSE(Detalhamento.OpçãoServiços,OFFSET(Import.PLQ,$A32-1,L$15-1,1,1),IF($E32&lt;&gt;1,IF(ISNUMBER(INDEX(Import.PLE,Detalhamento!$E32,Detalhamento!L$15)),IF(INDEX(Import.PLE,Detalhamento!$E32,Detalhamento!L$15)&lt;=mediçao,OFFSET(Import.PLQ,$A32-1,L$15-1,1,1),0),0),PLE!$AA$28*OFFSET(Import.PLQ,$A32-1,L$15-1,1,1)),IF($E32&lt;&gt;1,IF(ISNUMBER(INDEX(Import.PLE,Detalhamento!$E32,Detalhamento!L$15)),IF(INDEX(Import.PLE,Detalhamento!$E32,Detalhamento!L$15)&lt;=mediçao,0,OFFSET(Import.PLQ,$A32-1,L$15-1,1,1)),OFFSET(Import.PLQ,$A32-1,L$15-1,1,1)),(1-PLE!$AA$28)*OFFSET(Import.PLQ,$A32-1,L$15-1,1,1))))</f>
        <v>54.52</v>
      </c>
      <c r="M32" s="145">
        <f ca="1">IF(M$13="",0,CHOOSE(Detalhamento.OpçãoServiços,OFFSET(Import.PLQ,$A32-1,M$15-1,1,1),IF($E32&lt;&gt;1,IF(ISNUMBER(INDEX(Import.PLE,Detalhamento!$E32,Detalhamento!M$15)),IF(INDEX(Import.PLE,Detalhamento!$E32,Detalhamento!M$15)&lt;=mediçao,OFFSET(Import.PLQ,$A32-1,M$15-1,1,1),0),0),PLE!$AA$28*OFFSET(Import.PLQ,$A32-1,M$15-1,1,1)),IF($E32&lt;&gt;1,IF(ISNUMBER(INDEX(Import.PLE,Detalhamento!$E32,Detalhamento!M$15)),IF(INDEX(Import.PLE,Detalhamento!$E32,Detalhamento!M$15)&lt;=mediçao,0,OFFSET(Import.PLQ,$A32-1,M$15-1,1,1)),OFFSET(Import.PLQ,$A32-1,M$15-1,1,1)),(1-PLE!$AA$28)*OFFSET(Import.PLQ,$A32-1,M$15-1,1,1))))</f>
        <v>29.01</v>
      </c>
      <c r="N32" s="145">
        <f ca="1">IF(N$13="",0,CHOOSE(Detalhamento.OpçãoServiços,OFFSET(Import.PLQ,$A32-1,N$15-1,1,1),IF($E32&lt;&gt;1,IF(ISNUMBER(INDEX(Import.PLE,Detalhamento!$E32,Detalhamento!N$15)),IF(INDEX(Import.PLE,Detalhamento!$E32,Detalhamento!N$15)&lt;=mediçao,OFFSET(Import.PLQ,$A32-1,N$15-1,1,1),0),0),PLE!$AA$28*OFFSET(Import.PLQ,$A32-1,N$15-1,1,1)),IF($E32&lt;&gt;1,IF(ISNUMBER(INDEX(Import.PLE,Detalhamento!$E32,Detalhamento!N$15)),IF(INDEX(Import.PLE,Detalhamento!$E32,Detalhamento!N$15)&lt;=mediçao,0,OFFSET(Import.PLQ,$A32-1,N$15-1,1,1)),OFFSET(Import.PLQ,$A32-1,N$15-1,1,1)),(1-PLE!$AA$28)*OFFSET(Import.PLQ,$A32-1,N$15-1,1,1))))</f>
        <v>42.33</v>
      </c>
      <c r="O32" s="145">
        <f ca="1">IF(O$13="",0,CHOOSE(Detalhamento.OpçãoServiços,OFFSET(Import.PLQ,$A32-1,O$15-1,1,1),IF($E32&lt;&gt;1,IF(ISNUMBER(INDEX(Import.PLE,Detalhamento!$E32,Detalhamento!O$15)),IF(INDEX(Import.PLE,Detalhamento!$E32,Detalhamento!O$15)&lt;=mediçao,OFFSET(Import.PLQ,$A32-1,O$15-1,1,1),0),0),PLE!$AA$28*OFFSET(Import.PLQ,$A32-1,O$15-1,1,1)),IF($E32&lt;&gt;1,IF(ISNUMBER(INDEX(Import.PLE,Detalhamento!$E32,Detalhamento!O$15)),IF(INDEX(Import.PLE,Detalhamento!$E32,Detalhamento!O$15)&lt;=mediçao,0,OFFSET(Import.PLQ,$A32-1,O$15-1,1,1)),OFFSET(Import.PLQ,$A32-1,O$15-1,1,1)),(1-PLE!$AA$28)*OFFSET(Import.PLQ,$A32-1,O$15-1,1,1))))</f>
        <v>67.53</v>
      </c>
      <c r="P32" s="145">
        <f ca="1">IF(P$13="",0,CHOOSE(Detalhamento.OpçãoServiços,OFFSET(Import.PLQ,$A32-1,P$15-1,1,1),IF($E32&lt;&gt;1,IF(ISNUMBER(INDEX(Import.PLE,Detalhamento!$E32,Detalhamento!P$15)),IF(INDEX(Import.PLE,Detalhamento!$E32,Detalhamento!P$15)&lt;=mediçao,OFFSET(Import.PLQ,$A32-1,P$15-1,1,1),0),0),PLE!$AA$28*OFFSET(Import.PLQ,$A32-1,P$15-1,1,1)),IF($E32&lt;&gt;1,IF(ISNUMBER(INDEX(Import.PLE,Detalhamento!$E32,Detalhamento!P$15)),IF(INDEX(Import.PLE,Detalhamento!$E32,Detalhamento!P$15)&lt;=mediçao,0,OFFSET(Import.PLQ,$A32-1,P$15-1,1,1)),OFFSET(Import.PLQ,$A32-1,P$15-1,1,1)),(1-PLE!$AA$28)*OFFSET(Import.PLQ,$A32-1,P$15-1,1,1))))</f>
        <v>21.62</v>
      </c>
      <c r="Q32" s="145">
        <f ca="1">IF(Q$13="",0,CHOOSE(Detalhamento.OpçãoServiços,OFFSET(Import.PLQ,$A32-1,Q$15-1,1,1),IF($E32&lt;&gt;1,IF(ISNUMBER(INDEX(Import.PLE,Detalhamento!$E32,Detalhamento!Q$15)),IF(INDEX(Import.PLE,Detalhamento!$E32,Detalhamento!Q$15)&lt;=mediçao,OFFSET(Import.PLQ,$A32-1,Q$15-1,1,1),0),0),PLE!$AA$28*OFFSET(Import.PLQ,$A32-1,Q$15-1,1,1)),IF($E32&lt;&gt;1,IF(ISNUMBER(INDEX(Import.PLE,Detalhamento!$E32,Detalhamento!Q$15)),IF(INDEX(Import.PLE,Detalhamento!$E32,Detalhamento!Q$15)&lt;=mediçao,0,OFFSET(Import.PLQ,$A32-1,Q$15-1,1,1)),OFFSET(Import.PLQ,$A32-1,Q$15-1,1,1)),(1-PLE!$AA$28)*OFFSET(Import.PLQ,$A32-1,Q$15-1,1,1))))</f>
        <v>39.700000000000003</v>
      </c>
      <c r="R32" s="145">
        <f ca="1">IF(R$13="",0,CHOOSE(Detalhamento.OpçãoServiços,OFFSET(Import.PLQ,$A32-1,R$15-1,1,1),IF($E32&lt;&gt;1,IF(ISNUMBER(INDEX(Import.PLE,Detalhamento!$E32,Detalhamento!R$15)),IF(INDEX(Import.PLE,Detalhamento!$E32,Detalhamento!R$15)&lt;=mediçao,OFFSET(Import.PLQ,$A32-1,R$15-1,1,1),0),0),PLE!$AA$28*OFFSET(Import.PLQ,$A32-1,R$15-1,1,1)),IF($E32&lt;&gt;1,IF(ISNUMBER(INDEX(Import.PLE,Detalhamento!$E32,Detalhamento!R$15)),IF(INDEX(Import.PLE,Detalhamento!$E32,Detalhamento!R$15)&lt;=mediçao,0,OFFSET(Import.PLQ,$A32-1,R$15-1,1,1)),OFFSET(Import.PLQ,$A32-1,R$15-1,1,1)),(1-PLE!$AA$28)*OFFSET(Import.PLQ,$A32-1,R$15-1,1,1))))</f>
        <v>33.119999999999997</v>
      </c>
      <c r="S32" s="145">
        <f ca="1">IF(S$13="",0,CHOOSE(Detalhamento.OpçãoServiços,OFFSET(Import.PLQ,$A32-1,S$15-1,1,1),IF($E32&lt;&gt;1,IF(ISNUMBER(INDEX(Import.PLE,Detalhamento!$E32,Detalhamento!S$15)),IF(INDEX(Import.PLE,Detalhamento!$E32,Detalhamento!S$15)&lt;=mediçao,OFFSET(Import.PLQ,$A32-1,S$15-1,1,1),0),0),PLE!$AA$28*OFFSET(Import.PLQ,$A32-1,S$15-1,1,1)),IF($E32&lt;&gt;1,IF(ISNUMBER(INDEX(Import.PLE,Detalhamento!$E32,Detalhamento!S$15)),IF(INDEX(Import.PLE,Detalhamento!$E32,Detalhamento!S$15)&lt;=mediçao,0,OFFSET(Import.PLQ,$A32-1,S$15-1,1,1)),OFFSET(Import.PLQ,$A32-1,S$15-1,1,1)),(1-PLE!$AA$28)*OFFSET(Import.PLQ,$A32-1,S$15-1,1,1))))</f>
        <v>26.9</v>
      </c>
      <c r="T32" s="145">
        <f ca="1">IF(T$13="",0,CHOOSE(Detalhamento.OpçãoServiços,OFFSET(Import.PLQ,$A32-1,T$15-1,1,1),IF($E32&lt;&gt;1,IF(ISNUMBER(INDEX(Import.PLE,Detalhamento!$E32,Detalhamento!T$15)),IF(INDEX(Import.PLE,Detalhamento!$E32,Detalhamento!T$15)&lt;=mediçao,OFFSET(Import.PLQ,$A32-1,T$15-1,1,1),0),0),PLE!$AA$28*OFFSET(Import.PLQ,$A32-1,T$15-1,1,1)),IF($E32&lt;&gt;1,IF(ISNUMBER(INDEX(Import.PLE,Detalhamento!$E32,Detalhamento!T$15)),IF(INDEX(Import.PLE,Detalhamento!$E32,Detalhamento!T$15)&lt;=mediçao,0,OFFSET(Import.PLQ,$A32-1,T$15-1,1,1)),OFFSET(Import.PLQ,$A32-1,T$15-1,1,1)),(1-PLE!$AA$28)*OFFSET(Import.PLQ,$A32-1,T$15-1,1,1))))</f>
        <v>0</v>
      </c>
      <c r="U32" s="145">
        <f ca="1">IF(U$13="",0,CHOOSE(Detalhamento.OpçãoServiços,OFFSET(Import.PLQ,$A32-1,U$15-1,1,1),IF($E32&lt;&gt;1,IF(ISNUMBER(INDEX(Import.PLE,Detalhamento!$E32,Detalhamento!U$15)),IF(INDEX(Import.PLE,Detalhamento!$E32,Detalhamento!U$15)&lt;=mediçao,OFFSET(Import.PLQ,$A32-1,U$15-1,1,1),0),0),PLE!$AA$28*OFFSET(Import.PLQ,$A32-1,U$15-1,1,1)),IF($E32&lt;&gt;1,IF(ISNUMBER(INDEX(Import.PLE,Detalhamento!$E32,Detalhamento!U$15)),IF(INDEX(Import.PLE,Detalhamento!$E32,Detalhamento!U$15)&lt;=mediçao,0,OFFSET(Import.PLQ,$A32-1,U$15-1,1,1)),OFFSET(Import.PLQ,$A32-1,U$15-1,1,1)),(1-PLE!$AA$28)*OFFSET(Import.PLQ,$A32-1,U$15-1,1,1))))</f>
        <v>0</v>
      </c>
      <c r="V32" s="145">
        <f ca="1">IF(V$13="",0,CHOOSE(Detalhamento.OpçãoServiços,OFFSET(Import.PLQ,$A32-1,V$15-1,1,1),IF($E32&lt;&gt;1,IF(ISNUMBER(INDEX(Import.PLE,Detalhamento!$E32,Detalhamento!V$15)),IF(INDEX(Import.PLE,Detalhamento!$E32,Detalhamento!V$15)&lt;=mediçao,OFFSET(Import.PLQ,$A32-1,V$15-1,1,1),0),0),PLE!$AA$28*OFFSET(Import.PLQ,$A32-1,V$15-1,1,1)),IF($E32&lt;&gt;1,IF(ISNUMBER(INDEX(Import.PLE,Detalhamento!$E32,Detalhamento!V$15)),IF(INDEX(Import.PLE,Detalhamento!$E32,Detalhamento!V$15)&lt;=mediçao,0,OFFSET(Import.PLQ,$A32-1,V$15-1,1,1)),OFFSET(Import.PLQ,$A32-1,V$15-1,1,1)),(1-PLE!$AA$28)*OFFSET(Import.PLQ,$A32-1,V$15-1,1,1))))</f>
        <v>0</v>
      </c>
      <c r="W32" s="145">
        <f ca="1">IF(W$13="",0,CHOOSE(Detalhamento.OpçãoServiços,OFFSET(Import.PLQ,$A32-1,W$15-1,1,1),IF($E32&lt;&gt;1,IF(ISNUMBER(INDEX(Import.PLE,Detalhamento!$E32,Detalhamento!W$15)),IF(INDEX(Import.PLE,Detalhamento!$E32,Detalhamento!W$15)&lt;=mediçao,OFFSET(Import.PLQ,$A32-1,W$15-1,1,1),0),0),PLE!$AA$28*OFFSET(Import.PLQ,$A32-1,W$15-1,1,1)),IF($E32&lt;&gt;1,IF(ISNUMBER(INDEX(Import.PLE,Detalhamento!$E32,Detalhamento!W$15)),IF(INDEX(Import.PLE,Detalhamento!$E32,Detalhamento!W$15)&lt;=mediçao,0,OFFSET(Import.PLQ,$A32-1,W$15-1,1,1)),OFFSET(Import.PLQ,$A32-1,W$15-1,1,1)),(1-PLE!$AA$28)*OFFSET(Import.PLQ,$A32-1,W$15-1,1,1))))</f>
        <v>0</v>
      </c>
      <c r="X32" s="145">
        <f ca="1">IF(X$13="",0,CHOOSE(Detalhamento.OpçãoServiços,OFFSET(Import.PLQ,$A32-1,X$15-1,1,1),IF($E32&lt;&gt;1,IF(ISNUMBER(INDEX(Import.PLE,Detalhamento!$E32,Detalhamento!X$15)),IF(INDEX(Import.PLE,Detalhamento!$E32,Detalhamento!X$15)&lt;=mediçao,OFFSET(Import.PLQ,$A32-1,X$15-1,1,1),0),0),PLE!$AA$28*OFFSET(Import.PLQ,$A32-1,X$15-1,1,1)),IF($E32&lt;&gt;1,IF(ISNUMBER(INDEX(Import.PLE,Detalhamento!$E32,Detalhamento!X$15)),IF(INDEX(Import.PLE,Detalhamento!$E32,Detalhamento!X$15)&lt;=mediçao,0,OFFSET(Import.PLQ,$A32-1,X$15-1,1,1)),OFFSET(Import.PLQ,$A32-1,X$15-1,1,1)),(1-PLE!$AA$28)*OFFSET(Import.PLQ,$A32-1,X$15-1,1,1))))</f>
        <v>0</v>
      </c>
      <c r="Y32" s="145">
        <f ca="1">IF(Y$13="",0,CHOOSE(Detalhamento.OpçãoServiços,OFFSET(Import.PLQ,$A32-1,Y$15-1,1,1),IF($E32&lt;&gt;1,IF(ISNUMBER(INDEX(Import.PLE,Detalhamento!$E32,Detalhamento!Y$15)),IF(INDEX(Import.PLE,Detalhamento!$E32,Detalhamento!Y$15)&lt;=mediçao,OFFSET(Import.PLQ,$A32-1,Y$15-1,1,1),0),0),PLE!$AA$28*OFFSET(Import.PLQ,$A32-1,Y$15-1,1,1)),IF($E32&lt;&gt;1,IF(ISNUMBER(INDEX(Import.PLE,Detalhamento!$E32,Detalhamento!Y$15)),IF(INDEX(Import.PLE,Detalhamento!$E32,Detalhamento!Y$15)&lt;=mediçao,0,OFFSET(Import.PLQ,$A32-1,Y$15-1,1,1)),OFFSET(Import.PLQ,$A32-1,Y$15-1,1,1)),(1-PLE!$AA$28)*OFFSET(Import.PLQ,$A32-1,Y$15-1,1,1))))</f>
        <v>0</v>
      </c>
      <c r="Z32" s="145">
        <f ca="1">IF(Z$13="",0,CHOOSE(Detalhamento.OpçãoServiços,OFFSET(Import.PLQ,$A32-1,Z$15-1,1,1),IF($E32&lt;&gt;1,IF(ISNUMBER(INDEX(Import.PLE,Detalhamento!$E32,Detalhamento!Z$15)),IF(INDEX(Import.PLE,Detalhamento!$E32,Detalhamento!Z$15)&lt;=mediçao,OFFSET(Import.PLQ,$A32-1,Z$15-1,1,1),0),0),PLE!$AA$28*OFFSET(Import.PLQ,$A32-1,Z$15-1,1,1)),IF($E32&lt;&gt;1,IF(ISNUMBER(INDEX(Import.PLE,Detalhamento!$E32,Detalhamento!Z$15)),IF(INDEX(Import.PLE,Detalhamento!$E32,Detalhamento!Z$15)&lt;=mediçao,0,OFFSET(Import.PLQ,$A32-1,Z$15-1,1,1)),OFFSET(Import.PLQ,$A32-1,Z$15-1,1,1)),(1-PLE!$AA$28)*OFFSET(Import.PLQ,$A32-1,Z$15-1,1,1))))</f>
        <v>0</v>
      </c>
      <c r="AA32" s="145">
        <f ca="1">IF(AA$13="",0,CHOOSE(Detalhamento.OpçãoServiços,OFFSET(Import.PLQ,$A32-1,AA$15-1,1,1),IF($E32&lt;&gt;1,IF(ISNUMBER(INDEX(Import.PLE,Detalhamento!$E32,Detalhamento!AA$15)),IF(INDEX(Import.PLE,Detalhamento!$E32,Detalhamento!AA$15)&lt;=mediçao,OFFSET(Import.PLQ,$A32-1,AA$15-1,1,1),0),0),PLE!$AA$28*OFFSET(Import.PLQ,$A32-1,AA$15-1,1,1)),IF($E32&lt;&gt;1,IF(ISNUMBER(INDEX(Import.PLE,Detalhamento!$E32,Detalhamento!AA$15)),IF(INDEX(Import.PLE,Detalhamento!$E32,Detalhamento!AA$15)&lt;=mediçao,0,OFFSET(Import.PLQ,$A32-1,AA$15-1,1,1)),OFFSET(Import.PLQ,$A32-1,AA$15-1,1,1)),(1-PLE!$AA$28)*OFFSET(Import.PLQ,$A32-1,AA$15-1,1,1))))</f>
        <v>0</v>
      </c>
      <c r="AB32" s="145">
        <f ca="1">IF(AB$13="",0,CHOOSE(Detalhamento.OpçãoServiços,OFFSET(Import.PLQ,$A32-1,AB$15-1,1,1),IF($E32&lt;&gt;1,IF(ISNUMBER(INDEX(Import.PLE,Detalhamento!$E32,Detalhamento!AB$15)),IF(INDEX(Import.PLE,Detalhamento!$E32,Detalhamento!AB$15)&lt;=mediçao,OFFSET(Import.PLQ,$A32-1,AB$15-1,1,1),0),0),PLE!$AA$28*OFFSET(Import.PLQ,$A32-1,AB$15-1,1,1)),IF($E32&lt;&gt;1,IF(ISNUMBER(INDEX(Import.PLE,Detalhamento!$E32,Detalhamento!AB$15)),IF(INDEX(Import.PLE,Detalhamento!$E32,Detalhamento!AB$15)&lt;=mediçao,0,OFFSET(Import.PLQ,$A32-1,AB$15-1,1,1)),OFFSET(Import.PLQ,$A32-1,AB$15-1,1,1)),(1-PLE!$AA$28)*OFFSET(Import.PLQ,$A32-1,AB$15-1,1,1))))</f>
        <v>0</v>
      </c>
      <c r="AC32" s="145">
        <f ca="1">IF(AC$13="",0,CHOOSE(Detalhamento.OpçãoServiços,OFFSET(Import.PLQ,$A32-1,AC$15-1,1,1),IF($E32&lt;&gt;1,IF(ISNUMBER(INDEX(Import.PLE,Detalhamento!$E32,Detalhamento!AC$15)),IF(INDEX(Import.PLE,Detalhamento!$E32,Detalhamento!AC$15)&lt;=mediçao,OFFSET(Import.PLQ,$A32-1,AC$15-1,1,1),0),0),PLE!$AA$28*OFFSET(Import.PLQ,$A32-1,AC$15-1,1,1)),IF($E32&lt;&gt;1,IF(ISNUMBER(INDEX(Import.PLE,Detalhamento!$E32,Detalhamento!AC$15)),IF(INDEX(Import.PLE,Detalhamento!$E32,Detalhamento!AC$15)&lt;=mediçao,0,OFFSET(Import.PLQ,$A32-1,AC$15-1,1,1)),OFFSET(Import.PLQ,$A32-1,AC$15-1,1,1)),(1-PLE!$AA$28)*OFFSET(Import.PLQ,$A32-1,AC$15-1,1,1))))</f>
        <v>0</v>
      </c>
      <c r="AD32" s="145">
        <f ca="1">IF(AD$13="",0,CHOOSE(Detalhamento.OpçãoServiços,OFFSET(Import.PLQ,$A32-1,AD$15-1,1,1),IF($E32&lt;&gt;1,IF(ISNUMBER(INDEX(Import.PLE,Detalhamento!$E32,Detalhamento!AD$15)),IF(INDEX(Import.PLE,Detalhamento!$E32,Detalhamento!AD$15)&lt;=mediçao,OFFSET(Import.PLQ,$A32-1,AD$15-1,1,1),0),0),PLE!$AA$28*OFFSET(Import.PLQ,$A32-1,AD$15-1,1,1)),IF($E32&lt;&gt;1,IF(ISNUMBER(INDEX(Import.PLE,Detalhamento!$E32,Detalhamento!AD$15)),IF(INDEX(Import.PLE,Detalhamento!$E32,Detalhamento!AD$15)&lt;=mediçao,0,OFFSET(Import.PLQ,$A32-1,AD$15-1,1,1)),OFFSET(Import.PLQ,$A32-1,AD$15-1,1,1)),(1-PLE!$AA$28)*OFFSET(Import.PLQ,$A32-1,AD$15-1,1,1))))</f>
        <v>0</v>
      </c>
      <c r="AE32" s="145">
        <f ca="1">IF(AE$13="",0,CHOOSE(Detalhamento.OpçãoServiços,OFFSET(Import.PLQ,$A32-1,AE$15-1,1,1),IF($E32&lt;&gt;1,IF(ISNUMBER(INDEX(Import.PLE,Detalhamento!$E32,Detalhamento!AE$15)),IF(INDEX(Import.PLE,Detalhamento!$E32,Detalhamento!AE$15)&lt;=mediçao,OFFSET(Import.PLQ,$A32-1,AE$15-1,1,1),0),0),PLE!$AA$28*OFFSET(Import.PLQ,$A32-1,AE$15-1,1,1)),IF($E32&lt;&gt;1,IF(ISNUMBER(INDEX(Import.PLE,Detalhamento!$E32,Detalhamento!AE$15)),IF(INDEX(Import.PLE,Detalhamento!$E32,Detalhamento!AE$15)&lt;=mediçao,0,OFFSET(Import.PLQ,$A32-1,AE$15-1,1,1)),OFFSET(Import.PLQ,$A32-1,AE$15-1,1,1)),(1-PLE!$AA$28)*OFFSET(Import.PLQ,$A32-1,AE$15-1,1,1))))</f>
        <v>0</v>
      </c>
      <c r="AF32" s="145">
        <f ca="1">IF(AF$13="",0,CHOOSE(Detalhamento.OpçãoServiços,OFFSET(Import.PLQ,$A32-1,AF$15-1,1,1),IF($E32&lt;&gt;1,IF(ISNUMBER(INDEX(Import.PLE,Detalhamento!$E32,Detalhamento!AF$15)),IF(INDEX(Import.PLE,Detalhamento!$E32,Detalhamento!AF$15)&lt;=mediçao,OFFSET(Import.PLQ,$A32-1,AF$15-1,1,1),0),0),PLE!$AA$28*OFFSET(Import.PLQ,$A32-1,AF$15-1,1,1)),IF($E32&lt;&gt;1,IF(ISNUMBER(INDEX(Import.PLE,Detalhamento!$E32,Detalhamento!AF$15)),IF(INDEX(Import.PLE,Detalhamento!$E32,Detalhamento!AF$15)&lt;=mediçao,0,OFFSET(Import.PLQ,$A32-1,AF$15-1,1,1)),OFFSET(Import.PLQ,$A32-1,AF$15-1,1,1)),(1-PLE!$AA$28)*OFFSET(Import.PLQ,$A32-1,AF$15-1,1,1))))</f>
        <v>0</v>
      </c>
      <c r="AG32" s="145">
        <f ca="1">IF(AG$13="",0,CHOOSE(Detalhamento.OpçãoServiços,OFFSET(Import.PLQ,$A32-1,AG$15-1,1,1),IF($E32&lt;&gt;1,IF(ISNUMBER(INDEX(Import.PLE,Detalhamento!$E32,Detalhamento!AG$15)),IF(INDEX(Import.PLE,Detalhamento!$E32,Detalhamento!AG$15)&lt;=mediçao,OFFSET(Import.PLQ,$A32-1,AG$15-1,1,1),0),0),PLE!$AA$28*OFFSET(Import.PLQ,$A32-1,AG$15-1,1,1)),IF($E32&lt;&gt;1,IF(ISNUMBER(INDEX(Import.PLE,Detalhamento!$E32,Detalhamento!AG$15)),IF(INDEX(Import.PLE,Detalhamento!$E32,Detalhamento!AG$15)&lt;=mediçao,0,OFFSET(Import.PLQ,$A32-1,AG$15-1,1,1)),OFFSET(Import.PLQ,$A32-1,AG$15-1,1,1)),(1-PLE!$AA$28)*OFFSET(Import.PLQ,$A32-1,AG$15-1,1,1))))</f>
        <v>0</v>
      </c>
      <c r="AH32" s="145">
        <f ca="1">IF(AH$13="",0,CHOOSE(Detalhamento.OpçãoServiços,OFFSET(Import.PLQ,$A32-1,AH$15-1,1,1),IF($E32&lt;&gt;1,IF(ISNUMBER(INDEX(Import.PLE,Detalhamento!$E32,Detalhamento!AH$15)),IF(INDEX(Import.PLE,Detalhamento!$E32,Detalhamento!AH$15)&lt;=mediçao,OFFSET(Import.PLQ,$A32-1,AH$15-1,1,1),0),0),PLE!$AA$28*OFFSET(Import.PLQ,$A32-1,AH$15-1,1,1)),IF($E32&lt;&gt;1,IF(ISNUMBER(INDEX(Import.PLE,Detalhamento!$E32,Detalhamento!AH$15)),IF(INDEX(Import.PLE,Detalhamento!$E32,Detalhamento!AH$15)&lt;=mediçao,0,OFFSET(Import.PLQ,$A32-1,AH$15-1,1,1)),OFFSET(Import.PLQ,$A32-1,AH$15-1,1,1)),(1-PLE!$AA$28)*OFFSET(Import.PLQ,$A32-1,AH$15-1,1,1))))</f>
        <v>0</v>
      </c>
      <c r="AI32" s="145">
        <f ca="1">IF(AI$13="",0,CHOOSE(Detalhamento.OpçãoServiços,OFFSET(Import.PLQ,$A32-1,AI$15-1,1,1),IF($E32&lt;&gt;1,IF(ISNUMBER(INDEX(Import.PLE,Detalhamento!$E32,Detalhamento!AI$15)),IF(INDEX(Import.PLE,Detalhamento!$E32,Detalhamento!AI$15)&lt;=mediçao,OFFSET(Import.PLQ,$A32-1,AI$15-1,1,1),0),0),PLE!$AA$28*OFFSET(Import.PLQ,$A32-1,AI$15-1,1,1)),IF($E32&lt;&gt;1,IF(ISNUMBER(INDEX(Import.PLE,Detalhamento!$E32,Detalhamento!AI$15)),IF(INDEX(Import.PLE,Detalhamento!$E32,Detalhamento!AI$15)&lt;=mediçao,0,OFFSET(Import.PLQ,$A32-1,AI$15-1,1,1)),OFFSET(Import.PLQ,$A32-1,AI$15-1,1,1)),(1-PLE!$AA$28)*OFFSET(Import.PLQ,$A32-1,AI$15-1,1,1))))</f>
        <v>0</v>
      </c>
      <c r="AJ32" s="145">
        <f ca="1">IF(AJ$13="",0,CHOOSE(Detalhamento.OpçãoServiços,OFFSET(Import.PLQ,$A32-1,AJ$15-1,1,1),IF($E32&lt;&gt;1,IF(ISNUMBER(INDEX(Import.PLE,Detalhamento!$E32,Detalhamento!AJ$15)),IF(INDEX(Import.PLE,Detalhamento!$E32,Detalhamento!AJ$15)&lt;=mediçao,OFFSET(Import.PLQ,$A32-1,AJ$15-1,1,1),0),0),PLE!$AA$28*OFFSET(Import.PLQ,$A32-1,AJ$15-1,1,1)),IF($E32&lt;&gt;1,IF(ISNUMBER(INDEX(Import.PLE,Detalhamento!$E32,Detalhamento!AJ$15)),IF(INDEX(Import.PLE,Detalhamento!$E32,Detalhamento!AJ$15)&lt;=mediçao,0,OFFSET(Import.PLQ,$A32-1,AJ$15-1,1,1)),OFFSET(Import.PLQ,$A32-1,AJ$15-1,1,1)),(1-PLE!$AA$28)*OFFSET(Import.PLQ,$A32-1,AJ$15-1,1,1))))</f>
        <v>0</v>
      </c>
      <c r="AK32" s="145">
        <f ca="1">IF(AK$13="",0,CHOOSE(Detalhamento.OpçãoServiços,OFFSET(Import.PLQ,$A32-1,AK$15-1,1,1),IF($E32&lt;&gt;1,IF(ISNUMBER(INDEX(Import.PLE,Detalhamento!$E32,Detalhamento!AK$15)),IF(INDEX(Import.PLE,Detalhamento!$E32,Detalhamento!AK$15)&lt;=mediçao,OFFSET(Import.PLQ,$A32-1,AK$15-1,1,1),0),0),PLE!$AA$28*OFFSET(Import.PLQ,$A32-1,AK$15-1,1,1)),IF($E32&lt;&gt;1,IF(ISNUMBER(INDEX(Import.PLE,Detalhamento!$E32,Detalhamento!AK$15)),IF(INDEX(Import.PLE,Detalhamento!$E32,Detalhamento!AK$15)&lt;=mediçao,0,OFFSET(Import.PLQ,$A32-1,AK$15-1,1,1)),OFFSET(Import.PLQ,$A32-1,AK$15-1,1,1)),(1-PLE!$AA$28)*OFFSET(Import.PLQ,$A32-1,AK$15-1,1,1))))</f>
        <v>0</v>
      </c>
      <c r="AL32" s="145">
        <f ca="1">IF(AL$13="",0,CHOOSE(Detalhamento.OpçãoServiços,OFFSET(Import.PLQ,$A32-1,AL$15-1,1,1),IF($E32&lt;&gt;1,IF(ISNUMBER(INDEX(Import.PLE,Detalhamento!$E32,Detalhamento!AL$15)),IF(INDEX(Import.PLE,Detalhamento!$E32,Detalhamento!AL$15)&lt;=mediçao,OFFSET(Import.PLQ,$A32-1,AL$15-1,1,1),0),0),PLE!$AA$28*OFFSET(Import.PLQ,$A32-1,AL$15-1,1,1)),IF($E32&lt;&gt;1,IF(ISNUMBER(INDEX(Import.PLE,Detalhamento!$E32,Detalhamento!AL$15)),IF(INDEX(Import.PLE,Detalhamento!$E32,Detalhamento!AL$15)&lt;=mediçao,0,OFFSET(Import.PLQ,$A32-1,AL$15-1,1,1)),OFFSET(Import.PLQ,$A32-1,AL$15-1,1,1)),(1-PLE!$AA$28)*OFFSET(Import.PLQ,$A32-1,AL$15-1,1,1))))</f>
        <v>0</v>
      </c>
      <c r="AM32" s="145">
        <f ca="1">IF(AM$13="",0,CHOOSE(Detalhamento.OpçãoServiços,OFFSET(Import.PLQ,$A32-1,AM$15-1,1,1),IF($E32&lt;&gt;1,IF(ISNUMBER(INDEX(Import.PLE,Detalhamento!$E32,Detalhamento!AM$15)),IF(INDEX(Import.PLE,Detalhamento!$E32,Detalhamento!AM$15)&lt;=mediçao,OFFSET(Import.PLQ,$A32-1,AM$15-1,1,1),0),0),PLE!$AA$28*OFFSET(Import.PLQ,$A32-1,AM$15-1,1,1)),IF($E32&lt;&gt;1,IF(ISNUMBER(INDEX(Import.PLE,Detalhamento!$E32,Detalhamento!AM$15)),IF(INDEX(Import.PLE,Detalhamento!$E32,Detalhamento!AM$15)&lt;=mediçao,0,OFFSET(Import.PLQ,$A32-1,AM$15-1,1,1)),OFFSET(Import.PLQ,$A32-1,AM$15-1,1,1)),(1-PLE!$AA$28)*OFFSET(Import.PLQ,$A32-1,AM$15-1,1,1))))</f>
        <v>0</v>
      </c>
      <c r="AN32" s="145">
        <f ca="1">IF(AN$13="",0,CHOOSE(Detalhamento.OpçãoServiços,OFFSET(Import.PLQ,$A32-1,AN$15-1,1,1),IF($E32&lt;&gt;1,IF(ISNUMBER(INDEX(Import.PLE,Detalhamento!$E32,Detalhamento!AN$15)),IF(INDEX(Import.PLE,Detalhamento!$E32,Detalhamento!AN$15)&lt;=mediçao,OFFSET(Import.PLQ,$A32-1,AN$15-1,1,1),0),0),PLE!$AA$28*OFFSET(Import.PLQ,$A32-1,AN$15-1,1,1)),IF($E32&lt;&gt;1,IF(ISNUMBER(INDEX(Import.PLE,Detalhamento!$E32,Detalhamento!AN$15)),IF(INDEX(Import.PLE,Detalhamento!$E32,Detalhamento!AN$15)&lt;=mediçao,0,OFFSET(Import.PLQ,$A32-1,AN$15-1,1,1)),OFFSET(Import.PLQ,$A32-1,AN$15-1,1,1)),(1-PLE!$AA$28)*OFFSET(Import.PLQ,$A32-1,AN$15-1,1,1))))</f>
        <v>0</v>
      </c>
      <c r="AO32" s="145">
        <f ca="1">IF(AO$13="",0,CHOOSE(Detalhamento.OpçãoServiços,OFFSET(Import.PLQ,$A32-1,AO$15-1,1,1),IF($E32&lt;&gt;1,IF(ISNUMBER(INDEX(Import.PLE,Detalhamento!$E32,Detalhamento!AO$15)),IF(INDEX(Import.PLE,Detalhamento!$E32,Detalhamento!AO$15)&lt;=mediçao,OFFSET(Import.PLQ,$A32-1,AO$15-1,1,1),0),0),PLE!$AA$28*OFFSET(Import.PLQ,$A32-1,AO$15-1,1,1)),IF($E32&lt;&gt;1,IF(ISNUMBER(INDEX(Import.PLE,Detalhamento!$E32,Detalhamento!AO$15)),IF(INDEX(Import.PLE,Detalhamento!$E32,Detalhamento!AO$15)&lt;=mediçao,0,OFFSET(Import.PLQ,$A32-1,AO$15-1,1,1)),OFFSET(Import.PLQ,$A32-1,AO$15-1,1,1)),(1-PLE!$AA$28)*OFFSET(Import.PLQ,$A32-1,AO$15-1,1,1))))</f>
        <v>0</v>
      </c>
      <c r="AP32" s="145">
        <f ca="1">IF(AP$13="",0,CHOOSE(Detalhamento.OpçãoServiços,OFFSET(Import.PLQ,$A32-1,AP$15-1,1,1),IF($E32&lt;&gt;1,IF(ISNUMBER(INDEX(Import.PLE,Detalhamento!$E32,Detalhamento!AP$15)),IF(INDEX(Import.PLE,Detalhamento!$E32,Detalhamento!AP$15)&lt;=mediçao,OFFSET(Import.PLQ,$A32-1,AP$15-1,1,1),0),0),PLE!$AA$28*OFFSET(Import.PLQ,$A32-1,AP$15-1,1,1)),IF($E32&lt;&gt;1,IF(ISNUMBER(INDEX(Import.PLE,Detalhamento!$E32,Detalhamento!AP$15)),IF(INDEX(Import.PLE,Detalhamento!$E32,Detalhamento!AP$15)&lt;=mediçao,0,OFFSET(Import.PLQ,$A32-1,AP$15-1,1,1)),OFFSET(Import.PLQ,$A32-1,AP$15-1,1,1)),(1-PLE!$AA$28)*OFFSET(Import.PLQ,$A32-1,AP$15-1,1,1))))</f>
        <v>0</v>
      </c>
      <c r="AQ32" s="145">
        <f ca="1">IF(AQ$13="",0,CHOOSE(Detalhamento.OpçãoServiços,OFFSET(Import.PLQ,$A32-1,AQ$15-1,1,1),IF($E32&lt;&gt;1,IF(ISNUMBER(INDEX(Import.PLE,Detalhamento!$E32,Detalhamento!AQ$15)),IF(INDEX(Import.PLE,Detalhamento!$E32,Detalhamento!AQ$15)&lt;=mediçao,OFFSET(Import.PLQ,$A32-1,AQ$15-1,1,1),0),0),PLE!$AA$28*OFFSET(Import.PLQ,$A32-1,AQ$15-1,1,1)),IF($E32&lt;&gt;1,IF(ISNUMBER(INDEX(Import.PLE,Detalhamento!$E32,Detalhamento!AQ$15)),IF(INDEX(Import.PLE,Detalhamento!$E32,Detalhamento!AQ$15)&lt;=mediçao,0,OFFSET(Import.PLQ,$A32-1,AQ$15-1,1,1)),OFFSET(Import.PLQ,$A32-1,AQ$15-1,1,1)),(1-PLE!$AA$28)*OFFSET(Import.PLQ,$A32-1,AQ$15-1,1,1))))</f>
        <v>0</v>
      </c>
      <c r="AR32" s="145">
        <f ca="1">IF(AR$13="",0,CHOOSE(Detalhamento.OpçãoServiços,OFFSET(Import.PLQ,$A32-1,AR$15-1,1,1),IF($E32&lt;&gt;1,IF(ISNUMBER(INDEX(Import.PLE,Detalhamento!$E32,Detalhamento!AR$15)),IF(INDEX(Import.PLE,Detalhamento!$E32,Detalhamento!AR$15)&lt;=mediçao,OFFSET(Import.PLQ,$A32-1,AR$15-1,1,1),0),0),PLE!$AA$28*OFFSET(Import.PLQ,$A32-1,AR$15-1,1,1)),IF($E32&lt;&gt;1,IF(ISNUMBER(INDEX(Import.PLE,Detalhamento!$E32,Detalhamento!AR$15)),IF(INDEX(Import.PLE,Detalhamento!$E32,Detalhamento!AR$15)&lt;=mediçao,0,OFFSET(Import.PLQ,$A32-1,AR$15-1,1,1)),OFFSET(Import.PLQ,$A32-1,AR$15-1,1,1)),(1-PLE!$AA$28)*OFFSET(Import.PLQ,$A32-1,AR$15-1,1,1))))</f>
        <v>0</v>
      </c>
      <c r="AS32" s="145">
        <f ca="1">IF(AS$13="",0,CHOOSE(Detalhamento.OpçãoServiços,OFFSET(Import.PLQ,$A32-1,AS$15-1,1,1),IF($E32&lt;&gt;1,IF(ISNUMBER(INDEX(Import.PLE,Detalhamento!$E32,Detalhamento!AS$15)),IF(INDEX(Import.PLE,Detalhamento!$E32,Detalhamento!AS$15)&lt;=mediçao,OFFSET(Import.PLQ,$A32-1,AS$15-1,1,1),0),0),PLE!$AA$28*OFFSET(Import.PLQ,$A32-1,AS$15-1,1,1)),IF($E32&lt;&gt;1,IF(ISNUMBER(INDEX(Import.PLE,Detalhamento!$E32,Detalhamento!AS$15)),IF(INDEX(Import.PLE,Detalhamento!$E32,Detalhamento!AS$15)&lt;=mediçao,0,OFFSET(Import.PLQ,$A32-1,AS$15-1,1,1)),OFFSET(Import.PLQ,$A32-1,AS$15-1,1,1)),(1-PLE!$AA$28)*OFFSET(Import.PLQ,$A32-1,AS$15-1,1,1))))</f>
        <v>0</v>
      </c>
      <c r="AT32" s="145">
        <f ca="1">IF(AT$13="",0,CHOOSE(Detalhamento.OpçãoServiços,OFFSET(Import.PLQ,$A32-1,AT$15-1,1,1),IF($E32&lt;&gt;1,IF(ISNUMBER(INDEX(Import.PLE,Detalhamento!$E32,Detalhamento!AT$15)),IF(INDEX(Import.PLE,Detalhamento!$E32,Detalhamento!AT$15)&lt;=mediçao,OFFSET(Import.PLQ,$A32-1,AT$15-1,1,1),0),0),PLE!$AA$28*OFFSET(Import.PLQ,$A32-1,AT$15-1,1,1)),IF($E32&lt;&gt;1,IF(ISNUMBER(INDEX(Import.PLE,Detalhamento!$E32,Detalhamento!AT$15)),IF(INDEX(Import.PLE,Detalhamento!$E32,Detalhamento!AT$15)&lt;=mediçao,0,OFFSET(Import.PLQ,$A32-1,AT$15-1,1,1)),OFFSET(Import.PLQ,$A32-1,AT$15-1,1,1)),(1-PLE!$AA$28)*OFFSET(Import.PLQ,$A32-1,AT$15-1,1,1))))</f>
        <v>0</v>
      </c>
      <c r="AU32" s="145">
        <f ca="1">IF(AU$13="",0,CHOOSE(Detalhamento.OpçãoServiços,OFFSET(Import.PLQ,$A32-1,AU$15-1,1,1),IF($E32&lt;&gt;1,IF(ISNUMBER(INDEX(Import.PLE,Detalhamento!$E32,Detalhamento!AU$15)),IF(INDEX(Import.PLE,Detalhamento!$E32,Detalhamento!AU$15)&lt;=mediçao,OFFSET(Import.PLQ,$A32-1,AU$15-1,1,1),0),0),PLE!$AA$28*OFFSET(Import.PLQ,$A32-1,AU$15-1,1,1)),IF($E32&lt;&gt;1,IF(ISNUMBER(INDEX(Import.PLE,Detalhamento!$E32,Detalhamento!AU$15)),IF(INDEX(Import.PLE,Detalhamento!$E32,Detalhamento!AU$15)&lt;=mediçao,0,OFFSET(Import.PLQ,$A32-1,AU$15-1,1,1)),OFFSET(Import.PLQ,$A32-1,AU$15-1,1,1)),(1-PLE!$AA$28)*OFFSET(Import.PLQ,$A32-1,AU$15-1,1,1))))</f>
        <v>0</v>
      </c>
      <c r="AV32" s="145">
        <f ca="1">IF(AV$13="",0,CHOOSE(Detalhamento.OpçãoServiços,OFFSET(Import.PLQ,$A32-1,AV$15-1,1,1),IF($E32&lt;&gt;1,IF(ISNUMBER(INDEX(Import.PLE,Detalhamento!$E32,Detalhamento!AV$15)),IF(INDEX(Import.PLE,Detalhamento!$E32,Detalhamento!AV$15)&lt;=mediçao,OFFSET(Import.PLQ,$A32-1,AV$15-1,1,1),0),0),PLE!$AA$28*OFFSET(Import.PLQ,$A32-1,AV$15-1,1,1)),IF($E32&lt;&gt;1,IF(ISNUMBER(INDEX(Import.PLE,Detalhamento!$E32,Detalhamento!AV$15)),IF(INDEX(Import.PLE,Detalhamento!$E32,Detalhamento!AV$15)&lt;=mediçao,0,OFFSET(Import.PLQ,$A32-1,AV$15-1,1,1)),OFFSET(Import.PLQ,$A32-1,AV$15-1,1,1)),(1-PLE!$AA$28)*OFFSET(Import.PLQ,$A32-1,AV$15-1,1,1))))</f>
        <v>0</v>
      </c>
      <c r="AW32" s="145">
        <f ca="1">IF(AW$13="",0,CHOOSE(Detalhamento.OpçãoServiços,OFFSET(Import.PLQ,$A32-1,AW$15-1,1,1),IF($E32&lt;&gt;1,IF(ISNUMBER(INDEX(Import.PLE,Detalhamento!$E32,Detalhamento!AW$15)),IF(INDEX(Import.PLE,Detalhamento!$E32,Detalhamento!AW$15)&lt;=mediçao,OFFSET(Import.PLQ,$A32-1,AW$15-1,1,1),0),0),PLE!$AA$28*OFFSET(Import.PLQ,$A32-1,AW$15-1,1,1)),IF($E32&lt;&gt;1,IF(ISNUMBER(INDEX(Import.PLE,Detalhamento!$E32,Detalhamento!AW$15)),IF(INDEX(Import.PLE,Detalhamento!$E32,Detalhamento!AW$15)&lt;=mediçao,0,OFFSET(Import.PLQ,$A32-1,AW$15-1,1,1)),OFFSET(Import.PLQ,$A32-1,AW$15-1,1,1)),(1-PLE!$AA$28)*OFFSET(Import.PLQ,$A32-1,AW$15-1,1,1))))</f>
        <v>0</v>
      </c>
      <c r="AX32" s="145">
        <f ca="1">IF(AX$13="",0,CHOOSE(Detalhamento.OpçãoServiços,OFFSET(Import.PLQ,$A32-1,AX$15-1,1,1),IF($E32&lt;&gt;1,IF(ISNUMBER(INDEX(Import.PLE,Detalhamento!$E32,Detalhamento!AX$15)),IF(INDEX(Import.PLE,Detalhamento!$E32,Detalhamento!AX$15)&lt;=mediçao,OFFSET(Import.PLQ,$A32-1,AX$15-1,1,1),0),0),PLE!$AA$28*OFFSET(Import.PLQ,$A32-1,AX$15-1,1,1)),IF($E32&lt;&gt;1,IF(ISNUMBER(INDEX(Import.PLE,Detalhamento!$E32,Detalhamento!AX$15)),IF(INDEX(Import.PLE,Detalhamento!$E32,Detalhamento!AX$15)&lt;=mediçao,0,OFFSET(Import.PLQ,$A32-1,AX$15-1,1,1)),OFFSET(Import.PLQ,$A32-1,AX$15-1,1,1)),(1-PLE!$AA$28)*OFFSET(Import.PLQ,$A32-1,AX$15-1,1,1))))</f>
        <v>0</v>
      </c>
      <c r="AY32" s="145">
        <f ca="1">IF(AY$13="",0,CHOOSE(Detalhamento.OpçãoServiços,OFFSET(Import.PLQ,$A32-1,AY$15-1,1,1),IF($E32&lt;&gt;1,IF(ISNUMBER(INDEX(Import.PLE,Detalhamento!$E32,Detalhamento!AY$15)),IF(INDEX(Import.PLE,Detalhamento!$E32,Detalhamento!AY$15)&lt;=mediçao,OFFSET(Import.PLQ,$A32-1,AY$15-1,1,1),0),0),PLE!$AA$28*OFFSET(Import.PLQ,$A32-1,AY$15-1,1,1)),IF($E32&lt;&gt;1,IF(ISNUMBER(INDEX(Import.PLE,Detalhamento!$E32,Detalhamento!AY$15)),IF(INDEX(Import.PLE,Detalhamento!$E32,Detalhamento!AY$15)&lt;=mediçao,0,OFFSET(Import.PLQ,$A32-1,AY$15-1,1,1)),OFFSET(Import.PLQ,$A32-1,AY$15-1,1,1)),(1-PLE!$AA$28)*OFFSET(Import.PLQ,$A32-1,AY$15-1,1,1))))</f>
        <v>0</v>
      </c>
      <c r="AZ32" s="145">
        <f ca="1">IF(AZ$13="",0,CHOOSE(Detalhamento.OpçãoServiços,OFFSET(Import.PLQ,$A32-1,AZ$15-1,1,1),IF($E32&lt;&gt;1,IF(ISNUMBER(INDEX(Import.PLE,Detalhamento!$E32,Detalhamento!AZ$15)),IF(INDEX(Import.PLE,Detalhamento!$E32,Detalhamento!AZ$15)&lt;=mediçao,OFFSET(Import.PLQ,$A32-1,AZ$15-1,1,1),0),0),PLE!$AA$28*OFFSET(Import.PLQ,$A32-1,AZ$15-1,1,1)),IF($E32&lt;&gt;1,IF(ISNUMBER(INDEX(Import.PLE,Detalhamento!$E32,Detalhamento!AZ$15)),IF(INDEX(Import.PLE,Detalhamento!$E32,Detalhamento!AZ$15)&lt;=mediçao,0,OFFSET(Import.PLQ,$A32-1,AZ$15-1,1,1)),OFFSET(Import.PLQ,$A32-1,AZ$15-1,1,1)),(1-PLE!$AA$28)*OFFSET(Import.PLQ,$A32-1,AZ$15-1,1,1))))</f>
        <v>0</v>
      </c>
      <c r="BA32" s="145">
        <f ca="1">IF(BA$13="",0,CHOOSE(Detalhamento.OpçãoServiços,OFFSET(Import.PLQ,$A32-1,BA$15-1,1,1),IF($E32&lt;&gt;1,IF(ISNUMBER(INDEX(Import.PLE,Detalhamento!$E32,Detalhamento!BA$15)),IF(INDEX(Import.PLE,Detalhamento!$E32,Detalhamento!BA$15)&lt;=mediçao,OFFSET(Import.PLQ,$A32-1,BA$15-1,1,1),0),0),PLE!$AA$28*OFFSET(Import.PLQ,$A32-1,BA$15-1,1,1)),IF($E32&lt;&gt;1,IF(ISNUMBER(INDEX(Import.PLE,Detalhamento!$E32,Detalhamento!BA$15)),IF(INDEX(Import.PLE,Detalhamento!$E32,Detalhamento!BA$15)&lt;=mediçao,0,OFFSET(Import.PLQ,$A32-1,BA$15-1,1,1)),OFFSET(Import.PLQ,$A32-1,BA$15-1,1,1)),(1-PLE!$AA$28)*OFFSET(Import.PLQ,$A32-1,BA$15-1,1,1))))</f>
        <v>0</v>
      </c>
      <c r="BB32" s="145">
        <f ca="1">IF(BB$13="",0,CHOOSE(Detalhamento.OpçãoServiços,OFFSET(Import.PLQ,$A32-1,BB$15-1,1,1),IF($E32&lt;&gt;1,IF(ISNUMBER(INDEX(Import.PLE,Detalhamento!$E32,Detalhamento!BB$15)),IF(INDEX(Import.PLE,Detalhamento!$E32,Detalhamento!BB$15)&lt;=mediçao,OFFSET(Import.PLQ,$A32-1,BB$15-1,1,1),0),0),PLE!$AA$28*OFFSET(Import.PLQ,$A32-1,BB$15-1,1,1)),IF($E32&lt;&gt;1,IF(ISNUMBER(INDEX(Import.PLE,Detalhamento!$E32,Detalhamento!BB$15)),IF(INDEX(Import.PLE,Detalhamento!$E32,Detalhamento!BB$15)&lt;=mediçao,0,OFFSET(Import.PLQ,$A32-1,BB$15-1,1,1)),OFFSET(Import.PLQ,$A32-1,BB$15-1,1,1)),(1-PLE!$AA$28)*OFFSET(Import.PLQ,$A32-1,BB$15-1,1,1))))</f>
        <v>0</v>
      </c>
      <c r="BC32" s="145">
        <f ca="1">IF(BC$13="",0,CHOOSE(Detalhamento.OpçãoServiços,OFFSET(Import.PLQ,$A32-1,BC$15-1,1,1),IF($E32&lt;&gt;1,IF(ISNUMBER(INDEX(Import.PLE,Detalhamento!$E32,Detalhamento!BC$15)),IF(INDEX(Import.PLE,Detalhamento!$E32,Detalhamento!BC$15)&lt;=mediçao,OFFSET(Import.PLQ,$A32-1,BC$15-1,1,1),0),0),PLE!$AA$28*OFFSET(Import.PLQ,$A32-1,BC$15-1,1,1)),IF($E32&lt;&gt;1,IF(ISNUMBER(INDEX(Import.PLE,Detalhamento!$E32,Detalhamento!BC$15)),IF(INDEX(Import.PLE,Detalhamento!$E32,Detalhamento!BC$15)&lt;=mediçao,0,OFFSET(Import.PLQ,$A32-1,BC$15-1,1,1)),OFFSET(Import.PLQ,$A32-1,BC$15-1,1,1)),(1-PLE!$AA$28)*OFFSET(Import.PLQ,$A32-1,BC$15-1,1,1))))</f>
        <v>0</v>
      </c>
      <c r="BD32" s="145">
        <f ca="1">IF(BD$13="",0,CHOOSE(Detalhamento.OpçãoServiços,OFFSET(Import.PLQ,$A32-1,BD$15-1,1,1),IF($E32&lt;&gt;1,IF(ISNUMBER(INDEX(Import.PLE,Detalhamento!$E32,Detalhamento!BD$15)),IF(INDEX(Import.PLE,Detalhamento!$E32,Detalhamento!BD$15)&lt;=mediçao,OFFSET(Import.PLQ,$A32-1,BD$15-1,1,1),0),0),PLE!$AA$28*OFFSET(Import.PLQ,$A32-1,BD$15-1,1,1)),IF($E32&lt;&gt;1,IF(ISNUMBER(INDEX(Import.PLE,Detalhamento!$E32,Detalhamento!BD$15)),IF(INDEX(Import.PLE,Detalhamento!$E32,Detalhamento!BD$15)&lt;=mediçao,0,OFFSET(Import.PLQ,$A32-1,BD$15-1,1,1)),OFFSET(Import.PLQ,$A32-1,BD$15-1,1,1)),(1-PLE!$AA$28)*OFFSET(Import.PLQ,$A32-1,BD$15-1,1,1))))</f>
        <v>0</v>
      </c>
      <c r="BE32" s="145">
        <f ca="1">IF(BE$13="",0,CHOOSE(Detalhamento.OpçãoServiços,OFFSET(Import.PLQ,$A32-1,BE$15-1,1,1),IF($E32&lt;&gt;1,IF(ISNUMBER(INDEX(Import.PLE,Detalhamento!$E32,Detalhamento!BE$15)),IF(INDEX(Import.PLE,Detalhamento!$E32,Detalhamento!BE$15)&lt;=mediçao,OFFSET(Import.PLQ,$A32-1,BE$15-1,1,1),0),0),PLE!$AA$28*OFFSET(Import.PLQ,$A32-1,BE$15-1,1,1)),IF($E32&lt;&gt;1,IF(ISNUMBER(INDEX(Import.PLE,Detalhamento!$E32,Detalhamento!BE$15)),IF(INDEX(Import.PLE,Detalhamento!$E32,Detalhamento!BE$15)&lt;=mediçao,0,OFFSET(Import.PLQ,$A32-1,BE$15-1,1,1)),OFFSET(Import.PLQ,$A32-1,BE$15-1,1,1)),(1-PLE!$AA$28)*OFFSET(Import.PLQ,$A32-1,BE$15-1,1,1))))</f>
        <v>0</v>
      </c>
      <c r="BF32" s="145">
        <f ca="1">IF(BF$13="",0,CHOOSE(Detalhamento.OpçãoServiços,OFFSET(Import.PLQ,$A32-1,BF$15-1,1,1),IF($E32&lt;&gt;1,IF(ISNUMBER(INDEX(Import.PLE,Detalhamento!$E32,Detalhamento!BF$15)),IF(INDEX(Import.PLE,Detalhamento!$E32,Detalhamento!BF$15)&lt;=mediçao,OFFSET(Import.PLQ,$A32-1,BF$15-1,1,1),0),0),PLE!$AA$28*OFFSET(Import.PLQ,$A32-1,BF$15-1,1,1)),IF($E32&lt;&gt;1,IF(ISNUMBER(INDEX(Import.PLE,Detalhamento!$E32,Detalhamento!BF$15)),IF(INDEX(Import.PLE,Detalhamento!$E32,Detalhamento!BF$15)&lt;=mediçao,0,OFFSET(Import.PLQ,$A32-1,BF$15-1,1,1)),OFFSET(Import.PLQ,$A32-1,BF$15-1,1,1)),(1-PLE!$AA$28)*OFFSET(Import.PLQ,$A32-1,BF$15-1,1,1))))</f>
        <v>0</v>
      </c>
      <c r="BG32" s="145">
        <f ca="1">IF(BG$13="",0,CHOOSE(Detalhamento.OpçãoServiços,OFFSET(Import.PLQ,$A32-1,BG$15-1,1,1),IF($E32&lt;&gt;1,IF(ISNUMBER(INDEX(Import.PLE,Detalhamento!$E32,Detalhamento!BG$15)),IF(INDEX(Import.PLE,Detalhamento!$E32,Detalhamento!BG$15)&lt;=mediçao,OFFSET(Import.PLQ,$A32-1,BG$15-1,1,1),0),0),PLE!$AA$28*OFFSET(Import.PLQ,$A32-1,BG$15-1,1,1)),IF($E32&lt;&gt;1,IF(ISNUMBER(INDEX(Import.PLE,Detalhamento!$E32,Detalhamento!BG$15)),IF(INDEX(Import.PLE,Detalhamento!$E32,Detalhamento!BG$15)&lt;=mediçao,0,OFFSET(Import.PLQ,$A32-1,BG$15-1,1,1)),OFFSET(Import.PLQ,$A32-1,BG$15-1,1,1)),(1-PLE!$AA$28)*OFFSET(Import.PLQ,$A32-1,BG$15-1,1,1))))</f>
        <v>0</v>
      </c>
      <c r="BH32" s="145">
        <f ca="1">IF(BH$13="",0,CHOOSE(Detalhamento.OpçãoServiços,OFFSET(Import.PLQ,$A32-1,BH$15-1,1,1),IF($E32&lt;&gt;1,IF(ISNUMBER(INDEX(Import.PLE,Detalhamento!$E32,Detalhamento!BH$15)),IF(INDEX(Import.PLE,Detalhamento!$E32,Detalhamento!BH$15)&lt;=mediçao,OFFSET(Import.PLQ,$A32-1,BH$15-1,1,1),0),0),PLE!$AA$28*OFFSET(Import.PLQ,$A32-1,BH$15-1,1,1)),IF($E32&lt;&gt;1,IF(ISNUMBER(INDEX(Import.PLE,Detalhamento!$E32,Detalhamento!BH$15)),IF(INDEX(Import.PLE,Detalhamento!$E32,Detalhamento!BH$15)&lt;=mediçao,0,OFFSET(Import.PLQ,$A32-1,BH$15-1,1,1)),OFFSET(Import.PLQ,$A32-1,BH$15-1,1,1)),(1-PLE!$AA$28)*OFFSET(Import.PLQ,$A32-1,BH$15-1,1,1))))</f>
        <v>0</v>
      </c>
      <c r="BI32" s="145">
        <f ca="1">IF(BI$13="",0,CHOOSE(Detalhamento.OpçãoServiços,OFFSET(Import.PLQ,$A32-1,BI$15-1,1,1),IF($E32&lt;&gt;1,IF(ISNUMBER(INDEX(Import.PLE,Detalhamento!$E32,Detalhamento!BI$15)),IF(INDEX(Import.PLE,Detalhamento!$E32,Detalhamento!BI$15)&lt;=mediçao,OFFSET(Import.PLQ,$A32-1,BI$15-1,1,1),0),0),PLE!$AA$28*OFFSET(Import.PLQ,$A32-1,BI$15-1,1,1)),IF($E32&lt;&gt;1,IF(ISNUMBER(INDEX(Import.PLE,Detalhamento!$E32,Detalhamento!BI$15)),IF(INDEX(Import.PLE,Detalhamento!$E32,Detalhamento!BI$15)&lt;=mediçao,0,OFFSET(Import.PLQ,$A32-1,BI$15-1,1,1)),OFFSET(Import.PLQ,$A32-1,BI$15-1,1,1)),(1-PLE!$AA$28)*OFFSET(Import.PLQ,$A32-1,BI$15-1,1,1))))</f>
        <v>0</v>
      </c>
    </row>
    <row r="33" spans="1:61" ht="33.75" x14ac:dyDescent="0.2">
      <c r="A33" s="156">
        <v>14</v>
      </c>
      <c r="B33" s="21" t="str">
        <f t="shared" ca="1" si="8"/>
        <v>Serviço</v>
      </c>
      <c r="E33" s="154">
        <f t="shared" ca="1" si="9"/>
        <v>3</v>
      </c>
      <c r="F33" s="155">
        <f t="shared" ca="1" si="10"/>
        <v>30014</v>
      </c>
      <c r="G33" s="155" t="str">
        <f t="shared" ca="1" si="11"/>
        <v>4.3</v>
      </c>
      <c r="H33" s="183" t="str">
        <f t="shared" ca="1" si="11"/>
        <v>Execução de rampa em concreto moldado in loco, feito em obra, acabamento convencional, não armado, conforme ABNT NBR 9050/2004</v>
      </c>
      <c r="I33" s="37" t="str">
        <f t="shared" ca="1" si="12"/>
        <v>m³</v>
      </c>
      <c r="J33" s="145">
        <f t="shared" ca="1" si="13"/>
        <v>25.629999999999995</v>
      </c>
      <c r="K33" s="67"/>
      <c r="L33" s="145">
        <f ca="1">IF(L$13="",0,CHOOSE(Detalhamento.OpçãoServiços,OFFSET(Import.PLQ,$A33-1,L$15-1,1,1),IF($E33&lt;&gt;1,IF(ISNUMBER(INDEX(Import.PLE,Detalhamento!$E33,Detalhamento!L$15)),IF(INDEX(Import.PLE,Detalhamento!$E33,Detalhamento!L$15)&lt;=mediçao,OFFSET(Import.PLQ,$A33-1,L$15-1,1,1),0),0),PLE!$AA$28*OFFSET(Import.PLQ,$A33-1,L$15-1,1,1)),IF($E33&lt;&gt;1,IF(ISNUMBER(INDEX(Import.PLE,Detalhamento!$E33,Detalhamento!L$15)),IF(INDEX(Import.PLE,Detalhamento!$E33,Detalhamento!L$15)&lt;=mediçao,0,OFFSET(Import.PLQ,$A33-1,L$15-1,1,1)),OFFSET(Import.PLQ,$A33-1,L$15-1,1,1)),(1-PLE!$AA$28)*OFFSET(Import.PLQ,$A33-1,L$15-1,1,1))))</f>
        <v>5.26</v>
      </c>
      <c r="M33" s="145">
        <f ca="1">IF(M$13="",0,CHOOSE(Detalhamento.OpçãoServiços,OFFSET(Import.PLQ,$A33-1,M$15-1,1,1),IF($E33&lt;&gt;1,IF(ISNUMBER(INDEX(Import.PLE,Detalhamento!$E33,Detalhamento!M$15)),IF(INDEX(Import.PLE,Detalhamento!$E33,Detalhamento!M$15)&lt;=mediçao,OFFSET(Import.PLQ,$A33-1,M$15-1,1,1),0),0),PLE!$AA$28*OFFSET(Import.PLQ,$A33-1,M$15-1,1,1)),IF($E33&lt;&gt;1,IF(ISNUMBER(INDEX(Import.PLE,Detalhamento!$E33,Detalhamento!M$15)),IF(INDEX(Import.PLE,Detalhamento!$E33,Detalhamento!M$15)&lt;=mediçao,0,OFFSET(Import.PLQ,$A33-1,M$15-1,1,1)),OFFSET(Import.PLQ,$A33-1,M$15-1,1,1)),(1-PLE!$AA$28)*OFFSET(Import.PLQ,$A33-1,M$15-1,1,1))))</f>
        <v>2.63</v>
      </c>
      <c r="N33" s="145">
        <f ca="1">IF(N$13="",0,CHOOSE(Detalhamento.OpçãoServiços,OFFSET(Import.PLQ,$A33-1,N$15-1,1,1),IF($E33&lt;&gt;1,IF(ISNUMBER(INDEX(Import.PLE,Detalhamento!$E33,Detalhamento!N$15)),IF(INDEX(Import.PLE,Detalhamento!$E33,Detalhamento!N$15)&lt;=mediçao,OFFSET(Import.PLQ,$A33-1,N$15-1,1,1),0),0),PLE!$AA$28*OFFSET(Import.PLQ,$A33-1,N$15-1,1,1)),IF($E33&lt;&gt;1,IF(ISNUMBER(INDEX(Import.PLE,Detalhamento!$E33,Detalhamento!N$15)),IF(INDEX(Import.PLE,Detalhamento!$E33,Detalhamento!N$15)&lt;=mediçao,0,OFFSET(Import.PLQ,$A33-1,N$15-1,1,1)),OFFSET(Import.PLQ,$A33-1,N$15-1,1,1)),(1-PLE!$AA$28)*OFFSET(Import.PLQ,$A33-1,N$15-1,1,1))))</f>
        <v>3.94</v>
      </c>
      <c r="O33" s="145">
        <f ca="1">IF(O$13="",0,CHOOSE(Detalhamento.OpçãoServiços,OFFSET(Import.PLQ,$A33-1,O$15-1,1,1),IF($E33&lt;&gt;1,IF(ISNUMBER(INDEX(Import.PLE,Detalhamento!$E33,Detalhamento!O$15)),IF(INDEX(Import.PLE,Detalhamento!$E33,Detalhamento!O$15)&lt;=mediçao,OFFSET(Import.PLQ,$A33-1,O$15-1,1,1),0),0),PLE!$AA$28*OFFSET(Import.PLQ,$A33-1,O$15-1,1,1)),IF($E33&lt;&gt;1,IF(ISNUMBER(INDEX(Import.PLE,Detalhamento!$E33,Detalhamento!O$15)),IF(INDEX(Import.PLE,Detalhamento!$E33,Detalhamento!O$15)&lt;=mediçao,0,OFFSET(Import.PLQ,$A33-1,O$15-1,1,1)),OFFSET(Import.PLQ,$A33-1,O$15-1,1,1)),(1-PLE!$AA$28)*OFFSET(Import.PLQ,$A33-1,O$15-1,1,1))))</f>
        <v>5.26</v>
      </c>
      <c r="P33" s="145">
        <f ca="1">IF(P$13="",0,CHOOSE(Detalhamento.OpçãoServiços,OFFSET(Import.PLQ,$A33-1,P$15-1,1,1),IF($E33&lt;&gt;1,IF(ISNUMBER(INDEX(Import.PLE,Detalhamento!$E33,Detalhamento!P$15)),IF(INDEX(Import.PLE,Detalhamento!$E33,Detalhamento!P$15)&lt;=mediçao,OFFSET(Import.PLQ,$A33-1,P$15-1,1,1),0),0),PLE!$AA$28*OFFSET(Import.PLQ,$A33-1,P$15-1,1,1)),IF($E33&lt;&gt;1,IF(ISNUMBER(INDEX(Import.PLE,Detalhamento!$E33,Detalhamento!P$15)),IF(INDEX(Import.PLE,Detalhamento!$E33,Detalhamento!P$15)&lt;=mediçao,0,OFFSET(Import.PLQ,$A33-1,P$15-1,1,1)),OFFSET(Import.PLQ,$A33-1,P$15-1,1,1)),(1-PLE!$AA$28)*OFFSET(Import.PLQ,$A33-1,P$15-1,1,1))))</f>
        <v>1.31</v>
      </c>
      <c r="Q33" s="145">
        <f ca="1">IF(Q$13="",0,CHOOSE(Detalhamento.OpçãoServiços,OFFSET(Import.PLQ,$A33-1,Q$15-1,1,1),IF($E33&lt;&gt;1,IF(ISNUMBER(INDEX(Import.PLE,Detalhamento!$E33,Detalhamento!Q$15)),IF(INDEX(Import.PLE,Detalhamento!$E33,Detalhamento!Q$15)&lt;=mediçao,OFFSET(Import.PLQ,$A33-1,Q$15-1,1,1),0),0),PLE!$AA$28*OFFSET(Import.PLQ,$A33-1,Q$15-1,1,1)),IF($E33&lt;&gt;1,IF(ISNUMBER(INDEX(Import.PLE,Detalhamento!$E33,Detalhamento!Q$15)),IF(INDEX(Import.PLE,Detalhamento!$E33,Detalhamento!Q$15)&lt;=mediçao,0,OFFSET(Import.PLQ,$A33-1,Q$15-1,1,1)),OFFSET(Import.PLQ,$A33-1,Q$15-1,1,1)),(1-PLE!$AA$28)*OFFSET(Import.PLQ,$A33-1,Q$15-1,1,1))))</f>
        <v>1.97</v>
      </c>
      <c r="R33" s="145">
        <f ca="1">IF(R$13="",0,CHOOSE(Detalhamento.OpçãoServiços,OFFSET(Import.PLQ,$A33-1,R$15-1,1,1),IF($E33&lt;&gt;1,IF(ISNUMBER(INDEX(Import.PLE,Detalhamento!$E33,Detalhamento!R$15)),IF(INDEX(Import.PLE,Detalhamento!$E33,Detalhamento!R$15)&lt;=mediçao,OFFSET(Import.PLQ,$A33-1,R$15-1,1,1),0),0),PLE!$AA$28*OFFSET(Import.PLQ,$A33-1,R$15-1,1,1)),IF($E33&lt;&gt;1,IF(ISNUMBER(INDEX(Import.PLE,Detalhamento!$E33,Detalhamento!R$15)),IF(INDEX(Import.PLE,Detalhamento!$E33,Detalhamento!R$15)&lt;=mediçao,0,OFFSET(Import.PLQ,$A33-1,R$15-1,1,1)),OFFSET(Import.PLQ,$A33-1,R$15-1,1,1)),(1-PLE!$AA$28)*OFFSET(Import.PLQ,$A33-1,R$15-1,1,1))))</f>
        <v>2.63</v>
      </c>
      <c r="S33" s="145">
        <f ca="1">IF(S$13="",0,CHOOSE(Detalhamento.OpçãoServiços,OFFSET(Import.PLQ,$A33-1,S$15-1,1,1),IF($E33&lt;&gt;1,IF(ISNUMBER(INDEX(Import.PLE,Detalhamento!$E33,Detalhamento!S$15)),IF(INDEX(Import.PLE,Detalhamento!$E33,Detalhamento!S$15)&lt;=mediçao,OFFSET(Import.PLQ,$A33-1,S$15-1,1,1),0),0),PLE!$AA$28*OFFSET(Import.PLQ,$A33-1,S$15-1,1,1)),IF($E33&lt;&gt;1,IF(ISNUMBER(INDEX(Import.PLE,Detalhamento!$E33,Detalhamento!S$15)),IF(INDEX(Import.PLE,Detalhamento!$E33,Detalhamento!S$15)&lt;=mediçao,0,OFFSET(Import.PLQ,$A33-1,S$15-1,1,1)),OFFSET(Import.PLQ,$A33-1,S$15-1,1,1)),(1-PLE!$AA$28)*OFFSET(Import.PLQ,$A33-1,S$15-1,1,1))))</f>
        <v>2.63</v>
      </c>
      <c r="T33" s="145">
        <f ca="1">IF(T$13="",0,CHOOSE(Detalhamento.OpçãoServiços,OFFSET(Import.PLQ,$A33-1,T$15-1,1,1),IF($E33&lt;&gt;1,IF(ISNUMBER(INDEX(Import.PLE,Detalhamento!$E33,Detalhamento!T$15)),IF(INDEX(Import.PLE,Detalhamento!$E33,Detalhamento!T$15)&lt;=mediçao,OFFSET(Import.PLQ,$A33-1,T$15-1,1,1),0),0),PLE!$AA$28*OFFSET(Import.PLQ,$A33-1,T$15-1,1,1)),IF($E33&lt;&gt;1,IF(ISNUMBER(INDEX(Import.PLE,Detalhamento!$E33,Detalhamento!T$15)),IF(INDEX(Import.PLE,Detalhamento!$E33,Detalhamento!T$15)&lt;=mediçao,0,OFFSET(Import.PLQ,$A33-1,T$15-1,1,1)),OFFSET(Import.PLQ,$A33-1,T$15-1,1,1)),(1-PLE!$AA$28)*OFFSET(Import.PLQ,$A33-1,T$15-1,1,1))))</f>
        <v>0</v>
      </c>
      <c r="U33" s="145">
        <f ca="1">IF(U$13="",0,CHOOSE(Detalhamento.OpçãoServiços,OFFSET(Import.PLQ,$A33-1,U$15-1,1,1),IF($E33&lt;&gt;1,IF(ISNUMBER(INDEX(Import.PLE,Detalhamento!$E33,Detalhamento!U$15)),IF(INDEX(Import.PLE,Detalhamento!$E33,Detalhamento!U$15)&lt;=mediçao,OFFSET(Import.PLQ,$A33-1,U$15-1,1,1),0),0),PLE!$AA$28*OFFSET(Import.PLQ,$A33-1,U$15-1,1,1)),IF($E33&lt;&gt;1,IF(ISNUMBER(INDEX(Import.PLE,Detalhamento!$E33,Detalhamento!U$15)),IF(INDEX(Import.PLE,Detalhamento!$E33,Detalhamento!U$15)&lt;=mediçao,0,OFFSET(Import.PLQ,$A33-1,U$15-1,1,1)),OFFSET(Import.PLQ,$A33-1,U$15-1,1,1)),(1-PLE!$AA$28)*OFFSET(Import.PLQ,$A33-1,U$15-1,1,1))))</f>
        <v>0</v>
      </c>
      <c r="V33" s="145">
        <f ca="1">IF(V$13="",0,CHOOSE(Detalhamento.OpçãoServiços,OFFSET(Import.PLQ,$A33-1,V$15-1,1,1),IF($E33&lt;&gt;1,IF(ISNUMBER(INDEX(Import.PLE,Detalhamento!$E33,Detalhamento!V$15)),IF(INDEX(Import.PLE,Detalhamento!$E33,Detalhamento!V$15)&lt;=mediçao,OFFSET(Import.PLQ,$A33-1,V$15-1,1,1),0),0),PLE!$AA$28*OFFSET(Import.PLQ,$A33-1,V$15-1,1,1)),IF($E33&lt;&gt;1,IF(ISNUMBER(INDEX(Import.PLE,Detalhamento!$E33,Detalhamento!V$15)),IF(INDEX(Import.PLE,Detalhamento!$E33,Detalhamento!V$15)&lt;=mediçao,0,OFFSET(Import.PLQ,$A33-1,V$15-1,1,1)),OFFSET(Import.PLQ,$A33-1,V$15-1,1,1)),(1-PLE!$AA$28)*OFFSET(Import.PLQ,$A33-1,V$15-1,1,1))))</f>
        <v>0</v>
      </c>
      <c r="W33" s="145">
        <f ca="1">IF(W$13="",0,CHOOSE(Detalhamento.OpçãoServiços,OFFSET(Import.PLQ,$A33-1,W$15-1,1,1),IF($E33&lt;&gt;1,IF(ISNUMBER(INDEX(Import.PLE,Detalhamento!$E33,Detalhamento!W$15)),IF(INDEX(Import.PLE,Detalhamento!$E33,Detalhamento!W$15)&lt;=mediçao,OFFSET(Import.PLQ,$A33-1,W$15-1,1,1),0),0),PLE!$AA$28*OFFSET(Import.PLQ,$A33-1,W$15-1,1,1)),IF($E33&lt;&gt;1,IF(ISNUMBER(INDEX(Import.PLE,Detalhamento!$E33,Detalhamento!W$15)),IF(INDEX(Import.PLE,Detalhamento!$E33,Detalhamento!W$15)&lt;=mediçao,0,OFFSET(Import.PLQ,$A33-1,W$15-1,1,1)),OFFSET(Import.PLQ,$A33-1,W$15-1,1,1)),(1-PLE!$AA$28)*OFFSET(Import.PLQ,$A33-1,W$15-1,1,1))))</f>
        <v>0</v>
      </c>
      <c r="X33" s="145">
        <f ca="1">IF(X$13="",0,CHOOSE(Detalhamento.OpçãoServiços,OFFSET(Import.PLQ,$A33-1,X$15-1,1,1),IF($E33&lt;&gt;1,IF(ISNUMBER(INDEX(Import.PLE,Detalhamento!$E33,Detalhamento!X$15)),IF(INDEX(Import.PLE,Detalhamento!$E33,Detalhamento!X$15)&lt;=mediçao,OFFSET(Import.PLQ,$A33-1,X$15-1,1,1),0),0),PLE!$AA$28*OFFSET(Import.PLQ,$A33-1,X$15-1,1,1)),IF($E33&lt;&gt;1,IF(ISNUMBER(INDEX(Import.PLE,Detalhamento!$E33,Detalhamento!X$15)),IF(INDEX(Import.PLE,Detalhamento!$E33,Detalhamento!X$15)&lt;=mediçao,0,OFFSET(Import.PLQ,$A33-1,X$15-1,1,1)),OFFSET(Import.PLQ,$A33-1,X$15-1,1,1)),(1-PLE!$AA$28)*OFFSET(Import.PLQ,$A33-1,X$15-1,1,1))))</f>
        <v>0</v>
      </c>
      <c r="Y33" s="145">
        <f ca="1">IF(Y$13="",0,CHOOSE(Detalhamento.OpçãoServiços,OFFSET(Import.PLQ,$A33-1,Y$15-1,1,1),IF($E33&lt;&gt;1,IF(ISNUMBER(INDEX(Import.PLE,Detalhamento!$E33,Detalhamento!Y$15)),IF(INDEX(Import.PLE,Detalhamento!$E33,Detalhamento!Y$15)&lt;=mediçao,OFFSET(Import.PLQ,$A33-1,Y$15-1,1,1),0),0),PLE!$AA$28*OFFSET(Import.PLQ,$A33-1,Y$15-1,1,1)),IF($E33&lt;&gt;1,IF(ISNUMBER(INDEX(Import.PLE,Detalhamento!$E33,Detalhamento!Y$15)),IF(INDEX(Import.PLE,Detalhamento!$E33,Detalhamento!Y$15)&lt;=mediçao,0,OFFSET(Import.PLQ,$A33-1,Y$15-1,1,1)),OFFSET(Import.PLQ,$A33-1,Y$15-1,1,1)),(1-PLE!$AA$28)*OFFSET(Import.PLQ,$A33-1,Y$15-1,1,1))))</f>
        <v>0</v>
      </c>
      <c r="Z33" s="145">
        <f ca="1">IF(Z$13="",0,CHOOSE(Detalhamento.OpçãoServiços,OFFSET(Import.PLQ,$A33-1,Z$15-1,1,1),IF($E33&lt;&gt;1,IF(ISNUMBER(INDEX(Import.PLE,Detalhamento!$E33,Detalhamento!Z$15)),IF(INDEX(Import.PLE,Detalhamento!$E33,Detalhamento!Z$15)&lt;=mediçao,OFFSET(Import.PLQ,$A33-1,Z$15-1,1,1),0),0),PLE!$AA$28*OFFSET(Import.PLQ,$A33-1,Z$15-1,1,1)),IF($E33&lt;&gt;1,IF(ISNUMBER(INDEX(Import.PLE,Detalhamento!$E33,Detalhamento!Z$15)),IF(INDEX(Import.PLE,Detalhamento!$E33,Detalhamento!Z$15)&lt;=mediçao,0,OFFSET(Import.PLQ,$A33-1,Z$15-1,1,1)),OFFSET(Import.PLQ,$A33-1,Z$15-1,1,1)),(1-PLE!$AA$28)*OFFSET(Import.PLQ,$A33-1,Z$15-1,1,1))))</f>
        <v>0</v>
      </c>
      <c r="AA33" s="145">
        <f ca="1">IF(AA$13="",0,CHOOSE(Detalhamento.OpçãoServiços,OFFSET(Import.PLQ,$A33-1,AA$15-1,1,1),IF($E33&lt;&gt;1,IF(ISNUMBER(INDEX(Import.PLE,Detalhamento!$E33,Detalhamento!AA$15)),IF(INDEX(Import.PLE,Detalhamento!$E33,Detalhamento!AA$15)&lt;=mediçao,OFFSET(Import.PLQ,$A33-1,AA$15-1,1,1),0),0),PLE!$AA$28*OFFSET(Import.PLQ,$A33-1,AA$15-1,1,1)),IF($E33&lt;&gt;1,IF(ISNUMBER(INDEX(Import.PLE,Detalhamento!$E33,Detalhamento!AA$15)),IF(INDEX(Import.PLE,Detalhamento!$E33,Detalhamento!AA$15)&lt;=mediçao,0,OFFSET(Import.PLQ,$A33-1,AA$15-1,1,1)),OFFSET(Import.PLQ,$A33-1,AA$15-1,1,1)),(1-PLE!$AA$28)*OFFSET(Import.PLQ,$A33-1,AA$15-1,1,1))))</f>
        <v>0</v>
      </c>
      <c r="AB33" s="145">
        <f ca="1">IF(AB$13="",0,CHOOSE(Detalhamento.OpçãoServiços,OFFSET(Import.PLQ,$A33-1,AB$15-1,1,1),IF($E33&lt;&gt;1,IF(ISNUMBER(INDEX(Import.PLE,Detalhamento!$E33,Detalhamento!AB$15)),IF(INDEX(Import.PLE,Detalhamento!$E33,Detalhamento!AB$15)&lt;=mediçao,OFFSET(Import.PLQ,$A33-1,AB$15-1,1,1),0),0),PLE!$AA$28*OFFSET(Import.PLQ,$A33-1,AB$15-1,1,1)),IF($E33&lt;&gt;1,IF(ISNUMBER(INDEX(Import.PLE,Detalhamento!$E33,Detalhamento!AB$15)),IF(INDEX(Import.PLE,Detalhamento!$E33,Detalhamento!AB$15)&lt;=mediçao,0,OFFSET(Import.PLQ,$A33-1,AB$15-1,1,1)),OFFSET(Import.PLQ,$A33-1,AB$15-1,1,1)),(1-PLE!$AA$28)*OFFSET(Import.PLQ,$A33-1,AB$15-1,1,1))))</f>
        <v>0</v>
      </c>
      <c r="AC33" s="145">
        <f ca="1">IF(AC$13="",0,CHOOSE(Detalhamento.OpçãoServiços,OFFSET(Import.PLQ,$A33-1,AC$15-1,1,1),IF($E33&lt;&gt;1,IF(ISNUMBER(INDEX(Import.PLE,Detalhamento!$E33,Detalhamento!AC$15)),IF(INDEX(Import.PLE,Detalhamento!$E33,Detalhamento!AC$15)&lt;=mediçao,OFFSET(Import.PLQ,$A33-1,AC$15-1,1,1),0),0),PLE!$AA$28*OFFSET(Import.PLQ,$A33-1,AC$15-1,1,1)),IF($E33&lt;&gt;1,IF(ISNUMBER(INDEX(Import.PLE,Detalhamento!$E33,Detalhamento!AC$15)),IF(INDEX(Import.PLE,Detalhamento!$E33,Detalhamento!AC$15)&lt;=mediçao,0,OFFSET(Import.PLQ,$A33-1,AC$15-1,1,1)),OFFSET(Import.PLQ,$A33-1,AC$15-1,1,1)),(1-PLE!$AA$28)*OFFSET(Import.PLQ,$A33-1,AC$15-1,1,1))))</f>
        <v>0</v>
      </c>
      <c r="AD33" s="145">
        <f ca="1">IF(AD$13="",0,CHOOSE(Detalhamento.OpçãoServiços,OFFSET(Import.PLQ,$A33-1,AD$15-1,1,1),IF($E33&lt;&gt;1,IF(ISNUMBER(INDEX(Import.PLE,Detalhamento!$E33,Detalhamento!AD$15)),IF(INDEX(Import.PLE,Detalhamento!$E33,Detalhamento!AD$15)&lt;=mediçao,OFFSET(Import.PLQ,$A33-1,AD$15-1,1,1),0),0),PLE!$AA$28*OFFSET(Import.PLQ,$A33-1,AD$15-1,1,1)),IF($E33&lt;&gt;1,IF(ISNUMBER(INDEX(Import.PLE,Detalhamento!$E33,Detalhamento!AD$15)),IF(INDEX(Import.PLE,Detalhamento!$E33,Detalhamento!AD$15)&lt;=mediçao,0,OFFSET(Import.PLQ,$A33-1,AD$15-1,1,1)),OFFSET(Import.PLQ,$A33-1,AD$15-1,1,1)),(1-PLE!$AA$28)*OFFSET(Import.PLQ,$A33-1,AD$15-1,1,1))))</f>
        <v>0</v>
      </c>
      <c r="AE33" s="145">
        <f ca="1">IF(AE$13="",0,CHOOSE(Detalhamento.OpçãoServiços,OFFSET(Import.PLQ,$A33-1,AE$15-1,1,1),IF($E33&lt;&gt;1,IF(ISNUMBER(INDEX(Import.PLE,Detalhamento!$E33,Detalhamento!AE$15)),IF(INDEX(Import.PLE,Detalhamento!$E33,Detalhamento!AE$15)&lt;=mediçao,OFFSET(Import.PLQ,$A33-1,AE$15-1,1,1),0),0),PLE!$AA$28*OFFSET(Import.PLQ,$A33-1,AE$15-1,1,1)),IF($E33&lt;&gt;1,IF(ISNUMBER(INDEX(Import.PLE,Detalhamento!$E33,Detalhamento!AE$15)),IF(INDEX(Import.PLE,Detalhamento!$E33,Detalhamento!AE$15)&lt;=mediçao,0,OFFSET(Import.PLQ,$A33-1,AE$15-1,1,1)),OFFSET(Import.PLQ,$A33-1,AE$15-1,1,1)),(1-PLE!$AA$28)*OFFSET(Import.PLQ,$A33-1,AE$15-1,1,1))))</f>
        <v>0</v>
      </c>
      <c r="AF33" s="145">
        <f ca="1">IF(AF$13="",0,CHOOSE(Detalhamento.OpçãoServiços,OFFSET(Import.PLQ,$A33-1,AF$15-1,1,1),IF($E33&lt;&gt;1,IF(ISNUMBER(INDEX(Import.PLE,Detalhamento!$E33,Detalhamento!AF$15)),IF(INDEX(Import.PLE,Detalhamento!$E33,Detalhamento!AF$15)&lt;=mediçao,OFFSET(Import.PLQ,$A33-1,AF$15-1,1,1),0),0),PLE!$AA$28*OFFSET(Import.PLQ,$A33-1,AF$15-1,1,1)),IF($E33&lt;&gt;1,IF(ISNUMBER(INDEX(Import.PLE,Detalhamento!$E33,Detalhamento!AF$15)),IF(INDEX(Import.PLE,Detalhamento!$E33,Detalhamento!AF$15)&lt;=mediçao,0,OFFSET(Import.PLQ,$A33-1,AF$15-1,1,1)),OFFSET(Import.PLQ,$A33-1,AF$15-1,1,1)),(1-PLE!$AA$28)*OFFSET(Import.PLQ,$A33-1,AF$15-1,1,1))))</f>
        <v>0</v>
      </c>
      <c r="AG33" s="145">
        <f ca="1">IF(AG$13="",0,CHOOSE(Detalhamento.OpçãoServiços,OFFSET(Import.PLQ,$A33-1,AG$15-1,1,1),IF($E33&lt;&gt;1,IF(ISNUMBER(INDEX(Import.PLE,Detalhamento!$E33,Detalhamento!AG$15)),IF(INDEX(Import.PLE,Detalhamento!$E33,Detalhamento!AG$15)&lt;=mediçao,OFFSET(Import.PLQ,$A33-1,AG$15-1,1,1),0),0),PLE!$AA$28*OFFSET(Import.PLQ,$A33-1,AG$15-1,1,1)),IF($E33&lt;&gt;1,IF(ISNUMBER(INDEX(Import.PLE,Detalhamento!$E33,Detalhamento!AG$15)),IF(INDEX(Import.PLE,Detalhamento!$E33,Detalhamento!AG$15)&lt;=mediçao,0,OFFSET(Import.PLQ,$A33-1,AG$15-1,1,1)),OFFSET(Import.PLQ,$A33-1,AG$15-1,1,1)),(1-PLE!$AA$28)*OFFSET(Import.PLQ,$A33-1,AG$15-1,1,1))))</f>
        <v>0</v>
      </c>
      <c r="AH33" s="145">
        <f ca="1">IF(AH$13="",0,CHOOSE(Detalhamento.OpçãoServiços,OFFSET(Import.PLQ,$A33-1,AH$15-1,1,1),IF($E33&lt;&gt;1,IF(ISNUMBER(INDEX(Import.PLE,Detalhamento!$E33,Detalhamento!AH$15)),IF(INDEX(Import.PLE,Detalhamento!$E33,Detalhamento!AH$15)&lt;=mediçao,OFFSET(Import.PLQ,$A33-1,AH$15-1,1,1),0),0),PLE!$AA$28*OFFSET(Import.PLQ,$A33-1,AH$15-1,1,1)),IF($E33&lt;&gt;1,IF(ISNUMBER(INDEX(Import.PLE,Detalhamento!$E33,Detalhamento!AH$15)),IF(INDEX(Import.PLE,Detalhamento!$E33,Detalhamento!AH$15)&lt;=mediçao,0,OFFSET(Import.PLQ,$A33-1,AH$15-1,1,1)),OFFSET(Import.PLQ,$A33-1,AH$15-1,1,1)),(1-PLE!$AA$28)*OFFSET(Import.PLQ,$A33-1,AH$15-1,1,1))))</f>
        <v>0</v>
      </c>
      <c r="AI33" s="145">
        <f ca="1">IF(AI$13="",0,CHOOSE(Detalhamento.OpçãoServiços,OFFSET(Import.PLQ,$A33-1,AI$15-1,1,1),IF($E33&lt;&gt;1,IF(ISNUMBER(INDEX(Import.PLE,Detalhamento!$E33,Detalhamento!AI$15)),IF(INDEX(Import.PLE,Detalhamento!$E33,Detalhamento!AI$15)&lt;=mediçao,OFFSET(Import.PLQ,$A33-1,AI$15-1,1,1),0),0),PLE!$AA$28*OFFSET(Import.PLQ,$A33-1,AI$15-1,1,1)),IF($E33&lt;&gt;1,IF(ISNUMBER(INDEX(Import.PLE,Detalhamento!$E33,Detalhamento!AI$15)),IF(INDEX(Import.PLE,Detalhamento!$E33,Detalhamento!AI$15)&lt;=mediçao,0,OFFSET(Import.PLQ,$A33-1,AI$15-1,1,1)),OFFSET(Import.PLQ,$A33-1,AI$15-1,1,1)),(1-PLE!$AA$28)*OFFSET(Import.PLQ,$A33-1,AI$15-1,1,1))))</f>
        <v>0</v>
      </c>
      <c r="AJ33" s="145">
        <f ca="1">IF(AJ$13="",0,CHOOSE(Detalhamento.OpçãoServiços,OFFSET(Import.PLQ,$A33-1,AJ$15-1,1,1),IF($E33&lt;&gt;1,IF(ISNUMBER(INDEX(Import.PLE,Detalhamento!$E33,Detalhamento!AJ$15)),IF(INDEX(Import.PLE,Detalhamento!$E33,Detalhamento!AJ$15)&lt;=mediçao,OFFSET(Import.PLQ,$A33-1,AJ$15-1,1,1),0),0),PLE!$AA$28*OFFSET(Import.PLQ,$A33-1,AJ$15-1,1,1)),IF($E33&lt;&gt;1,IF(ISNUMBER(INDEX(Import.PLE,Detalhamento!$E33,Detalhamento!AJ$15)),IF(INDEX(Import.PLE,Detalhamento!$E33,Detalhamento!AJ$15)&lt;=mediçao,0,OFFSET(Import.PLQ,$A33-1,AJ$15-1,1,1)),OFFSET(Import.PLQ,$A33-1,AJ$15-1,1,1)),(1-PLE!$AA$28)*OFFSET(Import.PLQ,$A33-1,AJ$15-1,1,1))))</f>
        <v>0</v>
      </c>
      <c r="AK33" s="145">
        <f ca="1">IF(AK$13="",0,CHOOSE(Detalhamento.OpçãoServiços,OFFSET(Import.PLQ,$A33-1,AK$15-1,1,1),IF($E33&lt;&gt;1,IF(ISNUMBER(INDEX(Import.PLE,Detalhamento!$E33,Detalhamento!AK$15)),IF(INDEX(Import.PLE,Detalhamento!$E33,Detalhamento!AK$15)&lt;=mediçao,OFFSET(Import.PLQ,$A33-1,AK$15-1,1,1),0),0),PLE!$AA$28*OFFSET(Import.PLQ,$A33-1,AK$15-1,1,1)),IF($E33&lt;&gt;1,IF(ISNUMBER(INDEX(Import.PLE,Detalhamento!$E33,Detalhamento!AK$15)),IF(INDEX(Import.PLE,Detalhamento!$E33,Detalhamento!AK$15)&lt;=mediçao,0,OFFSET(Import.PLQ,$A33-1,AK$15-1,1,1)),OFFSET(Import.PLQ,$A33-1,AK$15-1,1,1)),(1-PLE!$AA$28)*OFFSET(Import.PLQ,$A33-1,AK$15-1,1,1))))</f>
        <v>0</v>
      </c>
      <c r="AL33" s="145">
        <f ca="1">IF(AL$13="",0,CHOOSE(Detalhamento.OpçãoServiços,OFFSET(Import.PLQ,$A33-1,AL$15-1,1,1),IF($E33&lt;&gt;1,IF(ISNUMBER(INDEX(Import.PLE,Detalhamento!$E33,Detalhamento!AL$15)),IF(INDEX(Import.PLE,Detalhamento!$E33,Detalhamento!AL$15)&lt;=mediçao,OFFSET(Import.PLQ,$A33-1,AL$15-1,1,1),0),0),PLE!$AA$28*OFFSET(Import.PLQ,$A33-1,AL$15-1,1,1)),IF($E33&lt;&gt;1,IF(ISNUMBER(INDEX(Import.PLE,Detalhamento!$E33,Detalhamento!AL$15)),IF(INDEX(Import.PLE,Detalhamento!$E33,Detalhamento!AL$15)&lt;=mediçao,0,OFFSET(Import.PLQ,$A33-1,AL$15-1,1,1)),OFFSET(Import.PLQ,$A33-1,AL$15-1,1,1)),(1-PLE!$AA$28)*OFFSET(Import.PLQ,$A33-1,AL$15-1,1,1))))</f>
        <v>0</v>
      </c>
      <c r="AM33" s="145">
        <f ca="1">IF(AM$13="",0,CHOOSE(Detalhamento.OpçãoServiços,OFFSET(Import.PLQ,$A33-1,AM$15-1,1,1),IF($E33&lt;&gt;1,IF(ISNUMBER(INDEX(Import.PLE,Detalhamento!$E33,Detalhamento!AM$15)),IF(INDEX(Import.PLE,Detalhamento!$E33,Detalhamento!AM$15)&lt;=mediçao,OFFSET(Import.PLQ,$A33-1,AM$15-1,1,1),0),0),PLE!$AA$28*OFFSET(Import.PLQ,$A33-1,AM$15-1,1,1)),IF($E33&lt;&gt;1,IF(ISNUMBER(INDEX(Import.PLE,Detalhamento!$E33,Detalhamento!AM$15)),IF(INDEX(Import.PLE,Detalhamento!$E33,Detalhamento!AM$15)&lt;=mediçao,0,OFFSET(Import.PLQ,$A33-1,AM$15-1,1,1)),OFFSET(Import.PLQ,$A33-1,AM$15-1,1,1)),(1-PLE!$AA$28)*OFFSET(Import.PLQ,$A33-1,AM$15-1,1,1))))</f>
        <v>0</v>
      </c>
      <c r="AN33" s="145">
        <f ca="1">IF(AN$13="",0,CHOOSE(Detalhamento.OpçãoServiços,OFFSET(Import.PLQ,$A33-1,AN$15-1,1,1),IF($E33&lt;&gt;1,IF(ISNUMBER(INDEX(Import.PLE,Detalhamento!$E33,Detalhamento!AN$15)),IF(INDEX(Import.PLE,Detalhamento!$E33,Detalhamento!AN$15)&lt;=mediçao,OFFSET(Import.PLQ,$A33-1,AN$15-1,1,1),0),0),PLE!$AA$28*OFFSET(Import.PLQ,$A33-1,AN$15-1,1,1)),IF($E33&lt;&gt;1,IF(ISNUMBER(INDEX(Import.PLE,Detalhamento!$E33,Detalhamento!AN$15)),IF(INDEX(Import.PLE,Detalhamento!$E33,Detalhamento!AN$15)&lt;=mediçao,0,OFFSET(Import.PLQ,$A33-1,AN$15-1,1,1)),OFFSET(Import.PLQ,$A33-1,AN$15-1,1,1)),(1-PLE!$AA$28)*OFFSET(Import.PLQ,$A33-1,AN$15-1,1,1))))</f>
        <v>0</v>
      </c>
      <c r="AO33" s="145">
        <f ca="1">IF(AO$13="",0,CHOOSE(Detalhamento.OpçãoServiços,OFFSET(Import.PLQ,$A33-1,AO$15-1,1,1),IF($E33&lt;&gt;1,IF(ISNUMBER(INDEX(Import.PLE,Detalhamento!$E33,Detalhamento!AO$15)),IF(INDEX(Import.PLE,Detalhamento!$E33,Detalhamento!AO$15)&lt;=mediçao,OFFSET(Import.PLQ,$A33-1,AO$15-1,1,1),0),0),PLE!$AA$28*OFFSET(Import.PLQ,$A33-1,AO$15-1,1,1)),IF($E33&lt;&gt;1,IF(ISNUMBER(INDEX(Import.PLE,Detalhamento!$E33,Detalhamento!AO$15)),IF(INDEX(Import.PLE,Detalhamento!$E33,Detalhamento!AO$15)&lt;=mediçao,0,OFFSET(Import.PLQ,$A33-1,AO$15-1,1,1)),OFFSET(Import.PLQ,$A33-1,AO$15-1,1,1)),(1-PLE!$AA$28)*OFFSET(Import.PLQ,$A33-1,AO$15-1,1,1))))</f>
        <v>0</v>
      </c>
      <c r="AP33" s="145">
        <f ca="1">IF(AP$13="",0,CHOOSE(Detalhamento.OpçãoServiços,OFFSET(Import.PLQ,$A33-1,AP$15-1,1,1),IF($E33&lt;&gt;1,IF(ISNUMBER(INDEX(Import.PLE,Detalhamento!$E33,Detalhamento!AP$15)),IF(INDEX(Import.PLE,Detalhamento!$E33,Detalhamento!AP$15)&lt;=mediçao,OFFSET(Import.PLQ,$A33-1,AP$15-1,1,1),0),0),PLE!$AA$28*OFFSET(Import.PLQ,$A33-1,AP$15-1,1,1)),IF($E33&lt;&gt;1,IF(ISNUMBER(INDEX(Import.PLE,Detalhamento!$E33,Detalhamento!AP$15)),IF(INDEX(Import.PLE,Detalhamento!$E33,Detalhamento!AP$15)&lt;=mediçao,0,OFFSET(Import.PLQ,$A33-1,AP$15-1,1,1)),OFFSET(Import.PLQ,$A33-1,AP$15-1,1,1)),(1-PLE!$AA$28)*OFFSET(Import.PLQ,$A33-1,AP$15-1,1,1))))</f>
        <v>0</v>
      </c>
      <c r="AQ33" s="145">
        <f ca="1">IF(AQ$13="",0,CHOOSE(Detalhamento.OpçãoServiços,OFFSET(Import.PLQ,$A33-1,AQ$15-1,1,1),IF($E33&lt;&gt;1,IF(ISNUMBER(INDEX(Import.PLE,Detalhamento!$E33,Detalhamento!AQ$15)),IF(INDEX(Import.PLE,Detalhamento!$E33,Detalhamento!AQ$15)&lt;=mediçao,OFFSET(Import.PLQ,$A33-1,AQ$15-1,1,1),0),0),PLE!$AA$28*OFFSET(Import.PLQ,$A33-1,AQ$15-1,1,1)),IF($E33&lt;&gt;1,IF(ISNUMBER(INDEX(Import.PLE,Detalhamento!$E33,Detalhamento!AQ$15)),IF(INDEX(Import.PLE,Detalhamento!$E33,Detalhamento!AQ$15)&lt;=mediçao,0,OFFSET(Import.PLQ,$A33-1,AQ$15-1,1,1)),OFFSET(Import.PLQ,$A33-1,AQ$15-1,1,1)),(1-PLE!$AA$28)*OFFSET(Import.PLQ,$A33-1,AQ$15-1,1,1))))</f>
        <v>0</v>
      </c>
      <c r="AR33" s="145">
        <f ca="1">IF(AR$13="",0,CHOOSE(Detalhamento.OpçãoServiços,OFFSET(Import.PLQ,$A33-1,AR$15-1,1,1),IF($E33&lt;&gt;1,IF(ISNUMBER(INDEX(Import.PLE,Detalhamento!$E33,Detalhamento!AR$15)),IF(INDEX(Import.PLE,Detalhamento!$E33,Detalhamento!AR$15)&lt;=mediçao,OFFSET(Import.PLQ,$A33-1,AR$15-1,1,1),0),0),PLE!$AA$28*OFFSET(Import.PLQ,$A33-1,AR$15-1,1,1)),IF($E33&lt;&gt;1,IF(ISNUMBER(INDEX(Import.PLE,Detalhamento!$E33,Detalhamento!AR$15)),IF(INDEX(Import.PLE,Detalhamento!$E33,Detalhamento!AR$15)&lt;=mediçao,0,OFFSET(Import.PLQ,$A33-1,AR$15-1,1,1)),OFFSET(Import.PLQ,$A33-1,AR$15-1,1,1)),(1-PLE!$AA$28)*OFFSET(Import.PLQ,$A33-1,AR$15-1,1,1))))</f>
        <v>0</v>
      </c>
      <c r="AS33" s="145">
        <f ca="1">IF(AS$13="",0,CHOOSE(Detalhamento.OpçãoServiços,OFFSET(Import.PLQ,$A33-1,AS$15-1,1,1),IF($E33&lt;&gt;1,IF(ISNUMBER(INDEX(Import.PLE,Detalhamento!$E33,Detalhamento!AS$15)),IF(INDEX(Import.PLE,Detalhamento!$E33,Detalhamento!AS$15)&lt;=mediçao,OFFSET(Import.PLQ,$A33-1,AS$15-1,1,1),0),0),PLE!$AA$28*OFFSET(Import.PLQ,$A33-1,AS$15-1,1,1)),IF($E33&lt;&gt;1,IF(ISNUMBER(INDEX(Import.PLE,Detalhamento!$E33,Detalhamento!AS$15)),IF(INDEX(Import.PLE,Detalhamento!$E33,Detalhamento!AS$15)&lt;=mediçao,0,OFFSET(Import.PLQ,$A33-1,AS$15-1,1,1)),OFFSET(Import.PLQ,$A33-1,AS$15-1,1,1)),(1-PLE!$AA$28)*OFFSET(Import.PLQ,$A33-1,AS$15-1,1,1))))</f>
        <v>0</v>
      </c>
      <c r="AT33" s="145">
        <f ca="1">IF(AT$13="",0,CHOOSE(Detalhamento.OpçãoServiços,OFFSET(Import.PLQ,$A33-1,AT$15-1,1,1),IF($E33&lt;&gt;1,IF(ISNUMBER(INDEX(Import.PLE,Detalhamento!$E33,Detalhamento!AT$15)),IF(INDEX(Import.PLE,Detalhamento!$E33,Detalhamento!AT$15)&lt;=mediçao,OFFSET(Import.PLQ,$A33-1,AT$15-1,1,1),0),0),PLE!$AA$28*OFFSET(Import.PLQ,$A33-1,AT$15-1,1,1)),IF($E33&lt;&gt;1,IF(ISNUMBER(INDEX(Import.PLE,Detalhamento!$E33,Detalhamento!AT$15)),IF(INDEX(Import.PLE,Detalhamento!$E33,Detalhamento!AT$15)&lt;=mediçao,0,OFFSET(Import.PLQ,$A33-1,AT$15-1,1,1)),OFFSET(Import.PLQ,$A33-1,AT$15-1,1,1)),(1-PLE!$AA$28)*OFFSET(Import.PLQ,$A33-1,AT$15-1,1,1))))</f>
        <v>0</v>
      </c>
      <c r="AU33" s="145">
        <f ca="1">IF(AU$13="",0,CHOOSE(Detalhamento.OpçãoServiços,OFFSET(Import.PLQ,$A33-1,AU$15-1,1,1),IF($E33&lt;&gt;1,IF(ISNUMBER(INDEX(Import.PLE,Detalhamento!$E33,Detalhamento!AU$15)),IF(INDEX(Import.PLE,Detalhamento!$E33,Detalhamento!AU$15)&lt;=mediçao,OFFSET(Import.PLQ,$A33-1,AU$15-1,1,1),0),0),PLE!$AA$28*OFFSET(Import.PLQ,$A33-1,AU$15-1,1,1)),IF($E33&lt;&gt;1,IF(ISNUMBER(INDEX(Import.PLE,Detalhamento!$E33,Detalhamento!AU$15)),IF(INDEX(Import.PLE,Detalhamento!$E33,Detalhamento!AU$15)&lt;=mediçao,0,OFFSET(Import.PLQ,$A33-1,AU$15-1,1,1)),OFFSET(Import.PLQ,$A33-1,AU$15-1,1,1)),(1-PLE!$AA$28)*OFFSET(Import.PLQ,$A33-1,AU$15-1,1,1))))</f>
        <v>0</v>
      </c>
      <c r="AV33" s="145">
        <f ca="1">IF(AV$13="",0,CHOOSE(Detalhamento.OpçãoServiços,OFFSET(Import.PLQ,$A33-1,AV$15-1,1,1),IF($E33&lt;&gt;1,IF(ISNUMBER(INDEX(Import.PLE,Detalhamento!$E33,Detalhamento!AV$15)),IF(INDEX(Import.PLE,Detalhamento!$E33,Detalhamento!AV$15)&lt;=mediçao,OFFSET(Import.PLQ,$A33-1,AV$15-1,1,1),0),0),PLE!$AA$28*OFFSET(Import.PLQ,$A33-1,AV$15-1,1,1)),IF($E33&lt;&gt;1,IF(ISNUMBER(INDEX(Import.PLE,Detalhamento!$E33,Detalhamento!AV$15)),IF(INDEX(Import.PLE,Detalhamento!$E33,Detalhamento!AV$15)&lt;=mediçao,0,OFFSET(Import.PLQ,$A33-1,AV$15-1,1,1)),OFFSET(Import.PLQ,$A33-1,AV$15-1,1,1)),(1-PLE!$AA$28)*OFFSET(Import.PLQ,$A33-1,AV$15-1,1,1))))</f>
        <v>0</v>
      </c>
      <c r="AW33" s="145">
        <f ca="1">IF(AW$13="",0,CHOOSE(Detalhamento.OpçãoServiços,OFFSET(Import.PLQ,$A33-1,AW$15-1,1,1),IF($E33&lt;&gt;1,IF(ISNUMBER(INDEX(Import.PLE,Detalhamento!$E33,Detalhamento!AW$15)),IF(INDEX(Import.PLE,Detalhamento!$E33,Detalhamento!AW$15)&lt;=mediçao,OFFSET(Import.PLQ,$A33-1,AW$15-1,1,1),0),0),PLE!$AA$28*OFFSET(Import.PLQ,$A33-1,AW$15-1,1,1)),IF($E33&lt;&gt;1,IF(ISNUMBER(INDEX(Import.PLE,Detalhamento!$E33,Detalhamento!AW$15)),IF(INDEX(Import.PLE,Detalhamento!$E33,Detalhamento!AW$15)&lt;=mediçao,0,OFFSET(Import.PLQ,$A33-1,AW$15-1,1,1)),OFFSET(Import.PLQ,$A33-1,AW$15-1,1,1)),(1-PLE!$AA$28)*OFFSET(Import.PLQ,$A33-1,AW$15-1,1,1))))</f>
        <v>0</v>
      </c>
      <c r="AX33" s="145">
        <f ca="1">IF(AX$13="",0,CHOOSE(Detalhamento.OpçãoServiços,OFFSET(Import.PLQ,$A33-1,AX$15-1,1,1),IF($E33&lt;&gt;1,IF(ISNUMBER(INDEX(Import.PLE,Detalhamento!$E33,Detalhamento!AX$15)),IF(INDEX(Import.PLE,Detalhamento!$E33,Detalhamento!AX$15)&lt;=mediçao,OFFSET(Import.PLQ,$A33-1,AX$15-1,1,1),0),0),PLE!$AA$28*OFFSET(Import.PLQ,$A33-1,AX$15-1,1,1)),IF($E33&lt;&gt;1,IF(ISNUMBER(INDEX(Import.PLE,Detalhamento!$E33,Detalhamento!AX$15)),IF(INDEX(Import.PLE,Detalhamento!$E33,Detalhamento!AX$15)&lt;=mediçao,0,OFFSET(Import.PLQ,$A33-1,AX$15-1,1,1)),OFFSET(Import.PLQ,$A33-1,AX$15-1,1,1)),(1-PLE!$AA$28)*OFFSET(Import.PLQ,$A33-1,AX$15-1,1,1))))</f>
        <v>0</v>
      </c>
      <c r="AY33" s="145">
        <f ca="1">IF(AY$13="",0,CHOOSE(Detalhamento.OpçãoServiços,OFFSET(Import.PLQ,$A33-1,AY$15-1,1,1),IF($E33&lt;&gt;1,IF(ISNUMBER(INDEX(Import.PLE,Detalhamento!$E33,Detalhamento!AY$15)),IF(INDEX(Import.PLE,Detalhamento!$E33,Detalhamento!AY$15)&lt;=mediçao,OFFSET(Import.PLQ,$A33-1,AY$15-1,1,1),0),0),PLE!$AA$28*OFFSET(Import.PLQ,$A33-1,AY$15-1,1,1)),IF($E33&lt;&gt;1,IF(ISNUMBER(INDEX(Import.PLE,Detalhamento!$E33,Detalhamento!AY$15)),IF(INDEX(Import.PLE,Detalhamento!$E33,Detalhamento!AY$15)&lt;=mediçao,0,OFFSET(Import.PLQ,$A33-1,AY$15-1,1,1)),OFFSET(Import.PLQ,$A33-1,AY$15-1,1,1)),(1-PLE!$AA$28)*OFFSET(Import.PLQ,$A33-1,AY$15-1,1,1))))</f>
        <v>0</v>
      </c>
      <c r="AZ33" s="145">
        <f ca="1">IF(AZ$13="",0,CHOOSE(Detalhamento.OpçãoServiços,OFFSET(Import.PLQ,$A33-1,AZ$15-1,1,1),IF($E33&lt;&gt;1,IF(ISNUMBER(INDEX(Import.PLE,Detalhamento!$E33,Detalhamento!AZ$15)),IF(INDEX(Import.PLE,Detalhamento!$E33,Detalhamento!AZ$15)&lt;=mediçao,OFFSET(Import.PLQ,$A33-1,AZ$15-1,1,1),0),0),PLE!$AA$28*OFFSET(Import.PLQ,$A33-1,AZ$15-1,1,1)),IF($E33&lt;&gt;1,IF(ISNUMBER(INDEX(Import.PLE,Detalhamento!$E33,Detalhamento!AZ$15)),IF(INDEX(Import.PLE,Detalhamento!$E33,Detalhamento!AZ$15)&lt;=mediçao,0,OFFSET(Import.PLQ,$A33-1,AZ$15-1,1,1)),OFFSET(Import.PLQ,$A33-1,AZ$15-1,1,1)),(1-PLE!$AA$28)*OFFSET(Import.PLQ,$A33-1,AZ$15-1,1,1))))</f>
        <v>0</v>
      </c>
      <c r="BA33" s="145">
        <f ca="1">IF(BA$13="",0,CHOOSE(Detalhamento.OpçãoServiços,OFFSET(Import.PLQ,$A33-1,BA$15-1,1,1),IF($E33&lt;&gt;1,IF(ISNUMBER(INDEX(Import.PLE,Detalhamento!$E33,Detalhamento!BA$15)),IF(INDEX(Import.PLE,Detalhamento!$E33,Detalhamento!BA$15)&lt;=mediçao,OFFSET(Import.PLQ,$A33-1,BA$15-1,1,1),0),0),PLE!$AA$28*OFFSET(Import.PLQ,$A33-1,BA$15-1,1,1)),IF($E33&lt;&gt;1,IF(ISNUMBER(INDEX(Import.PLE,Detalhamento!$E33,Detalhamento!BA$15)),IF(INDEX(Import.PLE,Detalhamento!$E33,Detalhamento!BA$15)&lt;=mediçao,0,OFFSET(Import.PLQ,$A33-1,BA$15-1,1,1)),OFFSET(Import.PLQ,$A33-1,BA$15-1,1,1)),(1-PLE!$AA$28)*OFFSET(Import.PLQ,$A33-1,BA$15-1,1,1))))</f>
        <v>0</v>
      </c>
      <c r="BB33" s="145">
        <f ca="1">IF(BB$13="",0,CHOOSE(Detalhamento.OpçãoServiços,OFFSET(Import.PLQ,$A33-1,BB$15-1,1,1),IF($E33&lt;&gt;1,IF(ISNUMBER(INDEX(Import.PLE,Detalhamento!$E33,Detalhamento!BB$15)),IF(INDEX(Import.PLE,Detalhamento!$E33,Detalhamento!BB$15)&lt;=mediçao,OFFSET(Import.PLQ,$A33-1,BB$15-1,1,1),0),0),PLE!$AA$28*OFFSET(Import.PLQ,$A33-1,BB$15-1,1,1)),IF($E33&lt;&gt;1,IF(ISNUMBER(INDEX(Import.PLE,Detalhamento!$E33,Detalhamento!BB$15)),IF(INDEX(Import.PLE,Detalhamento!$E33,Detalhamento!BB$15)&lt;=mediçao,0,OFFSET(Import.PLQ,$A33-1,BB$15-1,1,1)),OFFSET(Import.PLQ,$A33-1,BB$15-1,1,1)),(1-PLE!$AA$28)*OFFSET(Import.PLQ,$A33-1,BB$15-1,1,1))))</f>
        <v>0</v>
      </c>
      <c r="BC33" s="145">
        <f ca="1">IF(BC$13="",0,CHOOSE(Detalhamento.OpçãoServiços,OFFSET(Import.PLQ,$A33-1,BC$15-1,1,1),IF($E33&lt;&gt;1,IF(ISNUMBER(INDEX(Import.PLE,Detalhamento!$E33,Detalhamento!BC$15)),IF(INDEX(Import.PLE,Detalhamento!$E33,Detalhamento!BC$15)&lt;=mediçao,OFFSET(Import.PLQ,$A33-1,BC$15-1,1,1),0),0),PLE!$AA$28*OFFSET(Import.PLQ,$A33-1,BC$15-1,1,1)),IF($E33&lt;&gt;1,IF(ISNUMBER(INDEX(Import.PLE,Detalhamento!$E33,Detalhamento!BC$15)),IF(INDEX(Import.PLE,Detalhamento!$E33,Detalhamento!BC$15)&lt;=mediçao,0,OFFSET(Import.PLQ,$A33-1,BC$15-1,1,1)),OFFSET(Import.PLQ,$A33-1,BC$15-1,1,1)),(1-PLE!$AA$28)*OFFSET(Import.PLQ,$A33-1,BC$15-1,1,1))))</f>
        <v>0</v>
      </c>
      <c r="BD33" s="145">
        <f ca="1">IF(BD$13="",0,CHOOSE(Detalhamento.OpçãoServiços,OFFSET(Import.PLQ,$A33-1,BD$15-1,1,1),IF($E33&lt;&gt;1,IF(ISNUMBER(INDEX(Import.PLE,Detalhamento!$E33,Detalhamento!BD$15)),IF(INDEX(Import.PLE,Detalhamento!$E33,Detalhamento!BD$15)&lt;=mediçao,OFFSET(Import.PLQ,$A33-1,BD$15-1,1,1),0),0),PLE!$AA$28*OFFSET(Import.PLQ,$A33-1,BD$15-1,1,1)),IF($E33&lt;&gt;1,IF(ISNUMBER(INDEX(Import.PLE,Detalhamento!$E33,Detalhamento!BD$15)),IF(INDEX(Import.PLE,Detalhamento!$E33,Detalhamento!BD$15)&lt;=mediçao,0,OFFSET(Import.PLQ,$A33-1,BD$15-1,1,1)),OFFSET(Import.PLQ,$A33-1,BD$15-1,1,1)),(1-PLE!$AA$28)*OFFSET(Import.PLQ,$A33-1,BD$15-1,1,1))))</f>
        <v>0</v>
      </c>
      <c r="BE33" s="145">
        <f ca="1">IF(BE$13="",0,CHOOSE(Detalhamento.OpçãoServiços,OFFSET(Import.PLQ,$A33-1,BE$15-1,1,1),IF($E33&lt;&gt;1,IF(ISNUMBER(INDEX(Import.PLE,Detalhamento!$E33,Detalhamento!BE$15)),IF(INDEX(Import.PLE,Detalhamento!$E33,Detalhamento!BE$15)&lt;=mediçao,OFFSET(Import.PLQ,$A33-1,BE$15-1,1,1),0),0),PLE!$AA$28*OFFSET(Import.PLQ,$A33-1,BE$15-1,1,1)),IF($E33&lt;&gt;1,IF(ISNUMBER(INDEX(Import.PLE,Detalhamento!$E33,Detalhamento!BE$15)),IF(INDEX(Import.PLE,Detalhamento!$E33,Detalhamento!BE$15)&lt;=mediçao,0,OFFSET(Import.PLQ,$A33-1,BE$15-1,1,1)),OFFSET(Import.PLQ,$A33-1,BE$15-1,1,1)),(1-PLE!$AA$28)*OFFSET(Import.PLQ,$A33-1,BE$15-1,1,1))))</f>
        <v>0</v>
      </c>
      <c r="BF33" s="145">
        <f ca="1">IF(BF$13="",0,CHOOSE(Detalhamento.OpçãoServiços,OFFSET(Import.PLQ,$A33-1,BF$15-1,1,1),IF($E33&lt;&gt;1,IF(ISNUMBER(INDEX(Import.PLE,Detalhamento!$E33,Detalhamento!BF$15)),IF(INDEX(Import.PLE,Detalhamento!$E33,Detalhamento!BF$15)&lt;=mediçao,OFFSET(Import.PLQ,$A33-1,BF$15-1,1,1),0),0),PLE!$AA$28*OFFSET(Import.PLQ,$A33-1,BF$15-1,1,1)),IF($E33&lt;&gt;1,IF(ISNUMBER(INDEX(Import.PLE,Detalhamento!$E33,Detalhamento!BF$15)),IF(INDEX(Import.PLE,Detalhamento!$E33,Detalhamento!BF$15)&lt;=mediçao,0,OFFSET(Import.PLQ,$A33-1,BF$15-1,1,1)),OFFSET(Import.PLQ,$A33-1,BF$15-1,1,1)),(1-PLE!$AA$28)*OFFSET(Import.PLQ,$A33-1,BF$15-1,1,1))))</f>
        <v>0</v>
      </c>
      <c r="BG33" s="145">
        <f ca="1">IF(BG$13="",0,CHOOSE(Detalhamento.OpçãoServiços,OFFSET(Import.PLQ,$A33-1,BG$15-1,1,1),IF($E33&lt;&gt;1,IF(ISNUMBER(INDEX(Import.PLE,Detalhamento!$E33,Detalhamento!BG$15)),IF(INDEX(Import.PLE,Detalhamento!$E33,Detalhamento!BG$15)&lt;=mediçao,OFFSET(Import.PLQ,$A33-1,BG$15-1,1,1),0),0),PLE!$AA$28*OFFSET(Import.PLQ,$A33-1,BG$15-1,1,1)),IF($E33&lt;&gt;1,IF(ISNUMBER(INDEX(Import.PLE,Detalhamento!$E33,Detalhamento!BG$15)),IF(INDEX(Import.PLE,Detalhamento!$E33,Detalhamento!BG$15)&lt;=mediçao,0,OFFSET(Import.PLQ,$A33-1,BG$15-1,1,1)),OFFSET(Import.PLQ,$A33-1,BG$15-1,1,1)),(1-PLE!$AA$28)*OFFSET(Import.PLQ,$A33-1,BG$15-1,1,1))))</f>
        <v>0</v>
      </c>
      <c r="BH33" s="145">
        <f ca="1">IF(BH$13="",0,CHOOSE(Detalhamento.OpçãoServiços,OFFSET(Import.PLQ,$A33-1,BH$15-1,1,1),IF($E33&lt;&gt;1,IF(ISNUMBER(INDEX(Import.PLE,Detalhamento!$E33,Detalhamento!BH$15)),IF(INDEX(Import.PLE,Detalhamento!$E33,Detalhamento!BH$15)&lt;=mediçao,OFFSET(Import.PLQ,$A33-1,BH$15-1,1,1),0),0),PLE!$AA$28*OFFSET(Import.PLQ,$A33-1,BH$15-1,1,1)),IF($E33&lt;&gt;1,IF(ISNUMBER(INDEX(Import.PLE,Detalhamento!$E33,Detalhamento!BH$15)),IF(INDEX(Import.PLE,Detalhamento!$E33,Detalhamento!BH$15)&lt;=mediçao,0,OFFSET(Import.PLQ,$A33-1,BH$15-1,1,1)),OFFSET(Import.PLQ,$A33-1,BH$15-1,1,1)),(1-PLE!$AA$28)*OFFSET(Import.PLQ,$A33-1,BH$15-1,1,1))))</f>
        <v>0</v>
      </c>
      <c r="BI33" s="145">
        <f ca="1">IF(BI$13="",0,CHOOSE(Detalhamento.OpçãoServiços,OFFSET(Import.PLQ,$A33-1,BI$15-1,1,1),IF($E33&lt;&gt;1,IF(ISNUMBER(INDEX(Import.PLE,Detalhamento!$E33,Detalhamento!BI$15)),IF(INDEX(Import.PLE,Detalhamento!$E33,Detalhamento!BI$15)&lt;=mediçao,OFFSET(Import.PLQ,$A33-1,BI$15-1,1,1),0),0),PLE!$AA$28*OFFSET(Import.PLQ,$A33-1,BI$15-1,1,1)),IF($E33&lt;&gt;1,IF(ISNUMBER(INDEX(Import.PLE,Detalhamento!$E33,Detalhamento!BI$15)),IF(INDEX(Import.PLE,Detalhamento!$E33,Detalhamento!BI$15)&lt;=mediçao,0,OFFSET(Import.PLQ,$A33-1,BI$15-1,1,1)),OFFSET(Import.PLQ,$A33-1,BI$15-1,1,1)),(1-PLE!$AA$28)*OFFSET(Import.PLQ,$A33-1,BI$15-1,1,1))))</f>
        <v>0</v>
      </c>
    </row>
    <row r="34" spans="1:61" x14ac:dyDescent="0.2">
      <c r="A34" s="156">
        <v>15</v>
      </c>
      <c r="B34" s="21" t="str">
        <f t="shared" ca="1" si="8"/>
        <v>Serviço</v>
      </c>
      <c r="E34" s="154">
        <f t="shared" ca="1" si="9"/>
        <v>3</v>
      </c>
      <c r="F34" s="155">
        <f t="shared" ca="1" si="10"/>
        <v>30015</v>
      </c>
      <c r="G34" s="155" t="str">
        <f t="shared" ca="1" si="11"/>
        <v>4.4</v>
      </c>
      <c r="H34" s="183" t="str">
        <f t="shared" ca="1" si="11"/>
        <v>Piso tátil em rampas e calçadas para acessibilidade (rota acessível)</v>
      </c>
      <c r="I34" s="37" t="str">
        <f t="shared" ca="1" si="12"/>
        <v>m²</v>
      </c>
      <c r="J34" s="145">
        <f t="shared" ca="1" si="13"/>
        <v>307.65000000000003</v>
      </c>
      <c r="K34" s="67"/>
      <c r="L34" s="145">
        <f ca="1">IF(L$13="",0,CHOOSE(Detalhamento.OpçãoServiços,OFFSET(Import.PLQ,$A34-1,L$15-1,1,1),IF($E34&lt;&gt;1,IF(ISNUMBER(INDEX(Import.PLE,Detalhamento!$E34,Detalhamento!L$15)),IF(INDEX(Import.PLE,Detalhamento!$E34,Detalhamento!L$15)&lt;=mediçao,OFFSET(Import.PLQ,$A34-1,L$15-1,1,1),0),0),PLE!$AA$28*OFFSET(Import.PLQ,$A34-1,L$15-1,1,1)),IF($E34&lt;&gt;1,IF(ISNUMBER(INDEX(Import.PLE,Detalhamento!$E34,Detalhamento!L$15)),IF(INDEX(Import.PLE,Detalhamento!$E34,Detalhamento!L$15)&lt;=mediçao,0,OFFSET(Import.PLQ,$A34-1,L$15-1,1,1)),OFFSET(Import.PLQ,$A34-1,L$15-1,1,1)),(1-PLE!$AA$28)*OFFSET(Import.PLQ,$A34-1,L$15-1,1,1))))</f>
        <v>54.67</v>
      </c>
      <c r="M34" s="145">
        <f ca="1">IF(M$13="",0,CHOOSE(Detalhamento.OpçãoServiços,OFFSET(Import.PLQ,$A34-1,M$15-1,1,1),IF($E34&lt;&gt;1,IF(ISNUMBER(INDEX(Import.PLE,Detalhamento!$E34,Detalhamento!M$15)),IF(INDEX(Import.PLE,Detalhamento!$E34,Detalhamento!M$15)&lt;=mediçao,OFFSET(Import.PLQ,$A34-1,M$15-1,1,1),0),0),PLE!$AA$28*OFFSET(Import.PLQ,$A34-1,M$15-1,1,1)),IF($E34&lt;&gt;1,IF(ISNUMBER(INDEX(Import.PLE,Detalhamento!$E34,Detalhamento!M$15)),IF(INDEX(Import.PLE,Detalhamento!$E34,Detalhamento!M$15)&lt;=mediçao,0,OFFSET(Import.PLQ,$A34-1,M$15-1,1,1)),OFFSET(Import.PLQ,$A34-1,M$15-1,1,1)),(1-PLE!$AA$28)*OFFSET(Import.PLQ,$A34-1,M$15-1,1,1))))</f>
        <v>27.88</v>
      </c>
      <c r="N34" s="145">
        <f ca="1">IF(N$13="",0,CHOOSE(Detalhamento.OpçãoServiços,OFFSET(Import.PLQ,$A34-1,N$15-1,1,1),IF($E34&lt;&gt;1,IF(ISNUMBER(INDEX(Import.PLE,Detalhamento!$E34,Detalhamento!N$15)),IF(INDEX(Import.PLE,Detalhamento!$E34,Detalhamento!N$15)&lt;=mediçao,OFFSET(Import.PLQ,$A34-1,N$15-1,1,1),0),0),PLE!$AA$28*OFFSET(Import.PLQ,$A34-1,N$15-1,1,1)),IF($E34&lt;&gt;1,IF(ISNUMBER(INDEX(Import.PLE,Detalhamento!$E34,Detalhamento!N$15)),IF(INDEX(Import.PLE,Detalhamento!$E34,Detalhamento!N$15)&lt;=mediçao,0,OFFSET(Import.PLQ,$A34-1,N$15-1,1,1)),OFFSET(Import.PLQ,$A34-1,N$15-1,1,1)),(1-PLE!$AA$28)*OFFSET(Import.PLQ,$A34-1,N$15-1,1,1))))</f>
        <v>38.130000000000003</v>
      </c>
      <c r="O34" s="145">
        <f ca="1">IF(O$13="",0,CHOOSE(Detalhamento.OpçãoServiços,OFFSET(Import.PLQ,$A34-1,O$15-1,1,1),IF($E34&lt;&gt;1,IF(ISNUMBER(INDEX(Import.PLE,Detalhamento!$E34,Detalhamento!O$15)),IF(INDEX(Import.PLE,Detalhamento!$E34,Detalhamento!O$15)&lt;=mediçao,OFFSET(Import.PLQ,$A34-1,O$15-1,1,1),0),0),PLE!$AA$28*OFFSET(Import.PLQ,$A34-1,O$15-1,1,1)),IF($E34&lt;&gt;1,IF(ISNUMBER(INDEX(Import.PLE,Detalhamento!$E34,Detalhamento!O$15)),IF(INDEX(Import.PLE,Detalhamento!$E34,Detalhamento!O$15)&lt;=mediçao,0,OFFSET(Import.PLQ,$A34-1,O$15-1,1,1)),OFFSET(Import.PLQ,$A34-1,O$15-1,1,1)),(1-PLE!$AA$28)*OFFSET(Import.PLQ,$A34-1,O$15-1,1,1))))</f>
        <v>62.42</v>
      </c>
      <c r="P34" s="145">
        <f ca="1">IF(P$13="",0,CHOOSE(Detalhamento.OpçãoServiços,OFFSET(Import.PLQ,$A34-1,P$15-1,1,1),IF($E34&lt;&gt;1,IF(ISNUMBER(INDEX(Import.PLE,Detalhamento!$E34,Detalhamento!P$15)),IF(INDEX(Import.PLE,Detalhamento!$E34,Detalhamento!P$15)&lt;=mediçao,OFFSET(Import.PLQ,$A34-1,P$15-1,1,1),0),0),PLE!$AA$28*OFFSET(Import.PLQ,$A34-1,P$15-1,1,1)),IF($E34&lt;&gt;1,IF(ISNUMBER(INDEX(Import.PLE,Detalhamento!$E34,Detalhamento!P$15)),IF(INDEX(Import.PLE,Detalhamento!$E34,Detalhamento!P$15)&lt;=mediçao,0,OFFSET(Import.PLQ,$A34-1,P$15-1,1,1)),OFFSET(Import.PLQ,$A34-1,P$15-1,1,1)),(1-PLE!$AA$28)*OFFSET(Import.PLQ,$A34-1,P$15-1,1,1))))</f>
        <v>24.61</v>
      </c>
      <c r="Q34" s="145">
        <f ca="1">IF(Q$13="",0,CHOOSE(Detalhamento.OpçãoServiços,OFFSET(Import.PLQ,$A34-1,Q$15-1,1,1),IF($E34&lt;&gt;1,IF(ISNUMBER(INDEX(Import.PLE,Detalhamento!$E34,Detalhamento!Q$15)),IF(INDEX(Import.PLE,Detalhamento!$E34,Detalhamento!Q$15)&lt;=mediçao,OFFSET(Import.PLQ,$A34-1,Q$15-1,1,1),0),0),PLE!$AA$28*OFFSET(Import.PLQ,$A34-1,Q$15-1,1,1)),IF($E34&lt;&gt;1,IF(ISNUMBER(INDEX(Import.PLE,Detalhamento!$E34,Detalhamento!Q$15)),IF(INDEX(Import.PLE,Detalhamento!$E34,Detalhamento!Q$15)&lt;=mediçao,0,OFFSET(Import.PLQ,$A34-1,Q$15-1,1,1)),OFFSET(Import.PLQ,$A34-1,Q$15-1,1,1)),(1-PLE!$AA$28)*OFFSET(Import.PLQ,$A34-1,Q$15-1,1,1))))</f>
        <v>45.87</v>
      </c>
      <c r="R34" s="145">
        <f ca="1">IF(R$13="",0,CHOOSE(Detalhamento.OpçãoServiços,OFFSET(Import.PLQ,$A34-1,R$15-1,1,1),IF($E34&lt;&gt;1,IF(ISNUMBER(INDEX(Import.PLE,Detalhamento!$E34,Detalhamento!R$15)),IF(INDEX(Import.PLE,Detalhamento!$E34,Detalhamento!R$15)&lt;=mediçao,OFFSET(Import.PLQ,$A34-1,R$15-1,1,1),0),0),PLE!$AA$28*OFFSET(Import.PLQ,$A34-1,R$15-1,1,1)),IF($E34&lt;&gt;1,IF(ISNUMBER(INDEX(Import.PLE,Detalhamento!$E34,Detalhamento!R$15)),IF(INDEX(Import.PLE,Detalhamento!$E34,Detalhamento!R$15)&lt;=mediçao,0,OFFSET(Import.PLQ,$A34-1,R$15-1,1,1)),OFFSET(Import.PLQ,$A34-1,R$15-1,1,1)),(1-PLE!$AA$28)*OFFSET(Import.PLQ,$A34-1,R$15-1,1,1))))</f>
        <v>30.77</v>
      </c>
      <c r="S34" s="145">
        <f ca="1">IF(S$13="",0,CHOOSE(Detalhamento.OpçãoServiços,OFFSET(Import.PLQ,$A34-1,S$15-1,1,1),IF($E34&lt;&gt;1,IF(ISNUMBER(INDEX(Import.PLE,Detalhamento!$E34,Detalhamento!S$15)),IF(INDEX(Import.PLE,Detalhamento!$E34,Detalhamento!S$15)&lt;=mediçao,OFFSET(Import.PLQ,$A34-1,S$15-1,1,1),0),0),PLE!$AA$28*OFFSET(Import.PLQ,$A34-1,S$15-1,1,1)),IF($E34&lt;&gt;1,IF(ISNUMBER(INDEX(Import.PLE,Detalhamento!$E34,Detalhamento!S$15)),IF(INDEX(Import.PLE,Detalhamento!$E34,Detalhamento!S$15)&lt;=mediçao,0,OFFSET(Import.PLQ,$A34-1,S$15-1,1,1)),OFFSET(Import.PLQ,$A34-1,S$15-1,1,1)),(1-PLE!$AA$28)*OFFSET(Import.PLQ,$A34-1,S$15-1,1,1))))</f>
        <v>23.3</v>
      </c>
      <c r="T34" s="145">
        <f ca="1">IF(T$13="",0,CHOOSE(Detalhamento.OpçãoServiços,OFFSET(Import.PLQ,$A34-1,T$15-1,1,1),IF($E34&lt;&gt;1,IF(ISNUMBER(INDEX(Import.PLE,Detalhamento!$E34,Detalhamento!T$15)),IF(INDEX(Import.PLE,Detalhamento!$E34,Detalhamento!T$15)&lt;=mediçao,OFFSET(Import.PLQ,$A34-1,T$15-1,1,1),0),0),PLE!$AA$28*OFFSET(Import.PLQ,$A34-1,T$15-1,1,1)),IF($E34&lt;&gt;1,IF(ISNUMBER(INDEX(Import.PLE,Detalhamento!$E34,Detalhamento!T$15)),IF(INDEX(Import.PLE,Detalhamento!$E34,Detalhamento!T$15)&lt;=mediçao,0,OFFSET(Import.PLQ,$A34-1,T$15-1,1,1)),OFFSET(Import.PLQ,$A34-1,T$15-1,1,1)),(1-PLE!$AA$28)*OFFSET(Import.PLQ,$A34-1,T$15-1,1,1))))</f>
        <v>0</v>
      </c>
      <c r="U34" s="145">
        <f ca="1">IF(U$13="",0,CHOOSE(Detalhamento.OpçãoServiços,OFFSET(Import.PLQ,$A34-1,U$15-1,1,1),IF($E34&lt;&gt;1,IF(ISNUMBER(INDEX(Import.PLE,Detalhamento!$E34,Detalhamento!U$15)),IF(INDEX(Import.PLE,Detalhamento!$E34,Detalhamento!U$15)&lt;=mediçao,OFFSET(Import.PLQ,$A34-1,U$15-1,1,1),0),0),PLE!$AA$28*OFFSET(Import.PLQ,$A34-1,U$15-1,1,1)),IF($E34&lt;&gt;1,IF(ISNUMBER(INDEX(Import.PLE,Detalhamento!$E34,Detalhamento!U$15)),IF(INDEX(Import.PLE,Detalhamento!$E34,Detalhamento!U$15)&lt;=mediçao,0,OFFSET(Import.PLQ,$A34-1,U$15-1,1,1)),OFFSET(Import.PLQ,$A34-1,U$15-1,1,1)),(1-PLE!$AA$28)*OFFSET(Import.PLQ,$A34-1,U$15-1,1,1))))</f>
        <v>0</v>
      </c>
      <c r="V34" s="145">
        <f ca="1">IF(V$13="",0,CHOOSE(Detalhamento.OpçãoServiços,OFFSET(Import.PLQ,$A34-1,V$15-1,1,1),IF($E34&lt;&gt;1,IF(ISNUMBER(INDEX(Import.PLE,Detalhamento!$E34,Detalhamento!V$15)),IF(INDEX(Import.PLE,Detalhamento!$E34,Detalhamento!V$15)&lt;=mediçao,OFFSET(Import.PLQ,$A34-1,V$15-1,1,1),0),0),PLE!$AA$28*OFFSET(Import.PLQ,$A34-1,V$15-1,1,1)),IF($E34&lt;&gt;1,IF(ISNUMBER(INDEX(Import.PLE,Detalhamento!$E34,Detalhamento!V$15)),IF(INDEX(Import.PLE,Detalhamento!$E34,Detalhamento!V$15)&lt;=mediçao,0,OFFSET(Import.PLQ,$A34-1,V$15-1,1,1)),OFFSET(Import.PLQ,$A34-1,V$15-1,1,1)),(1-PLE!$AA$28)*OFFSET(Import.PLQ,$A34-1,V$15-1,1,1))))</f>
        <v>0</v>
      </c>
      <c r="W34" s="145">
        <f ca="1">IF(W$13="",0,CHOOSE(Detalhamento.OpçãoServiços,OFFSET(Import.PLQ,$A34-1,W$15-1,1,1),IF($E34&lt;&gt;1,IF(ISNUMBER(INDEX(Import.PLE,Detalhamento!$E34,Detalhamento!W$15)),IF(INDEX(Import.PLE,Detalhamento!$E34,Detalhamento!W$15)&lt;=mediçao,OFFSET(Import.PLQ,$A34-1,W$15-1,1,1),0),0),PLE!$AA$28*OFFSET(Import.PLQ,$A34-1,W$15-1,1,1)),IF($E34&lt;&gt;1,IF(ISNUMBER(INDEX(Import.PLE,Detalhamento!$E34,Detalhamento!W$15)),IF(INDEX(Import.PLE,Detalhamento!$E34,Detalhamento!W$15)&lt;=mediçao,0,OFFSET(Import.PLQ,$A34-1,W$15-1,1,1)),OFFSET(Import.PLQ,$A34-1,W$15-1,1,1)),(1-PLE!$AA$28)*OFFSET(Import.PLQ,$A34-1,W$15-1,1,1))))</f>
        <v>0</v>
      </c>
      <c r="X34" s="145">
        <f ca="1">IF(X$13="",0,CHOOSE(Detalhamento.OpçãoServiços,OFFSET(Import.PLQ,$A34-1,X$15-1,1,1),IF($E34&lt;&gt;1,IF(ISNUMBER(INDEX(Import.PLE,Detalhamento!$E34,Detalhamento!X$15)),IF(INDEX(Import.PLE,Detalhamento!$E34,Detalhamento!X$15)&lt;=mediçao,OFFSET(Import.PLQ,$A34-1,X$15-1,1,1),0),0),PLE!$AA$28*OFFSET(Import.PLQ,$A34-1,X$15-1,1,1)),IF($E34&lt;&gt;1,IF(ISNUMBER(INDEX(Import.PLE,Detalhamento!$E34,Detalhamento!X$15)),IF(INDEX(Import.PLE,Detalhamento!$E34,Detalhamento!X$15)&lt;=mediçao,0,OFFSET(Import.PLQ,$A34-1,X$15-1,1,1)),OFFSET(Import.PLQ,$A34-1,X$15-1,1,1)),(1-PLE!$AA$28)*OFFSET(Import.PLQ,$A34-1,X$15-1,1,1))))</f>
        <v>0</v>
      </c>
      <c r="Y34" s="145">
        <f ca="1">IF(Y$13="",0,CHOOSE(Detalhamento.OpçãoServiços,OFFSET(Import.PLQ,$A34-1,Y$15-1,1,1),IF($E34&lt;&gt;1,IF(ISNUMBER(INDEX(Import.PLE,Detalhamento!$E34,Detalhamento!Y$15)),IF(INDEX(Import.PLE,Detalhamento!$E34,Detalhamento!Y$15)&lt;=mediçao,OFFSET(Import.PLQ,$A34-1,Y$15-1,1,1),0),0),PLE!$AA$28*OFFSET(Import.PLQ,$A34-1,Y$15-1,1,1)),IF($E34&lt;&gt;1,IF(ISNUMBER(INDEX(Import.PLE,Detalhamento!$E34,Detalhamento!Y$15)),IF(INDEX(Import.PLE,Detalhamento!$E34,Detalhamento!Y$15)&lt;=mediçao,0,OFFSET(Import.PLQ,$A34-1,Y$15-1,1,1)),OFFSET(Import.PLQ,$A34-1,Y$15-1,1,1)),(1-PLE!$AA$28)*OFFSET(Import.PLQ,$A34-1,Y$15-1,1,1))))</f>
        <v>0</v>
      </c>
      <c r="Z34" s="145">
        <f ca="1">IF(Z$13="",0,CHOOSE(Detalhamento.OpçãoServiços,OFFSET(Import.PLQ,$A34-1,Z$15-1,1,1),IF($E34&lt;&gt;1,IF(ISNUMBER(INDEX(Import.PLE,Detalhamento!$E34,Detalhamento!Z$15)),IF(INDEX(Import.PLE,Detalhamento!$E34,Detalhamento!Z$15)&lt;=mediçao,OFFSET(Import.PLQ,$A34-1,Z$15-1,1,1),0),0),PLE!$AA$28*OFFSET(Import.PLQ,$A34-1,Z$15-1,1,1)),IF($E34&lt;&gt;1,IF(ISNUMBER(INDEX(Import.PLE,Detalhamento!$E34,Detalhamento!Z$15)),IF(INDEX(Import.PLE,Detalhamento!$E34,Detalhamento!Z$15)&lt;=mediçao,0,OFFSET(Import.PLQ,$A34-1,Z$15-1,1,1)),OFFSET(Import.PLQ,$A34-1,Z$15-1,1,1)),(1-PLE!$AA$28)*OFFSET(Import.PLQ,$A34-1,Z$15-1,1,1))))</f>
        <v>0</v>
      </c>
      <c r="AA34" s="145">
        <f ca="1">IF(AA$13="",0,CHOOSE(Detalhamento.OpçãoServiços,OFFSET(Import.PLQ,$A34-1,AA$15-1,1,1),IF($E34&lt;&gt;1,IF(ISNUMBER(INDEX(Import.PLE,Detalhamento!$E34,Detalhamento!AA$15)),IF(INDEX(Import.PLE,Detalhamento!$E34,Detalhamento!AA$15)&lt;=mediçao,OFFSET(Import.PLQ,$A34-1,AA$15-1,1,1),0),0),PLE!$AA$28*OFFSET(Import.PLQ,$A34-1,AA$15-1,1,1)),IF($E34&lt;&gt;1,IF(ISNUMBER(INDEX(Import.PLE,Detalhamento!$E34,Detalhamento!AA$15)),IF(INDEX(Import.PLE,Detalhamento!$E34,Detalhamento!AA$15)&lt;=mediçao,0,OFFSET(Import.PLQ,$A34-1,AA$15-1,1,1)),OFFSET(Import.PLQ,$A34-1,AA$15-1,1,1)),(1-PLE!$AA$28)*OFFSET(Import.PLQ,$A34-1,AA$15-1,1,1))))</f>
        <v>0</v>
      </c>
      <c r="AB34" s="145">
        <f ca="1">IF(AB$13="",0,CHOOSE(Detalhamento.OpçãoServiços,OFFSET(Import.PLQ,$A34-1,AB$15-1,1,1),IF($E34&lt;&gt;1,IF(ISNUMBER(INDEX(Import.PLE,Detalhamento!$E34,Detalhamento!AB$15)),IF(INDEX(Import.PLE,Detalhamento!$E34,Detalhamento!AB$15)&lt;=mediçao,OFFSET(Import.PLQ,$A34-1,AB$15-1,1,1),0),0),PLE!$AA$28*OFFSET(Import.PLQ,$A34-1,AB$15-1,1,1)),IF($E34&lt;&gt;1,IF(ISNUMBER(INDEX(Import.PLE,Detalhamento!$E34,Detalhamento!AB$15)),IF(INDEX(Import.PLE,Detalhamento!$E34,Detalhamento!AB$15)&lt;=mediçao,0,OFFSET(Import.PLQ,$A34-1,AB$15-1,1,1)),OFFSET(Import.PLQ,$A34-1,AB$15-1,1,1)),(1-PLE!$AA$28)*OFFSET(Import.PLQ,$A34-1,AB$15-1,1,1))))</f>
        <v>0</v>
      </c>
      <c r="AC34" s="145">
        <f ca="1">IF(AC$13="",0,CHOOSE(Detalhamento.OpçãoServiços,OFFSET(Import.PLQ,$A34-1,AC$15-1,1,1),IF($E34&lt;&gt;1,IF(ISNUMBER(INDEX(Import.PLE,Detalhamento!$E34,Detalhamento!AC$15)),IF(INDEX(Import.PLE,Detalhamento!$E34,Detalhamento!AC$15)&lt;=mediçao,OFFSET(Import.PLQ,$A34-1,AC$15-1,1,1),0),0),PLE!$AA$28*OFFSET(Import.PLQ,$A34-1,AC$15-1,1,1)),IF($E34&lt;&gt;1,IF(ISNUMBER(INDEX(Import.PLE,Detalhamento!$E34,Detalhamento!AC$15)),IF(INDEX(Import.PLE,Detalhamento!$E34,Detalhamento!AC$15)&lt;=mediçao,0,OFFSET(Import.PLQ,$A34-1,AC$15-1,1,1)),OFFSET(Import.PLQ,$A34-1,AC$15-1,1,1)),(1-PLE!$AA$28)*OFFSET(Import.PLQ,$A34-1,AC$15-1,1,1))))</f>
        <v>0</v>
      </c>
      <c r="AD34" s="145">
        <f ca="1">IF(AD$13="",0,CHOOSE(Detalhamento.OpçãoServiços,OFFSET(Import.PLQ,$A34-1,AD$15-1,1,1),IF($E34&lt;&gt;1,IF(ISNUMBER(INDEX(Import.PLE,Detalhamento!$E34,Detalhamento!AD$15)),IF(INDEX(Import.PLE,Detalhamento!$E34,Detalhamento!AD$15)&lt;=mediçao,OFFSET(Import.PLQ,$A34-1,AD$15-1,1,1),0),0),PLE!$AA$28*OFFSET(Import.PLQ,$A34-1,AD$15-1,1,1)),IF($E34&lt;&gt;1,IF(ISNUMBER(INDEX(Import.PLE,Detalhamento!$E34,Detalhamento!AD$15)),IF(INDEX(Import.PLE,Detalhamento!$E34,Detalhamento!AD$15)&lt;=mediçao,0,OFFSET(Import.PLQ,$A34-1,AD$15-1,1,1)),OFFSET(Import.PLQ,$A34-1,AD$15-1,1,1)),(1-PLE!$AA$28)*OFFSET(Import.PLQ,$A34-1,AD$15-1,1,1))))</f>
        <v>0</v>
      </c>
      <c r="AE34" s="145">
        <f ca="1">IF(AE$13="",0,CHOOSE(Detalhamento.OpçãoServiços,OFFSET(Import.PLQ,$A34-1,AE$15-1,1,1),IF($E34&lt;&gt;1,IF(ISNUMBER(INDEX(Import.PLE,Detalhamento!$E34,Detalhamento!AE$15)),IF(INDEX(Import.PLE,Detalhamento!$E34,Detalhamento!AE$15)&lt;=mediçao,OFFSET(Import.PLQ,$A34-1,AE$15-1,1,1),0),0),PLE!$AA$28*OFFSET(Import.PLQ,$A34-1,AE$15-1,1,1)),IF($E34&lt;&gt;1,IF(ISNUMBER(INDEX(Import.PLE,Detalhamento!$E34,Detalhamento!AE$15)),IF(INDEX(Import.PLE,Detalhamento!$E34,Detalhamento!AE$15)&lt;=mediçao,0,OFFSET(Import.PLQ,$A34-1,AE$15-1,1,1)),OFFSET(Import.PLQ,$A34-1,AE$15-1,1,1)),(1-PLE!$AA$28)*OFFSET(Import.PLQ,$A34-1,AE$15-1,1,1))))</f>
        <v>0</v>
      </c>
      <c r="AF34" s="145">
        <f ca="1">IF(AF$13="",0,CHOOSE(Detalhamento.OpçãoServiços,OFFSET(Import.PLQ,$A34-1,AF$15-1,1,1),IF($E34&lt;&gt;1,IF(ISNUMBER(INDEX(Import.PLE,Detalhamento!$E34,Detalhamento!AF$15)),IF(INDEX(Import.PLE,Detalhamento!$E34,Detalhamento!AF$15)&lt;=mediçao,OFFSET(Import.PLQ,$A34-1,AF$15-1,1,1),0),0),PLE!$AA$28*OFFSET(Import.PLQ,$A34-1,AF$15-1,1,1)),IF($E34&lt;&gt;1,IF(ISNUMBER(INDEX(Import.PLE,Detalhamento!$E34,Detalhamento!AF$15)),IF(INDEX(Import.PLE,Detalhamento!$E34,Detalhamento!AF$15)&lt;=mediçao,0,OFFSET(Import.PLQ,$A34-1,AF$15-1,1,1)),OFFSET(Import.PLQ,$A34-1,AF$15-1,1,1)),(1-PLE!$AA$28)*OFFSET(Import.PLQ,$A34-1,AF$15-1,1,1))))</f>
        <v>0</v>
      </c>
      <c r="AG34" s="145">
        <f ca="1">IF(AG$13="",0,CHOOSE(Detalhamento.OpçãoServiços,OFFSET(Import.PLQ,$A34-1,AG$15-1,1,1),IF($E34&lt;&gt;1,IF(ISNUMBER(INDEX(Import.PLE,Detalhamento!$E34,Detalhamento!AG$15)),IF(INDEX(Import.PLE,Detalhamento!$E34,Detalhamento!AG$15)&lt;=mediçao,OFFSET(Import.PLQ,$A34-1,AG$15-1,1,1),0),0),PLE!$AA$28*OFFSET(Import.PLQ,$A34-1,AG$15-1,1,1)),IF($E34&lt;&gt;1,IF(ISNUMBER(INDEX(Import.PLE,Detalhamento!$E34,Detalhamento!AG$15)),IF(INDEX(Import.PLE,Detalhamento!$E34,Detalhamento!AG$15)&lt;=mediçao,0,OFFSET(Import.PLQ,$A34-1,AG$15-1,1,1)),OFFSET(Import.PLQ,$A34-1,AG$15-1,1,1)),(1-PLE!$AA$28)*OFFSET(Import.PLQ,$A34-1,AG$15-1,1,1))))</f>
        <v>0</v>
      </c>
      <c r="AH34" s="145">
        <f ca="1">IF(AH$13="",0,CHOOSE(Detalhamento.OpçãoServiços,OFFSET(Import.PLQ,$A34-1,AH$15-1,1,1),IF($E34&lt;&gt;1,IF(ISNUMBER(INDEX(Import.PLE,Detalhamento!$E34,Detalhamento!AH$15)),IF(INDEX(Import.PLE,Detalhamento!$E34,Detalhamento!AH$15)&lt;=mediçao,OFFSET(Import.PLQ,$A34-1,AH$15-1,1,1),0),0),PLE!$AA$28*OFFSET(Import.PLQ,$A34-1,AH$15-1,1,1)),IF($E34&lt;&gt;1,IF(ISNUMBER(INDEX(Import.PLE,Detalhamento!$E34,Detalhamento!AH$15)),IF(INDEX(Import.PLE,Detalhamento!$E34,Detalhamento!AH$15)&lt;=mediçao,0,OFFSET(Import.PLQ,$A34-1,AH$15-1,1,1)),OFFSET(Import.PLQ,$A34-1,AH$15-1,1,1)),(1-PLE!$AA$28)*OFFSET(Import.PLQ,$A34-1,AH$15-1,1,1))))</f>
        <v>0</v>
      </c>
      <c r="AI34" s="145">
        <f ca="1">IF(AI$13="",0,CHOOSE(Detalhamento.OpçãoServiços,OFFSET(Import.PLQ,$A34-1,AI$15-1,1,1),IF($E34&lt;&gt;1,IF(ISNUMBER(INDEX(Import.PLE,Detalhamento!$E34,Detalhamento!AI$15)),IF(INDEX(Import.PLE,Detalhamento!$E34,Detalhamento!AI$15)&lt;=mediçao,OFFSET(Import.PLQ,$A34-1,AI$15-1,1,1),0),0),PLE!$AA$28*OFFSET(Import.PLQ,$A34-1,AI$15-1,1,1)),IF($E34&lt;&gt;1,IF(ISNUMBER(INDEX(Import.PLE,Detalhamento!$E34,Detalhamento!AI$15)),IF(INDEX(Import.PLE,Detalhamento!$E34,Detalhamento!AI$15)&lt;=mediçao,0,OFFSET(Import.PLQ,$A34-1,AI$15-1,1,1)),OFFSET(Import.PLQ,$A34-1,AI$15-1,1,1)),(1-PLE!$AA$28)*OFFSET(Import.PLQ,$A34-1,AI$15-1,1,1))))</f>
        <v>0</v>
      </c>
      <c r="AJ34" s="145">
        <f ca="1">IF(AJ$13="",0,CHOOSE(Detalhamento.OpçãoServiços,OFFSET(Import.PLQ,$A34-1,AJ$15-1,1,1),IF($E34&lt;&gt;1,IF(ISNUMBER(INDEX(Import.PLE,Detalhamento!$E34,Detalhamento!AJ$15)),IF(INDEX(Import.PLE,Detalhamento!$E34,Detalhamento!AJ$15)&lt;=mediçao,OFFSET(Import.PLQ,$A34-1,AJ$15-1,1,1),0),0),PLE!$AA$28*OFFSET(Import.PLQ,$A34-1,AJ$15-1,1,1)),IF($E34&lt;&gt;1,IF(ISNUMBER(INDEX(Import.PLE,Detalhamento!$E34,Detalhamento!AJ$15)),IF(INDEX(Import.PLE,Detalhamento!$E34,Detalhamento!AJ$15)&lt;=mediçao,0,OFFSET(Import.PLQ,$A34-1,AJ$15-1,1,1)),OFFSET(Import.PLQ,$A34-1,AJ$15-1,1,1)),(1-PLE!$AA$28)*OFFSET(Import.PLQ,$A34-1,AJ$15-1,1,1))))</f>
        <v>0</v>
      </c>
      <c r="AK34" s="145">
        <f ca="1">IF(AK$13="",0,CHOOSE(Detalhamento.OpçãoServiços,OFFSET(Import.PLQ,$A34-1,AK$15-1,1,1),IF($E34&lt;&gt;1,IF(ISNUMBER(INDEX(Import.PLE,Detalhamento!$E34,Detalhamento!AK$15)),IF(INDEX(Import.PLE,Detalhamento!$E34,Detalhamento!AK$15)&lt;=mediçao,OFFSET(Import.PLQ,$A34-1,AK$15-1,1,1),0),0),PLE!$AA$28*OFFSET(Import.PLQ,$A34-1,AK$15-1,1,1)),IF($E34&lt;&gt;1,IF(ISNUMBER(INDEX(Import.PLE,Detalhamento!$E34,Detalhamento!AK$15)),IF(INDEX(Import.PLE,Detalhamento!$E34,Detalhamento!AK$15)&lt;=mediçao,0,OFFSET(Import.PLQ,$A34-1,AK$15-1,1,1)),OFFSET(Import.PLQ,$A34-1,AK$15-1,1,1)),(1-PLE!$AA$28)*OFFSET(Import.PLQ,$A34-1,AK$15-1,1,1))))</f>
        <v>0</v>
      </c>
      <c r="AL34" s="145">
        <f ca="1">IF(AL$13="",0,CHOOSE(Detalhamento.OpçãoServiços,OFFSET(Import.PLQ,$A34-1,AL$15-1,1,1),IF($E34&lt;&gt;1,IF(ISNUMBER(INDEX(Import.PLE,Detalhamento!$E34,Detalhamento!AL$15)),IF(INDEX(Import.PLE,Detalhamento!$E34,Detalhamento!AL$15)&lt;=mediçao,OFFSET(Import.PLQ,$A34-1,AL$15-1,1,1),0),0),PLE!$AA$28*OFFSET(Import.PLQ,$A34-1,AL$15-1,1,1)),IF($E34&lt;&gt;1,IF(ISNUMBER(INDEX(Import.PLE,Detalhamento!$E34,Detalhamento!AL$15)),IF(INDEX(Import.PLE,Detalhamento!$E34,Detalhamento!AL$15)&lt;=mediçao,0,OFFSET(Import.PLQ,$A34-1,AL$15-1,1,1)),OFFSET(Import.PLQ,$A34-1,AL$15-1,1,1)),(1-PLE!$AA$28)*OFFSET(Import.PLQ,$A34-1,AL$15-1,1,1))))</f>
        <v>0</v>
      </c>
      <c r="AM34" s="145">
        <f ca="1">IF(AM$13="",0,CHOOSE(Detalhamento.OpçãoServiços,OFFSET(Import.PLQ,$A34-1,AM$15-1,1,1),IF($E34&lt;&gt;1,IF(ISNUMBER(INDEX(Import.PLE,Detalhamento!$E34,Detalhamento!AM$15)),IF(INDEX(Import.PLE,Detalhamento!$E34,Detalhamento!AM$15)&lt;=mediçao,OFFSET(Import.PLQ,$A34-1,AM$15-1,1,1),0),0),PLE!$AA$28*OFFSET(Import.PLQ,$A34-1,AM$15-1,1,1)),IF($E34&lt;&gt;1,IF(ISNUMBER(INDEX(Import.PLE,Detalhamento!$E34,Detalhamento!AM$15)),IF(INDEX(Import.PLE,Detalhamento!$E34,Detalhamento!AM$15)&lt;=mediçao,0,OFFSET(Import.PLQ,$A34-1,AM$15-1,1,1)),OFFSET(Import.PLQ,$A34-1,AM$15-1,1,1)),(1-PLE!$AA$28)*OFFSET(Import.PLQ,$A34-1,AM$15-1,1,1))))</f>
        <v>0</v>
      </c>
      <c r="AN34" s="145">
        <f ca="1">IF(AN$13="",0,CHOOSE(Detalhamento.OpçãoServiços,OFFSET(Import.PLQ,$A34-1,AN$15-1,1,1),IF($E34&lt;&gt;1,IF(ISNUMBER(INDEX(Import.PLE,Detalhamento!$E34,Detalhamento!AN$15)),IF(INDEX(Import.PLE,Detalhamento!$E34,Detalhamento!AN$15)&lt;=mediçao,OFFSET(Import.PLQ,$A34-1,AN$15-1,1,1),0),0),PLE!$AA$28*OFFSET(Import.PLQ,$A34-1,AN$15-1,1,1)),IF($E34&lt;&gt;1,IF(ISNUMBER(INDEX(Import.PLE,Detalhamento!$E34,Detalhamento!AN$15)),IF(INDEX(Import.PLE,Detalhamento!$E34,Detalhamento!AN$15)&lt;=mediçao,0,OFFSET(Import.PLQ,$A34-1,AN$15-1,1,1)),OFFSET(Import.PLQ,$A34-1,AN$15-1,1,1)),(1-PLE!$AA$28)*OFFSET(Import.PLQ,$A34-1,AN$15-1,1,1))))</f>
        <v>0</v>
      </c>
      <c r="AO34" s="145">
        <f ca="1">IF(AO$13="",0,CHOOSE(Detalhamento.OpçãoServiços,OFFSET(Import.PLQ,$A34-1,AO$15-1,1,1),IF($E34&lt;&gt;1,IF(ISNUMBER(INDEX(Import.PLE,Detalhamento!$E34,Detalhamento!AO$15)),IF(INDEX(Import.PLE,Detalhamento!$E34,Detalhamento!AO$15)&lt;=mediçao,OFFSET(Import.PLQ,$A34-1,AO$15-1,1,1),0),0),PLE!$AA$28*OFFSET(Import.PLQ,$A34-1,AO$15-1,1,1)),IF($E34&lt;&gt;1,IF(ISNUMBER(INDEX(Import.PLE,Detalhamento!$E34,Detalhamento!AO$15)),IF(INDEX(Import.PLE,Detalhamento!$E34,Detalhamento!AO$15)&lt;=mediçao,0,OFFSET(Import.PLQ,$A34-1,AO$15-1,1,1)),OFFSET(Import.PLQ,$A34-1,AO$15-1,1,1)),(1-PLE!$AA$28)*OFFSET(Import.PLQ,$A34-1,AO$15-1,1,1))))</f>
        <v>0</v>
      </c>
      <c r="AP34" s="145">
        <f ca="1">IF(AP$13="",0,CHOOSE(Detalhamento.OpçãoServiços,OFFSET(Import.PLQ,$A34-1,AP$15-1,1,1),IF($E34&lt;&gt;1,IF(ISNUMBER(INDEX(Import.PLE,Detalhamento!$E34,Detalhamento!AP$15)),IF(INDEX(Import.PLE,Detalhamento!$E34,Detalhamento!AP$15)&lt;=mediçao,OFFSET(Import.PLQ,$A34-1,AP$15-1,1,1),0),0),PLE!$AA$28*OFFSET(Import.PLQ,$A34-1,AP$15-1,1,1)),IF($E34&lt;&gt;1,IF(ISNUMBER(INDEX(Import.PLE,Detalhamento!$E34,Detalhamento!AP$15)),IF(INDEX(Import.PLE,Detalhamento!$E34,Detalhamento!AP$15)&lt;=mediçao,0,OFFSET(Import.PLQ,$A34-1,AP$15-1,1,1)),OFFSET(Import.PLQ,$A34-1,AP$15-1,1,1)),(1-PLE!$AA$28)*OFFSET(Import.PLQ,$A34-1,AP$15-1,1,1))))</f>
        <v>0</v>
      </c>
      <c r="AQ34" s="145">
        <f ca="1">IF(AQ$13="",0,CHOOSE(Detalhamento.OpçãoServiços,OFFSET(Import.PLQ,$A34-1,AQ$15-1,1,1),IF($E34&lt;&gt;1,IF(ISNUMBER(INDEX(Import.PLE,Detalhamento!$E34,Detalhamento!AQ$15)),IF(INDEX(Import.PLE,Detalhamento!$E34,Detalhamento!AQ$15)&lt;=mediçao,OFFSET(Import.PLQ,$A34-1,AQ$15-1,1,1),0),0),PLE!$AA$28*OFFSET(Import.PLQ,$A34-1,AQ$15-1,1,1)),IF($E34&lt;&gt;1,IF(ISNUMBER(INDEX(Import.PLE,Detalhamento!$E34,Detalhamento!AQ$15)),IF(INDEX(Import.PLE,Detalhamento!$E34,Detalhamento!AQ$15)&lt;=mediçao,0,OFFSET(Import.PLQ,$A34-1,AQ$15-1,1,1)),OFFSET(Import.PLQ,$A34-1,AQ$15-1,1,1)),(1-PLE!$AA$28)*OFFSET(Import.PLQ,$A34-1,AQ$15-1,1,1))))</f>
        <v>0</v>
      </c>
      <c r="AR34" s="145">
        <f ca="1">IF(AR$13="",0,CHOOSE(Detalhamento.OpçãoServiços,OFFSET(Import.PLQ,$A34-1,AR$15-1,1,1),IF($E34&lt;&gt;1,IF(ISNUMBER(INDEX(Import.PLE,Detalhamento!$E34,Detalhamento!AR$15)),IF(INDEX(Import.PLE,Detalhamento!$E34,Detalhamento!AR$15)&lt;=mediçao,OFFSET(Import.PLQ,$A34-1,AR$15-1,1,1),0),0),PLE!$AA$28*OFFSET(Import.PLQ,$A34-1,AR$15-1,1,1)),IF($E34&lt;&gt;1,IF(ISNUMBER(INDEX(Import.PLE,Detalhamento!$E34,Detalhamento!AR$15)),IF(INDEX(Import.PLE,Detalhamento!$E34,Detalhamento!AR$15)&lt;=mediçao,0,OFFSET(Import.PLQ,$A34-1,AR$15-1,1,1)),OFFSET(Import.PLQ,$A34-1,AR$15-1,1,1)),(1-PLE!$AA$28)*OFFSET(Import.PLQ,$A34-1,AR$15-1,1,1))))</f>
        <v>0</v>
      </c>
      <c r="AS34" s="145">
        <f ca="1">IF(AS$13="",0,CHOOSE(Detalhamento.OpçãoServiços,OFFSET(Import.PLQ,$A34-1,AS$15-1,1,1),IF($E34&lt;&gt;1,IF(ISNUMBER(INDEX(Import.PLE,Detalhamento!$E34,Detalhamento!AS$15)),IF(INDEX(Import.PLE,Detalhamento!$E34,Detalhamento!AS$15)&lt;=mediçao,OFFSET(Import.PLQ,$A34-1,AS$15-1,1,1),0),0),PLE!$AA$28*OFFSET(Import.PLQ,$A34-1,AS$15-1,1,1)),IF($E34&lt;&gt;1,IF(ISNUMBER(INDEX(Import.PLE,Detalhamento!$E34,Detalhamento!AS$15)),IF(INDEX(Import.PLE,Detalhamento!$E34,Detalhamento!AS$15)&lt;=mediçao,0,OFFSET(Import.PLQ,$A34-1,AS$15-1,1,1)),OFFSET(Import.PLQ,$A34-1,AS$15-1,1,1)),(1-PLE!$AA$28)*OFFSET(Import.PLQ,$A34-1,AS$15-1,1,1))))</f>
        <v>0</v>
      </c>
      <c r="AT34" s="145">
        <f ca="1">IF(AT$13="",0,CHOOSE(Detalhamento.OpçãoServiços,OFFSET(Import.PLQ,$A34-1,AT$15-1,1,1),IF($E34&lt;&gt;1,IF(ISNUMBER(INDEX(Import.PLE,Detalhamento!$E34,Detalhamento!AT$15)),IF(INDEX(Import.PLE,Detalhamento!$E34,Detalhamento!AT$15)&lt;=mediçao,OFFSET(Import.PLQ,$A34-1,AT$15-1,1,1),0),0),PLE!$AA$28*OFFSET(Import.PLQ,$A34-1,AT$15-1,1,1)),IF($E34&lt;&gt;1,IF(ISNUMBER(INDEX(Import.PLE,Detalhamento!$E34,Detalhamento!AT$15)),IF(INDEX(Import.PLE,Detalhamento!$E34,Detalhamento!AT$15)&lt;=mediçao,0,OFFSET(Import.PLQ,$A34-1,AT$15-1,1,1)),OFFSET(Import.PLQ,$A34-1,AT$15-1,1,1)),(1-PLE!$AA$28)*OFFSET(Import.PLQ,$A34-1,AT$15-1,1,1))))</f>
        <v>0</v>
      </c>
      <c r="AU34" s="145">
        <f ca="1">IF(AU$13="",0,CHOOSE(Detalhamento.OpçãoServiços,OFFSET(Import.PLQ,$A34-1,AU$15-1,1,1),IF($E34&lt;&gt;1,IF(ISNUMBER(INDEX(Import.PLE,Detalhamento!$E34,Detalhamento!AU$15)),IF(INDEX(Import.PLE,Detalhamento!$E34,Detalhamento!AU$15)&lt;=mediçao,OFFSET(Import.PLQ,$A34-1,AU$15-1,1,1),0),0),PLE!$AA$28*OFFSET(Import.PLQ,$A34-1,AU$15-1,1,1)),IF($E34&lt;&gt;1,IF(ISNUMBER(INDEX(Import.PLE,Detalhamento!$E34,Detalhamento!AU$15)),IF(INDEX(Import.PLE,Detalhamento!$E34,Detalhamento!AU$15)&lt;=mediçao,0,OFFSET(Import.PLQ,$A34-1,AU$15-1,1,1)),OFFSET(Import.PLQ,$A34-1,AU$15-1,1,1)),(1-PLE!$AA$28)*OFFSET(Import.PLQ,$A34-1,AU$15-1,1,1))))</f>
        <v>0</v>
      </c>
      <c r="AV34" s="145">
        <f ca="1">IF(AV$13="",0,CHOOSE(Detalhamento.OpçãoServiços,OFFSET(Import.PLQ,$A34-1,AV$15-1,1,1),IF($E34&lt;&gt;1,IF(ISNUMBER(INDEX(Import.PLE,Detalhamento!$E34,Detalhamento!AV$15)),IF(INDEX(Import.PLE,Detalhamento!$E34,Detalhamento!AV$15)&lt;=mediçao,OFFSET(Import.PLQ,$A34-1,AV$15-1,1,1),0),0),PLE!$AA$28*OFFSET(Import.PLQ,$A34-1,AV$15-1,1,1)),IF($E34&lt;&gt;1,IF(ISNUMBER(INDEX(Import.PLE,Detalhamento!$E34,Detalhamento!AV$15)),IF(INDEX(Import.PLE,Detalhamento!$E34,Detalhamento!AV$15)&lt;=mediçao,0,OFFSET(Import.PLQ,$A34-1,AV$15-1,1,1)),OFFSET(Import.PLQ,$A34-1,AV$15-1,1,1)),(1-PLE!$AA$28)*OFFSET(Import.PLQ,$A34-1,AV$15-1,1,1))))</f>
        <v>0</v>
      </c>
      <c r="AW34" s="145">
        <f ca="1">IF(AW$13="",0,CHOOSE(Detalhamento.OpçãoServiços,OFFSET(Import.PLQ,$A34-1,AW$15-1,1,1),IF($E34&lt;&gt;1,IF(ISNUMBER(INDEX(Import.PLE,Detalhamento!$E34,Detalhamento!AW$15)),IF(INDEX(Import.PLE,Detalhamento!$E34,Detalhamento!AW$15)&lt;=mediçao,OFFSET(Import.PLQ,$A34-1,AW$15-1,1,1),0),0),PLE!$AA$28*OFFSET(Import.PLQ,$A34-1,AW$15-1,1,1)),IF($E34&lt;&gt;1,IF(ISNUMBER(INDEX(Import.PLE,Detalhamento!$E34,Detalhamento!AW$15)),IF(INDEX(Import.PLE,Detalhamento!$E34,Detalhamento!AW$15)&lt;=mediçao,0,OFFSET(Import.PLQ,$A34-1,AW$15-1,1,1)),OFFSET(Import.PLQ,$A34-1,AW$15-1,1,1)),(1-PLE!$AA$28)*OFFSET(Import.PLQ,$A34-1,AW$15-1,1,1))))</f>
        <v>0</v>
      </c>
      <c r="AX34" s="145">
        <f ca="1">IF(AX$13="",0,CHOOSE(Detalhamento.OpçãoServiços,OFFSET(Import.PLQ,$A34-1,AX$15-1,1,1),IF($E34&lt;&gt;1,IF(ISNUMBER(INDEX(Import.PLE,Detalhamento!$E34,Detalhamento!AX$15)),IF(INDEX(Import.PLE,Detalhamento!$E34,Detalhamento!AX$15)&lt;=mediçao,OFFSET(Import.PLQ,$A34-1,AX$15-1,1,1),0),0),PLE!$AA$28*OFFSET(Import.PLQ,$A34-1,AX$15-1,1,1)),IF($E34&lt;&gt;1,IF(ISNUMBER(INDEX(Import.PLE,Detalhamento!$E34,Detalhamento!AX$15)),IF(INDEX(Import.PLE,Detalhamento!$E34,Detalhamento!AX$15)&lt;=mediçao,0,OFFSET(Import.PLQ,$A34-1,AX$15-1,1,1)),OFFSET(Import.PLQ,$A34-1,AX$15-1,1,1)),(1-PLE!$AA$28)*OFFSET(Import.PLQ,$A34-1,AX$15-1,1,1))))</f>
        <v>0</v>
      </c>
      <c r="AY34" s="145">
        <f ca="1">IF(AY$13="",0,CHOOSE(Detalhamento.OpçãoServiços,OFFSET(Import.PLQ,$A34-1,AY$15-1,1,1),IF($E34&lt;&gt;1,IF(ISNUMBER(INDEX(Import.PLE,Detalhamento!$E34,Detalhamento!AY$15)),IF(INDEX(Import.PLE,Detalhamento!$E34,Detalhamento!AY$15)&lt;=mediçao,OFFSET(Import.PLQ,$A34-1,AY$15-1,1,1),0),0),PLE!$AA$28*OFFSET(Import.PLQ,$A34-1,AY$15-1,1,1)),IF($E34&lt;&gt;1,IF(ISNUMBER(INDEX(Import.PLE,Detalhamento!$E34,Detalhamento!AY$15)),IF(INDEX(Import.PLE,Detalhamento!$E34,Detalhamento!AY$15)&lt;=mediçao,0,OFFSET(Import.PLQ,$A34-1,AY$15-1,1,1)),OFFSET(Import.PLQ,$A34-1,AY$15-1,1,1)),(1-PLE!$AA$28)*OFFSET(Import.PLQ,$A34-1,AY$15-1,1,1))))</f>
        <v>0</v>
      </c>
      <c r="AZ34" s="145">
        <f ca="1">IF(AZ$13="",0,CHOOSE(Detalhamento.OpçãoServiços,OFFSET(Import.PLQ,$A34-1,AZ$15-1,1,1),IF($E34&lt;&gt;1,IF(ISNUMBER(INDEX(Import.PLE,Detalhamento!$E34,Detalhamento!AZ$15)),IF(INDEX(Import.PLE,Detalhamento!$E34,Detalhamento!AZ$15)&lt;=mediçao,OFFSET(Import.PLQ,$A34-1,AZ$15-1,1,1),0),0),PLE!$AA$28*OFFSET(Import.PLQ,$A34-1,AZ$15-1,1,1)),IF($E34&lt;&gt;1,IF(ISNUMBER(INDEX(Import.PLE,Detalhamento!$E34,Detalhamento!AZ$15)),IF(INDEX(Import.PLE,Detalhamento!$E34,Detalhamento!AZ$15)&lt;=mediçao,0,OFFSET(Import.PLQ,$A34-1,AZ$15-1,1,1)),OFFSET(Import.PLQ,$A34-1,AZ$15-1,1,1)),(1-PLE!$AA$28)*OFFSET(Import.PLQ,$A34-1,AZ$15-1,1,1))))</f>
        <v>0</v>
      </c>
      <c r="BA34" s="145">
        <f ca="1">IF(BA$13="",0,CHOOSE(Detalhamento.OpçãoServiços,OFFSET(Import.PLQ,$A34-1,BA$15-1,1,1),IF($E34&lt;&gt;1,IF(ISNUMBER(INDEX(Import.PLE,Detalhamento!$E34,Detalhamento!BA$15)),IF(INDEX(Import.PLE,Detalhamento!$E34,Detalhamento!BA$15)&lt;=mediçao,OFFSET(Import.PLQ,$A34-1,BA$15-1,1,1),0),0),PLE!$AA$28*OFFSET(Import.PLQ,$A34-1,BA$15-1,1,1)),IF($E34&lt;&gt;1,IF(ISNUMBER(INDEX(Import.PLE,Detalhamento!$E34,Detalhamento!BA$15)),IF(INDEX(Import.PLE,Detalhamento!$E34,Detalhamento!BA$15)&lt;=mediçao,0,OFFSET(Import.PLQ,$A34-1,BA$15-1,1,1)),OFFSET(Import.PLQ,$A34-1,BA$15-1,1,1)),(1-PLE!$AA$28)*OFFSET(Import.PLQ,$A34-1,BA$15-1,1,1))))</f>
        <v>0</v>
      </c>
      <c r="BB34" s="145">
        <f ca="1">IF(BB$13="",0,CHOOSE(Detalhamento.OpçãoServiços,OFFSET(Import.PLQ,$A34-1,BB$15-1,1,1),IF($E34&lt;&gt;1,IF(ISNUMBER(INDEX(Import.PLE,Detalhamento!$E34,Detalhamento!BB$15)),IF(INDEX(Import.PLE,Detalhamento!$E34,Detalhamento!BB$15)&lt;=mediçao,OFFSET(Import.PLQ,$A34-1,BB$15-1,1,1),0),0),PLE!$AA$28*OFFSET(Import.PLQ,$A34-1,BB$15-1,1,1)),IF($E34&lt;&gt;1,IF(ISNUMBER(INDEX(Import.PLE,Detalhamento!$E34,Detalhamento!BB$15)),IF(INDEX(Import.PLE,Detalhamento!$E34,Detalhamento!BB$15)&lt;=mediçao,0,OFFSET(Import.PLQ,$A34-1,BB$15-1,1,1)),OFFSET(Import.PLQ,$A34-1,BB$15-1,1,1)),(1-PLE!$AA$28)*OFFSET(Import.PLQ,$A34-1,BB$15-1,1,1))))</f>
        <v>0</v>
      </c>
      <c r="BC34" s="145">
        <f ca="1">IF(BC$13="",0,CHOOSE(Detalhamento.OpçãoServiços,OFFSET(Import.PLQ,$A34-1,BC$15-1,1,1),IF($E34&lt;&gt;1,IF(ISNUMBER(INDEX(Import.PLE,Detalhamento!$E34,Detalhamento!BC$15)),IF(INDEX(Import.PLE,Detalhamento!$E34,Detalhamento!BC$15)&lt;=mediçao,OFFSET(Import.PLQ,$A34-1,BC$15-1,1,1),0),0),PLE!$AA$28*OFFSET(Import.PLQ,$A34-1,BC$15-1,1,1)),IF($E34&lt;&gt;1,IF(ISNUMBER(INDEX(Import.PLE,Detalhamento!$E34,Detalhamento!BC$15)),IF(INDEX(Import.PLE,Detalhamento!$E34,Detalhamento!BC$15)&lt;=mediçao,0,OFFSET(Import.PLQ,$A34-1,BC$15-1,1,1)),OFFSET(Import.PLQ,$A34-1,BC$15-1,1,1)),(1-PLE!$AA$28)*OFFSET(Import.PLQ,$A34-1,BC$15-1,1,1))))</f>
        <v>0</v>
      </c>
      <c r="BD34" s="145">
        <f ca="1">IF(BD$13="",0,CHOOSE(Detalhamento.OpçãoServiços,OFFSET(Import.PLQ,$A34-1,BD$15-1,1,1),IF($E34&lt;&gt;1,IF(ISNUMBER(INDEX(Import.PLE,Detalhamento!$E34,Detalhamento!BD$15)),IF(INDEX(Import.PLE,Detalhamento!$E34,Detalhamento!BD$15)&lt;=mediçao,OFFSET(Import.PLQ,$A34-1,BD$15-1,1,1),0),0),PLE!$AA$28*OFFSET(Import.PLQ,$A34-1,BD$15-1,1,1)),IF($E34&lt;&gt;1,IF(ISNUMBER(INDEX(Import.PLE,Detalhamento!$E34,Detalhamento!BD$15)),IF(INDEX(Import.PLE,Detalhamento!$E34,Detalhamento!BD$15)&lt;=mediçao,0,OFFSET(Import.PLQ,$A34-1,BD$15-1,1,1)),OFFSET(Import.PLQ,$A34-1,BD$15-1,1,1)),(1-PLE!$AA$28)*OFFSET(Import.PLQ,$A34-1,BD$15-1,1,1))))</f>
        <v>0</v>
      </c>
      <c r="BE34" s="145">
        <f ca="1">IF(BE$13="",0,CHOOSE(Detalhamento.OpçãoServiços,OFFSET(Import.PLQ,$A34-1,BE$15-1,1,1),IF($E34&lt;&gt;1,IF(ISNUMBER(INDEX(Import.PLE,Detalhamento!$E34,Detalhamento!BE$15)),IF(INDEX(Import.PLE,Detalhamento!$E34,Detalhamento!BE$15)&lt;=mediçao,OFFSET(Import.PLQ,$A34-1,BE$15-1,1,1),0),0),PLE!$AA$28*OFFSET(Import.PLQ,$A34-1,BE$15-1,1,1)),IF($E34&lt;&gt;1,IF(ISNUMBER(INDEX(Import.PLE,Detalhamento!$E34,Detalhamento!BE$15)),IF(INDEX(Import.PLE,Detalhamento!$E34,Detalhamento!BE$15)&lt;=mediçao,0,OFFSET(Import.PLQ,$A34-1,BE$15-1,1,1)),OFFSET(Import.PLQ,$A34-1,BE$15-1,1,1)),(1-PLE!$AA$28)*OFFSET(Import.PLQ,$A34-1,BE$15-1,1,1))))</f>
        <v>0</v>
      </c>
      <c r="BF34" s="145">
        <f ca="1">IF(BF$13="",0,CHOOSE(Detalhamento.OpçãoServiços,OFFSET(Import.PLQ,$A34-1,BF$15-1,1,1),IF($E34&lt;&gt;1,IF(ISNUMBER(INDEX(Import.PLE,Detalhamento!$E34,Detalhamento!BF$15)),IF(INDEX(Import.PLE,Detalhamento!$E34,Detalhamento!BF$15)&lt;=mediçao,OFFSET(Import.PLQ,$A34-1,BF$15-1,1,1),0),0),PLE!$AA$28*OFFSET(Import.PLQ,$A34-1,BF$15-1,1,1)),IF($E34&lt;&gt;1,IF(ISNUMBER(INDEX(Import.PLE,Detalhamento!$E34,Detalhamento!BF$15)),IF(INDEX(Import.PLE,Detalhamento!$E34,Detalhamento!BF$15)&lt;=mediçao,0,OFFSET(Import.PLQ,$A34-1,BF$15-1,1,1)),OFFSET(Import.PLQ,$A34-1,BF$15-1,1,1)),(1-PLE!$AA$28)*OFFSET(Import.PLQ,$A34-1,BF$15-1,1,1))))</f>
        <v>0</v>
      </c>
      <c r="BG34" s="145">
        <f ca="1">IF(BG$13="",0,CHOOSE(Detalhamento.OpçãoServiços,OFFSET(Import.PLQ,$A34-1,BG$15-1,1,1),IF($E34&lt;&gt;1,IF(ISNUMBER(INDEX(Import.PLE,Detalhamento!$E34,Detalhamento!BG$15)),IF(INDEX(Import.PLE,Detalhamento!$E34,Detalhamento!BG$15)&lt;=mediçao,OFFSET(Import.PLQ,$A34-1,BG$15-1,1,1),0),0),PLE!$AA$28*OFFSET(Import.PLQ,$A34-1,BG$15-1,1,1)),IF($E34&lt;&gt;1,IF(ISNUMBER(INDEX(Import.PLE,Detalhamento!$E34,Detalhamento!BG$15)),IF(INDEX(Import.PLE,Detalhamento!$E34,Detalhamento!BG$15)&lt;=mediçao,0,OFFSET(Import.PLQ,$A34-1,BG$15-1,1,1)),OFFSET(Import.PLQ,$A34-1,BG$15-1,1,1)),(1-PLE!$AA$28)*OFFSET(Import.PLQ,$A34-1,BG$15-1,1,1))))</f>
        <v>0</v>
      </c>
      <c r="BH34" s="145">
        <f ca="1">IF(BH$13="",0,CHOOSE(Detalhamento.OpçãoServiços,OFFSET(Import.PLQ,$A34-1,BH$15-1,1,1),IF($E34&lt;&gt;1,IF(ISNUMBER(INDEX(Import.PLE,Detalhamento!$E34,Detalhamento!BH$15)),IF(INDEX(Import.PLE,Detalhamento!$E34,Detalhamento!BH$15)&lt;=mediçao,OFFSET(Import.PLQ,$A34-1,BH$15-1,1,1),0),0),PLE!$AA$28*OFFSET(Import.PLQ,$A34-1,BH$15-1,1,1)),IF($E34&lt;&gt;1,IF(ISNUMBER(INDEX(Import.PLE,Detalhamento!$E34,Detalhamento!BH$15)),IF(INDEX(Import.PLE,Detalhamento!$E34,Detalhamento!BH$15)&lt;=mediçao,0,OFFSET(Import.PLQ,$A34-1,BH$15-1,1,1)),OFFSET(Import.PLQ,$A34-1,BH$15-1,1,1)),(1-PLE!$AA$28)*OFFSET(Import.PLQ,$A34-1,BH$15-1,1,1))))</f>
        <v>0</v>
      </c>
      <c r="BI34" s="145">
        <f ca="1">IF(BI$13="",0,CHOOSE(Detalhamento.OpçãoServiços,OFFSET(Import.PLQ,$A34-1,BI$15-1,1,1),IF($E34&lt;&gt;1,IF(ISNUMBER(INDEX(Import.PLE,Detalhamento!$E34,Detalhamento!BI$15)),IF(INDEX(Import.PLE,Detalhamento!$E34,Detalhamento!BI$15)&lt;=mediçao,OFFSET(Import.PLQ,$A34-1,BI$15-1,1,1),0),0),PLE!$AA$28*OFFSET(Import.PLQ,$A34-1,BI$15-1,1,1)),IF($E34&lt;&gt;1,IF(ISNUMBER(INDEX(Import.PLE,Detalhamento!$E34,Detalhamento!BI$15)),IF(INDEX(Import.PLE,Detalhamento!$E34,Detalhamento!BI$15)&lt;=mediçao,0,OFFSET(Import.PLQ,$A34-1,BI$15-1,1,1)),OFFSET(Import.PLQ,$A34-1,BI$15-1,1,1)),(1-PLE!$AA$28)*OFFSET(Import.PLQ,$A34-1,BI$15-1,1,1))))</f>
        <v>0</v>
      </c>
    </row>
    <row r="35" spans="1:61" x14ac:dyDescent="0.2">
      <c r="A35" s="156">
        <v>23</v>
      </c>
      <c r="B35" s="21" t="str">
        <f t="shared" ca="1" si="8"/>
        <v>Evento</v>
      </c>
      <c r="E35" s="154">
        <f t="shared" ca="1" si="9"/>
        <v>4</v>
      </c>
      <c r="F35" s="155">
        <f t="shared" ca="1" si="10"/>
        <v>40000</v>
      </c>
      <c r="G35" s="155" t="str">
        <f t="shared" ca="1" si="11"/>
        <v>Evento</v>
      </c>
      <c r="H35" s="183" t="str">
        <f t="shared" ca="1" si="11"/>
        <v>SINALIZAÇÃO E SERVIÇOS FINAIS</v>
      </c>
      <c r="I35" s="37" t="str">
        <f t="shared" ca="1" si="12"/>
        <v>R$</v>
      </c>
      <c r="J35" s="145">
        <f t="shared" ca="1" si="13"/>
        <v>19364.079999999998</v>
      </c>
      <c r="K35" s="67"/>
      <c r="L35" s="145">
        <f ca="1">IF(L$13="",0,CHOOSE(Detalhamento.OpçãoServiços,OFFSET(Import.PLQ,$A35-1,L$15-1,1,1),IF($E35&lt;&gt;1,IF(ISNUMBER(INDEX(Import.PLE,Detalhamento!$E35,Detalhamento!L$15)),IF(INDEX(Import.PLE,Detalhamento!$E35,Detalhamento!L$15)&lt;=mediçao,OFFSET(Import.PLQ,$A35-1,L$15-1,1,1),0),0),PLE!$AA$28*OFFSET(Import.PLQ,$A35-1,L$15-1,1,1)),IF($E35&lt;&gt;1,IF(ISNUMBER(INDEX(Import.PLE,Detalhamento!$E35,Detalhamento!L$15)),IF(INDEX(Import.PLE,Detalhamento!$E35,Detalhamento!L$15)&lt;=mediçao,0,OFFSET(Import.PLQ,$A35-1,L$15-1,1,1)),OFFSET(Import.PLQ,$A35-1,L$15-1,1,1)),(1-PLE!$AA$28)*OFFSET(Import.PLQ,$A35-1,L$15-1,1,1))))</f>
        <v>3216.7956998246282</v>
      </c>
      <c r="M35" s="145">
        <f ca="1">IF(M$13="",0,CHOOSE(Detalhamento.OpçãoServiços,OFFSET(Import.PLQ,$A35-1,M$15-1,1,1),IF($E35&lt;&gt;1,IF(ISNUMBER(INDEX(Import.PLE,Detalhamento!$E35,Detalhamento!M$15)),IF(INDEX(Import.PLE,Detalhamento!$E35,Detalhamento!M$15)&lt;=mediçao,OFFSET(Import.PLQ,$A35-1,M$15-1,1,1),0),0),PLE!$AA$28*OFFSET(Import.PLQ,$A35-1,M$15-1,1,1)),IF($E35&lt;&gt;1,IF(ISNUMBER(INDEX(Import.PLE,Detalhamento!$E35,Detalhamento!M$15)),IF(INDEX(Import.PLE,Detalhamento!$E35,Detalhamento!M$15)&lt;=mediçao,0,OFFSET(Import.PLQ,$A35-1,M$15-1,1,1)),OFFSET(Import.PLQ,$A35-1,M$15-1,1,1)),(1-PLE!$AA$28)*OFFSET(Import.PLQ,$A35-1,M$15-1,1,1))))</f>
        <v>2877.2089565035994</v>
      </c>
      <c r="N35" s="145">
        <f ca="1">IF(N$13="",0,CHOOSE(Detalhamento.OpçãoServiços,OFFSET(Import.PLQ,$A35-1,N$15-1,1,1),IF($E35&lt;&gt;1,IF(ISNUMBER(INDEX(Import.PLE,Detalhamento!$E35,Detalhamento!N$15)),IF(INDEX(Import.PLE,Detalhamento!$E35,Detalhamento!N$15)&lt;=mediçao,OFFSET(Import.PLQ,$A35-1,N$15-1,1,1),0),0),PLE!$AA$28*OFFSET(Import.PLQ,$A35-1,N$15-1,1,1)),IF($E35&lt;&gt;1,IF(ISNUMBER(INDEX(Import.PLE,Detalhamento!$E35,Detalhamento!N$15)),IF(INDEX(Import.PLE,Detalhamento!$E35,Detalhamento!N$15)&lt;=mediçao,0,OFFSET(Import.PLQ,$A35-1,N$15-1,1,1)),OFFSET(Import.PLQ,$A35-1,N$15-1,1,1)),(1-PLE!$AA$28)*OFFSET(Import.PLQ,$A35-1,N$15-1,1,1))))</f>
        <v>2000.1299688149684</v>
      </c>
      <c r="O35" s="145">
        <f ca="1">IF(O$13="",0,CHOOSE(Detalhamento.OpçãoServiços,OFFSET(Import.PLQ,$A35-1,O$15-1,1,1),IF($E35&lt;&gt;1,IF(ISNUMBER(INDEX(Import.PLE,Detalhamento!$E35,Detalhamento!O$15)),IF(INDEX(Import.PLE,Detalhamento!$E35,Detalhamento!O$15)&lt;=mediçao,OFFSET(Import.PLQ,$A35-1,O$15-1,1,1),0),0),PLE!$AA$28*OFFSET(Import.PLQ,$A35-1,O$15-1,1,1)),IF($E35&lt;&gt;1,IF(ISNUMBER(INDEX(Import.PLE,Detalhamento!$E35,Detalhamento!O$15)),IF(INDEX(Import.PLE,Detalhamento!$E35,Detalhamento!O$15)&lt;=mediçao,0,OFFSET(Import.PLQ,$A35-1,O$15-1,1,1)),OFFSET(Import.PLQ,$A35-1,O$15-1,1,1)),(1-PLE!$AA$28)*OFFSET(Import.PLQ,$A35-1,O$15-1,1,1))))</f>
        <v>3214.9668788097356</v>
      </c>
      <c r="P35" s="145">
        <f ca="1">IF(P$13="",0,CHOOSE(Detalhamento.OpçãoServiços,OFFSET(Import.PLQ,$A35-1,P$15-1,1,1),IF($E35&lt;&gt;1,IF(ISNUMBER(INDEX(Import.PLE,Detalhamento!$E35,Detalhamento!P$15)),IF(INDEX(Import.PLE,Detalhamento!$E35,Detalhamento!P$15)&lt;=mediçao,OFFSET(Import.PLQ,$A35-1,P$15-1,1,1),0),0),PLE!$AA$28*OFFSET(Import.PLQ,$A35-1,P$15-1,1,1)),IF($E35&lt;&gt;1,IF(ISNUMBER(INDEX(Import.PLE,Detalhamento!$E35,Detalhamento!P$15)),IF(INDEX(Import.PLE,Detalhamento!$E35,Detalhamento!P$15)&lt;=mediçao,0,OFFSET(Import.PLQ,$A35-1,P$15-1,1,1)),OFFSET(Import.PLQ,$A35-1,P$15-1,1,1)),(1-PLE!$AA$28)*OFFSET(Import.PLQ,$A35-1,P$15-1,1,1))))</f>
        <v>1701.6124974189261</v>
      </c>
      <c r="Q35" s="145">
        <f ca="1">IF(Q$13="",0,CHOOSE(Detalhamento.OpçãoServiços,OFFSET(Import.PLQ,$A35-1,Q$15-1,1,1),IF($E35&lt;&gt;1,IF(ISNUMBER(INDEX(Import.PLE,Detalhamento!$E35,Detalhamento!Q$15)),IF(INDEX(Import.PLE,Detalhamento!$E35,Detalhamento!Q$15)&lt;=mediçao,OFFSET(Import.PLQ,$A35-1,Q$15-1,1,1),0),0),PLE!$AA$28*OFFSET(Import.PLQ,$A35-1,Q$15-1,1,1)),IF($E35&lt;&gt;1,IF(ISNUMBER(INDEX(Import.PLE,Detalhamento!$E35,Detalhamento!Q$15)),IF(INDEX(Import.PLE,Detalhamento!$E35,Detalhamento!Q$15)&lt;=mediçao,0,OFFSET(Import.PLQ,$A35-1,Q$15-1,1,1)),OFFSET(Import.PLQ,$A35-1,Q$15-1,1,1)),(1-PLE!$AA$28)*OFFSET(Import.PLQ,$A35-1,Q$15-1,1,1))))</f>
        <v>1980.9537392337393</v>
      </c>
      <c r="R35" s="145">
        <f ca="1">IF(R$13="",0,CHOOSE(Detalhamento.OpçãoServiços,OFFSET(Import.PLQ,$A35-1,R$15-1,1,1),IF($E35&lt;&gt;1,IF(ISNUMBER(INDEX(Import.PLE,Detalhamento!$E35,Detalhamento!R$15)),IF(INDEX(Import.PLE,Detalhamento!$E35,Detalhamento!R$15)&lt;=mediçao,OFFSET(Import.PLQ,$A35-1,R$15-1,1,1),0),0),PLE!$AA$28*OFFSET(Import.PLQ,$A35-1,R$15-1,1,1)),IF($E35&lt;&gt;1,IF(ISNUMBER(INDEX(Import.PLE,Detalhamento!$E35,Detalhamento!R$15)),IF(INDEX(Import.PLE,Detalhamento!$E35,Detalhamento!R$15)&lt;=mediçao,0,OFFSET(Import.PLQ,$A35-1,R$15-1,1,1)),OFFSET(Import.PLQ,$A35-1,R$15-1,1,1)),(1-PLE!$AA$28)*OFFSET(Import.PLQ,$A35-1,R$15-1,1,1))))</f>
        <v>2193.1902099509243</v>
      </c>
      <c r="S35" s="145">
        <f ca="1">IF(S$13="",0,CHOOSE(Detalhamento.OpçãoServiços,OFFSET(Import.PLQ,$A35-1,S$15-1,1,1),IF($E35&lt;&gt;1,IF(ISNUMBER(INDEX(Import.PLE,Detalhamento!$E35,Detalhamento!S$15)),IF(INDEX(Import.PLE,Detalhamento!$E35,Detalhamento!S$15)&lt;=mediçao,OFFSET(Import.PLQ,$A35-1,S$15-1,1,1),0),0),PLE!$AA$28*OFFSET(Import.PLQ,$A35-1,S$15-1,1,1)),IF($E35&lt;&gt;1,IF(ISNUMBER(INDEX(Import.PLE,Detalhamento!$E35,Detalhamento!S$15)),IF(INDEX(Import.PLE,Detalhamento!$E35,Detalhamento!S$15)&lt;=mediçao,0,OFFSET(Import.PLQ,$A35-1,S$15-1,1,1)),OFFSET(Import.PLQ,$A35-1,S$15-1,1,1)),(1-PLE!$AA$28)*OFFSET(Import.PLQ,$A35-1,S$15-1,1,1))))</f>
        <v>2179.2220494434778</v>
      </c>
      <c r="T35" s="145">
        <f ca="1">IF(T$13="",0,CHOOSE(Detalhamento.OpçãoServiços,OFFSET(Import.PLQ,$A35-1,T$15-1,1,1),IF($E35&lt;&gt;1,IF(ISNUMBER(INDEX(Import.PLE,Detalhamento!$E35,Detalhamento!T$15)),IF(INDEX(Import.PLE,Detalhamento!$E35,Detalhamento!T$15)&lt;=mediçao,OFFSET(Import.PLQ,$A35-1,T$15-1,1,1),0),0),PLE!$AA$28*OFFSET(Import.PLQ,$A35-1,T$15-1,1,1)),IF($E35&lt;&gt;1,IF(ISNUMBER(INDEX(Import.PLE,Detalhamento!$E35,Detalhamento!T$15)),IF(INDEX(Import.PLE,Detalhamento!$E35,Detalhamento!T$15)&lt;=mediçao,0,OFFSET(Import.PLQ,$A35-1,T$15-1,1,1)),OFFSET(Import.PLQ,$A35-1,T$15-1,1,1)),(1-PLE!$AA$28)*OFFSET(Import.PLQ,$A35-1,T$15-1,1,1))))</f>
        <v>0</v>
      </c>
      <c r="U35" s="145">
        <f ca="1">IF(U$13="",0,CHOOSE(Detalhamento.OpçãoServiços,OFFSET(Import.PLQ,$A35-1,U$15-1,1,1),IF($E35&lt;&gt;1,IF(ISNUMBER(INDEX(Import.PLE,Detalhamento!$E35,Detalhamento!U$15)),IF(INDEX(Import.PLE,Detalhamento!$E35,Detalhamento!U$15)&lt;=mediçao,OFFSET(Import.PLQ,$A35-1,U$15-1,1,1),0),0),PLE!$AA$28*OFFSET(Import.PLQ,$A35-1,U$15-1,1,1)),IF($E35&lt;&gt;1,IF(ISNUMBER(INDEX(Import.PLE,Detalhamento!$E35,Detalhamento!U$15)),IF(INDEX(Import.PLE,Detalhamento!$E35,Detalhamento!U$15)&lt;=mediçao,0,OFFSET(Import.PLQ,$A35-1,U$15-1,1,1)),OFFSET(Import.PLQ,$A35-1,U$15-1,1,1)),(1-PLE!$AA$28)*OFFSET(Import.PLQ,$A35-1,U$15-1,1,1))))</f>
        <v>0</v>
      </c>
      <c r="V35" s="145">
        <f ca="1">IF(V$13="",0,CHOOSE(Detalhamento.OpçãoServiços,OFFSET(Import.PLQ,$A35-1,V$15-1,1,1),IF($E35&lt;&gt;1,IF(ISNUMBER(INDEX(Import.PLE,Detalhamento!$E35,Detalhamento!V$15)),IF(INDEX(Import.PLE,Detalhamento!$E35,Detalhamento!V$15)&lt;=mediçao,OFFSET(Import.PLQ,$A35-1,V$15-1,1,1),0),0),PLE!$AA$28*OFFSET(Import.PLQ,$A35-1,V$15-1,1,1)),IF($E35&lt;&gt;1,IF(ISNUMBER(INDEX(Import.PLE,Detalhamento!$E35,Detalhamento!V$15)),IF(INDEX(Import.PLE,Detalhamento!$E35,Detalhamento!V$15)&lt;=mediçao,0,OFFSET(Import.PLQ,$A35-1,V$15-1,1,1)),OFFSET(Import.PLQ,$A35-1,V$15-1,1,1)),(1-PLE!$AA$28)*OFFSET(Import.PLQ,$A35-1,V$15-1,1,1))))</f>
        <v>0</v>
      </c>
      <c r="W35" s="145">
        <f ca="1">IF(W$13="",0,CHOOSE(Detalhamento.OpçãoServiços,OFFSET(Import.PLQ,$A35-1,W$15-1,1,1),IF($E35&lt;&gt;1,IF(ISNUMBER(INDEX(Import.PLE,Detalhamento!$E35,Detalhamento!W$15)),IF(INDEX(Import.PLE,Detalhamento!$E35,Detalhamento!W$15)&lt;=mediçao,OFFSET(Import.PLQ,$A35-1,W$15-1,1,1),0),0),PLE!$AA$28*OFFSET(Import.PLQ,$A35-1,W$15-1,1,1)),IF($E35&lt;&gt;1,IF(ISNUMBER(INDEX(Import.PLE,Detalhamento!$E35,Detalhamento!W$15)),IF(INDEX(Import.PLE,Detalhamento!$E35,Detalhamento!W$15)&lt;=mediçao,0,OFFSET(Import.PLQ,$A35-1,W$15-1,1,1)),OFFSET(Import.PLQ,$A35-1,W$15-1,1,1)),(1-PLE!$AA$28)*OFFSET(Import.PLQ,$A35-1,W$15-1,1,1))))</f>
        <v>0</v>
      </c>
      <c r="X35" s="145">
        <f ca="1">IF(X$13="",0,CHOOSE(Detalhamento.OpçãoServiços,OFFSET(Import.PLQ,$A35-1,X$15-1,1,1),IF($E35&lt;&gt;1,IF(ISNUMBER(INDEX(Import.PLE,Detalhamento!$E35,Detalhamento!X$15)),IF(INDEX(Import.PLE,Detalhamento!$E35,Detalhamento!X$15)&lt;=mediçao,OFFSET(Import.PLQ,$A35-1,X$15-1,1,1),0),0),PLE!$AA$28*OFFSET(Import.PLQ,$A35-1,X$15-1,1,1)),IF($E35&lt;&gt;1,IF(ISNUMBER(INDEX(Import.PLE,Detalhamento!$E35,Detalhamento!X$15)),IF(INDEX(Import.PLE,Detalhamento!$E35,Detalhamento!X$15)&lt;=mediçao,0,OFFSET(Import.PLQ,$A35-1,X$15-1,1,1)),OFFSET(Import.PLQ,$A35-1,X$15-1,1,1)),(1-PLE!$AA$28)*OFFSET(Import.PLQ,$A35-1,X$15-1,1,1))))</f>
        <v>0</v>
      </c>
      <c r="Y35" s="145">
        <f ca="1">IF(Y$13="",0,CHOOSE(Detalhamento.OpçãoServiços,OFFSET(Import.PLQ,$A35-1,Y$15-1,1,1),IF($E35&lt;&gt;1,IF(ISNUMBER(INDEX(Import.PLE,Detalhamento!$E35,Detalhamento!Y$15)),IF(INDEX(Import.PLE,Detalhamento!$E35,Detalhamento!Y$15)&lt;=mediçao,OFFSET(Import.PLQ,$A35-1,Y$15-1,1,1),0),0),PLE!$AA$28*OFFSET(Import.PLQ,$A35-1,Y$15-1,1,1)),IF($E35&lt;&gt;1,IF(ISNUMBER(INDEX(Import.PLE,Detalhamento!$E35,Detalhamento!Y$15)),IF(INDEX(Import.PLE,Detalhamento!$E35,Detalhamento!Y$15)&lt;=mediçao,0,OFFSET(Import.PLQ,$A35-1,Y$15-1,1,1)),OFFSET(Import.PLQ,$A35-1,Y$15-1,1,1)),(1-PLE!$AA$28)*OFFSET(Import.PLQ,$A35-1,Y$15-1,1,1))))</f>
        <v>0</v>
      </c>
      <c r="Z35" s="145">
        <f ca="1">IF(Z$13="",0,CHOOSE(Detalhamento.OpçãoServiços,OFFSET(Import.PLQ,$A35-1,Z$15-1,1,1),IF($E35&lt;&gt;1,IF(ISNUMBER(INDEX(Import.PLE,Detalhamento!$E35,Detalhamento!Z$15)),IF(INDEX(Import.PLE,Detalhamento!$E35,Detalhamento!Z$15)&lt;=mediçao,OFFSET(Import.PLQ,$A35-1,Z$15-1,1,1),0),0),PLE!$AA$28*OFFSET(Import.PLQ,$A35-1,Z$15-1,1,1)),IF($E35&lt;&gt;1,IF(ISNUMBER(INDEX(Import.PLE,Detalhamento!$E35,Detalhamento!Z$15)),IF(INDEX(Import.PLE,Detalhamento!$E35,Detalhamento!Z$15)&lt;=mediçao,0,OFFSET(Import.PLQ,$A35-1,Z$15-1,1,1)),OFFSET(Import.PLQ,$A35-1,Z$15-1,1,1)),(1-PLE!$AA$28)*OFFSET(Import.PLQ,$A35-1,Z$15-1,1,1))))</f>
        <v>0</v>
      </c>
      <c r="AA35" s="145">
        <f ca="1">IF(AA$13="",0,CHOOSE(Detalhamento.OpçãoServiços,OFFSET(Import.PLQ,$A35-1,AA$15-1,1,1),IF($E35&lt;&gt;1,IF(ISNUMBER(INDEX(Import.PLE,Detalhamento!$E35,Detalhamento!AA$15)),IF(INDEX(Import.PLE,Detalhamento!$E35,Detalhamento!AA$15)&lt;=mediçao,OFFSET(Import.PLQ,$A35-1,AA$15-1,1,1),0),0),PLE!$AA$28*OFFSET(Import.PLQ,$A35-1,AA$15-1,1,1)),IF($E35&lt;&gt;1,IF(ISNUMBER(INDEX(Import.PLE,Detalhamento!$E35,Detalhamento!AA$15)),IF(INDEX(Import.PLE,Detalhamento!$E35,Detalhamento!AA$15)&lt;=mediçao,0,OFFSET(Import.PLQ,$A35-1,AA$15-1,1,1)),OFFSET(Import.PLQ,$A35-1,AA$15-1,1,1)),(1-PLE!$AA$28)*OFFSET(Import.PLQ,$A35-1,AA$15-1,1,1))))</f>
        <v>0</v>
      </c>
      <c r="AB35" s="145">
        <f ca="1">IF(AB$13="",0,CHOOSE(Detalhamento.OpçãoServiços,OFFSET(Import.PLQ,$A35-1,AB$15-1,1,1),IF($E35&lt;&gt;1,IF(ISNUMBER(INDEX(Import.PLE,Detalhamento!$E35,Detalhamento!AB$15)),IF(INDEX(Import.PLE,Detalhamento!$E35,Detalhamento!AB$15)&lt;=mediçao,OFFSET(Import.PLQ,$A35-1,AB$15-1,1,1),0),0),PLE!$AA$28*OFFSET(Import.PLQ,$A35-1,AB$15-1,1,1)),IF($E35&lt;&gt;1,IF(ISNUMBER(INDEX(Import.PLE,Detalhamento!$E35,Detalhamento!AB$15)),IF(INDEX(Import.PLE,Detalhamento!$E35,Detalhamento!AB$15)&lt;=mediçao,0,OFFSET(Import.PLQ,$A35-1,AB$15-1,1,1)),OFFSET(Import.PLQ,$A35-1,AB$15-1,1,1)),(1-PLE!$AA$28)*OFFSET(Import.PLQ,$A35-1,AB$15-1,1,1))))</f>
        <v>0</v>
      </c>
      <c r="AC35" s="145">
        <f ca="1">IF(AC$13="",0,CHOOSE(Detalhamento.OpçãoServiços,OFFSET(Import.PLQ,$A35-1,AC$15-1,1,1),IF($E35&lt;&gt;1,IF(ISNUMBER(INDEX(Import.PLE,Detalhamento!$E35,Detalhamento!AC$15)),IF(INDEX(Import.PLE,Detalhamento!$E35,Detalhamento!AC$15)&lt;=mediçao,OFFSET(Import.PLQ,$A35-1,AC$15-1,1,1),0),0),PLE!$AA$28*OFFSET(Import.PLQ,$A35-1,AC$15-1,1,1)),IF($E35&lt;&gt;1,IF(ISNUMBER(INDEX(Import.PLE,Detalhamento!$E35,Detalhamento!AC$15)),IF(INDEX(Import.PLE,Detalhamento!$E35,Detalhamento!AC$15)&lt;=mediçao,0,OFFSET(Import.PLQ,$A35-1,AC$15-1,1,1)),OFFSET(Import.PLQ,$A35-1,AC$15-1,1,1)),(1-PLE!$AA$28)*OFFSET(Import.PLQ,$A35-1,AC$15-1,1,1))))</f>
        <v>0</v>
      </c>
      <c r="AD35" s="145">
        <f ca="1">IF(AD$13="",0,CHOOSE(Detalhamento.OpçãoServiços,OFFSET(Import.PLQ,$A35-1,AD$15-1,1,1),IF($E35&lt;&gt;1,IF(ISNUMBER(INDEX(Import.PLE,Detalhamento!$E35,Detalhamento!AD$15)),IF(INDEX(Import.PLE,Detalhamento!$E35,Detalhamento!AD$15)&lt;=mediçao,OFFSET(Import.PLQ,$A35-1,AD$15-1,1,1),0),0),PLE!$AA$28*OFFSET(Import.PLQ,$A35-1,AD$15-1,1,1)),IF($E35&lt;&gt;1,IF(ISNUMBER(INDEX(Import.PLE,Detalhamento!$E35,Detalhamento!AD$15)),IF(INDEX(Import.PLE,Detalhamento!$E35,Detalhamento!AD$15)&lt;=mediçao,0,OFFSET(Import.PLQ,$A35-1,AD$15-1,1,1)),OFFSET(Import.PLQ,$A35-1,AD$15-1,1,1)),(1-PLE!$AA$28)*OFFSET(Import.PLQ,$A35-1,AD$15-1,1,1))))</f>
        <v>0</v>
      </c>
      <c r="AE35" s="145">
        <f ca="1">IF(AE$13="",0,CHOOSE(Detalhamento.OpçãoServiços,OFFSET(Import.PLQ,$A35-1,AE$15-1,1,1),IF($E35&lt;&gt;1,IF(ISNUMBER(INDEX(Import.PLE,Detalhamento!$E35,Detalhamento!AE$15)),IF(INDEX(Import.PLE,Detalhamento!$E35,Detalhamento!AE$15)&lt;=mediçao,OFFSET(Import.PLQ,$A35-1,AE$15-1,1,1),0),0),PLE!$AA$28*OFFSET(Import.PLQ,$A35-1,AE$15-1,1,1)),IF($E35&lt;&gt;1,IF(ISNUMBER(INDEX(Import.PLE,Detalhamento!$E35,Detalhamento!AE$15)),IF(INDEX(Import.PLE,Detalhamento!$E35,Detalhamento!AE$15)&lt;=mediçao,0,OFFSET(Import.PLQ,$A35-1,AE$15-1,1,1)),OFFSET(Import.PLQ,$A35-1,AE$15-1,1,1)),(1-PLE!$AA$28)*OFFSET(Import.PLQ,$A35-1,AE$15-1,1,1))))</f>
        <v>0</v>
      </c>
      <c r="AF35" s="145">
        <f ca="1">IF(AF$13="",0,CHOOSE(Detalhamento.OpçãoServiços,OFFSET(Import.PLQ,$A35-1,AF$15-1,1,1),IF($E35&lt;&gt;1,IF(ISNUMBER(INDEX(Import.PLE,Detalhamento!$E35,Detalhamento!AF$15)),IF(INDEX(Import.PLE,Detalhamento!$E35,Detalhamento!AF$15)&lt;=mediçao,OFFSET(Import.PLQ,$A35-1,AF$15-1,1,1),0),0),PLE!$AA$28*OFFSET(Import.PLQ,$A35-1,AF$15-1,1,1)),IF($E35&lt;&gt;1,IF(ISNUMBER(INDEX(Import.PLE,Detalhamento!$E35,Detalhamento!AF$15)),IF(INDEX(Import.PLE,Detalhamento!$E35,Detalhamento!AF$15)&lt;=mediçao,0,OFFSET(Import.PLQ,$A35-1,AF$15-1,1,1)),OFFSET(Import.PLQ,$A35-1,AF$15-1,1,1)),(1-PLE!$AA$28)*OFFSET(Import.PLQ,$A35-1,AF$15-1,1,1))))</f>
        <v>0</v>
      </c>
      <c r="AG35" s="145">
        <f ca="1">IF(AG$13="",0,CHOOSE(Detalhamento.OpçãoServiços,OFFSET(Import.PLQ,$A35-1,AG$15-1,1,1),IF($E35&lt;&gt;1,IF(ISNUMBER(INDEX(Import.PLE,Detalhamento!$E35,Detalhamento!AG$15)),IF(INDEX(Import.PLE,Detalhamento!$E35,Detalhamento!AG$15)&lt;=mediçao,OFFSET(Import.PLQ,$A35-1,AG$15-1,1,1),0),0),PLE!$AA$28*OFFSET(Import.PLQ,$A35-1,AG$15-1,1,1)),IF($E35&lt;&gt;1,IF(ISNUMBER(INDEX(Import.PLE,Detalhamento!$E35,Detalhamento!AG$15)),IF(INDEX(Import.PLE,Detalhamento!$E35,Detalhamento!AG$15)&lt;=mediçao,0,OFFSET(Import.PLQ,$A35-1,AG$15-1,1,1)),OFFSET(Import.PLQ,$A35-1,AG$15-1,1,1)),(1-PLE!$AA$28)*OFFSET(Import.PLQ,$A35-1,AG$15-1,1,1))))</f>
        <v>0</v>
      </c>
      <c r="AH35" s="145">
        <f ca="1">IF(AH$13="",0,CHOOSE(Detalhamento.OpçãoServiços,OFFSET(Import.PLQ,$A35-1,AH$15-1,1,1),IF($E35&lt;&gt;1,IF(ISNUMBER(INDEX(Import.PLE,Detalhamento!$E35,Detalhamento!AH$15)),IF(INDEX(Import.PLE,Detalhamento!$E35,Detalhamento!AH$15)&lt;=mediçao,OFFSET(Import.PLQ,$A35-1,AH$15-1,1,1),0),0),PLE!$AA$28*OFFSET(Import.PLQ,$A35-1,AH$15-1,1,1)),IF($E35&lt;&gt;1,IF(ISNUMBER(INDEX(Import.PLE,Detalhamento!$E35,Detalhamento!AH$15)),IF(INDEX(Import.PLE,Detalhamento!$E35,Detalhamento!AH$15)&lt;=mediçao,0,OFFSET(Import.PLQ,$A35-1,AH$15-1,1,1)),OFFSET(Import.PLQ,$A35-1,AH$15-1,1,1)),(1-PLE!$AA$28)*OFFSET(Import.PLQ,$A35-1,AH$15-1,1,1))))</f>
        <v>0</v>
      </c>
      <c r="AI35" s="145">
        <f ca="1">IF(AI$13="",0,CHOOSE(Detalhamento.OpçãoServiços,OFFSET(Import.PLQ,$A35-1,AI$15-1,1,1),IF($E35&lt;&gt;1,IF(ISNUMBER(INDEX(Import.PLE,Detalhamento!$E35,Detalhamento!AI$15)),IF(INDEX(Import.PLE,Detalhamento!$E35,Detalhamento!AI$15)&lt;=mediçao,OFFSET(Import.PLQ,$A35-1,AI$15-1,1,1),0),0),PLE!$AA$28*OFFSET(Import.PLQ,$A35-1,AI$15-1,1,1)),IF($E35&lt;&gt;1,IF(ISNUMBER(INDEX(Import.PLE,Detalhamento!$E35,Detalhamento!AI$15)),IF(INDEX(Import.PLE,Detalhamento!$E35,Detalhamento!AI$15)&lt;=mediçao,0,OFFSET(Import.PLQ,$A35-1,AI$15-1,1,1)),OFFSET(Import.PLQ,$A35-1,AI$15-1,1,1)),(1-PLE!$AA$28)*OFFSET(Import.PLQ,$A35-1,AI$15-1,1,1))))</f>
        <v>0</v>
      </c>
      <c r="AJ35" s="145">
        <f ca="1">IF(AJ$13="",0,CHOOSE(Detalhamento.OpçãoServiços,OFFSET(Import.PLQ,$A35-1,AJ$15-1,1,1),IF($E35&lt;&gt;1,IF(ISNUMBER(INDEX(Import.PLE,Detalhamento!$E35,Detalhamento!AJ$15)),IF(INDEX(Import.PLE,Detalhamento!$E35,Detalhamento!AJ$15)&lt;=mediçao,OFFSET(Import.PLQ,$A35-1,AJ$15-1,1,1),0),0),PLE!$AA$28*OFFSET(Import.PLQ,$A35-1,AJ$15-1,1,1)),IF($E35&lt;&gt;1,IF(ISNUMBER(INDEX(Import.PLE,Detalhamento!$E35,Detalhamento!AJ$15)),IF(INDEX(Import.PLE,Detalhamento!$E35,Detalhamento!AJ$15)&lt;=mediçao,0,OFFSET(Import.PLQ,$A35-1,AJ$15-1,1,1)),OFFSET(Import.PLQ,$A35-1,AJ$15-1,1,1)),(1-PLE!$AA$28)*OFFSET(Import.PLQ,$A35-1,AJ$15-1,1,1))))</f>
        <v>0</v>
      </c>
      <c r="AK35" s="145">
        <f ca="1">IF(AK$13="",0,CHOOSE(Detalhamento.OpçãoServiços,OFFSET(Import.PLQ,$A35-1,AK$15-1,1,1),IF($E35&lt;&gt;1,IF(ISNUMBER(INDEX(Import.PLE,Detalhamento!$E35,Detalhamento!AK$15)),IF(INDEX(Import.PLE,Detalhamento!$E35,Detalhamento!AK$15)&lt;=mediçao,OFFSET(Import.PLQ,$A35-1,AK$15-1,1,1),0),0),PLE!$AA$28*OFFSET(Import.PLQ,$A35-1,AK$15-1,1,1)),IF($E35&lt;&gt;1,IF(ISNUMBER(INDEX(Import.PLE,Detalhamento!$E35,Detalhamento!AK$15)),IF(INDEX(Import.PLE,Detalhamento!$E35,Detalhamento!AK$15)&lt;=mediçao,0,OFFSET(Import.PLQ,$A35-1,AK$15-1,1,1)),OFFSET(Import.PLQ,$A35-1,AK$15-1,1,1)),(1-PLE!$AA$28)*OFFSET(Import.PLQ,$A35-1,AK$15-1,1,1))))</f>
        <v>0</v>
      </c>
      <c r="AL35" s="145">
        <f ca="1">IF(AL$13="",0,CHOOSE(Detalhamento.OpçãoServiços,OFFSET(Import.PLQ,$A35-1,AL$15-1,1,1),IF($E35&lt;&gt;1,IF(ISNUMBER(INDEX(Import.PLE,Detalhamento!$E35,Detalhamento!AL$15)),IF(INDEX(Import.PLE,Detalhamento!$E35,Detalhamento!AL$15)&lt;=mediçao,OFFSET(Import.PLQ,$A35-1,AL$15-1,1,1),0),0),PLE!$AA$28*OFFSET(Import.PLQ,$A35-1,AL$15-1,1,1)),IF($E35&lt;&gt;1,IF(ISNUMBER(INDEX(Import.PLE,Detalhamento!$E35,Detalhamento!AL$15)),IF(INDEX(Import.PLE,Detalhamento!$E35,Detalhamento!AL$15)&lt;=mediçao,0,OFFSET(Import.PLQ,$A35-1,AL$15-1,1,1)),OFFSET(Import.PLQ,$A35-1,AL$15-1,1,1)),(1-PLE!$AA$28)*OFFSET(Import.PLQ,$A35-1,AL$15-1,1,1))))</f>
        <v>0</v>
      </c>
      <c r="AM35" s="145">
        <f ca="1">IF(AM$13="",0,CHOOSE(Detalhamento.OpçãoServiços,OFFSET(Import.PLQ,$A35-1,AM$15-1,1,1),IF($E35&lt;&gt;1,IF(ISNUMBER(INDEX(Import.PLE,Detalhamento!$E35,Detalhamento!AM$15)),IF(INDEX(Import.PLE,Detalhamento!$E35,Detalhamento!AM$15)&lt;=mediçao,OFFSET(Import.PLQ,$A35-1,AM$15-1,1,1),0),0),PLE!$AA$28*OFFSET(Import.PLQ,$A35-1,AM$15-1,1,1)),IF($E35&lt;&gt;1,IF(ISNUMBER(INDEX(Import.PLE,Detalhamento!$E35,Detalhamento!AM$15)),IF(INDEX(Import.PLE,Detalhamento!$E35,Detalhamento!AM$15)&lt;=mediçao,0,OFFSET(Import.PLQ,$A35-1,AM$15-1,1,1)),OFFSET(Import.PLQ,$A35-1,AM$15-1,1,1)),(1-PLE!$AA$28)*OFFSET(Import.PLQ,$A35-1,AM$15-1,1,1))))</f>
        <v>0</v>
      </c>
      <c r="AN35" s="145">
        <f ca="1">IF(AN$13="",0,CHOOSE(Detalhamento.OpçãoServiços,OFFSET(Import.PLQ,$A35-1,AN$15-1,1,1),IF($E35&lt;&gt;1,IF(ISNUMBER(INDEX(Import.PLE,Detalhamento!$E35,Detalhamento!AN$15)),IF(INDEX(Import.PLE,Detalhamento!$E35,Detalhamento!AN$15)&lt;=mediçao,OFFSET(Import.PLQ,$A35-1,AN$15-1,1,1),0),0),PLE!$AA$28*OFFSET(Import.PLQ,$A35-1,AN$15-1,1,1)),IF($E35&lt;&gt;1,IF(ISNUMBER(INDEX(Import.PLE,Detalhamento!$E35,Detalhamento!AN$15)),IF(INDEX(Import.PLE,Detalhamento!$E35,Detalhamento!AN$15)&lt;=mediçao,0,OFFSET(Import.PLQ,$A35-1,AN$15-1,1,1)),OFFSET(Import.PLQ,$A35-1,AN$15-1,1,1)),(1-PLE!$AA$28)*OFFSET(Import.PLQ,$A35-1,AN$15-1,1,1))))</f>
        <v>0</v>
      </c>
      <c r="AO35" s="145">
        <f ca="1">IF(AO$13="",0,CHOOSE(Detalhamento.OpçãoServiços,OFFSET(Import.PLQ,$A35-1,AO$15-1,1,1),IF($E35&lt;&gt;1,IF(ISNUMBER(INDEX(Import.PLE,Detalhamento!$E35,Detalhamento!AO$15)),IF(INDEX(Import.PLE,Detalhamento!$E35,Detalhamento!AO$15)&lt;=mediçao,OFFSET(Import.PLQ,$A35-1,AO$15-1,1,1),0),0),PLE!$AA$28*OFFSET(Import.PLQ,$A35-1,AO$15-1,1,1)),IF($E35&lt;&gt;1,IF(ISNUMBER(INDEX(Import.PLE,Detalhamento!$E35,Detalhamento!AO$15)),IF(INDEX(Import.PLE,Detalhamento!$E35,Detalhamento!AO$15)&lt;=mediçao,0,OFFSET(Import.PLQ,$A35-1,AO$15-1,1,1)),OFFSET(Import.PLQ,$A35-1,AO$15-1,1,1)),(1-PLE!$AA$28)*OFFSET(Import.PLQ,$A35-1,AO$15-1,1,1))))</f>
        <v>0</v>
      </c>
      <c r="AP35" s="145">
        <f ca="1">IF(AP$13="",0,CHOOSE(Detalhamento.OpçãoServiços,OFFSET(Import.PLQ,$A35-1,AP$15-1,1,1),IF($E35&lt;&gt;1,IF(ISNUMBER(INDEX(Import.PLE,Detalhamento!$E35,Detalhamento!AP$15)),IF(INDEX(Import.PLE,Detalhamento!$E35,Detalhamento!AP$15)&lt;=mediçao,OFFSET(Import.PLQ,$A35-1,AP$15-1,1,1),0),0),PLE!$AA$28*OFFSET(Import.PLQ,$A35-1,AP$15-1,1,1)),IF($E35&lt;&gt;1,IF(ISNUMBER(INDEX(Import.PLE,Detalhamento!$E35,Detalhamento!AP$15)),IF(INDEX(Import.PLE,Detalhamento!$E35,Detalhamento!AP$15)&lt;=mediçao,0,OFFSET(Import.PLQ,$A35-1,AP$15-1,1,1)),OFFSET(Import.PLQ,$A35-1,AP$15-1,1,1)),(1-PLE!$AA$28)*OFFSET(Import.PLQ,$A35-1,AP$15-1,1,1))))</f>
        <v>0</v>
      </c>
      <c r="AQ35" s="145">
        <f ca="1">IF(AQ$13="",0,CHOOSE(Detalhamento.OpçãoServiços,OFFSET(Import.PLQ,$A35-1,AQ$15-1,1,1),IF($E35&lt;&gt;1,IF(ISNUMBER(INDEX(Import.PLE,Detalhamento!$E35,Detalhamento!AQ$15)),IF(INDEX(Import.PLE,Detalhamento!$E35,Detalhamento!AQ$15)&lt;=mediçao,OFFSET(Import.PLQ,$A35-1,AQ$15-1,1,1),0),0),PLE!$AA$28*OFFSET(Import.PLQ,$A35-1,AQ$15-1,1,1)),IF($E35&lt;&gt;1,IF(ISNUMBER(INDEX(Import.PLE,Detalhamento!$E35,Detalhamento!AQ$15)),IF(INDEX(Import.PLE,Detalhamento!$E35,Detalhamento!AQ$15)&lt;=mediçao,0,OFFSET(Import.PLQ,$A35-1,AQ$15-1,1,1)),OFFSET(Import.PLQ,$A35-1,AQ$15-1,1,1)),(1-PLE!$AA$28)*OFFSET(Import.PLQ,$A35-1,AQ$15-1,1,1))))</f>
        <v>0</v>
      </c>
      <c r="AR35" s="145">
        <f ca="1">IF(AR$13="",0,CHOOSE(Detalhamento.OpçãoServiços,OFFSET(Import.PLQ,$A35-1,AR$15-1,1,1),IF($E35&lt;&gt;1,IF(ISNUMBER(INDEX(Import.PLE,Detalhamento!$E35,Detalhamento!AR$15)),IF(INDEX(Import.PLE,Detalhamento!$E35,Detalhamento!AR$15)&lt;=mediçao,OFFSET(Import.PLQ,$A35-1,AR$15-1,1,1),0),0),PLE!$AA$28*OFFSET(Import.PLQ,$A35-1,AR$15-1,1,1)),IF($E35&lt;&gt;1,IF(ISNUMBER(INDEX(Import.PLE,Detalhamento!$E35,Detalhamento!AR$15)),IF(INDEX(Import.PLE,Detalhamento!$E35,Detalhamento!AR$15)&lt;=mediçao,0,OFFSET(Import.PLQ,$A35-1,AR$15-1,1,1)),OFFSET(Import.PLQ,$A35-1,AR$15-1,1,1)),(1-PLE!$AA$28)*OFFSET(Import.PLQ,$A35-1,AR$15-1,1,1))))</f>
        <v>0</v>
      </c>
      <c r="AS35" s="145">
        <f ca="1">IF(AS$13="",0,CHOOSE(Detalhamento.OpçãoServiços,OFFSET(Import.PLQ,$A35-1,AS$15-1,1,1),IF($E35&lt;&gt;1,IF(ISNUMBER(INDEX(Import.PLE,Detalhamento!$E35,Detalhamento!AS$15)),IF(INDEX(Import.PLE,Detalhamento!$E35,Detalhamento!AS$15)&lt;=mediçao,OFFSET(Import.PLQ,$A35-1,AS$15-1,1,1),0),0),PLE!$AA$28*OFFSET(Import.PLQ,$A35-1,AS$15-1,1,1)),IF($E35&lt;&gt;1,IF(ISNUMBER(INDEX(Import.PLE,Detalhamento!$E35,Detalhamento!AS$15)),IF(INDEX(Import.PLE,Detalhamento!$E35,Detalhamento!AS$15)&lt;=mediçao,0,OFFSET(Import.PLQ,$A35-1,AS$15-1,1,1)),OFFSET(Import.PLQ,$A35-1,AS$15-1,1,1)),(1-PLE!$AA$28)*OFFSET(Import.PLQ,$A35-1,AS$15-1,1,1))))</f>
        <v>0</v>
      </c>
      <c r="AT35" s="145">
        <f ca="1">IF(AT$13="",0,CHOOSE(Detalhamento.OpçãoServiços,OFFSET(Import.PLQ,$A35-1,AT$15-1,1,1),IF($E35&lt;&gt;1,IF(ISNUMBER(INDEX(Import.PLE,Detalhamento!$E35,Detalhamento!AT$15)),IF(INDEX(Import.PLE,Detalhamento!$E35,Detalhamento!AT$15)&lt;=mediçao,OFFSET(Import.PLQ,$A35-1,AT$15-1,1,1),0),0),PLE!$AA$28*OFFSET(Import.PLQ,$A35-1,AT$15-1,1,1)),IF($E35&lt;&gt;1,IF(ISNUMBER(INDEX(Import.PLE,Detalhamento!$E35,Detalhamento!AT$15)),IF(INDEX(Import.PLE,Detalhamento!$E35,Detalhamento!AT$15)&lt;=mediçao,0,OFFSET(Import.PLQ,$A35-1,AT$15-1,1,1)),OFFSET(Import.PLQ,$A35-1,AT$15-1,1,1)),(1-PLE!$AA$28)*OFFSET(Import.PLQ,$A35-1,AT$15-1,1,1))))</f>
        <v>0</v>
      </c>
      <c r="AU35" s="145">
        <f ca="1">IF(AU$13="",0,CHOOSE(Detalhamento.OpçãoServiços,OFFSET(Import.PLQ,$A35-1,AU$15-1,1,1),IF($E35&lt;&gt;1,IF(ISNUMBER(INDEX(Import.PLE,Detalhamento!$E35,Detalhamento!AU$15)),IF(INDEX(Import.PLE,Detalhamento!$E35,Detalhamento!AU$15)&lt;=mediçao,OFFSET(Import.PLQ,$A35-1,AU$15-1,1,1),0),0),PLE!$AA$28*OFFSET(Import.PLQ,$A35-1,AU$15-1,1,1)),IF($E35&lt;&gt;1,IF(ISNUMBER(INDEX(Import.PLE,Detalhamento!$E35,Detalhamento!AU$15)),IF(INDEX(Import.PLE,Detalhamento!$E35,Detalhamento!AU$15)&lt;=mediçao,0,OFFSET(Import.PLQ,$A35-1,AU$15-1,1,1)),OFFSET(Import.PLQ,$A35-1,AU$15-1,1,1)),(1-PLE!$AA$28)*OFFSET(Import.PLQ,$A35-1,AU$15-1,1,1))))</f>
        <v>0</v>
      </c>
      <c r="AV35" s="145">
        <f ca="1">IF(AV$13="",0,CHOOSE(Detalhamento.OpçãoServiços,OFFSET(Import.PLQ,$A35-1,AV$15-1,1,1),IF($E35&lt;&gt;1,IF(ISNUMBER(INDEX(Import.PLE,Detalhamento!$E35,Detalhamento!AV$15)),IF(INDEX(Import.PLE,Detalhamento!$E35,Detalhamento!AV$15)&lt;=mediçao,OFFSET(Import.PLQ,$A35-1,AV$15-1,1,1),0),0),PLE!$AA$28*OFFSET(Import.PLQ,$A35-1,AV$15-1,1,1)),IF($E35&lt;&gt;1,IF(ISNUMBER(INDEX(Import.PLE,Detalhamento!$E35,Detalhamento!AV$15)),IF(INDEX(Import.PLE,Detalhamento!$E35,Detalhamento!AV$15)&lt;=mediçao,0,OFFSET(Import.PLQ,$A35-1,AV$15-1,1,1)),OFFSET(Import.PLQ,$A35-1,AV$15-1,1,1)),(1-PLE!$AA$28)*OFFSET(Import.PLQ,$A35-1,AV$15-1,1,1))))</f>
        <v>0</v>
      </c>
      <c r="AW35" s="145">
        <f ca="1">IF(AW$13="",0,CHOOSE(Detalhamento.OpçãoServiços,OFFSET(Import.PLQ,$A35-1,AW$15-1,1,1),IF($E35&lt;&gt;1,IF(ISNUMBER(INDEX(Import.PLE,Detalhamento!$E35,Detalhamento!AW$15)),IF(INDEX(Import.PLE,Detalhamento!$E35,Detalhamento!AW$15)&lt;=mediçao,OFFSET(Import.PLQ,$A35-1,AW$15-1,1,1),0),0),PLE!$AA$28*OFFSET(Import.PLQ,$A35-1,AW$15-1,1,1)),IF($E35&lt;&gt;1,IF(ISNUMBER(INDEX(Import.PLE,Detalhamento!$E35,Detalhamento!AW$15)),IF(INDEX(Import.PLE,Detalhamento!$E35,Detalhamento!AW$15)&lt;=mediçao,0,OFFSET(Import.PLQ,$A35-1,AW$15-1,1,1)),OFFSET(Import.PLQ,$A35-1,AW$15-1,1,1)),(1-PLE!$AA$28)*OFFSET(Import.PLQ,$A35-1,AW$15-1,1,1))))</f>
        <v>0</v>
      </c>
      <c r="AX35" s="145">
        <f ca="1">IF(AX$13="",0,CHOOSE(Detalhamento.OpçãoServiços,OFFSET(Import.PLQ,$A35-1,AX$15-1,1,1),IF($E35&lt;&gt;1,IF(ISNUMBER(INDEX(Import.PLE,Detalhamento!$E35,Detalhamento!AX$15)),IF(INDEX(Import.PLE,Detalhamento!$E35,Detalhamento!AX$15)&lt;=mediçao,OFFSET(Import.PLQ,$A35-1,AX$15-1,1,1),0),0),PLE!$AA$28*OFFSET(Import.PLQ,$A35-1,AX$15-1,1,1)),IF($E35&lt;&gt;1,IF(ISNUMBER(INDEX(Import.PLE,Detalhamento!$E35,Detalhamento!AX$15)),IF(INDEX(Import.PLE,Detalhamento!$E35,Detalhamento!AX$15)&lt;=mediçao,0,OFFSET(Import.PLQ,$A35-1,AX$15-1,1,1)),OFFSET(Import.PLQ,$A35-1,AX$15-1,1,1)),(1-PLE!$AA$28)*OFFSET(Import.PLQ,$A35-1,AX$15-1,1,1))))</f>
        <v>0</v>
      </c>
      <c r="AY35" s="145">
        <f ca="1">IF(AY$13="",0,CHOOSE(Detalhamento.OpçãoServiços,OFFSET(Import.PLQ,$A35-1,AY$15-1,1,1),IF($E35&lt;&gt;1,IF(ISNUMBER(INDEX(Import.PLE,Detalhamento!$E35,Detalhamento!AY$15)),IF(INDEX(Import.PLE,Detalhamento!$E35,Detalhamento!AY$15)&lt;=mediçao,OFFSET(Import.PLQ,$A35-1,AY$15-1,1,1),0),0),PLE!$AA$28*OFFSET(Import.PLQ,$A35-1,AY$15-1,1,1)),IF($E35&lt;&gt;1,IF(ISNUMBER(INDEX(Import.PLE,Detalhamento!$E35,Detalhamento!AY$15)),IF(INDEX(Import.PLE,Detalhamento!$E35,Detalhamento!AY$15)&lt;=mediçao,0,OFFSET(Import.PLQ,$A35-1,AY$15-1,1,1)),OFFSET(Import.PLQ,$A35-1,AY$15-1,1,1)),(1-PLE!$AA$28)*OFFSET(Import.PLQ,$A35-1,AY$15-1,1,1))))</f>
        <v>0</v>
      </c>
      <c r="AZ35" s="145">
        <f ca="1">IF(AZ$13="",0,CHOOSE(Detalhamento.OpçãoServiços,OFFSET(Import.PLQ,$A35-1,AZ$15-1,1,1),IF($E35&lt;&gt;1,IF(ISNUMBER(INDEX(Import.PLE,Detalhamento!$E35,Detalhamento!AZ$15)),IF(INDEX(Import.PLE,Detalhamento!$E35,Detalhamento!AZ$15)&lt;=mediçao,OFFSET(Import.PLQ,$A35-1,AZ$15-1,1,1),0),0),PLE!$AA$28*OFFSET(Import.PLQ,$A35-1,AZ$15-1,1,1)),IF($E35&lt;&gt;1,IF(ISNUMBER(INDEX(Import.PLE,Detalhamento!$E35,Detalhamento!AZ$15)),IF(INDEX(Import.PLE,Detalhamento!$E35,Detalhamento!AZ$15)&lt;=mediçao,0,OFFSET(Import.PLQ,$A35-1,AZ$15-1,1,1)),OFFSET(Import.PLQ,$A35-1,AZ$15-1,1,1)),(1-PLE!$AA$28)*OFFSET(Import.PLQ,$A35-1,AZ$15-1,1,1))))</f>
        <v>0</v>
      </c>
      <c r="BA35" s="145">
        <f ca="1">IF(BA$13="",0,CHOOSE(Detalhamento.OpçãoServiços,OFFSET(Import.PLQ,$A35-1,BA$15-1,1,1),IF($E35&lt;&gt;1,IF(ISNUMBER(INDEX(Import.PLE,Detalhamento!$E35,Detalhamento!BA$15)),IF(INDEX(Import.PLE,Detalhamento!$E35,Detalhamento!BA$15)&lt;=mediçao,OFFSET(Import.PLQ,$A35-1,BA$15-1,1,1),0),0),PLE!$AA$28*OFFSET(Import.PLQ,$A35-1,BA$15-1,1,1)),IF($E35&lt;&gt;1,IF(ISNUMBER(INDEX(Import.PLE,Detalhamento!$E35,Detalhamento!BA$15)),IF(INDEX(Import.PLE,Detalhamento!$E35,Detalhamento!BA$15)&lt;=mediçao,0,OFFSET(Import.PLQ,$A35-1,BA$15-1,1,1)),OFFSET(Import.PLQ,$A35-1,BA$15-1,1,1)),(1-PLE!$AA$28)*OFFSET(Import.PLQ,$A35-1,BA$15-1,1,1))))</f>
        <v>0</v>
      </c>
      <c r="BB35" s="145">
        <f ca="1">IF(BB$13="",0,CHOOSE(Detalhamento.OpçãoServiços,OFFSET(Import.PLQ,$A35-1,BB$15-1,1,1),IF($E35&lt;&gt;1,IF(ISNUMBER(INDEX(Import.PLE,Detalhamento!$E35,Detalhamento!BB$15)),IF(INDEX(Import.PLE,Detalhamento!$E35,Detalhamento!BB$15)&lt;=mediçao,OFFSET(Import.PLQ,$A35-1,BB$15-1,1,1),0),0),PLE!$AA$28*OFFSET(Import.PLQ,$A35-1,BB$15-1,1,1)),IF($E35&lt;&gt;1,IF(ISNUMBER(INDEX(Import.PLE,Detalhamento!$E35,Detalhamento!BB$15)),IF(INDEX(Import.PLE,Detalhamento!$E35,Detalhamento!BB$15)&lt;=mediçao,0,OFFSET(Import.PLQ,$A35-1,BB$15-1,1,1)),OFFSET(Import.PLQ,$A35-1,BB$15-1,1,1)),(1-PLE!$AA$28)*OFFSET(Import.PLQ,$A35-1,BB$15-1,1,1))))</f>
        <v>0</v>
      </c>
      <c r="BC35" s="145">
        <f ca="1">IF(BC$13="",0,CHOOSE(Detalhamento.OpçãoServiços,OFFSET(Import.PLQ,$A35-1,BC$15-1,1,1),IF($E35&lt;&gt;1,IF(ISNUMBER(INDEX(Import.PLE,Detalhamento!$E35,Detalhamento!BC$15)),IF(INDEX(Import.PLE,Detalhamento!$E35,Detalhamento!BC$15)&lt;=mediçao,OFFSET(Import.PLQ,$A35-1,BC$15-1,1,1),0),0),PLE!$AA$28*OFFSET(Import.PLQ,$A35-1,BC$15-1,1,1)),IF($E35&lt;&gt;1,IF(ISNUMBER(INDEX(Import.PLE,Detalhamento!$E35,Detalhamento!BC$15)),IF(INDEX(Import.PLE,Detalhamento!$E35,Detalhamento!BC$15)&lt;=mediçao,0,OFFSET(Import.PLQ,$A35-1,BC$15-1,1,1)),OFFSET(Import.PLQ,$A35-1,BC$15-1,1,1)),(1-PLE!$AA$28)*OFFSET(Import.PLQ,$A35-1,BC$15-1,1,1))))</f>
        <v>0</v>
      </c>
      <c r="BD35" s="145">
        <f ca="1">IF(BD$13="",0,CHOOSE(Detalhamento.OpçãoServiços,OFFSET(Import.PLQ,$A35-1,BD$15-1,1,1),IF($E35&lt;&gt;1,IF(ISNUMBER(INDEX(Import.PLE,Detalhamento!$E35,Detalhamento!BD$15)),IF(INDEX(Import.PLE,Detalhamento!$E35,Detalhamento!BD$15)&lt;=mediçao,OFFSET(Import.PLQ,$A35-1,BD$15-1,1,1),0),0),PLE!$AA$28*OFFSET(Import.PLQ,$A35-1,BD$15-1,1,1)),IF($E35&lt;&gt;1,IF(ISNUMBER(INDEX(Import.PLE,Detalhamento!$E35,Detalhamento!BD$15)),IF(INDEX(Import.PLE,Detalhamento!$E35,Detalhamento!BD$15)&lt;=mediçao,0,OFFSET(Import.PLQ,$A35-1,BD$15-1,1,1)),OFFSET(Import.PLQ,$A35-1,BD$15-1,1,1)),(1-PLE!$AA$28)*OFFSET(Import.PLQ,$A35-1,BD$15-1,1,1))))</f>
        <v>0</v>
      </c>
      <c r="BE35" s="145">
        <f ca="1">IF(BE$13="",0,CHOOSE(Detalhamento.OpçãoServiços,OFFSET(Import.PLQ,$A35-1,BE$15-1,1,1),IF($E35&lt;&gt;1,IF(ISNUMBER(INDEX(Import.PLE,Detalhamento!$E35,Detalhamento!BE$15)),IF(INDEX(Import.PLE,Detalhamento!$E35,Detalhamento!BE$15)&lt;=mediçao,OFFSET(Import.PLQ,$A35-1,BE$15-1,1,1),0),0),PLE!$AA$28*OFFSET(Import.PLQ,$A35-1,BE$15-1,1,1)),IF($E35&lt;&gt;1,IF(ISNUMBER(INDEX(Import.PLE,Detalhamento!$E35,Detalhamento!BE$15)),IF(INDEX(Import.PLE,Detalhamento!$E35,Detalhamento!BE$15)&lt;=mediçao,0,OFFSET(Import.PLQ,$A35-1,BE$15-1,1,1)),OFFSET(Import.PLQ,$A35-1,BE$15-1,1,1)),(1-PLE!$AA$28)*OFFSET(Import.PLQ,$A35-1,BE$15-1,1,1))))</f>
        <v>0</v>
      </c>
      <c r="BF35" s="145">
        <f ca="1">IF(BF$13="",0,CHOOSE(Detalhamento.OpçãoServiços,OFFSET(Import.PLQ,$A35-1,BF$15-1,1,1),IF($E35&lt;&gt;1,IF(ISNUMBER(INDEX(Import.PLE,Detalhamento!$E35,Detalhamento!BF$15)),IF(INDEX(Import.PLE,Detalhamento!$E35,Detalhamento!BF$15)&lt;=mediçao,OFFSET(Import.PLQ,$A35-1,BF$15-1,1,1),0),0),PLE!$AA$28*OFFSET(Import.PLQ,$A35-1,BF$15-1,1,1)),IF($E35&lt;&gt;1,IF(ISNUMBER(INDEX(Import.PLE,Detalhamento!$E35,Detalhamento!BF$15)),IF(INDEX(Import.PLE,Detalhamento!$E35,Detalhamento!BF$15)&lt;=mediçao,0,OFFSET(Import.PLQ,$A35-1,BF$15-1,1,1)),OFFSET(Import.PLQ,$A35-1,BF$15-1,1,1)),(1-PLE!$AA$28)*OFFSET(Import.PLQ,$A35-1,BF$15-1,1,1))))</f>
        <v>0</v>
      </c>
      <c r="BG35" s="145">
        <f ca="1">IF(BG$13="",0,CHOOSE(Detalhamento.OpçãoServiços,OFFSET(Import.PLQ,$A35-1,BG$15-1,1,1),IF($E35&lt;&gt;1,IF(ISNUMBER(INDEX(Import.PLE,Detalhamento!$E35,Detalhamento!BG$15)),IF(INDEX(Import.PLE,Detalhamento!$E35,Detalhamento!BG$15)&lt;=mediçao,OFFSET(Import.PLQ,$A35-1,BG$15-1,1,1),0),0),PLE!$AA$28*OFFSET(Import.PLQ,$A35-1,BG$15-1,1,1)),IF($E35&lt;&gt;1,IF(ISNUMBER(INDEX(Import.PLE,Detalhamento!$E35,Detalhamento!BG$15)),IF(INDEX(Import.PLE,Detalhamento!$E35,Detalhamento!BG$15)&lt;=mediçao,0,OFFSET(Import.PLQ,$A35-1,BG$15-1,1,1)),OFFSET(Import.PLQ,$A35-1,BG$15-1,1,1)),(1-PLE!$AA$28)*OFFSET(Import.PLQ,$A35-1,BG$15-1,1,1))))</f>
        <v>0</v>
      </c>
      <c r="BH35" s="145">
        <f ca="1">IF(BH$13="",0,CHOOSE(Detalhamento.OpçãoServiços,OFFSET(Import.PLQ,$A35-1,BH$15-1,1,1),IF($E35&lt;&gt;1,IF(ISNUMBER(INDEX(Import.PLE,Detalhamento!$E35,Detalhamento!BH$15)),IF(INDEX(Import.PLE,Detalhamento!$E35,Detalhamento!BH$15)&lt;=mediçao,OFFSET(Import.PLQ,$A35-1,BH$15-1,1,1),0),0),PLE!$AA$28*OFFSET(Import.PLQ,$A35-1,BH$15-1,1,1)),IF($E35&lt;&gt;1,IF(ISNUMBER(INDEX(Import.PLE,Detalhamento!$E35,Detalhamento!BH$15)),IF(INDEX(Import.PLE,Detalhamento!$E35,Detalhamento!BH$15)&lt;=mediçao,0,OFFSET(Import.PLQ,$A35-1,BH$15-1,1,1)),OFFSET(Import.PLQ,$A35-1,BH$15-1,1,1)),(1-PLE!$AA$28)*OFFSET(Import.PLQ,$A35-1,BH$15-1,1,1))))</f>
        <v>0</v>
      </c>
      <c r="BI35" s="145">
        <f ca="1">IF(BI$13="",0,CHOOSE(Detalhamento.OpçãoServiços,OFFSET(Import.PLQ,$A35-1,BI$15-1,1,1),IF($E35&lt;&gt;1,IF(ISNUMBER(INDEX(Import.PLE,Detalhamento!$E35,Detalhamento!BI$15)),IF(INDEX(Import.PLE,Detalhamento!$E35,Detalhamento!BI$15)&lt;=mediçao,OFFSET(Import.PLQ,$A35-1,BI$15-1,1,1),0),0),PLE!$AA$28*OFFSET(Import.PLQ,$A35-1,BI$15-1,1,1)),IF($E35&lt;&gt;1,IF(ISNUMBER(INDEX(Import.PLE,Detalhamento!$E35,Detalhamento!BI$15)),IF(INDEX(Import.PLE,Detalhamento!$E35,Detalhamento!BI$15)&lt;=mediçao,0,OFFSET(Import.PLQ,$A35-1,BI$15-1,1,1)),OFFSET(Import.PLQ,$A35-1,BI$15-1,1,1)),(1-PLE!$AA$28)*OFFSET(Import.PLQ,$A35-1,BI$15-1,1,1))))</f>
        <v>0</v>
      </c>
    </row>
    <row r="36" spans="1:61" x14ac:dyDescent="0.2">
      <c r="A36" s="156">
        <v>16</v>
      </c>
      <c r="B36" s="21" t="str">
        <f t="shared" ca="1" si="8"/>
        <v>Serviço</v>
      </c>
      <c r="E36" s="154">
        <f t="shared" ca="1" si="9"/>
        <v>4</v>
      </c>
      <c r="F36" s="155">
        <f t="shared" ca="1" si="10"/>
        <v>40016</v>
      </c>
      <c r="G36" s="155" t="str">
        <f t="shared" ca="1" si="11"/>
        <v>4.5</v>
      </c>
      <c r="H36" s="183" t="str">
        <f t="shared" ca="1" si="11"/>
        <v>Pintura acrílica em piso cimentado da rampa, 2 demãos</v>
      </c>
      <c r="I36" s="37" t="str">
        <f t="shared" ca="1" si="12"/>
        <v>m²</v>
      </c>
      <c r="J36" s="145">
        <f t="shared" ca="1" si="13"/>
        <v>485.94000000000005</v>
      </c>
      <c r="K36" s="67"/>
      <c r="L36" s="145">
        <f ca="1">IF(L$13="",0,CHOOSE(Detalhamento.OpçãoServiços,OFFSET(Import.PLQ,$A36-1,L$15-1,1,1),IF($E36&lt;&gt;1,IF(ISNUMBER(INDEX(Import.PLE,Detalhamento!$E36,Detalhamento!L$15)),IF(INDEX(Import.PLE,Detalhamento!$E36,Detalhamento!L$15)&lt;=mediçao,OFFSET(Import.PLQ,$A36-1,L$15-1,1,1),0),0),PLE!$AA$28*OFFSET(Import.PLQ,$A36-1,L$15-1,1,1)),IF($E36&lt;&gt;1,IF(ISNUMBER(INDEX(Import.PLE,Detalhamento!$E36,Detalhamento!L$15)),IF(INDEX(Import.PLE,Detalhamento!$E36,Detalhamento!L$15)&lt;=mediçao,0,OFFSET(Import.PLQ,$A36-1,L$15-1,1,1)),OFFSET(Import.PLQ,$A36-1,L$15-1,1,1)),(1-PLE!$AA$28)*OFFSET(Import.PLQ,$A36-1,L$15-1,1,1))))</f>
        <v>99.68</v>
      </c>
      <c r="M36" s="145">
        <f ca="1">IF(M$13="",0,CHOOSE(Detalhamento.OpçãoServiços,OFFSET(Import.PLQ,$A36-1,M$15-1,1,1),IF($E36&lt;&gt;1,IF(ISNUMBER(INDEX(Import.PLE,Detalhamento!$E36,Detalhamento!M$15)),IF(INDEX(Import.PLE,Detalhamento!$E36,Detalhamento!M$15)&lt;=mediçao,OFFSET(Import.PLQ,$A36-1,M$15-1,1,1),0),0),PLE!$AA$28*OFFSET(Import.PLQ,$A36-1,M$15-1,1,1)),IF($E36&lt;&gt;1,IF(ISNUMBER(INDEX(Import.PLE,Detalhamento!$E36,Detalhamento!M$15)),IF(INDEX(Import.PLE,Detalhamento!$E36,Detalhamento!M$15)&lt;=mediçao,0,OFFSET(Import.PLQ,$A36-1,M$15-1,1,1)),OFFSET(Import.PLQ,$A36-1,M$15-1,1,1)),(1-PLE!$AA$28)*OFFSET(Import.PLQ,$A36-1,M$15-1,1,1))))</f>
        <v>49.84</v>
      </c>
      <c r="N36" s="145">
        <f ca="1">IF(N$13="",0,CHOOSE(Detalhamento.OpçãoServiços,OFFSET(Import.PLQ,$A36-1,N$15-1,1,1),IF($E36&lt;&gt;1,IF(ISNUMBER(INDEX(Import.PLE,Detalhamento!$E36,Detalhamento!N$15)),IF(INDEX(Import.PLE,Detalhamento!$E36,Detalhamento!N$15)&lt;=mediçao,OFFSET(Import.PLQ,$A36-1,N$15-1,1,1),0),0),PLE!$AA$28*OFFSET(Import.PLQ,$A36-1,N$15-1,1,1)),IF($E36&lt;&gt;1,IF(ISNUMBER(INDEX(Import.PLE,Detalhamento!$E36,Detalhamento!N$15)),IF(INDEX(Import.PLE,Detalhamento!$E36,Detalhamento!N$15)&lt;=mediçao,0,OFFSET(Import.PLQ,$A36-1,N$15-1,1,1)),OFFSET(Import.PLQ,$A36-1,N$15-1,1,1)),(1-PLE!$AA$28)*OFFSET(Import.PLQ,$A36-1,N$15-1,1,1))))</f>
        <v>74.760000000000005</v>
      </c>
      <c r="O36" s="145">
        <f ca="1">IF(O$13="",0,CHOOSE(Detalhamento.OpçãoServiços,OFFSET(Import.PLQ,$A36-1,O$15-1,1,1),IF($E36&lt;&gt;1,IF(ISNUMBER(INDEX(Import.PLE,Detalhamento!$E36,Detalhamento!O$15)),IF(INDEX(Import.PLE,Detalhamento!$E36,Detalhamento!O$15)&lt;=mediçao,OFFSET(Import.PLQ,$A36-1,O$15-1,1,1),0),0),PLE!$AA$28*OFFSET(Import.PLQ,$A36-1,O$15-1,1,1)),IF($E36&lt;&gt;1,IF(ISNUMBER(INDEX(Import.PLE,Detalhamento!$E36,Detalhamento!O$15)),IF(INDEX(Import.PLE,Detalhamento!$E36,Detalhamento!O$15)&lt;=mediçao,0,OFFSET(Import.PLQ,$A36-1,O$15-1,1,1)),OFFSET(Import.PLQ,$A36-1,O$15-1,1,1)),(1-PLE!$AA$28)*OFFSET(Import.PLQ,$A36-1,O$15-1,1,1))))</f>
        <v>99.68</v>
      </c>
      <c r="P36" s="145">
        <f ca="1">IF(P$13="",0,CHOOSE(Detalhamento.OpçãoServiços,OFFSET(Import.PLQ,$A36-1,P$15-1,1,1),IF($E36&lt;&gt;1,IF(ISNUMBER(INDEX(Import.PLE,Detalhamento!$E36,Detalhamento!P$15)),IF(INDEX(Import.PLE,Detalhamento!$E36,Detalhamento!P$15)&lt;=mediçao,OFFSET(Import.PLQ,$A36-1,P$15-1,1,1),0),0),PLE!$AA$28*OFFSET(Import.PLQ,$A36-1,P$15-1,1,1)),IF($E36&lt;&gt;1,IF(ISNUMBER(INDEX(Import.PLE,Detalhamento!$E36,Detalhamento!P$15)),IF(INDEX(Import.PLE,Detalhamento!$E36,Detalhamento!P$15)&lt;=mediçao,0,OFFSET(Import.PLQ,$A36-1,P$15-1,1,1)),OFFSET(Import.PLQ,$A36-1,P$15-1,1,1)),(1-PLE!$AA$28)*OFFSET(Import.PLQ,$A36-1,P$15-1,1,1))))</f>
        <v>24.92</v>
      </c>
      <c r="Q36" s="145">
        <f ca="1">IF(Q$13="",0,CHOOSE(Detalhamento.OpçãoServiços,OFFSET(Import.PLQ,$A36-1,Q$15-1,1,1),IF($E36&lt;&gt;1,IF(ISNUMBER(INDEX(Import.PLE,Detalhamento!$E36,Detalhamento!Q$15)),IF(INDEX(Import.PLE,Detalhamento!$E36,Detalhamento!Q$15)&lt;=mediçao,OFFSET(Import.PLQ,$A36-1,Q$15-1,1,1),0),0),PLE!$AA$28*OFFSET(Import.PLQ,$A36-1,Q$15-1,1,1)),IF($E36&lt;&gt;1,IF(ISNUMBER(INDEX(Import.PLE,Detalhamento!$E36,Detalhamento!Q$15)),IF(INDEX(Import.PLE,Detalhamento!$E36,Detalhamento!Q$15)&lt;=mediçao,0,OFFSET(Import.PLQ,$A36-1,Q$15-1,1,1)),OFFSET(Import.PLQ,$A36-1,Q$15-1,1,1)),(1-PLE!$AA$28)*OFFSET(Import.PLQ,$A36-1,Q$15-1,1,1))))</f>
        <v>37.380000000000003</v>
      </c>
      <c r="R36" s="145">
        <f ca="1">IF(R$13="",0,CHOOSE(Detalhamento.OpçãoServiços,OFFSET(Import.PLQ,$A36-1,R$15-1,1,1),IF($E36&lt;&gt;1,IF(ISNUMBER(INDEX(Import.PLE,Detalhamento!$E36,Detalhamento!R$15)),IF(INDEX(Import.PLE,Detalhamento!$E36,Detalhamento!R$15)&lt;=mediçao,OFFSET(Import.PLQ,$A36-1,R$15-1,1,1),0),0),PLE!$AA$28*OFFSET(Import.PLQ,$A36-1,R$15-1,1,1)),IF($E36&lt;&gt;1,IF(ISNUMBER(INDEX(Import.PLE,Detalhamento!$E36,Detalhamento!R$15)),IF(INDEX(Import.PLE,Detalhamento!$E36,Detalhamento!R$15)&lt;=mediçao,0,OFFSET(Import.PLQ,$A36-1,R$15-1,1,1)),OFFSET(Import.PLQ,$A36-1,R$15-1,1,1)),(1-PLE!$AA$28)*OFFSET(Import.PLQ,$A36-1,R$15-1,1,1))))</f>
        <v>49.84</v>
      </c>
      <c r="S36" s="145">
        <f ca="1">IF(S$13="",0,CHOOSE(Detalhamento.OpçãoServiços,OFFSET(Import.PLQ,$A36-1,S$15-1,1,1),IF($E36&lt;&gt;1,IF(ISNUMBER(INDEX(Import.PLE,Detalhamento!$E36,Detalhamento!S$15)),IF(INDEX(Import.PLE,Detalhamento!$E36,Detalhamento!S$15)&lt;=mediçao,OFFSET(Import.PLQ,$A36-1,S$15-1,1,1),0),0),PLE!$AA$28*OFFSET(Import.PLQ,$A36-1,S$15-1,1,1)),IF($E36&lt;&gt;1,IF(ISNUMBER(INDEX(Import.PLE,Detalhamento!$E36,Detalhamento!S$15)),IF(INDEX(Import.PLE,Detalhamento!$E36,Detalhamento!S$15)&lt;=mediçao,0,OFFSET(Import.PLQ,$A36-1,S$15-1,1,1)),OFFSET(Import.PLQ,$A36-1,S$15-1,1,1)),(1-PLE!$AA$28)*OFFSET(Import.PLQ,$A36-1,S$15-1,1,1))))</f>
        <v>49.84</v>
      </c>
      <c r="T36" s="145">
        <f ca="1">IF(T$13="",0,CHOOSE(Detalhamento.OpçãoServiços,OFFSET(Import.PLQ,$A36-1,T$15-1,1,1),IF($E36&lt;&gt;1,IF(ISNUMBER(INDEX(Import.PLE,Detalhamento!$E36,Detalhamento!T$15)),IF(INDEX(Import.PLE,Detalhamento!$E36,Detalhamento!T$15)&lt;=mediçao,OFFSET(Import.PLQ,$A36-1,T$15-1,1,1),0),0),PLE!$AA$28*OFFSET(Import.PLQ,$A36-1,T$15-1,1,1)),IF($E36&lt;&gt;1,IF(ISNUMBER(INDEX(Import.PLE,Detalhamento!$E36,Detalhamento!T$15)),IF(INDEX(Import.PLE,Detalhamento!$E36,Detalhamento!T$15)&lt;=mediçao,0,OFFSET(Import.PLQ,$A36-1,T$15-1,1,1)),OFFSET(Import.PLQ,$A36-1,T$15-1,1,1)),(1-PLE!$AA$28)*OFFSET(Import.PLQ,$A36-1,T$15-1,1,1))))</f>
        <v>0</v>
      </c>
      <c r="U36" s="145">
        <f ca="1">IF(U$13="",0,CHOOSE(Detalhamento.OpçãoServiços,OFFSET(Import.PLQ,$A36-1,U$15-1,1,1),IF($E36&lt;&gt;1,IF(ISNUMBER(INDEX(Import.PLE,Detalhamento!$E36,Detalhamento!U$15)),IF(INDEX(Import.PLE,Detalhamento!$E36,Detalhamento!U$15)&lt;=mediçao,OFFSET(Import.PLQ,$A36-1,U$15-1,1,1),0),0),PLE!$AA$28*OFFSET(Import.PLQ,$A36-1,U$15-1,1,1)),IF($E36&lt;&gt;1,IF(ISNUMBER(INDEX(Import.PLE,Detalhamento!$E36,Detalhamento!U$15)),IF(INDEX(Import.PLE,Detalhamento!$E36,Detalhamento!U$15)&lt;=mediçao,0,OFFSET(Import.PLQ,$A36-1,U$15-1,1,1)),OFFSET(Import.PLQ,$A36-1,U$15-1,1,1)),(1-PLE!$AA$28)*OFFSET(Import.PLQ,$A36-1,U$15-1,1,1))))</f>
        <v>0</v>
      </c>
      <c r="V36" s="145">
        <f ca="1">IF(V$13="",0,CHOOSE(Detalhamento.OpçãoServiços,OFFSET(Import.PLQ,$A36-1,V$15-1,1,1),IF($E36&lt;&gt;1,IF(ISNUMBER(INDEX(Import.PLE,Detalhamento!$E36,Detalhamento!V$15)),IF(INDEX(Import.PLE,Detalhamento!$E36,Detalhamento!V$15)&lt;=mediçao,OFFSET(Import.PLQ,$A36-1,V$15-1,1,1),0),0),PLE!$AA$28*OFFSET(Import.PLQ,$A36-1,V$15-1,1,1)),IF($E36&lt;&gt;1,IF(ISNUMBER(INDEX(Import.PLE,Detalhamento!$E36,Detalhamento!V$15)),IF(INDEX(Import.PLE,Detalhamento!$E36,Detalhamento!V$15)&lt;=mediçao,0,OFFSET(Import.PLQ,$A36-1,V$15-1,1,1)),OFFSET(Import.PLQ,$A36-1,V$15-1,1,1)),(1-PLE!$AA$28)*OFFSET(Import.PLQ,$A36-1,V$15-1,1,1))))</f>
        <v>0</v>
      </c>
      <c r="W36" s="145">
        <f ca="1">IF(W$13="",0,CHOOSE(Detalhamento.OpçãoServiços,OFFSET(Import.PLQ,$A36-1,W$15-1,1,1),IF($E36&lt;&gt;1,IF(ISNUMBER(INDEX(Import.PLE,Detalhamento!$E36,Detalhamento!W$15)),IF(INDEX(Import.PLE,Detalhamento!$E36,Detalhamento!W$15)&lt;=mediçao,OFFSET(Import.PLQ,$A36-1,W$15-1,1,1),0),0),PLE!$AA$28*OFFSET(Import.PLQ,$A36-1,W$15-1,1,1)),IF($E36&lt;&gt;1,IF(ISNUMBER(INDEX(Import.PLE,Detalhamento!$E36,Detalhamento!W$15)),IF(INDEX(Import.PLE,Detalhamento!$E36,Detalhamento!W$15)&lt;=mediçao,0,OFFSET(Import.PLQ,$A36-1,W$15-1,1,1)),OFFSET(Import.PLQ,$A36-1,W$15-1,1,1)),(1-PLE!$AA$28)*OFFSET(Import.PLQ,$A36-1,W$15-1,1,1))))</f>
        <v>0</v>
      </c>
      <c r="X36" s="145">
        <f ca="1">IF(X$13="",0,CHOOSE(Detalhamento.OpçãoServiços,OFFSET(Import.PLQ,$A36-1,X$15-1,1,1),IF($E36&lt;&gt;1,IF(ISNUMBER(INDEX(Import.PLE,Detalhamento!$E36,Detalhamento!X$15)),IF(INDEX(Import.PLE,Detalhamento!$E36,Detalhamento!X$15)&lt;=mediçao,OFFSET(Import.PLQ,$A36-1,X$15-1,1,1),0),0),PLE!$AA$28*OFFSET(Import.PLQ,$A36-1,X$15-1,1,1)),IF($E36&lt;&gt;1,IF(ISNUMBER(INDEX(Import.PLE,Detalhamento!$E36,Detalhamento!X$15)),IF(INDEX(Import.PLE,Detalhamento!$E36,Detalhamento!X$15)&lt;=mediçao,0,OFFSET(Import.PLQ,$A36-1,X$15-1,1,1)),OFFSET(Import.PLQ,$A36-1,X$15-1,1,1)),(1-PLE!$AA$28)*OFFSET(Import.PLQ,$A36-1,X$15-1,1,1))))</f>
        <v>0</v>
      </c>
      <c r="Y36" s="145">
        <f ca="1">IF(Y$13="",0,CHOOSE(Detalhamento.OpçãoServiços,OFFSET(Import.PLQ,$A36-1,Y$15-1,1,1),IF($E36&lt;&gt;1,IF(ISNUMBER(INDEX(Import.PLE,Detalhamento!$E36,Detalhamento!Y$15)),IF(INDEX(Import.PLE,Detalhamento!$E36,Detalhamento!Y$15)&lt;=mediçao,OFFSET(Import.PLQ,$A36-1,Y$15-1,1,1),0),0),PLE!$AA$28*OFFSET(Import.PLQ,$A36-1,Y$15-1,1,1)),IF($E36&lt;&gt;1,IF(ISNUMBER(INDEX(Import.PLE,Detalhamento!$E36,Detalhamento!Y$15)),IF(INDEX(Import.PLE,Detalhamento!$E36,Detalhamento!Y$15)&lt;=mediçao,0,OFFSET(Import.PLQ,$A36-1,Y$15-1,1,1)),OFFSET(Import.PLQ,$A36-1,Y$15-1,1,1)),(1-PLE!$AA$28)*OFFSET(Import.PLQ,$A36-1,Y$15-1,1,1))))</f>
        <v>0</v>
      </c>
      <c r="Z36" s="145">
        <f ca="1">IF(Z$13="",0,CHOOSE(Detalhamento.OpçãoServiços,OFFSET(Import.PLQ,$A36-1,Z$15-1,1,1),IF($E36&lt;&gt;1,IF(ISNUMBER(INDEX(Import.PLE,Detalhamento!$E36,Detalhamento!Z$15)),IF(INDEX(Import.PLE,Detalhamento!$E36,Detalhamento!Z$15)&lt;=mediçao,OFFSET(Import.PLQ,$A36-1,Z$15-1,1,1),0),0),PLE!$AA$28*OFFSET(Import.PLQ,$A36-1,Z$15-1,1,1)),IF($E36&lt;&gt;1,IF(ISNUMBER(INDEX(Import.PLE,Detalhamento!$E36,Detalhamento!Z$15)),IF(INDEX(Import.PLE,Detalhamento!$E36,Detalhamento!Z$15)&lt;=mediçao,0,OFFSET(Import.PLQ,$A36-1,Z$15-1,1,1)),OFFSET(Import.PLQ,$A36-1,Z$15-1,1,1)),(1-PLE!$AA$28)*OFFSET(Import.PLQ,$A36-1,Z$15-1,1,1))))</f>
        <v>0</v>
      </c>
      <c r="AA36" s="145">
        <f ca="1">IF(AA$13="",0,CHOOSE(Detalhamento.OpçãoServiços,OFFSET(Import.PLQ,$A36-1,AA$15-1,1,1),IF($E36&lt;&gt;1,IF(ISNUMBER(INDEX(Import.PLE,Detalhamento!$E36,Detalhamento!AA$15)),IF(INDEX(Import.PLE,Detalhamento!$E36,Detalhamento!AA$15)&lt;=mediçao,OFFSET(Import.PLQ,$A36-1,AA$15-1,1,1),0),0),PLE!$AA$28*OFFSET(Import.PLQ,$A36-1,AA$15-1,1,1)),IF($E36&lt;&gt;1,IF(ISNUMBER(INDEX(Import.PLE,Detalhamento!$E36,Detalhamento!AA$15)),IF(INDEX(Import.PLE,Detalhamento!$E36,Detalhamento!AA$15)&lt;=mediçao,0,OFFSET(Import.PLQ,$A36-1,AA$15-1,1,1)),OFFSET(Import.PLQ,$A36-1,AA$15-1,1,1)),(1-PLE!$AA$28)*OFFSET(Import.PLQ,$A36-1,AA$15-1,1,1))))</f>
        <v>0</v>
      </c>
      <c r="AB36" s="145">
        <f ca="1">IF(AB$13="",0,CHOOSE(Detalhamento.OpçãoServiços,OFFSET(Import.PLQ,$A36-1,AB$15-1,1,1),IF($E36&lt;&gt;1,IF(ISNUMBER(INDEX(Import.PLE,Detalhamento!$E36,Detalhamento!AB$15)),IF(INDEX(Import.PLE,Detalhamento!$E36,Detalhamento!AB$15)&lt;=mediçao,OFFSET(Import.PLQ,$A36-1,AB$15-1,1,1),0),0),PLE!$AA$28*OFFSET(Import.PLQ,$A36-1,AB$15-1,1,1)),IF($E36&lt;&gt;1,IF(ISNUMBER(INDEX(Import.PLE,Detalhamento!$E36,Detalhamento!AB$15)),IF(INDEX(Import.PLE,Detalhamento!$E36,Detalhamento!AB$15)&lt;=mediçao,0,OFFSET(Import.PLQ,$A36-1,AB$15-1,1,1)),OFFSET(Import.PLQ,$A36-1,AB$15-1,1,1)),(1-PLE!$AA$28)*OFFSET(Import.PLQ,$A36-1,AB$15-1,1,1))))</f>
        <v>0</v>
      </c>
      <c r="AC36" s="145">
        <f ca="1">IF(AC$13="",0,CHOOSE(Detalhamento.OpçãoServiços,OFFSET(Import.PLQ,$A36-1,AC$15-1,1,1),IF($E36&lt;&gt;1,IF(ISNUMBER(INDEX(Import.PLE,Detalhamento!$E36,Detalhamento!AC$15)),IF(INDEX(Import.PLE,Detalhamento!$E36,Detalhamento!AC$15)&lt;=mediçao,OFFSET(Import.PLQ,$A36-1,AC$15-1,1,1),0),0),PLE!$AA$28*OFFSET(Import.PLQ,$A36-1,AC$15-1,1,1)),IF($E36&lt;&gt;1,IF(ISNUMBER(INDEX(Import.PLE,Detalhamento!$E36,Detalhamento!AC$15)),IF(INDEX(Import.PLE,Detalhamento!$E36,Detalhamento!AC$15)&lt;=mediçao,0,OFFSET(Import.PLQ,$A36-1,AC$15-1,1,1)),OFFSET(Import.PLQ,$A36-1,AC$15-1,1,1)),(1-PLE!$AA$28)*OFFSET(Import.PLQ,$A36-1,AC$15-1,1,1))))</f>
        <v>0</v>
      </c>
      <c r="AD36" s="145">
        <f ca="1">IF(AD$13="",0,CHOOSE(Detalhamento.OpçãoServiços,OFFSET(Import.PLQ,$A36-1,AD$15-1,1,1),IF($E36&lt;&gt;1,IF(ISNUMBER(INDEX(Import.PLE,Detalhamento!$E36,Detalhamento!AD$15)),IF(INDEX(Import.PLE,Detalhamento!$E36,Detalhamento!AD$15)&lt;=mediçao,OFFSET(Import.PLQ,$A36-1,AD$15-1,1,1),0),0),PLE!$AA$28*OFFSET(Import.PLQ,$A36-1,AD$15-1,1,1)),IF($E36&lt;&gt;1,IF(ISNUMBER(INDEX(Import.PLE,Detalhamento!$E36,Detalhamento!AD$15)),IF(INDEX(Import.PLE,Detalhamento!$E36,Detalhamento!AD$15)&lt;=mediçao,0,OFFSET(Import.PLQ,$A36-1,AD$15-1,1,1)),OFFSET(Import.PLQ,$A36-1,AD$15-1,1,1)),(1-PLE!$AA$28)*OFFSET(Import.PLQ,$A36-1,AD$15-1,1,1))))</f>
        <v>0</v>
      </c>
      <c r="AE36" s="145">
        <f ca="1">IF(AE$13="",0,CHOOSE(Detalhamento.OpçãoServiços,OFFSET(Import.PLQ,$A36-1,AE$15-1,1,1),IF($E36&lt;&gt;1,IF(ISNUMBER(INDEX(Import.PLE,Detalhamento!$E36,Detalhamento!AE$15)),IF(INDEX(Import.PLE,Detalhamento!$E36,Detalhamento!AE$15)&lt;=mediçao,OFFSET(Import.PLQ,$A36-1,AE$15-1,1,1),0),0),PLE!$AA$28*OFFSET(Import.PLQ,$A36-1,AE$15-1,1,1)),IF($E36&lt;&gt;1,IF(ISNUMBER(INDEX(Import.PLE,Detalhamento!$E36,Detalhamento!AE$15)),IF(INDEX(Import.PLE,Detalhamento!$E36,Detalhamento!AE$15)&lt;=mediçao,0,OFFSET(Import.PLQ,$A36-1,AE$15-1,1,1)),OFFSET(Import.PLQ,$A36-1,AE$15-1,1,1)),(1-PLE!$AA$28)*OFFSET(Import.PLQ,$A36-1,AE$15-1,1,1))))</f>
        <v>0</v>
      </c>
      <c r="AF36" s="145">
        <f ca="1">IF(AF$13="",0,CHOOSE(Detalhamento.OpçãoServiços,OFFSET(Import.PLQ,$A36-1,AF$15-1,1,1),IF($E36&lt;&gt;1,IF(ISNUMBER(INDEX(Import.PLE,Detalhamento!$E36,Detalhamento!AF$15)),IF(INDEX(Import.PLE,Detalhamento!$E36,Detalhamento!AF$15)&lt;=mediçao,OFFSET(Import.PLQ,$A36-1,AF$15-1,1,1),0),0),PLE!$AA$28*OFFSET(Import.PLQ,$A36-1,AF$15-1,1,1)),IF($E36&lt;&gt;1,IF(ISNUMBER(INDEX(Import.PLE,Detalhamento!$E36,Detalhamento!AF$15)),IF(INDEX(Import.PLE,Detalhamento!$E36,Detalhamento!AF$15)&lt;=mediçao,0,OFFSET(Import.PLQ,$A36-1,AF$15-1,1,1)),OFFSET(Import.PLQ,$A36-1,AF$15-1,1,1)),(1-PLE!$AA$28)*OFFSET(Import.PLQ,$A36-1,AF$15-1,1,1))))</f>
        <v>0</v>
      </c>
      <c r="AG36" s="145">
        <f ca="1">IF(AG$13="",0,CHOOSE(Detalhamento.OpçãoServiços,OFFSET(Import.PLQ,$A36-1,AG$15-1,1,1),IF($E36&lt;&gt;1,IF(ISNUMBER(INDEX(Import.PLE,Detalhamento!$E36,Detalhamento!AG$15)),IF(INDEX(Import.PLE,Detalhamento!$E36,Detalhamento!AG$15)&lt;=mediçao,OFFSET(Import.PLQ,$A36-1,AG$15-1,1,1),0),0),PLE!$AA$28*OFFSET(Import.PLQ,$A36-1,AG$15-1,1,1)),IF($E36&lt;&gt;1,IF(ISNUMBER(INDEX(Import.PLE,Detalhamento!$E36,Detalhamento!AG$15)),IF(INDEX(Import.PLE,Detalhamento!$E36,Detalhamento!AG$15)&lt;=mediçao,0,OFFSET(Import.PLQ,$A36-1,AG$15-1,1,1)),OFFSET(Import.PLQ,$A36-1,AG$15-1,1,1)),(1-PLE!$AA$28)*OFFSET(Import.PLQ,$A36-1,AG$15-1,1,1))))</f>
        <v>0</v>
      </c>
      <c r="AH36" s="145">
        <f ca="1">IF(AH$13="",0,CHOOSE(Detalhamento.OpçãoServiços,OFFSET(Import.PLQ,$A36-1,AH$15-1,1,1),IF($E36&lt;&gt;1,IF(ISNUMBER(INDEX(Import.PLE,Detalhamento!$E36,Detalhamento!AH$15)),IF(INDEX(Import.PLE,Detalhamento!$E36,Detalhamento!AH$15)&lt;=mediçao,OFFSET(Import.PLQ,$A36-1,AH$15-1,1,1),0),0),PLE!$AA$28*OFFSET(Import.PLQ,$A36-1,AH$15-1,1,1)),IF($E36&lt;&gt;1,IF(ISNUMBER(INDEX(Import.PLE,Detalhamento!$E36,Detalhamento!AH$15)),IF(INDEX(Import.PLE,Detalhamento!$E36,Detalhamento!AH$15)&lt;=mediçao,0,OFFSET(Import.PLQ,$A36-1,AH$15-1,1,1)),OFFSET(Import.PLQ,$A36-1,AH$15-1,1,1)),(1-PLE!$AA$28)*OFFSET(Import.PLQ,$A36-1,AH$15-1,1,1))))</f>
        <v>0</v>
      </c>
      <c r="AI36" s="145">
        <f ca="1">IF(AI$13="",0,CHOOSE(Detalhamento.OpçãoServiços,OFFSET(Import.PLQ,$A36-1,AI$15-1,1,1),IF($E36&lt;&gt;1,IF(ISNUMBER(INDEX(Import.PLE,Detalhamento!$E36,Detalhamento!AI$15)),IF(INDEX(Import.PLE,Detalhamento!$E36,Detalhamento!AI$15)&lt;=mediçao,OFFSET(Import.PLQ,$A36-1,AI$15-1,1,1),0),0),PLE!$AA$28*OFFSET(Import.PLQ,$A36-1,AI$15-1,1,1)),IF($E36&lt;&gt;1,IF(ISNUMBER(INDEX(Import.PLE,Detalhamento!$E36,Detalhamento!AI$15)),IF(INDEX(Import.PLE,Detalhamento!$E36,Detalhamento!AI$15)&lt;=mediçao,0,OFFSET(Import.PLQ,$A36-1,AI$15-1,1,1)),OFFSET(Import.PLQ,$A36-1,AI$15-1,1,1)),(1-PLE!$AA$28)*OFFSET(Import.PLQ,$A36-1,AI$15-1,1,1))))</f>
        <v>0</v>
      </c>
      <c r="AJ36" s="145">
        <f ca="1">IF(AJ$13="",0,CHOOSE(Detalhamento.OpçãoServiços,OFFSET(Import.PLQ,$A36-1,AJ$15-1,1,1),IF($E36&lt;&gt;1,IF(ISNUMBER(INDEX(Import.PLE,Detalhamento!$E36,Detalhamento!AJ$15)),IF(INDEX(Import.PLE,Detalhamento!$E36,Detalhamento!AJ$15)&lt;=mediçao,OFFSET(Import.PLQ,$A36-1,AJ$15-1,1,1),0),0),PLE!$AA$28*OFFSET(Import.PLQ,$A36-1,AJ$15-1,1,1)),IF($E36&lt;&gt;1,IF(ISNUMBER(INDEX(Import.PLE,Detalhamento!$E36,Detalhamento!AJ$15)),IF(INDEX(Import.PLE,Detalhamento!$E36,Detalhamento!AJ$15)&lt;=mediçao,0,OFFSET(Import.PLQ,$A36-1,AJ$15-1,1,1)),OFFSET(Import.PLQ,$A36-1,AJ$15-1,1,1)),(1-PLE!$AA$28)*OFFSET(Import.PLQ,$A36-1,AJ$15-1,1,1))))</f>
        <v>0</v>
      </c>
      <c r="AK36" s="145">
        <f ca="1">IF(AK$13="",0,CHOOSE(Detalhamento.OpçãoServiços,OFFSET(Import.PLQ,$A36-1,AK$15-1,1,1),IF($E36&lt;&gt;1,IF(ISNUMBER(INDEX(Import.PLE,Detalhamento!$E36,Detalhamento!AK$15)),IF(INDEX(Import.PLE,Detalhamento!$E36,Detalhamento!AK$15)&lt;=mediçao,OFFSET(Import.PLQ,$A36-1,AK$15-1,1,1),0),0),PLE!$AA$28*OFFSET(Import.PLQ,$A36-1,AK$15-1,1,1)),IF($E36&lt;&gt;1,IF(ISNUMBER(INDEX(Import.PLE,Detalhamento!$E36,Detalhamento!AK$15)),IF(INDEX(Import.PLE,Detalhamento!$E36,Detalhamento!AK$15)&lt;=mediçao,0,OFFSET(Import.PLQ,$A36-1,AK$15-1,1,1)),OFFSET(Import.PLQ,$A36-1,AK$15-1,1,1)),(1-PLE!$AA$28)*OFFSET(Import.PLQ,$A36-1,AK$15-1,1,1))))</f>
        <v>0</v>
      </c>
      <c r="AL36" s="145">
        <f ca="1">IF(AL$13="",0,CHOOSE(Detalhamento.OpçãoServiços,OFFSET(Import.PLQ,$A36-1,AL$15-1,1,1),IF($E36&lt;&gt;1,IF(ISNUMBER(INDEX(Import.PLE,Detalhamento!$E36,Detalhamento!AL$15)),IF(INDEX(Import.PLE,Detalhamento!$E36,Detalhamento!AL$15)&lt;=mediçao,OFFSET(Import.PLQ,$A36-1,AL$15-1,1,1),0),0),PLE!$AA$28*OFFSET(Import.PLQ,$A36-1,AL$15-1,1,1)),IF($E36&lt;&gt;1,IF(ISNUMBER(INDEX(Import.PLE,Detalhamento!$E36,Detalhamento!AL$15)),IF(INDEX(Import.PLE,Detalhamento!$E36,Detalhamento!AL$15)&lt;=mediçao,0,OFFSET(Import.PLQ,$A36-1,AL$15-1,1,1)),OFFSET(Import.PLQ,$A36-1,AL$15-1,1,1)),(1-PLE!$AA$28)*OFFSET(Import.PLQ,$A36-1,AL$15-1,1,1))))</f>
        <v>0</v>
      </c>
      <c r="AM36" s="145">
        <f ca="1">IF(AM$13="",0,CHOOSE(Detalhamento.OpçãoServiços,OFFSET(Import.PLQ,$A36-1,AM$15-1,1,1),IF($E36&lt;&gt;1,IF(ISNUMBER(INDEX(Import.PLE,Detalhamento!$E36,Detalhamento!AM$15)),IF(INDEX(Import.PLE,Detalhamento!$E36,Detalhamento!AM$15)&lt;=mediçao,OFFSET(Import.PLQ,$A36-1,AM$15-1,1,1),0),0),PLE!$AA$28*OFFSET(Import.PLQ,$A36-1,AM$15-1,1,1)),IF($E36&lt;&gt;1,IF(ISNUMBER(INDEX(Import.PLE,Detalhamento!$E36,Detalhamento!AM$15)),IF(INDEX(Import.PLE,Detalhamento!$E36,Detalhamento!AM$15)&lt;=mediçao,0,OFFSET(Import.PLQ,$A36-1,AM$15-1,1,1)),OFFSET(Import.PLQ,$A36-1,AM$15-1,1,1)),(1-PLE!$AA$28)*OFFSET(Import.PLQ,$A36-1,AM$15-1,1,1))))</f>
        <v>0</v>
      </c>
      <c r="AN36" s="145">
        <f ca="1">IF(AN$13="",0,CHOOSE(Detalhamento.OpçãoServiços,OFFSET(Import.PLQ,$A36-1,AN$15-1,1,1),IF($E36&lt;&gt;1,IF(ISNUMBER(INDEX(Import.PLE,Detalhamento!$E36,Detalhamento!AN$15)),IF(INDEX(Import.PLE,Detalhamento!$E36,Detalhamento!AN$15)&lt;=mediçao,OFFSET(Import.PLQ,$A36-1,AN$15-1,1,1),0),0),PLE!$AA$28*OFFSET(Import.PLQ,$A36-1,AN$15-1,1,1)),IF($E36&lt;&gt;1,IF(ISNUMBER(INDEX(Import.PLE,Detalhamento!$E36,Detalhamento!AN$15)),IF(INDEX(Import.PLE,Detalhamento!$E36,Detalhamento!AN$15)&lt;=mediçao,0,OFFSET(Import.PLQ,$A36-1,AN$15-1,1,1)),OFFSET(Import.PLQ,$A36-1,AN$15-1,1,1)),(1-PLE!$AA$28)*OFFSET(Import.PLQ,$A36-1,AN$15-1,1,1))))</f>
        <v>0</v>
      </c>
      <c r="AO36" s="145">
        <f ca="1">IF(AO$13="",0,CHOOSE(Detalhamento.OpçãoServiços,OFFSET(Import.PLQ,$A36-1,AO$15-1,1,1),IF($E36&lt;&gt;1,IF(ISNUMBER(INDEX(Import.PLE,Detalhamento!$E36,Detalhamento!AO$15)),IF(INDEX(Import.PLE,Detalhamento!$E36,Detalhamento!AO$15)&lt;=mediçao,OFFSET(Import.PLQ,$A36-1,AO$15-1,1,1),0),0),PLE!$AA$28*OFFSET(Import.PLQ,$A36-1,AO$15-1,1,1)),IF($E36&lt;&gt;1,IF(ISNUMBER(INDEX(Import.PLE,Detalhamento!$E36,Detalhamento!AO$15)),IF(INDEX(Import.PLE,Detalhamento!$E36,Detalhamento!AO$15)&lt;=mediçao,0,OFFSET(Import.PLQ,$A36-1,AO$15-1,1,1)),OFFSET(Import.PLQ,$A36-1,AO$15-1,1,1)),(1-PLE!$AA$28)*OFFSET(Import.PLQ,$A36-1,AO$15-1,1,1))))</f>
        <v>0</v>
      </c>
      <c r="AP36" s="145">
        <f ca="1">IF(AP$13="",0,CHOOSE(Detalhamento.OpçãoServiços,OFFSET(Import.PLQ,$A36-1,AP$15-1,1,1),IF($E36&lt;&gt;1,IF(ISNUMBER(INDEX(Import.PLE,Detalhamento!$E36,Detalhamento!AP$15)),IF(INDEX(Import.PLE,Detalhamento!$E36,Detalhamento!AP$15)&lt;=mediçao,OFFSET(Import.PLQ,$A36-1,AP$15-1,1,1),0),0),PLE!$AA$28*OFFSET(Import.PLQ,$A36-1,AP$15-1,1,1)),IF($E36&lt;&gt;1,IF(ISNUMBER(INDEX(Import.PLE,Detalhamento!$E36,Detalhamento!AP$15)),IF(INDEX(Import.PLE,Detalhamento!$E36,Detalhamento!AP$15)&lt;=mediçao,0,OFFSET(Import.PLQ,$A36-1,AP$15-1,1,1)),OFFSET(Import.PLQ,$A36-1,AP$15-1,1,1)),(1-PLE!$AA$28)*OFFSET(Import.PLQ,$A36-1,AP$15-1,1,1))))</f>
        <v>0</v>
      </c>
      <c r="AQ36" s="145">
        <f ca="1">IF(AQ$13="",0,CHOOSE(Detalhamento.OpçãoServiços,OFFSET(Import.PLQ,$A36-1,AQ$15-1,1,1),IF($E36&lt;&gt;1,IF(ISNUMBER(INDEX(Import.PLE,Detalhamento!$E36,Detalhamento!AQ$15)),IF(INDEX(Import.PLE,Detalhamento!$E36,Detalhamento!AQ$15)&lt;=mediçao,OFFSET(Import.PLQ,$A36-1,AQ$15-1,1,1),0),0),PLE!$AA$28*OFFSET(Import.PLQ,$A36-1,AQ$15-1,1,1)),IF($E36&lt;&gt;1,IF(ISNUMBER(INDEX(Import.PLE,Detalhamento!$E36,Detalhamento!AQ$15)),IF(INDEX(Import.PLE,Detalhamento!$E36,Detalhamento!AQ$15)&lt;=mediçao,0,OFFSET(Import.PLQ,$A36-1,AQ$15-1,1,1)),OFFSET(Import.PLQ,$A36-1,AQ$15-1,1,1)),(1-PLE!$AA$28)*OFFSET(Import.PLQ,$A36-1,AQ$15-1,1,1))))</f>
        <v>0</v>
      </c>
      <c r="AR36" s="145">
        <f ca="1">IF(AR$13="",0,CHOOSE(Detalhamento.OpçãoServiços,OFFSET(Import.PLQ,$A36-1,AR$15-1,1,1),IF($E36&lt;&gt;1,IF(ISNUMBER(INDEX(Import.PLE,Detalhamento!$E36,Detalhamento!AR$15)),IF(INDEX(Import.PLE,Detalhamento!$E36,Detalhamento!AR$15)&lt;=mediçao,OFFSET(Import.PLQ,$A36-1,AR$15-1,1,1),0),0),PLE!$AA$28*OFFSET(Import.PLQ,$A36-1,AR$15-1,1,1)),IF($E36&lt;&gt;1,IF(ISNUMBER(INDEX(Import.PLE,Detalhamento!$E36,Detalhamento!AR$15)),IF(INDEX(Import.PLE,Detalhamento!$E36,Detalhamento!AR$15)&lt;=mediçao,0,OFFSET(Import.PLQ,$A36-1,AR$15-1,1,1)),OFFSET(Import.PLQ,$A36-1,AR$15-1,1,1)),(1-PLE!$AA$28)*OFFSET(Import.PLQ,$A36-1,AR$15-1,1,1))))</f>
        <v>0</v>
      </c>
      <c r="AS36" s="145">
        <f ca="1">IF(AS$13="",0,CHOOSE(Detalhamento.OpçãoServiços,OFFSET(Import.PLQ,$A36-1,AS$15-1,1,1),IF($E36&lt;&gt;1,IF(ISNUMBER(INDEX(Import.PLE,Detalhamento!$E36,Detalhamento!AS$15)),IF(INDEX(Import.PLE,Detalhamento!$E36,Detalhamento!AS$15)&lt;=mediçao,OFFSET(Import.PLQ,$A36-1,AS$15-1,1,1),0),0),PLE!$AA$28*OFFSET(Import.PLQ,$A36-1,AS$15-1,1,1)),IF($E36&lt;&gt;1,IF(ISNUMBER(INDEX(Import.PLE,Detalhamento!$E36,Detalhamento!AS$15)),IF(INDEX(Import.PLE,Detalhamento!$E36,Detalhamento!AS$15)&lt;=mediçao,0,OFFSET(Import.PLQ,$A36-1,AS$15-1,1,1)),OFFSET(Import.PLQ,$A36-1,AS$15-1,1,1)),(1-PLE!$AA$28)*OFFSET(Import.PLQ,$A36-1,AS$15-1,1,1))))</f>
        <v>0</v>
      </c>
      <c r="AT36" s="145">
        <f ca="1">IF(AT$13="",0,CHOOSE(Detalhamento.OpçãoServiços,OFFSET(Import.PLQ,$A36-1,AT$15-1,1,1),IF($E36&lt;&gt;1,IF(ISNUMBER(INDEX(Import.PLE,Detalhamento!$E36,Detalhamento!AT$15)),IF(INDEX(Import.PLE,Detalhamento!$E36,Detalhamento!AT$15)&lt;=mediçao,OFFSET(Import.PLQ,$A36-1,AT$15-1,1,1),0),0),PLE!$AA$28*OFFSET(Import.PLQ,$A36-1,AT$15-1,1,1)),IF($E36&lt;&gt;1,IF(ISNUMBER(INDEX(Import.PLE,Detalhamento!$E36,Detalhamento!AT$15)),IF(INDEX(Import.PLE,Detalhamento!$E36,Detalhamento!AT$15)&lt;=mediçao,0,OFFSET(Import.PLQ,$A36-1,AT$15-1,1,1)),OFFSET(Import.PLQ,$A36-1,AT$15-1,1,1)),(1-PLE!$AA$28)*OFFSET(Import.PLQ,$A36-1,AT$15-1,1,1))))</f>
        <v>0</v>
      </c>
      <c r="AU36" s="145">
        <f ca="1">IF(AU$13="",0,CHOOSE(Detalhamento.OpçãoServiços,OFFSET(Import.PLQ,$A36-1,AU$15-1,1,1),IF($E36&lt;&gt;1,IF(ISNUMBER(INDEX(Import.PLE,Detalhamento!$E36,Detalhamento!AU$15)),IF(INDEX(Import.PLE,Detalhamento!$E36,Detalhamento!AU$15)&lt;=mediçao,OFFSET(Import.PLQ,$A36-1,AU$15-1,1,1),0),0),PLE!$AA$28*OFFSET(Import.PLQ,$A36-1,AU$15-1,1,1)),IF($E36&lt;&gt;1,IF(ISNUMBER(INDEX(Import.PLE,Detalhamento!$E36,Detalhamento!AU$15)),IF(INDEX(Import.PLE,Detalhamento!$E36,Detalhamento!AU$15)&lt;=mediçao,0,OFFSET(Import.PLQ,$A36-1,AU$15-1,1,1)),OFFSET(Import.PLQ,$A36-1,AU$15-1,1,1)),(1-PLE!$AA$28)*OFFSET(Import.PLQ,$A36-1,AU$15-1,1,1))))</f>
        <v>0</v>
      </c>
      <c r="AV36" s="145">
        <f ca="1">IF(AV$13="",0,CHOOSE(Detalhamento.OpçãoServiços,OFFSET(Import.PLQ,$A36-1,AV$15-1,1,1),IF($E36&lt;&gt;1,IF(ISNUMBER(INDEX(Import.PLE,Detalhamento!$E36,Detalhamento!AV$15)),IF(INDEX(Import.PLE,Detalhamento!$E36,Detalhamento!AV$15)&lt;=mediçao,OFFSET(Import.PLQ,$A36-1,AV$15-1,1,1),0),0),PLE!$AA$28*OFFSET(Import.PLQ,$A36-1,AV$15-1,1,1)),IF($E36&lt;&gt;1,IF(ISNUMBER(INDEX(Import.PLE,Detalhamento!$E36,Detalhamento!AV$15)),IF(INDEX(Import.PLE,Detalhamento!$E36,Detalhamento!AV$15)&lt;=mediçao,0,OFFSET(Import.PLQ,$A36-1,AV$15-1,1,1)),OFFSET(Import.PLQ,$A36-1,AV$15-1,1,1)),(1-PLE!$AA$28)*OFFSET(Import.PLQ,$A36-1,AV$15-1,1,1))))</f>
        <v>0</v>
      </c>
      <c r="AW36" s="145">
        <f ca="1">IF(AW$13="",0,CHOOSE(Detalhamento.OpçãoServiços,OFFSET(Import.PLQ,$A36-1,AW$15-1,1,1),IF($E36&lt;&gt;1,IF(ISNUMBER(INDEX(Import.PLE,Detalhamento!$E36,Detalhamento!AW$15)),IF(INDEX(Import.PLE,Detalhamento!$E36,Detalhamento!AW$15)&lt;=mediçao,OFFSET(Import.PLQ,$A36-1,AW$15-1,1,1),0),0),PLE!$AA$28*OFFSET(Import.PLQ,$A36-1,AW$15-1,1,1)),IF($E36&lt;&gt;1,IF(ISNUMBER(INDEX(Import.PLE,Detalhamento!$E36,Detalhamento!AW$15)),IF(INDEX(Import.PLE,Detalhamento!$E36,Detalhamento!AW$15)&lt;=mediçao,0,OFFSET(Import.PLQ,$A36-1,AW$15-1,1,1)),OFFSET(Import.PLQ,$A36-1,AW$15-1,1,1)),(1-PLE!$AA$28)*OFFSET(Import.PLQ,$A36-1,AW$15-1,1,1))))</f>
        <v>0</v>
      </c>
      <c r="AX36" s="145">
        <f ca="1">IF(AX$13="",0,CHOOSE(Detalhamento.OpçãoServiços,OFFSET(Import.PLQ,$A36-1,AX$15-1,1,1),IF($E36&lt;&gt;1,IF(ISNUMBER(INDEX(Import.PLE,Detalhamento!$E36,Detalhamento!AX$15)),IF(INDEX(Import.PLE,Detalhamento!$E36,Detalhamento!AX$15)&lt;=mediçao,OFFSET(Import.PLQ,$A36-1,AX$15-1,1,1),0),0),PLE!$AA$28*OFFSET(Import.PLQ,$A36-1,AX$15-1,1,1)),IF($E36&lt;&gt;1,IF(ISNUMBER(INDEX(Import.PLE,Detalhamento!$E36,Detalhamento!AX$15)),IF(INDEX(Import.PLE,Detalhamento!$E36,Detalhamento!AX$15)&lt;=mediçao,0,OFFSET(Import.PLQ,$A36-1,AX$15-1,1,1)),OFFSET(Import.PLQ,$A36-1,AX$15-1,1,1)),(1-PLE!$AA$28)*OFFSET(Import.PLQ,$A36-1,AX$15-1,1,1))))</f>
        <v>0</v>
      </c>
      <c r="AY36" s="145">
        <f ca="1">IF(AY$13="",0,CHOOSE(Detalhamento.OpçãoServiços,OFFSET(Import.PLQ,$A36-1,AY$15-1,1,1),IF($E36&lt;&gt;1,IF(ISNUMBER(INDEX(Import.PLE,Detalhamento!$E36,Detalhamento!AY$15)),IF(INDEX(Import.PLE,Detalhamento!$E36,Detalhamento!AY$15)&lt;=mediçao,OFFSET(Import.PLQ,$A36-1,AY$15-1,1,1),0),0),PLE!$AA$28*OFFSET(Import.PLQ,$A36-1,AY$15-1,1,1)),IF($E36&lt;&gt;1,IF(ISNUMBER(INDEX(Import.PLE,Detalhamento!$E36,Detalhamento!AY$15)),IF(INDEX(Import.PLE,Detalhamento!$E36,Detalhamento!AY$15)&lt;=mediçao,0,OFFSET(Import.PLQ,$A36-1,AY$15-1,1,1)),OFFSET(Import.PLQ,$A36-1,AY$15-1,1,1)),(1-PLE!$AA$28)*OFFSET(Import.PLQ,$A36-1,AY$15-1,1,1))))</f>
        <v>0</v>
      </c>
      <c r="AZ36" s="145">
        <f ca="1">IF(AZ$13="",0,CHOOSE(Detalhamento.OpçãoServiços,OFFSET(Import.PLQ,$A36-1,AZ$15-1,1,1),IF($E36&lt;&gt;1,IF(ISNUMBER(INDEX(Import.PLE,Detalhamento!$E36,Detalhamento!AZ$15)),IF(INDEX(Import.PLE,Detalhamento!$E36,Detalhamento!AZ$15)&lt;=mediçao,OFFSET(Import.PLQ,$A36-1,AZ$15-1,1,1),0),0),PLE!$AA$28*OFFSET(Import.PLQ,$A36-1,AZ$15-1,1,1)),IF($E36&lt;&gt;1,IF(ISNUMBER(INDEX(Import.PLE,Detalhamento!$E36,Detalhamento!AZ$15)),IF(INDEX(Import.PLE,Detalhamento!$E36,Detalhamento!AZ$15)&lt;=mediçao,0,OFFSET(Import.PLQ,$A36-1,AZ$15-1,1,1)),OFFSET(Import.PLQ,$A36-1,AZ$15-1,1,1)),(1-PLE!$AA$28)*OFFSET(Import.PLQ,$A36-1,AZ$15-1,1,1))))</f>
        <v>0</v>
      </c>
      <c r="BA36" s="145">
        <f ca="1">IF(BA$13="",0,CHOOSE(Detalhamento.OpçãoServiços,OFFSET(Import.PLQ,$A36-1,BA$15-1,1,1),IF($E36&lt;&gt;1,IF(ISNUMBER(INDEX(Import.PLE,Detalhamento!$E36,Detalhamento!BA$15)),IF(INDEX(Import.PLE,Detalhamento!$E36,Detalhamento!BA$15)&lt;=mediçao,OFFSET(Import.PLQ,$A36-1,BA$15-1,1,1),0),0),PLE!$AA$28*OFFSET(Import.PLQ,$A36-1,BA$15-1,1,1)),IF($E36&lt;&gt;1,IF(ISNUMBER(INDEX(Import.PLE,Detalhamento!$E36,Detalhamento!BA$15)),IF(INDEX(Import.PLE,Detalhamento!$E36,Detalhamento!BA$15)&lt;=mediçao,0,OFFSET(Import.PLQ,$A36-1,BA$15-1,1,1)),OFFSET(Import.PLQ,$A36-1,BA$15-1,1,1)),(1-PLE!$AA$28)*OFFSET(Import.PLQ,$A36-1,BA$15-1,1,1))))</f>
        <v>0</v>
      </c>
      <c r="BB36" s="145">
        <f ca="1">IF(BB$13="",0,CHOOSE(Detalhamento.OpçãoServiços,OFFSET(Import.PLQ,$A36-1,BB$15-1,1,1),IF($E36&lt;&gt;1,IF(ISNUMBER(INDEX(Import.PLE,Detalhamento!$E36,Detalhamento!BB$15)),IF(INDEX(Import.PLE,Detalhamento!$E36,Detalhamento!BB$15)&lt;=mediçao,OFFSET(Import.PLQ,$A36-1,BB$15-1,1,1),0),0),PLE!$AA$28*OFFSET(Import.PLQ,$A36-1,BB$15-1,1,1)),IF($E36&lt;&gt;1,IF(ISNUMBER(INDEX(Import.PLE,Detalhamento!$E36,Detalhamento!BB$15)),IF(INDEX(Import.PLE,Detalhamento!$E36,Detalhamento!BB$15)&lt;=mediçao,0,OFFSET(Import.PLQ,$A36-1,BB$15-1,1,1)),OFFSET(Import.PLQ,$A36-1,BB$15-1,1,1)),(1-PLE!$AA$28)*OFFSET(Import.PLQ,$A36-1,BB$15-1,1,1))))</f>
        <v>0</v>
      </c>
      <c r="BC36" s="145">
        <f ca="1">IF(BC$13="",0,CHOOSE(Detalhamento.OpçãoServiços,OFFSET(Import.PLQ,$A36-1,BC$15-1,1,1),IF($E36&lt;&gt;1,IF(ISNUMBER(INDEX(Import.PLE,Detalhamento!$E36,Detalhamento!BC$15)),IF(INDEX(Import.PLE,Detalhamento!$E36,Detalhamento!BC$15)&lt;=mediçao,OFFSET(Import.PLQ,$A36-1,BC$15-1,1,1),0),0),PLE!$AA$28*OFFSET(Import.PLQ,$A36-1,BC$15-1,1,1)),IF($E36&lt;&gt;1,IF(ISNUMBER(INDEX(Import.PLE,Detalhamento!$E36,Detalhamento!BC$15)),IF(INDEX(Import.PLE,Detalhamento!$E36,Detalhamento!BC$15)&lt;=mediçao,0,OFFSET(Import.PLQ,$A36-1,BC$15-1,1,1)),OFFSET(Import.PLQ,$A36-1,BC$15-1,1,1)),(1-PLE!$AA$28)*OFFSET(Import.PLQ,$A36-1,BC$15-1,1,1))))</f>
        <v>0</v>
      </c>
      <c r="BD36" s="145">
        <f ca="1">IF(BD$13="",0,CHOOSE(Detalhamento.OpçãoServiços,OFFSET(Import.PLQ,$A36-1,BD$15-1,1,1),IF($E36&lt;&gt;1,IF(ISNUMBER(INDEX(Import.PLE,Detalhamento!$E36,Detalhamento!BD$15)),IF(INDEX(Import.PLE,Detalhamento!$E36,Detalhamento!BD$15)&lt;=mediçao,OFFSET(Import.PLQ,$A36-1,BD$15-1,1,1),0),0),PLE!$AA$28*OFFSET(Import.PLQ,$A36-1,BD$15-1,1,1)),IF($E36&lt;&gt;1,IF(ISNUMBER(INDEX(Import.PLE,Detalhamento!$E36,Detalhamento!BD$15)),IF(INDEX(Import.PLE,Detalhamento!$E36,Detalhamento!BD$15)&lt;=mediçao,0,OFFSET(Import.PLQ,$A36-1,BD$15-1,1,1)),OFFSET(Import.PLQ,$A36-1,BD$15-1,1,1)),(1-PLE!$AA$28)*OFFSET(Import.PLQ,$A36-1,BD$15-1,1,1))))</f>
        <v>0</v>
      </c>
      <c r="BE36" s="145">
        <f ca="1">IF(BE$13="",0,CHOOSE(Detalhamento.OpçãoServiços,OFFSET(Import.PLQ,$A36-1,BE$15-1,1,1),IF($E36&lt;&gt;1,IF(ISNUMBER(INDEX(Import.PLE,Detalhamento!$E36,Detalhamento!BE$15)),IF(INDEX(Import.PLE,Detalhamento!$E36,Detalhamento!BE$15)&lt;=mediçao,OFFSET(Import.PLQ,$A36-1,BE$15-1,1,1),0),0),PLE!$AA$28*OFFSET(Import.PLQ,$A36-1,BE$15-1,1,1)),IF($E36&lt;&gt;1,IF(ISNUMBER(INDEX(Import.PLE,Detalhamento!$E36,Detalhamento!BE$15)),IF(INDEX(Import.PLE,Detalhamento!$E36,Detalhamento!BE$15)&lt;=mediçao,0,OFFSET(Import.PLQ,$A36-1,BE$15-1,1,1)),OFFSET(Import.PLQ,$A36-1,BE$15-1,1,1)),(1-PLE!$AA$28)*OFFSET(Import.PLQ,$A36-1,BE$15-1,1,1))))</f>
        <v>0</v>
      </c>
      <c r="BF36" s="145">
        <f ca="1">IF(BF$13="",0,CHOOSE(Detalhamento.OpçãoServiços,OFFSET(Import.PLQ,$A36-1,BF$15-1,1,1),IF($E36&lt;&gt;1,IF(ISNUMBER(INDEX(Import.PLE,Detalhamento!$E36,Detalhamento!BF$15)),IF(INDEX(Import.PLE,Detalhamento!$E36,Detalhamento!BF$15)&lt;=mediçao,OFFSET(Import.PLQ,$A36-1,BF$15-1,1,1),0),0),PLE!$AA$28*OFFSET(Import.PLQ,$A36-1,BF$15-1,1,1)),IF($E36&lt;&gt;1,IF(ISNUMBER(INDEX(Import.PLE,Detalhamento!$E36,Detalhamento!BF$15)),IF(INDEX(Import.PLE,Detalhamento!$E36,Detalhamento!BF$15)&lt;=mediçao,0,OFFSET(Import.PLQ,$A36-1,BF$15-1,1,1)),OFFSET(Import.PLQ,$A36-1,BF$15-1,1,1)),(1-PLE!$AA$28)*OFFSET(Import.PLQ,$A36-1,BF$15-1,1,1))))</f>
        <v>0</v>
      </c>
      <c r="BG36" s="145">
        <f ca="1">IF(BG$13="",0,CHOOSE(Detalhamento.OpçãoServiços,OFFSET(Import.PLQ,$A36-1,BG$15-1,1,1),IF($E36&lt;&gt;1,IF(ISNUMBER(INDEX(Import.PLE,Detalhamento!$E36,Detalhamento!BG$15)),IF(INDEX(Import.PLE,Detalhamento!$E36,Detalhamento!BG$15)&lt;=mediçao,OFFSET(Import.PLQ,$A36-1,BG$15-1,1,1),0),0),PLE!$AA$28*OFFSET(Import.PLQ,$A36-1,BG$15-1,1,1)),IF($E36&lt;&gt;1,IF(ISNUMBER(INDEX(Import.PLE,Detalhamento!$E36,Detalhamento!BG$15)),IF(INDEX(Import.PLE,Detalhamento!$E36,Detalhamento!BG$15)&lt;=mediçao,0,OFFSET(Import.PLQ,$A36-1,BG$15-1,1,1)),OFFSET(Import.PLQ,$A36-1,BG$15-1,1,1)),(1-PLE!$AA$28)*OFFSET(Import.PLQ,$A36-1,BG$15-1,1,1))))</f>
        <v>0</v>
      </c>
      <c r="BH36" s="145">
        <f ca="1">IF(BH$13="",0,CHOOSE(Detalhamento.OpçãoServiços,OFFSET(Import.PLQ,$A36-1,BH$15-1,1,1),IF($E36&lt;&gt;1,IF(ISNUMBER(INDEX(Import.PLE,Detalhamento!$E36,Detalhamento!BH$15)),IF(INDEX(Import.PLE,Detalhamento!$E36,Detalhamento!BH$15)&lt;=mediçao,OFFSET(Import.PLQ,$A36-1,BH$15-1,1,1),0),0),PLE!$AA$28*OFFSET(Import.PLQ,$A36-1,BH$15-1,1,1)),IF($E36&lt;&gt;1,IF(ISNUMBER(INDEX(Import.PLE,Detalhamento!$E36,Detalhamento!BH$15)),IF(INDEX(Import.PLE,Detalhamento!$E36,Detalhamento!BH$15)&lt;=mediçao,0,OFFSET(Import.PLQ,$A36-1,BH$15-1,1,1)),OFFSET(Import.PLQ,$A36-1,BH$15-1,1,1)),(1-PLE!$AA$28)*OFFSET(Import.PLQ,$A36-1,BH$15-1,1,1))))</f>
        <v>0</v>
      </c>
      <c r="BI36" s="145">
        <f ca="1">IF(BI$13="",0,CHOOSE(Detalhamento.OpçãoServiços,OFFSET(Import.PLQ,$A36-1,BI$15-1,1,1),IF($E36&lt;&gt;1,IF(ISNUMBER(INDEX(Import.PLE,Detalhamento!$E36,Detalhamento!BI$15)),IF(INDEX(Import.PLE,Detalhamento!$E36,Detalhamento!BI$15)&lt;=mediçao,OFFSET(Import.PLQ,$A36-1,BI$15-1,1,1),0),0),PLE!$AA$28*OFFSET(Import.PLQ,$A36-1,BI$15-1,1,1)),IF($E36&lt;&gt;1,IF(ISNUMBER(INDEX(Import.PLE,Detalhamento!$E36,Detalhamento!BI$15)),IF(INDEX(Import.PLE,Detalhamento!$E36,Detalhamento!BI$15)&lt;=mediçao,0,OFFSET(Import.PLQ,$A36-1,BI$15-1,1,1)),OFFSET(Import.PLQ,$A36-1,BI$15-1,1,1)),(1-PLE!$AA$28)*OFFSET(Import.PLQ,$A36-1,BI$15-1,1,1))))</f>
        <v>0</v>
      </c>
    </row>
    <row r="37" spans="1:61" ht="45" x14ac:dyDescent="0.2">
      <c r="A37" s="156">
        <v>17</v>
      </c>
      <c r="B37" s="21" t="str">
        <f t="shared" ca="1" si="8"/>
        <v>Serviço</v>
      </c>
      <c r="E37" s="154">
        <f t="shared" ca="1" si="9"/>
        <v>4</v>
      </c>
      <c r="F37" s="155">
        <f t="shared" ca="1" si="10"/>
        <v>40017</v>
      </c>
      <c r="G37" s="155" t="str">
        <f t="shared" ca="1" si="11"/>
        <v>4.6</v>
      </c>
      <c r="H37" s="183" t="str">
        <f t="shared" ca="1" si="11"/>
        <v>Sinalização permanente, vertical, com placa octogonal de aço, padrão DNER, largura 0,60m, com tubo de aço galvanizado de 2,10m, já sendo descontado a altura que ficará contido na base, fixado com base de concreto 40 x 40 x 50</v>
      </c>
      <c r="I37" s="37" t="str">
        <f t="shared" ca="1" si="12"/>
        <v>unid</v>
      </c>
      <c r="J37" s="145">
        <f t="shared" ca="1" si="13"/>
        <v>8</v>
      </c>
      <c r="K37" s="67"/>
      <c r="L37" s="145">
        <f ca="1">IF(L$13="",0,CHOOSE(Detalhamento.OpçãoServiços,OFFSET(Import.PLQ,$A37-1,L$15-1,1,1),IF($E37&lt;&gt;1,IF(ISNUMBER(INDEX(Import.PLE,Detalhamento!$E37,Detalhamento!L$15)),IF(INDEX(Import.PLE,Detalhamento!$E37,Detalhamento!L$15)&lt;=mediçao,OFFSET(Import.PLQ,$A37-1,L$15-1,1,1),0),0),PLE!$AA$28*OFFSET(Import.PLQ,$A37-1,L$15-1,1,1)),IF($E37&lt;&gt;1,IF(ISNUMBER(INDEX(Import.PLE,Detalhamento!$E37,Detalhamento!L$15)),IF(INDEX(Import.PLE,Detalhamento!$E37,Detalhamento!L$15)&lt;=mediçao,0,OFFSET(Import.PLQ,$A37-1,L$15-1,1,1)),OFFSET(Import.PLQ,$A37-1,L$15-1,1,1)),(1-PLE!$AA$28)*OFFSET(Import.PLQ,$A37-1,L$15-1,1,1))))</f>
        <v>1</v>
      </c>
      <c r="M37" s="145">
        <f ca="1">IF(M$13="",0,CHOOSE(Detalhamento.OpçãoServiços,OFFSET(Import.PLQ,$A37-1,M$15-1,1,1),IF($E37&lt;&gt;1,IF(ISNUMBER(INDEX(Import.PLE,Detalhamento!$E37,Detalhamento!M$15)),IF(INDEX(Import.PLE,Detalhamento!$E37,Detalhamento!M$15)&lt;=mediçao,OFFSET(Import.PLQ,$A37-1,M$15-1,1,1),0),0),PLE!$AA$28*OFFSET(Import.PLQ,$A37-1,M$15-1,1,1)),IF($E37&lt;&gt;1,IF(ISNUMBER(INDEX(Import.PLE,Detalhamento!$E37,Detalhamento!M$15)),IF(INDEX(Import.PLE,Detalhamento!$E37,Detalhamento!M$15)&lt;=mediçao,0,OFFSET(Import.PLQ,$A37-1,M$15-1,1,1)),OFFSET(Import.PLQ,$A37-1,M$15-1,1,1)),(1-PLE!$AA$28)*OFFSET(Import.PLQ,$A37-1,M$15-1,1,1))))</f>
        <v>2</v>
      </c>
      <c r="N37" s="145">
        <f ca="1">IF(N$13="",0,CHOOSE(Detalhamento.OpçãoServiços,OFFSET(Import.PLQ,$A37-1,N$15-1,1,1),IF($E37&lt;&gt;1,IF(ISNUMBER(INDEX(Import.PLE,Detalhamento!$E37,Detalhamento!N$15)),IF(INDEX(Import.PLE,Detalhamento!$E37,Detalhamento!N$15)&lt;=mediçao,OFFSET(Import.PLQ,$A37-1,N$15-1,1,1),0),0),PLE!$AA$28*OFFSET(Import.PLQ,$A37-1,N$15-1,1,1)),IF($E37&lt;&gt;1,IF(ISNUMBER(INDEX(Import.PLE,Detalhamento!$E37,Detalhamento!N$15)),IF(INDEX(Import.PLE,Detalhamento!$E37,Detalhamento!N$15)&lt;=mediçao,0,OFFSET(Import.PLQ,$A37-1,N$15-1,1,1)),OFFSET(Import.PLQ,$A37-1,N$15-1,1,1)),(1-PLE!$AA$28)*OFFSET(Import.PLQ,$A37-1,N$15-1,1,1))))</f>
        <v>0</v>
      </c>
      <c r="O37" s="145">
        <f ca="1">IF(O$13="",0,CHOOSE(Detalhamento.OpçãoServiços,OFFSET(Import.PLQ,$A37-1,O$15-1,1,1),IF($E37&lt;&gt;1,IF(ISNUMBER(INDEX(Import.PLE,Detalhamento!$E37,Detalhamento!O$15)),IF(INDEX(Import.PLE,Detalhamento!$E37,Detalhamento!O$15)&lt;=mediçao,OFFSET(Import.PLQ,$A37-1,O$15-1,1,1),0),0),PLE!$AA$28*OFFSET(Import.PLQ,$A37-1,O$15-1,1,1)),IF($E37&lt;&gt;1,IF(ISNUMBER(INDEX(Import.PLE,Detalhamento!$E37,Detalhamento!O$15)),IF(INDEX(Import.PLE,Detalhamento!$E37,Detalhamento!O$15)&lt;=mediçao,0,OFFSET(Import.PLQ,$A37-1,O$15-1,1,1)),OFFSET(Import.PLQ,$A37-1,O$15-1,1,1)),(1-PLE!$AA$28)*OFFSET(Import.PLQ,$A37-1,O$15-1,1,1))))</f>
        <v>1</v>
      </c>
      <c r="P37" s="145">
        <f ca="1">IF(P$13="",0,CHOOSE(Detalhamento.OpçãoServiços,OFFSET(Import.PLQ,$A37-1,P$15-1,1,1),IF($E37&lt;&gt;1,IF(ISNUMBER(INDEX(Import.PLE,Detalhamento!$E37,Detalhamento!P$15)),IF(INDEX(Import.PLE,Detalhamento!$E37,Detalhamento!P$15)&lt;=mediçao,OFFSET(Import.PLQ,$A37-1,P$15-1,1,1),0),0),PLE!$AA$28*OFFSET(Import.PLQ,$A37-1,P$15-1,1,1)),IF($E37&lt;&gt;1,IF(ISNUMBER(INDEX(Import.PLE,Detalhamento!$E37,Detalhamento!P$15)),IF(INDEX(Import.PLE,Detalhamento!$E37,Detalhamento!P$15)&lt;=mediçao,0,OFFSET(Import.PLQ,$A37-1,P$15-1,1,1)),OFFSET(Import.PLQ,$A37-1,P$15-1,1,1)),(1-PLE!$AA$28)*OFFSET(Import.PLQ,$A37-1,P$15-1,1,1))))</f>
        <v>1</v>
      </c>
      <c r="Q37" s="145">
        <f ca="1">IF(Q$13="",0,CHOOSE(Detalhamento.OpçãoServiços,OFFSET(Import.PLQ,$A37-1,Q$15-1,1,1),IF($E37&lt;&gt;1,IF(ISNUMBER(INDEX(Import.PLE,Detalhamento!$E37,Detalhamento!Q$15)),IF(INDEX(Import.PLE,Detalhamento!$E37,Detalhamento!Q$15)&lt;=mediçao,OFFSET(Import.PLQ,$A37-1,Q$15-1,1,1),0),0),PLE!$AA$28*OFFSET(Import.PLQ,$A37-1,Q$15-1,1,1)),IF($E37&lt;&gt;1,IF(ISNUMBER(INDEX(Import.PLE,Detalhamento!$E37,Detalhamento!Q$15)),IF(INDEX(Import.PLE,Detalhamento!$E37,Detalhamento!Q$15)&lt;=mediçao,0,OFFSET(Import.PLQ,$A37-1,Q$15-1,1,1)),OFFSET(Import.PLQ,$A37-1,Q$15-1,1,1)),(1-PLE!$AA$28)*OFFSET(Import.PLQ,$A37-1,Q$15-1,1,1))))</f>
        <v>1</v>
      </c>
      <c r="R37" s="145">
        <f ca="1">IF(R$13="",0,CHOOSE(Detalhamento.OpçãoServiços,OFFSET(Import.PLQ,$A37-1,R$15-1,1,1),IF($E37&lt;&gt;1,IF(ISNUMBER(INDEX(Import.PLE,Detalhamento!$E37,Detalhamento!R$15)),IF(INDEX(Import.PLE,Detalhamento!$E37,Detalhamento!R$15)&lt;=mediçao,OFFSET(Import.PLQ,$A37-1,R$15-1,1,1),0),0),PLE!$AA$28*OFFSET(Import.PLQ,$A37-1,R$15-1,1,1)),IF($E37&lt;&gt;1,IF(ISNUMBER(INDEX(Import.PLE,Detalhamento!$E37,Detalhamento!R$15)),IF(INDEX(Import.PLE,Detalhamento!$E37,Detalhamento!R$15)&lt;=mediçao,0,OFFSET(Import.PLQ,$A37-1,R$15-1,1,1)),OFFSET(Import.PLQ,$A37-1,R$15-1,1,1)),(1-PLE!$AA$28)*OFFSET(Import.PLQ,$A37-1,R$15-1,1,1))))</f>
        <v>1</v>
      </c>
      <c r="S37" s="145">
        <f ca="1">IF(S$13="",0,CHOOSE(Detalhamento.OpçãoServiços,OFFSET(Import.PLQ,$A37-1,S$15-1,1,1),IF($E37&lt;&gt;1,IF(ISNUMBER(INDEX(Import.PLE,Detalhamento!$E37,Detalhamento!S$15)),IF(INDEX(Import.PLE,Detalhamento!$E37,Detalhamento!S$15)&lt;=mediçao,OFFSET(Import.PLQ,$A37-1,S$15-1,1,1),0),0),PLE!$AA$28*OFFSET(Import.PLQ,$A37-1,S$15-1,1,1)),IF($E37&lt;&gt;1,IF(ISNUMBER(INDEX(Import.PLE,Detalhamento!$E37,Detalhamento!S$15)),IF(INDEX(Import.PLE,Detalhamento!$E37,Detalhamento!S$15)&lt;=mediçao,0,OFFSET(Import.PLQ,$A37-1,S$15-1,1,1)),OFFSET(Import.PLQ,$A37-1,S$15-1,1,1)),(1-PLE!$AA$28)*OFFSET(Import.PLQ,$A37-1,S$15-1,1,1))))</f>
        <v>1</v>
      </c>
      <c r="T37" s="145">
        <f ca="1">IF(T$13="",0,CHOOSE(Detalhamento.OpçãoServiços,OFFSET(Import.PLQ,$A37-1,T$15-1,1,1),IF($E37&lt;&gt;1,IF(ISNUMBER(INDEX(Import.PLE,Detalhamento!$E37,Detalhamento!T$15)),IF(INDEX(Import.PLE,Detalhamento!$E37,Detalhamento!T$15)&lt;=mediçao,OFFSET(Import.PLQ,$A37-1,T$15-1,1,1),0),0),PLE!$AA$28*OFFSET(Import.PLQ,$A37-1,T$15-1,1,1)),IF($E37&lt;&gt;1,IF(ISNUMBER(INDEX(Import.PLE,Detalhamento!$E37,Detalhamento!T$15)),IF(INDEX(Import.PLE,Detalhamento!$E37,Detalhamento!T$15)&lt;=mediçao,0,OFFSET(Import.PLQ,$A37-1,T$15-1,1,1)),OFFSET(Import.PLQ,$A37-1,T$15-1,1,1)),(1-PLE!$AA$28)*OFFSET(Import.PLQ,$A37-1,T$15-1,1,1))))</f>
        <v>0</v>
      </c>
      <c r="U37" s="145">
        <f ca="1">IF(U$13="",0,CHOOSE(Detalhamento.OpçãoServiços,OFFSET(Import.PLQ,$A37-1,U$15-1,1,1),IF($E37&lt;&gt;1,IF(ISNUMBER(INDEX(Import.PLE,Detalhamento!$E37,Detalhamento!U$15)),IF(INDEX(Import.PLE,Detalhamento!$E37,Detalhamento!U$15)&lt;=mediçao,OFFSET(Import.PLQ,$A37-1,U$15-1,1,1),0),0),PLE!$AA$28*OFFSET(Import.PLQ,$A37-1,U$15-1,1,1)),IF($E37&lt;&gt;1,IF(ISNUMBER(INDEX(Import.PLE,Detalhamento!$E37,Detalhamento!U$15)),IF(INDEX(Import.PLE,Detalhamento!$E37,Detalhamento!U$15)&lt;=mediçao,0,OFFSET(Import.PLQ,$A37-1,U$15-1,1,1)),OFFSET(Import.PLQ,$A37-1,U$15-1,1,1)),(1-PLE!$AA$28)*OFFSET(Import.PLQ,$A37-1,U$15-1,1,1))))</f>
        <v>0</v>
      </c>
      <c r="V37" s="145">
        <f ca="1">IF(V$13="",0,CHOOSE(Detalhamento.OpçãoServiços,OFFSET(Import.PLQ,$A37-1,V$15-1,1,1),IF($E37&lt;&gt;1,IF(ISNUMBER(INDEX(Import.PLE,Detalhamento!$E37,Detalhamento!V$15)),IF(INDEX(Import.PLE,Detalhamento!$E37,Detalhamento!V$15)&lt;=mediçao,OFFSET(Import.PLQ,$A37-1,V$15-1,1,1),0),0),PLE!$AA$28*OFFSET(Import.PLQ,$A37-1,V$15-1,1,1)),IF($E37&lt;&gt;1,IF(ISNUMBER(INDEX(Import.PLE,Detalhamento!$E37,Detalhamento!V$15)),IF(INDEX(Import.PLE,Detalhamento!$E37,Detalhamento!V$15)&lt;=mediçao,0,OFFSET(Import.PLQ,$A37-1,V$15-1,1,1)),OFFSET(Import.PLQ,$A37-1,V$15-1,1,1)),(1-PLE!$AA$28)*OFFSET(Import.PLQ,$A37-1,V$15-1,1,1))))</f>
        <v>0</v>
      </c>
      <c r="W37" s="145">
        <f ca="1">IF(W$13="",0,CHOOSE(Detalhamento.OpçãoServiços,OFFSET(Import.PLQ,$A37-1,W$15-1,1,1),IF($E37&lt;&gt;1,IF(ISNUMBER(INDEX(Import.PLE,Detalhamento!$E37,Detalhamento!W$15)),IF(INDEX(Import.PLE,Detalhamento!$E37,Detalhamento!W$15)&lt;=mediçao,OFFSET(Import.PLQ,$A37-1,W$15-1,1,1),0),0),PLE!$AA$28*OFFSET(Import.PLQ,$A37-1,W$15-1,1,1)),IF($E37&lt;&gt;1,IF(ISNUMBER(INDEX(Import.PLE,Detalhamento!$E37,Detalhamento!W$15)),IF(INDEX(Import.PLE,Detalhamento!$E37,Detalhamento!W$15)&lt;=mediçao,0,OFFSET(Import.PLQ,$A37-1,W$15-1,1,1)),OFFSET(Import.PLQ,$A37-1,W$15-1,1,1)),(1-PLE!$AA$28)*OFFSET(Import.PLQ,$A37-1,W$15-1,1,1))))</f>
        <v>0</v>
      </c>
      <c r="X37" s="145">
        <f ca="1">IF(X$13="",0,CHOOSE(Detalhamento.OpçãoServiços,OFFSET(Import.PLQ,$A37-1,X$15-1,1,1),IF($E37&lt;&gt;1,IF(ISNUMBER(INDEX(Import.PLE,Detalhamento!$E37,Detalhamento!X$15)),IF(INDEX(Import.PLE,Detalhamento!$E37,Detalhamento!X$15)&lt;=mediçao,OFFSET(Import.PLQ,$A37-1,X$15-1,1,1),0),0),PLE!$AA$28*OFFSET(Import.PLQ,$A37-1,X$15-1,1,1)),IF($E37&lt;&gt;1,IF(ISNUMBER(INDEX(Import.PLE,Detalhamento!$E37,Detalhamento!X$15)),IF(INDEX(Import.PLE,Detalhamento!$E37,Detalhamento!X$15)&lt;=mediçao,0,OFFSET(Import.PLQ,$A37-1,X$15-1,1,1)),OFFSET(Import.PLQ,$A37-1,X$15-1,1,1)),(1-PLE!$AA$28)*OFFSET(Import.PLQ,$A37-1,X$15-1,1,1))))</f>
        <v>0</v>
      </c>
      <c r="Y37" s="145">
        <f ca="1">IF(Y$13="",0,CHOOSE(Detalhamento.OpçãoServiços,OFFSET(Import.PLQ,$A37-1,Y$15-1,1,1),IF($E37&lt;&gt;1,IF(ISNUMBER(INDEX(Import.PLE,Detalhamento!$E37,Detalhamento!Y$15)),IF(INDEX(Import.PLE,Detalhamento!$E37,Detalhamento!Y$15)&lt;=mediçao,OFFSET(Import.PLQ,$A37-1,Y$15-1,1,1),0),0),PLE!$AA$28*OFFSET(Import.PLQ,$A37-1,Y$15-1,1,1)),IF($E37&lt;&gt;1,IF(ISNUMBER(INDEX(Import.PLE,Detalhamento!$E37,Detalhamento!Y$15)),IF(INDEX(Import.PLE,Detalhamento!$E37,Detalhamento!Y$15)&lt;=mediçao,0,OFFSET(Import.PLQ,$A37-1,Y$15-1,1,1)),OFFSET(Import.PLQ,$A37-1,Y$15-1,1,1)),(1-PLE!$AA$28)*OFFSET(Import.PLQ,$A37-1,Y$15-1,1,1))))</f>
        <v>0</v>
      </c>
      <c r="Z37" s="145">
        <f ca="1">IF(Z$13="",0,CHOOSE(Detalhamento.OpçãoServiços,OFFSET(Import.PLQ,$A37-1,Z$15-1,1,1),IF($E37&lt;&gt;1,IF(ISNUMBER(INDEX(Import.PLE,Detalhamento!$E37,Detalhamento!Z$15)),IF(INDEX(Import.PLE,Detalhamento!$E37,Detalhamento!Z$15)&lt;=mediçao,OFFSET(Import.PLQ,$A37-1,Z$15-1,1,1),0),0),PLE!$AA$28*OFFSET(Import.PLQ,$A37-1,Z$15-1,1,1)),IF($E37&lt;&gt;1,IF(ISNUMBER(INDEX(Import.PLE,Detalhamento!$E37,Detalhamento!Z$15)),IF(INDEX(Import.PLE,Detalhamento!$E37,Detalhamento!Z$15)&lt;=mediçao,0,OFFSET(Import.PLQ,$A37-1,Z$15-1,1,1)),OFFSET(Import.PLQ,$A37-1,Z$15-1,1,1)),(1-PLE!$AA$28)*OFFSET(Import.PLQ,$A37-1,Z$15-1,1,1))))</f>
        <v>0</v>
      </c>
      <c r="AA37" s="145">
        <f ca="1">IF(AA$13="",0,CHOOSE(Detalhamento.OpçãoServiços,OFFSET(Import.PLQ,$A37-1,AA$15-1,1,1),IF($E37&lt;&gt;1,IF(ISNUMBER(INDEX(Import.PLE,Detalhamento!$E37,Detalhamento!AA$15)),IF(INDEX(Import.PLE,Detalhamento!$E37,Detalhamento!AA$15)&lt;=mediçao,OFFSET(Import.PLQ,$A37-1,AA$15-1,1,1),0),0),PLE!$AA$28*OFFSET(Import.PLQ,$A37-1,AA$15-1,1,1)),IF($E37&lt;&gt;1,IF(ISNUMBER(INDEX(Import.PLE,Detalhamento!$E37,Detalhamento!AA$15)),IF(INDEX(Import.PLE,Detalhamento!$E37,Detalhamento!AA$15)&lt;=mediçao,0,OFFSET(Import.PLQ,$A37-1,AA$15-1,1,1)),OFFSET(Import.PLQ,$A37-1,AA$15-1,1,1)),(1-PLE!$AA$28)*OFFSET(Import.PLQ,$A37-1,AA$15-1,1,1))))</f>
        <v>0</v>
      </c>
      <c r="AB37" s="145">
        <f ca="1">IF(AB$13="",0,CHOOSE(Detalhamento.OpçãoServiços,OFFSET(Import.PLQ,$A37-1,AB$15-1,1,1),IF($E37&lt;&gt;1,IF(ISNUMBER(INDEX(Import.PLE,Detalhamento!$E37,Detalhamento!AB$15)),IF(INDEX(Import.PLE,Detalhamento!$E37,Detalhamento!AB$15)&lt;=mediçao,OFFSET(Import.PLQ,$A37-1,AB$15-1,1,1),0),0),PLE!$AA$28*OFFSET(Import.PLQ,$A37-1,AB$15-1,1,1)),IF($E37&lt;&gt;1,IF(ISNUMBER(INDEX(Import.PLE,Detalhamento!$E37,Detalhamento!AB$15)),IF(INDEX(Import.PLE,Detalhamento!$E37,Detalhamento!AB$15)&lt;=mediçao,0,OFFSET(Import.PLQ,$A37-1,AB$15-1,1,1)),OFFSET(Import.PLQ,$A37-1,AB$15-1,1,1)),(1-PLE!$AA$28)*OFFSET(Import.PLQ,$A37-1,AB$15-1,1,1))))</f>
        <v>0</v>
      </c>
      <c r="AC37" s="145">
        <f ca="1">IF(AC$13="",0,CHOOSE(Detalhamento.OpçãoServiços,OFFSET(Import.PLQ,$A37-1,AC$15-1,1,1),IF($E37&lt;&gt;1,IF(ISNUMBER(INDEX(Import.PLE,Detalhamento!$E37,Detalhamento!AC$15)),IF(INDEX(Import.PLE,Detalhamento!$E37,Detalhamento!AC$15)&lt;=mediçao,OFFSET(Import.PLQ,$A37-1,AC$15-1,1,1),0),0),PLE!$AA$28*OFFSET(Import.PLQ,$A37-1,AC$15-1,1,1)),IF($E37&lt;&gt;1,IF(ISNUMBER(INDEX(Import.PLE,Detalhamento!$E37,Detalhamento!AC$15)),IF(INDEX(Import.PLE,Detalhamento!$E37,Detalhamento!AC$15)&lt;=mediçao,0,OFFSET(Import.PLQ,$A37-1,AC$15-1,1,1)),OFFSET(Import.PLQ,$A37-1,AC$15-1,1,1)),(1-PLE!$AA$28)*OFFSET(Import.PLQ,$A37-1,AC$15-1,1,1))))</f>
        <v>0</v>
      </c>
      <c r="AD37" s="145">
        <f ca="1">IF(AD$13="",0,CHOOSE(Detalhamento.OpçãoServiços,OFFSET(Import.PLQ,$A37-1,AD$15-1,1,1),IF($E37&lt;&gt;1,IF(ISNUMBER(INDEX(Import.PLE,Detalhamento!$E37,Detalhamento!AD$15)),IF(INDEX(Import.PLE,Detalhamento!$E37,Detalhamento!AD$15)&lt;=mediçao,OFFSET(Import.PLQ,$A37-1,AD$15-1,1,1),0),0),PLE!$AA$28*OFFSET(Import.PLQ,$A37-1,AD$15-1,1,1)),IF($E37&lt;&gt;1,IF(ISNUMBER(INDEX(Import.PLE,Detalhamento!$E37,Detalhamento!AD$15)),IF(INDEX(Import.PLE,Detalhamento!$E37,Detalhamento!AD$15)&lt;=mediçao,0,OFFSET(Import.PLQ,$A37-1,AD$15-1,1,1)),OFFSET(Import.PLQ,$A37-1,AD$15-1,1,1)),(1-PLE!$AA$28)*OFFSET(Import.PLQ,$A37-1,AD$15-1,1,1))))</f>
        <v>0</v>
      </c>
      <c r="AE37" s="145">
        <f ca="1">IF(AE$13="",0,CHOOSE(Detalhamento.OpçãoServiços,OFFSET(Import.PLQ,$A37-1,AE$15-1,1,1),IF($E37&lt;&gt;1,IF(ISNUMBER(INDEX(Import.PLE,Detalhamento!$E37,Detalhamento!AE$15)),IF(INDEX(Import.PLE,Detalhamento!$E37,Detalhamento!AE$15)&lt;=mediçao,OFFSET(Import.PLQ,$A37-1,AE$15-1,1,1),0),0),PLE!$AA$28*OFFSET(Import.PLQ,$A37-1,AE$15-1,1,1)),IF($E37&lt;&gt;1,IF(ISNUMBER(INDEX(Import.PLE,Detalhamento!$E37,Detalhamento!AE$15)),IF(INDEX(Import.PLE,Detalhamento!$E37,Detalhamento!AE$15)&lt;=mediçao,0,OFFSET(Import.PLQ,$A37-1,AE$15-1,1,1)),OFFSET(Import.PLQ,$A37-1,AE$15-1,1,1)),(1-PLE!$AA$28)*OFFSET(Import.PLQ,$A37-1,AE$15-1,1,1))))</f>
        <v>0</v>
      </c>
      <c r="AF37" s="145">
        <f ca="1">IF(AF$13="",0,CHOOSE(Detalhamento.OpçãoServiços,OFFSET(Import.PLQ,$A37-1,AF$15-1,1,1),IF($E37&lt;&gt;1,IF(ISNUMBER(INDEX(Import.PLE,Detalhamento!$E37,Detalhamento!AF$15)),IF(INDEX(Import.PLE,Detalhamento!$E37,Detalhamento!AF$15)&lt;=mediçao,OFFSET(Import.PLQ,$A37-1,AF$15-1,1,1),0),0),PLE!$AA$28*OFFSET(Import.PLQ,$A37-1,AF$15-1,1,1)),IF($E37&lt;&gt;1,IF(ISNUMBER(INDEX(Import.PLE,Detalhamento!$E37,Detalhamento!AF$15)),IF(INDEX(Import.PLE,Detalhamento!$E37,Detalhamento!AF$15)&lt;=mediçao,0,OFFSET(Import.PLQ,$A37-1,AF$15-1,1,1)),OFFSET(Import.PLQ,$A37-1,AF$15-1,1,1)),(1-PLE!$AA$28)*OFFSET(Import.PLQ,$A37-1,AF$15-1,1,1))))</f>
        <v>0</v>
      </c>
      <c r="AG37" s="145">
        <f ca="1">IF(AG$13="",0,CHOOSE(Detalhamento.OpçãoServiços,OFFSET(Import.PLQ,$A37-1,AG$15-1,1,1),IF($E37&lt;&gt;1,IF(ISNUMBER(INDEX(Import.PLE,Detalhamento!$E37,Detalhamento!AG$15)),IF(INDEX(Import.PLE,Detalhamento!$E37,Detalhamento!AG$15)&lt;=mediçao,OFFSET(Import.PLQ,$A37-1,AG$15-1,1,1),0),0),PLE!$AA$28*OFFSET(Import.PLQ,$A37-1,AG$15-1,1,1)),IF($E37&lt;&gt;1,IF(ISNUMBER(INDEX(Import.PLE,Detalhamento!$E37,Detalhamento!AG$15)),IF(INDEX(Import.PLE,Detalhamento!$E37,Detalhamento!AG$15)&lt;=mediçao,0,OFFSET(Import.PLQ,$A37-1,AG$15-1,1,1)),OFFSET(Import.PLQ,$A37-1,AG$15-1,1,1)),(1-PLE!$AA$28)*OFFSET(Import.PLQ,$A37-1,AG$15-1,1,1))))</f>
        <v>0</v>
      </c>
      <c r="AH37" s="145">
        <f ca="1">IF(AH$13="",0,CHOOSE(Detalhamento.OpçãoServiços,OFFSET(Import.PLQ,$A37-1,AH$15-1,1,1),IF($E37&lt;&gt;1,IF(ISNUMBER(INDEX(Import.PLE,Detalhamento!$E37,Detalhamento!AH$15)),IF(INDEX(Import.PLE,Detalhamento!$E37,Detalhamento!AH$15)&lt;=mediçao,OFFSET(Import.PLQ,$A37-1,AH$15-1,1,1),0),0),PLE!$AA$28*OFFSET(Import.PLQ,$A37-1,AH$15-1,1,1)),IF($E37&lt;&gt;1,IF(ISNUMBER(INDEX(Import.PLE,Detalhamento!$E37,Detalhamento!AH$15)),IF(INDEX(Import.PLE,Detalhamento!$E37,Detalhamento!AH$15)&lt;=mediçao,0,OFFSET(Import.PLQ,$A37-1,AH$15-1,1,1)),OFFSET(Import.PLQ,$A37-1,AH$15-1,1,1)),(1-PLE!$AA$28)*OFFSET(Import.PLQ,$A37-1,AH$15-1,1,1))))</f>
        <v>0</v>
      </c>
      <c r="AI37" s="145">
        <f ca="1">IF(AI$13="",0,CHOOSE(Detalhamento.OpçãoServiços,OFFSET(Import.PLQ,$A37-1,AI$15-1,1,1),IF($E37&lt;&gt;1,IF(ISNUMBER(INDEX(Import.PLE,Detalhamento!$E37,Detalhamento!AI$15)),IF(INDEX(Import.PLE,Detalhamento!$E37,Detalhamento!AI$15)&lt;=mediçao,OFFSET(Import.PLQ,$A37-1,AI$15-1,1,1),0),0),PLE!$AA$28*OFFSET(Import.PLQ,$A37-1,AI$15-1,1,1)),IF($E37&lt;&gt;1,IF(ISNUMBER(INDEX(Import.PLE,Detalhamento!$E37,Detalhamento!AI$15)),IF(INDEX(Import.PLE,Detalhamento!$E37,Detalhamento!AI$15)&lt;=mediçao,0,OFFSET(Import.PLQ,$A37-1,AI$15-1,1,1)),OFFSET(Import.PLQ,$A37-1,AI$15-1,1,1)),(1-PLE!$AA$28)*OFFSET(Import.PLQ,$A37-1,AI$15-1,1,1))))</f>
        <v>0</v>
      </c>
      <c r="AJ37" s="145">
        <f ca="1">IF(AJ$13="",0,CHOOSE(Detalhamento.OpçãoServiços,OFFSET(Import.PLQ,$A37-1,AJ$15-1,1,1),IF($E37&lt;&gt;1,IF(ISNUMBER(INDEX(Import.PLE,Detalhamento!$E37,Detalhamento!AJ$15)),IF(INDEX(Import.PLE,Detalhamento!$E37,Detalhamento!AJ$15)&lt;=mediçao,OFFSET(Import.PLQ,$A37-1,AJ$15-1,1,1),0),0),PLE!$AA$28*OFFSET(Import.PLQ,$A37-1,AJ$15-1,1,1)),IF($E37&lt;&gt;1,IF(ISNUMBER(INDEX(Import.PLE,Detalhamento!$E37,Detalhamento!AJ$15)),IF(INDEX(Import.PLE,Detalhamento!$E37,Detalhamento!AJ$15)&lt;=mediçao,0,OFFSET(Import.PLQ,$A37-1,AJ$15-1,1,1)),OFFSET(Import.PLQ,$A37-1,AJ$15-1,1,1)),(1-PLE!$AA$28)*OFFSET(Import.PLQ,$A37-1,AJ$15-1,1,1))))</f>
        <v>0</v>
      </c>
      <c r="AK37" s="145">
        <f ca="1">IF(AK$13="",0,CHOOSE(Detalhamento.OpçãoServiços,OFFSET(Import.PLQ,$A37-1,AK$15-1,1,1),IF($E37&lt;&gt;1,IF(ISNUMBER(INDEX(Import.PLE,Detalhamento!$E37,Detalhamento!AK$15)),IF(INDEX(Import.PLE,Detalhamento!$E37,Detalhamento!AK$15)&lt;=mediçao,OFFSET(Import.PLQ,$A37-1,AK$15-1,1,1),0),0),PLE!$AA$28*OFFSET(Import.PLQ,$A37-1,AK$15-1,1,1)),IF($E37&lt;&gt;1,IF(ISNUMBER(INDEX(Import.PLE,Detalhamento!$E37,Detalhamento!AK$15)),IF(INDEX(Import.PLE,Detalhamento!$E37,Detalhamento!AK$15)&lt;=mediçao,0,OFFSET(Import.PLQ,$A37-1,AK$15-1,1,1)),OFFSET(Import.PLQ,$A37-1,AK$15-1,1,1)),(1-PLE!$AA$28)*OFFSET(Import.PLQ,$A37-1,AK$15-1,1,1))))</f>
        <v>0</v>
      </c>
      <c r="AL37" s="145">
        <f ca="1">IF(AL$13="",0,CHOOSE(Detalhamento.OpçãoServiços,OFFSET(Import.PLQ,$A37-1,AL$15-1,1,1),IF($E37&lt;&gt;1,IF(ISNUMBER(INDEX(Import.PLE,Detalhamento!$E37,Detalhamento!AL$15)),IF(INDEX(Import.PLE,Detalhamento!$E37,Detalhamento!AL$15)&lt;=mediçao,OFFSET(Import.PLQ,$A37-1,AL$15-1,1,1),0),0),PLE!$AA$28*OFFSET(Import.PLQ,$A37-1,AL$15-1,1,1)),IF($E37&lt;&gt;1,IF(ISNUMBER(INDEX(Import.PLE,Detalhamento!$E37,Detalhamento!AL$15)),IF(INDEX(Import.PLE,Detalhamento!$E37,Detalhamento!AL$15)&lt;=mediçao,0,OFFSET(Import.PLQ,$A37-1,AL$15-1,1,1)),OFFSET(Import.PLQ,$A37-1,AL$15-1,1,1)),(1-PLE!$AA$28)*OFFSET(Import.PLQ,$A37-1,AL$15-1,1,1))))</f>
        <v>0</v>
      </c>
      <c r="AM37" s="145">
        <f ca="1">IF(AM$13="",0,CHOOSE(Detalhamento.OpçãoServiços,OFFSET(Import.PLQ,$A37-1,AM$15-1,1,1),IF($E37&lt;&gt;1,IF(ISNUMBER(INDEX(Import.PLE,Detalhamento!$E37,Detalhamento!AM$15)),IF(INDEX(Import.PLE,Detalhamento!$E37,Detalhamento!AM$15)&lt;=mediçao,OFFSET(Import.PLQ,$A37-1,AM$15-1,1,1),0),0),PLE!$AA$28*OFFSET(Import.PLQ,$A37-1,AM$15-1,1,1)),IF($E37&lt;&gt;1,IF(ISNUMBER(INDEX(Import.PLE,Detalhamento!$E37,Detalhamento!AM$15)),IF(INDEX(Import.PLE,Detalhamento!$E37,Detalhamento!AM$15)&lt;=mediçao,0,OFFSET(Import.PLQ,$A37-1,AM$15-1,1,1)),OFFSET(Import.PLQ,$A37-1,AM$15-1,1,1)),(1-PLE!$AA$28)*OFFSET(Import.PLQ,$A37-1,AM$15-1,1,1))))</f>
        <v>0</v>
      </c>
      <c r="AN37" s="145">
        <f ca="1">IF(AN$13="",0,CHOOSE(Detalhamento.OpçãoServiços,OFFSET(Import.PLQ,$A37-1,AN$15-1,1,1),IF($E37&lt;&gt;1,IF(ISNUMBER(INDEX(Import.PLE,Detalhamento!$E37,Detalhamento!AN$15)),IF(INDEX(Import.PLE,Detalhamento!$E37,Detalhamento!AN$15)&lt;=mediçao,OFFSET(Import.PLQ,$A37-1,AN$15-1,1,1),0),0),PLE!$AA$28*OFFSET(Import.PLQ,$A37-1,AN$15-1,1,1)),IF($E37&lt;&gt;1,IF(ISNUMBER(INDEX(Import.PLE,Detalhamento!$E37,Detalhamento!AN$15)),IF(INDEX(Import.PLE,Detalhamento!$E37,Detalhamento!AN$15)&lt;=mediçao,0,OFFSET(Import.PLQ,$A37-1,AN$15-1,1,1)),OFFSET(Import.PLQ,$A37-1,AN$15-1,1,1)),(1-PLE!$AA$28)*OFFSET(Import.PLQ,$A37-1,AN$15-1,1,1))))</f>
        <v>0</v>
      </c>
      <c r="AO37" s="145">
        <f ca="1">IF(AO$13="",0,CHOOSE(Detalhamento.OpçãoServiços,OFFSET(Import.PLQ,$A37-1,AO$15-1,1,1),IF($E37&lt;&gt;1,IF(ISNUMBER(INDEX(Import.PLE,Detalhamento!$E37,Detalhamento!AO$15)),IF(INDEX(Import.PLE,Detalhamento!$E37,Detalhamento!AO$15)&lt;=mediçao,OFFSET(Import.PLQ,$A37-1,AO$15-1,1,1),0),0),PLE!$AA$28*OFFSET(Import.PLQ,$A37-1,AO$15-1,1,1)),IF($E37&lt;&gt;1,IF(ISNUMBER(INDEX(Import.PLE,Detalhamento!$E37,Detalhamento!AO$15)),IF(INDEX(Import.PLE,Detalhamento!$E37,Detalhamento!AO$15)&lt;=mediçao,0,OFFSET(Import.PLQ,$A37-1,AO$15-1,1,1)),OFFSET(Import.PLQ,$A37-1,AO$15-1,1,1)),(1-PLE!$AA$28)*OFFSET(Import.PLQ,$A37-1,AO$15-1,1,1))))</f>
        <v>0</v>
      </c>
      <c r="AP37" s="145">
        <f ca="1">IF(AP$13="",0,CHOOSE(Detalhamento.OpçãoServiços,OFFSET(Import.PLQ,$A37-1,AP$15-1,1,1),IF($E37&lt;&gt;1,IF(ISNUMBER(INDEX(Import.PLE,Detalhamento!$E37,Detalhamento!AP$15)),IF(INDEX(Import.PLE,Detalhamento!$E37,Detalhamento!AP$15)&lt;=mediçao,OFFSET(Import.PLQ,$A37-1,AP$15-1,1,1),0),0),PLE!$AA$28*OFFSET(Import.PLQ,$A37-1,AP$15-1,1,1)),IF($E37&lt;&gt;1,IF(ISNUMBER(INDEX(Import.PLE,Detalhamento!$E37,Detalhamento!AP$15)),IF(INDEX(Import.PLE,Detalhamento!$E37,Detalhamento!AP$15)&lt;=mediçao,0,OFFSET(Import.PLQ,$A37-1,AP$15-1,1,1)),OFFSET(Import.PLQ,$A37-1,AP$15-1,1,1)),(1-PLE!$AA$28)*OFFSET(Import.PLQ,$A37-1,AP$15-1,1,1))))</f>
        <v>0</v>
      </c>
      <c r="AQ37" s="145">
        <f ca="1">IF(AQ$13="",0,CHOOSE(Detalhamento.OpçãoServiços,OFFSET(Import.PLQ,$A37-1,AQ$15-1,1,1),IF($E37&lt;&gt;1,IF(ISNUMBER(INDEX(Import.PLE,Detalhamento!$E37,Detalhamento!AQ$15)),IF(INDEX(Import.PLE,Detalhamento!$E37,Detalhamento!AQ$15)&lt;=mediçao,OFFSET(Import.PLQ,$A37-1,AQ$15-1,1,1),0),0),PLE!$AA$28*OFFSET(Import.PLQ,$A37-1,AQ$15-1,1,1)),IF($E37&lt;&gt;1,IF(ISNUMBER(INDEX(Import.PLE,Detalhamento!$E37,Detalhamento!AQ$15)),IF(INDEX(Import.PLE,Detalhamento!$E37,Detalhamento!AQ$15)&lt;=mediçao,0,OFFSET(Import.PLQ,$A37-1,AQ$15-1,1,1)),OFFSET(Import.PLQ,$A37-1,AQ$15-1,1,1)),(1-PLE!$AA$28)*OFFSET(Import.PLQ,$A37-1,AQ$15-1,1,1))))</f>
        <v>0</v>
      </c>
      <c r="AR37" s="145">
        <f ca="1">IF(AR$13="",0,CHOOSE(Detalhamento.OpçãoServiços,OFFSET(Import.PLQ,$A37-1,AR$15-1,1,1),IF($E37&lt;&gt;1,IF(ISNUMBER(INDEX(Import.PLE,Detalhamento!$E37,Detalhamento!AR$15)),IF(INDEX(Import.PLE,Detalhamento!$E37,Detalhamento!AR$15)&lt;=mediçao,OFFSET(Import.PLQ,$A37-1,AR$15-1,1,1),0),0),PLE!$AA$28*OFFSET(Import.PLQ,$A37-1,AR$15-1,1,1)),IF($E37&lt;&gt;1,IF(ISNUMBER(INDEX(Import.PLE,Detalhamento!$E37,Detalhamento!AR$15)),IF(INDEX(Import.PLE,Detalhamento!$E37,Detalhamento!AR$15)&lt;=mediçao,0,OFFSET(Import.PLQ,$A37-1,AR$15-1,1,1)),OFFSET(Import.PLQ,$A37-1,AR$15-1,1,1)),(1-PLE!$AA$28)*OFFSET(Import.PLQ,$A37-1,AR$15-1,1,1))))</f>
        <v>0</v>
      </c>
      <c r="AS37" s="145">
        <f ca="1">IF(AS$13="",0,CHOOSE(Detalhamento.OpçãoServiços,OFFSET(Import.PLQ,$A37-1,AS$15-1,1,1),IF($E37&lt;&gt;1,IF(ISNUMBER(INDEX(Import.PLE,Detalhamento!$E37,Detalhamento!AS$15)),IF(INDEX(Import.PLE,Detalhamento!$E37,Detalhamento!AS$15)&lt;=mediçao,OFFSET(Import.PLQ,$A37-1,AS$15-1,1,1),0),0),PLE!$AA$28*OFFSET(Import.PLQ,$A37-1,AS$15-1,1,1)),IF($E37&lt;&gt;1,IF(ISNUMBER(INDEX(Import.PLE,Detalhamento!$E37,Detalhamento!AS$15)),IF(INDEX(Import.PLE,Detalhamento!$E37,Detalhamento!AS$15)&lt;=mediçao,0,OFFSET(Import.PLQ,$A37-1,AS$15-1,1,1)),OFFSET(Import.PLQ,$A37-1,AS$15-1,1,1)),(1-PLE!$AA$28)*OFFSET(Import.PLQ,$A37-1,AS$15-1,1,1))))</f>
        <v>0</v>
      </c>
      <c r="AT37" s="145">
        <f ca="1">IF(AT$13="",0,CHOOSE(Detalhamento.OpçãoServiços,OFFSET(Import.PLQ,$A37-1,AT$15-1,1,1),IF($E37&lt;&gt;1,IF(ISNUMBER(INDEX(Import.PLE,Detalhamento!$E37,Detalhamento!AT$15)),IF(INDEX(Import.PLE,Detalhamento!$E37,Detalhamento!AT$15)&lt;=mediçao,OFFSET(Import.PLQ,$A37-1,AT$15-1,1,1),0),0),PLE!$AA$28*OFFSET(Import.PLQ,$A37-1,AT$15-1,1,1)),IF($E37&lt;&gt;1,IF(ISNUMBER(INDEX(Import.PLE,Detalhamento!$E37,Detalhamento!AT$15)),IF(INDEX(Import.PLE,Detalhamento!$E37,Detalhamento!AT$15)&lt;=mediçao,0,OFFSET(Import.PLQ,$A37-1,AT$15-1,1,1)),OFFSET(Import.PLQ,$A37-1,AT$15-1,1,1)),(1-PLE!$AA$28)*OFFSET(Import.PLQ,$A37-1,AT$15-1,1,1))))</f>
        <v>0</v>
      </c>
      <c r="AU37" s="145">
        <f ca="1">IF(AU$13="",0,CHOOSE(Detalhamento.OpçãoServiços,OFFSET(Import.PLQ,$A37-1,AU$15-1,1,1),IF($E37&lt;&gt;1,IF(ISNUMBER(INDEX(Import.PLE,Detalhamento!$E37,Detalhamento!AU$15)),IF(INDEX(Import.PLE,Detalhamento!$E37,Detalhamento!AU$15)&lt;=mediçao,OFFSET(Import.PLQ,$A37-1,AU$15-1,1,1),0),0),PLE!$AA$28*OFFSET(Import.PLQ,$A37-1,AU$15-1,1,1)),IF($E37&lt;&gt;1,IF(ISNUMBER(INDEX(Import.PLE,Detalhamento!$E37,Detalhamento!AU$15)),IF(INDEX(Import.PLE,Detalhamento!$E37,Detalhamento!AU$15)&lt;=mediçao,0,OFFSET(Import.PLQ,$A37-1,AU$15-1,1,1)),OFFSET(Import.PLQ,$A37-1,AU$15-1,1,1)),(1-PLE!$AA$28)*OFFSET(Import.PLQ,$A37-1,AU$15-1,1,1))))</f>
        <v>0</v>
      </c>
      <c r="AV37" s="145">
        <f ca="1">IF(AV$13="",0,CHOOSE(Detalhamento.OpçãoServiços,OFFSET(Import.PLQ,$A37-1,AV$15-1,1,1),IF($E37&lt;&gt;1,IF(ISNUMBER(INDEX(Import.PLE,Detalhamento!$E37,Detalhamento!AV$15)),IF(INDEX(Import.PLE,Detalhamento!$E37,Detalhamento!AV$15)&lt;=mediçao,OFFSET(Import.PLQ,$A37-1,AV$15-1,1,1),0),0),PLE!$AA$28*OFFSET(Import.PLQ,$A37-1,AV$15-1,1,1)),IF($E37&lt;&gt;1,IF(ISNUMBER(INDEX(Import.PLE,Detalhamento!$E37,Detalhamento!AV$15)),IF(INDEX(Import.PLE,Detalhamento!$E37,Detalhamento!AV$15)&lt;=mediçao,0,OFFSET(Import.PLQ,$A37-1,AV$15-1,1,1)),OFFSET(Import.PLQ,$A37-1,AV$15-1,1,1)),(1-PLE!$AA$28)*OFFSET(Import.PLQ,$A37-1,AV$15-1,1,1))))</f>
        <v>0</v>
      </c>
      <c r="AW37" s="145">
        <f ca="1">IF(AW$13="",0,CHOOSE(Detalhamento.OpçãoServiços,OFFSET(Import.PLQ,$A37-1,AW$15-1,1,1),IF($E37&lt;&gt;1,IF(ISNUMBER(INDEX(Import.PLE,Detalhamento!$E37,Detalhamento!AW$15)),IF(INDEX(Import.PLE,Detalhamento!$E37,Detalhamento!AW$15)&lt;=mediçao,OFFSET(Import.PLQ,$A37-1,AW$15-1,1,1),0),0),PLE!$AA$28*OFFSET(Import.PLQ,$A37-1,AW$15-1,1,1)),IF($E37&lt;&gt;1,IF(ISNUMBER(INDEX(Import.PLE,Detalhamento!$E37,Detalhamento!AW$15)),IF(INDEX(Import.PLE,Detalhamento!$E37,Detalhamento!AW$15)&lt;=mediçao,0,OFFSET(Import.PLQ,$A37-1,AW$15-1,1,1)),OFFSET(Import.PLQ,$A37-1,AW$15-1,1,1)),(1-PLE!$AA$28)*OFFSET(Import.PLQ,$A37-1,AW$15-1,1,1))))</f>
        <v>0</v>
      </c>
      <c r="AX37" s="145">
        <f ca="1">IF(AX$13="",0,CHOOSE(Detalhamento.OpçãoServiços,OFFSET(Import.PLQ,$A37-1,AX$15-1,1,1),IF($E37&lt;&gt;1,IF(ISNUMBER(INDEX(Import.PLE,Detalhamento!$E37,Detalhamento!AX$15)),IF(INDEX(Import.PLE,Detalhamento!$E37,Detalhamento!AX$15)&lt;=mediçao,OFFSET(Import.PLQ,$A37-1,AX$15-1,1,1),0),0),PLE!$AA$28*OFFSET(Import.PLQ,$A37-1,AX$15-1,1,1)),IF($E37&lt;&gt;1,IF(ISNUMBER(INDEX(Import.PLE,Detalhamento!$E37,Detalhamento!AX$15)),IF(INDEX(Import.PLE,Detalhamento!$E37,Detalhamento!AX$15)&lt;=mediçao,0,OFFSET(Import.PLQ,$A37-1,AX$15-1,1,1)),OFFSET(Import.PLQ,$A37-1,AX$15-1,1,1)),(1-PLE!$AA$28)*OFFSET(Import.PLQ,$A37-1,AX$15-1,1,1))))</f>
        <v>0</v>
      </c>
      <c r="AY37" s="145">
        <f ca="1">IF(AY$13="",0,CHOOSE(Detalhamento.OpçãoServiços,OFFSET(Import.PLQ,$A37-1,AY$15-1,1,1),IF($E37&lt;&gt;1,IF(ISNUMBER(INDEX(Import.PLE,Detalhamento!$E37,Detalhamento!AY$15)),IF(INDEX(Import.PLE,Detalhamento!$E37,Detalhamento!AY$15)&lt;=mediçao,OFFSET(Import.PLQ,$A37-1,AY$15-1,1,1),0),0),PLE!$AA$28*OFFSET(Import.PLQ,$A37-1,AY$15-1,1,1)),IF($E37&lt;&gt;1,IF(ISNUMBER(INDEX(Import.PLE,Detalhamento!$E37,Detalhamento!AY$15)),IF(INDEX(Import.PLE,Detalhamento!$E37,Detalhamento!AY$15)&lt;=mediçao,0,OFFSET(Import.PLQ,$A37-1,AY$15-1,1,1)),OFFSET(Import.PLQ,$A37-1,AY$15-1,1,1)),(1-PLE!$AA$28)*OFFSET(Import.PLQ,$A37-1,AY$15-1,1,1))))</f>
        <v>0</v>
      </c>
      <c r="AZ37" s="145">
        <f ca="1">IF(AZ$13="",0,CHOOSE(Detalhamento.OpçãoServiços,OFFSET(Import.PLQ,$A37-1,AZ$15-1,1,1),IF($E37&lt;&gt;1,IF(ISNUMBER(INDEX(Import.PLE,Detalhamento!$E37,Detalhamento!AZ$15)),IF(INDEX(Import.PLE,Detalhamento!$E37,Detalhamento!AZ$15)&lt;=mediçao,OFFSET(Import.PLQ,$A37-1,AZ$15-1,1,1),0),0),PLE!$AA$28*OFFSET(Import.PLQ,$A37-1,AZ$15-1,1,1)),IF($E37&lt;&gt;1,IF(ISNUMBER(INDEX(Import.PLE,Detalhamento!$E37,Detalhamento!AZ$15)),IF(INDEX(Import.PLE,Detalhamento!$E37,Detalhamento!AZ$15)&lt;=mediçao,0,OFFSET(Import.PLQ,$A37-1,AZ$15-1,1,1)),OFFSET(Import.PLQ,$A37-1,AZ$15-1,1,1)),(1-PLE!$AA$28)*OFFSET(Import.PLQ,$A37-1,AZ$15-1,1,1))))</f>
        <v>0</v>
      </c>
      <c r="BA37" s="145">
        <f ca="1">IF(BA$13="",0,CHOOSE(Detalhamento.OpçãoServiços,OFFSET(Import.PLQ,$A37-1,BA$15-1,1,1),IF($E37&lt;&gt;1,IF(ISNUMBER(INDEX(Import.PLE,Detalhamento!$E37,Detalhamento!BA$15)),IF(INDEX(Import.PLE,Detalhamento!$E37,Detalhamento!BA$15)&lt;=mediçao,OFFSET(Import.PLQ,$A37-1,BA$15-1,1,1),0),0),PLE!$AA$28*OFFSET(Import.PLQ,$A37-1,BA$15-1,1,1)),IF($E37&lt;&gt;1,IF(ISNUMBER(INDEX(Import.PLE,Detalhamento!$E37,Detalhamento!BA$15)),IF(INDEX(Import.PLE,Detalhamento!$E37,Detalhamento!BA$15)&lt;=mediçao,0,OFFSET(Import.PLQ,$A37-1,BA$15-1,1,1)),OFFSET(Import.PLQ,$A37-1,BA$15-1,1,1)),(1-PLE!$AA$28)*OFFSET(Import.PLQ,$A37-1,BA$15-1,1,1))))</f>
        <v>0</v>
      </c>
      <c r="BB37" s="145">
        <f ca="1">IF(BB$13="",0,CHOOSE(Detalhamento.OpçãoServiços,OFFSET(Import.PLQ,$A37-1,BB$15-1,1,1),IF($E37&lt;&gt;1,IF(ISNUMBER(INDEX(Import.PLE,Detalhamento!$E37,Detalhamento!BB$15)),IF(INDEX(Import.PLE,Detalhamento!$E37,Detalhamento!BB$15)&lt;=mediçao,OFFSET(Import.PLQ,$A37-1,BB$15-1,1,1),0),0),PLE!$AA$28*OFFSET(Import.PLQ,$A37-1,BB$15-1,1,1)),IF($E37&lt;&gt;1,IF(ISNUMBER(INDEX(Import.PLE,Detalhamento!$E37,Detalhamento!BB$15)),IF(INDEX(Import.PLE,Detalhamento!$E37,Detalhamento!BB$15)&lt;=mediçao,0,OFFSET(Import.PLQ,$A37-1,BB$15-1,1,1)),OFFSET(Import.PLQ,$A37-1,BB$15-1,1,1)),(1-PLE!$AA$28)*OFFSET(Import.PLQ,$A37-1,BB$15-1,1,1))))</f>
        <v>0</v>
      </c>
      <c r="BC37" s="145">
        <f ca="1">IF(BC$13="",0,CHOOSE(Detalhamento.OpçãoServiços,OFFSET(Import.PLQ,$A37-1,BC$15-1,1,1),IF($E37&lt;&gt;1,IF(ISNUMBER(INDEX(Import.PLE,Detalhamento!$E37,Detalhamento!BC$15)),IF(INDEX(Import.PLE,Detalhamento!$E37,Detalhamento!BC$15)&lt;=mediçao,OFFSET(Import.PLQ,$A37-1,BC$15-1,1,1),0),0),PLE!$AA$28*OFFSET(Import.PLQ,$A37-1,BC$15-1,1,1)),IF($E37&lt;&gt;1,IF(ISNUMBER(INDEX(Import.PLE,Detalhamento!$E37,Detalhamento!BC$15)),IF(INDEX(Import.PLE,Detalhamento!$E37,Detalhamento!BC$15)&lt;=mediçao,0,OFFSET(Import.PLQ,$A37-1,BC$15-1,1,1)),OFFSET(Import.PLQ,$A37-1,BC$15-1,1,1)),(1-PLE!$AA$28)*OFFSET(Import.PLQ,$A37-1,BC$15-1,1,1))))</f>
        <v>0</v>
      </c>
      <c r="BD37" s="145">
        <f ca="1">IF(BD$13="",0,CHOOSE(Detalhamento.OpçãoServiços,OFFSET(Import.PLQ,$A37-1,BD$15-1,1,1),IF($E37&lt;&gt;1,IF(ISNUMBER(INDEX(Import.PLE,Detalhamento!$E37,Detalhamento!BD$15)),IF(INDEX(Import.PLE,Detalhamento!$E37,Detalhamento!BD$15)&lt;=mediçao,OFFSET(Import.PLQ,$A37-1,BD$15-1,1,1),0),0),PLE!$AA$28*OFFSET(Import.PLQ,$A37-1,BD$15-1,1,1)),IF($E37&lt;&gt;1,IF(ISNUMBER(INDEX(Import.PLE,Detalhamento!$E37,Detalhamento!BD$15)),IF(INDEX(Import.PLE,Detalhamento!$E37,Detalhamento!BD$15)&lt;=mediçao,0,OFFSET(Import.PLQ,$A37-1,BD$15-1,1,1)),OFFSET(Import.PLQ,$A37-1,BD$15-1,1,1)),(1-PLE!$AA$28)*OFFSET(Import.PLQ,$A37-1,BD$15-1,1,1))))</f>
        <v>0</v>
      </c>
      <c r="BE37" s="145">
        <f ca="1">IF(BE$13="",0,CHOOSE(Detalhamento.OpçãoServiços,OFFSET(Import.PLQ,$A37-1,BE$15-1,1,1),IF($E37&lt;&gt;1,IF(ISNUMBER(INDEX(Import.PLE,Detalhamento!$E37,Detalhamento!BE$15)),IF(INDEX(Import.PLE,Detalhamento!$E37,Detalhamento!BE$15)&lt;=mediçao,OFFSET(Import.PLQ,$A37-1,BE$15-1,1,1),0),0),PLE!$AA$28*OFFSET(Import.PLQ,$A37-1,BE$15-1,1,1)),IF($E37&lt;&gt;1,IF(ISNUMBER(INDEX(Import.PLE,Detalhamento!$E37,Detalhamento!BE$15)),IF(INDEX(Import.PLE,Detalhamento!$E37,Detalhamento!BE$15)&lt;=mediçao,0,OFFSET(Import.PLQ,$A37-1,BE$15-1,1,1)),OFFSET(Import.PLQ,$A37-1,BE$15-1,1,1)),(1-PLE!$AA$28)*OFFSET(Import.PLQ,$A37-1,BE$15-1,1,1))))</f>
        <v>0</v>
      </c>
      <c r="BF37" s="145">
        <f ca="1">IF(BF$13="",0,CHOOSE(Detalhamento.OpçãoServiços,OFFSET(Import.PLQ,$A37-1,BF$15-1,1,1),IF($E37&lt;&gt;1,IF(ISNUMBER(INDEX(Import.PLE,Detalhamento!$E37,Detalhamento!BF$15)),IF(INDEX(Import.PLE,Detalhamento!$E37,Detalhamento!BF$15)&lt;=mediçao,OFFSET(Import.PLQ,$A37-1,BF$15-1,1,1),0),0),PLE!$AA$28*OFFSET(Import.PLQ,$A37-1,BF$15-1,1,1)),IF($E37&lt;&gt;1,IF(ISNUMBER(INDEX(Import.PLE,Detalhamento!$E37,Detalhamento!BF$15)),IF(INDEX(Import.PLE,Detalhamento!$E37,Detalhamento!BF$15)&lt;=mediçao,0,OFFSET(Import.PLQ,$A37-1,BF$15-1,1,1)),OFFSET(Import.PLQ,$A37-1,BF$15-1,1,1)),(1-PLE!$AA$28)*OFFSET(Import.PLQ,$A37-1,BF$15-1,1,1))))</f>
        <v>0</v>
      </c>
      <c r="BG37" s="145">
        <f ca="1">IF(BG$13="",0,CHOOSE(Detalhamento.OpçãoServiços,OFFSET(Import.PLQ,$A37-1,BG$15-1,1,1),IF($E37&lt;&gt;1,IF(ISNUMBER(INDEX(Import.PLE,Detalhamento!$E37,Detalhamento!BG$15)),IF(INDEX(Import.PLE,Detalhamento!$E37,Detalhamento!BG$15)&lt;=mediçao,OFFSET(Import.PLQ,$A37-1,BG$15-1,1,1),0),0),PLE!$AA$28*OFFSET(Import.PLQ,$A37-1,BG$15-1,1,1)),IF($E37&lt;&gt;1,IF(ISNUMBER(INDEX(Import.PLE,Detalhamento!$E37,Detalhamento!BG$15)),IF(INDEX(Import.PLE,Detalhamento!$E37,Detalhamento!BG$15)&lt;=mediçao,0,OFFSET(Import.PLQ,$A37-1,BG$15-1,1,1)),OFFSET(Import.PLQ,$A37-1,BG$15-1,1,1)),(1-PLE!$AA$28)*OFFSET(Import.PLQ,$A37-1,BG$15-1,1,1))))</f>
        <v>0</v>
      </c>
      <c r="BH37" s="145">
        <f ca="1">IF(BH$13="",0,CHOOSE(Detalhamento.OpçãoServiços,OFFSET(Import.PLQ,$A37-1,BH$15-1,1,1),IF($E37&lt;&gt;1,IF(ISNUMBER(INDEX(Import.PLE,Detalhamento!$E37,Detalhamento!BH$15)),IF(INDEX(Import.PLE,Detalhamento!$E37,Detalhamento!BH$15)&lt;=mediçao,OFFSET(Import.PLQ,$A37-1,BH$15-1,1,1),0),0),PLE!$AA$28*OFFSET(Import.PLQ,$A37-1,BH$15-1,1,1)),IF($E37&lt;&gt;1,IF(ISNUMBER(INDEX(Import.PLE,Detalhamento!$E37,Detalhamento!BH$15)),IF(INDEX(Import.PLE,Detalhamento!$E37,Detalhamento!BH$15)&lt;=mediçao,0,OFFSET(Import.PLQ,$A37-1,BH$15-1,1,1)),OFFSET(Import.PLQ,$A37-1,BH$15-1,1,1)),(1-PLE!$AA$28)*OFFSET(Import.PLQ,$A37-1,BH$15-1,1,1))))</f>
        <v>0</v>
      </c>
      <c r="BI37" s="145">
        <f ca="1">IF(BI$13="",0,CHOOSE(Detalhamento.OpçãoServiços,OFFSET(Import.PLQ,$A37-1,BI$15-1,1,1),IF($E37&lt;&gt;1,IF(ISNUMBER(INDEX(Import.PLE,Detalhamento!$E37,Detalhamento!BI$15)),IF(INDEX(Import.PLE,Detalhamento!$E37,Detalhamento!BI$15)&lt;=mediçao,OFFSET(Import.PLQ,$A37-1,BI$15-1,1,1),0),0),PLE!$AA$28*OFFSET(Import.PLQ,$A37-1,BI$15-1,1,1)),IF($E37&lt;&gt;1,IF(ISNUMBER(INDEX(Import.PLE,Detalhamento!$E37,Detalhamento!BI$15)),IF(INDEX(Import.PLE,Detalhamento!$E37,Detalhamento!BI$15)&lt;=mediçao,0,OFFSET(Import.PLQ,$A37-1,BI$15-1,1,1)),OFFSET(Import.PLQ,$A37-1,BI$15-1,1,1)),(1-PLE!$AA$28)*OFFSET(Import.PLQ,$A37-1,BI$15-1,1,1))))</f>
        <v>0</v>
      </c>
    </row>
    <row r="38" spans="1:61" x14ac:dyDescent="0.2">
      <c r="A38" s="156">
        <v>18</v>
      </c>
      <c r="B38" s="21" t="str">
        <f t="shared" ca="1" si="8"/>
        <v>Serviço</v>
      </c>
      <c r="E38" s="154">
        <f t="shared" ca="1" si="9"/>
        <v>4</v>
      </c>
      <c r="F38" s="155">
        <f t="shared" ca="1" si="10"/>
        <v>40018</v>
      </c>
      <c r="G38" s="155" t="str">
        <f t="shared" ca="1" si="11"/>
        <v>4.7</v>
      </c>
      <c r="H38" s="183" t="str">
        <f t="shared" ca="1" si="11"/>
        <v>Caiação em meio-fio</v>
      </c>
      <c r="I38" s="37" t="str">
        <f t="shared" ca="1" si="12"/>
        <v>m²</v>
      </c>
      <c r="J38" s="145">
        <f t="shared" ca="1" si="13"/>
        <v>435.12000000000006</v>
      </c>
      <c r="K38" s="67"/>
      <c r="L38" s="145">
        <f ca="1">IF(L$13="",0,CHOOSE(Detalhamento.OpçãoServiços,OFFSET(Import.PLQ,$A38-1,L$15-1,1,1),IF($E38&lt;&gt;1,IF(ISNUMBER(INDEX(Import.PLE,Detalhamento!$E38,Detalhamento!L$15)),IF(INDEX(Import.PLE,Detalhamento!$E38,Detalhamento!L$15)&lt;=mediçao,OFFSET(Import.PLQ,$A38-1,L$15-1,1,1),0),0),PLE!$AA$28*OFFSET(Import.PLQ,$A38-1,L$15-1,1,1)),IF($E38&lt;&gt;1,IF(ISNUMBER(INDEX(Import.PLE,Detalhamento!$E38,Detalhamento!L$15)),IF(INDEX(Import.PLE,Detalhamento!$E38,Detalhamento!L$15)&lt;=mediçao,0,OFFSET(Import.PLQ,$A38-1,L$15-1,1,1)),OFFSET(Import.PLQ,$A38-1,L$15-1,1,1)),(1-PLE!$AA$28)*OFFSET(Import.PLQ,$A38-1,L$15-1,1,1))))</f>
        <v>88.47</v>
      </c>
      <c r="M38" s="145">
        <f ca="1">IF(M$13="",0,CHOOSE(Detalhamento.OpçãoServiços,OFFSET(Import.PLQ,$A38-1,M$15-1,1,1),IF($E38&lt;&gt;1,IF(ISNUMBER(INDEX(Import.PLE,Detalhamento!$E38,Detalhamento!M$15)),IF(INDEX(Import.PLE,Detalhamento!$E38,Detalhamento!M$15)&lt;=mediçao,OFFSET(Import.PLQ,$A38-1,M$15-1,1,1),0),0),PLE!$AA$28*OFFSET(Import.PLQ,$A38-1,M$15-1,1,1)),IF($E38&lt;&gt;1,IF(ISNUMBER(INDEX(Import.PLE,Detalhamento!$E38,Detalhamento!M$15)),IF(INDEX(Import.PLE,Detalhamento!$E38,Detalhamento!M$15)&lt;=mediçao,0,OFFSET(Import.PLQ,$A38-1,M$15-1,1,1)),OFFSET(Import.PLQ,$A38-1,M$15-1,1,1)),(1-PLE!$AA$28)*OFFSET(Import.PLQ,$A38-1,M$15-1,1,1))))</f>
        <v>38.590000000000003</v>
      </c>
      <c r="N38" s="145">
        <f ca="1">IF(N$13="",0,CHOOSE(Detalhamento.OpçãoServiços,OFFSET(Import.PLQ,$A38-1,N$15-1,1,1),IF($E38&lt;&gt;1,IF(ISNUMBER(INDEX(Import.PLE,Detalhamento!$E38,Detalhamento!N$15)),IF(INDEX(Import.PLE,Detalhamento!$E38,Detalhamento!N$15)&lt;=mediçao,OFFSET(Import.PLQ,$A38-1,N$15-1,1,1),0),0),PLE!$AA$28*OFFSET(Import.PLQ,$A38-1,N$15-1,1,1)),IF($E38&lt;&gt;1,IF(ISNUMBER(INDEX(Import.PLE,Detalhamento!$E38,Detalhamento!N$15)),IF(INDEX(Import.PLE,Detalhamento!$E38,Detalhamento!N$15)&lt;=mediçao,0,OFFSET(Import.PLQ,$A38-1,N$15-1,1,1)),OFFSET(Import.PLQ,$A38-1,N$15-1,1,1)),(1-PLE!$AA$28)*OFFSET(Import.PLQ,$A38-1,N$15-1,1,1))))</f>
        <v>53.9</v>
      </c>
      <c r="O38" s="145">
        <f ca="1">IF(O$13="",0,CHOOSE(Detalhamento.OpçãoServiços,OFFSET(Import.PLQ,$A38-1,O$15-1,1,1),IF($E38&lt;&gt;1,IF(ISNUMBER(INDEX(Import.PLE,Detalhamento!$E38,Detalhamento!O$15)),IF(INDEX(Import.PLE,Detalhamento!$E38,Detalhamento!O$15)&lt;=mediçao,OFFSET(Import.PLQ,$A38-1,O$15-1,1,1),0),0),PLE!$AA$28*OFFSET(Import.PLQ,$A38-1,O$15-1,1,1)),IF($E38&lt;&gt;1,IF(ISNUMBER(INDEX(Import.PLE,Detalhamento!$E38,Detalhamento!O$15)),IF(INDEX(Import.PLE,Detalhamento!$E38,Detalhamento!O$15)&lt;=mediçao,0,OFFSET(Import.PLQ,$A38-1,O$15-1,1,1)),OFFSET(Import.PLQ,$A38-1,O$15-1,1,1)),(1-PLE!$AA$28)*OFFSET(Import.PLQ,$A38-1,O$15-1,1,1))))</f>
        <v>87.2</v>
      </c>
      <c r="P38" s="145">
        <f ca="1">IF(P$13="",0,CHOOSE(Detalhamento.OpçãoServiços,OFFSET(Import.PLQ,$A38-1,P$15-1,1,1),IF($E38&lt;&gt;1,IF(ISNUMBER(INDEX(Import.PLE,Detalhamento!$E38,Detalhamento!P$15)),IF(INDEX(Import.PLE,Detalhamento!$E38,Detalhamento!P$15)&lt;=mediçao,OFFSET(Import.PLQ,$A38-1,P$15-1,1,1),0),0),PLE!$AA$28*OFFSET(Import.PLQ,$A38-1,P$15-1,1,1)),IF($E38&lt;&gt;1,IF(ISNUMBER(INDEX(Import.PLE,Detalhamento!$E38,Detalhamento!P$15)),IF(INDEX(Import.PLE,Detalhamento!$E38,Detalhamento!P$15)&lt;=mediçao,0,OFFSET(Import.PLQ,$A38-1,P$15-1,1,1)),OFFSET(Import.PLQ,$A38-1,P$15-1,1,1)),(1-PLE!$AA$28)*OFFSET(Import.PLQ,$A38-1,P$15-1,1,1))))</f>
        <v>32.54</v>
      </c>
      <c r="Q38" s="145">
        <f ca="1">IF(Q$13="",0,CHOOSE(Detalhamento.OpçãoServiços,OFFSET(Import.PLQ,$A38-1,Q$15-1,1,1),IF($E38&lt;&gt;1,IF(ISNUMBER(INDEX(Import.PLE,Detalhamento!$E38,Detalhamento!Q$15)),IF(INDEX(Import.PLE,Detalhamento!$E38,Detalhamento!Q$15)&lt;=mediçao,OFFSET(Import.PLQ,$A38-1,Q$15-1,1,1),0),0),PLE!$AA$28*OFFSET(Import.PLQ,$A38-1,Q$15-1,1,1)),IF($E38&lt;&gt;1,IF(ISNUMBER(INDEX(Import.PLE,Detalhamento!$E38,Detalhamento!Q$15)),IF(INDEX(Import.PLE,Detalhamento!$E38,Detalhamento!Q$15)&lt;=mediçao,0,OFFSET(Import.PLQ,$A38-1,Q$15-1,1,1)),OFFSET(Import.PLQ,$A38-1,Q$15-1,1,1)),(1-PLE!$AA$28)*OFFSET(Import.PLQ,$A38-1,Q$15-1,1,1))))</f>
        <v>60.48</v>
      </c>
      <c r="R38" s="145">
        <f ca="1">IF(R$13="",0,CHOOSE(Detalhamento.OpçãoServiços,OFFSET(Import.PLQ,$A38-1,R$15-1,1,1),IF($E38&lt;&gt;1,IF(ISNUMBER(INDEX(Import.PLE,Detalhamento!$E38,Detalhamento!R$15)),IF(INDEX(Import.PLE,Detalhamento!$E38,Detalhamento!R$15)&lt;=mediçao,OFFSET(Import.PLQ,$A38-1,R$15-1,1,1),0),0),PLE!$AA$28*OFFSET(Import.PLQ,$A38-1,R$15-1,1,1)),IF($E38&lt;&gt;1,IF(ISNUMBER(INDEX(Import.PLE,Detalhamento!$E38,Detalhamento!R$15)),IF(INDEX(Import.PLE,Detalhamento!$E38,Detalhamento!R$15)&lt;=mediçao,0,OFFSET(Import.PLQ,$A38-1,R$15-1,1,1)),OFFSET(Import.PLQ,$A38-1,R$15-1,1,1)),(1-PLE!$AA$28)*OFFSET(Import.PLQ,$A38-1,R$15-1,1,1))))</f>
        <v>41.82</v>
      </c>
      <c r="S38" s="145">
        <f ca="1">IF(S$13="",0,CHOOSE(Detalhamento.OpçãoServiços,OFFSET(Import.PLQ,$A38-1,S$15-1,1,1),IF($E38&lt;&gt;1,IF(ISNUMBER(INDEX(Import.PLE,Detalhamento!$E38,Detalhamento!S$15)),IF(INDEX(Import.PLE,Detalhamento!$E38,Detalhamento!S$15)&lt;=mediçao,OFFSET(Import.PLQ,$A38-1,S$15-1,1,1),0),0),PLE!$AA$28*OFFSET(Import.PLQ,$A38-1,S$15-1,1,1)),IF($E38&lt;&gt;1,IF(ISNUMBER(INDEX(Import.PLE,Detalhamento!$E38,Detalhamento!S$15)),IF(INDEX(Import.PLE,Detalhamento!$E38,Detalhamento!S$15)&lt;=mediçao,0,OFFSET(Import.PLQ,$A38-1,S$15-1,1,1)),OFFSET(Import.PLQ,$A38-1,S$15-1,1,1)),(1-PLE!$AA$28)*OFFSET(Import.PLQ,$A38-1,S$15-1,1,1))))</f>
        <v>32.119999999999997</v>
      </c>
      <c r="T38" s="145">
        <f ca="1">IF(T$13="",0,CHOOSE(Detalhamento.OpçãoServiços,OFFSET(Import.PLQ,$A38-1,T$15-1,1,1),IF($E38&lt;&gt;1,IF(ISNUMBER(INDEX(Import.PLE,Detalhamento!$E38,Detalhamento!T$15)),IF(INDEX(Import.PLE,Detalhamento!$E38,Detalhamento!T$15)&lt;=mediçao,OFFSET(Import.PLQ,$A38-1,T$15-1,1,1),0),0),PLE!$AA$28*OFFSET(Import.PLQ,$A38-1,T$15-1,1,1)),IF($E38&lt;&gt;1,IF(ISNUMBER(INDEX(Import.PLE,Detalhamento!$E38,Detalhamento!T$15)),IF(INDEX(Import.PLE,Detalhamento!$E38,Detalhamento!T$15)&lt;=mediçao,0,OFFSET(Import.PLQ,$A38-1,T$15-1,1,1)),OFFSET(Import.PLQ,$A38-1,T$15-1,1,1)),(1-PLE!$AA$28)*OFFSET(Import.PLQ,$A38-1,T$15-1,1,1))))</f>
        <v>0</v>
      </c>
      <c r="U38" s="145">
        <f ca="1">IF(U$13="",0,CHOOSE(Detalhamento.OpçãoServiços,OFFSET(Import.PLQ,$A38-1,U$15-1,1,1),IF($E38&lt;&gt;1,IF(ISNUMBER(INDEX(Import.PLE,Detalhamento!$E38,Detalhamento!U$15)),IF(INDEX(Import.PLE,Detalhamento!$E38,Detalhamento!U$15)&lt;=mediçao,OFFSET(Import.PLQ,$A38-1,U$15-1,1,1),0),0),PLE!$AA$28*OFFSET(Import.PLQ,$A38-1,U$15-1,1,1)),IF($E38&lt;&gt;1,IF(ISNUMBER(INDEX(Import.PLE,Detalhamento!$E38,Detalhamento!U$15)),IF(INDEX(Import.PLE,Detalhamento!$E38,Detalhamento!U$15)&lt;=mediçao,0,OFFSET(Import.PLQ,$A38-1,U$15-1,1,1)),OFFSET(Import.PLQ,$A38-1,U$15-1,1,1)),(1-PLE!$AA$28)*OFFSET(Import.PLQ,$A38-1,U$15-1,1,1))))</f>
        <v>0</v>
      </c>
      <c r="V38" s="145">
        <f ca="1">IF(V$13="",0,CHOOSE(Detalhamento.OpçãoServiços,OFFSET(Import.PLQ,$A38-1,V$15-1,1,1),IF($E38&lt;&gt;1,IF(ISNUMBER(INDEX(Import.PLE,Detalhamento!$E38,Detalhamento!V$15)),IF(INDEX(Import.PLE,Detalhamento!$E38,Detalhamento!V$15)&lt;=mediçao,OFFSET(Import.PLQ,$A38-1,V$15-1,1,1),0),0),PLE!$AA$28*OFFSET(Import.PLQ,$A38-1,V$15-1,1,1)),IF($E38&lt;&gt;1,IF(ISNUMBER(INDEX(Import.PLE,Detalhamento!$E38,Detalhamento!V$15)),IF(INDEX(Import.PLE,Detalhamento!$E38,Detalhamento!V$15)&lt;=mediçao,0,OFFSET(Import.PLQ,$A38-1,V$15-1,1,1)),OFFSET(Import.PLQ,$A38-1,V$15-1,1,1)),(1-PLE!$AA$28)*OFFSET(Import.PLQ,$A38-1,V$15-1,1,1))))</f>
        <v>0</v>
      </c>
      <c r="W38" s="145">
        <f ca="1">IF(W$13="",0,CHOOSE(Detalhamento.OpçãoServiços,OFFSET(Import.PLQ,$A38-1,W$15-1,1,1),IF($E38&lt;&gt;1,IF(ISNUMBER(INDEX(Import.PLE,Detalhamento!$E38,Detalhamento!W$15)),IF(INDEX(Import.PLE,Detalhamento!$E38,Detalhamento!W$15)&lt;=mediçao,OFFSET(Import.PLQ,$A38-1,W$15-1,1,1),0),0),PLE!$AA$28*OFFSET(Import.PLQ,$A38-1,W$15-1,1,1)),IF($E38&lt;&gt;1,IF(ISNUMBER(INDEX(Import.PLE,Detalhamento!$E38,Detalhamento!W$15)),IF(INDEX(Import.PLE,Detalhamento!$E38,Detalhamento!W$15)&lt;=mediçao,0,OFFSET(Import.PLQ,$A38-1,W$15-1,1,1)),OFFSET(Import.PLQ,$A38-1,W$15-1,1,1)),(1-PLE!$AA$28)*OFFSET(Import.PLQ,$A38-1,W$15-1,1,1))))</f>
        <v>0</v>
      </c>
      <c r="X38" s="145">
        <f ca="1">IF(X$13="",0,CHOOSE(Detalhamento.OpçãoServiços,OFFSET(Import.PLQ,$A38-1,X$15-1,1,1),IF($E38&lt;&gt;1,IF(ISNUMBER(INDEX(Import.PLE,Detalhamento!$E38,Detalhamento!X$15)),IF(INDEX(Import.PLE,Detalhamento!$E38,Detalhamento!X$15)&lt;=mediçao,OFFSET(Import.PLQ,$A38-1,X$15-1,1,1),0),0),PLE!$AA$28*OFFSET(Import.PLQ,$A38-1,X$15-1,1,1)),IF($E38&lt;&gt;1,IF(ISNUMBER(INDEX(Import.PLE,Detalhamento!$E38,Detalhamento!X$15)),IF(INDEX(Import.PLE,Detalhamento!$E38,Detalhamento!X$15)&lt;=mediçao,0,OFFSET(Import.PLQ,$A38-1,X$15-1,1,1)),OFFSET(Import.PLQ,$A38-1,X$15-1,1,1)),(1-PLE!$AA$28)*OFFSET(Import.PLQ,$A38-1,X$15-1,1,1))))</f>
        <v>0</v>
      </c>
      <c r="Y38" s="145">
        <f ca="1">IF(Y$13="",0,CHOOSE(Detalhamento.OpçãoServiços,OFFSET(Import.PLQ,$A38-1,Y$15-1,1,1),IF($E38&lt;&gt;1,IF(ISNUMBER(INDEX(Import.PLE,Detalhamento!$E38,Detalhamento!Y$15)),IF(INDEX(Import.PLE,Detalhamento!$E38,Detalhamento!Y$15)&lt;=mediçao,OFFSET(Import.PLQ,$A38-1,Y$15-1,1,1),0),0),PLE!$AA$28*OFFSET(Import.PLQ,$A38-1,Y$15-1,1,1)),IF($E38&lt;&gt;1,IF(ISNUMBER(INDEX(Import.PLE,Detalhamento!$E38,Detalhamento!Y$15)),IF(INDEX(Import.PLE,Detalhamento!$E38,Detalhamento!Y$15)&lt;=mediçao,0,OFFSET(Import.PLQ,$A38-1,Y$15-1,1,1)),OFFSET(Import.PLQ,$A38-1,Y$15-1,1,1)),(1-PLE!$AA$28)*OFFSET(Import.PLQ,$A38-1,Y$15-1,1,1))))</f>
        <v>0</v>
      </c>
      <c r="Z38" s="145">
        <f ca="1">IF(Z$13="",0,CHOOSE(Detalhamento.OpçãoServiços,OFFSET(Import.PLQ,$A38-1,Z$15-1,1,1),IF($E38&lt;&gt;1,IF(ISNUMBER(INDEX(Import.PLE,Detalhamento!$E38,Detalhamento!Z$15)),IF(INDEX(Import.PLE,Detalhamento!$E38,Detalhamento!Z$15)&lt;=mediçao,OFFSET(Import.PLQ,$A38-1,Z$15-1,1,1),0),0),PLE!$AA$28*OFFSET(Import.PLQ,$A38-1,Z$15-1,1,1)),IF($E38&lt;&gt;1,IF(ISNUMBER(INDEX(Import.PLE,Detalhamento!$E38,Detalhamento!Z$15)),IF(INDEX(Import.PLE,Detalhamento!$E38,Detalhamento!Z$15)&lt;=mediçao,0,OFFSET(Import.PLQ,$A38-1,Z$15-1,1,1)),OFFSET(Import.PLQ,$A38-1,Z$15-1,1,1)),(1-PLE!$AA$28)*OFFSET(Import.PLQ,$A38-1,Z$15-1,1,1))))</f>
        <v>0</v>
      </c>
      <c r="AA38" s="145">
        <f ca="1">IF(AA$13="",0,CHOOSE(Detalhamento.OpçãoServiços,OFFSET(Import.PLQ,$A38-1,AA$15-1,1,1),IF($E38&lt;&gt;1,IF(ISNUMBER(INDEX(Import.PLE,Detalhamento!$E38,Detalhamento!AA$15)),IF(INDEX(Import.PLE,Detalhamento!$E38,Detalhamento!AA$15)&lt;=mediçao,OFFSET(Import.PLQ,$A38-1,AA$15-1,1,1),0),0),PLE!$AA$28*OFFSET(Import.PLQ,$A38-1,AA$15-1,1,1)),IF($E38&lt;&gt;1,IF(ISNUMBER(INDEX(Import.PLE,Detalhamento!$E38,Detalhamento!AA$15)),IF(INDEX(Import.PLE,Detalhamento!$E38,Detalhamento!AA$15)&lt;=mediçao,0,OFFSET(Import.PLQ,$A38-1,AA$15-1,1,1)),OFFSET(Import.PLQ,$A38-1,AA$15-1,1,1)),(1-PLE!$AA$28)*OFFSET(Import.PLQ,$A38-1,AA$15-1,1,1))))</f>
        <v>0</v>
      </c>
      <c r="AB38" s="145">
        <f ca="1">IF(AB$13="",0,CHOOSE(Detalhamento.OpçãoServiços,OFFSET(Import.PLQ,$A38-1,AB$15-1,1,1),IF($E38&lt;&gt;1,IF(ISNUMBER(INDEX(Import.PLE,Detalhamento!$E38,Detalhamento!AB$15)),IF(INDEX(Import.PLE,Detalhamento!$E38,Detalhamento!AB$15)&lt;=mediçao,OFFSET(Import.PLQ,$A38-1,AB$15-1,1,1),0),0),PLE!$AA$28*OFFSET(Import.PLQ,$A38-1,AB$15-1,1,1)),IF($E38&lt;&gt;1,IF(ISNUMBER(INDEX(Import.PLE,Detalhamento!$E38,Detalhamento!AB$15)),IF(INDEX(Import.PLE,Detalhamento!$E38,Detalhamento!AB$15)&lt;=mediçao,0,OFFSET(Import.PLQ,$A38-1,AB$15-1,1,1)),OFFSET(Import.PLQ,$A38-1,AB$15-1,1,1)),(1-PLE!$AA$28)*OFFSET(Import.PLQ,$A38-1,AB$15-1,1,1))))</f>
        <v>0</v>
      </c>
      <c r="AC38" s="145">
        <f ca="1">IF(AC$13="",0,CHOOSE(Detalhamento.OpçãoServiços,OFFSET(Import.PLQ,$A38-1,AC$15-1,1,1),IF($E38&lt;&gt;1,IF(ISNUMBER(INDEX(Import.PLE,Detalhamento!$E38,Detalhamento!AC$15)),IF(INDEX(Import.PLE,Detalhamento!$E38,Detalhamento!AC$15)&lt;=mediçao,OFFSET(Import.PLQ,$A38-1,AC$15-1,1,1),0),0),PLE!$AA$28*OFFSET(Import.PLQ,$A38-1,AC$15-1,1,1)),IF($E38&lt;&gt;1,IF(ISNUMBER(INDEX(Import.PLE,Detalhamento!$E38,Detalhamento!AC$15)),IF(INDEX(Import.PLE,Detalhamento!$E38,Detalhamento!AC$15)&lt;=mediçao,0,OFFSET(Import.PLQ,$A38-1,AC$15-1,1,1)),OFFSET(Import.PLQ,$A38-1,AC$15-1,1,1)),(1-PLE!$AA$28)*OFFSET(Import.PLQ,$A38-1,AC$15-1,1,1))))</f>
        <v>0</v>
      </c>
      <c r="AD38" s="145">
        <f ca="1">IF(AD$13="",0,CHOOSE(Detalhamento.OpçãoServiços,OFFSET(Import.PLQ,$A38-1,AD$15-1,1,1),IF($E38&lt;&gt;1,IF(ISNUMBER(INDEX(Import.PLE,Detalhamento!$E38,Detalhamento!AD$15)),IF(INDEX(Import.PLE,Detalhamento!$E38,Detalhamento!AD$15)&lt;=mediçao,OFFSET(Import.PLQ,$A38-1,AD$15-1,1,1),0),0),PLE!$AA$28*OFFSET(Import.PLQ,$A38-1,AD$15-1,1,1)),IF($E38&lt;&gt;1,IF(ISNUMBER(INDEX(Import.PLE,Detalhamento!$E38,Detalhamento!AD$15)),IF(INDEX(Import.PLE,Detalhamento!$E38,Detalhamento!AD$15)&lt;=mediçao,0,OFFSET(Import.PLQ,$A38-1,AD$15-1,1,1)),OFFSET(Import.PLQ,$A38-1,AD$15-1,1,1)),(1-PLE!$AA$28)*OFFSET(Import.PLQ,$A38-1,AD$15-1,1,1))))</f>
        <v>0</v>
      </c>
      <c r="AE38" s="145">
        <f ca="1">IF(AE$13="",0,CHOOSE(Detalhamento.OpçãoServiços,OFFSET(Import.PLQ,$A38-1,AE$15-1,1,1),IF($E38&lt;&gt;1,IF(ISNUMBER(INDEX(Import.PLE,Detalhamento!$E38,Detalhamento!AE$15)),IF(INDEX(Import.PLE,Detalhamento!$E38,Detalhamento!AE$15)&lt;=mediçao,OFFSET(Import.PLQ,$A38-1,AE$15-1,1,1),0),0),PLE!$AA$28*OFFSET(Import.PLQ,$A38-1,AE$15-1,1,1)),IF($E38&lt;&gt;1,IF(ISNUMBER(INDEX(Import.PLE,Detalhamento!$E38,Detalhamento!AE$15)),IF(INDEX(Import.PLE,Detalhamento!$E38,Detalhamento!AE$15)&lt;=mediçao,0,OFFSET(Import.PLQ,$A38-1,AE$15-1,1,1)),OFFSET(Import.PLQ,$A38-1,AE$15-1,1,1)),(1-PLE!$AA$28)*OFFSET(Import.PLQ,$A38-1,AE$15-1,1,1))))</f>
        <v>0</v>
      </c>
      <c r="AF38" s="145">
        <f ca="1">IF(AF$13="",0,CHOOSE(Detalhamento.OpçãoServiços,OFFSET(Import.PLQ,$A38-1,AF$15-1,1,1),IF($E38&lt;&gt;1,IF(ISNUMBER(INDEX(Import.PLE,Detalhamento!$E38,Detalhamento!AF$15)),IF(INDEX(Import.PLE,Detalhamento!$E38,Detalhamento!AF$15)&lt;=mediçao,OFFSET(Import.PLQ,$A38-1,AF$15-1,1,1),0),0),PLE!$AA$28*OFFSET(Import.PLQ,$A38-1,AF$15-1,1,1)),IF($E38&lt;&gt;1,IF(ISNUMBER(INDEX(Import.PLE,Detalhamento!$E38,Detalhamento!AF$15)),IF(INDEX(Import.PLE,Detalhamento!$E38,Detalhamento!AF$15)&lt;=mediçao,0,OFFSET(Import.PLQ,$A38-1,AF$15-1,1,1)),OFFSET(Import.PLQ,$A38-1,AF$15-1,1,1)),(1-PLE!$AA$28)*OFFSET(Import.PLQ,$A38-1,AF$15-1,1,1))))</f>
        <v>0</v>
      </c>
      <c r="AG38" s="145">
        <f ca="1">IF(AG$13="",0,CHOOSE(Detalhamento.OpçãoServiços,OFFSET(Import.PLQ,$A38-1,AG$15-1,1,1),IF($E38&lt;&gt;1,IF(ISNUMBER(INDEX(Import.PLE,Detalhamento!$E38,Detalhamento!AG$15)),IF(INDEX(Import.PLE,Detalhamento!$E38,Detalhamento!AG$15)&lt;=mediçao,OFFSET(Import.PLQ,$A38-1,AG$15-1,1,1),0),0),PLE!$AA$28*OFFSET(Import.PLQ,$A38-1,AG$15-1,1,1)),IF($E38&lt;&gt;1,IF(ISNUMBER(INDEX(Import.PLE,Detalhamento!$E38,Detalhamento!AG$15)),IF(INDEX(Import.PLE,Detalhamento!$E38,Detalhamento!AG$15)&lt;=mediçao,0,OFFSET(Import.PLQ,$A38-1,AG$15-1,1,1)),OFFSET(Import.PLQ,$A38-1,AG$15-1,1,1)),(1-PLE!$AA$28)*OFFSET(Import.PLQ,$A38-1,AG$15-1,1,1))))</f>
        <v>0</v>
      </c>
      <c r="AH38" s="145">
        <f ca="1">IF(AH$13="",0,CHOOSE(Detalhamento.OpçãoServiços,OFFSET(Import.PLQ,$A38-1,AH$15-1,1,1),IF($E38&lt;&gt;1,IF(ISNUMBER(INDEX(Import.PLE,Detalhamento!$E38,Detalhamento!AH$15)),IF(INDEX(Import.PLE,Detalhamento!$E38,Detalhamento!AH$15)&lt;=mediçao,OFFSET(Import.PLQ,$A38-1,AH$15-1,1,1),0),0),PLE!$AA$28*OFFSET(Import.PLQ,$A38-1,AH$15-1,1,1)),IF($E38&lt;&gt;1,IF(ISNUMBER(INDEX(Import.PLE,Detalhamento!$E38,Detalhamento!AH$15)),IF(INDEX(Import.PLE,Detalhamento!$E38,Detalhamento!AH$15)&lt;=mediçao,0,OFFSET(Import.PLQ,$A38-1,AH$15-1,1,1)),OFFSET(Import.PLQ,$A38-1,AH$15-1,1,1)),(1-PLE!$AA$28)*OFFSET(Import.PLQ,$A38-1,AH$15-1,1,1))))</f>
        <v>0</v>
      </c>
      <c r="AI38" s="145">
        <f ca="1">IF(AI$13="",0,CHOOSE(Detalhamento.OpçãoServiços,OFFSET(Import.PLQ,$A38-1,AI$15-1,1,1),IF($E38&lt;&gt;1,IF(ISNUMBER(INDEX(Import.PLE,Detalhamento!$E38,Detalhamento!AI$15)),IF(INDEX(Import.PLE,Detalhamento!$E38,Detalhamento!AI$15)&lt;=mediçao,OFFSET(Import.PLQ,$A38-1,AI$15-1,1,1),0),0),PLE!$AA$28*OFFSET(Import.PLQ,$A38-1,AI$15-1,1,1)),IF($E38&lt;&gt;1,IF(ISNUMBER(INDEX(Import.PLE,Detalhamento!$E38,Detalhamento!AI$15)),IF(INDEX(Import.PLE,Detalhamento!$E38,Detalhamento!AI$15)&lt;=mediçao,0,OFFSET(Import.PLQ,$A38-1,AI$15-1,1,1)),OFFSET(Import.PLQ,$A38-1,AI$15-1,1,1)),(1-PLE!$AA$28)*OFFSET(Import.PLQ,$A38-1,AI$15-1,1,1))))</f>
        <v>0</v>
      </c>
      <c r="AJ38" s="145">
        <f ca="1">IF(AJ$13="",0,CHOOSE(Detalhamento.OpçãoServiços,OFFSET(Import.PLQ,$A38-1,AJ$15-1,1,1),IF($E38&lt;&gt;1,IF(ISNUMBER(INDEX(Import.PLE,Detalhamento!$E38,Detalhamento!AJ$15)),IF(INDEX(Import.PLE,Detalhamento!$E38,Detalhamento!AJ$15)&lt;=mediçao,OFFSET(Import.PLQ,$A38-1,AJ$15-1,1,1),0),0),PLE!$AA$28*OFFSET(Import.PLQ,$A38-1,AJ$15-1,1,1)),IF($E38&lt;&gt;1,IF(ISNUMBER(INDEX(Import.PLE,Detalhamento!$E38,Detalhamento!AJ$15)),IF(INDEX(Import.PLE,Detalhamento!$E38,Detalhamento!AJ$15)&lt;=mediçao,0,OFFSET(Import.PLQ,$A38-1,AJ$15-1,1,1)),OFFSET(Import.PLQ,$A38-1,AJ$15-1,1,1)),(1-PLE!$AA$28)*OFFSET(Import.PLQ,$A38-1,AJ$15-1,1,1))))</f>
        <v>0</v>
      </c>
      <c r="AK38" s="145">
        <f ca="1">IF(AK$13="",0,CHOOSE(Detalhamento.OpçãoServiços,OFFSET(Import.PLQ,$A38-1,AK$15-1,1,1),IF($E38&lt;&gt;1,IF(ISNUMBER(INDEX(Import.PLE,Detalhamento!$E38,Detalhamento!AK$15)),IF(INDEX(Import.PLE,Detalhamento!$E38,Detalhamento!AK$15)&lt;=mediçao,OFFSET(Import.PLQ,$A38-1,AK$15-1,1,1),0),0),PLE!$AA$28*OFFSET(Import.PLQ,$A38-1,AK$15-1,1,1)),IF($E38&lt;&gt;1,IF(ISNUMBER(INDEX(Import.PLE,Detalhamento!$E38,Detalhamento!AK$15)),IF(INDEX(Import.PLE,Detalhamento!$E38,Detalhamento!AK$15)&lt;=mediçao,0,OFFSET(Import.PLQ,$A38-1,AK$15-1,1,1)),OFFSET(Import.PLQ,$A38-1,AK$15-1,1,1)),(1-PLE!$AA$28)*OFFSET(Import.PLQ,$A38-1,AK$15-1,1,1))))</f>
        <v>0</v>
      </c>
      <c r="AL38" s="145">
        <f ca="1">IF(AL$13="",0,CHOOSE(Detalhamento.OpçãoServiços,OFFSET(Import.PLQ,$A38-1,AL$15-1,1,1),IF($E38&lt;&gt;1,IF(ISNUMBER(INDEX(Import.PLE,Detalhamento!$E38,Detalhamento!AL$15)),IF(INDEX(Import.PLE,Detalhamento!$E38,Detalhamento!AL$15)&lt;=mediçao,OFFSET(Import.PLQ,$A38-1,AL$15-1,1,1),0),0),PLE!$AA$28*OFFSET(Import.PLQ,$A38-1,AL$15-1,1,1)),IF($E38&lt;&gt;1,IF(ISNUMBER(INDEX(Import.PLE,Detalhamento!$E38,Detalhamento!AL$15)),IF(INDEX(Import.PLE,Detalhamento!$E38,Detalhamento!AL$15)&lt;=mediçao,0,OFFSET(Import.PLQ,$A38-1,AL$15-1,1,1)),OFFSET(Import.PLQ,$A38-1,AL$15-1,1,1)),(1-PLE!$AA$28)*OFFSET(Import.PLQ,$A38-1,AL$15-1,1,1))))</f>
        <v>0</v>
      </c>
      <c r="AM38" s="145">
        <f ca="1">IF(AM$13="",0,CHOOSE(Detalhamento.OpçãoServiços,OFFSET(Import.PLQ,$A38-1,AM$15-1,1,1),IF($E38&lt;&gt;1,IF(ISNUMBER(INDEX(Import.PLE,Detalhamento!$E38,Detalhamento!AM$15)),IF(INDEX(Import.PLE,Detalhamento!$E38,Detalhamento!AM$15)&lt;=mediçao,OFFSET(Import.PLQ,$A38-1,AM$15-1,1,1),0),0),PLE!$AA$28*OFFSET(Import.PLQ,$A38-1,AM$15-1,1,1)),IF($E38&lt;&gt;1,IF(ISNUMBER(INDEX(Import.PLE,Detalhamento!$E38,Detalhamento!AM$15)),IF(INDEX(Import.PLE,Detalhamento!$E38,Detalhamento!AM$15)&lt;=mediçao,0,OFFSET(Import.PLQ,$A38-1,AM$15-1,1,1)),OFFSET(Import.PLQ,$A38-1,AM$15-1,1,1)),(1-PLE!$AA$28)*OFFSET(Import.PLQ,$A38-1,AM$15-1,1,1))))</f>
        <v>0</v>
      </c>
      <c r="AN38" s="145">
        <f ca="1">IF(AN$13="",0,CHOOSE(Detalhamento.OpçãoServiços,OFFSET(Import.PLQ,$A38-1,AN$15-1,1,1),IF($E38&lt;&gt;1,IF(ISNUMBER(INDEX(Import.PLE,Detalhamento!$E38,Detalhamento!AN$15)),IF(INDEX(Import.PLE,Detalhamento!$E38,Detalhamento!AN$15)&lt;=mediçao,OFFSET(Import.PLQ,$A38-1,AN$15-1,1,1),0),0),PLE!$AA$28*OFFSET(Import.PLQ,$A38-1,AN$15-1,1,1)),IF($E38&lt;&gt;1,IF(ISNUMBER(INDEX(Import.PLE,Detalhamento!$E38,Detalhamento!AN$15)),IF(INDEX(Import.PLE,Detalhamento!$E38,Detalhamento!AN$15)&lt;=mediçao,0,OFFSET(Import.PLQ,$A38-1,AN$15-1,1,1)),OFFSET(Import.PLQ,$A38-1,AN$15-1,1,1)),(1-PLE!$AA$28)*OFFSET(Import.PLQ,$A38-1,AN$15-1,1,1))))</f>
        <v>0</v>
      </c>
      <c r="AO38" s="145">
        <f ca="1">IF(AO$13="",0,CHOOSE(Detalhamento.OpçãoServiços,OFFSET(Import.PLQ,$A38-1,AO$15-1,1,1),IF($E38&lt;&gt;1,IF(ISNUMBER(INDEX(Import.PLE,Detalhamento!$E38,Detalhamento!AO$15)),IF(INDEX(Import.PLE,Detalhamento!$E38,Detalhamento!AO$15)&lt;=mediçao,OFFSET(Import.PLQ,$A38-1,AO$15-1,1,1),0),0),PLE!$AA$28*OFFSET(Import.PLQ,$A38-1,AO$15-1,1,1)),IF($E38&lt;&gt;1,IF(ISNUMBER(INDEX(Import.PLE,Detalhamento!$E38,Detalhamento!AO$15)),IF(INDEX(Import.PLE,Detalhamento!$E38,Detalhamento!AO$15)&lt;=mediçao,0,OFFSET(Import.PLQ,$A38-1,AO$15-1,1,1)),OFFSET(Import.PLQ,$A38-1,AO$15-1,1,1)),(1-PLE!$AA$28)*OFFSET(Import.PLQ,$A38-1,AO$15-1,1,1))))</f>
        <v>0</v>
      </c>
      <c r="AP38" s="145">
        <f ca="1">IF(AP$13="",0,CHOOSE(Detalhamento.OpçãoServiços,OFFSET(Import.PLQ,$A38-1,AP$15-1,1,1),IF($E38&lt;&gt;1,IF(ISNUMBER(INDEX(Import.PLE,Detalhamento!$E38,Detalhamento!AP$15)),IF(INDEX(Import.PLE,Detalhamento!$E38,Detalhamento!AP$15)&lt;=mediçao,OFFSET(Import.PLQ,$A38-1,AP$15-1,1,1),0),0),PLE!$AA$28*OFFSET(Import.PLQ,$A38-1,AP$15-1,1,1)),IF($E38&lt;&gt;1,IF(ISNUMBER(INDEX(Import.PLE,Detalhamento!$E38,Detalhamento!AP$15)),IF(INDEX(Import.PLE,Detalhamento!$E38,Detalhamento!AP$15)&lt;=mediçao,0,OFFSET(Import.PLQ,$A38-1,AP$15-1,1,1)),OFFSET(Import.PLQ,$A38-1,AP$15-1,1,1)),(1-PLE!$AA$28)*OFFSET(Import.PLQ,$A38-1,AP$15-1,1,1))))</f>
        <v>0</v>
      </c>
      <c r="AQ38" s="145">
        <f ca="1">IF(AQ$13="",0,CHOOSE(Detalhamento.OpçãoServiços,OFFSET(Import.PLQ,$A38-1,AQ$15-1,1,1),IF($E38&lt;&gt;1,IF(ISNUMBER(INDEX(Import.PLE,Detalhamento!$E38,Detalhamento!AQ$15)),IF(INDEX(Import.PLE,Detalhamento!$E38,Detalhamento!AQ$15)&lt;=mediçao,OFFSET(Import.PLQ,$A38-1,AQ$15-1,1,1),0),0),PLE!$AA$28*OFFSET(Import.PLQ,$A38-1,AQ$15-1,1,1)),IF($E38&lt;&gt;1,IF(ISNUMBER(INDEX(Import.PLE,Detalhamento!$E38,Detalhamento!AQ$15)),IF(INDEX(Import.PLE,Detalhamento!$E38,Detalhamento!AQ$15)&lt;=mediçao,0,OFFSET(Import.PLQ,$A38-1,AQ$15-1,1,1)),OFFSET(Import.PLQ,$A38-1,AQ$15-1,1,1)),(1-PLE!$AA$28)*OFFSET(Import.PLQ,$A38-1,AQ$15-1,1,1))))</f>
        <v>0</v>
      </c>
      <c r="AR38" s="145">
        <f ca="1">IF(AR$13="",0,CHOOSE(Detalhamento.OpçãoServiços,OFFSET(Import.PLQ,$A38-1,AR$15-1,1,1),IF($E38&lt;&gt;1,IF(ISNUMBER(INDEX(Import.PLE,Detalhamento!$E38,Detalhamento!AR$15)),IF(INDEX(Import.PLE,Detalhamento!$E38,Detalhamento!AR$15)&lt;=mediçao,OFFSET(Import.PLQ,$A38-1,AR$15-1,1,1),0),0),PLE!$AA$28*OFFSET(Import.PLQ,$A38-1,AR$15-1,1,1)),IF($E38&lt;&gt;1,IF(ISNUMBER(INDEX(Import.PLE,Detalhamento!$E38,Detalhamento!AR$15)),IF(INDEX(Import.PLE,Detalhamento!$E38,Detalhamento!AR$15)&lt;=mediçao,0,OFFSET(Import.PLQ,$A38-1,AR$15-1,1,1)),OFFSET(Import.PLQ,$A38-1,AR$15-1,1,1)),(1-PLE!$AA$28)*OFFSET(Import.PLQ,$A38-1,AR$15-1,1,1))))</f>
        <v>0</v>
      </c>
      <c r="AS38" s="145">
        <f ca="1">IF(AS$13="",0,CHOOSE(Detalhamento.OpçãoServiços,OFFSET(Import.PLQ,$A38-1,AS$15-1,1,1),IF($E38&lt;&gt;1,IF(ISNUMBER(INDEX(Import.PLE,Detalhamento!$E38,Detalhamento!AS$15)),IF(INDEX(Import.PLE,Detalhamento!$E38,Detalhamento!AS$15)&lt;=mediçao,OFFSET(Import.PLQ,$A38-1,AS$15-1,1,1),0),0),PLE!$AA$28*OFFSET(Import.PLQ,$A38-1,AS$15-1,1,1)),IF($E38&lt;&gt;1,IF(ISNUMBER(INDEX(Import.PLE,Detalhamento!$E38,Detalhamento!AS$15)),IF(INDEX(Import.PLE,Detalhamento!$E38,Detalhamento!AS$15)&lt;=mediçao,0,OFFSET(Import.PLQ,$A38-1,AS$15-1,1,1)),OFFSET(Import.PLQ,$A38-1,AS$15-1,1,1)),(1-PLE!$AA$28)*OFFSET(Import.PLQ,$A38-1,AS$15-1,1,1))))</f>
        <v>0</v>
      </c>
      <c r="AT38" s="145">
        <f ca="1">IF(AT$13="",0,CHOOSE(Detalhamento.OpçãoServiços,OFFSET(Import.PLQ,$A38-1,AT$15-1,1,1),IF($E38&lt;&gt;1,IF(ISNUMBER(INDEX(Import.PLE,Detalhamento!$E38,Detalhamento!AT$15)),IF(INDEX(Import.PLE,Detalhamento!$E38,Detalhamento!AT$15)&lt;=mediçao,OFFSET(Import.PLQ,$A38-1,AT$15-1,1,1),0),0),PLE!$AA$28*OFFSET(Import.PLQ,$A38-1,AT$15-1,1,1)),IF($E38&lt;&gt;1,IF(ISNUMBER(INDEX(Import.PLE,Detalhamento!$E38,Detalhamento!AT$15)),IF(INDEX(Import.PLE,Detalhamento!$E38,Detalhamento!AT$15)&lt;=mediçao,0,OFFSET(Import.PLQ,$A38-1,AT$15-1,1,1)),OFFSET(Import.PLQ,$A38-1,AT$15-1,1,1)),(1-PLE!$AA$28)*OFFSET(Import.PLQ,$A38-1,AT$15-1,1,1))))</f>
        <v>0</v>
      </c>
      <c r="AU38" s="145">
        <f ca="1">IF(AU$13="",0,CHOOSE(Detalhamento.OpçãoServiços,OFFSET(Import.PLQ,$A38-1,AU$15-1,1,1),IF($E38&lt;&gt;1,IF(ISNUMBER(INDEX(Import.PLE,Detalhamento!$E38,Detalhamento!AU$15)),IF(INDEX(Import.PLE,Detalhamento!$E38,Detalhamento!AU$15)&lt;=mediçao,OFFSET(Import.PLQ,$A38-1,AU$15-1,1,1),0),0),PLE!$AA$28*OFFSET(Import.PLQ,$A38-1,AU$15-1,1,1)),IF($E38&lt;&gt;1,IF(ISNUMBER(INDEX(Import.PLE,Detalhamento!$E38,Detalhamento!AU$15)),IF(INDEX(Import.PLE,Detalhamento!$E38,Detalhamento!AU$15)&lt;=mediçao,0,OFFSET(Import.PLQ,$A38-1,AU$15-1,1,1)),OFFSET(Import.PLQ,$A38-1,AU$15-1,1,1)),(1-PLE!$AA$28)*OFFSET(Import.PLQ,$A38-1,AU$15-1,1,1))))</f>
        <v>0</v>
      </c>
      <c r="AV38" s="145">
        <f ca="1">IF(AV$13="",0,CHOOSE(Detalhamento.OpçãoServiços,OFFSET(Import.PLQ,$A38-1,AV$15-1,1,1),IF($E38&lt;&gt;1,IF(ISNUMBER(INDEX(Import.PLE,Detalhamento!$E38,Detalhamento!AV$15)),IF(INDEX(Import.PLE,Detalhamento!$E38,Detalhamento!AV$15)&lt;=mediçao,OFFSET(Import.PLQ,$A38-1,AV$15-1,1,1),0),0),PLE!$AA$28*OFFSET(Import.PLQ,$A38-1,AV$15-1,1,1)),IF($E38&lt;&gt;1,IF(ISNUMBER(INDEX(Import.PLE,Detalhamento!$E38,Detalhamento!AV$15)),IF(INDEX(Import.PLE,Detalhamento!$E38,Detalhamento!AV$15)&lt;=mediçao,0,OFFSET(Import.PLQ,$A38-1,AV$15-1,1,1)),OFFSET(Import.PLQ,$A38-1,AV$15-1,1,1)),(1-PLE!$AA$28)*OFFSET(Import.PLQ,$A38-1,AV$15-1,1,1))))</f>
        <v>0</v>
      </c>
      <c r="AW38" s="145">
        <f ca="1">IF(AW$13="",0,CHOOSE(Detalhamento.OpçãoServiços,OFFSET(Import.PLQ,$A38-1,AW$15-1,1,1),IF($E38&lt;&gt;1,IF(ISNUMBER(INDEX(Import.PLE,Detalhamento!$E38,Detalhamento!AW$15)),IF(INDEX(Import.PLE,Detalhamento!$E38,Detalhamento!AW$15)&lt;=mediçao,OFFSET(Import.PLQ,$A38-1,AW$15-1,1,1),0),0),PLE!$AA$28*OFFSET(Import.PLQ,$A38-1,AW$15-1,1,1)),IF($E38&lt;&gt;1,IF(ISNUMBER(INDEX(Import.PLE,Detalhamento!$E38,Detalhamento!AW$15)),IF(INDEX(Import.PLE,Detalhamento!$E38,Detalhamento!AW$15)&lt;=mediçao,0,OFFSET(Import.PLQ,$A38-1,AW$15-1,1,1)),OFFSET(Import.PLQ,$A38-1,AW$15-1,1,1)),(1-PLE!$AA$28)*OFFSET(Import.PLQ,$A38-1,AW$15-1,1,1))))</f>
        <v>0</v>
      </c>
      <c r="AX38" s="145">
        <f ca="1">IF(AX$13="",0,CHOOSE(Detalhamento.OpçãoServiços,OFFSET(Import.PLQ,$A38-1,AX$15-1,1,1),IF($E38&lt;&gt;1,IF(ISNUMBER(INDEX(Import.PLE,Detalhamento!$E38,Detalhamento!AX$15)),IF(INDEX(Import.PLE,Detalhamento!$E38,Detalhamento!AX$15)&lt;=mediçao,OFFSET(Import.PLQ,$A38-1,AX$15-1,1,1),0),0),PLE!$AA$28*OFFSET(Import.PLQ,$A38-1,AX$15-1,1,1)),IF($E38&lt;&gt;1,IF(ISNUMBER(INDEX(Import.PLE,Detalhamento!$E38,Detalhamento!AX$15)),IF(INDEX(Import.PLE,Detalhamento!$E38,Detalhamento!AX$15)&lt;=mediçao,0,OFFSET(Import.PLQ,$A38-1,AX$15-1,1,1)),OFFSET(Import.PLQ,$A38-1,AX$15-1,1,1)),(1-PLE!$AA$28)*OFFSET(Import.PLQ,$A38-1,AX$15-1,1,1))))</f>
        <v>0</v>
      </c>
      <c r="AY38" s="145">
        <f ca="1">IF(AY$13="",0,CHOOSE(Detalhamento.OpçãoServiços,OFFSET(Import.PLQ,$A38-1,AY$15-1,1,1),IF($E38&lt;&gt;1,IF(ISNUMBER(INDEX(Import.PLE,Detalhamento!$E38,Detalhamento!AY$15)),IF(INDEX(Import.PLE,Detalhamento!$E38,Detalhamento!AY$15)&lt;=mediçao,OFFSET(Import.PLQ,$A38-1,AY$15-1,1,1),0),0),PLE!$AA$28*OFFSET(Import.PLQ,$A38-1,AY$15-1,1,1)),IF($E38&lt;&gt;1,IF(ISNUMBER(INDEX(Import.PLE,Detalhamento!$E38,Detalhamento!AY$15)),IF(INDEX(Import.PLE,Detalhamento!$E38,Detalhamento!AY$15)&lt;=mediçao,0,OFFSET(Import.PLQ,$A38-1,AY$15-1,1,1)),OFFSET(Import.PLQ,$A38-1,AY$15-1,1,1)),(1-PLE!$AA$28)*OFFSET(Import.PLQ,$A38-1,AY$15-1,1,1))))</f>
        <v>0</v>
      </c>
      <c r="AZ38" s="145">
        <f ca="1">IF(AZ$13="",0,CHOOSE(Detalhamento.OpçãoServiços,OFFSET(Import.PLQ,$A38-1,AZ$15-1,1,1),IF($E38&lt;&gt;1,IF(ISNUMBER(INDEX(Import.PLE,Detalhamento!$E38,Detalhamento!AZ$15)),IF(INDEX(Import.PLE,Detalhamento!$E38,Detalhamento!AZ$15)&lt;=mediçao,OFFSET(Import.PLQ,$A38-1,AZ$15-1,1,1),0),0),PLE!$AA$28*OFFSET(Import.PLQ,$A38-1,AZ$15-1,1,1)),IF($E38&lt;&gt;1,IF(ISNUMBER(INDEX(Import.PLE,Detalhamento!$E38,Detalhamento!AZ$15)),IF(INDEX(Import.PLE,Detalhamento!$E38,Detalhamento!AZ$15)&lt;=mediçao,0,OFFSET(Import.PLQ,$A38-1,AZ$15-1,1,1)),OFFSET(Import.PLQ,$A38-1,AZ$15-1,1,1)),(1-PLE!$AA$28)*OFFSET(Import.PLQ,$A38-1,AZ$15-1,1,1))))</f>
        <v>0</v>
      </c>
      <c r="BA38" s="145">
        <f ca="1">IF(BA$13="",0,CHOOSE(Detalhamento.OpçãoServiços,OFFSET(Import.PLQ,$A38-1,BA$15-1,1,1),IF($E38&lt;&gt;1,IF(ISNUMBER(INDEX(Import.PLE,Detalhamento!$E38,Detalhamento!BA$15)),IF(INDEX(Import.PLE,Detalhamento!$E38,Detalhamento!BA$15)&lt;=mediçao,OFFSET(Import.PLQ,$A38-1,BA$15-1,1,1),0),0),PLE!$AA$28*OFFSET(Import.PLQ,$A38-1,BA$15-1,1,1)),IF($E38&lt;&gt;1,IF(ISNUMBER(INDEX(Import.PLE,Detalhamento!$E38,Detalhamento!BA$15)),IF(INDEX(Import.PLE,Detalhamento!$E38,Detalhamento!BA$15)&lt;=mediçao,0,OFFSET(Import.PLQ,$A38-1,BA$15-1,1,1)),OFFSET(Import.PLQ,$A38-1,BA$15-1,1,1)),(1-PLE!$AA$28)*OFFSET(Import.PLQ,$A38-1,BA$15-1,1,1))))</f>
        <v>0</v>
      </c>
      <c r="BB38" s="145">
        <f ca="1">IF(BB$13="",0,CHOOSE(Detalhamento.OpçãoServiços,OFFSET(Import.PLQ,$A38-1,BB$15-1,1,1),IF($E38&lt;&gt;1,IF(ISNUMBER(INDEX(Import.PLE,Detalhamento!$E38,Detalhamento!BB$15)),IF(INDEX(Import.PLE,Detalhamento!$E38,Detalhamento!BB$15)&lt;=mediçao,OFFSET(Import.PLQ,$A38-1,BB$15-1,1,1),0),0),PLE!$AA$28*OFFSET(Import.PLQ,$A38-1,BB$15-1,1,1)),IF($E38&lt;&gt;1,IF(ISNUMBER(INDEX(Import.PLE,Detalhamento!$E38,Detalhamento!BB$15)),IF(INDEX(Import.PLE,Detalhamento!$E38,Detalhamento!BB$15)&lt;=mediçao,0,OFFSET(Import.PLQ,$A38-1,BB$15-1,1,1)),OFFSET(Import.PLQ,$A38-1,BB$15-1,1,1)),(1-PLE!$AA$28)*OFFSET(Import.PLQ,$A38-1,BB$15-1,1,1))))</f>
        <v>0</v>
      </c>
      <c r="BC38" s="145">
        <f ca="1">IF(BC$13="",0,CHOOSE(Detalhamento.OpçãoServiços,OFFSET(Import.PLQ,$A38-1,BC$15-1,1,1),IF($E38&lt;&gt;1,IF(ISNUMBER(INDEX(Import.PLE,Detalhamento!$E38,Detalhamento!BC$15)),IF(INDEX(Import.PLE,Detalhamento!$E38,Detalhamento!BC$15)&lt;=mediçao,OFFSET(Import.PLQ,$A38-1,BC$15-1,1,1),0),0),PLE!$AA$28*OFFSET(Import.PLQ,$A38-1,BC$15-1,1,1)),IF($E38&lt;&gt;1,IF(ISNUMBER(INDEX(Import.PLE,Detalhamento!$E38,Detalhamento!BC$15)),IF(INDEX(Import.PLE,Detalhamento!$E38,Detalhamento!BC$15)&lt;=mediçao,0,OFFSET(Import.PLQ,$A38-1,BC$15-1,1,1)),OFFSET(Import.PLQ,$A38-1,BC$15-1,1,1)),(1-PLE!$AA$28)*OFFSET(Import.PLQ,$A38-1,BC$15-1,1,1))))</f>
        <v>0</v>
      </c>
      <c r="BD38" s="145">
        <f ca="1">IF(BD$13="",0,CHOOSE(Detalhamento.OpçãoServiços,OFFSET(Import.PLQ,$A38-1,BD$15-1,1,1),IF($E38&lt;&gt;1,IF(ISNUMBER(INDEX(Import.PLE,Detalhamento!$E38,Detalhamento!BD$15)),IF(INDEX(Import.PLE,Detalhamento!$E38,Detalhamento!BD$15)&lt;=mediçao,OFFSET(Import.PLQ,$A38-1,BD$15-1,1,1),0),0),PLE!$AA$28*OFFSET(Import.PLQ,$A38-1,BD$15-1,1,1)),IF($E38&lt;&gt;1,IF(ISNUMBER(INDEX(Import.PLE,Detalhamento!$E38,Detalhamento!BD$15)),IF(INDEX(Import.PLE,Detalhamento!$E38,Detalhamento!BD$15)&lt;=mediçao,0,OFFSET(Import.PLQ,$A38-1,BD$15-1,1,1)),OFFSET(Import.PLQ,$A38-1,BD$15-1,1,1)),(1-PLE!$AA$28)*OFFSET(Import.PLQ,$A38-1,BD$15-1,1,1))))</f>
        <v>0</v>
      </c>
      <c r="BE38" s="145">
        <f ca="1">IF(BE$13="",0,CHOOSE(Detalhamento.OpçãoServiços,OFFSET(Import.PLQ,$A38-1,BE$15-1,1,1),IF($E38&lt;&gt;1,IF(ISNUMBER(INDEX(Import.PLE,Detalhamento!$E38,Detalhamento!BE$15)),IF(INDEX(Import.PLE,Detalhamento!$E38,Detalhamento!BE$15)&lt;=mediçao,OFFSET(Import.PLQ,$A38-1,BE$15-1,1,1),0),0),PLE!$AA$28*OFFSET(Import.PLQ,$A38-1,BE$15-1,1,1)),IF($E38&lt;&gt;1,IF(ISNUMBER(INDEX(Import.PLE,Detalhamento!$E38,Detalhamento!BE$15)),IF(INDEX(Import.PLE,Detalhamento!$E38,Detalhamento!BE$15)&lt;=mediçao,0,OFFSET(Import.PLQ,$A38-1,BE$15-1,1,1)),OFFSET(Import.PLQ,$A38-1,BE$15-1,1,1)),(1-PLE!$AA$28)*OFFSET(Import.PLQ,$A38-1,BE$15-1,1,1))))</f>
        <v>0</v>
      </c>
      <c r="BF38" s="145">
        <f ca="1">IF(BF$13="",0,CHOOSE(Detalhamento.OpçãoServiços,OFFSET(Import.PLQ,$A38-1,BF$15-1,1,1),IF($E38&lt;&gt;1,IF(ISNUMBER(INDEX(Import.PLE,Detalhamento!$E38,Detalhamento!BF$15)),IF(INDEX(Import.PLE,Detalhamento!$E38,Detalhamento!BF$15)&lt;=mediçao,OFFSET(Import.PLQ,$A38-1,BF$15-1,1,1),0),0),PLE!$AA$28*OFFSET(Import.PLQ,$A38-1,BF$15-1,1,1)),IF($E38&lt;&gt;1,IF(ISNUMBER(INDEX(Import.PLE,Detalhamento!$E38,Detalhamento!BF$15)),IF(INDEX(Import.PLE,Detalhamento!$E38,Detalhamento!BF$15)&lt;=mediçao,0,OFFSET(Import.PLQ,$A38-1,BF$15-1,1,1)),OFFSET(Import.PLQ,$A38-1,BF$15-1,1,1)),(1-PLE!$AA$28)*OFFSET(Import.PLQ,$A38-1,BF$15-1,1,1))))</f>
        <v>0</v>
      </c>
      <c r="BG38" s="145">
        <f ca="1">IF(BG$13="",0,CHOOSE(Detalhamento.OpçãoServiços,OFFSET(Import.PLQ,$A38-1,BG$15-1,1,1),IF($E38&lt;&gt;1,IF(ISNUMBER(INDEX(Import.PLE,Detalhamento!$E38,Detalhamento!BG$15)),IF(INDEX(Import.PLE,Detalhamento!$E38,Detalhamento!BG$15)&lt;=mediçao,OFFSET(Import.PLQ,$A38-1,BG$15-1,1,1),0),0),PLE!$AA$28*OFFSET(Import.PLQ,$A38-1,BG$15-1,1,1)),IF($E38&lt;&gt;1,IF(ISNUMBER(INDEX(Import.PLE,Detalhamento!$E38,Detalhamento!BG$15)),IF(INDEX(Import.PLE,Detalhamento!$E38,Detalhamento!BG$15)&lt;=mediçao,0,OFFSET(Import.PLQ,$A38-1,BG$15-1,1,1)),OFFSET(Import.PLQ,$A38-1,BG$15-1,1,1)),(1-PLE!$AA$28)*OFFSET(Import.PLQ,$A38-1,BG$15-1,1,1))))</f>
        <v>0</v>
      </c>
      <c r="BH38" s="145">
        <f ca="1">IF(BH$13="",0,CHOOSE(Detalhamento.OpçãoServiços,OFFSET(Import.PLQ,$A38-1,BH$15-1,1,1),IF($E38&lt;&gt;1,IF(ISNUMBER(INDEX(Import.PLE,Detalhamento!$E38,Detalhamento!BH$15)),IF(INDEX(Import.PLE,Detalhamento!$E38,Detalhamento!BH$15)&lt;=mediçao,OFFSET(Import.PLQ,$A38-1,BH$15-1,1,1),0),0),PLE!$AA$28*OFFSET(Import.PLQ,$A38-1,BH$15-1,1,1)),IF($E38&lt;&gt;1,IF(ISNUMBER(INDEX(Import.PLE,Detalhamento!$E38,Detalhamento!BH$15)),IF(INDEX(Import.PLE,Detalhamento!$E38,Detalhamento!BH$15)&lt;=mediçao,0,OFFSET(Import.PLQ,$A38-1,BH$15-1,1,1)),OFFSET(Import.PLQ,$A38-1,BH$15-1,1,1)),(1-PLE!$AA$28)*OFFSET(Import.PLQ,$A38-1,BH$15-1,1,1))))</f>
        <v>0</v>
      </c>
      <c r="BI38" s="145">
        <f ca="1">IF(BI$13="",0,CHOOSE(Detalhamento.OpçãoServiços,OFFSET(Import.PLQ,$A38-1,BI$15-1,1,1),IF($E38&lt;&gt;1,IF(ISNUMBER(INDEX(Import.PLE,Detalhamento!$E38,Detalhamento!BI$15)),IF(INDEX(Import.PLE,Detalhamento!$E38,Detalhamento!BI$15)&lt;=mediçao,OFFSET(Import.PLQ,$A38-1,BI$15-1,1,1),0),0),PLE!$AA$28*OFFSET(Import.PLQ,$A38-1,BI$15-1,1,1)),IF($E38&lt;&gt;1,IF(ISNUMBER(INDEX(Import.PLE,Detalhamento!$E38,Detalhamento!BI$15)),IF(INDEX(Import.PLE,Detalhamento!$E38,Detalhamento!BI$15)&lt;=mediçao,0,OFFSET(Import.PLQ,$A38-1,BI$15-1,1,1)),OFFSET(Import.PLQ,$A38-1,BI$15-1,1,1)),(1-PLE!$AA$28)*OFFSET(Import.PLQ,$A38-1,BI$15-1,1,1))))</f>
        <v>0</v>
      </c>
    </row>
    <row r="39" spans="1:61" ht="22.5" x14ac:dyDescent="0.2">
      <c r="A39" s="156">
        <v>19</v>
      </c>
      <c r="B39" s="21" t="str">
        <f t="shared" ca="1" si="8"/>
        <v>Serviço</v>
      </c>
      <c r="E39" s="154">
        <f t="shared" ca="1" si="9"/>
        <v>4</v>
      </c>
      <c r="F39" s="155">
        <f t="shared" ca="1" si="10"/>
        <v>40019</v>
      </c>
      <c r="G39" s="155" t="str">
        <f t="shared" ca="1" si="11"/>
        <v>4.8</v>
      </c>
      <c r="H39" s="183" t="str">
        <f t="shared" ca="1" si="11"/>
        <v>Placa esmaltada para identificação de número de rua, dimensões 45x20cm</v>
      </c>
      <c r="I39" s="37" t="str">
        <f t="shared" ca="1" si="12"/>
        <v>unid</v>
      </c>
      <c r="J39" s="145">
        <f t="shared" ca="1" si="13"/>
        <v>8</v>
      </c>
      <c r="K39" s="67"/>
      <c r="L39" s="145">
        <f ca="1">IF(L$13="",0,CHOOSE(Detalhamento.OpçãoServiços,OFFSET(Import.PLQ,$A39-1,L$15-1,1,1),IF($E39&lt;&gt;1,IF(ISNUMBER(INDEX(Import.PLE,Detalhamento!$E39,Detalhamento!L$15)),IF(INDEX(Import.PLE,Detalhamento!$E39,Detalhamento!L$15)&lt;=mediçao,OFFSET(Import.PLQ,$A39-1,L$15-1,1,1),0),0),PLE!$AA$28*OFFSET(Import.PLQ,$A39-1,L$15-1,1,1)),IF($E39&lt;&gt;1,IF(ISNUMBER(INDEX(Import.PLE,Detalhamento!$E39,Detalhamento!L$15)),IF(INDEX(Import.PLE,Detalhamento!$E39,Detalhamento!L$15)&lt;=mediçao,0,OFFSET(Import.PLQ,$A39-1,L$15-1,1,1)),OFFSET(Import.PLQ,$A39-1,L$15-1,1,1)),(1-PLE!$AA$28)*OFFSET(Import.PLQ,$A39-1,L$15-1,1,1))))</f>
        <v>1</v>
      </c>
      <c r="M39" s="145">
        <f ca="1">IF(M$13="",0,CHOOSE(Detalhamento.OpçãoServiços,OFFSET(Import.PLQ,$A39-1,M$15-1,1,1),IF($E39&lt;&gt;1,IF(ISNUMBER(INDEX(Import.PLE,Detalhamento!$E39,Detalhamento!M$15)),IF(INDEX(Import.PLE,Detalhamento!$E39,Detalhamento!M$15)&lt;=mediçao,OFFSET(Import.PLQ,$A39-1,M$15-1,1,1),0),0),PLE!$AA$28*OFFSET(Import.PLQ,$A39-1,M$15-1,1,1)),IF($E39&lt;&gt;1,IF(ISNUMBER(INDEX(Import.PLE,Detalhamento!$E39,Detalhamento!M$15)),IF(INDEX(Import.PLE,Detalhamento!$E39,Detalhamento!M$15)&lt;=mediçao,0,OFFSET(Import.PLQ,$A39-1,M$15-1,1,1)),OFFSET(Import.PLQ,$A39-1,M$15-1,1,1)),(1-PLE!$AA$28)*OFFSET(Import.PLQ,$A39-1,M$15-1,1,1))))</f>
        <v>1</v>
      </c>
      <c r="N39" s="145">
        <f ca="1">IF(N$13="",0,CHOOSE(Detalhamento.OpçãoServiços,OFFSET(Import.PLQ,$A39-1,N$15-1,1,1),IF($E39&lt;&gt;1,IF(ISNUMBER(INDEX(Import.PLE,Detalhamento!$E39,Detalhamento!N$15)),IF(INDEX(Import.PLE,Detalhamento!$E39,Detalhamento!N$15)&lt;=mediçao,OFFSET(Import.PLQ,$A39-1,N$15-1,1,1),0),0),PLE!$AA$28*OFFSET(Import.PLQ,$A39-1,N$15-1,1,1)),IF($E39&lt;&gt;1,IF(ISNUMBER(INDEX(Import.PLE,Detalhamento!$E39,Detalhamento!N$15)),IF(INDEX(Import.PLE,Detalhamento!$E39,Detalhamento!N$15)&lt;=mediçao,0,OFFSET(Import.PLQ,$A39-1,N$15-1,1,1)),OFFSET(Import.PLQ,$A39-1,N$15-1,1,1)),(1-PLE!$AA$28)*OFFSET(Import.PLQ,$A39-1,N$15-1,1,1))))</f>
        <v>1</v>
      </c>
      <c r="O39" s="145">
        <f ca="1">IF(O$13="",0,CHOOSE(Detalhamento.OpçãoServiços,OFFSET(Import.PLQ,$A39-1,O$15-1,1,1),IF($E39&lt;&gt;1,IF(ISNUMBER(INDEX(Import.PLE,Detalhamento!$E39,Detalhamento!O$15)),IF(INDEX(Import.PLE,Detalhamento!$E39,Detalhamento!O$15)&lt;=mediçao,OFFSET(Import.PLQ,$A39-1,O$15-1,1,1),0),0),PLE!$AA$28*OFFSET(Import.PLQ,$A39-1,O$15-1,1,1)),IF($E39&lt;&gt;1,IF(ISNUMBER(INDEX(Import.PLE,Detalhamento!$E39,Detalhamento!O$15)),IF(INDEX(Import.PLE,Detalhamento!$E39,Detalhamento!O$15)&lt;=mediçao,0,OFFSET(Import.PLQ,$A39-1,O$15-1,1,1)),OFFSET(Import.PLQ,$A39-1,O$15-1,1,1)),(1-PLE!$AA$28)*OFFSET(Import.PLQ,$A39-1,O$15-1,1,1))))</f>
        <v>1</v>
      </c>
      <c r="P39" s="145">
        <f ca="1">IF(P$13="",0,CHOOSE(Detalhamento.OpçãoServiços,OFFSET(Import.PLQ,$A39-1,P$15-1,1,1),IF($E39&lt;&gt;1,IF(ISNUMBER(INDEX(Import.PLE,Detalhamento!$E39,Detalhamento!P$15)),IF(INDEX(Import.PLE,Detalhamento!$E39,Detalhamento!P$15)&lt;=mediçao,OFFSET(Import.PLQ,$A39-1,P$15-1,1,1),0),0),PLE!$AA$28*OFFSET(Import.PLQ,$A39-1,P$15-1,1,1)),IF($E39&lt;&gt;1,IF(ISNUMBER(INDEX(Import.PLE,Detalhamento!$E39,Detalhamento!P$15)),IF(INDEX(Import.PLE,Detalhamento!$E39,Detalhamento!P$15)&lt;=mediçao,0,OFFSET(Import.PLQ,$A39-1,P$15-1,1,1)),OFFSET(Import.PLQ,$A39-1,P$15-1,1,1)),(1-PLE!$AA$28)*OFFSET(Import.PLQ,$A39-1,P$15-1,1,1))))</f>
        <v>1</v>
      </c>
      <c r="Q39" s="145">
        <f ca="1">IF(Q$13="",0,CHOOSE(Detalhamento.OpçãoServiços,OFFSET(Import.PLQ,$A39-1,Q$15-1,1,1),IF($E39&lt;&gt;1,IF(ISNUMBER(INDEX(Import.PLE,Detalhamento!$E39,Detalhamento!Q$15)),IF(INDEX(Import.PLE,Detalhamento!$E39,Detalhamento!Q$15)&lt;=mediçao,OFFSET(Import.PLQ,$A39-1,Q$15-1,1,1),0),0),PLE!$AA$28*OFFSET(Import.PLQ,$A39-1,Q$15-1,1,1)),IF($E39&lt;&gt;1,IF(ISNUMBER(INDEX(Import.PLE,Detalhamento!$E39,Detalhamento!Q$15)),IF(INDEX(Import.PLE,Detalhamento!$E39,Detalhamento!Q$15)&lt;=mediçao,0,OFFSET(Import.PLQ,$A39-1,Q$15-1,1,1)),OFFSET(Import.PLQ,$A39-1,Q$15-1,1,1)),(1-PLE!$AA$28)*OFFSET(Import.PLQ,$A39-1,Q$15-1,1,1))))</f>
        <v>1</v>
      </c>
      <c r="R39" s="145">
        <f ca="1">IF(R$13="",0,CHOOSE(Detalhamento.OpçãoServiços,OFFSET(Import.PLQ,$A39-1,R$15-1,1,1),IF($E39&lt;&gt;1,IF(ISNUMBER(INDEX(Import.PLE,Detalhamento!$E39,Detalhamento!R$15)),IF(INDEX(Import.PLE,Detalhamento!$E39,Detalhamento!R$15)&lt;=mediçao,OFFSET(Import.PLQ,$A39-1,R$15-1,1,1),0),0),PLE!$AA$28*OFFSET(Import.PLQ,$A39-1,R$15-1,1,1)),IF($E39&lt;&gt;1,IF(ISNUMBER(INDEX(Import.PLE,Detalhamento!$E39,Detalhamento!R$15)),IF(INDEX(Import.PLE,Detalhamento!$E39,Detalhamento!R$15)&lt;=mediçao,0,OFFSET(Import.PLQ,$A39-1,R$15-1,1,1)),OFFSET(Import.PLQ,$A39-1,R$15-1,1,1)),(1-PLE!$AA$28)*OFFSET(Import.PLQ,$A39-1,R$15-1,1,1))))</f>
        <v>1</v>
      </c>
      <c r="S39" s="145">
        <f ca="1">IF(S$13="",0,CHOOSE(Detalhamento.OpçãoServiços,OFFSET(Import.PLQ,$A39-1,S$15-1,1,1),IF($E39&lt;&gt;1,IF(ISNUMBER(INDEX(Import.PLE,Detalhamento!$E39,Detalhamento!S$15)),IF(INDEX(Import.PLE,Detalhamento!$E39,Detalhamento!S$15)&lt;=mediçao,OFFSET(Import.PLQ,$A39-1,S$15-1,1,1),0),0),PLE!$AA$28*OFFSET(Import.PLQ,$A39-1,S$15-1,1,1)),IF($E39&lt;&gt;1,IF(ISNUMBER(INDEX(Import.PLE,Detalhamento!$E39,Detalhamento!S$15)),IF(INDEX(Import.PLE,Detalhamento!$E39,Detalhamento!S$15)&lt;=mediçao,0,OFFSET(Import.PLQ,$A39-1,S$15-1,1,1)),OFFSET(Import.PLQ,$A39-1,S$15-1,1,1)),(1-PLE!$AA$28)*OFFSET(Import.PLQ,$A39-1,S$15-1,1,1))))</f>
        <v>1</v>
      </c>
      <c r="T39" s="145">
        <f ca="1">IF(T$13="",0,CHOOSE(Detalhamento.OpçãoServiços,OFFSET(Import.PLQ,$A39-1,T$15-1,1,1),IF($E39&lt;&gt;1,IF(ISNUMBER(INDEX(Import.PLE,Detalhamento!$E39,Detalhamento!T$15)),IF(INDEX(Import.PLE,Detalhamento!$E39,Detalhamento!T$15)&lt;=mediçao,OFFSET(Import.PLQ,$A39-1,T$15-1,1,1),0),0),PLE!$AA$28*OFFSET(Import.PLQ,$A39-1,T$15-1,1,1)),IF($E39&lt;&gt;1,IF(ISNUMBER(INDEX(Import.PLE,Detalhamento!$E39,Detalhamento!T$15)),IF(INDEX(Import.PLE,Detalhamento!$E39,Detalhamento!T$15)&lt;=mediçao,0,OFFSET(Import.PLQ,$A39-1,T$15-1,1,1)),OFFSET(Import.PLQ,$A39-1,T$15-1,1,1)),(1-PLE!$AA$28)*OFFSET(Import.PLQ,$A39-1,T$15-1,1,1))))</f>
        <v>0</v>
      </c>
      <c r="U39" s="145">
        <f ca="1">IF(U$13="",0,CHOOSE(Detalhamento.OpçãoServiços,OFFSET(Import.PLQ,$A39-1,U$15-1,1,1),IF($E39&lt;&gt;1,IF(ISNUMBER(INDEX(Import.PLE,Detalhamento!$E39,Detalhamento!U$15)),IF(INDEX(Import.PLE,Detalhamento!$E39,Detalhamento!U$15)&lt;=mediçao,OFFSET(Import.PLQ,$A39-1,U$15-1,1,1),0),0),PLE!$AA$28*OFFSET(Import.PLQ,$A39-1,U$15-1,1,1)),IF($E39&lt;&gt;1,IF(ISNUMBER(INDEX(Import.PLE,Detalhamento!$E39,Detalhamento!U$15)),IF(INDEX(Import.PLE,Detalhamento!$E39,Detalhamento!U$15)&lt;=mediçao,0,OFFSET(Import.PLQ,$A39-1,U$15-1,1,1)),OFFSET(Import.PLQ,$A39-1,U$15-1,1,1)),(1-PLE!$AA$28)*OFFSET(Import.PLQ,$A39-1,U$15-1,1,1))))</f>
        <v>0</v>
      </c>
      <c r="V39" s="145">
        <f ca="1">IF(V$13="",0,CHOOSE(Detalhamento.OpçãoServiços,OFFSET(Import.PLQ,$A39-1,V$15-1,1,1),IF($E39&lt;&gt;1,IF(ISNUMBER(INDEX(Import.PLE,Detalhamento!$E39,Detalhamento!V$15)),IF(INDEX(Import.PLE,Detalhamento!$E39,Detalhamento!V$15)&lt;=mediçao,OFFSET(Import.PLQ,$A39-1,V$15-1,1,1),0),0),PLE!$AA$28*OFFSET(Import.PLQ,$A39-1,V$15-1,1,1)),IF($E39&lt;&gt;1,IF(ISNUMBER(INDEX(Import.PLE,Detalhamento!$E39,Detalhamento!V$15)),IF(INDEX(Import.PLE,Detalhamento!$E39,Detalhamento!V$15)&lt;=mediçao,0,OFFSET(Import.PLQ,$A39-1,V$15-1,1,1)),OFFSET(Import.PLQ,$A39-1,V$15-1,1,1)),(1-PLE!$AA$28)*OFFSET(Import.PLQ,$A39-1,V$15-1,1,1))))</f>
        <v>0</v>
      </c>
      <c r="W39" s="145">
        <f ca="1">IF(W$13="",0,CHOOSE(Detalhamento.OpçãoServiços,OFFSET(Import.PLQ,$A39-1,W$15-1,1,1),IF($E39&lt;&gt;1,IF(ISNUMBER(INDEX(Import.PLE,Detalhamento!$E39,Detalhamento!W$15)),IF(INDEX(Import.PLE,Detalhamento!$E39,Detalhamento!W$15)&lt;=mediçao,OFFSET(Import.PLQ,$A39-1,W$15-1,1,1),0),0),PLE!$AA$28*OFFSET(Import.PLQ,$A39-1,W$15-1,1,1)),IF($E39&lt;&gt;1,IF(ISNUMBER(INDEX(Import.PLE,Detalhamento!$E39,Detalhamento!W$15)),IF(INDEX(Import.PLE,Detalhamento!$E39,Detalhamento!W$15)&lt;=mediçao,0,OFFSET(Import.PLQ,$A39-1,W$15-1,1,1)),OFFSET(Import.PLQ,$A39-1,W$15-1,1,1)),(1-PLE!$AA$28)*OFFSET(Import.PLQ,$A39-1,W$15-1,1,1))))</f>
        <v>0</v>
      </c>
      <c r="X39" s="145">
        <f ca="1">IF(X$13="",0,CHOOSE(Detalhamento.OpçãoServiços,OFFSET(Import.PLQ,$A39-1,X$15-1,1,1),IF($E39&lt;&gt;1,IF(ISNUMBER(INDEX(Import.PLE,Detalhamento!$E39,Detalhamento!X$15)),IF(INDEX(Import.PLE,Detalhamento!$E39,Detalhamento!X$15)&lt;=mediçao,OFFSET(Import.PLQ,$A39-1,X$15-1,1,1),0),0),PLE!$AA$28*OFFSET(Import.PLQ,$A39-1,X$15-1,1,1)),IF($E39&lt;&gt;1,IF(ISNUMBER(INDEX(Import.PLE,Detalhamento!$E39,Detalhamento!X$15)),IF(INDEX(Import.PLE,Detalhamento!$E39,Detalhamento!X$15)&lt;=mediçao,0,OFFSET(Import.PLQ,$A39-1,X$15-1,1,1)),OFFSET(Import.PLQ,$A39-1,X$15-1,1,1)),(1-PLE!$AA$28)*OFFSET(Import.PLQ,$A39-1,X$15-1,1,1))))</f>
        <v>0</v>
      </c>
      <c r="Y39" s="145">
        <f ca="1">IF(Y$13="",0,CHOOSE(Detalhamento.OpçãoServiços,OFFSET(Import.PLQ,$A39-1,Y$15-1,1,1),IF($E39&lt;&gt;1,IF(ISNUMBER(INDEX(Import.PLE,Detalhamento!$E39,Detalhamento!Y$15)),IF(INDEX(Import.PLE,Detalhamento!$E39,Detalhamento!Y$15)&lt;=mediçao,OFFSET(Import.PLQ,$A39-1,Y$15-1,1,1),0),0),PLE!$AA$28*OFFSET(Import.PLQ,$A39-1,Y$15-1,1,1)),IF($E39&lt;&gt;1,IF(ISNUMBER(INDEX(Import.PLE,Detalhamento!$E39,Detalhamento!Y$15)),IF(INDEX(Import.PLE,Detalhamento!$E39,Detalhamento!Y$15)&lt;=mediçao,0,OFFSET(Import.PLQ,$A39-1,Y$15-1,1,1)),OFFSET(Import.PLQ,$A39-1,Y$15-1,1,1)),(1-PLE!$AA$28)*OFFSET(Import.PLQ,$A39-1,Y$15-1,1,1))))</f>
        <v>0</v>
      </c>
      <c r="Z39" s="145">
        <f ca="1">IF(Z$13="",0,CHOOSE(Detalhamento.OpçãoServiços,OFFSET(Import.PLQ,$A39-1,Z$15-1,1,1),IF($E39&lt;&gt;1,IF(ISNUMBER(INDEX(Import.PLE,Detalhamento!$E39,Detalhamento!Z$15)),IF(INDEX(Import.PLE,Detalhamento!$E39,Detalhamento!Z$15)&lt;=mediçao,OFFSET(Import.PLQ,$A39-1,Z$15-1,1,1),0),0),PLE!$AA$28*OFFSET(Import.PLQ,$A39-1,Z$15-1,1,1)),IF($E39&lt;&gt;1,IF(ISNUMBER(INDEX(Import.PLE,Detalhamento!$E39,Detalhamento!Z$15)),IF(INDEX(Import.PLE,Detalhamento!$E39,Detalhamento!Z$15)&lt;=mediçao,0,OFFSET(Import.PLQ,$A39-1,Z$15-1,1,1)),OFFSET(Import.PLQ,$A39-1,Z$15-1,1,1)),(1-PLE!$AA$28)*OFFSET(Import.PLQ,$A39-1,Z$15-1,1,1))))</f>
        <v>0</v>
      </c>
      <c r="AA39" s="145">
        <f ca="1">IF(AA$13="",0,CHOOSE(Detalhamento.OpçãoServiços,OFFSET(Import.PLQ,$A39-1,AA$15-1,1,1),IF($E39&lt;&gt;1,IF(ISNUMBER(INDEX(Import.PLE,Detalhamento!$E39,Detalhamento!AA$15)),IF(INDEX(Import.PLE,Detalhamento!$E39,Detalhamento!AA$15)&lt;=mediçao,OFFSET(Import.PLQ,$A39-1,AA$15-1,1,1),0),0),PLE!$AA$28*OFFSET(Import.PLQ,$A39-1,AA$15-1,1,1)),IF($E39&lt;&gt;1,IF(ISNUMBER(INDEX(Import.PLE,Detalhamento!$E39,Detalhamento!AA$15)),IF(INDEX(Import.PLE,Detalhamento!$E39,Detalhamento!AA$15)&lt;=mediçao,0,OFFSET(Import.PLQ,$A39-1,AA$15-1,1,1)),OFFSET(Import.PLQ,$A39-1,AA$15-1,1,1)),(1-PLE!$AA$28)*OFFSET(Import.PLQ,$A39-1,AA$15-1,1,1))))</f>
        <v>0</v>
      </c>
      <c r="AB39" s="145">
        <f ca="1">IF(AB$13="",0,CHOOSE(Detalhamento.OpçãoServiços,OFFSET(Import.PLQ,$A39-1,AB$15-1,1,1),IF($E39&lt;&gt;1,IF(ISNUMBER(INDEX(Import.PLE,Detalhamento!$E39,Detalhamento!AB$15)),IF(INDEX(Import.PLE,Detalhamento!$E39,Detalhamento!AB$15)&lt;=mediçao,OFFSET(Import.PLQ,$A39-1,AB$15-1,1,1),0),0),PLE!$AA$28*OFFSET(Import.PLQ,$A39-1,AB$15-1,1,1)),IF($E39&lt;&gt;1,IF(ISNUMBER(INDEX(Import.PLE,Detalhamento!$E39,Detalhamento!AB$15)),IF(INDEX(Import.PLE,Detalhamento!$E39,Detalhamento!AB$15)&lt;=mediçao,0,OFFSET(Import.PLQ,$A39-1,AB$15-1,1,1)),OFFSET(Import.PLQ,$A39-1,AB$15-1,1,1)),(1-PLE!$AA$28)*OFFSET(Import.PLQ,$A39-1,AB$15-1,1,1))))</f>
        <v>0</v>
      </c>
      <c r="AC39" s="145">
        <f ca="1">IF(AC$13="",0,CHOOSE(Detalhamento.OpçãoServiços,OFFSET(Import.PLQ,$A39-1,AC$15-1,1,1),IF($E39&lt;&gt;1,IF(ISNUMBER(INDEX(Import.PLE,Detalhamento!$E39,Detalhamento!AC$15)),IF(INDEX(Import.PLE,Detalhamento!$E39,Detalhamento!AC$15)&lt;=mediçao,OFFSET(Import.PLQ,$A39-1,AC$15-1,1,1),0),0),PLE!$AA$28*OFFSET(Import.PLQ,$A39-1,AC$15-1,1,1)),IF($E39&lt;&gt;1,IF(ISNUMBER(INDEX(Import.PLE,Detalhamento!$E39,Detalhamento!AC$15)),IF(INDEX(Import.PLE,Detalhamento!$E39,Detalhamento!AC$15)&lt;=mediçao,0,OFFSET(Import.PLQ,$A39-1,AC$15-1,1,1)),OFFSET(Import.PLQ,$A39-1,AC$15-1,1,1)),(1-PLE!$AA$28)*OFFSET(Import.PLQ,$A39-1,AC$15-1,1,1))))</f>
        <v>0</v>
      </c>
      <c r="AD39" s="145">
        <f ca="1">IF(AD$13="",0,CHOOSE(Detalhamento.OpçãoServiços,OFFSET(Import.PLQ,$A39-1,AD$15-1,1,1),IF($E39&lt;&gt;1,IF(ISNUMBER(INDEX(Import.PLE,Detalhamento!$E39,Detalhamento!AD$15)),IF(INDEX(Import.PLE,Detalhamento!$E39,Detalhamento!AD$15)&lt;=mediçao,OFFSET(Import.PLQ,$A39-1,AD$15-1,1,1),0),0),PLE!$AA$28*OFFSET(Import.PLQ,$A39-1,AD$15-1,1,1)),IF($E39&lt;&gt;1,IF(ISNUMBER(INDEX(Import.PLE,Detalhamento!$E39,Detalhamento!AD$15)),IF(INDEX(Import.PLE,Detalhamento!$E39,Detalhamento!AD$15)&lt;=mediçao,0,OFFSET(Import.PLQ,$A39-1,AD$15-1,1,1)),OFFSET(Import.PLQ,$A39-1,AD$15-1,1,1)),(1-PLE!$AA$28)*OFFSET(Import.PLQ,$A39-1,AD$15-1,1,1))))</f>
        <v>0</v>
      </c>
      <c r="AE39" s="145">
        <f ca="1">IF(AE$13="",0,CHOOSE(Detalhamento.OpçãoServiços,OFFSET(Import.PLQ,$A39-1,AE$15-1,1,1),IF($E39&lt;&gt;1,IF(ISNUMBER(INDEX(Import.PLE,Detalhamento!$E39,Detalhamento!AE$15)),IF(INDEX(Import.PLE,Detalhamento!$E39,Detalhamento!AE$15)&lt;=mediçao,OFFSET(Import.PLQ,$A39-1,AE$15-1,1,1),0),0),PLE!$AA$28*OFFSET(Import.PLQ,$A39-1,AE$15-1,1,1)),IF($E39&lt;&gt;1,IF(ISNUMBER(INDEX(Import.PLE,Detalhamento!$E39,Detalhamento!AE$15)),IF(INDEX(Import.PLE,Detalhamento!$E39,Detalhamento!AE$15)&lt;=mediçao,0,OFFSET(Import.PLQ,$A39-1,AE$15-1,1,1)),OFFSET(Import.PLQ,$A39-1,AE$15-1,1,1)),(1-PLE!$AA$28)*OFFSET(Import.PLQ,$A39-1,AE$15-1,1,1))))</f>
        <v>0</v>
      </c>
      <c r="AF39" s="145">
        <f ca="1">IF(AF$13="",0,CHOOSE(Detalhamento.OpçãoServiços,OFFSET(Import.PLQ,$A39-1,AF$15-1,1,1),IF($E39&lt;&gt;1,IF(ISNUMBER(INDEX(Import.PLE,Detalhamento!$E39,Detalhamento!AF$15)),IF(INDEX(Import.PLE,Detalhamento!$E39,Detalhamento!AF$15)&lt;=mediçao,OFFSET(Import.PLQ,$A39-1,AF$15-1,1,1),0),0),PLE!$AA$28*OFFSET(Import.PLQ,$A39-1,AF$15-1,1,1)),IF($E39&lt;&gt;1,IF(ISNUMBER(INDEX(Import.PLE,Detalhamento!$E39,Detalhamento!AF$15)),IF(INDEX(Import.PLE,Detalhamento!$E39,Detalhamento!AF$15)&lt;=mediçao,0,OFFSET(Import.PLQ,$A39-1,AF$15-1,1,1)),OFFSET(Import.PLQ,$A39-1,AF$15-1,1,1)),(1-PLE!$AA$28)*OFFSET(Import.PLQ,$A39-1,AF$15-1,1,1))))</f>
        <v>0</v>
      </c>
      <c r="AG39" s="145">
        <f ca="1">IF(AG$13="",0,CHOOSE(Detalhamento.OpçãoServiços,OFFSET(Import.PLQ,$A39-1,AG$15-1,1,1),IF($E39&lt;&gt;1,IF(ISNUMBER(INDEX(Import.PLE,Detalhamento!$E39,Detalhamento!AG$15)),IF(INDEX(Import.PLE,Detalhamento!$E39,Detalhamento!AG$15)&lt;=mediçao,OFFSET(Import.PLQ,$A39-1,AG$15-1,1,1),0),0),PLE!$AA$28*OFFSET(Import.PLQ,$A39-1,AG$15-1,1,1)),IF($E39&lt;&gt;1,IF(ISNUMBER(INDEX(Import.PLE,Detalhamento!$E39,Detalhamento!AG$15)),IF(INDEX(Import.PLE,Detalhamento!$E39,Detalhamento!AG$15)&lt;=mediçao,0,OFFSET(Import.PLQ,$A39-1,AG$15-1,1,1)),OFFSET(Import.PLQ,$A39-1,AG$15-1,1,1)),(1-PLE!$AA$28)*OFFSET(Import.PLQ,$A39-1,AG$15-1,1,1))))</f>
        <v>0</v>
      </c>
      <c r="AH39" s="145">
        <f ca="1">IF(AH$13="",0,CHOOSE(Detalhamento.OpçãoServiços,OFFSET(Import.PLQ,$A39-1,AH$15-1,1,1),IF($E39&lt;&gt;1,IF(ISNUMBER(INDEX(Import.PLE,Detalhamento!$E39,Detalhamento!AH$15)),IF(INDEX(Import.PLE,Detalhamento!$E39,Detalhamento!AH$15)&lt;=mediçao,OFFSET(Import.PLQ,$A39-1,AH$15-1,1,1),0),0),PLE!$AA$28*OFFSET(Import.PLQ,$A39-1,AH$15-1,1,1)),IF($E39&lt;&gt;1,IF(ISNUMBER(INDEX(Import.PLE,Detalhamento!$E39,Detalhamento!AH$15)),IF(INDEX(Import.PLE,Detalhamento!$E39,Detalhamento!AH$15)&lt;=mediçao,0,OFFSET(Import.PLQ,$A39-1,AH$15-1,1,1)),OFFSET(Import.PLQ,$A39-1,AH$15-1,1,1)),(1-PLE!$AA$28)*OFFSET(Import.PLQ,$A39-1,AH$15-1,1,1))))</f>
        <v>0</v>
      </c>
      <c r="AI39" s="145">
        <f ca="1">IF(AI$13="",0,CHOOSE(Detalhamento.OpçãoServiços,OFFSET(Import.PLQ,$A39-1,AI$15-1,1,1),IF($E39&lt;&gt;1,IF(ISNUMBER(INDEX(Import.PLE,Detalhamento!$E39,Detalhamento!AI$15)),IF(INDEX(Import.PLE,Detalhamento!$E39,Detalhamento!AI$15)&lt;=mediçao,OFFSET(Import.PLQ,$A39-1,AI$15-1,1,1),0),0),PLE!$AA$28*OFFSET(Import.PLQ,$A39-1,AI$15-1,1,1)),IF($E39&lt;&gt;1,IF(ISNUMBER(INDEX(Import.PLE,Detalhamento!$E39,Detalhamento!AI$15)),IF(INDEX(Import.PLE,Detalhamento!$E39,Detalhamento!AI$15)&lt;=mediçao,0,OFFSET(Import.PLQ,$A39-1,AI$15-1,1,1)),OFFSET(Import.PLQ,$A39-1,AI$15-1,1,1)),(1-PLE!$AA$28)*OFFSET(Import.PLQ,$A39-1,AI$15-1,1,1))))</f>
        <v>0</v>
      </c>
      <c r="AJ39" s="145">
        <f ca="1">IF(AJ$13="",0,CHOOSE(Detalhamento.OpçãoServiços,OFFSET(Import.PLQ,$A39-1,AJ$15-1,1,1),IF($E39&lt;&gt;1,IF(ISNUMBER(INDEX(Import.PLE,Detalhamento!$E39,Detalhamento!AJ$15)),IF(INDEX(Import.PLE,Detalhamento!$E39,Detalhamento!AJ$15)&lt;=mediçao,OFFSET(Import.PLQ,$A39-1,AJ$15-1,1,1),0),0),PLE!$AA$28*OFFSET(Import.PLQ,$A39-1,AJ$15-1,1,1)),IF($E39&lt;&gt;1,IF(ISNUMBER(INDEX(Import.PLE,Detalhamento!$E39,Detalhamento!AJ$15)),IF(INDEX(Import.PLE,Detalhamento!$E39,Detalhamento!AJ$15)&lt;=mediçao,0,OFFSET(Import.PLQ,$A39-1,AJ$15-1,1,1)),OFFSET(Import.PLQ,$A39-1,AJ$15-1,1,1)),(1-PLE!$AA$28)*OFFSET(Import.PLQ,$A39-1,AJ$15-1,1,1))))</f>
        <v>0</v>
      </c>
      <c r="AK39" s="145">
        <f ca="1">IF(AK$13="",0,CHOOSE(Detalhamento.OpçãoServiços,OFFSET(Import.PLQ,$A39-1,AK$15-1,1,1),IF($E39&lt;&gt;1,IF(ISNUMBER(INDEX(Import.PLE,Detalhamento!$E39,Detalhamento!AK$15)),IF(INDEX(Import.PLE,Detalhamento!$E39,Detalhamento!AK$15)&lt;=mediçao,OFFSET(Import.PLQ,$A39-1,AK$15-1,1,1),0),0),PLE!$AA$28*OFFSET(Import.PLQ,$A39-1,AK$15-1,1,1)),IF($E39&lt;&gt;1,IF(ISNUMBER(INDEX(Import.PLE,Detalhamento!$E39,Detalhamento!AK$15)),IF(INDEX(Import.PLE,Detalhamento!$E39,Detalhamento!AK$15)&lt;=mediçao,0,OFFSET(Import.PLQ,$A39-1,AK$15-1,1,1)),OFFSET(Import.PLQ,$A39-1,AK$15-1,1,1)),(1-PLE!$AA$28)*OFFSET(Import.PLQ,$A39-1,AK$15-1,1,1))))</f>
        <v>0</v>
      </c>
      <c r="AL39" s="145">
        <f ca="1">IF(AL$13="",0,CHOOSE(Detalhamento.OpçãoServiços,OFFSET(Import.PLQ,$A39-1,AL$15-1,1,1),IF($E39&lt;&gt;1,IF(ISNUMBER(INDEX(Import.PLE,Detalhamento!$E39,Detalhamento!AL$15)),IF(INDEX(Import.PLE,Detalhamento!$E39,Detalhamento!AL$15)&lt;=mediçao,OFFSET(Import.PLQ,$A39-1,AL$15-1,1,1),0),0),PLE!$AA$28*OFFSET(Import.PLQ,$A39-1,AL$15-1,1,1)),IF($E39&lt;&gt;1,IF(ISNUMBER(INDEX(Import.PLE,Detalhamento!$E39,Detalhamento!AL$15)),IF(INDEX(Import.PLE,Detalhamento!$E39,Detalhamento!AL$15)&lt;=mediçao,0,OFFSET(Import.PLQ,$A39-1,AL$15-1,1,1)),OFFSET(Import.PLQ,$A39-1,AL$15-1,1,1)),(1-PLE!$AA$28)*OFFSET(Import.PLQ,$A39-1,AL$15-1,1,1))))</f>
        <v>0</v>
      </c>
      <c r="AM39" s="145">
        <f ca="1">IF(AM$13="",0,CHOOSE(Detalhamento.OpçãoServiços,OFFSET(Import.PLQ,$A39-1,AM$15-1,1,1),IF($E39&lt;&gt;1,IF(ISNUMBER(INDEX(Import.PLE,Detalhamento!$E39,Detalhamento!AM$15)),IF(INDEX(Import.PLE,Detalhamento!$E39,Detalhamento!AM$15)&lt;=mediçao,OFFSET(Import.PLQ,$A39-1,AM$15-1,1,1),0),0),PLE!$AA$28*OFFSET(Import.PLQ,$A39-1,AM$15-1,1,1)),IF($E39&lt;&gt;1,IF(ISNUMBER(INDEX(Import.PLE,Detalhamento!$E39,Detalhamento!AM$15)),IF(INDEX(Import.PLE,Detalhamento!$E39,Detalhamento!AM$15)&lt;=mediçao,0,OFFSET(Import.PLQ,$A39-1,AM$15-1,1,1)),OFFSET(Import.PLQ,$A39-1,AM$15-1,1,1)),(1-PLE!$AA$28)*OFFSET(Import.PLQ,$A39-1,AM$15-1,1,1))))</f>
        <v>0</v>
      </c>
      <c r="AN39" s="145">
        <f ca="1">IF(AN$13="",0,CHOOSE(Detalhamento.OpçãoServiços,OFFSET(Import.PLQ,$A39-1,AN$15-1,1,1),IF($E39&lt;&gt;1,IF(ISNUMBER(INDEX(Import.PLE,Detalhamento!$E39,Detalhamento!AN$15)),IF(INDEX(Import.PLE,Detalhamento!$E39,Detalhamento!AN$15)&lt;=mediçao,OFFSET(Import.PLQ,$A39-1,AN$15-1,1,1),0),0),PLE!$AA$28*OFFSET(Import.PLQ,$A39-1,AN$15-1,1,1)),IF($E39&lt;&gt;1,IF(ISNUMBER(INDEX(Import.PLE,Detalhamento!$E39,Detalhamento!AN$15)),IF(INDEX(Import.PLE,Detalhamento!$E39,Detalhamento!AN$15)&lt;=mediçao,0,OFFSET(Import.PLQ,$A39-1,AN$15-1,1,1)),OFFSET(Import.PLQ,$A39-1,AN$15-1,1,1)),(1-PLE!$AA$28)*OFFSET(Import.PLQ,$A39-1,AN$15-1,1,1))))</f>
        <v>0</v>
      </c>
      <c r="AO39" s="145">
        <f ca="1">IF(AO$13="",0,CHOOSE(Detalhamento.OpçãoServiços,OFFSET(Import.PLQ,$A39-1,AO$15-1,1,1),IF($E39&lt;&gt;1,IF(ISNUMBER(INDEX(Import.PLE,Detalhamento!$E39,Detalhamento!AO$15)),IF(INDEX(Import.PLE,Detalhamento!$E39,Detalhamento!AO$15)&lt;=mediçao,OFFSET(Import.PLQ,$A39-1,AO$15-1,1,1),0),0),PLE!$AA$28*OFFSET(Import.PLQ,$A39-1,AO$15-1,1,1)),IF($E39&lt;&gt;1,IF(ISNUMBER(INDEX(Import.PLE,Detalhamento!$E39,Detalhamento!AO$15)),IF(INDEX(Import.PLE,Detalhamento!$E39,Detalhamento!AO$15)&lt;=mediçao,0,OFFSET(Import.PLQ,$A39-1,AO$15-1,1,1)),OFFSET(Import.PLQ,$A39-1,AO$15-1,1,1)),(1-PLE!$AA$28)*OFFSET(Import.PLQ,$A39-1,AO$15-1,1,1))))</f>
        <v>0</v>
      </c>
      <c r="AP39" s="145">
        <f ca="1">IF(AP$13="",0,CHOOSE(Detalhamento.OpçãoServiços,OFFSET(Import.PLQ,$A39-1,AP$15-1,1,1),IF($E39&lt;&gt;1,IF(ISNUMBER(INDEX(Import.PLE,Detalhamento!$E39,Detalhamento!AP$15)),IF(INDEX(Import.PLE,Detalhamento!$E39,Detalhamento!AP$15)&lt;=mediçao,OFFSET(Import.PLQ,$A39-1,AP$15-1,1,1),0),0),PLE!$AA$28*OFFSET(Import.PLQ,$A39-1,AP$15-1,1,1)),IF($E39&lt;&gt;1,IF(ISNUMBER(INDEX(Import.PLE,Detalhamento!$E39,Detalhamento!AP$15)),IF(INDEX(Import.PLE,Detalhamento!$E39,Detalhamento!AP$15)&lt;=mediçao,0,OFFSET(Import.PLQ,$A39-1,AP$15-1,1,1)),OFFSET(Import.PLQ,$A39-1,AP$15-1,1,1)),(1-PLE!$AA$28)*OFFSET(Import.PLQ,$A39-1,AP$15-1,1,1))))</f>
        <v>0</v>
      </c>
      <c r="AQ39" s="145">
        <f ca="1">IF(AQ$13="",0,CHOOSE(Detalhamento.OpçãoServiços,OFFSET(Import.PLQ,$A39-1,AQ$15-1,1,1),IF($E39&lt;&gt;1,IF(ISNUMBER(INDEX(Import.PLE,Detalhamento!$E39,Detalhamento!AQ$15)),IF(INDEX(Import.PLE,Detalhamento!$E39,Detalhamento!AQ$15)&lt;=mediçao,OFFSET(Import.PLQ,$A39-1,AQ$15-1,1,1),0),0),PLE!$AA$28*OFFSET(Import.PLQ,$A39-1,AQ$15-1,1,1)),IF($E39&lt;&gt;1,IF(ISNUMBER(INDEX(Import.PLE,Detalhamento!$E39,Detalhamento!AQ$15)),IF(INDEX(Import.PLE,Detalhamento!$E39,Detalhamento!AQ$15)&lt;=mediçao,0,OFFSET(Import.PLQ,$A39-1,AQ$15-1,1,1)),OFFSET(Import.PLQ,$A39-1,AQ$15-1,1,1)),(1-PLE!$AA$28)*OFFSET(Import.PLQ,$A39-1,AQ$15-1,1,1))))</f>
        <v>0</v>
      </c>
      <c r="AR39" s="145">
        <f ca="1">IF(AR$13="",0,CHOOSE(Detalhamento.OpçãoServiços,OFFSET(Import.PLQ,$A39-1,AR$15-1,1,1),IF($E39&lt;&gt;1,IF(ISNUMBER(INDEX(Import.PLE,Detalhamento!$E39,Detalhamento!AR$15)),IF(INDEX(Import.PLE,Detalhamento!$E39,Detalhamento!AR$15)&lt;=mediçao,OFFSET(Import.PLQ,$A39-1,AR$15-1,1,1),0),0),PLE!$AA$28*OFFSET(Import.PLQ,$A39-1,AR$15-1,1,1)),IF($E39&lt;&gt;1,IF(ISNUMBER(INDEX(Import.PLE,Detalhamento!$E39,Detalhamento!AR$15)),IF(INDEX(Import.PLE,Detalhamento!$E39,Detalhamento!AR$15)&lt;=mediçao,0,OFFSET(Import.PLQ,$A39-1,AR$15-1,1,1)),OFFSET(Import.PLQ,$A39-1,AR$15-1,1,1)),(1-PLE!$AA$28)*OFFSET(Import.PLQ,$A39-1,AR$15-1,1,1))))</f>
        <v>0</v>
      </c>
      <c r="AS39" s="145">
        <f ca="1">IF(AS$13="",0,CHOOSE(Detalhamento.OpçãoServiços,OFFSET(Import.PLQ,$A39-1,AS$15-1,1,1),IF($E39&lt;&gt;1,IF(ISNUMBER(INDEX(Import.PLE,Detalhamento!$E39,Detalhamento!AS$15)),IF(INDEX(Import.PLE,Detalhamento!$E39,Detalhamento!AS$15)&lt;=mediçao,OFFSET(Import.PLQ,$A39-1,AS$15-1,1,1),0),0),PLE!$AA$28*OFFSET(Import.PLQ,$A39-1,AS$15-1,1,1)),IF($E39&lt;&gt;1,IF(ISNUMBER(INDEX(Import.PLE,Detalhamento!$E39,Detalhamento!AS$15)),IF(INDEX(Import.PLE,Detalhamento!$E39,Detalhamento!AS$15)&lt;=mediçao,0,OFFSET(Import.PLQ,$A39-1,AS$15-1,1,1)),OFFSET(Import.PLQ,$A39-1,AS$15-1,1,1)),(1-PLE!$AA$28)*OFFSET(Import.PLQ,$A39-1,AS$15-1,1,1))))</f>
        <v>0</v>
      </c>
      <c r="AT39" s="145">
        <f ca="1">IF(AT$13="",0,CHOOSE(Detalhamento.OpçãoServiços,OFFSET(Import.PLQ,$A39-1,AT$15-1,1,1),IF($E39&lt;&gt;1,IF(ISNUMBER(INDEX(Import.PLE,Detalhamento!$E39,Detalhamento!AT$15)),IF(INDEX(Import.PLE,Detalhamento!$E39,Detalhamento!AT$15)&lt;=mediçao,OFFSET(Import.PLQ,$A39-1,AT$15-1,1,1),0),0),PLE!$AA$28*OFFSET(Import.PLQ,$A39-1,AT$15-1,1,1)),IF($E39&lt;&gt;1,IF(ISNUMBER(INDEX(Import.PLE,Detalhamento!$E39,Detalhamento!AT$15)),IF(INDEX(Import.PLE,Detalhamento!$E39,Detalhamento!AT$15)&lt;=mediçao,0,OFFSET(Import.PLQ,$A39-1,AT$15-1,1,1)),OFFSET(Import.PLQ,$A39-1,AT$15-1,1,1)),(1-PLE!$AA$28)*OFFSET(Import.PLQ,$A39-1,AT$15-1,1,1))))</f>
        <v>0</v>
      </c>
      <c r="AU39" s="145">
        <f ca="1">IF(AU$13="",0,CHOOSE(Detalhamento.OpçãoServiços,OFFSET(Import.PLQ,$A39-1,AU$15-1,1,1),IF($E39&lt;&gt;1,IF(ISNUMBER(INDEX(Import.PLE,Detalhamento!$E39,Detalhamento!AU$15)),IF(INDEX(Import.PLE,Detalhamento!$E39,Detalhamento!AU$15)&lt;=mediçao,OFFSET(Import.PLQ,$A39-1,AU$15-1,1,1),0),0),PLE!$AA$28*OFFSET(Import.PLQ,$A39-1,AU$15-1,1,1)),IF($E39&lt;&gt;1,IF(ISNUMBER(INDEX(Import.PLE,Detalhamento!$E39,Detalhamento!AU$15)),IF(INDEX(Import.PLE,Detalhamento!$E39,Detalhamento!AU$15)&lt;=mediçao,0,OFFSET(Import.PLQ,$A39-1,AU$15-1,1,1)),OFFSET(Import.PLQ,$A39-1,AU$15-1,1,1)),(1-PLE!$AA$28)*OFFSET(Import.PLQ,$A39-1,AU$15-1,1,1))))</f>
        <v>0</v>
      </c>
      <c r="AV39" s="145">
        <f ca="1">IF(AV$13="",0,CHOOSE(Detalhamento.OpçãoServiços,OFFSET(Import.PLQ,$A39-1,AV$15-1,1,1),IF($E39&lt;&gt;1,IF(ISNUMBER(INDEX(Import.PLE,Detalhamento!$E39,Detalhamento!AV$15)),IF(INDEX(Import.PLE,Detalhamento!$E39,Detalhamento!AV$15)&lt;=mediçao,OFFSET(Import.PLQ,$A39-1,AV$15-1,1,1),0),0),PLE!$AA$28*OFFSET(Import.PLQ,$A39-1,AV$15-1,1,1)),IF($E39&lt;&gt;1,IF(ISNUMBER(INDEX(Import.PLE,Detalhamento!$E39,Detalhamento!AV$15)),IF(INDEX(Import.PLE,Detalhamento!$E39,Detalhamento!AV$15)&lt;=mediçao,0,OFFSET(Import.PLQ,$A39-1,AV$15-1,1,1)),OFFSET(Import.PLQ,$A39-1,AV$15-1,1,1)),(1-PLE!$AA$28)*OFFSET(Import.PLQ,$A39-1,AV$15-1,1,1))))</f>
        <v>0</v>
      </c>
      <c r="AW39" s="145">
        <f ca="1">IF(AW$13="",0,CHOOSE(Detalhamento.OpçãoServiços,OFFSET(Import.PLQ,$A39-1,AW$15-1,1,1),IF($E39&lt;&gt;1,IF(ISNUMBER(INDEX(Import.PLE,Detalhamento!$E39,Detalhamento!AW$15)),IF(INDEX(Import.PLE,Detalhamento!$E39,Detalhamento!AW$15)&lt;=mediçao,OFFSET(Import.PLQ,$A39-1,AW$15-1,1,1),0),0),PLE!$AA$28*OFFSET(Import.PLQ,$A39-1,AW$15-1,1,1)),IF($E39&lt;&gt;1,IF(ISNUMBER(INDEX(Import.PLE,Detalhamento!$E39,Detalhamento!AW$15)),IF(INDEX(Import.PLE,Detalhamento!$E39,Detalhamento!AW$15)&lt;=mediçao,0,OFFSET(Import.PLQ,$A39-1,AW$15-1,1,1)),OFFSET(Import.PLQ,$A39-1,AW$15-1,1,1)),(1-PLE!$AA$28)*OFFSET(Import.PLQ,$A39-1,AW$15-1,1,1))))</f>
        <v>0</v>
      </c>
      <c r="AX39" s="145">
        <f ca="1">IF(AX$13="",0,CHOOSE(Detalhamento.OpçãoServiços,OFFSET(Import.PLQ,$A39-1,AX$15-1,1,1),IF($E39&lt;&gt;1,IF(ISNUMBER(INDEX(Import.PLE,Detalhamento!$E39,Detalhamento!AX$15)),IF(INDEX(Import.PLE,Detalhamento!$E39,Detalhamento!AX$15)&lt;=mediçao,OFFSET(Import.PLQ,$A39-1,AX$15-1,1,1),0),0),PLE!$AA$28*OFFSET(Import.PLQ,$A39-1,AX$15-1,1,1)),IF($E39&lt;&gt;1,IF(ISNUMBER(INDEX(Import.PLE,Detalhamento!$E39,Detalhamento!AX$15)),IF(INDEX(Import.PLE,Detalhamento!$E39,Detalhamento!AX$15)&lt;=mediçao,0,OFFSET(Import.PLQ,$A39-1,AX$15-1,1,1)),OFFSET(Import.PLQ,$A39-1,AX$15-1,1,1)),(1-PLE!$AA$28)*OFFSET(Import.PLQ,$A39-1,AX$15-1,1,1))))</f>
        <v>0</v>
      </c>
      <c r="AY39" s="145">
        <f ca="1">IF(AY$13="",0,CHOOSE(Detalhamento.OpçãoServiços,OFFSET(Import.PLQ,$A39-1,AY$15-1,1,1),IF($E39&lt;&gt;1,IF(ISNUMBER(INDEX(Import.PLE,Detalhamento!$E39,Detalhamento!AY$15)),IF(INDEX(Import.PLE,Detalhamento!$E39,Detalhamento!AY$15)&lt;=mediçao,OFFSET(Import.PLQ,$A39-1,AY$15-1,1,1),0),0),PLE!$AA$28*OFFSET(Import.PLQ,$A39-1,AY$15-1,1,1)),IF($E39&lt;&gt;1,IF(ISNUMBER(INDEX(Import.PLE,Detalhamento!$E39,Detalhamento!AY$15)),IF(INDEX(Import.PLE,Detalhamento!$E39,Detalhamento!AY$15)&lt;=mediçao,0,OFFSET(Import.PLQ,$A39-1,AY$15-1,1,1)),OFFSET(Import.PLQ,$A39-1,AY$15-1,1,1)),(1-PLE!$AA$28)*OFFSET(Import.PLQ,$A39-1,AY$15-1,1,1))))</f>
        <v>0</v>
      </c>
      <c r="AZ39" s="145">
        <f ca="1">IF(AZ$13="",0,CHOOSE(Detalhamento.OpçãoServiços,OFFSET(Import.PLQ,$A39-1,AZ$15-1,1,1),IF($E39&lt;&gt;1,IF(ISNUMBER(INDEX(Import.PLE,Detalhamento!$E39,Detalhamento!AZ$15)),IF(INDEX(Import.PLE,Detalhamento!$E39,Detalhamento!AZ$15)&lt;=mediçao,OFFSET(Import.PLQ,$A39-1,AZ$15-1,1,1),0),0),PLE!$AA$28*OFFSET(Import.PLQ,$A39-1,AZ$15-1,1,1)),IF($E39&lt;&gt;1,IF(ISNUMBER(INDEX(Import.PLE,Detalhamento!$E39,Detalhamento!AZ$15)),IF(INDEX(Import.PLE,Detalhamento!$E39,Detalhamento!AZ$15)&lt;=mediçao,0,OFFSET(Import.PLQ,$A39-1,AZ$15-1,1,1)),OFFSET(Import.PLQ,$A39-1,AZ$15-1,1,1)),(1-PLE!$AA$28)*OFFSET(Import.PLQ,$A39-1,AZ$15-1,1,1))))</f>
        <v>0</v>
      </c>
      <c r="BA39" s="145">
        <f ca="1">IF(BA$13="",0,CHOOSE(Detalhamento.OpçãoServiços,OFFSET(Import.PLQ,$A39-1,BA$15-1,1,1),IF($E39&lt;&gt;1,IF(ISNUMBER(INDEX(Import.PLE,Detalhamento!$E39,Detalhamento!BA$15)),IF(INDEX(Import.PLE,Detalhamento!$E39,Detalhamento!BA$15)&lt;=mediçao,OFFSET(Import.PLQ,$A39-1,BA$15-1,1,1),0),0),PLE!$AA$28*OFFSET(Import.PLQ,$A39-1,BA$15-1,1,1)),IF($E39&lt;&gt;1,IF(ISNUMBER(INDEX(Import.PLE,Detalhamento!$E39,Detalhamento!BA$15)),IF(INDEX(Import.PLE,Detalhamento!$E39,Detalhamento!BA$15)&lt;=mediçao,0,OFFSET(Import.PLQ,$A39-1,BA$15-1,1,1)),OFFSET(Import.PLQ,$A39-1,BA$15-1,1,1)),(1-PLE!$AA$28)*OFFSET(Import.PLQ,$A39-1,BA$15-1,1,1))))</f>
        <v>0</v>
      </c>
      <c r="BB39" s="145">
        <f ca="1">IF(BB$13="",0,CHOOSE(Detalhamento.OpçãoServiços,OFFSET(Import.PLQ,$A39-1,BB$15-1,1,1),IF($E39&lt;&gt;1,IF(ISNUMBER(INDEX(Import.PLE,Detalhamento!$E39,Detalhamento!BB$15)),IF(INDEX(Import.PLE,Detalhamento!$E39,Detalhamento!BB$15)&lt;=mediçao,OFFSET(Import.PLQ,$A39-1,BB$15-1,1,1),0),0),PLE!$AA$28*OFFSET(Import.PLQ,$A39-1,BB$15-1,1,1)),IF($E39&lt;&gt;1,IF(ISNUMBER(INDEX(Import.PLE,Detalhamento!$E39,Detalhamento!BB$15)),IF(INDEX(Import.PLE,Detalhamento!$E39,Detalhamento!BB$15)&lt;=mediçao,0,OFFSET(Import.PLQ,$A39-1,BB$15-1,1,1)),OFFSET(Import.PLQ,$A39-1,BB$15-1,1,1)),(1-PLE!$AA$28)*OFFSET(Import.PLQ,$A39-1,BB$15-1,1,1))))</f>
        <v>0</v>
      </c>
      <c r="BC39" s="145">
        <f ca="1">IF(BC$13="",0,CHOOSE(Detalhamento.OpçãoServiços,OFFSET(Import.PLQ,$A39-1,BC$15-1,1,1),IF($E39&lt;&gt;1,IF(ISNUMBER(INDEX(Import.PLE,Detalhamento!$E39,Detalhamento!BC$15)),IF(INDEX(Import.PLE,Detalhamento!$E39,Detalhamento!BC$15)&lt;=mediçao,OFFSET(Import.PLQ,$A39-1,BC$15-1,1,1),0),0),PLE!$AA$28*OFFSET(Import.PLQ,$A39-1,BC$15-1,1,1)),IF($E39&lt;&gt;1,IF(ISNUMBER(INDEX(Import.PLE,Detalhamento!$E39,Detalhamento!BC$15)),IF(INDEX(Import.PLE,Detalhamento!$E39,Detalhamento!BC$15)&lt;=mediçao,0,OFFSET(Import.PLQ,$A39-1,BC$15-1,1,1)),OFFSET(Import.PLQ,$A39-1,BC$15-1,1,1)),(1-PLE!$AA$28)*OFFSET(Import.PLQ,$A39-1,BC$15-1,1,1))))</f>
        <v>0</v>
      </c>
      <c r="BD39" s="145">
        <f ca="1">IF(BD$13="",0,CHOOSE(Detalhamento.OpçãoServiços,OFFSET(Import.PLQ,$A39-1,BD$15-1,1,1),IF($E39&lt;&gt;1,IF(ISNUMBER(INDEX(Import.PLE,Detalhamento!$E39,Detalhamento!BD$15)),IF(INDEX(Import.PLE,Detalhamento!$E39,Detalhamento!BD$15)&lt;=mediçao,OFFSET(Import.PLQ,$A39-1,BD$15-1,1,1),0),0),PLE!$AA$28*OFFSET(Import.PLQ,$A39-1,BD$15-1,1,1)),IF($E39&lt;&gt;1,IF(ISNUMBER(INDEX(Import.PLE,Detalhamento!$E39,Detalhamento!BD$15)),IF(INDEX(Import.PLE,Detalhamento!$E39,Detalhamento!BD$15)&lt;=mediçao,0,OFFSET(Import.PLQ,$A39-1,BD$15-1,1,1)),OFFSET(Import.PLQ,$A39-1,BD$15-1,1,1)),(1-PLE!$AA$28)*OFFSET(Import.PLQ,$A39-1,BD$15-1,1,1))))</f>
        <v>0</v>
      </c>
      <c r="BE39" s="145">
        <f ca="1">IF(BE$13="",0,CHOOSE(Detalhamento.OpçãoServiços,OFFSET(Import.PLQ,$A39-1,BE$15-1,1,1),IF($E39&lt;&gt;1,IF(ISNUMBER(INDEX(Import.PLE,Detalhamento!$E39,Detalhamento!BE$15)),IF(INDEX(Import.PLE,Detalhamento!$E39,Detalhamento!BE$15)&lt;=mediçao,OFFSET(Import.PLQ,$A39-1,BE$15-1,1,1),0),0),PLE!$AA$28*OFFSET(Import.PLQ,$A39-1,BE$15-1,1,1)),IF($E39&lt;&gt;1,IF(ISNUMBER(INDEX(Import.PLE,Detalhamento!$E39,Detalhamento!BE$15)),IF(INDEX(Import.PLE,Detalhamento!$E39,Detalhamento!BE$15)&lt;=mediçao,0,OFFSET(Import.PLQ,$A39-1,BE$15-1,1,1)),OFFSET(Import.PLQ,$A39-1,BE$15-1,1,1)),(1-PLE!$AA$28)*OFFSET(Import.PLQ,$A39-1,BE$15-1,1,1))))</f>
        <v>0</v>
      </c>
      <c r="BF39" s="145">
        <f ca="1">IF(BF$13="",0,CHOOSE(Detalhamento.OpçãoServiços,OFFSET(Import.PLQ,$A39-1,BF$15-1,1,1),IF($E39&lt;&gt;1,IF(ISNUMBER(INDEX(Import.PLE,Detalhamento!$E39,Detalhamento!BF$15)),IF(INDEX(Import.PLE,Detalhamento!$E39,Detalhamento!BF$15)&lt;=mediçao,OFFSET(Import.PLQ,$A39-1,BF$15-1,1,1),0),0),PLE!$AA$28*OFFSET(Import.PLQ,$A39-1,BF$15-1,1,1)),IF($E39&lt;&gt;1,IF(ISNUMBER(INDEX(Import.PLE,Detalhamento!$E39,Detalhamento!BF$15)),IF(INDEX(Import.PLE,Detalhamento!$E39,Detalhamento!BF$15)&lt;=mediçao,0,OFFSET(Import.PLQ,$A39-1,BF$15-1,1,1)),OFFSET(Import.PLQ,$A39-1,BF$15-1,1,1)),(1-PLE!$AA$28)*OFFSET(Import.PLQ,$A39-1,BF$15-1,1,1))))</f>
        <v>0</v>
      </c>
      <c r="BG39" s="145">
        <f ca="1">IF(BG$13="",0,CHOOSE(Detalhamento.OpçãoServiços,OFFSET(Import.PLQ,$A39-1,BG$15-1,1,1),IF($E39&lt;&gt;1,IF(ISNUMBER(INDEX(Import.PLE,Detalhamento!$E39,Detalhamento!BG$15)),IF(INDEX(Import.PLE,Detalhamento!$E39,Detalhamento!BG$15)&lt;=mediçao,OFFSET(Import.PLQ,$A39-1,BG$15-1,1,1),0),0),PLE!$AA$28*OFFSET(Import.PLQ,$A39-1,BG$15-1,1,1)),IF($E39&lt;&gt;1,IF(ISNUMBER(INDEX(Import.PLE,Detalhamento!$E39,Detalhamento!BG$15)),IF(INDEX(Import.PLE,Detalhamento!$E39,Detalhamento!BG$15)&lt;=mediçao,0,OFFSET(Import.PLQ,$A39-1,BG$15-1,1,1)),OFFSET(Import.PLQ,$A39-1,BG$15-1,1,1)),(1-PLE!$AA$28)*OFFSET(Import.PLQ,$A39-1,BG$15-1,1,1))))</f>
        <v>0</v>
      </c>
      <c r="BH39" s="145">
        <f ca="1">IF(BH$13="",0,CHOOSE(Detalhamento.OpçãoServiços,OFFSET(Import.PLQ,$A39-1,BH$15-1,1,1),IF($E39&lt;&gt;1,IF(ISNUMBER(INDEX(Import.PLE,Detalhamento!$E39,Detalhamento!BH$15)),IF(INDEX(Import.PLE,Detalhamento!$E39,Detalhamento!BH$15)&lt;=mediçao,OFFSET(Import.PLQ,$A39-1,BH$15-1,1,1),0),0),PLE!$AA$28*OFFSET(Import.PLQ,$A39-1,BH$15-1,1,1)),IF($E39&lt;&gt;1,IF(ISNUMBER(INDEX(Import.PLE,Detalhamento!$E39,Detalhamento!BH$15)),IF(INDEX(Import.PLE,Detalhamento!$E39,Detalhamento!BH$15)&lt;=mediçao,0,OFFSET(Import.PLQ,$A39-1,BH$15-1,1,1)),OFFSET(Import.PLQ,$A39-1,BH$15-1,1,1)),(1-PLE!$AA$28)*OFFSET(Import.PLQ,$A39-1,BH$15-1,1,1))))</f>
        <v>0</v>
      </c>
      <c r="BI39" s="145">
        <f ca="1">IF(BI$13="",0,CHOOSE(Detalhamento.OpçãoServiços,OFFSET(Import.PLQ,$A39-1,BI$15-1,1,1),IF($E39&lt;&gt;1,IF(ISNUMBER(INDEX(Import.PLE,Detalhamento!$E39,Detalhamento!BI$15)),IF(INDEX(Import.PLE,Detalhamento!$E39,Detalhamento!BI$15)&lt;=mediçao,OFFSET(Import.PLQ,$A39-1,BI$15-1,1,1),0),0),PLE!$AA$28*OFFSET(Import.PLQ,$A39-1,BI$15-1,1,1)),IF($E39&lt;&gt;1,IF(ISNUMBER(INDEX(Import.PLE,Detalhamento!$E39,Detalhamento!BI$15)),IF(INDEX(Import.PLE,Detalhamento!$E39,Detalhamento!BI$15)&lt;=mediçao,0,OFFSET(Import.PLQ,$A39-1,BI$15-1,1,1)),OFFSET(Import.PLQ,$A39-1,BI$15-1,1,1)),(1-PLE!$AA$28)*OFFSET(Import.PLQ,$A39-1,BI$15-1,1,1))))</f>
        <v>0</v>
      </c>
    </row>
    <row r="41" spans="1:61" ht="12" x14ac:dyDescent="0.2">
      <c r="E41" s="223" t="str">
        <f ca="1">Eventograma_e_Quantitativos!C42</f>
        <v>COREMAS/PB, 31 de julho de 2023</v>
      </c>
      <c r="F41" s="223"/>
      <c r="G41" s="223"/>
      <c r="H41" s="223"/>
      <c r="I41" s="57"/>
      <c r="J41" s="57"/>
      <c r="K41" s="57"/>
      <c r="L41" s="57"/>
      <c r="M41" s="58"/>
      <c r="N41" s="58"/>
      <c r="O41" s="58"/>
      <c r="P41" s="58"/>
      <c r="Q41" s="58"/>
      <c r="R41" s="57"/>
      <c r="S41" s="58"/>
      <c r="T41" s="58"/>
      <c r="U41" s="58"/>
      <c r="V41" s="58"/>
      <c r="W41" s="58"/>
      <c r="X41" s="57"/>
      <c r="Y41" s="58"/>
      <c r="Z41" s="58"/>
      <c r="AA41" s="58"/>
      <c r="AB41" s="58"/>
      <c r="AC41" s="58"/>
      <c r="AD41" s="57"/>
      <c r="AE41" s="58"/>
      <c r="AF41" s="58"/>
      <c r="AG41" s="58"/>
      <c r="AH41" s="58"/>
      <c r="AI41" s="58"/>
      <c r="AJ41" s="57"/>
      <c r="AK41" s="58"/>
      <c r="AL41" s="58"/>
      <c r="AM41" s="58"/>
      <c r="AN41" s="58"/>
      <c r="AO41" s="58"/>
      <c r="AP41" s="57"/>
      <c r="AQ41" s="58"/>
      <c r="AR41" s="58"/>
      <c r="AS41" s="58"/>
      <c r="AT41" s="58"/>
      <c r="AU41" s="58"/>
      <c r="AV41" s="57"/>
      <c r="AW41" s="58"/>
      <c r="AX41" s="58"/>
      <c r="AY41" s="58"/>
      <c r="AZ41" s="58"/>
      <c r="BA41" s="58"/>
      <c r="BB41" s="57"/>
      <c r="BC41" s="58"/>
      <c r="BD41" s="58"/>
      <c r="BE41" s="58"/>
      <c r="BF41" s="58"/>
      <c r="BG41" s="58"/>
    </row>
    <row r="42" spans="1:61" x14ac:dyDescent="0.2">
      <c r="E42" s="218" t="s">
        <v>43</v>
      </c>
      <c r="F42" s="218"/>
      <c r="G42" s="218"/>
      <c r="H42" s="21"/>
      <c r="M42" s="59" t="s">
        <v>41</v>
      </c>
      <c r="N42" s="217">
        <f>Eventograma_e_Quantitativos!$P$43</f>
        <v>0</v>
      </c>
      <c r="O42" s="217"/>
      <c r="P42" s="217"/>
      <c r="Q42" s="217"/>
      <c r="S42" s="59" t="s">
        <v>41</v>
      </c>
      <c r="T42" s="217">
        <f>Eventograma_e_Quantitativos!$P$43</f>
        <v>0</v>
      </c>
      <c r="U42" s="217"/>
      <c r="V42" s="217"/>
      <c r="W42" s="217"/>
      <c r="Y42" s="59" t="s">
        <v>41</v>
      </c>
      <c r="Z42" s="217">
        <f>Eventograma_e_Quantitativos!$P$43</f>
        <v>0</v>
      </c>
      <c r="AA42" s="217"/>
      <c r="AB42" s="217"/>
      <c r="AC42" s="217"/>
      <c r="AE42" s="59" t="s">
        <v>41</v>
      </c>
      <c r="AF42" s="217">
        <f>Eventograma_e_Quantitativos!$P$43</f>
        <v>0</v>
      </c>
      <c r="AG42" s="217"/>
      <c r="AH42" s="217"/>
      <c r="AI42" s="217"/>
      <c r="AK42" s="59" t="s">
        <v>41</v>
      </c>
      <c r="AL42" s="217">
        <f>Eventograma_e_Quantitativos!$P$43</f>
        <v>0</v>
      </c>
      <c r="AM42" s="217"/>
      <c r="AN42" s="217"/>
      <c r="AO42" s="217"/>
      <c r="AQ42" s="59" t="s">
        <v>41</v>
      </c>
      <c r="AR42" s="217">
        <f>Eventograma_e_Quantitativos!$P$43</f>
        <v>0</v>
      </c>
      <c r="AS42" s="217"/>
      <c r="AT42" s="217"/>
      <c r="AU42" s="217"/>
      <c r="AW42" s="59" t="s">
        <v>41</v>
      </c>
      <c r="AX42" s="217">
        <f>Eventograma_e_Quantitativos!$P$43</f>
        <v>0</v>
      </c>
      <c r="AY42" s="217"/>
      <c r="AZ42" s="217"/>
      <c r="BA42" s="217"/>
      <c r="BC42" s="59" t="s">
        <v>41</v>
      </c>
      <c r="BD42" s="217">
        <f>Eventograma_e_Quantitativos!$P$43</f>
        <v>0</v>
      </c>
      <c r="BE42" s="217"/>
      <c r="BF42" s="217"/>
      <c r="BG42" s="217"/>
    </row>
    <row r="43" spans="1:61" x14ac:dyDescent="0.2">
      <c r="E43" s="21"/>
      <c r="F43" s="21"/>
      <c r="G43" s="21"/>
      <c r="H43" s="21"/>
      <c r="M43" s="59" t="s">
        <v>42</v>
      </c>
      <c r="N43" s="218">
        <f>Eventograma_e_Quantitativos!$P$44</f>
        <v>0</v>
      </c>
      <c r="O43" s="218"/>
      <c r="P43" s="218"/>
      <c r="Q43" s="218"/>
      <c r="S43" s="59" t="s">
        <v>42</v>
      </c>
      <c r="T43" s="218">
        <f>Eventograma_e_Quantitativos!$P$44</f>
        <v>0</v>
      </c>
      <c r="U43" s="218"/>
      <c r="V43" s="218"/>
      <c r="W43" s="218"/>
      <c r="Y43" s="59" t="s">
        <v>42</v>
      </c>
      <c r="Z43" s="218">
        <f>Eventograma_e_Quantitativos!$P$44</f>
        <v>0</v>
      </c>
      <c r="AA43" s="218"/>
      <c r="AB43" s="218"/>
      <c r="AC43" s="218"/>
      <c r="AE43" s="59" t="s">
        <v>42</v>
      </c>
      <c r="AF43" s="218">
        <f>Eventograma_e_Quantitativos!$P$44</f>
        <v>0</v>
      </c>
      <c r="AG43" s="218"/>
      <c r="AH43" s="218"/>
      <c r="AI43" s="218"/>
      <c r="AK43" s="59" t="s">
        <v>42</v>
      </c>
      <c r="AL43" s="218">
        <f>Eventograma_e_Quantitativos!$P$44</f>
        <v>0</v>
      </c>
      <c r="AM43" s="218"/>
      <c r="AN43" s="218"/>
      <c r="AO43" s="218"/>
      <c r="AQ43" s="59" t="s">
        <v>42</v>
      </c>
      <c r="AR43" s="218">
        <f>Eventograma_e_Quantitativos!$P$44</f>
        <v>0</v>
      </c>
      <c r="AS43" s="218"/>
      <c r="AT43" s="218"/>
      <c r="AU43" s="218"/>
      <c r="AW43" s="59" t="s">
        <v>42</v>
      </c>
      <c r="AX43" s="218">
        <f>Eventograma_e_Quantitativos!$P$44</f>
        <v>0</v>
      </c>
      <c r="AY43" s="218"/>
      <c r="AZ43" s="218"/>
      <c r="BA43" s="218"/>
      <c r="BC43" s="59" t="s">
        <v>42</v>
      </c>
      <c r="BD43" s="218">
        <f>Eventograma_e_Quantitativos!$P$44</f>
        <v>0</v>
      </c>
      <c r="BE43" s="218"/>
      <c r="BF43" s="218"/>
      <c r="BG43" s="218"/>
    </row>
  </sheetData>
  <sheetProtection algorithmName="SHA-512" hashValue="nO6qnBH2l1h2+YvC4rbHJPP4Z5GaCt1xAGdbXJwiFdBjxRE1JS/kp4UErOk9UaqzNy2N/GEDgxRqVO5megJBlw==" saltValue="UseUc+dw21YV22z3zApLWw==" spinCount="100000" sheet="1" objects="1" scenarios="1"/>
  <autoFilter ref="A16:J39" xr:uid="{00000000-0001-0000-0200-000000000000}">
    <filterColumn colId="5">
      <customFilters>
        <customFilter operator="notEqual" val="0"/>
      </customFilters>
    </filterColumn>
  </autoFilter>
  <sortState xmlns:xlrd2="http://schemas.microsoft.com/office/spreadsheetml/2017/richdata2" ref="A19:J39">
    <sortCondition ref="F16"/>
  </sortState>
  <dataConsolidate/>
  <mergeCells count="18">
    <mergeCell ref="BD42:BG42"/>
    <mergeCell ref="BD43:BG43"/>
    <mergeCell ref="AF42:AI42"/>
    <mergeCell ref="AF43:AI43"/>
    <mergeCell ref="AL42:AO42"/>
    <mergeCell ref="AL43:AO43"/>
    <mergeCell ref="AR42:AU42"/>
    <mergeCell ref="AR43:AU43"/>
    <mergeCell ref="AX42:BA42"/>
    <mergeCell ref="AX43:BA43"/>
    <mergeCell ref="Z42:AC42"/>
    <mergeCell ref="Z43:AC43"/>
    <mergeCell ref="E42:G42"/>
    <mergeCell ref="E41:H41"/>
    <mergeCell ref="N42:Q42"/>
    <mergeCell ref="N43:Q43"/>
    <mergeCell ref="T42:W42"/>
    <mergeCell ref="T43:W43"/>
  </mergeCells>
  <phoneticPr fontId="0" type="noConversion"/>
  <conditionalFormatting sqref="E1:J1">
    <cfRule type="expression" dxfId="31" priority="19" stopIfTrue="1">
      <formula>OR(Nível="evento",Nível="meta",Nível="Nível")</formula>
    </cfRule>
  </conditionalFormatting>
  <conditionalFormatting sqref="E17:J39">
    <cfRule type="expression" dxfId="30" priority="2" stopIfTrue="1">
      <formula>OR(Nível="evento",Nível="meta",Nível="Nível")</formula>
    </cfRule>
  </conditionalFormatting>
  <conditionalFormatting sqref="L1:BI1">
    <cfRule type="expression" dxfId="29" priority="18" stopIfTrue="1">
      <formula>OR(Nível="evento",Nível="meta",Nível="Nível")</formula>
    </cfRule>
  </conditionalFormatting>
  <conditionalFormatting sqref="L17:BI39">
    <cfRule type="expression" dxfId="28" priority="1" stopIfTrue="1">
      <formula>OR(Nível="evento",Nível="meta",Nível="Nível")</formula>
    </cfRule>
  </conditionalFormatting>
  <conditionalFormatting sqref="M41:Q43">
    <cfRule type="expression" dxfId="27" priority="38" stopIfTrue="1">
      <formula>numFrentes&gt;6</formula>
    </cfRule>
  </conditionalFormatting>
  <conditionalFormatting sqref="S41:W43">
    <cfRule type="expression" dxfId="26" priority="36" stopIfTrue="1">
      <formula>numFrentes&gt;12</formula>
    </cfRule>
  </conditionalFormatting>
  <conditionalFormatting sqref="Y41:AC43">
    <cfRule type="expression" dxfId="25" priority="34" stopIfTrue="1">
      <formula>numFrentes&gt;18</formula>
    </cfRule>
  </conditionalFormatting>
  <conditionalFormatting sqref="AE41:AI43">
    <cfRule type="expression" dxfId="24" priority="32" stopIfTrue="1">
      <formula>numFrentes&gt;24</formula>
    </cfRule>
  </conditionalFormatting>
  <conditionalFormatting sqref="AK41:AO43">
    <cfRule type="expression" dxfId="23" priority="30" stopIfTrue="1">
      <formula>numFrentes&gt;30</formula>
    </cfRule>
  </conditionalFormatting>
  <conditionalFormatting sqref="AQ41:AU43">
    <cfRule type="expression" dxfId="22" priority="28" stopIfTrue="1">
      <formula>numFrentes&gt;36</formula>
    </cfRule>
  </conditionalFormatting>
  <pageMargins left="0.78740157480314965" right="0.78740157480314965" top="0.78740157480314965" bottom="0.78740157480314965" header="0.31496062992125984" footer="0.31496062992125984"/>
  <pageSetup paperSize="9" scale="78" fitToWidth="0" fitToHeight="0" pageOrder="overThenDown" orientation="landscape" horizontalDpi="4294967295" verticalDpi="4294967295" r:id="rId1"/>
  <headerFooter>
    <oddFooter>&amp;R&amp;P&amp;L27.477 v006   micro</oddFooter>
  </headerFooter>
  <rowBreaks count="1" manualBreakCount="1">
    <brk id="43" max="16383" man="1"/>
  </rowBreaks>
  <colBreaks count="8" manualBreakCount="8">
    <brk id="17" max="1048575" man="1"/>
    <brk id="23" max="1048575" man="1"/>
    <brk id="29" max="1048575" man="1"/>
    <brk id="35" max="1048575" man="1"/>
    <brk id="41" max="1048575" man="1"/>
    <brk id="47" max="1048575" man="1"/>
    <brk id="53" max="1048575" man="1"/>
    <brk id="5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2881" r:id="rId4" name="Drop Down 2465">
              <controlPr defaultSize="0" autoLine="0" autoPict="0">
                <anchor moveWithCells="1" sizeWithCells="1">
                  <from>
                    <xdr:col>6</xdr:col>
                    <xdr:colOff>514350</xdr:colOff>
                    <xdr:row>12</xdr:row>
                    <xdr:rowOff>238125</xdr:rowOff>
                  </from>
                  <to>
                    <xdr:col>7</xdr:col>
                    <xdr:colOff>1314450</xdr:colOff>
                    <xdr:row>12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10" r:id="rId5" name="SelecionaExibição">
              <controlPr defaultSize="0" autoLine="0" autoPict="0" macro="[0]!SelecionaExibição">
                <anchor moveWithCells="1" sizeWithCells="1">
                  <from>
                    <xdr:col>6</xdr:col>
                    <xdr:colOff>514350</xdr:colOff>
                    <xdr:row>12</xdr:row>
                    <xdr:rowOff>523875</xdr:rowOff>
                  </from>
                  <to>
                    <xdr:col>7</xdr:col>
                    <xdr:colOff>1314450</xdr:colOff>
                    <xdr:row>12</xdr:row>
                    <xdr:rowOff>723900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19" r:id="rId6" name="Label 2603">
              <controlPr defaultSize="0" autoFill="0" autoLine="0" autoPict="0">
                <anchor moveWithCells="1" sizeWithCells="1">
                  <from>
                    <xdr:col>6</xdr:col>
                    <xdr:colOff>28575</xdr:colOff>
                    <xdr:row>12</xdr:row>
                    <xdr:rowOff>238125</xdr:rowOff>
                  </from>
                  <to>
                    <xdr:col>6</xdr:col>
                    <xdr:colOff>476250</xdr:colOff>
                    <xdr:row>12</xdr:row>
                    <xdr:rowOff>447675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20" r:id="rId7" name="Label 2604">
              <controlPr defaultSize="0" autoFill="0" autoLine="0" autoPict="0">
                <anchor moveWithCells="1" sizeWithCells="1">
                  <from>
                    <xdr:col>4</xdr:col>
                    <xdr:colOff>66675</xdr:colOff>
                    <xdr:row>12</xdr:row>
                    <xdr:rowOff>514350</xdr:rowOff>
                  </from>
                  <to>
                    <xdr:col>6</xdr:col>
                    <xdr:colOff>466725</xdr:colOff>
                    <xdr:row>12</xdr:row>
                    <xdr:rowOff>762000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BN56"/>
  <sheetViews>
    <sheetView showGridLines="0" topLeftCell="A30" zoomScaleNormal="100" zoomScaleSheetLayoutView="100" workbookViewId="0">
      <selection activeCell="G41" sqref="G41:J41"/>
    </sheetView>
  </sheetViews>
  <sheetFormatPr defaultColWidth="0" defaultRowHeight="11.25" x14ac:dyDescent="0.2"/>
  <cols>
    <col min="1" max="1" width="2.28515625" style="21" customWidth="1"/>
    <col min="2" max="2" width="5.5703125" style="20" customWidth="1"/>
    <col min="3" max="3" width="20" style="20" customWidth="1"/>
    <col min="4" max="4" width="1" style="20" customWidth="1"/>
    <col min="5" max="7" width="3.42578125" style="20" customWidth="1"/>
    <col min="8" max="8" width="3.42578125" style="19" customWidth="1"/>
    <col min="9" max="10" width="3.42578125" style="20" customWidth="1"/>
    <col min="11" max="61" width="3.42578125" style="21" customWidth="1"/>
    <col min="62" max="66" width="0" style="21" hidden="1" customWidth="1"/>
    <col min="67" max="16384" width="3.42578125" style="21" hidden="1"/>
  </cols>
  <sheetData>
    <row r="1" spans="2:54" ht="13.5" hidden="1" x14ac:dyDescent="0.25">
      <c r="B1" s="129" t="e">
        <f ca="1">OFFSET(B1,-1,0)+1</f>
        <v>#REF!</v>
      </c>
      <c r="C1" s="165" t="e">
        <f ca="1">IF($B1&lt;=numEventos,INDEX(Eventos,B1,2),"")</f>
        <v>#REF!</v>
      </c>
      <c r="D1" s="167" t="s">
        <v>145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</row>
    <row r="2" spans="2:54" hidden="1" x14ac:dyDescent="0.2"/>
    <row r="3" spans="2:54" hidden="1" x14ac:dyDescent="0.2"/>
    <row r="4" spans="2:54" hidden="1" x14ac:dyDescent="0.2"/>
    <row r="5" spans="2:54" hidden="1" x14ac:dyDescent="0.2"/>
    <row r="6" spans="2:54" hidden="1" x14ac:dyDescent="0.2"/>
    <row r="7" spans="2:54" hidden="1" x14ac:dyDescent="0.2"/>
    <row r="8" spans="2:54" hidden="1" x14ac:dyDescent="0.2"/>
    <row r="9" spans="2:54" hidden="1" x14ac:dyDescent="0.2"/>
    <row r="10" spans="2:54" hidden="1" x14ac:dyDescent="0.2"/>
    <row r="11" spans="2:54" hidden="1" x14ac:dyDescent="0.2"/>
    <row r="12" spans="2:54" hidden="1" x14ac:dyDescent="0.2"/>
    <row r="13" spans="2:54" hidden="1" x14ac:dyDescent="0.2"/>
    <row r="14" spans="2:54" hidden="1" x14ac:dyDescent="0.2"/>
    <row r="15" spans="2:54" hidden="1" x14ac:dyDescent="0.2"/>
    <row r="16" spans="2:54" hidden="1" x14ac:dyDescent="0.2"/>
    <row r="17" spans="2:60" hidden="1" x14ac:dyDescent="0.2"/>
    <row r="18" spans="2:60" hidden="1" x14ac:dyDescent="0.2"/>
    <row r="19" spans="2:60" customFormat="1" ht="15" x14ac:dyDescent="0.25"/>
    <row r="20" spans="2:60" s="26" customFormat="1" ht="30.75" customHeight="1" x14ac:dyDescent="0.25">
      <c r="B20" s="55"/>
      <c r="C20" s="55"/>
      <c r="D20" s="252" t="s">
        <v>107</v>
      </c>
      <c r="E20" s="252"/>
      <c r="F20" s="252"/>
      <c r="G20" s="252"/>
      <c r="H20" s="252"/>
      <c r="I20" s="252"/>
      <c r="J20" s="252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AF20"/>
      <c r="AG20"/>
      <c r="AH20"/>
      <c r="AI20"/>
      <c r="AY20" s="246" t="s">
        <v>106</v>
      </c>
      <c r="AZ20" s="247"/>
      <c r="BA20" s="247"/>
      <c r="BB20" s="248"/>
      <c r="BC20" s="149">
        <f ca="1">Cronograma.MesesQuadro</f>
        <v>12</v>
      </c>
      <c r="BD20" s="56"/>
    </row>
    <row r="21" spans="2:60" ht="6.75" customHeight="1" x14ac:dyDescent="0.25">
      <c r="BD21"/>
      <c r="BE21"/>
      <c r="BF21"/>
      <c r="BG21"/>
      <c r="BH21"/>
    </row>
    <row r="22" spans="2:60" ht="31.5" customHeight="1" x14ac:dyDescent="0.25"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/>
      <c r="BE22"/>
      <c r="BF22"/>
      <c r="BG22"/>
      <c r="BH22"/>
    </row>
    <row r="23" spans="2:60" ht="11.25" customHeight="1" x14ac:dyDescent="0.25"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/>
      <c r="BE23"/>
      <c r="BF23"/>
      <c r="BG23"/>
      <c r="BH23"/>
    </row>
    <row r="24" spans="2:60" ht="11.25" customHeight="1" x14ac:dyDescent="0.25"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/>
      <c r="BE24"/>
      <c r="BF24"/>
      <c r="BG24"/>
      <c r="BH24"/>
    </row>
    <row r="25" spans="2:60" ht="11.25" customHeight="1" x14ac:dyDescent="0.25"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/>
      <c r="BE25"/>
      <c r="BF25"/>
      <c r="BG25"/>
      <c r="BH25"/>
    </row>
    <row r="26" spans="2:60" ht="11.25" customHeight="1" x14ac:dyDescent="0.25"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/>
      <c r="BE26"/>
      <c r="BF26"/>
      <c r="BG26"/>
      <c r="BH26"/>
    </row>
    <row r="27" spans="2:60" ht="11.25" customHeight="1" x14ac:dyDescent="0.25"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/>
      <c r="BE27"/>
      <c r="BF27"/>
      <c r="BG27"/>
      <c r="BH27"/>
    </row>
    <row r="28" spans="2:60" ht="11.25" customHeight="1" x14ac:dyDescent="0.25"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/>
      <c r="BE28"/>
      <c r="BF28"/>
      <c r="BG28"/>
      <c r="BH28"/>
    </row>
    <row r="29" spans="2:60" ht="6.75" customHeight="1" x14ac:dyDescent="0.2"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</row>
    <row r="30" spans="2:60" ht="99.95" customHeight="1" x14ac:dyDescent="0.2">
      <c r="B30" s="30"/>
      <c r="E30" s="166" t="str">
        <f>IF(Eventograma_e_Quantitativos!N15&lt;&gt;"",Eventograma_e_Quantitativos!N15,"")</f>
        <v>Rua Oficial de Justiça Vicente Gregório Antão</v>
      </c>
      <c r="F30" s="166" t="str">
        <f>IF(Eventograma_e_Quantitativos!O15&lt;&gt;"",Eventograma_e_Quantitativos!O15,"")</f>
        <v>Rua Francisca Garrido de Sousa</v>
      </c>
      <c r="G30" s="166" t="str">
        <f>IF(Eventograma_e_Quantitativos!P15&lt;&gt;"",Eventograma_e_Quantitativos!P15,"")</f>
        <v>Rua Francisco Batista Silva</v>
      </c>
      <c r="H30" s="166" t="str">
        <f>IF(Eventograma_e_Quantitativos!Q15&lt;&gt;"",Eventograma_e_Quantitativos!Q15,"")</f>
        <v>Rua Bartolomeu Buriti</v>
      </c>
      <c r="I30" s="166" t="str">
        <f>IF(Eventograma_e_Quantitativos!R15&lt;&gt;"",Eventograma_e_Quantitativos!R15,"")</f>
        <v>Rua Maria Farias de Assis</v>
      </c>
      <c r="J30" s="166" t="str">
        <f>IF(Eventograma_e_Quantitativos!S15&lt;&gt;"",Eventograma_e_Quantitativos!S15,"")</f>
        <v>Rua Roberto Wilson Moura</v>
      </c>
      <c r="K30" s="166" t="str">
        <f>IF(Eventograma_e_Quantitativos!T15&lt;&gt;"",Eventograma_e_Quantitativos!T15,"")</f>
        <v>Rua Cícero Eufrásio da Silva</v>
      </c>
      <c r="L30" s="166" t="str">
        <f>IF(Eventograma_e_Quantitativos!U15&lt;&gt;"",Eventograma_e_Quantitativos!U15,"")</f>
        <v>Rua Firmino da Silva Lacerda</v>
      </c>
      <c r="M30" s="166" t="str">
        <f>IF(Eventograma_e_Quantitativos!V15&lt;&gt;"",Eventograma_e_Quantitativos!V15,"")</f>
        <v/>
      </c>
      <c r="N30" s="166" t="str">
        <f>IF(Eventograma_e_Quantitativos!W15&lt;&gt;"",Eventograma_e_Quantitativos!W15,"")</f>
        <v/>
      </c>
      <c r="O30" s="166" t="str">
        <f>IF(Eventograma_e_Quantitativos!X15&lt;&gt;"",Eventograma_e_Quantitativos!X15,"")</f>
        <v/>
      </c>
      <c r="P30" s="166" t="str">
        <f>IF(Eventograma_e_Quantitativos!Y15&lt;&gt;"",Eventograma_e_Quantitativos!Y15,"")</f>
        <v/>
      </c>
      <c r="Q30" s="166" t="str">
        <f>IF(Eventograma_e_Quantitativos!Z15&lt;&gt;"",Eventograma_e_Quantitativos!Z15,"")</f>
        <v/>
      </c>
      <c r="R30" s="166" t="str">
        <f>IF(Eventograma_e_Quantitativos!AA15&lt;&gt;"",Eventograma_e_Quantitativos!AA15,"")</f>
        <v/>
      </c>
      <c r="S30" s="166" t="str">
        <f>IF(Eventograma_e_Quantitativos!AB15&lt;&gt;"",Eventograma_e_Quantitativos!AB15,"")</f>
        <v/>
      </c>
      <c r="T30" s="166" t="str">
        <f>IF(Eventograma_e_Quantitativos!AC15&lt;&gt;"",Eventograma_e_Quantitativos!AC15,"")</f>
        <v/>
      </c>
      <c r="U30" s="166" t="str">
        <f>IF(Eventograma_e_Quantitativos!AD15&lt;&gt;"",Eventograma_e_Quantitativos!AD15,"")</f>
        <v/>
      </c>
      <c r="V30" s="166" t="str">
        <f>IF(Eventograma_e_Quantitativos!AE15&lt;&gt;"",Eventograma_e_Quantitativos!AE15,"")</f>
        <v/>
      </c>
      <c r="W30" s="166" t="str">
        <f>IF(Eventograma_e_Quantitativos!AF15&lt;&gt;"",Eventograma_e_Quantitativos!AF15,"")</f>
        <v/>
      </c>
      <c r="X30" s="166" t="str">
        <f>IF(Eventograma_e_Quantitativos!AG15&lt;&gt;"",Eventograma_e_Quantitativos!AG15,"")</f>
        <v/>
      </c>
      <c r="Y30" s="166" t="str">
        <f>IF(Eventograma_e_Quantitativos!AH15&lt;&gt;"",Eventograma_e_Quantitativos!AH15,"")</f>
        <v/>
      </c>
      <c r="Z30" s="166" t="str">
        <f>IF(Eventograma_e_Quantitativos!AI15&lt;&gt;"",Eventograma_e_Quantitativos!AI15,"")</f>
        <v/>
      </c>
      <c r="AA30" s="166" t="str">
        <f>IF(Eventograma_e_Quantitativos!AJ15&lt;&gt;"",Eventograma_e_Quantitativos!AJ15,"")</f>
        <v/>
      </c>
      <c r="AB30" s="166" t="str">
        <f>IF(Eventograma_e_Quantitativos!AK15&lt;&gt;"",Eventograma_e_Quantitativos!AK15,"")</f>
        <v/>
      </c>
      <c r="AC30" s="166" t="str">
        <f>IF(Eventograma_e_Quantitativos!AL15&lt;&gt;"",Eventograma_e_Quantitativos!AL15,"")</f>
        <v/>
      </c>
      <c r="AD30" s="166" t="str">
        <f>IF(Eventograma_e_Quantitativos!AM15&lt;&gt;"",Eventograma_e_Quantitativos!AM15,"")</f>
        <v/>
      </c>
      <c r="AE30" s="166" t="str">
        <f>IF(Eventograma_e_Quantitativos!AN15&lt;&gt;"",Eventograma_e_Quantitativos!AN15,"")</f>
        <v/>
      </c>
      <c r="AF30" s="166" t="str">
        <f>IF(Eventograma_e_Quantitativos!AO15&lt;&gt;"",Eventograma_e_Quantitativos!AO15,"")</f>
        <v/>
      </c>
      <c r="AG30" s="166" t="str">
        <f>IF(Eventograma_e_Quantitativos!AP15&lt;&gt;"",Eventograma_e_Quantitativos!AP15,"")</f>
        <v/>
      </c>
      <c r="AH30" s="166" t="str">
        <f>IF(Eventograma_e_Quantitativos!AQ15&lt;&gt;"",Eventograma_e_Quantitativos!AQ15,"")</f>
        <v/>
      </c>
      <c r="AI30" s="166" t="str">
        <f>IF(Eventograma_e_Quantitativos!AR15&lt;&gt;"",Eventograma_e_Quantitativos!AR15,"")</f>
        <v/>
      </c>
      <c r="AJ30" s="166" t="str">
        <f>IF(Eventograma_e_Quantitativos!AS15&lt;&gt;"",Eventograma_e_Quantitativos!AS15,"")</f>
        <v/>
      </c>
      <c r="AK30" s="166" t="str">
        <f>IF(Eventograma_e_Quantitativos!AT15&lt;&gt;"",Eventograma_e_Quantitativos!AT15,"")</f>
        <v/>
      </c>
      <c r="AL30" s="166" t="str">
        <f>IF(Eventograma_e_Quantitativos!AU15&lt;&gt;"",Eventograma_e_Quantitativos!AU15,"")</f>
        <v/>
      </c>
      <c r="AM30" s="166" t="str">
        <f>IF(Eventograma_e_Quantitativos!AV15&lt;&gt;"",Eventograma_e_Quantitativos!AV15,"")</f>
        <v/>
      </c>
      <c r="AN30" s="166" t="str">
        <f>IF(Eventograma_e_Quantitativos!AW15&lt;&gt;"",Eventograma_e_Quantitativos!AW15,"")</f>
        <v/>
      </c>
      <c r="AO30" s="166" t="str">
        <f>IF(Eventograma_e_Quantitativos!AX15&lt;&gt;"",Eventograma_e_Quantitativos!AX15,"")</f>
        <v/>
      </c>
      <c r="AP30" s="166" t="str">
        <f>IF(Eventograma_e_Quantitativos!AY15&lt;&gt;"",Eventograma_e_Quantitativos!AY15,"")</f>
        <v/>
      </c>
      <c r="AQ30" s="166" t="str">
        <f>IF(Eventograma_e_Quantitativos!AZ15&lt;&gt;"",Eventograma_e_Quantitativos!AZ15,"")</f>
        <v/>
      </c>
      <c r="AR30" s="166" t="str">
        <f>IF(Eventograma_e_Quantitativos!BA15&lt;&gt;"",Eventograma_e_Quantitativos!BA15,"")</f>
        <v/>
      </c>
      <c r="AS30" s="166" t="str">
        <f>IF(Eventograma_e_Quantitativos!BB15&lt;&gt;"",Eventograma_e_Quantitativos!BB15,"")</f>
        <v/>
      </c>
      <c r="AT30" s="166" t="str">
        <f>IF(Eventograma_e_Quantitativos!BC15&lt;&gt;"",Eventograma_e_Quantitativos!BC15,"")</f>
        <v/>
      </c>
      <c r="AU30" s="166" t="str">
        <f>IF(Eventograma_e_Quantitativos!BD15&lt;&gt;"",Eventograma_e_Quantitativos!BD15,"")</f>
        <v/>
      </c>
      <c r="AV30" s="166" t="str">
        <f>IF(Eventograma_e_Quantitativos!BE15&lt;&gt;"",Eventograma_e_Quantitativos!BE15,"")</f>
        <v/>
      </c>
      <c r="AW30" s="166" t="str">
        <f>IF(Eventograma_e_Quantitativos!BF15&lt;&gt;"",Eventograma_e_Quantitativos!BF15,"")</f>
        <v/>
      </c>
      <c r="AX30" s="166" t="str">
        <f>IF(Eventograma_e_Quantitativos!BG15&lt;&gt;"",Eventograma_e_Quantitativos!BG15,"")</f>
        <v/>
      </c>
      <c r="AY30" s="166" t="str">
        <f>IF(Eventograma_e_Quantitativos!BH15&lt;&gt;"",Eventograma_e_Quantitativos!BH15,"")</f>
        <v/>
      </c>
      <c r="AZ30" s="166" t="str">
        <f>IF(Eventograma_e_Quantitativos!BI15&lt;&gt;"",Eventograma_e_Quantitativos!BI15,"")</f>
        <v/>
      </c>
      <c r="BA30" s="166" t="str">
        <f>IF(Eventograma_e_Quantitativos!BJ15&lt;&gt;"",Eventograma_e_Quantitativos!BJ15,"")</f>
        <v/>
      </c>
      <c r="BB30" s="166" t="str">
        <f>IF(Eventograma_e_Quantitativos!BK15&lt;&gt;"",Eventograma_e_Quantitativos!BK15,"")</f>
        <v/>
      </c>
    </row>
    <row r="31" spans="2:60" s="31" customFormat="1" ht="11.25" customHeight="1" x14ac:dyDescent="0.25">
      <c r="B31" s="238" t="s">
        <v>95</v>
      </c>
      <c r="C31" s="240" t="s">
        <v>96</v>
      </c>
      <c r="E31" s="131">
        <v>1</v>
      </c>
      <c r="F31" s="131">
        <v>2</v>
      </c>
      <c r="G31" s="131">
        <v>3</v>
      </c>
      <c r="H31" s="131">
        <v>4</v>
      </c>
      <c r="I31" s="131">
        <v>5</v>
      </c>
      <c r="J31" s="131">
        <v>6</v>
      </c>
      <c r="K31" s="131">
        <v>7</v>
      </c>
      <c r="L31" s="131">
        <v>8</v>
      </c>
      <c r="M31" s="131">
        <v>9</v>
      </c>
      <c r="N31" s="131">
        <v>10</v>
      </c>
      <c r="O31" s="131">
        <v>11</v>
      </c>
      <c r="P31" s="131">
        <v>12</v>
      </c>
      <c r="Q31" s="131">
        <v>13</v>
      </c>
      <c r="R31" s="131">
        <v>14</v>
      </c>
      <c r="S31" s="131">
        <v>15</v>
      </c>
      <c r="T31" s="131">
        <v>16</v>
      </c>
      <c r="U31" s="131">
        <v>17</v>
      </c>
      <c r="V31" s="131">
        <v>18</v>
      </c>
      <c r="W31" s="131">
        <v>19</v>
      </c>
      <c r="X31" s="131">
        <v>20</v>
      </c>
      <c r="Y31" s="131">
        <v>21</v>
      </c>
      <c r="Z31" s="131">
        <v>22</v>
      </c>
      <c r="AA31" s="131">
        <v>23</v>
      </c>
      <c r="AB31" s="131">
        <v>24</v>
      </c>
      <c r="AC31" s="131">
        <v>25</v>
      </c>
      <c r="AD31" s="131">
        <v>26</v>
      </c>
      <c r="AE31" s="131">
        <v>27</v>
      </c>
      <c r="AF31" s="131">
        <v>28</v>
      </c>
      <c r="AG31" s="131">
        <v>29</v>
      </c>
      <c r="AH31" s="131">
        <v>30</v>
      </c>
      <c r="AI31" s="131">
        <v>31</v>
      </c>
      <c r="AJ31" s="131">
        <v>32</v>
      </c>
      <c r="AK31" s="131">
        <v>33</v>
      </c>
      <c r="AL31" s="131">
        <v>34</v>
      </c>
      <c r="AM31" s="131">
        <v>35</v>
      </c>
      <c r="AN31" s="131">
        <v>36</v>
      </c>
      <c r="AO31" s="131">
        <v>37</v>
      </c>
      <c r="AP31" s="131">
        <v>38</v>
      </c>
      <c r="AQ31" s="131">
        <v>39</v>
      </c>
      <c r="AR31" s="131">
        <v>40</v>
      </c>
      <c r="AS31" s="131">
        <v>41</v>
      </c>
      <c r="AT31" s="131">
        <v>42</v>
      </c>
      <c r="AU31" s="131">
        <v>43</v>
      </c>
      <c r="AV31" s="131">
        <v>44</v>
      </c>
      <c r="AW31" s="131">
        <v>45</v>
      </c>
      <c r="AX31" s="131">
        <v>46</v>
      </c>
      <c r="AY31" s="131">
        <v>47</v>
      </c>
      <c r="AZ31" s="131">
        <v>48</v>
      </c>
      <c r="BA31" s="131">
        <v>49</v>
      </c>
      <c r="BB31" s="131">
        <v>50</v>
      </c>
    </row>
    <row r="32" spans="2:60" s="32" customFormat="1" ht="22.5" customHeight="1" x14ac:dyDescent="0.25">
      <c r="B32" s="239"/>
      <c r="C32" s="241"/>
      <c r="D32" s="33"/>
      <c r="E32" s="249" t="s">
        <v>51</v>
      </c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  <c r="BA32" s="250"/>
      <c r="BB32" s="251"/>
    </row>
    <row r="33" spans="2:54" s="27" customFormat="1" ht="4.5" customHeight="1" x14ac:dyDescent="0.2">
      <c r="B33" s="34"/>
      <c r="C33" s="35"/>
      <c r="D33" s="35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spans="2:54" ht="13.5" x14ac:dyDescent="0.25">
      <c r="B34" s="129">
        <f ca="1">OFFSET(B34,-1,0)+1</f>
        <v>1</v>
      </c>
      <c r="C34" s="165" t="str">
        <f ca="1">IF($B34&lt;=numEventos,INDEX(Eventos,B34,2),"")</f>
        <v>Administração Local</v>
      </c>
      <c r="D34" s="167" t="s">
        <v>145</v>
      </c>
      <c r="E34" s="178" t="s">
        <v>150</v>
      </c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179"/>
      <c r="AD34" s="179"/>
      <c r="AE34" s="179"/>
      <c r="AF34" s="179"/>
      <c r="AG34" s="179"/>
      <c r="AH34" s="179"/>
      <c r="AI34" s="179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79"/>
      <c r="AU34" s="179"/>
      <c r="AV34" s="179"/>
      <c r="AW34" s="179"/>
      <c r="AX34" s="179"/>
      <c r="AY34" s="179"/>
      <c r="AZ34" s="179"/>
      <c r="BA34" s="179"/>
      <c r="BB34" s="180"/>
    </row>
    <row r="35" spans="2:54" ht="13.5" x14ac:dyDescent="0.25">
      <c r="B35" s="129">
        <f ca="1">OFFSET(B35,-1,0)+1</f>
        <v>2</v>
      </c>
      <c r="C35" s="165" t="str">
        <f ca="1">IF($B35&lt;=numEventos,INDEX(Eventos,B35,2),"")</f>
        <v>PAVIMENTAÇÃO</v>
      </c>
      <c r="D35" s="167" t="s">
        <v>145</v>
      </c>
      <c r="E35" s="130">
        <v>1</v>
      </c>
      <c r="F35" s="130">
        <v>2</v>
      </c>
      <c r="G35" s="130">
        <v>2</v>
      </c>
      <c r="H35" s="130">
        <v>3</v>
      </c>
      <c r="I35" s="130">
        <v>6</v>
      </c>
      <c r="J35" s="130">
        <v>5</v>
      </c>
      <c r="K35" s="130">
        <v>4</v>
      </c>
      <c r="L35" s="130">
        <v>6</v>
      </c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</row>
    <row r="36" spans="2:54" ht="13.5" x14ac:dyDescent="0.25">
      <c r="B36" s="129">
        <f ca="1">OFFSET(B36,-1,0)+1</f>
        <v>3</v>
      </c>
      <c r="C36" s="165" t="str">
        <f ca="1">IF($B36&lt;=numEventos,INDEX(Eventos,B36,2),"")</f>
        <v>CALÇADAS E RAMPAS</v>
      </c>
      <c r="D36" s="167" t="s">
        <v>145</v>
      </c>
      <c r="E36" s="130">
        <v>1</v>
      </c>
      <c r="F36" s="130">
        <v>2</v>
      </c>
      <c r="G36" s="130">
        <v>2</v>
      </c>
      <c r="H36" s="130">
        <v>3</v>
      </c>
      <c r="I36" s="130">
        <v>6</v>
      </c>
      <c r="J36" s="130">
        <v>5</v>
      </c>
      <c r="K36" s="130">
        <v>4</v>
      </c>
      <c r="L36" s="130">
        <v>6</v>
      </c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</row>
    <row r="37" spans="2:54" ht="13.5" x14ac:dyDescent="0.25">
      <c r="B37" s="129">
        <f ca="1">OFFSET(B37,-1,0)+1</f>
        <v>4</v>
      </c>
      <c r="C37" s="165" t="str">
        <f ca="1">IF($B37&lt;=numEventos,INDEX(Eventos,B37,2),"")</f>
        <v>SINALIZAÇÃO E SERVIÇOS FINAIS</v>
      </c>
      <c r="D37" s="167" t="s">
        <v>145</v>
      </c>
      <c r="E37" s="130">
        <v>4</v>
      </c>
      <c r="F37" s="130">
        <v>4</v>
      </c>
      <c r="G37" s="130">
        <v>4</v>
      </c>
      <c r="H37" s="130">
        <v>4</v>
      </c>
      <c r="I37" s="130">
        <v>6</v>
      </c>
      <c r="J37" s="130">
        <v>6</v>
      </c>
      <c r="K37" s="130">
        <v>4</v>
      </c>
      <c r="L37" s="130">
        <v>6</v>
      </c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30"/>
    </row>
    <row r="38" spans="2:54" ht="7.5" customHeight="1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</row>
    <row r="39" spans="2:54" ht="15" x14ac:dyDescent="0.25">
      <c r="B39" s="242" t="s">
        <v>12</v>
      </c>
      <c r="C39" s="243"/>
      <c r="D39"/>
      <c r="G39" s="253">
        <f>(ROW($G39)-ROW($G$39))/6*12+1</f>
        <v>1</v>
      </c>
      <c r="H39" s="254"/>
      <c r="I39" s="254"/>
      <c r="J39" s="255"/>
      <c r="K39" s="253">
        <f>G39+1</f>
        <v>2</v>
      </c>
      <c r="L39" s="254"/>
      <c r="M39" s="254"/>
      <c r="N39" s="255"/>
      <c r="O39" s="253">
        <f>K39+1</f>
        <v>3</v>
      </c>
      <c r="P39" s="254"/>
      <c r="Q39" s="254"/>
      <c r="R39" s="255"/>
      <c r="S39" s="253">
        <f>O39+1</f>
        <v>4</v>
      </c>
      <c r="T39" s="254"/>
      <c r="U39" s="254"/>
      <c r="V39" s="255"/>
      <c r="W39" s="253">
        <f>S39+1</f>
        <v>5</v>
      </c>
      <c r="X39" s="254"/>
      <c r="Y39" s="254"/>
      <c r="Z39" s="255"/>
      <c r="AA39" s="253">
        <f>W39+1</f>
        <v>6</v>
      </c>
      <c r="AB39" s="254"/>
      <c r="AC39" s="254"/>
      <c r="AD39" s="255"/>
      <c r="AE39" s="253">
        <f>AA39+1</f>
        <v>7</v>
      </c>
      <c r="AF39" s="254"/>
      <c r="AG39" s="254"/>
      <c r="AH39" s="255"/>
      <c r="AI39" s="253">
        <f>AE39+1</f>
        <v>8</v>
      </c>
      <c r="AJ39" s="254"/>
      <c r="AK39" s="254"/>
      <c r="AL39" s="255"/>
      <c r="AM39" s="253">
        <f>AI39+1</f>
        <v>9</v>
      </c>
      <c r="AN39" s="254"/>
      <c r="AO39" s="254"/>
      <c r="AP39" s="255"/>
      <c r="AQ39" s="253">
        <f>AM39+1</f>
        <v>10</v>
      </c>
      <c r="AR39" s="254"/>
      <c r="AS39" s="254"/>
      <c r="AT39" s="255"/>
      <c r="AU39" s="253">
        <f>AQ39+1</f>
        <v>11</v>
      </c>
      <c r="AV39" s="254"/>
      <c r="AW39" s="254"/>
      <c r="AX39" s="255"/>
      <c r="AY39" s="253">
        <f>AU39+1</f>
        <v>12</v>
      </c>
      <c r="AZ39" s="254"/>
      <c r="BA39" s="254"/>
      <c r="BB39" s="255"/>
    </row>
    <row r="40" spans="2:54" ht="15" x14ac:dyDescent="0.25">
      <c r="B40" s="232" t="s">
        <v>105</v>
      </c>
      <c r="C40" s="233"/>
      <c r="D40"/>
      <c r="E40" s="244" t="s">
        <v>10</v>
      </c>
      <c r="F40" s="245"/>
      <c r="G40" s="227">
        <f ca="1">IF(TotalEventos=0,0,G41/TotalEventos)</f>
        <v>0.19732785413667206</v>
      </c>
      <c r="H40" s="228"/>
      <c r="I40" s="228"/>
      <c r="J40" s="229"/>
      <c r="K40" s="227">
        <f ca="1">IF(TotalEventos=0,0,K41/TotalEventos)</f>
        <v>0.21371810616185302</v>
      </c>
      <c r="L40" s="228"/>
      <c r="M40" s="228"/>
      <c r="N40" s="229"/>
      <c r="O40" s="227">
        <f ca="1">IF(TotalEventos=0,0,O41/TotalEventos)</f>
        <v>0.19150359941878359</v>
      </c>
      <c r="P40" s="228"/>
      <c r="Q40" s="228"/>
      <c r="R40" s="229"/>
      <c r="S40" s="227">
        <f ca="1">IF(TotalEventos=0,0,S41/TotalEventos)</f>
        <v>0.11277542054912018</v>
      </c>
      <c r="T40" s="228"/>
      <c r="U40" s="228"/>
      <c r="V40" s="229"/>
      <c r="W40" s="227">
        <f ca="1">IF(TotalEventos=0,0,W41/TotalEventos)</f>
        <v>0.13392978657625057</v>
      </c>
      <c r="X40" s="228"/>
      <c r="Y40" s="228"/>
      <c r="Z40" s="229"/>
      <c r="AA40" s="227">
        <f ca="1">IF(TotalEventos=0,0,AA41/TotalEventos)</f>
        <v>0.15074523315732066</v>
      </c>
      <c r="AB40" s="228"/>
      <c r="AC40" s="228"/>
      <c r="AD40" s="229"/>
      <c r="AE40" s="227">
        <f ca="1">IF(TotalEventos=0,0,AE41/TotalEventos)</f>
        <v>0</v>
      </c>
      <c r="AF40" s="228"/>
      <c r="AG40" s="228"/>
      <c r="AH40" s="229"/>
      <c r="AI40" s="227">
        <f ca="1">IF(TotalEventos=0,0,AI41/TotalEventos)</f>
        <v>0</v>
      </c>
      <c r="AJ40" s="228"/>
      <c r="AK40" s="228"/>
      <c r="AL40" s="229"/>
      <c r="AM40" s="227">
        <f ca="1">IF(TotalEventos=0,0,AM41/TotalEventos)</f>
        <v>0</v>
      </c>
      <c r="AN40" s="228"/>
      <c r="AO40" s="228"/>
      <c r="AP40" s="229"/>
      <c r="AQ40" s="227">
        <f ca="1">IF(TotalEventos=0,0,AQ41/TotalEventos)</f>
        <v>0</v>
      </c>
      <c r="AR40" s="228"/>
      <c r="AS40" s="228"/>
      <c r="AT40" s="229"/>
      <c r="AU40" s="227">
        <f ca="1">IF(TotalEventos=0,0,AU41/TotalEventos)</f>
        <v>0</v>
      </c>
      <c r="AV40" s="228"/>
      <c r="AW40" s="228"/>
      <c r="AX40" s="229"/>
      <c r="AY40" s="227">
        <f ca="1">IF(TotalEventos=0,0,AY41/TotalEventos)</f>
        <v>0</v>
      </c>
      <c r="AZ40" s="228"/>
      <c r="BA40" s="228"/>
      <c r="BB40" s="229"/>
    </row>
    <row r="41" spans="2:54" ht="15" x14ac:dyDescent="0.25">
      <c r="B41" s="234"/>
      <c r="C41" s="235"/>
      <c r="D41"/>
      <c r="E41" s="230" t="s">
        <v>11</v>
      </c>
      <c r="F41" s="231"/>
      <c r="G41" s="224">
        <f ca="1">SUMIF(OFFSET($E$34:$BB$34,1,0,numEventos-1),G39,OFFSET(ValoresPorEvento,1,0,numEventos-1))*(1+INDEX(TotalPorEvento,1,0)/(TotalEventos-INDEX(TotalPorEvento,1,0)))</f>
        <v>157462.14385999783</v>
      </c>
      <c r="H41" s="225"/>
      <c r="I41" s="225"/>
      <c r="J41" s="226"/>
      <c r="K41" s="224">
        <f ca="1">SUMIF(OFFSET($E$34:$BB$34,1,0,numEventos-1),K39,OFFSET(ValoresPorEvento,1,0,numEventos-1))*(1+INDEX(TotalPorEvento,1,0)/(TotalEventos-INDEX(TotalPorEvento,1,0)))</f>
        <v>170541.10949098846</v>
      </c>
      <c r="L41" s="225"/>
      <c r="M41" s="225"/>
      <c r="N41" s="226"/>
      <c r="O41" s="224">
        <f ca="1">SUMIF(OFFSET($E$34:$BB$34,1,0,numEventos-1),O39,OFFSET(ValoresPorEvento,1,0,numEventos-1))*(1+INDEX(TotalPorEvento,1,0)/(TotalEventos-INDEX(TotalPorEvento,1,0)))</f>
        <v>152814.55045116146</v>
      </c>
      <c r="P41" s="225"/>
      <c r="Q41" s="225"/>
      <c r="R41" s="226"/>
      <c r="S41" s="224">
        <f ca="1">SUMIF(OFFSET($E$34:$BB$34,1,0,numEventos-1),S39,OFFSET(ValoresPorEvento,1,0,numEventos-1))*(1+INDEX(TotalPorEvento,1,0)/(TotalEventos-INDEX(TotalPorEvento,1,0)))</f>
        <v>89991.651569260837</v>
      </c>
      <c r="T41" s="225"/>
      <c r="U41" s="225"/>
      <c r="V41" s="226"/>
      <c r="W41" s="224">
        <f ca="1">SUMIF(OFFSET($E$34:$BB$34,1,0,numEventos-1),W39,OFFSET(ValoresPorEvento,1,0,numEventos-1))*(1+INDEX(TotalPorEvento,1,0)/(TotalEventos-INDEX(TotalPorEvento,1,0)))</f>
        <v>106872.24777907899</v>
      </c>
      <c r="X41" s="225"/>
      <c r="Y41" s="225"/>
      <c r="Z41" s="226"/>
      <c r="AA41" s="224">
        <f ca="1">SUMIF(OFFSET($E$34:$BB$34,1,0,numEventos-1),AA39,OFFSET(ValoresPorEvento,1,0,numEventos-1))*(1+INDEX(TotalPorEvento,1,0)/(TotalEventos-INDEX(TotalPorEvento,1,0)))</f>
        <v>120290.50684951244</v>
      </c>
      <c r="AB41" s="225"/>
      <c r="AC41" s="225"/>
      <c r="AD41" s="226"/>
      <c r="AE41" s="224">
        <f ca="1">SUMIF(OFFSET($E$34:$BB$34,1,0,numEventos-1),AE39,OFFSET(ValoresPorEvento,1,0,numEventos-1))*(1+INDEX(TotalPorEvento,1,0)/(TotalEventos-INDEX(TotalPorEvento,1,0)))</f>
        <v>0</v>
      </c>
      <c r="AF41" s="225"/>
      <c r="AG41" s="225"/>
      <c r="AH41" s="226"/>
      <c r="AI41" s="224">
        <f ca="1">SUMIF(OFFSET($E$34:$BB$34,1,0,numEventos-1),AI39,OFFSET(ValoresPorEvento,1,0,numEventos-1))*(1+INDEX(TotalPorEvento,1,0)/(TotalEventos-INDEX(TotalPorEvento,1,0)))</f>
        <v>0</v>
      </c>
      <c r="AJ41" s="225"/>
      <c r="AK41" s="225"/>
      <c r="AL41" s="226"/>
      <c r="AM41" s="224">
        <f ca="1">SUMIF(OFFSET($E$34:$BB$34,1,0,numEventos-1),AM39,OFFSET(ValoresPorEvento,1,0,numEventos-1))*(1+INDEX(TotalPorEvento,1,0)/(TotalEventos-INDEX(TotalPorEvento,1,0)))</f>
        <v>0</v>
      </c>
      <c r="AN41" s="225"/>
      <c r="AO41" s="225"/>
      <c r="AP41" s="226"/>
      <c r="AQ41" s="224">
        <f ca="1">SUMIF(OFFSET($E$34:$BB$34,1,0,numEventos-1),AQ39,OFFSET(ValoresPorEvento,1,0,numEventos-1))*(1+INDEX(TotalPorEvento,1,0)/(TotalEventos-INDEX(TotalPorEvento,1,0)))</f>
        <v>0</v>
      </c>
      <c r="AR41" s="225"/>
      <c r="AS41" s="225"/>
      <c r="AT41" s="226"/>
      <c r="AU41" s="224">
        <f ca="1">SUMIF(OFFSET($E$34:$BB$34,1,0,numEventos-1),AU39,OFFSET(ValoresPorEvento,1,0,numEventos-1))*(1+INDEX(TotalPorEvento,1,0)/(TotalEventos-INDEX(TotalPorEvento,1,0)))</f>
        <v>0</v>
      </c>
      <c r="AV41" s="225"/>
      <c r="AW41" s="225"/>
      <c r="AX41" s="226"/>
      <c r="AY41" s="224">
        <f ca="1">SUMIF(OFFSET($E$34:$BB$34,1,0,numEventos-1),AY39,OFFSET(ValoresPorEvento,1,0,numEventos-1))*(1+INDEX(TotalPorEvento,1,0)/(TotalEventos-INDEX(TotalPorEvento,1,0)))</f>
        <v>0</v>
      </c>
      <c r="AZ41" s="225"/>
      <c r="BA41" s="225"/>
      <c r="BB41" s="226"/>
    </row>
    <row r="42" spans="2:54" ht="15" x14ac:dyDescent="0.25">
      <c r="B42" s="232" t="s">
        <v>9</v>
      </c>
      <c r="C42" s="233"/>
      <c r="D42"/>
      <c r="E42" s="236" t="s">
        <v>10</v>
      </c>
      <c r="F42" s="237"/>
      <c r="G42" s="227">
        <f ca="1">IF(TotalEventos=0,0,G43/TotalEventos)</f>
        <v>0.19732785413667206</v>
      </c>
      <c r="H42" s="228"/>
      <c r="I42" s="228"/>
      <c r="J42" s="229"/>
      <c r="K42" s="227">
        <f ca="1">IF(TotalEventos=0,0,K43/TotalEventos)</f>
        <v>0.41104596029852508</v>
      </c>
      <c r="L42" s="228"/>
      <c r="M42" s="228"/>
      <c r="N42" s="229"/>
      <c r="O42" s="227">
        <f ca="1">IF(TotalEventos=0,0,O43/TotalEventos)</f>
        <v>0.60254955971730861</v>
      </c>
      <c r="P42" s="228"/>
      <c r="Q42" s="228"/>
      <c r="R42" s="229"/>
      <c r="S42" s="227">
        <f ca="1">IF(TotalEventos=0,0,S43/TotalEventos)</f>
        <v>0.71532498026642888</v>
      </c>
      <c r="T42" s="228"/>
      <c r="U42" s="228"/>
      <c r="V42" s="229"/>
      <c r="W42" s="227">
        <f ca="1">IF(TotalEventos=0,0,W43/TotalEventos)</f>
        <v>0.84925476684267942</v>
      </c>
      <c r="X42" s="228"/>
      <c r="Y42" s="228"/>
      <c r="Z42" s="229"/>
      <c r="AA42" s="227">
        <f ca="1">IF(TotalEventos=0,0,AA43/TotalEventos)</f>
        <v>1.0000000000000002</v>
      </c>
      <c r="AB42" s="228"/>
      <c r="AC42" s="228"/>
      <c r="AD42" s="229"/>
      <c r="AE42" s="227">
        <f ca="1">IF(TotalEventos=0,0,AE43/TotalEventos)</f>
        <v>1.0000000000000002</v>
      </c>
      <c r="AF42" s="228"/>
      <c r="AG42" s="228"/>
      <c r="AH42" s="229"/>
      <c r="AI42" s="227">
        <f ca="1">IF(TotalEventos=0,0,AI43/TotalEventos)</f>
        <v>1.0000000000000002</v>
      </c>
      <c r="AJ42" s="228"/>
      <c r="AK42" s="228"/>
      <c r="AL42" s="229"/>
      <c r="AM42" s="227">
        <f ca="1">IF(TotalEventos=0,0,AM43/TotalEventos)</f>
        <v>1.0000000000000002</v>
      </c>
      <c r="AN42" s="228"/>
      <c r="AO42" s="228"/>
      <c r="AP42" s="229"/>
      <c r="AQ42" s="227">
        <f ca="1">IF(TotalEventos=0,0,AQ43/TotalEventos)</f>
        <v>1.0000000000000002</v>
      </c>
      <c r="AR42" s="228"/>
      <c r="AS42" s="228"/>
      <c r="AT42" s="229"/>
      <c r="AU42" s="227">
        <f ca="1">IF(TotalEventos=0,0,AU43/TotalEventos)</f>
        <v>1.0000000000000002</v>
      </c>
      <c r="AV42" s="228"/>
      <c r="AW42" s="228"/>
      <c r="AX42" s="229"/>
      <c r="AY42" s="227">
        <f ca="1">IF(TotalEventos=0,0,AY43/TotalEventos)</f>
        <v>1.0000000000000002</v>
      </c>
      <c r="AZ42" s="228"/>
      <c r="BA42" s="228"/>
      <c r="BB42" s="229"/>
    </row>
    <row r="43" spans="2:54" ht="15" x14ac:dyDescent="0.25">
      <c r="B43" s="234"/>
      <c r="C43" s="235"/>
      <c r="D43"/>
      <c r="E43" s="230" t="s">
        <v>11</v>
      </c>
      <c r="F43" s="231"/>
      <c r="G43" s="224">
        <f ca="1">SUMIF(OFFSET($E$34:$BB$34,1,0,numEventos-1),"&lt;="&amp;G39,OFFSET(ValoresPorEvento,1,0,numEventos-1))*(1+INDEX(TotalPorEvento,1,0)/(TotalEventos-INDEX(TotalPorEvento,1,0)))</f>
        <v>157462.14385999783</v>
      </c>
      <c r="H43" s="225"/>
      <c r="I43" s="225"/>
      <c r="J43" s="226"/>
      <c r="K43" s="224">
        <f ca="1">K41+G43</f>
        <v>328003.25335098628</v>
      </c>
      <c r="L43" s="225"/>
      <c r="M43" s="225"/>
      <c r="N43" s="226"/>
      <c r="O43" s="224">
        <f ca="1">O41+K43</f>
        <v>480817.80380214774</v>
      </c>
      <c r="P43" s="225"/>
      <c r="Q43" s="225"/>
      <c r="R43" s="226"/>
      <c r="S43" s="224">
        <f ca="1">S41+O43</f>
        <v>570809.45537140861</v>
      </c>
      <c r="T43" s="225"/>
      <c r="U43" s="225"/>
      <c r="V43" s="226"/>
      <c r="W43" s="224">
        <f ca="1">W41+S43</f>
        <v>677681.70315048762</v>
      </c>
      <c r="X43" s="225"/>
      <c r="Y43" s="225"/>
      <c r="Z43" s="226"/>
      <c r="AA43" s="224">
        <f ca="1">AA41+W43</f>
        <v>797972.21000000008</v>
      </c>
      <c r="AB43" s="225"/>
      <c r="AC43" s="225"/>
      <c r="AD43" s="226"/>
      <c r="AE43" s="224">
        <f ca="1">AE41+AA43</f>
        <v>797972.21000000008</v>
      </c>
      <c r="AF43" s="225"/>
      <c r="AG43" s="225"/>
      <c r="AH43" s="226"/>
      <c r="AI43" s="224">
        <f ca="1">AI41+AE43</f>
        <v>797972.21000000008</v>
      </c>
      <c r="AJ43" s="225"/>
      <c r="AK43" s="225"/>
      <c r="AL43" s="226"/>
      <c r="AM43" s="224">
        <f ca="1">AM41+AI43</f>
        <v>797972.21000000008</v>
      </c>
      <c r="AN43" s="225"/>
      <c r="AO43" s="225"/>
      <c r="AP43" s="226"/>
      <c r="AQ43" s="224">
        <f ca="1">AQ41+AM43</f>
        <v>797972.21000000008</v>
      </c>
      <c r="AR43" s="225"/>
      <c r="AS43" s="225"/>
      <c r="AT43" s="226"/>
      <c r="AU43" s="224">
        <f ca="1">AU41+AQ43</f>
        <v>797972.21000000008</v>
      </c>
      <c r="AV43" s="225"/>
      <c r="AW43" s="225"/>
      <c r="AX43" s="226"/>
      <c r="AY43" s="224">
        <f ca="1">AY41+AU43</f>
        <v>797972.21000000008</v>
      </c>
      <c r="AZ43" s="225"/>
      <c r="BA43" s="225"/>
      <c r="BB43" s="226"/>
    </row>
    <row r="44" spans="2:54" ht="7.5" customHeight="1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</row>
    <row r="45" spans="2:54" ht="7.5" customHeight="1" x14ac:dyDescent="0.25">
      <c r="B45"/>
      <c r="C45"/>
      <c r="D45"/>
      <c r="E45" s="21"/>
      <c r="F45" s="21"/>
      <c r="G45" s="21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</row>
    <row r="47" spans="2:54" ht="31.5" customHeight="1" x14ac:dyDescent="0.2">
      <c r="B47" s="222" t="str">
        <f ca="1">Import.Município&amp;", "&amp;TEXT(hoje,"dd")&amp;" de "&amp;TEXT(hoje,"mmmm")&amp;" de "&amp;TEXT(hoje,"aaaa")</f>
        <v>COREMAS/PB, 31 de julho de 2023</v>
      </c>
      <c r="C47" s="222"/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57"/>
      <c r="O47" s="57"/>
      <c r="AM47" s="58"/>
      <c r="AN47" s="58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</row>
    <row r="48" spans="2:54" x14ac:dyDescent="0.2">
      <c r="B48" s="218" t="s">
        <v>43</v>
      </c>
      <c r="C48" s="218"/>
      <c r="D48" s="218"/>
      <c r="E48" s="21"/>
      <c r="R48" s="59"/>
      <c r="S48" s="218"/>
      <c r="T48" s="218"/>
      <c r="U48" s="218"/>
      <c r="V48" s="218"/>
      <c r="AQ48" s="59" t="s">
        <v>41</v>
      </c>
      <c r="AR48" s="218">
        <f>respPLE</f>
        <v>0</v>
      </c>
      <c r="AS48" s="218"/>
      <c r="AT48" s="218"/>
      <c r="AU48" s="218"/>
    </row>
    <row r="49" spans="7:47" x14ac:dyDescent="0.2">
      <c r="R49" s="59"/>
      <c r="S49" s="218"/>
      <c r="T49" s="218"/>
      <c r="U49" s="218"/>
      <c r="V49" s="218"/>
      <c r="AQ49" s="59" t="s">
        <v>42</v>
      </c>
      <c r="AR49" s="218">
        <f>creaPLE</f>
        <v>0</v>
      </c>
      <c r="AS49" s="218"/>
      <c r="AT49" s="218"/>
      <c r="AU49" s="218"/>
    </row>
    <row r="52" spans="7:47" x14ac:dyDescent="0.2">
      <c r="G52" s="21"/>
      <c r="H52" s="21"/>
      <c r="I52" s="21"/>
      <c r="J52" s="21"/>
    </row>
    <row r="53" spans="7:47" x14ac:dyDescent="0.2">
      <c r="G53" s="21"/>
      <c r="H53" s="21"/>
      <c r="I53" s="21"/>
      <c r="J53" s="21"/>
    </row>
    <row r="54" spans="7:47" x14ac:dyDescent="0.2">
      <c r="G54" s="21"/>
      <c r="H54" s="21"/>
      <c r="I54" s="21"/>
      <c r="J54" s="21"/>
    </row>
    <row r="55" spans="7:47" x14ac:dyDescent="0.2">
      <c r="G55" s="21"/>
      <c r="H55" s="21"/>
      <c r="I55" s="21"/>
      <c r="J55" s="21"/>
    </row>
    <row r="56" spans="7:47" x14ac:dyDescent="0.2">
      <c r="G56" s="21"/>
      <c r="H56" s="21"/>
      <c r="I56" s="21"/>
      <c r="J56" s="21"/>
    </row>
  </sheetData>
  <sheetProtection algorithmName="SHA-512" hashValue="ozbndObSUrfr7Zv3nzzfmHtlLBb7aqCUgoOlF/0lXTqCl2hyI9pOk3aZfyJhc01Z7faR3Qws7l5py3fJZ9uedQ==" saltValue="JH+BZoPpg0bwE8pqyZs/JQ==" spinCount="100000" sheet="1" objects="1" scenarios="1"/>
  <mergeCells count="78">
    <mergeCell ref="AE43:AH43"/>
    <mergeCell ref="AQ43:AT43"/>
    <mergeCell ref="AM43:AP43"/>
    <mergeCell ref="AI43:AL43"/>
    <mergeCell ref="AU41:AX41"/>
    <mergeCell ref="AQ41:AT41"/>
    <mergeCell ref="AM41:AP41"/>
    <mergeCell ref="AI42:AL42"/>
    <mergeCell ref="AY43:BB43"/>
    <mergeCell ref="AY42:BB42"/>
    <mergeCell ref="AY41:BB41"/>
    <mergeCell ref="AU43:AX43"/>
    <mergeCell ref="AQ42:AT42"/>
    <mergeCell ref="AE40:AH40"/>
    <mergeCell ref="AU39:AX39"/>
    <mergeCell ref="AE39:AH39"/>
    <mergeCell ref="AE41:AH41"/>
    <mergeCell ref="AI41:AL41"/>
    <mergeCell ref="AY40:BB40"/>
    <mergeCell ref="AU40:AX40"/>
    <mergeCell ref="AQ40:AT40"/>
    <mergeCell ref="AM39:AP39"/>
    <mergeCell ref="AI39:AL39"/>
    <mergeCell ref="AI40:AL40"/>
    <mergeCell ref="AM40:AP40"/>
    <mergeCell ref="AA40:AD40"/>
    <mergeCell ref="S40:V40"/>
    <mergeCell ref="K40:N40"/>
    <mergeCell ref="O40:R40"/>
    <mergeCell ref="W40:Z40"/>
    <mergeCell ref="AY20:BB20"/>
    <mergeCell ref="E32:BB32"/>
    <mergeCell ref="D20:V20"/>
    <mergeCell ref="G39:J39"/>
    <mergeCell ref="K39:N39"/>
    <mergeCell ref="O39:R39"/>
    <mergeCell ref="S39:V39"/>
    <mergeCell ref="W39:Z39"/>
    <mergeCell ref="AA39:AD39"/>
    <mergeCell ref="AQ39:AT39"/>
    <mergeCell ref="AY39:BB39"/>
    <mergeCell ref="B31:B32"/>
    <mergeCell ref="C31:C32"/>
    <mergeCell ref="G40:J40"/>
    <mergeCell ref="B39:C39"/>
    <mergeCell ref="E40:F40"/>
    <mergeCell ref="B40:C41"/>
    <mergeCell ref="G41:J41"/>
    <mergeCell ref="E41:F41"/>
    <mergeCell ref="K41:N41"/>
    <mergeCell ref="B48:D48"/>
    <mergeCell ref="G43:J43"/>
    <mergeCell ref="B47:M47"/>
    <mergeCell ref="E42:F42"/>
    <mergeCell ref="W42:Z42"/>
    <mergeCell ref="S48:V48"/>
    <mergeCell ref="E43:F43"/>
    <mergeCell ref="B42:C43"/>
    <mergeCell ref="G42:J42"/>
    <mergeCell ref="S42:V42"/>
    <mergeCell ref="K42:N42"/>
    <mergeCell ref="K43:N43"/>
    <mergeCell ref="S49:V49"/>
    <mergeCell ref="AR48:AU48"/>
    <mergeCell ref="O43:R43"/>
    <mergeCell ref="AA42:AD42"/>
    <mergeCell ref="S41:V41"/>
    <mergeCell ref="O42:R42"/>
    <mergeCell ref="W41:Z41"/>
    <mergeCell ref="AR49:AU49"/>
    <mergeCell ref="S43:V43"/>
    <mergeCell ref="W43:Z43"/>
    <mergeCell ref="AA43:AD43"/>
    <mergeCell ref="AM42:AP42"/>
    <mergeCell ref="AE42:AH42"/>
    <mergeCell ref="AA41:AD41"/>
    <mergeCell ref="O41:R41"/>
    <mergeCell ref="AU42:AX42"/>
  </mergeCells>
  <phoneticPr fontId="0" type="noConversion"/>
  <conditionalFormatting sqref="E1:BB1 E35:BB37">
    <cfRule type="expression" dxfId="21" priority="163" stopIfTrue="1">
      <formula>INDEX(ValoresPorEvento,$B1,E$31)=0</formula>
    </cfRule>
  </conditionalFormatting>
  <conditionalFormatting sqref="G39:BB39">
    <cfRule type="expression" dxfId="20" priority="151" stopIfTrue="1">
      <formula>AND(G40=0,G42=1)</formula>
    </cfRule>
  </conditionalFormatting>
  <conditionalFormatting sqref="G40:BB40">
    <cfRule type="expression" dxfId="19" priority="150" stopIfTrue="1">
      <formula>AND(G40=0,G42=1)</formula>
    </cfRule>
  </conditionalFormatting>
  <conditionalFormatting sqref="G41:BB41">
    <cfRule type="expression" dxfId="18" priority="149" stopIfTrue="1">
      <formula>AND(G40=0,G42=1)</formula>
    </cfRule>
  </conditionalFormatting>
  <conditionalFormatting sqref="G42:BB42">
    <cfRule type="expression" dxfId="17" priority="148" stopIfTrue="1">
      <formula>AND(G40=0,G42=1)</formula>
    </cfRule>
  </conditionalFormatting>
  <conditionalFormatting sqref="G43:BB43">
    <cfRule type="expression" dxfId="16" priority="147" stopIfTrue="1">
      <formula>AND(G40=0,G42=1)</formula>
    </cfRule>
  </conditionalFormatting>
  <dataValidations count="1">
    <dataValidation type="whole" allowBlank="1" showInputMessage="1" showErrorMessage="1" error="É permitido digitar em eventos que não sejam nulos, com número de período compatível com o número de meses exibido no cronograma. (Botão Adicionar Ano)" sqref="E1:BB1 F34:BB34 E35:BB37" xr:uid="{00000000-0002-0000-0300-000000000000}">
      <formula1>1</formula1>
      <formula2>IF(INDEX(ValoresPorEvento,$B1,E$31)=0,0,$BC$20)</formula2>
    </dataValidation>
  </dataValidations>
  <pageMargins left="0.78740157480314965" right="0.78740157480314965" top="0.78740157480314965" bottom="0.78740157480314965" header="0.31496062992125984" footer="0.31496062992125984"/>
  <pageSetup paperSize="9" scale="65" fitToWidth="0" fitToHeight="0" pageOrder="overThenDown" orientation="landscape" horizontalDpi="4294967295" verticalDpi="4294967295" r:id="rId1"/>
  <headerFooter>
    <oddFooter>&amp;R&amp;P&amp;L27.477 v006   micro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8"/>
  <dimension ref="B1:BC1194"/>
  <sheetViews>
    <sheetView showGridLines="0" topLeftCell="A20" zoomScaleNormal="100" zoomScaleSheetLayoutView="100" workbookViewId="0">
      <pane xSplit="3" ySplit="13" topLeftCell="D33" activePane="bottomRight" state="frozen"/>
      <selection activeCell="A20" sqref="A20"/>
      <selection pane="topRight" activeCell="D20" sqref="D20"/>
      <selection pane="bottomLeft" activeCell="A33" sqref="A33"/>
      <selection pane="bottomRight" activeCell="B30" sqref="B30"/>
    </sheetView>
  </sheetViews>
  <sheetFormatPr defaultColWidth="3.42578125" defaultRowHeight="11.25" zeroHeight="1" x14ac:dyDescent="0.2"/>
  <cols>
    <col min="1" max="1" width="2.28515625" style="21" customWidth="1"/>
    <col min="2" max="2" width="5.5703125" style="19" customWidth="1"/>
    <col min="3" max="3" width="20" style="20" customWidth="1"/>
    <col min="4" max="4" width="0.85546875" style="20" customWidth="1"/>
    <col min="5" max="56" width="3.42578125" style="21" customWidth="1"/>
    <col min="57" max="16384" width="3.42578125" style="21"/>
  </cols>
  <sheetData>
    <row r="1" spans="2:54" ht="13.5" hidden="1" x14ac:dyDescent="0.25">
      <c r="B1" s="129" t="e">
        <f ca="1">OFFSET(B1,-1,0)+1</f>
        <v>#REF!</v>
      </c>
      <c r="C1" s="165" t="e">
        <f ca="1">IF(B1&lt;=numEventos,INDEX(Eventos,B1,2),"")</f>
        <v>#REF!</v>
      </c>
      <c r="D1" s="39" t="s">
        <v>145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</row>
    <row r="19" spans="2:55" customFormat="1" ht="15" hidden="1" x14ac:dyDescent="0.25"/>
    <row r="20" spans="2:55" s="24" customFormat="1" ht="30.75" customHeight="1" x14ac:dyDescent="0.25">
      <c r="C20" s="134"/>
      <c r="D20" s="252" t="s">
        <v>112</v>
      </c>
      <c r="E20" s="252"/>
      <c r="F20" s="252"/>
      <c r="G20" s="252"/>
      <c r="H20" s="252"/>
      <c r="I20" s="252"/>
      <c r="J20" s="252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Z20"/>
      <c r="AA20"/>
      <c r="AB20"/>
      <c r="AC20"/>
      <c r="AD20" s="262"/>
      <c r="AE20" s="262"/>
      <c r="AF20" s="262"/>
      <c r="AG20" s="262"/>
      <c r="AH20" s="262"/>
      <c r="AI20" s="262"/>
      <c r="AJ20" s="262"/>
      <c r="AK20" s="262"/>
      <c r="AL20" s="262"/>
      <c r="AM20" s="262"/>
      <c r="AY20" s="246" t="s">
        <v>106</v>
      </c>
      <c r="AZ20" s="247"/>
      <c r="BA20" s="247"/>
      <c r="BB20" s="248"/>
      <c r="BC20" s="24">
        <f ca="1">COUNTA(OFFSET(Medições,0,0,,2))/3*12</f>
        <v>12</v>
      </c>
    </row>
    <row r="21" spans="2:55" ht="6.75" customHeight="1" x14ac:dyDescent="0.2"/>
    <row r="22" spans="2:55" x14ac:dyDescent="0.2"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</row>
    <row r="23" spans="2:55" x14ac:dyDescent="0.2"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</row>
    <row r="24" spans="2:55" x14ac:dyDescent="0.2">
      <c r="E24" s="27"/>
      <c r="F24" s="27"/>
      <c r="X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</row>
    <row r="25" spans="2:55" x14ac:dyDescent="0.2">
      <c r="E25" s="27"/>
      <c r="F25" s="27"/>
      <c r="X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</row>
    <row r="26" spans="2:55" ht="45.75" customHeight="1" x14ac:dyDescent="0.2"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2"/>
      <c r="Z26" s="22"/>
      <c r="AA26" s="22"/>
      <c r="AB26" s="22"/>
      <c r="AC26" s="23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</row>
    <row r="27" spans="2:55" ht="11.25" customHeight="1" x14ac:dyDescent="0.25">
      <c r="E27" s="27"/>
      <c r="F27" s="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 s="27"/>
      <c r="AR27" s="28"/>
      <c r="AS27" s="28"/>
      <c r="AT27" s="28"/>
      <c r="AU27" s="28"/>
      <c r="AV27" s="28"/>
      <c r="AW27" s="27"/>
      <c r="AX27" s="22"/>
      <c r="AY27"/>
      <c r="AZ27"/>
      <c r="BA27"/>
      <c r="BB27"/>
    </row>
    <row r="28" spans="2:55" ht="15.75" x14ac:dyDescent="0.25">
      <c r="E28" s="27"/>
      <c r="F28" s="27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 s="132" t="s">
        <v>110</v>
      </c>
      <c r="AA28" s="275">
        <f ca="1">OFFSET(G44,TRUNC((mediçao-G41)/12,0)*8,(mediçao-OFFSET(G41,TRUNC((mediçao-G41)/12,0)*8,0))*4)</f>
        <v>0</v>
      </c>
      <c r="AB28" s="276"/>
      <c r="AC28" s="276"/>
      <c r="AD28" s="277"/>
      <c r="AE28"/>
      <c r="AF28"/>
      <c r="AG28"/>
      <c r="AH28" s="133" t="s">
        <v>111</v>
      </c>
      <c r="AI28" s="269" t="str">
        <f ca="1">IF(OFFSET(G40,TRUNC((mediçao-G41)/12,0)*8,(mediçao-OFFSET(G40,1+TRUNC((mediçao-G41)/12,0)*8,0))*4)="","DIGITE A DATA DA MEDIÇÃO",TEXT(IF(mediçao=G41,dataInicioObra,1+OFFSET(G40,TRUNC((mediçao-G41)/12,0)*8,(mediçao-1-OFFSET(G40,1+TRUNC((mediçao-G41)/12,0)*8,0))*4)),"dd/mm/aaaa")&amp;" a "&amp;TEXT(OFFSET(G40,TRUNC((mediçao-G41)/12,0)*8,(mediçao-OFFSET(G40,1+TRUNC((mediçao-G41)/12,0)*8,0))*4),"dd/mm/aaaa"))</f>
        <v>DIGITE A DATA DA MEDIÇÃO</v>
      </c>
      <c r="AJ28" s="270"/>
      <c r="AK28" s="270"/>
      <c r="AL28" s="270"/>
      <c r="AM28" s="270"/>
      <c r="AN28" s="270"/>
      <c r="AO28" s="270"/>
      <c r="AP28" s="270"/>
      <c r="AQ28" s="270"/>
      <c r="AR28" s="270"/>
      <c r="AS28" s="271"/>
      <c r="AT28"/>
      <c r="AW28" s="132" t="s">
        <v>88</v>
      </c>
      <c r="AX28" s="266">
        <v>1</v>
      </c>
      <c r="AY28" s="267"/>
      <c r="AZ28" s="267"/>
      <c r="BA28" s="267"/>
      <c r="BB28" s="268"/>
    </row>
    <row r="29" spans="2:55" x14ac:dyDescent="0.2"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9">
        <f>mediçao</f>
        <v>1</v>
      </c>
      <c r="BB29" s="29" t="str">
        <f>CONCATENATE(mediçao,".")</f>
        <v>1.</v>
      </c>
    </row>
    <row r="30" spans="2:55" ht="99.95" customHeight="1" x14ac:dyDescent="0.2">
      <c r="B30" s="30"/>
      <c r="E30" s="166" t="str">
        <f>IF(Eventograma_e_Quantitativos!N15&lt;&gt;"",Eventograma_e_Quantitativos!N15,"")</f>
        <v>Rua Oficial de Justiça Vicente Gregório Antão</v>
      </c>
      <c r="F30" s="166" t="str">
        <f>IF(Eventograma_e_Quantitativos!O15&lt;&gt;"",Eventograma_e_Quantitativos!O15,"")</f>
        <v>Rua Francisca Garrido de Sousa</v>
      </c>
      <c r="G30" s="166" t="str">
        <f>IF(Eventograma_e_Quantitativos!P15&lt;&gt;"",Eventograma_e_Quantitativos!P15,"")</f>
        <v>Rua Francisco Batista Silva</v>
      </c>
      <c r="H30" s="166" t="str">
        <f>IF(Eventograma_e_Quantitativos!Q15&lt;&gt;"",Eventograma_e_Quantitativos!Q15,"")</f>
        <v>Rua Bartolomeu Buriti</v>
      </c>
      <c r="I30" s="166" t="str">
        <f>IF(Eventograma_e_Quantitativos!R15&lt;&gt;"",Eventograma_e_Quantitativos!R15,"")</f>
        <v>Rua Maria Farias de Assis</v>
      </c>
      <c r="J30" s="166" t="str">
        <f>IF(Eventograma_e_Quantitativos!S15&lt;&gt;"",Eventograma_e_Quantitativos!S15,"")</f>
        <v>Rua Roberto Wilson Moura</v>
      </c>
      <c r="K30" s="166" t="str">
        <f>IF(Eventograma_e_Quantitativos!T15&lt;&gt;"",Eventograma_e_Quantitativos!T15,"")</f>
        <v>Rua Cícero Eufrásio da Silva</v>
      </c>
      <c r="L30" s="166" t="str">
        <f>IF(Eventograma_e_Quantitativos!U15&lt;&gt;"",Eventograma_e_Quantitativos!U15,"")</f>
        <v>Rua Firmino da Silva Lacerda</v>
      </c>
      <c r="M30" s="166" t="str">
        <f>IF(Eventograma_e_Quantitativos!V15&lt;&gt;"",Eventograma_e_Quantitativos!V15,"")</f>
        <v/>
      </c>
      <c r="N30" s="166" t="str">
        <f>IF(Eventograma_e_Quantitativos!W15&lt;&gt;"",Eventograma_e_Quantitativos!W15,"")</f>
        <v/>
      </c>
      <c r="O30" s="166" t="str">
        <f>IF(Eventograma_e_Quantitativos!X15&lt;&gt;"",Eventograma_e_Quantitativos!X15,"")</f>
        <v/>
      </c>
      <c r="P30" s="166" t="str">
        <f>IF(Eventograma_e_Quantitativos!Y15&lt;&gt;"",Eventograma_e_Quantitativos!Y15,"")</f>
        <v/>
      </c>
      <c r="Q30" s="166" t="str">
        <f>IF(Eventograma_e_Quantitativos!Z15&lt;&gt;"",Eventograma_e_Quantitativos!Z15,"")</f>
        <v/>
      </c>
      <c r="R30" s="166" t="str">
        <f>IF(Eventograma_e_Quantitativos!AA15&lt;&gt;"",Eventograma_e_Quantitativos!AA15,"")</f>
        <v/>
      </c>
      <c r="S30" s="166" t="str">
        <f>IF(Eventograma_e_Quantitativos!AB15&lt;&gt;"",Eventograma_e_Quantitativos!AB15,"")</f>
        <v/>
      </c>
      <c r="T30" s="166" t="str">
        <f>IF(Eventograma_e_Quantitativos!AC15&lt;&gt;"",Eventograma_e_Quantitativos!AC15,"")</f>
        <v/>
      </c>
      <c r="U30" s="166" t="str">
        <f>IF(Eventograma_e_Quantitativos!AD15&lt;&gt;"",Eventograma_e_Quantitativos!AD15,"")</f>
        <v/>
      </c>
      <c r="V30" s="166" t="str">
        <f>IF(Eventograma_e_Quantitativos!AE15&lt;&gt;"",Eventograma_e_Quantitativos!AE15,"")</f>
        <v/>
      </c>
      <c r="W30" s="166" t="str">
        <f>IF(Eventograma_e_Quantitativos!AF15&lt;&gt;"",Eventograma_e_Quantitativos!AF15,"")</f>
        <v/>
      </c>
      <c r="X30" s="166" t="str">
        <f>IF(Eventograma_e_Quantitativos!AG15&lt;&gt;"",Eventograma_e_Quantitativos!AG15,"")</f>
        <v/>
      </c>
      <c r="Y30" s="166" t="str">
        <f>IF(Eventograma_e_Quantitativos!AH15&lt;&gt;"",Eventograma_e_Quantitativos!AH15,"")</f>
        <v/>
      </c>
      <c r="Z30" s="166" t="str">
        <f>IF(Eventograma_e_Quantitativos!AI15&lt;&gt;"",Eventograma_e_Quantitativos!AI15,"")</f>
        <v/>
      </c>
      <c r="AA30" s="166" t="str">
        <f>IF(Eventograma_e_Quantitativos!AJ15&lt;&gt;"",Eventograma_e_Quantitativos!AJ15,"")</f>
        <v/>
      </c>
      <c r="AB30" s="166" t="str">
        <f>IF(Eventograma_e_Quantitativos!AK15&lt;&gt;"",Eventograma_e_Quantitativos!AK15,"")</f>
        <v/>
      </c>
      <c r="AC30" s="166" t="str">
        <f>IF(Eventograma_e_Quantitativos!AL15&lt;&gt;"",Eventograma_e_Quantitativos!AL15,"")</f>
        <v/>
      </c>
      <c r="AD30" s="166" t="str">
        <f>IF(Eventograma_e_Quantitativos!AM15&lt;&gt;"",Eventograma_e_Quantitativos!AM15,"")</f>
        <v/>
      </c>
      <c r="AE30" s="166" t="str">
        <f>IF(Eventograma_e_Quantitativos!AN15&lt;&gt;"",Eventograma_e_Quantitativos!AN15,"")</f>
        <v/>
      </c>
      <c r="AF30" s="166" t="str">
        <f>IF(Eventograma_e_Quantitativos!AO15&lt;&gt;"",Eventograma_e_Quantitativos!AO15,"")</f>
        <v/>
      </c>
      <c r="AG30" s="166" t="str">
        <f>IF(Eventograma_e_Quantitativos!AP15&lt;&gt;"",Eventograma_e_Quantitativos!AP15,"")</f>
        <v/>
      </c>
      <c r="AH30" s="166" t="str">
        <f>IF(Eventograma_e_Quantitativos!AQ15&lt;&gt;"",Eventograma_e_Quantitativos!AQ15,"")</f>
        <v/>
      </c>
      <c r="AI30" s="166" t="str">
        <f>IF(Eventograma_e_Quantitativos!AR15&lt;&gt;"",Eventograma_e_Quantitativos!AR15,"")</f>
        <v/>
      </c>
      <c r="AJ30" s="166" t="str">
        <f>IF(Eventograma_e_Quantitativos!AS15&lt;&gt;"",Eventograma_e_Quantitativos!AS15,"")</f>
        <v/>
      </c>
      <c r="AK30" s="166" t="str">
        <f>IF(Eventograma_e_Quantitativos!AT15&lt;&gt;"",Eventograma_e_Quantitativos!AT15,"")</f>
        <v/>
      </c>
      <c r="AL30" s="166" t="str">
        <f>IF(Eventograma_e_Quantitativos!AU15&lt;&gt;"",Eventograma_e_Quantitativos!AU15,"")</f>
        <v/>
      </c>
      <c r="AM30" s="166" t="str">
        <f>IF(Eventograma_e_Quantitativos!AV15&lt;&gt;"",Eventograma_e_Quantitativos!AV15,"")</f>
        <v/>
      </c>
      <c r="AN30" s="166" t="str">
        <f>IF(Eventograma_e_Quantitativos!AW15&lt;&gt;"",Eventograma_e_Quantitativos!AW15,"")</f>
        <v/>
      </c>
      <c r="AO30" s="166" t="str">
        <f>IF(Eventograma_e_Quantitativos!AX15&lt;&gt;"",Eventograma_e_Quantitativos!AX15,"")</f>
        <v/>
      </c>
      <c r="AP30" s="166" t="str">
        <f>IF(Eventograma_e_Quantitativos!AY15&lt;&gt;"",Eventograma_e_Quantitativos!AY15,"")</f>
        <v/>
      </c>
      <c r="AQ30" s="166" t="str">
        <f>IF(Eventograma_e_Quantitativos!AZ15&lt;&gt;"",Eventograma_e_Quantitativos!AZ15,"")</f>
        <v/>
      </c>
      <c r="AR30" s="166" t="str">
        <f>IF(Eventograma_e_Quantitativos!BA15&lt;&gt;"",Eventograma_e_Quantitativos!BA15,"")</f>
        <v/>
      </c>
      <c r="AS30" s="166" t="str">
        <f>IF(Eventograma_e_Quantitativos!BB15&lt;&gt;"",Eventograma_e_Quantitativos!BB15,"")</f>
        <v/>
      </c>
      <c r="AT30" s="166" t="str">
        <f>IF(Eventograma_e_Quantitativos!BC15&lt;&gt;"",Eventograma_e_Quantitativos!BC15,"")</f>
        <v/>
      </c>
      <c r="AU30" s="166" t="str">
        <f>IF(Eventograma_e_Quantitativos!BD15&lt;&gt;"",Eventograma_e_Quantitativos!BD15,"")</f>
        <v/>
      </c>
      <c r="AV30" s="166" t="str">
        <f>IF(Eventograma_e_Quantitativos!BE15&lt;&gt;"",Eventograma_e_Quantitativos!BE15,"")</f>
        <v/>
      </c>
      <c r="AW30" s="166" t="str">
        <f>IF(Eventograma_e_Quantitativos!BF15&lt;&gt;"",Eventograma_e_Quantitativos!BF15,"")</f>
        <v/>
      </c>
      <c r="AX30" s="166" t="str">
        <f>IF(Eventograma_e_Quantitativos!BG15&lt;&gt;"",Eventograma_e_Quantitativos!BG15,"")</f>
        <v/>
      </c>
      <c r="AY30" s="166" t="str">
        <f>IF(Eventograma_e_Quantitativos!BH15&lt;&gt;"",Eventograma_e_Quantitativos!BH15,"")</f>
        <v/>
      </c>
      <c r="AZ30" s="166" t="str">
        <f>IF(Eventograma_e_Quantitativos!BI15&lt;&gt;"",Eventograma_e_Quantitativos!BI15,"")</f>
        <v/>
      </c>
      <c r="BA30" s="166" t="str">
        <f>IF(Eventograma_e_Quantitativos!BJ15&lt;&gt;"",Eventograma_e_Quantitativos!BJ15,"")</f>
        <v/>
      </c>
      <c r="BB30" s="166" t="str">
        <f>IF(Eventograma_e_Quantitativos!BK15&lt;&gt;"",Eventograma_e_Quantitativos!BK15,"")</f>
        <v/>
      </c>
    </row>
    <row r="31" spans="2:55" s="31" customFormat="1" ht="11.25" customHeight="1" x14ac:dyDescent="0.25">
      <c r="B31" s="238" t="s">
        <v>95</v>
      </c>
      <c r="C31" s="240" t="s">
        <v>96</v>
      </c>
      <c r="D31" s="32"/>
      <c r="E31" s="131">
        <v>1</v>
      </c>
      <c r="F31" s="131">
        <v>2</v>
      </c>
      <c r="G31" s="131">
        <v>3</v>
      </c>
      <c r="H31" s="131">
        <v>4</v>
      </c>
      <c r="I31" s="131">
        <v>5</v>
      </c>
      <c r="J31" s="131">
        <v>6</v>
      </c>
      <c r="K31" s="131">
        <v>7</v>
      </c>
      <c r="L31" s="131">
        <v>8</v>
      </c>
      <c r="M31" s="131">
        <v>9</v>
      </c>
      <c r="N31" s="131">
        <v>10</v>
      </c>
      <c r="O31" s="131">
        <v>11</v>
      </c>
      <c r="P31" s="131">
        <v>12</v>
      </c>
      <c r="Q31" s="131">
        <v>13</v>
      </c>
      <c r="R31" s="131">
        <v>14</v>
      </c>
      <c r="S31" s="131">
        <v>15</v>
      </c>
      <c r="T31" s="131">
        <v>16</v>
      </c>
      <c r="U31" s="131">
        <v>17</v>
      </c>
      <c r="V31" s="131">
        <v>18</v>
      </c>
      <c r="W31" s="131">
        <v>19</v>
      </c>
      <c r="X31" s="131">
        <v>20</v>
      </c>
      <c r="Y31" s="131">
        <v>21</v>
      </c>
      <c r="Z31" s="131">
        <v>22</v>
      </c>
      <c r="AA31" s="131">
        <v>23</v>
      </c>
      <c r="AB31" s="131">
        <v>24</v>
      </c>
      <c r="AC31" s="131">
        <v>25</v>
      </c>
      <c r="AD31" s="131">
        <v>26</v>
      </c>
      <c r="AE31" s="131">
        <v>27</v>
      </c>
      <c r="AF31" s="131">
        <v>28</v>
      </c>
      <c r="AG31" s="131">
        <v>29</v>
      </c>
      <c r="AH31" s="131">
        <v>30</v>
      </c>
      <c r="AI31" s="131">
        <v>31</v>
      </c>
      <c r="AJ31" s="131">
        <v>32</v>
      </c>
      <c r="AK31" s="131">
        <v>33</v>
      </c>
      <c r="AL31" s="131">
        <v>34</v>
      </c>
      <c r="AM31" s="131">
        <v>35</v>
      </c>
      <c r="AN31" s="131">
        <v>36</v>
      </c>
      <c r="AO31" s="131">
        <v>37</v>
      </c>
      <c r="AP31" s="131">
        <v>38</v>
      </c>
      <c r="AQ31" s="131">
        <v>39</v>
      </c>
      <c r="AR31" s="131">
        <v>40</v>
      </c>
      <c r="AS31" s="131">
        <v>41</v>
      </c>
      <c r="AT31" s="131">
        <v>42</v>
      </c>
      <c r="AU31" s="131">
        <v>43</v>
      </c>
      <c r="AV31" s="131">
        <v>44</v>
      </c>
      <c r="AW31" s="131">
        <v>45</v>
      </c>
      <c r="AX31" s="131">
        <v>46</v>
      </c>
      <c r="AY31" s="131">
        <v>47</v>
      </c>
      <c r="AZ31" s="131">
        <v>48</v>
      </c>
      <c r="BA31" s="131">
        <v>49</v>
      </c>
      <c r="BB31" s="131">
        <v>50</v>
      </c>
    </row>
    <row r="32" spans="2:55" s="32" customFormat="1" ht="20.25" customHeight="1" x14ac:dyDescent="0.25">
      <c r="B32" s="239"/>
      <c r="C32" s="241"/>
      <c r="D32" s="33"/>
      <c r="E32" s="263" t="s">
        <v>84</v>
      </c>
      <c r="F32" s="264"/>
      <c r="G32" s="264"/>
      <c r="H32" s="264"/>
      <c r="I32" s="264"/>
      <c r="J32" s="264"/>
      <c r="K32" s="264"/>
      <c r="L32" s="264"/>
      <c r="M32" s="264"/>
      <c r="N32" s="264"/>
      <c r="O32" s="264"/>
      <c r="P32" s="264"/>
      <c r="Q32" s="264"/>
      <c r="R32" s="264"/>
      <c r="S32" s="264"/>
      <c r="T32" s="264"/>
      <c r="U32" s="264"/>
      <c r="V32" s="264"/>
      <c r="W32" s="264"/>
      <c r="X32" s="264"/>
      <c r="Y32" s="264"/>
      <c r="Z32" s="264"/>
      <c r="AA32" s="264"/>
      <c r="AB32" s="264"/>
      <c r="AC32" s="264"/>
      <c r="AD32" s="264"/>
      <c r="AE32" s="264"/>
      <c r="AF32" s="264"/>
      <c r="AG32" s="264"/>
      <c r="AH32" s="264"/>
      <c r="AI32" s="264"/>
      <c r="AJ32" s="264"/>
      <c r="AK32" s="264"/>
      <c r="AL32" s="264"/>
      <c r="AM32" s="264"/>
      <c r="AN32" s="264"/>
      <c r="AO32" s="264"/>
      <c r="AP32" s="264"/>
      <c r="AQ32" s="264"/>
      <c r="AR32" s="264"/>
      <c r="AS32" s="264"/>
      <c r="AT32" s="264"/>
      <c r="AU32" s="264"/>
      <c r="AV32" s="264"/>
      <c r="AW32" s="264"/>
      <c r="AX32" s="264"/>
      <c r="AY32" s="264"/>
      <c r="AZ32" s="264"/>
      <c r="BA32" s="264"/>
      <c r="BB32" s="265"/>
    </row>
    <row r="33" spans="2:54" s="27" customFormat="1" ht="4.5" customHeight="1" x14ac:dyDescent="0.2">
      <c r="B33" s="34"/>
      <c r="C33" s="35"/>
      <c r="D33" s="35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spans="2:54" ht="13.5" x14ac:dyDescent="0.25">
      <c r="B34" s="129">
        <f ca="1">OFFSET(B34,-1,0)+1</f>
        <v>1</v>
      </c>
      <c r="C34" s="165" t="str">
        <f ca="1">IF(B34&lt;=numEventos,INDEX(Eventos,B34,2),"")</f>
        <v>Administração Local</v>
      </c>
      <c r="D34" s="39" t="s">
        <v>145</v>
      </c>
      <c r="E34" s="178" t="s">
        <v>151</v>
      </c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179"/>
      <c r="AD34" s="179"/>
      <c r="AE34" s="179"/>
      <c r="AF34" s="179"/>
      <c r="AG34" s="179"/>
      <c r="AH34" s="179"/>
      <c r="AI34" s="179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79"/>
      <c r="AU34" s="179"/>
      <c r="AV34" s="179"/>
      <c r="AW34" s="179"/>
      <c r="AX34" s="179"/>
      <c r="AY34" s="179"/>
      <c r="AZ34" s="179"/>
      <c r="BA34" s="179"/>
      <c r="BB34" s="180"/>
    </row>
    <row r="35" spans="2:54" ht="13.5" x14ac:dyDescent="0.25">
      <c r="B35" s="129">
        <f ca="1">OFFSET(B35,-1,0)+1</f>
        <v>2</v>
      </c>
      <c r="C35" s="165" t="str">
        <f ca="1">IF(B35&lt;=numEventos,INDEX(Eventos,B35,2),"")</f>
        <v>PAVIMENTAÇÃO</v>
      </c>
      <c r="D35" s="39" t="s">
        <v>145</v>
      </c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</row>
    <row r="36" spans="2:54" ht="13.5" x14ac:dyDescent="0.25">
      <c r="B36" s="129">
        <f ca="1">OFFSET(B36,-1,0)+1</f>
        <v>3</v>
      </c>
      <c r="C36" s="165" t="str">
        <f ca="1">IF(B36&lt;=numEventos,INDEX(Eventos,B36,2),"")</f>
        <v>CALÇADAS E RAMPAS</v>
      </c>
      <c r="D36" s="39" t="s">
        <v>145</v>
      </c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</row>
    <row r="37" spans="2:54" ht="13.5" x14ac:dyDescent="0.25">
      <c r="B37" s="129">
        <f ca="1">OFFSET(B37,-1,0)+1</f>
        <v>4</v>
      </c>
      <c r="C37" s="165" t="str">
        <f ca="1">IF(B37&lt;=numEventos,INDEX(Eventos,B37,2),"")</f>
        <v>SINALIZAÇÃO E SERVIÇOS FINAIS</v>
      </c>
      <c r="D37" s="39" t="s">
        <v>145</v>
      </c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30"/>
    </row>
    <row r="38" spans="2:54" x14ac:dyDescent="0.2"/>
    <row r="39" spans="2:54" ht="12" x14ac:dyDescent="0.2">
      <c r="G39" s="259" t="s">
        <v>109</v>
      </c>
      <c r="H39" s="260"/>
      <c r="I39" s="260"/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60"/>
      <c r="U39" s="260"/>
      <c r="V39" s="260"/>
      <c r="W39" s="260"/>
      <c r="X39" s="260"/>
      <c r="Y39" s="260"/>
      <c r="Z39" s="260"/>
      <c r="AA39" s="260"/>
      <c r="AB39" s="260"/>
      <c r="AC39" s="260"/>
      <c r="AD39" s="260"/>
      <c r="AE39" s="260"/>
      <c r="AF39" s="260"/>
      <c r="AG39" s="260"/>
      <c r="AH39" s="260"/>
      <c r="AI39" s="260"/>
      <c r="AJ39" s="260"/>
      <c r="AK39" s="260"/>
      <c r="AL39" s="260"/>
      <c r="AM39" s="260"/>
      <c r="AN39" s="260"/>
      <c r="AO39" s="260"/>
      <c r="AP39" s="260"/>
      <c r="AQ39" s="260"/>
      <c r="AR39" s="260"/>
      <c r="AS39" s="260"/>
      <c r="AT39" s="260"/>
      <c r="AU39" s="260"/>
      <c r="AV39" s="260"/>
      <c r="AW39" s="260"/>
      <c r="AX39" s="260"/>
      <c r="AY39" s="260"/>
      <c r="AZ39" s="260"/>
      <c r="BA39" s="260"/>
      <c r="BB39" s="261"/>
    </row>
    <row r="40" spans="2:54" ht="15" customHeight="1" x14ac:dyDescent="0.2">
      <c r="G40" s="272"/>
      <c r="H40" s="273"/>
      <c r="I40" s="273"/>
      <c r="J40" s="274"/>
      <c r="K40" s="272"/>
      <c r="L40" s="273"/>
      <c r="M40" s="273"/>
      <c r="N40" s="274"/>
      <c r="O40" s="272"/>
      <c r="P40" s="273"/>
      <c r="Q40" s="273"/>
      <c r="R40" s="274"/>
      <c r="S40" s="272"/>
      <c r="T40" s="273"/>
      <c r="U40" s="273"/>
      <c r="V40" s="274"/>
      <c r="W40" s="272"/>
      <c r="X40" s="273"/>
      <c r="Y40" s="273"/>
      <c r="Z40" s="274"/>
      <c r="AA40" s="272"/>
      <c r="AB40" s="273"/>
      <c r="AC40" s="273"/>
      <c r="AD40" s="274"/>
      <c r="AE40" s="272"/>
      <c r="AF40" s="273"/>
      <c r="AG40" s="273"/>
      <c r="AH40" s="274"/>
      <c r="AI40" s="272"/>
      <c r="AJ40" s="273"/>
      <c r="AK40" s="273"/>
      <c r="AL40" s="274"/>
      <c r="AM40" s="272"/>
      <c r="AN40" s="273"/>
      <c r="AO40" s="273"/>
      <c r="AP40" s="274"/>
      <c r="AQ40" s="272"/>
      <c r="AR40" s="273"/>
      <c r="AS40" s="273"/>
      <c r="AT40" s="274"/>
      <c r="AU40" s="272"/>
      <c r="AV40" s="273"/>
      <c r="AW40" s="273"/>
      <c r="AX40" s="274"/>
      <c r="AY40" s="272"/>
      <c r="AZ40" s="273"/>
      <c r="BA40" s="273"/>
      <c r="BB40" s="274"/>
    </row>
    <row r="41" spans="2:54" ht="15" x14ac:dyDescent="0.25">
      <c r="B41" s="242" t="s">
        <v>108</v>
      </c>
      <c r="C41" s="243"/>
      <c r="D41"/>
      <c r="E41" s="20"/>
      <c r="F41" s="20"/>
      <c r="G41" s="259">
        <f>(ROW($G41)-ROW($G$41))/8*12+1</f>
        <v>1</v>
      </c>
      <c r="H41" s="260"/>
      <c r="I41" s="260"/>
      <c r="J41" s="261"/>
      <c r="K41" s="259">
        <f>G41+1</f>
        <v>2</v>
      </c>
      <c r="L41" s="260"/>
      <c r="M41" s="260"/>
      <c r="N41" s="261"/>
      <c r="O41" s="259">
        <f>K41+1</f>
        <v>3</v>
      </c>
      <c r="P41" s="260"/>
      <c r="Q41" s="260"/>
      <c r="R41" s="261"/>
      <c r="S41" s="259">
        <f>O41+1</f>
        <v>4</v>
      </c>
      <c r="T41" s="260"/>
      <c r="U41" s="260"/>
      <c r="V41" s="261"/>
      <c r="W41" s="259">
        <f>S41+1</f>
        <v>5</v>
      </c>
      <c r="X41" s="260"/>
      <c r="Y41" s="260"/>
      <c r="Z41" s="261"/>
      <c r="AA41" s="259">
        <f>W41+1</f>
        <v>6</v>
      </c>
      <c r="AB41" s="260"/>
      <c r="AC41" s="260"/>
      <c r="AD41" s="261"/>
      <c r="AE41" s="259">
        <f>AA41+1</f>
        <v>7</v>
      </c>
      <c r="AF41" s="260"/>
      <c r="AG41" s="260"/>
      <c r="AH41" s="261"/>
      <c r="AI41" s="259">
        <f>AE41+1</f>
        <v>8</v>
      </c>
      <c r="AJ41" s="260"/>
      <c r="AK41" s="260"/>
      <c r="AL41" s="261"/>
      <c r="AM41" s="259">
        <f>AI41+1</f>
        <v>9</v>
      </c>
      <c r="AN41" s="260"/>
      <c r="AO41" s="260"/>
      <c r="AP41" s="261"/>
      <c r="AQ41" s="259">
        <f>AM41+1</f>
        <v>10</v>
      </c>
      <c r="AR41" s="260"/>
      <c r="AS41" s="260"/>
      <c r="AT41" s="261"/>
      <c r="AU41" s="259">
        <f>AQ41+1</f>
        <v>11</v>
      </c>
      <c r="AV41" s="260"/>
      <c r="AW41" s="260"/>
      <c r="AX41" s="261"/>
      <c r="AY41" s="259">
        <f>AU41+1</f>
        <v>12</v>
      </c>
      <c r="AZ41" s="260"/>
      <c r="BA41" s="260"/>
      <c r="BB41" s="261"/>
    </row>
    <row r="42" spans="2:54" ht="15" x14ac:dyDescent="0.25">
      <c r="B42" s="232" t="s">
        <v>8</v>
      </c>
      <c r="C42" s="233"/>
      <c r="D42"/>
      <c r="E42" s="244" t="s">
        <v>10</v>
      </c>
      <c r="F42" s="245"/>
      <c r="G42" s="256">
        <f ca="1">IF(TotalEventos=0,0,G43/TotalEventos)</f>
        <v>0</v>
      </c>
      <c r="H42" s="257"/>
      <c r="I42" s="257"/>
      <c r="J42" s="258"/>
      <c r="K42" s="256">
        <f ca="1">IF(TotalEventos=0,0,K43/TotalEventos)</f>
        <v>0</v>
      </c>
      <c r="L42" s="257"/>
      <c r="M42" s="257"/>
      <c r="N42" s="258"/>
      <c r="O42" s="256">
        <f ca="1">IF(TotalEventos=0,0,O43/TotalEventos)</f>
        <v>0</v>
      </c>
      <c r="P42" s="257"/>
      <c r="Q42" s="257"/>
      <c r="R42" s="258"/>
      <c r="S42" s="256">
        <f ca="1">IF(TotalEventos=0,0,S43/TotalEventos)</f>
        <v>0</v>
      </c>
      <c r="T42" s="257"/>
      <c r="U42" s="257"/>
      <c r="V42" s="258"/>
      <c r="W42" s="256">
        <f ca="1">IF(TotalEventos=0,0,W43/TotalEventos)</f>
        <v>0</v>
      </c>
      <c r="X42" s="257"/>
      <c r="Y42" s="257"/>
      <c r="Z42" s="258"/>
      <c r="AA42" s="256">
        <f ca="1">IF(TotalEventos=0,0,AA43/TotalEventos)</f>
        <v>0</v>
      </c>
      <c r="AB42" s="257"/>
      <c r="AC42" s="257"/>
      <c r="AD42" s="258"/>
      <c r="AE42" s="256">
        <f ca="1">IF(TotalEventos=0,0,AE43/TotalEventos)</f>
        <v>0</v>
      </c>
      <c r="AF42" s="257"/>
      <c r="AG42" s="257"/>
      <c r="AH42" s="258"/>
      <c r="AI42" s="256">
        <f ca="1">IF(TotalEventos=0,0,AI43/TotalEventos)</f>
        <v>0</v>
      </c>
      <c r="AJ42" s="257"/>
      <c r="AK42" s="257"/>
      <c r="AL42" s="258"/>
      <c r="AM42" s="256">
        <f ca="1">IF(TotalEventos=0,0,AM43/TotalEventos)</f>
        <v>0</v>
      </c>
      <c r="AN42" s="257"/>
      <c r="AO42" s="257"/>
      <c r="AP42" s="258"/>
      <c r="AQ42" s="256">
        <f ca="1">IF(TotalEventos=0,0,AQ43/TotalEventos)</f>
        <v>0</v>
      </c>
      <c r="AR42" s="257"/>
      <c r="AS42" s="257"/>
      <c r="AT42" s="258"/>
      <c r="AU42" s="256">
        <f ca="1">IF(TotalEventos=0,0,AU43/TotalEventos)</f>
        <v>0</v>
      </c>
      <c r="AV42" s="257"/>
      <c r="AW42" s="257"/>
      <c r="AX42" s="258"/>
      <c r="AY42" s="256">
        <f ca="1">IF(TotalEventos=0,0,AY43/TotalEventos)</f>
        <v>0</v>
      </c>
      <c r="AZ42" s="257"/>
      <c r="BA42" s="257"/>
      <c r="BB42" s="258"/>
    </row>
    <row r="43" spans="2:54" ht="15" x14ac:dyDescent="0.25">
      <c r="B43" s="234"/>
      <c r="C43" s="235"/>
      <c r="D43"/>
      <c r="E43" s="230" t="s">
        <v>11</v>
      </c>
      <c r="F43" s="231"/>
      <c r="G43" s="224">
        <f ca="1">SUMIF(OFFSET(Import.PLE,1,0,numEventos-1),G41,OFFSET(ValoresPorEvento,1,0,numEventos-1))*(1+INDEX(TotalPorEvento,1,0)/(TotalEventos-INDEX(TotalPorEvento,1,0)))</f>
        <v>0</v>
      </c>
      <c r="H43" s="225"/>
      <c r="I43" s="225"/>
      <c r="J43" s="226"/>
      <c r="K43" s="224">
        <f ca="1">SUMIF(OFFSET(Import.PLE,1,0,numEventos-1),K41,OFFSET(ValoresPorEvento,1,0,numEventos-1))*(1+INDEX(TotalPorEvento,1,0)/(TotalEventos-INDEX(TotalPorEvento,1,0)))</f>
        <v>0</v>
      </c>
      <c r="L43" s="225"/>
      <c r="M43" s="225"/>
      <c r="N43" s="226"/>
      <c r="O43" s="224">
        <f ca="1">SUMIF(OFFSET(Import.PLE,1,0,numEventos-1),O41,OFFSET(ValoresPorEvento,1,0,numEventos-1))*(1+INDEX(TotalPorEvento,1,0)/(TotalEventos-INDEX(TotalPorEvento,1,0)))</f>
        <v>0</v>
      </c>
      <c r="P43" s="225"/>
      <c r="Q43" s="225"/>
      <c r="R43" s="226"/>
      <c r="S43" s="224">
        <f ca="1">SUMIF(OFFSET(Import.PLE,1,0,numEventos-1),S41,OFFSET(ValoresPorEvento,1,0,numEventos-1))*(1+INDEX(TotalPorEvento,1,0)/(TotalEventos-INDEX(TotalPorEvento,1,0)))</f>
        <v>0</v>
      </c>
      <c r="T43" s="225"/>
      <c r="U43" s="225"/>
      <c r="V43" s="226"/>
      <c r="W43" s="224">
        <f ca="1">SUMIF(OFFSET(Import.PLE,1,0,numEventos-1),W41,OFFSET(ValoresPorEvento,1,0,numEventos-1))*(1+INDEX(TotalPorEvento,1,0)/(TotalEventos-INDEX(TotalPorEvento,1,0)))</f>
        <v>0</v>
      </c>
      <c r="X43" s="225"/>
      <c r="Y43" s="225"/>
      <c r="Z43" s="226"/>
      <c r="AA43" s="224">
        <f ca="1">SUMIF(OFFSET(Import.PLE,1,0,numEventos-1),AA41,OFFSET(ValoresPorEvento,1,0,numEventos-1))*(1+INDEX(TotalPorEvento,1,0)/(TotalEventos-INDEX(TotalPorEvento,1,0)))</f>
        <v>0</v>
      </c>
      <c r="AB43" s="225"/>
      <c r="AC43" s="225"/>
      <c r="AD43" s="226"/>
      <c r="AE43" s="224">
        <f ca="1">SUMIF(OFFSET(Import.PLE,1,0,numEventos-1),AE41,OFFSET(ValoresPorEvento,1,0,numEventos-1))*(1+INDEX(TotalPorEvento,1,0)/(TotalEventos-INDEX(TotalPorEvento,1,0)))</f>
        <v>0</v>
      </c>
      <c r="AF43" s="225"/>
      <c r="AG43" s="225"/>
      <c r="AH43" s="226"/>
      <c r="AI43" s="224">
        <f ca="1">SUMIF(OFFSET(Import.PLE,1,0,numEventos-1),AI41,OFFSET(ValoresPorEvento,1,0,numEventos-1))*(1+INDEX(TotalPorEvento,1,0)/(TotalEventos-INDEX(TotalPorEvento,1,0)))</f>
        <v>0</v>
      </c>
      <c r="AJ43" s="225"/>
      <c r="AK43" s="225"/>
      <c r="AL43" s="226"/>
      <c r="AM43" s="224">
        <f ca="1">SUMIF(OFFSET(Import.PLE,1,0,numEventos-1),AM41,OFFSET(ValoresPorEvento,1,0,numEventos-1))*(1+INDEX(TotalPorEvento,1,0)/(TotalEventos-INDEX(TotalPorEvento,1,0)))</f>
        <v>0</v>
      </c>
      <c r="AN43" s="225"/>
      <c r="AO43" s="225"/>
      <c r="AP43" s="226"/>
      <c r="AQ43" s="224">
        <f ca="1">SUMIF(OFFSET(Import.PLE,1,0,numEventos-1),AQ41,OFFSET(ValoresPorEvento,1,0,numEventos-1))*(1+INDEX(TotalPorEvento,1,0)/(TotalEventos-INDEX(TotalPorEvento,1,0)))</f>
        <v>0</v>
      </c>
      <c r="AR43" s="225"/>
      <c r="AS43" s="225"/>
      <c r="AT43" s="226"/>
      <c r="AU43" s="224">
        <f ca="1">SUMIF(OFFSET(Import.PLE,1,0,numEventos-1),AU41,OFFSET(ValoresPorEvento,1,0,numEventos-1))*(1+INDEX(TotalPorEvento,1,0)/(TotalEventos-INDEX(TotalPorEvento,1,0)))</f>
        <v>0</v>
      </c>
      <c r="AV43" s="225"/>
      <c r="AW43" s="225"/>
      <c r="AX43" s="226"/>
      <c r="AY43" s="224">
        <f ca="1">SUMIF(OFFSET(Import.PLE,1,0,numEventos-1),AY41,OFFSET(ValoresPorEvento,1,0,numEventos-1))*(1+INDEX(TotalPorEvento,1,0)/(TotalEventos-INDEX(TotalPorEvento,1,0)))</f>
        <v>0</v>
      </c>
      <c r="AZ43" s="225"/>
      <c r="BA43" s="225"/>
      <c r="BB43" s="226"/>
    </row>
    <row r="44" spans="2:54" ht="15" x14ac:dyDescent="0.25">
      <c r="B44" s="232" t="s">
        <v>9</v>
      </c>
      <c r="C44" s="233"/>
      <c r="D44"/>
      <c r="E44" s="236" t="s">
        <v>10</v>
      </c>
      <c r="F44" s="237"/>
      <c r="G44" s="256">
        <f ca="1">IF(TotalEventos=0,0,G45/TotalEventos)</f>
        <v>0</v>
      </c>
      <c r="H44" s="257"/>
      <c r="I44" s="257"/>
      <c r="J44" s="258"/>
      <c r="K44" s="256">
        <f ca="1">IF(TotalEventos=0,0,K45/TotalEventos)</f>
        <v>0</v>
      </c>
      <c r="L44" s="257"/>
      <c r="M44" s="257"/>
      <c r="N44" s="258"/>
      <c r="O44" s="256">
        <f ca="1">IF(TotalEventos=0,0,O45/TotalEventos)</f>
        <v>0</v>
      </c>
      <c r="P44" s="257"/>
      <c r="Q44" s="257"/>
      <c r="R44" s="258"/>
      <c r="S44" s="256">
        <f ca="1">IF(TotalEventos=0,0,S45/TotalEventos)</f>
        <v>0</v>
      </c>
      <c r="T44" s="257"/>
      <c r="U44" s="257"/>
      <c r="V44" s="258"/>
      <c r="W44" s="256">
        <f ca="1">IF(TotalEventos=0,0,W45/TotalEventos)</f>
        <v>0</v>
      </c>
      <c r="X44" s="257"/>
      <c r="Y44" s="257"/>
      <c r="Z44" s="258"/>
      <c r="AA44" s="256">
        <f ca="1">IF(TotalEventos=0,0,AA45/TotalEventos)</f>
        <v>0</v>
      </c>
      <c r="AB44" s="257"/>
      <c r="AC44" s="257"/>
      <c r="AD44" s="258"/>
      <c r="AE44" s="256">
        <f ca="1">IF(TotalEventos=0,0,AE45/TotalEventos)</f>
        <v>0</v>
      </c>
      <c r="AF44" s="257"/>
      <c r="AG44" s="257"/>
      <c r="AH44" s="258"/>
      <c r="AI44" s="256">
        <f ca="1">IF(TotalEventos=0,0,AI45/TotalEventos)</f>
        <v>0</v>
      </c>
      <c r="AJ44" s="257"/>
      <c r="AK44" s="257"/>
      <c r="AL44" s="258"/>
      <c r="AM44" s="256">
        <f ca="1">IF(TotalEventos=0,0,AM45/TotalEventos)</f>
        <v>0</v>
      </c>
      <c r="AN44" s="257"/>
      <c r="AO44" s="257"/>
      <c r="AP44" s="258"/>
      <c r="AQ44" s="256">
        <f ca="1">IF(TotalEventos=0,0,AQ45/TotalEventos)</f>
        <v>0</v>
      </c>
      <c r="AR44" s="257"/>
      <c r="AS44" s="257"/>
      <c r="AT44" s="258"/>
      <c r="AU44" s="256">
        <f ca="1">IF(TotalEventos=0,0,AU45/TotalEventos)</f>
        <v>0</v>
      </c>
      <c r="AV44" s="257"/>
      <c r="AW44" s="257"/>
      <c r="AX44" s="258"/>
      <c r="AY44" s="256">
        <f ca="1">IF(TotalEventos=0,0,AY45/TotalEventos)</f>
        <v>0</v>
      </c>
      <c r="AZ44" s="257"/>
      <c r="BA44" s="257"/>
      <c r="BB44" s="258"/>
    </row>
    <row r="45" spans="2:54" ht="15" x14ac:dyDescent="0.25">
      <c r="B45" s="234"/>
      <c r="C45" s="235"/>
      <c r="D45"/>
      <c r="E45" s="230" t="s">
        <v>11</v>
      </c>
      <c r="F45" s="231"/>
      <c r="G45" s="224">
        <f ca="1">SUMIF(OFFSET(Import.PLE,1,0,numEventos-1),"&lt;="&amp;G41,OFFSET(ValoresPorEvento,1,0,numEventos-1))*(1+INDEX(TotalPorEvento,1,0)/(TotalEventos-INDEX(TotalPorEvento,1,0)))</f>
        <v>0</v>
      </c>
      <c r="H45" s="225"/>
      <c r="I45" s="225"/>
      <c r="J45" s="226"/>
      <c r="K45" s="224">
        <f ca="1">K43+G45</f>
        <v>0</v>
      </c>
      <c r="L45" s="225"/>
      <c r="M45" s="225"/>
      <c r="N45" s="226"/>
      <c r="O45" s="224">
        <f ca="1">O43+K45</f>
        <v>0</v>
      </c>
      <c r="P45" s="225"/>
      <c r="Q45" s="225"/>
      <c r="R45" s="226"/>
      <c r="S45" s="224">
        <f ca="1">S43+O45</f>
        <v>0</v>
      </c>
      <c r="T45" s="225"/>
      <c r="U45" s="225"/>
      <c r="V45" s="226"/>
      <c r="W45" s="224">
        <f ca="1">W43+S45</f>
        <v>0</v>
      </c>
      <c r="X45" s="225"/>
      <c r="Y45" s="225"/>
      <c r="Z45" s="226"/>
      <c r="AA45" s="224">
        <f ca="1">AA43+W45</f>
        <v>0</v>
      </c>
      <c r="AB45" s="225"/>
      <c r="AC45" s="225"/>
      <c r="AD45" s="226"/>
      <c r="AE45" s="224">
        <f ca="1">AE43+AA45</f>
        <v>0</v>
      </c>
      <c r="AF45" s="225"/>
      <c r="AG45" s="225"/>
      <c r="AH45" s="226"/>
      <c r="AI45" s="224">
        <f ca="1">AI43+AE45</f>
        <v>0</v>
      </c>
      <c r="AJ45" s="225"/>
      <c r="AK45" s="225"/>
      <c r="AL45" s="226"/>
      <c r="AM45" s="224">
        <f ca="1">AM43+AI45</f>
        <v>0</v>
      </c>
      <c r="AN45" s="225"/>
      <c r="AO45" s="225"/>
      <c r="AP45" s="226"/>
      <c r="AQ45" s="224">
        <f ca="1">AQ43+AM45</f>
        <v>0</v>
      </c>
      <c r="AR45" s="225"/>
      <c r="AS45" s="225"/>
      <c r="AT45" s="226"/>
      <c r="AU45" s="224">
        <f ca="1">AU43+AQ45</f>
        <v>0</v>
      </c>
      <c r="AV45" s="225"/>
      <c r="AW45" s="225"/>
      <c r="AX45" s="226"/>
      <c r="AY45" s="224">
        <f ca="1">AY43+AU45</f>
        <v>0</v>
      </c>
      <c r="AZ45" s="225"/>
      <c r="BA45" s="225"/>
      <c r="BB45" s="226"/>
    </row>
    <row r="46" spans="2:54" x14ac:dyDescent="0.2">
      <c r="B46" s="20"/>
    </row>
    <row r="47" spans="2:54" ht="24" customHeight="1" x14ac:dyDescent="0.2"/>
    <row r="48" spans="2:54" ht="12" x14ac:dyDescent="0.2">
      <c r="B48" s="222" t="str">
        <f ca="1">Import.Município&amp;", "&amp;TEXT(hoje,"dd")&amp;" de "&amp;TEXT(hoje,"mmmm")&amp;" de "&amp;TEXT(hoje,"aaaa")</f>
        <v>COREMAS/PB, 31 de julho de 2023</v>
      </c>
      <c r="C48" s="222"/>
      <c r="D48" s="222"/>
      <c r="E48" s="222"/>
      <c r="F48" s="222"/>
      <c r="G48" s="222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</row>
    <row r="49" spans="2:54" x14ac:dyDescent="0.2">
      <c r="B49" s="217" t="s">
        <v>43</v>
      </c>
      <c r="C49" s="217"/>
      <c r="AR49" s="41" t="s">
        <v>52</v>
      </c>
      <c r="AS49" s="218" t="str">
        <f>respFiscal</f>
        <v>FERNANDO</v>
      </c>
      <c r="AT49" s="218"/>
      <c r="AU49" s="218"/>
      <c r="AV49" s="218"/>
      <c r="AW49" s="218"/>
      <c r="AX49" s="218"/>
      <c r="AY49" s="218"/>
      <c r="AZ49" s="218"/>
      <c r="BA49" s="218"/>
      <c r="BB49" s="218"/>
    </row>
    <row r="50" spans="2:54" x14ac:dyDescent="0.2">
      <c r="AR50" s="41" t="s">
        <v>42</v>
      </c>
      <c r="AS50" s="218">
        <f>creaFiscal</f>
        <v>0</v>
      </c>
      <c r="AT50" s="218"/>
      <c r="AU50" s="218"/>
      <c r="AV50" s="218"/>
      <c r="AW50" s="218"/>
      <c r="AX50" s="218"/>
      <c r="AY50" s="218"/>
      <c r="AZ50" s="218"/>
      <c r="BA50" s="218"/>
      <c r="BB50" s="218"/>
    </row>
    <row r="51" spans="2:54" x14ac:dyDescent="0.2">
      <c r="AR51" s="41" t="s">
        <v>44</v>
      </c>
      <c r="AS51" s="218">
        <f>artFiscal</f>
        <v>0</v>
      </c>
      <c r="AT51" s="218"/>
      <c r="AU51" s="218"/>
      <c r="AV51" s="218"/>
      <c r="AW51" s="218"/>
      <c r="AX51" s="218"/>
      <c r="AY51" s="218"/>
      <c r="AZ51" s="218"/>
      <c r="BA51" s="218"/>
      <c r="BB51" s="218"/>
    </row>
    <row r="52" spans="2:54" x14ac:dyDescent="0.2"/>
    <row r="53" spans="2:54" x14ac:dyDescent="0.2"/>
    <row r="54" spans="2:54" x14ac:dyDescent="0.2"/>
    <row r="55" spans="2:54" x14ac:dyDescent="0.2"/>
    <row r="56" spans="2:54" x14ac:dyDescent="0.2"/>
    <row r="57" spans="2:54" x14ac:dyDescent="0.2"/>
    <row r="58" spans="2:54" x14ac:dyDescent="0.2"/>
    <row r="59" spans="2:54" x14ac:dyDescent="0.2"/>
    <row r="60" spans="2:54" x14ac:dyDescent="0.2"/>
    <row r="61" spans="2:54" x14ac:dyDescent="0.2"/>
    <row r="62" spans="2:54" x14ac:dyDescent="0.2"/>
    <row r="63" spans="2:54" x14ac:dyDescent="0.2"/>
    <row r="64" spans="2:5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spans="7:9" x14ac:dyDescent="0.2"/>
    <row r="546" spans="7:9" x14ac:dyDescent="0.2"/>
    <row r="547" spans="7:9" x14ac:dyDescent="0.2"/>
    <row r="548" spans="7:9" x14ac:dyDescent="0.2"/>
    <row r="549" spans="7:9" ht="15" customHeight="1" x14ac:dyDescent="0.25">
      <c r="G549"/>
      <c r="H549"/>
      <c r="I549"/>
    </row>
    <row r="550" spans="7:9" x14ac:dyDescent="0.2"/>
    <row r="551" spans="7:9" x14ac:dyDescent="0.2"/>
    <row r="552" spans="7:9" x14ac:dyDescent="0.2"/>
    <row r="553" spans="7:9" x14ac:dyDescent="0.2"/>
    <row r="554" spans="7:9" x14ac:dyDescent="0.2"/>
    <row r="555" spans="7:9" x14ac:dyDescent="0.2"/>
    <row r="556" spans="7:9" x14ac:dyDescent="0.2"/>
    <row r="557" spans="7:9" x14ac:dyDescent="0.2"/>
    <row r="558" spans="7:9" x14ac:dyDescent="0.2"/>
    <row r="559" spans="7:9" x14ac:dyDescent="0.2"/>
    <row r="560" spans="7:9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  <row r="1001" x14ac:dyDescent="0.2"/>
    <row r="1002" x14ac:dyDescent="0.2"/>
    <row r="1003" x14ac:dyDescent="0.2"/>
    <row r="1004" x14ac:dyDescent="0.2"/>
    <row r="1005" x14ac:dyDescent="0.2"/>
    <row r="1006" x14ac:dyDescent="0.2"/>
    <row r="1007" x14ac:dyDescent="0.2"/>
    <row r="1008" x14ac:dyDescent="0.2"/>
    <row r="1009" x14ac:dyDescent="0.2"/>
    <row r="1010" x14ac:dyDescent="0.2"/>
    <row r="1011" x14ac:dyDescent="0.2"/>
    <row r="1012" x14ac:dyDescent="0.2"/>
    <row r="1013" x14ac:dyDescent="0.2"/>
    <row r="1014" x14ac:dyDescent="0.2"/>
    <row r="1015" x14ac:dyDescent="0.2"/>
    <row r="1016" x14ac:dyDescent="0.2"/>
    <row r="1017" x14ac:dyDescent="0.2"/>
    <row r="1018" x14ac:dyDescent="0.2"/>
    <row r="1019" x14ac:dyDescent="0.2"/>
    <row r="1020" x14ac:dyDescent="0.2"/>
    <row r="1021" x14ac:dyDescent="0.2"/>
    <row r="1022" x14ac:dyDescent="0.2"/>
    <row r="1023" x14ac:dyDescent="0.2"/>
    <row r="1024" x14ac:dyDescent="0.2"/>
    <row r="1025" x14ac:dyDescent="0.2"/>
    <row r="1026" x14ac:dyDescent="0.2"/>
    <row r="1027" x14ac:dyDescent="0.2"/>
    <row r="1028" x14ac:dyDescent="0.2"/>
    <row r="1029" x14ac:dyDescent="0.2"/>
    <row r="1030" x14ac:dyDescent="0.2"/>
    <row r="1031" x14ac:dyDescent="0.2"/>
    <row r="1032" x14ac:dyDescent="0.2"/>
    <row r="1033" x14ac:dyDescent="0.2"/>
    <row r="1034" x14ac:dyDescent="0.2"/>
    <row r="1035" x14ac:dyDescent="0.2"/>
    <row r="1036" x14ac:dyDescent="0.2"/>
    <row r="1037" x14ac:dyDescent="0.2"/>
    <row r="1038" x14ac:dyDescent="0.2"/>
    <row r="1039" x14ac:dyDescent="0.2"/>
    <row r="1040" x14ac:dyDescent="0.2"/>
    <row r="1041" x14ac:dyDescent="0.2"/>
    <row r="1042" x14ac:dyDescent="0.2"/>
    <row r="1043" x14ac:dyDescent="0.2"/>
    <row r="1044" x14ac:dyDescent="0.2"/>
    <row r="1045" x14ac:dyDescent="0.2"/>
    <row r="1046" x14ac:dyDescent="0.2"/>
    <row r="1047" x14ac:dyDescent="0.2"/>
    <row r="1048" x14ac:dyDescent="0.2"/>
    <row r="1049" x14ac:dyDescent="0.2"/>
    <row r="1050" x14ac:dyDescent="0.2"/>
    <row r="1051" x14ac:dyDescent="0.2"/>
    <row r="1052" x14ac:dyDescent="0.2"/>
    <row r="1053" x14ac:dyDescent="0.2"/>
    <row r="1054" x14ac:dyDescent="0.2"/>
    <row r="1055" x14ac:dyDescent="0.2"/>
    <row r="1056" x14ac:dyDescent="0.2"/>
    <row r="1057" x14ac:dyDescent="0.2"/>
    <row r="1058" x14ac:dyDescent="0.2"/>
    <row r="1059" x14ac:dyDescent="0.2"/>
    <row r="1060" x14ac:dyDescent="0.2"/>
    <row r="1061" x14ac:dyDescent="0.2"/>
    <row r="1062" x14ac:dyDescent="0.2"/>
    <row r="1063" x14ac:dyDescent="0.2"/>
    <row r="1064" x14ac:dyDescent="0.2"/>
    <row r="1065" x14ac:dyDescent="0.2"/>
    <row r="1066" x14ac:dyDescent="0.2"/>
    <row r="1067" x14ac:dyDescent="0.2"/>
    <row r="1068" x14ac:dyDescent="0.2"/>
    <row r="1069" x14ac:dyDescent="0.2"/>
    <row r="1070" x14ac:dyDescent="0.2"/>
    <row r="1071" x14ac:dyDescent="0.2"/>
    <row r="1072" x14ac:dyDescent="0.2"/>
    <row r="1073" x14ac:dyDescent="0.2"/>
    <row r="1074" x14ac:dyDescent="0.2"/>
    <row r="1075" x14ac:dyDescent="0.2"/>
    <row r="1076" x14ac:dyDescent="0.2"/>
    <row r="1077" x14ac:dyDescent="0.2"/>
    <row r="1078" x14ac:dyDescent="0.2"/>
    <row r="1079" x14ac:dyDescent="0.2"/>
    <row r="1080" x14ac:dyDescent="0.2"/>
    <row r="1081" x14ac:dyDescent="0.2"/>
    <row r="1082" x14ac:dyDescent="0.2"/>
    <row r="1083" x14ac:dyDescent="0.2"/>
    <row r="1084" x14ac:dyDescent="0.2"/>
    <row r="1085" x14ac:dyDescent="0.2"/>
    <row r="1086" x14ac:dyDescent="0.2"/>
    <row r="1087" x14ac:dyDescent="0.2"/>
    <row r="1088" x14ac:dyDescent="0.2"/>
    <row r="1089" x14ac:dyDescent="0.2"/>
    <row r="1090" x14ac:dyDescent="0.2"/>
    <row r="1091" x14ac:dyDescent="0.2"/>
    <row r="1092" x14ac:dyDescent="0.2"/>
    <row r="1093" x14ac:dyDescent="0.2"/>
    <row r="1094" x14ac:dyDescent="0.2"/>
    <row r="1095" x14ac:dyDescent="0.2"/>
    <row r="1096" x14ac:dyDescent="0.2"/>
    <row r="1097" x14ac:dyDescent="0.2"/>
    <row r="1098" x14ac:dyDescent="0.2"/>
    <row r="1099" x14ac:dyDescent="0.2"/>
    <row r="1100" x14ac:dyDescent="0.2"/>
    <row r="1101" x14ac:dyDescent="0.2"/>
    <row r="1102" x14ac:dyDescent="0.2"/>
    <row r="1103" x14ac:dyDescent="0.2"/>
    <row r="1104" x14ac:dyDescent="0.2"/>
    <row r="1105" x14ac:dyDescent="0.2"/>
    <row r="1106" x14ac:dyDescent="0.2"/>
    <row r="1107" x14ac:dyDescent="0.2"/>
    <row r="1108" x14ac:dyDescent="0.2"/>
    <row r="1109" x14ac:dyDescent="0.2"/>
    <row r="1110" x14ac:dyDescent="0.2"/>
    <row r="1111" x14ac:dyDescent="0.2"/>
    <row r="1112" x14ac:dyDescent="0.2"/>
    <row r="1113" x14ac:dyDescent="0.2"/>
    <row r="1114" x14ac:dyDescent="0.2"/>
    <row r="1115" x14ac:dyDescent="0.2"/>
    <row r="1116" x14ac:dyDescent="0.2"/>
    <row r="1117" x14ac:dyDescent="0.2"/>
    <row r="1118" x14ac:dyDescent="0.2"/>
    <row r="1119" x14ac:dyDescent="0.2"/>
    <row r="1120" x14ac:dyDescent="0.2"/>
    <row r="1121" x14ac:dyDescent="0.2"/>
    <row r="1122" x14ac:dyDescent="0.2"/>
    <row r="1123" x14ac:dyDescent="0.2"/>
    <row r="1124" x14ac:dyDescent="0.2"/>
    <row r="1125" x14ac:dyDescent="0.2"/>
    <row r="1126" x14ac:dyDescent="0.2"/>
    <row r="1127" x14ac:dyDescent="0.2"/>
    <row r="1128" x14ac:dyDescent="0.2"/>
    <row r="1129" x14ac:dyDescent="0.2"/>
    <row r="1130" x14ac:dyDescent="0.2"/>
    <row r="1131" x14ac:dyDescent="0.2"/>
    <row r="1132" x14ac:dyDescent="0.2"/>
    <row r="1133" x14ac:dyDescent="0.2"/>
    <row r="1134" x14ac:dyDescent="0.2"/>
    <row r="1135" x14ac:dyDescent="0.2"/>
    <row r="1136" x14ac:dyDescent="0.2"/>
    <row r="1137" x14ac:dyDescent="0.2"/>
    <row r="1138" x14ac:dyDescent="0.2"/>
    <row r="1139" x14ac:dyDescent="0.2"/>
    <row r="1140" x14ac:dyDescent="0.2"/>
    <row r="1141" x14ac:dyDescent="0.2"/>
    <row r="1142" x14ac:dyDescent="0.2"/>
    <row r="1143" x14ac:dyDescent="0.2"/>
    <row r="1144" x14ac:dyDescent="0.2"/>
    <row r="1145" x14ac:dyDescent="0.2"/>
    <row r="1146" x14ac:dyDescent="0.2"/>
    <row r="1147" x14ac:dyDescent="0.2"/>
    <row r="1148" x14ac:dyDescent="0.2"/>
    <row r="1149" x14ac:dyDescent="0.2"/>
    <row r="1150" x14ac:dyDescent="0.2"/>
    <row r="1151" x14ac:dyDescent="0.2"/>
    <row r="1152" x14ac:dyDescent="0.2"/>
    <row r="1153" x14ac:dyDescent="0.2"/>
    <row r="1154" x14ac:dyDescent="0.2"/>
    <row r="1155" x14ac:dyDescent="0.2"/>
    <row r="1156" x14ac:dyDescent="0.2"/>
    <row r="1157" x14ac:dyDescent="0.2"/>
    <row r="1158" x14ac:dyDescent="0.2"/>
    <row r="1159" x14ac:dyDescent="0.2"/>
    <row r="1160" x14ac:dyDescent="0.2"/>
    <row r="1161" x14ac:dyDescent="0.2"/>
    <row r="1162" x14ac:dyDescent="0.2"/>
    <row r="1163" x14ac:dyDescent="0.2"/>
    <row r="1164" x14ac:dyDescent="0.2"/>
    <row r="1165" x14ac:dyDescent="0.2"/>
    <row r="1166" x14ac:dyDescent="0.2"/>
    <row r="1167" x14ac:dyDescent="0.2"/>
    <row r="1168" x14ac:dyDescent="0.2"/>
    <row r="1169" x14ac:dyDescent="0.2"/>
    <row r="1170" x14ac:dyDescent="0.2"/>
    <row r="1171" x14ac:dyDescent="0.2"/>
    <row r="1172" x14ac:dyDescent="0.2"/>
    <row r="1173" x14ac:dyDescent="0.2"/>
    <row r="1174" x14ac:dyDescent="0.2"/>
    <row r="1175" x14ac:dyDescent="0.2"/>
    <row r="1176" x14ac:dyDescent="0.2"/>
    <row r="1177" x14ac:dyDescent="0.2"/>
    <row r="1178" x14ac:dyDescent="0.2"/>
    <row r="1179" x14ac:dyDescent="0.2"/>
    <row r="1180" x14ac:dyDescent="0.2"/>
    <row r="1181" x14ac:dyDescent="0.2"/>
    <row r="1182" x14ac:dyDescent="0.2"/>
    <row r="1183" x14ac:dyDescent="0.2"/>
    <row r="1184" x14ac:dyDescent="0.2"/>
    <row r="1185" x14ac:dyDescent="0.2"/>
    <row r="1186" x14ac:dyDescent="0.2"/>
    <row r="1187" x14ac:dyDescent="0.2"/>
    <row r="1188" x14ac:dyDescent="0.2"/>
    <row r="1189" x14ac:dyDescent="0.2"/>
    <row r="1190" x14ac:dyDescent="0.2"/>
    <row r="1191" x14ac:dyDescent="0.2"/>
    <row r="1192" x14ac:dyDescent="0.2"/>
    <row r="1193" x14ac:dyDescent="0.2"/>
    <row r="1194" x14ac:dyDescent="0.2"/>
  </sheetData>
  <sheetProtection algorithmName="SHA-512" hashValue="ichM77UU4clqJjuZV3zNgWdcGqPJ50r1G0ICvtRbu+9SbXn/ML3z4vDCsI6lTHRm8b2Kigp1PDp+LxWKDWkdtA==" saltValue="mOQ2FxDDckhCXDOptUBxOg==" spinCount="100000" sheet="1" objects="1" scenarios="1"/>
  <mergeCells count="94">
    <mergeCell ref="G42:J42"/>
    <mergeCell ref="B42:C43"/>
    <mergeCell ref="B31:B32"/>
    <mergeCell ref="C31:C32"/>
    <mergeCell ref="E43:F43"/>
    <mergeCell ref="E42:F42"/>
    <mergeCell ref="B41:C41"/>
    <mergeCell ref="G41:J41"/>
    <mergeCell ref="G43:J43"/>
    <mergeCell ref="AM40:AP40"/>
    <mergeCell ref="G39:BB39"/>
    <mergeCell ref="S40:V40"/>
    <mergeCell ref="G40:J40"/>
    <mergeCell ref="K40:N40"/>
    <mergeCell ref="O40:R40"/>
    <mergeCell ref="AY40:BB40"/>
    <mergeCell ref="AY20:BB20"/>
    <mergeCell ref="O41:R41"/>
    <mergeCell ref="S41:V41"/>
    <mergeCell ref="AD20:AM20"/>
    <mergeCell ref="E32:BB32"/>
    <mergeCell ref="AU41:AX41"/>
    <mergeCell ref="AX28:BB28"/>
    <mergeCell ref="AI28:AS28"/>
    <mergeCell ref="W40:Z40"/>
    <mergeCell ref="D20:V20"/>
    <mergeCell ref="AE40:AH40"/>
    <mergeCell ref="AU40:AX40"/>
    <mergeCell ref="AQ40:AT40"/>
    <mergeCell ref="AA40:AD40"/>
    <mergeCell ref="AA28:AD28"/>
    <mergeCell ref="AI40:AL40"/>
    <mergeCell ref="AY42:BB42"/>
    <mergeCell ref="AQ42:AT42"/>
    <mergeCell ref="AY41:BB41"/>
    <mergeCell ref="AM41:AP41"/>
    <mergeCell ref="AI41:AL41"/>
    <mergeCell ref="AI42:AL42"/>
    <mergeCell ref="AU42:AX42"/>
    <mergeCell ref="AQ41:AT41"/>
    <mergeCell ref="AM42:AP42"/>
    <mergeCell ref="S43:V43"/>
    <mergeCell ref="AI43:AL43"/>
    <mergeCell ref="K43:N43"/>
    <mergeCell ref="O43:R43"/>
    <mergeCell ref="AA44:AD44"/>
    <mergeCell ref="K42:N42"/>
    <mergeCell ref="S42:V42"/>
    <mergeCell ref="AE41:AH41"/>
    <mergeCell ref="W42:Z42"/>
    <mergeCell ref="AA42:AD42"/>
    <mergeCell ref="K41:N41"/>
    <mergeCell ref="AE42:AH42"/>
    <mergeCell ref="O42:R42"/>
    <mergeCell ref="AA41:AD41"/>
    <mergeCell ref="W41:Z41"/>
    <mergeCell ref="B49:C49"/>
    <mergeCell ref="E44:F44"/>
    <mergeCell ref="E45:F45"/>
    <mergeCell ref="B48:G48"/>
    <mergeCell ref="W45:Z45"/>
    <mergeCell ref="G45:J45"/>
    <mergeCell ref="O45:R45"/>
    <mergeCell ref="S44:V44"/>
    <mergeCell ref="B44:C45"/>
    <mergeCell ref="K45:N45"/>
    <mergeCell ref="G44:J44"/>
    <mergeCell ref="S45:V45"/>
    <mergeCell ref="O44:R44"/>
    <mergeCell ref="K44:N44"/>
    <mergeCell ref="AA45:AD45"/>
    <mergeCell ref="AI45:AL45"/>
    <mergeCell ref="W44:Z44"/>
    <mergeCell ref="AA43:AD43"/>
    <mergeCell ref="AE44:AH44"/>
    <mergeCell ref="AE45:AH45"/>
    <mergeCell ref="AI44:AL44"/>
    <mergeCell ref="W43:Z43"/>
    <mergeCell ref="AS50:BB50"/>
    <mergeCell ref="AY43:BB43"/>
    <mergeCell ref="AS51:BB51"/>
    <mergeCell ref="AU43:AX43"/>
    <mergeCell ref="AE43:AH43"/>
    <mergeCell ref="AS49:BB49"/>
    <mergeCell ref="AQ45:AT45"/>
    <mergeCell ref="AM45:AP45"/>
    <mergeCell ref="AM43:AP43"/>
    <mergeCell ref="AU45:AX45"/>
    <mergeCell ref="AY44:BB44"/>
    <mergeCell ref="AQ44:AT44"/>
    <mergeCell ref="AU44:AX44"/>
    <mergeCell ref="AM44:AP44"/>
    <mergeCell ref="AY45:BB45"/>
    <mergeCell ref="AQ43:AT43"/>
  </mergeCells>
  <phoneticPr fontId="0" type="noConversion"/>
  <conditionalFormatting sqref="B1:C1">
    <cfRule type="expression" dxfId="15" priority="117" stopIfTrue="1">
      <formula>$B1&gt;numEventos</formula>
    </cfRule>
  </conditionalFormatting>
  <conditionalFormatting sqref="B34:C37">
    <cfRule type="expression" dxfId="14" priority="16" stopIfTrue="1">
      <formula>$B34&gt;numEventos</formula>
    </cfRule>
  </conditionalFormatting>
  <conditionalFormatting sqref="E1:BB1 E35:BB37">
    <cfRule type="expression" dxfId="13" priority="66" stopIfTrue="1">
      <formula>E1&gt;mediçao</formula>
    </cfRule>
    <cfRule type="expression" dxfId="12" priority="67" stopIfTrue="1">
      <formula>E1=mediçao</formula>
    </cfRule>
    <cfRule type="expression" dxfId="11" priority="68" stopIfTrue="1">
      <formula>INDEX(ValoresPorEvento,$B1,E$31)=0</formula>
    </cfRule>
  </conditionalFormatting>
  <conditionalFormatting sqref="G42:BB42">
    <cfRule type="expression" dxfId="10" priority="99" stopIfTrue="1">
      <formula>G41&gt;mediçao</formula>
    </cfRule>
    <cfRule type="expression" dxfId="9" priority="100" stopIfTrue="1">
      <formula>G41=mediçao</formula>
    </cfRule>
  </conditionalFormatting>
  <conditionalFormatting sqref="G43:BB43">
    <cfRule type="expression" dxfId="8" priority="87" stopIfTrue="1">
      <formula>G41=mediçao</formula>
    </cfRule>
    <cfRule type="expression" dxfId="7" priority="90" stopIfTrue="1">
      <formula>G41&gt;mediçao</formula>
    </cfRule>
  </conditionalFormatting>
  <conditionalFormatting sqref="G44:BB44">
    <cfRule type="expression" dxfId="6" priority="86" stopIfTrue="1">
      <formula>G41=mediçao</formula>
    </cfRule>
    <cfRule type="expression" dxfId="5" priority="89" stopIfTrue="1">
      <formula>G41&gt;mediçao</formula>
    </cfRule>
  </conditionalFormatting>
  <conditionalFormatting sqref="G45:BB45">
    <cfRule type="expression" dxfId="4" priority="85" stopIfTrue="1">
      <formula>G41=mediçao</formula>
    </cfRule>
    <cfRule type="expression" dxfId="3" priority="88" stopIfTrue="1">
      <formula>G41&gt;mediçao</formula>
    </cfRule>
  </conditionalFormatting>
  <dataValidations count="3">
    <dataValidation type="list" allowBlank="1" showDropDown="1" showErrorMessage="1" error="É permitido digitar apenas o número da medição atual, em eventos que não sejam nulos." prompt="Preenchimento Fiscalização: Preencher com o número do PERÍODO em que o evento foi concluído. _x000a__x000a_Preenchimento CAIXA: se o evento será glosado, adicionar &quot;.&quot; ao final do período." sqref="E1:BB1 F34:BB34 E35:BB37" xr:uid="{00000000-0002-0000-0400-000000000000}">
      <formula1>IF(INDEX(ValoresPorEvento,$B1,E$31)=0,"",mediçao)</formula1>
    </dataValidation>
    <dataValidation allowBlank="1" showInputMessage="1" showErrorMessage="1" promptTitle="Nº da medição" prompt="Use as setas para alterar o valor" sqref="AY27:BB27" xr:uid="{00000000-0002-0000-0400-000001000000}"/>
    <dataValidation type="textLength" operator="lessThan" showInputMessage="1" error="Digite a data de medição nas colunas de medição à direita &gt;&gt;&gt;" prompt="Digite a data de medição abaixo dos eventos" sqref="AI28:AS28" xr:uid="{00000000-0002-0000-0400-000002000000}">
      <formula1>0</formula1>
    </dataValidation>
  </dataValidations>
  <pageMargins left="0.78740157480314965" right="0.78740157480314965" top="0.78740157480314965" bottom="0.78740157480314965" header="0.31496062992125984" footer="0.31496062992125984"/>
  <pageSetup paperSize="9" scale="65" fitToWidth="0" fitToHeight="0" pageOrder="overThenDown" orientation="landscape" horizontalDpi="4294967295" verticalDpi="4294967295" r:id="rId1"/>
  <headerFooter>
    <oddFooter>&amp;R&amp;P&amp;L27.477 v006   micro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021" r:id="rId4" name="Spinner 1613">
              <controlPr defaultSize="0" print="0" autoPict="0">
                <anchor moveWithCells="1" sizeWithCells="1">
                  <from>
                    <xdr:col>52</xdr:col>
                    <xdr:colOff>228600</xdr:colOff>
                    <xdr:row>26</xdr:row>
                    <xdr:rowOff>142875</xdr:rowOff>
                  </from>
                  <to>
                    <xdr:col>53</xdr:col>
                    <xdr:colOff>228600</xdr:colOff>
                    <xdr:row>28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3">
    <pageSetUpPr fitToPage="1"/>
  </sheetPr>
  <dimension ref="B1:Q45"/>
  <sheetViews>
    <sheetView showGridLines="0" view="pageBreakPreview" topLeftCell="A2" zoomScale="130" zoomScaleNormal="100" zoomScaleSheetLayoutView="130" workbookViewId="0">
      <selection activeCell="Q16" sqref="Q16"/>
    </sheetView>
  </sheetViews>
  <sheetFormatPr defaultRowHeight="11.25" x14ac:dyDescent="0.2"/>
  <cols>
    <col min="1" max="1" width="1.42578125" style="21" customWidth="1"/>
    <col min="2" max="2" width="6.7109375" style="21" customWidth="1"/>
    <col min="3" max="3" width="6.7109375" style="21" hidden="1" customWidth="1"/>
    <col min="4" max="4" width="10.28515625" style="21" customWidth="1"/>
    <col min="5" max="6" width="13.5703125" style="21" customWidth="1"/>
    <col min="7" max="8" width="8.5703125" style="21" customWidth="1"/>
    <col min="9" max="9" width="8.140625" style="21" customWidth="1"/>
    <col min="10" max="12" width="8.5703125" style="21" customWidth="1"/>
    <col min="13" max="13" width="9.140625" style="21"/>
    <col min="14" max="14" width="1.140625" style="21" customWidth="1"/>
    <col min="15" max="15" width="7" style="21" customWidth="1"/>
    <col min="16" max="16" width="14.28515625" style="21" customWidth="1"/>
    <col min="17" max="16384" width="9.140625" style="21"/>
  </cols>
  <sheetData>
    <row r="1" spans="2:17" hidden="1" x14ac:dyDescent="0.2">
      <c r="B1" s="37" t="e">
        <f ca="1">OFFSET(B1,-1,0)+1</f>
        <v>#REF!</v>
      </c>
      <c r="C1" s="37">
        <f ca="1">IF(OR(D1="",D1&lt;dataInicioObra),"",COUNTIF(CronoPrev!$C$14:$C$25,"&lt;"&amp;(D1-7))+1)</f>
        <v>1</v>
      </c>
      <c r="D1" s="45">
        <f ca="1">OFFSET(PLE!$G$40,TRUNC((ROW($B1)-ROW($B$14))/12,0)*8,MOD(ROW($B1)-ROW($B$14),12)*4)</f>
        <v>0</v>
      </c>
      <c r="E1" s="181">
        <f ca="1">OFFSET(PLE!$G$43,TRUNC((ROW($B1)-ROW($B$14))/12,0)*8,MOD(ROW(B1)-ROW($B$14),12)*4)</f>
        <v>0</v>
      </c>
      <c r="F1" s="181" t="e">
        <f ca="1">E1+OFFSET(F1,-1,0)</f>
        <v>#REF!</v>
      </c>
      <c r="G1" s="38">
        <f ca="1">OFFSET(PLE!$G$42,TRUNC((ROW($B1)-ROW($B$14))/12,0)*8,MOD(ROW(B1)-ROW($B$14),12)*4)</f>
        <v>0</v>
      </c>
      <c r="H1" s="38" t="e">
        <f ca="1">G1+OFFSET(H1,-1,0)</f>
        <v>#REF!</v>
      </c>
      <c r="I1" s="38">
        <f ca="1">IF(C1="","",IF(C1&gt;Cronograma.NumPeríodos,1,VLOOKUP(C1,CronoPrev!$B$14:$G$25,6,FALSE)))</f>
        <v>0.19732785413667206</v>
      </c>
      <c r="J1" s="137">
        <f ca="1">D1-dataInicioObra</f>
        <v>0</v>
      </c>
      <c r="K1" s="37" t="e">
        <f ca="1">INDEX(OFFSET(CronoPrev,0,3,,1),COUNTIF(OFFSET(CronoPrev,0,5,,1),"&lt;"&amp;H1))+ROUND((H1-IF(""=(INDEX(OFFSET(CronoPrev,0,5,,1),COUNTIF(OFFSET(CronoPrev,0,5,,1),"&lt;"&amp;H1))),0,INDEX(OFFSET(CronoPrev,0,5,,1),COUNTIF(OFFSET(CronoPrev,0,5,,1),"&lt;"&amp;H1))))/INDEX(OFFSET(CronoPrev,0,4,,1),COUNTIF(OFFSET(CronoPrev,0,5,,1),"&lt;"&amp;H1)+1)*INDEX(OFFSET(CronoPrev,0,2,,1),COUNTIF(OFFSET(CronoPrev,0,5,,1),"&lt;"&amp;H1)+1),0)</f>
        <v>#VALUE!</v>
      </c>
      <c r="L1" s="37" t="e">
        <f ca="1">IF(C1="","",K1-J1)</f>
        <v>#VALUE!</v>
      </c>
      <c r="M1" s="38" t="e">
        <f ca="1">IF(C1="","",L1/SUM(OFFSET(CronoPrev!$D$14,0,0,Cronograma.NumPeríodos)))</f>
        <v>#VALUE!</v>
      </c>
    </row>
    <row r="2" spans="2:17" s="26" customFormat="1" ht="21" customHeight="1" x14ac:dyDescent="0.25">
      <c r="E2" s="281" t="s">
        <v>116</v>
      </c>
      <c r="F2" s="281"/>
      <c r="G2" s="281"/>
      <c r="H2" s="281"/>
      <c r="I2" s="281"/>
      <c r="J2" s="281"/>
      <c r="P2" s="136" t="s">
        <v>117</v>
      </c>
      <c r="Q2"/>
    </row>
    <row r="4" spans="2:17" ht="15" x14ac:dyDescent="0.25">
      <c r="B4"/>
      <c r="C4"/>
      <c r="D4"/>
      <c r="E4"/>
      <c r="F4"/>
      <c r="G4"/>
      <c r="H4"/>
      <c r="I4"/>
      <c r="J4"/>
      <c r="K4"/>
      <c r="L4"/>
      <c r="M4"/>
    </row>
    <row r="5" spans="2:17" ht="15" x14ac:dyDescent="0.25">
      <c r="B5"/>
      <c r="C5"/>
      <c r="D5"/>
      <c r="E5"/>
      <c r="F5"/>
      <c r="G5"/>
      <c r="H5"/>
      <c r="I5"/>
      <c r="J5"/>
      <c r="K5"/>
      <c r="L5"/>
      <c r="M5"/>
    </row>
    <row r="6" spans="2:17" ht="15" x14ac:dyDescent="0.25">
      <c r="B6"/>
      <c r="C6"/>
      <c r="D6"/>
      <c r="E6"/>
      <c r="F6"/>
      <c r="G6"/>
      <c r="H6"/>
      <c r="I6"/>
      <c r="J6"/>
      <c r="K6"/>
      <c r="L6"/>
      <c r="M6"/>
    </row>
    <row r="7" spans="2:17" ht="15" hidden="1" x14ac:dyDescent="0.25">
      <c r="B7"/>
      <c r="C7"/>
      <c r="D7"/>
      <c r="E7"/>
      <c r="F7"/>
      <c r="G7"/>
      <c r="H7"/>
      <c r="I7"/>
      <c r="J7"/>
      <c r="K7"/>
      <c r="L7"/>
      <c r="M7"/>
    </row>
    <row r="8" spans="2:17" ht="15" hidden="1" x14ac:dyDescent="0.25">
      <c r="B8"/>
      <c r="C8"/>
      <c r="D8"/>
      <c r="E8"/>
      <c r="F8"/>
      <c r="G8"/>
      <c r="H8"/>
      <c r="I8"/>
      <c r="J8"/>
      <c r="K8"/>
      <c r="L8"/>
      <c r="M8"/>
    </row>
    <row r="9" spans="2:17" ht="10.5" customHeight="1" x14ac:dyDescent="0.2">
      <c r="B9" s="27"/>
      <c r="I9" s="41"/>
    </row>
    <row r="10" spans="2:17" x14ac:dyDescent="0.2">
      <c r="B10" s="27" t="s">
        <v>18</v>
      </c>
      <c r="M10" s="41" t="str">
        <f ca="1">"Valor de Investimento: R$ "&amp;TEXT(TotalEventos,"#.###,00")</f>
        <v>Valor de Investimento: R$ 797.972,21</v>
      </c>
      <c r="O10" s="27" t="s">
        <v>85</v>
      </c>
    </row>
    <row r="11" spans="2:17" ht="16.5" customHeight="1" x14ac:dyDescent="0.2">
      <c r="B11" s="278" t="s">
        <v>21</v>
      </c>
      <c r="C11" s="278" t="s">
        <v>13</v>
      </c>
      <c r="D11" s="278" t="s">
        <v>20</v>
      </c>
      <c r="E11" s="263" t="s">
        <v>115</v>
      </c>
      <c r="F11" s="265"/>
      <c r="G11" s="263" t="s">
        <v>104</v>
      </c>
      <c r="H11" s="265"/>
      <c r="I11" s="279" t="s">
        <v>16</v>
      </c>
      <c r="J11" s="278" t="s">
        <v>26</v>
      </c>
      <c r="K11" s="278" t="s">
        <v>19</v>
      </c>
      <c r="L11" s="278" t="s">
        <v>87</v>
      </c>
      <c r="M11" s="278" t="s">
        <v>22</v>
      </c>
      <c r="O11" s="278" t="s">
        <v>86</v>
      </c>
      <c r="P11" s="278" t="s">
        <v>113</v>
      </c>
    </row>
    <row r="12" spans="2:17" ht="23.25" customHeight="1" x14ac:dyDescent="0.2">
      <c r="B12" s="278"/>
      <c r="C12" s="278"/>
      <c r="D12" s="278"/>
      <c r="E12" s="104" t="s">
        <v>114</v>
      </c>
      <c r="F12" s="104" t="s">
        <v>9</v>
      </c>
      <c r="G12" s="103" t="s">
        <v>114</v>
      </c>
      <c r="H12" s="103" t="s">
        <v>9</v>
      </c>
      <c r="I12" s="280"/>
      <c r="J12" s="278"/>
      <c r="K12" s="278"/>
      <c r="L12" s="278"/>
      <c r="M12" s="282"/>
      <c r="O12" s="278"/>
      <c r="P12" s="282"/>
    </row>
    <row r="13" spans="2:17" ht="3.75" customHeight="1" x14ac:dyDescent="0.2">
      <c r="B13" s="42"/>
      <c r="C13" s="42"/>
      <c r="D13" s="102" t="s">
        <v>83</v>
      </c>
      <c r="J13" s="44"/>
      <c r="K13" s="44"/>
      <c r="L13" s="44"/>
      <c r="M13" s="19"/>
    </row>
    <row r="14" spans="2:17" x14ac:dyDescent="0.2">
      <c r="B14" s="37">
        <f ca="1">OFFSET(B14,-1,0)+1</f>
        <v>1</v>
      </c>
      <c r="C14" s="37">
        <f ca="1">IF(OR(D14="",D14&lt;dataInicioObra),"",COUNTIF(CronoPrev!$C$14:$C$25,"&lt;"&amp;(D14-7))+1)</f>
        <v>1</v>
      </c>
      <c r="D14" s="45">
        <f ca="1">OFFSET(PLE!$G$40,TRUNC((ROW($B14)-ROW($B$14))/12,0)*8,MOD(ROW($B14)-ROW($B$14),12)*4)</f>
        <v>0</v>
      </c>
      <c r="E14" s="181">
        <f ca="1">OFFSET(PLE!$G$43,TRUNC((ROW($B14)-ROW($B$14))/12,0)*8,MOD(ROW(B14)-ROW($B$14),12)*4)</f>
        <v>0</v>
      </c>
      <c r="F14" s="181">
        <f ca="1">E14+OFFSET(F14,-1,0)</f>
        <v>0</v>
      </c>
      <c r="G14" s="38">
        <f ca="1">OFFSET(PLE!$G$42,TRUNC((ROW($B14)-ROW($B$14))/12,0)*8,MOD(ROW(B14)-ROW($B$14),12)*4)</f>
        <v>0</v>
      </c>
      <c r="H14" s="38">
        <f ca="1">G14+OFFSET(H14,-1,0)</f>
        <v>0</v>
      </c>
      <c r="I14" s="38">
        <f ca="1">IF(C14="","",IF(C14&gt;Cronograma.NumPeríodos,1,VLOOKUP(C14,CronoPrev!$B$14:$G$25,6,FALSE)))</f>
        <v>0.19732785413667206</v>
      </c>
      <c r="J14" s="137">
        <f t="shared" ref="J14:J37" ca="1" si="0">D14-dataInicioObra</f>
        <v>0</v>
      </c>
      <c r="K14" s="37">
        <f ca="1">INDEX(OFFSET(CronoPrev,0,3,,1),COUNTIF(OFFSET(CronoPrev,0,5,,1),"&lt;"&amp;H14))+ROUND((H14-IF(""=(INDEX(OFFSET(CronoPrev,0,5,,1),COUNTIF(OFFSET(CronoPrev,0,5,,1),"&lt;"&amp;H14))),0,INDEX(OFFSET(CronoPrev,0,5,,1),COUNTIF(OFFSET(CronoPrev,0,5,,1),"&lt;"&amp;H14))))/INDEX(OFFSET(CronoPrev,0,4,,1),COUNTIF(OFFSET(CronoPrev,0,5,,1),"&lt;"&amp;H14)+1)*INDEX(OFFSET(CronoPrev,0,2,,1),COUNTIF(OFFSET(CronoPrev,0,5,,1),"&lt;"&amp;H14)+1),0)</f>
        <v>0</v>
      </c>
      <c r="L14" s="37">
        <f ca="1">IF(C14="","",K14-J14)</f>
        <v>0</v>
      </c>
      <c r="M14" s="38">
        <f ca="1">IF(C14="","",L14/SUM(OFFSET(CronoPrev!$D$14,0,0,Cronograma.NumPeríodos)))</f>
        <v>0</v>
      </c>
      <c r="O14" s="54">
        <v>1</v>
      </c>
      <c r="P14" s="105">
        <f ca="1">SUMIF(OFFSET(Eventograma_e_Quantitativos!$DK$17,1,0):OFFSET(Eventograma_e_Quantitativos!$DK$37,-1,0),Resumo_de_Acompanhamento!$O14,OFFSET(Eventograma_e_Quantitativos!$DL$17,1,0):OFFSET(Eventograma_e_Quantitativos!$DL$37,-1,0))</f>
        <v>0</v>
      </c>
    </row>
    <row r="15" spans="2:17" x14ac:dyDescent="0.2">
      <c r="B15" s="37">
        <f t="shared" ref="B15:B37" ca="1" si="1">OFFSET(B15,-1,0)+1</f>
        <v>2</v>
      </c>
      <c r="C15" s="37">
        <f ca="1">IF(OR(D15="",D15&lt;dataInicioObra),"",COUNTIF(CronoPrev!$C$14:$C$25,"&lt;"&amp;(D15-7))+1)</f>
        <v>1</v>
      </c>
      <c r="D15" s="45">
        <f ca="1">OFFSET(PLE!$G$40,TRUNC((ROW($B15)-ROW($B$14))/12,0)*8,MOD(ROW($B15)-ROW($B$14),12)*4)</f>
        <v>0</v>
      </c>
      <c r="E15" s="181">
        <f ca="1">OFFSET(PLE!$G$43,TRUNC((ROW($B15)-ROW($B$14))/12,0)*8,MOD(ROW(B15)-ROW($B$14),12)*4)</f>
        <v>0</v>
      </c>
      <c r="F15" s="181">
        <f t="shared" ref="F15:F37" ca="1" si="2">E15+OFFSET(F15,-1,0)</f>
        <v>0</v>
      </c>
      <c r="G15" s="38">
        <f ca="1">OFFSET(PLE!$G$42,TRUNC((ROW($B15)-ROW($B$14))/12,0)*8,MOD(ROW(B15)-ROW($B$14),12)*4)</f>
        <v>0</v>
      </c>
      <c r="H15" s="38">
        <f t="shared" ref="H15:H37" ca="1" si="3">G15+OFFSET(H15,-1,0)</f>
        <v>0</v>
      </c>
      <c r="I15" s="38">
        <f ca="1">IF(C15="","",IF(C15&gt;Cronograma.NumPeríodos,1,VLOOKUP(C15,CronoPrev!$B$14:$G$25,6,FALSE)))</f>
        <v>0.19732785413667206</v>
      </c>
      <c r="J15" s="137">
        <f t="shared" ca="1" si="0"/>
        <v>0</v>
      </c>
      <c r="K15" s="37">
        <f t="shared" ref="K15:K37" ca="1" si="4">INDEX(OFFSET(CronoPrev,0,3,,1),COUNTIF(OFFSET(CronoPrev,0,5,,1),"&lt;"&amp;H15))+ROUND((H15-IF(""=(INDEX(OFFSET(CronoPrev,0,5,,1),COUNTIF(OFFSET(CronoPrev,0,5,,1),"&lt;"&amp;H15))),0,INDEX(OFFSET(CronoPrev,0,5,,1),COUNTIF(OFFSET(CronoPrev,0,5,,1),"&lt;"&amp;H15))))/INDEX(OFFSET(CronoPrev,0,4,,1),COUNTIF(OFFSET(CronoPrev,0,5,,1),"&lt;"&amp;H15)+1)*INDEX(OFFSET(CronoPrev,0,2,,1),COUNTIF(OFFSET(CronoPrev,0,5,,1),"&lt;"&amp;H15)+1),0)</f>
        <v>-34</v>
      </c>
      <c r="L15" s="37">
        <f t="shared" ref="L15:L37" ca="1" si="5">IF(C15="","",K15-J15)</f>
        <v>-34</v>
      </c>
      <c r="M15" s="38">
        <f ca="1">IF(C15="","",L15/SUM(OFFSET(CronoPrev!$D$14,0,0,Cronograma.NumPeríodos)))</f>
        <v>-0.15962441314553991</v>
      </c>
      <c r="O15" s="54">
        <v>2</v>
      </c>
      <c r="P15" s="105">
        <f ca="1">SUMIF(OFFSET(Eventograma_e_Quantitativos!$DK$17,1,0):OFFSET(Eventograma_e_Quantitativos!$DK$37,-1,0),Resumo_de_Acompanhamento!$O15,OFFSET(Eventograma_e_Quantitativos!$DL$17,1,0):OFFSET(Eventograma_e_Quantitativos!$DL$37,-1,0))</f>
        <v>0</v>
      </c>
    </row>
    <row r="16" spans="2:17" x14ac:dyDescent="0.2">
      <c r="B16" s="37">
        <f t="shared" ca="1" si="1"/>
        <v>3</v>
      </c>
      <c r="C16" s="37">
        <f ca="1">IF(OR(D16="",D16&lt;dataInicioObra),"",COUNTIF(CronoPrev!$C$14:$C$25,"&lt;"&amp;(D16-7))+1)</f>
        <v>1</v>
      </c>
      <c r="D16" s="45">
        <f ca="1">OFFSET(PLE!$G$40,TRUNC((ROW($B16)-ROW($B$14))/12,0)*8,MOD(ROW($B16)-ROW($B$14),12)*4)</f>
        <v>0</v>
      </c>
      <c r="E16" s="181">
        <f ca="1">OFFSET(PLE!$G$43,TRUNC((ROW($B16)-ROW($B$14))/12,0)*8,MOD(ROW(B16)-ROW($B$14),12)*4)</f>
        <v>0</v>
      </c>
      <c r="F16" s="181">
        <f t="shared" ca="1" si="2"/>
        <v>0</v>
      </c>
      <c r="G16" s="38">
        <f ca="1">OFFSET(PLE!$G$42,TRUNC((ROW($B16)-ROW($B$14))/12,0)*8,MOD(ROW(B16)-ROW($B$14),12)*4)</f>
        <v>0</v>
      </c>
      <c r="H16" s="38">
        <f t="shared" ca="1" si="3"/>
        <v>0</v>
      </c>
      <c r="I16" s="38">
        <f ca="1">IF(C16="","",IF(C16&gt;Cronograma.NumPeríodos,1,VLOOKUP(C16,CronoPrev!$B$14:$G$25,6,FALSE)))</f>
        <v>0.19732785413667206</v>
      </c>
      <c r="J16" s="137">
        <f t="shared" ca="1" si="0"/>
        <v>0</v>
      </c>
      <c r="K16" s="37">
        <f t="shared" ca="1" si="4"/>
        <v>-62</v>
      </c>
      <c r="L16" s="37">
        <f t="shared" ca="1" si="5"/>
        <v>-62</v>
      </c>
      <c r="M16" s="38">
        <f ca="1">IF(C16="","",L16/SUM(OFFSET(CronoPrev!$D$14,0,0,Cronograma.NumPeríodos)))</f>
        <v>-0.29107981220657275</v>
      </c>
      <c r="O16" s="54">
        <v>3</v>
      </c>
      <c r="P16" s="105">
        <f ca="1">SUMIF(OFFSET(Eventograma_e_Quantitativos!$DK$17,1,0):OFFSET(Eventograma_e_Quantitativos!$DK$37,-1,0),Resumo_de_Acompanhamento!$O16,OFFSET(Eventograma_e_Quantitativos!$DL$17,1,0):OFFSET(Eventograma_e_Quantitativos!$DL$37,-1,0))</f>
        <v>0</v>
      </c>
    </row>
    <row r="17" spans="2:16" x14ac:dyDescent="0.2">
      <c r="B17" s="37">
        <f t="shared" ca="1" si="1"/>
        <v>4</v>
      </c>
      <c r="C17" s="37">
        <f ca="1">IF(OR(D17="",D17&lt;dataInicioObra),"",COUNTIF(CronoPrev!$C$14:$C$25,"&lt;"&amp;(D17-7))+1)</f>
        <v>1</v>
      </c>
      <c r="D17" s="45">
        <f ca="1">OFFSET(PLE!$G$40,TRUNC((ROW($B17)-ROW($B$14))/12,0)*8,MOD(ROW($B17)-ROW($B$14),12)*4)</f>
        <v>0</v>
      </c>
      <c r="E17" s="181">
        <f ca="1">OFFSET(PLE!$G$43,TRUNC((ROW($B17)-ROW($B$14))/12,0)*8,MOD(ROW(B17)-ROW($B$14),12)*4)</f>
        <v>0</v>
      </c>
      <c r="F17" s="181">
        <f t="shared" ca="1" si="2"/>
        <v>0</v>
      </c>
      <c r="G17" s="38">
        <f ca="1">OFFSET(PLE!$G$42,TRUNC((ROW($B17)-ROW($B$14))/12,0)*8,MOD(ROW(B17)-ROW($B$14),12)*4)</f>
        <v>0</v>
      </c>
      <c r="H17" s="38">
        <f t="shared" ca="1" si="3"/>
        <v>0</v>
      </c>
      <c r="I17" s="38">
        <f ca="1">IF(C17="","",IF(C17&gt;Cronograma.NumPeríodos,1,VLOOKUP(C17,CronoPrev!$B$14:$G$25,6,FALSE)))</f>
        <v>0.19732785413667206</v>
      </c>
      <c r="J17" s="137">
        <f t="shared" ca="1" si="0"/>
        <v>0</v>
      </c>
      <c r="K17" s="37">
        <f t="shared" ca="1" si="4"/>
        <v>-66</v>
      </c>
      <c r="L17" s="37">
        <f t="shared" ca="1" si="5"/>
        <v>-66</v>
      </c>
      <c r="M17" s="38">
        <f ca="1">IF(C17="","",L17/SUM(OFFSET(CronoPrev!$D$14,0,0,Cronograma.NumPeríodos)))</f>
        <v>-0.30985915492957744</v>
      </c>
      <c r="O17" s="54">
        <v>4</v>
      </c>
      <c r="P17" s="105">
        <f ca="1">SUMIF(OFFSET(Eventograma_e_Quantitativos!$DK$17,1,0):OFFSET(Eventograma_e_Quantitativos!$DK$37,-1,0),Resumo_de_Acompanhamento!$O17,OFFSET(Eventograma_e_Quantitativos!$DL$17,1,0):OFFSET(Eventograma_e_Quantitativos!$DL$37,-1,0))</f>
        <v>0</v>
      </c>
    </row>
    <row r="18" spans="2:16" x14ac:dyDescent="0.2">
      <c r="B18" s="37">
        <f t="shared" ca="1" si="1"/>
        <v>5</v>
      </c>
      <c r="C18" s="37">
        <f ca="1">IF(OR(D18="",D18&lt;dataInicioObra),"",COUNTIF(CronoPrev!$C$14:$C$25,"&lt;"&amp;(D18-7))+1)</f>
        <v>1</v>
      </c>
      <c r="D18" s="45">
        <f ca="1">OFFSET(PLE!$G$40,TRUNC((ROW($B18)-ROW($B$14))/12,0)*8,MOD(ROW($B18)-ROW($B$14),12)*4)</f>
        <v>0</v>
      </c>
      <c r="E18" s="181">
        <f ca="1">OFFSET(PLE!$G$43,TRUNC((ROW($B18)-ROW($B$14))/12,0)*8,MOD(ROW(B18)-ROW($B$14),12)*4)</f>
        <v>0</v>
      </c>
      <c r="F18" s="181">
        <f t="shared" ca="1" si="2"/>
        <v>0</v>
      </c>
      <c r="G18" s="38">
        <f ca="1">OFFSET(PLE!$G$42,TRUNC((ROW($B18)-ROW($B$14))/12,0)*8,MOD(ROW(B18)-ROW($B$14),12)*4)</f>
        <v>0</v>
      </c>
      <c r="H18" s="38">
        <f t="shared" ca="1" si="3"/>
        <v>0</v>
      </c>
      <c r="I18" s="38">
        <f ca="1">IF(C18="","",IF(C18&gt;Cronograma.NumPeríodos,1,VLOOKUP(C18,CronoPrev!$B$14:$G$25,6,FALSE)))</f>
        <v>0.19732785413667206</v>
      </c>
      <c r="J18" s="137">
        <f t="shared" ca="1" si="0"/>
        <v>0</v>
      </c>
      <c r="K18" s="37">
        <f t="shared" ca="1" si="4"/>
        <v>-76</v>
      </c>
      <c r="L18" s="37">
        <f t="shared" ca="1" si="5"/>
        <v>-76</v>
      </c>
      <c r="M18" s="38">
        <f ca="1">IF(C18="","",L18/SUM(OFFSET(CronoPrev!$D$14,0,0,Cronograma.NumPeríodos)))</f>
        <v>-0.35680751173708919</v>
      </c>
      <c r="O18" s="54">
        <v>5</v>
      </c>
      <c r="P18" s="105">
        <f ca="1">SUMIF(OFFSET(Eventograma_e_Quantitativos!$DK$17,1,0):OFFSET(Eventograma_e_Quantitativos!$DK$37,-1,0),Resumo_de_Acompanhamento!$O18,OFFSET(Eventograma_e_Quantitativos!$DL$17,1,0):OFFSET(Eventograma_e_Quantitativos!$DL$37,-1,0))</f>
        <v>0</v>
      </c>
    </row>
    <row r="19" spans="2:16" x14ac:dyDescent="0.2">
      <c r="B19" s="37">
        <f t="shared" ca="1" si="1"/>
        <v>6</v>
      </c>
      <c r="C19" s="37">
        <f ca="1">IF(OR(D19="",D19&lt;dataInicioObra),"",COUNTIF(CronoPrev!$C$14:$C$25,"&lt;"&amp;(D19-7))+1)</f>
        <v>1</v>
      </c>
      <c r="D19" s="45">
        <f ca="1">OFFSET(PLE!$G$40,TRUNC((ROW($B19)-ROW($B$14))/12,0)*8,MOD(ROW($B19)-ROW($B$14),12)*4)</f>
        <v>0</v>
      </c>
      <c r="E19" s="181">
        <f ca="1">OFFSET(PLE!$G$43,TRUNC((ROW($B19)-ROW($B$14))/12,0)*8,MOD(ROW(B19)-ROW($B$14),12)*4)</f>
        <v>0</v>
      </c>
      <c r="F19" s="181">
        <f t="shared" ca="1" si="2"/>
        <v>0</v>
      </c>
      <c r="G19" s="38">
        <f ca="1">OFFSET(PLE!$G$42,TRUNC((ROW($B19)-ROW($B$14))/12,0)*8,MOD(ROW(B19)-ROW($B$14),12)*4)</f>
        <v>0</v>
      </c>
      <c r="H19" s="38">
        <f t="shared" ca="1" si="3"/>
        <v>0</v>
      </c>
      <c r="I19" s="38">
        <f ca="1">IF(C19="","",IF(C19&gt;Cronograma.NumPeríodos,1,VLOOKUP(C19,CronoPrev!$B$14:$G$25,6,FALSE)))</f>
        <v>0.19732785413667206</v>
      </c>
      <c r="J19" s="137">
        <f t="shared" ca="1" si="0"/>
        <v>0</v>
      </c>
      <c r="K19" s="37">
        <f t="shared" ca="1" si="4"/>
        <v>-91</v>
      </c>
      <c r="L19" s="37">
        <f t="shared" ca="1" si="5"/>
        <v>-91</v>
      </c>
      <c r="M19" s="38">
        <f ca="1">IF(C19="","",L19/SUM(OFFSET(CronoPrev!$D$14,0,0,Cronograma.NumPeríodos)))</f>
        <v>-0.42723004694835681</v>
      </c>
      <c r="O19" s="54">
        <v>6</v>
      </c>
      <c r="P19" s="105">
        <f ca="1">SUMIF(OFFSET(Eventograma_e_Quantitativos!$DK$17,1,0):OFFSET(Eventograma_e_Quantitativos!$DK$37,-1,0),Resumo_de_Acompanhamento!$O19,OFFSET(Eventograma_e_Quantitativos!$DL$17,1,0):OFFSET(Eventograma_e_Quantitativos!$DL$37,-1,0))</f>
        <v>0</v>
      </c>
    </row>
    <row r="20" spans="2:16" x14ac:dyDescent="0.2">
      <c r="B20" s="37">
        <f t="shared" ca="1" si="1"/>
        <v>7</v>
      </c>
      <c r="C20" s="37">
        <f ca="1">IF(OR(D20="",D20&lt;dataInicioObra),"",COUNTIF(CronoPrev!$C$14:$C$25,"&lt;"&amp;(D20-7))+1)</f>
        <v>1</v>
      </c>
      <c r="D20" s="45">
        <f ca="1">OFFSET(PLE!$G$40,TRUNC((ROW($B20)-ROW($B$14))/12,0)*8,MOD(ROW($B20)-ROW($B$14),12)*4)</f>
        <v>0</v>
      </c>
      <c r="E20" s="181">
        <f ca="1">OFFSET(PLE!$G$43,TRUNC((ROW($B20)-ROW($B$14))/12,0)*8,MOD(ROW(B20)-ROW($B$14),12)*4)</f>
        <v>0</v>
      </c>
      <c r="F20" s="181">
        <f t="shared" ca="1" si="2"/>
        <v>0</v>
      </c>
      <c r="G20" s="38">
        <f ca="1">OFFSET(PLE!$G$42,TRUNC((ROW($B20)-ROW($B$14))/12,0)*8,MOD(ROW(B20)-ROW($B$14),12)*4)</f>
        <v>0</v>
      </c>
      <c r="H20" s="38">
        <f t="shared" ca="1" si="3"/>
        <v>0</v>
      </c>
      <c r="I20" s="38">
        <f ca="1">IF(C20="","",IF(C20&gt;Cronograma.NumPeríodos,1,VLOOKUP(C20,CronoPrev!$B$14:$G$25,6,FALSE)))</f>
        <v>0.19732785413667206</v>
      </c>
      <c r="J20" s="137">
        <f t="shared" ca="1" si="0"/>
        <v>0</v>
      </c>
      <c r="K20" s="37">
        <f t="shared" ca="1" si="4"/>
        <v>-60</v>
      </c>
      <c r="L20" s="37">
        <f t="shared" ca="1" si="5"/>
        <v>-60</v>
      </c>
      <c r="M20" s="38">
        <f ca="1">IF(C20="","",L20/SUM(OFFSET(CronoPrev!$D$14,0,0,Cronograma.NumPeríodos)))</f>
        <v>-0.28169014084507044</v>
      </c>
      <c r="O20" s="54">
        <v>7</v>
      </c>
      <c r="P20" s="105">
        <f ca="1">SUMIF(OFFSET(Eventograma_e_Quantitativos!$DK$17,1,0):OFFSET(Eventograma_e_Quantitativos!$DK$37,-1,0),Resumo_de_Acompanhamento!$O20,OFFSET(Eventograma_e_Quantitativos!$DL$17,1,0):OFFSET(Eventograma_e_Quantitativos!$DL$37,-1,0))</f>
        <v>0</v>
      </c>
    </row>
    <row r="21" spans="2:16" x14ac:dyDescent="0.2">
      <c r="B21" s="37">
        <f t="shared" ca="1" si="1"/>
        <v>8</v>
      </c>
      <c r="C21" s="37">
        <f ca="1">IF(OR(D21="",D21&lt;dataInicioObra),"",COUNTIF(CronoPrev!$C$14:$C$25,"&lt;"&amp;(D21-7))+1)</f>
        <v>1</v>
      </c>
      <c r="D21" s="45">
        <f ca="1">OFFSET(PLE!$G$40,TRUNC((ROW($B21)-ROW($B$14))/12,0)*8,MOD(ROW($B21)-ROW($B$14),12)*4)</f>
        <v>0</v>
      </c>
      <c r="E21" s="181">
        <f ca="1">OFFSET(PLE!$G$43,TRUNC((ROW($B21)-ROW($B$14))/12,0)*8,MOD(ROW(B21)-ROW($B$14),12)*4)</f>
        <v>0</v>
      </c>
      <c r="F21" s="181">
        <f t="shared" ca="1" si="2"/>
        <v>0</v>
      </c>
      <c r="G21" s="38">
        <f ca="1">OFFSET(PLE!$G$42,TRUNC((ROW($B21)-ROW($B$14))/12,0)*8,MOD(ROW(B21)-ROW($B$14),12)*4)</f>
        <v>0</v>
      </c>
      <c r="H21" s="38">
        <f t="shared" ca="1" si="3"/>
        <v>0</v>
      </c>
      <c r="I21" s="38">
        <f ca="1">IF(C21="","",IF(C21&gt;Cronograma.NumPeríodos,1,VLOOKUP(C21,CronoPrev!$B$14:$G$25,6,FALSE)))</f>
        <v>0.19732785413667206</v>
      </c>
      <c r="J21" s="137">
        <f t="shared" ca="1" si="0"/>
        <v>0</v>
      </c>
      <c r="K21" s="37">
        <f t="shared" ca="1" si="4"/>
        <v>-30</v>
      </c>
      <c r="L21" s="37">
        <f t="shared" ca="1" si="5"/>
        <v>-30</v>
      </c>
      <c r="M21" s="38">
        <f ca="1">IF(C21="","",L21/SUM(OFFSET(CronoPrev!$D$14,0,0,Cronograma.NumPeríodos)))</f>
        <v>-0.14084507042253522</v>
      </c>
      <c r="O21" s="54">
        <v>8</v>
      </c>
      <c r="P21" s="105">
        <f ca="1">SUMIF(OFFSET(Eventograma_e_Quantitativos!$DK$17,1,0):OFFSET(Eventograma_e_Quantitativos!$DK$37,-1,0),Resumo_de_Acompanhamento!$O21,OFFSET(Eventograma_e_Quantitativos!$DL$17,1,0):OFFSET(Eventograma_e_Quantitativos!$DL$37,-1,0))</f>
        <v>0</v>
      </c>
    </row>
    <row r="22" spans="2:16" x14ac:dyDescent="0.2">
      <c r="B22" s="37">
        <f t="shared" ca="1" si="1"/>
        <v>9</v>
      </c>
      <c r="C22" s="37">
        <f ca="1">IF(OR(D22="",D22&lt;dataInicioObra),"",COUNTIF(CronoPrev!$C$14:$C$25,"&lt;"&amp;(D22-7))+1)</f>
        <v>1</v>
      </c>
      <c r="D22" s="45">
        <f ca="1">OFFSET(PLE!$G$40,TRUNC((ROW($B22)-ROW($B$14))/12,0)*8,MOD(ROW($B22)-ROW($B$14),12)*4)</f>
        <v>0</v>
      </c>
      <c r="E22" s="181">
        <f ca="1">OFFSET(PLE!$G$43,TRUNC((ROW($B22)-ROW($B$14))/12,0)*8,MOD(ROW(B22)-ROW($B$14),12)*4)</f>
        <v>0</v>
      </c>
      <c r="F22" s="181">
        <f t="shared" ca="1" si="2"/>
        <v>0</v>
      </c>
      <c r="G22" s="38">
        <f ca="1">OFFSET(PLE!$G$42,TRUNC((ROW($B22)-ROW($B$14))/12,0)*8,MOD(ROW(B22)-ROW($B$14),12)*4)</f>
        <v>0</v>
      </c>
      <c r="H22" s="38">
        <f t="shared" ca="1" si="3"/>
        <v>0</v>
      </c>
      <c r="I22" s="38">
        <f ca="1">IF(C22="","",IF(C22&gt;Cronograma.NumPeríodos,1,VLOOKUP(C22,CronoPrev!$B$14:$G$25,6,FALSE)))</f>
        <v>0.19732785413667206</v>
      </c>
      <c r="J22" s="137">
        <f t="shared" ca="1" si="0"/>
        <v>0</v>
      </c>
      <c r="K22" s="37">
        <f t="shared" ca="1" si="4"/>
        <v>1</v>
      </c>
      <c r="L22" s="37">
        <f t="shared" ca="1" si="5"/>
        <v>1</v>
      </c>
      <c r="M22" s="38">
        <f ca="1">IF(C22="","",L22/SUM(OFFSET(CronoPrev!$D$14,0,0,Cronograma.NumPeríodos)))</f>
        <v>4.6948356807511738E-3</v>
      </c>
      <c r="O22" s="54">
        <v>9</v>
      </c>
      <c r="P22" s="105">
        <f ca="1">SUMIF(OFFSET(Eventograma_e_Quantitativos!$DK$17,1,0):OFFSET(Eventograma_e_Quantitativos!$DK$37,-1,0),Resumo_de_Acompanhamento!$O22,OFFSET(Eventograma_e_Quantitativos!$DL$17,1,0):OFFSET(Eventograma_e_Quantitativos!$DL$37,-1,0))</f>
        <v>0</v>
      </c>
    </row>
    <row r="23" spans="2:16" x14ac:dyDescent="0.2">
      <c r="B23" s="37">
        <f t="shared" ca="1" si="1"/>
        <v>10</v>
      </c>
      <c r="C23" s="37">
        <f ca="1">IF(OR(D23="",D23&lt;dataInicioObra),"",COUNTIF(CronoPrev!$C$14:$C$25,"&lt;"&amp;(D23-7))+1)</f>
        <v>1</v>
      </c>
      <c r="D23" s="45">
        <f ca="1">OFFSET(PLE!$G$40,TRUNC((ROW($B23)-ROW($B$14))/12,0)*8,MOD(ROW($B23)-ROW($B$14),12)*4)</f>
        <v>0</v>
      </c>
      <c r="E23" s="181">
        <f ca="1">OFFSET(PLE!$G$43,TRUNC((ROW($B23)-ROW($B$14))/12,0)*8,MOD(ROW(B23)-ROW($B$14),12)*4)</f>
        <v>0</v>
      </c>
      <c r="F23" s="181">
        <f t="shared" ca="1" si="2"/>
        <v>0</v>
      </c>
      <c r="G23" s="38">
        <f ca="1">OFFSET(PLE!$G$42,TRUNC((ROW($B23)-ROW($B$14))/12,0)*8,MOD(ROW(B23)-ROW($B$14),12)*4)</f>
        <v>0</v>
      </c>
      <c r="H23" s="38">
        <f t="shared" ca="1" si="3"/>
        <v>0</v>
      </c>
      <c r="I23" s="38">
        <f ca="1">IF(C23="","",IF(C23&gt;Cronograma.NumPeríodos,1,VLOOKUP(C23,CronoPrev!$B$14:$G$25,6,FALSE)))</f>
        <v>0.19732785413667206</v>
      </c>
      <c r="J23" s="137">
        <f t="shared" ca="1" si="0"/>
        <v>0</v>
      </c>
      <c r="K23" s="37">
        <f t="shared" ca="1" si="4"/>
        <v>31</v>
      </c>
      <c r="L23" s="37">
        <f t="shared" ca="1" si="5"/>
        <v>31</v>
      </c>
      <c r="M23" s="38">
        <f ca="1">IF(C23="","",L23/SUM(OFFSET(CronoPrev!$D$14,0,0,Cronograma.NumPeríodos)))</f>
        <v>0.14553990610328638</v>
      </c>
      <c r="O23" s="54">
        <v>10</v>
      </c>
      <c r="P23" s="105">
        <f ca="1">SUMIF(OFFSET(Eventograma_e_Quantitativos!$DK$17,1,0):OFFSET(Eventograma_e_Quantitativos!$DK$37,-1,0),Resumo_de_Acompanhamento!$O23,OFFSET(Eventograma_e_Quantitativos!$DL$17,1,0):OFFSET(Eventograma_e_Quantitativos!$DL$37,-1,0))</f>
        <v>0</v>
      </c>
    </row>
    <row r="24" spans="2:16" x14ac:dyDescent="0.2">
      <c r="B24" s="37">
        <f t="shared" ca="1" si="1"/>
        <v>11</v>
      </c>
      <c r="C24" s="37">
        <f ca="1">IF(OR(D24="",D24&lt;dataInicioObra),"",COUNTIF(CronoPrev!$C$14:$C$25,"&lt;"&amp;(D24-7))+1)</f>
        <v>1</v>
      </c>
      <c r="D24" s="45">
        <f ca="1">OFFSET(PLE!$G$40,TRUNC((ROW($B24)-ROW($B$14))/12,0)*8,MOD(ROW($B24)-ROW($B$14),12)*4)</f>
        <v>0</v>
      </c>
      <c r="E24" s="181">
        <f ca="1">OFFSET(PLE!$G$43,TRUNC((ROW($B24)-ROW($B$14))/12,0)*8,MOD(ROW(B24)-ROW($B$14),12)*4)</f>
        <v>0</v>
      </c>
      <c r="F24" s="181">
        <f t="shared" ca="1" si="2"/>
        <v>0</v>
      </c>
      <c r="G24" s="38">
        <f ca="1">OFFSET(PLE!$G$42,TRUNC((ROW($B24)-ROW($B$14))/12,0)*8,MOD(ROW(B24)-ROW($B$14),12)*4)</f>
        <v>0</v>
      </c>
      <c r="H24" s="38">
        <f t="shared" ca="1" si="3"/>
        <v>0</v>
      </c>
      <c r="I24" s="38">
        <f ca="1">IF(C24="","",IF(C24&gt;Cronograma.NumPeríodos,1,VLOOKUP(C24,CronoPrev!$B$14:$G$25,6,FALSE)))</f>
        <v>0.19732785413667206</v>
      </c>
      <c r="J24" s="137">
        <f t="shared" ca="1" si="0"/>
        <v>0</v>
      </c>
      <c r="K24" s="37">
        <f t="shared" ca="1" si="4"/>
        <v>62</v>
      </c>
      <c r="L24" s="37">
        <f t="shared" ca="1" si="5"/>
        <v>62</v>
      </c>
      <c r="M24" s="38">
        <f ca="1">IF(C24="","",L24/SUM(OFFSET(CronoPrev!$D$14,0,0,Cronograma.NumPeríodos)))</f>
        <v>0.29107981220657275</v>
      </c>
      <c r="O24" s="54">
        <v>11</v>
      </c>
      <c r="P24" s="105">
        <f ca="1">SUMIF(OFFSET(Eventograma_e_Quantitativos!$DK$17,1,0):OFFSET(Eventograma_e_Quantitativos!$DK$37,-1,0),Resumo_de_Acompanhamento!$O24,OFFSET(Eventograma_e_Quantitativos!$DL$17,1,0):OFFSET(Eventograma_e_Quantitativos!$DL$37,-1,0))</f>
        <v>0</v>
      </c>
    </row>
    <row r="25" spans="2:16" x14ac:dyDescent="0.2">
      <c r="B25" s="37">
        <f t="shared" ca="1" si="1"/>
        <v>12</v>
      </c>
      <c r="C25" s="37">
        <f ca="1">IF(OR(D25="",D25&lt;dataInicioObra),"",COUNTIF(CronoPrev!$C$14:$C$25,"&lt;"&amp;(D25-7))+1)</f>
        <v>1</v>
      </c>
      <c r="D25" s="45">
        <f ca="1">OFFSET(PLE!$G$40,TRUNC((ROW($B25)-ROW($B$14))/12,0)*8,MOD(ROW($B25)-ROW($B$14),12)*4)</f>
        <v>0</v>
      </c>
      <c r="E25" s="181">
        <f ca="1">OFFSET(PLE!$G$43,TRUNC((ROW($B25)-ROW($B$14))/12,0)*8,MOD(ROW(B25)-ROW($B$14),12)*4)</f>
        <v>0</v>
      </c>
      <c r="F25" s="181">
        <f t="shared" ca="1" si="2"/>
        <v>0</v>
      </c>
      <c r="G25" s="38">
        <f ca="1">OFFSET(PLE!$G$42,TRUNC((ROW($B25)-ROW($B$14))/12,0)*8,MOD(ROW(B25)-ROW($B$14),12)*4)</f>
        <v>0</v>
      </c>
      <c r="H25" s="38">
        <f t="shared" ca="1" si="3"/>
        <v>0</v>
      </c>
      <c r="I25" s="38">
        <f ca="1">IF(C25="","",IF(C25&gt;Cronograma.NumPeríodos,1,VLOOKUP(C25,CronoPrev!$B$14:$G$25,6,FALSE)))</f>
        <v>0.19732785413667206</v>
      </c>
      <c r="J25" s="137">
        <f t="shared" ca="1" si="0"/>
        <v>0</v>
      </c>
      <c r="K25" s="37">
        <f t="shared" ca="1" si="4"/>
        <v>93</v>
      </c>
      <c r="L25" s="37">
        <f t="shared" ca="1" si="5"/>
        <v>93</v>
      </c>
      <c r="M25" s="38">
        <f ca="1">IF(C25="","",L25/SUM(OFFSET(CronoPrev!$D$14,0,0,Cronograma.NumPeríodos)))</f>
        <v>0.43661971830985913</v>
      </c>
      <c r="O25" s="54">
        <v>12</v>
      </c>
      <c r="P25" s="105">
        <f ca="1">SUMIF(OFFSET(Eventograma_e_Quantitativos!$DK$17,1,0):OFFSET(Eventograma_e_Quantitativos!$DK$37,-1,0),Resumo_de_Acompanhamento!$O25,OFFSET(Eventograma_e_Quantitativos!$DL$17,1,0):OFFSET(Eventograma_e_Quantitativos!$DL$37,-1,0))</f>
        <v>0</v>
      </c>
    </row>
    <row r="26" spans="2:16" x14ac:dyDescent="0.2">
      <c r="B26" s="37">
        <f t="shared" ca="1" si="1"/>
        <v>13</v>
      </c>
      <c r="C26" s="37">
        <f ca="1">IF(OR(D26="",D26&lt;dataInicioObra),"",COUNTIF(CronoPrev!$C$14:$C$25,"&lt;"&amp;(D26-7))+1)</f>
        <v>1</v>
      </c>
      <c r="D26" s="45">
        <f ca="1">OFFSET(PLE!$G$40,TRUNC((ROW($B26)-ROW($B$14))/12,0)*8,MOD(ROW($B26)-ROW($B$14),12)*4)</f>
        <v>0</v>
      </c>
      <c r="E26" s="181">
        <f ca="1">OFFSET(PLE!$G$43,TRUNC((ROW($B26)-ROW($B$14))/12,0)*8,MOD(ROW(B26)-ROW($B$14),12)*4)</f>
        <v>0</v>
      </c>
      <c r="F26" s="181">
        <f t="shared" ca="1" si="2"/>
        <v>0</v>
      </c>
      <c r="G26" s="38">
        <f ca="1">OFFSET(PLE!$G$42,TRUNC((ROW($B26)-ROW($B$14))/12,0)*8,MOD(ROW(B26)-ROW($B$14),12)*4)</f>
        <v>0</v>
      </c>
      <c r="H26" s="38">
        <f t="shared" ca="1" si="3"/>
        <v>0</v>
      </c>
      <c r="I26" s="38">
        <f ca="1">IF(C26="","",IF(C26&gt;Cronograma.NumPeríodos,1,VLOOKUP(C26,CronoPrev!$B$14:$G$25,6,FALSE)))</f>
        <v>0.19732785413667206</v>
      </c>
      <c r="J26" s="137">
        <f t="shared" ca="1" si="0"/>
        <v>0</v>
      </c>
      <c r="K26" s="37" t="e">
        <f t="shared" ca="1" si="4"/>
        <v>#VALUE!</v>
      </c>
      <c r="L26" s="37" t="e">
        <f t="shared" ca="1" si="5"/>
        <v>#VALUE!</v>
      </c>
      <c r="M26" s="38" t="e">
        <f ca="1">IF(C26="","",L26/SUM(OFFSET(CronoPrev!$D$14,0,0,Cronograma.NumPeríodos)))</f>
        <v>#VALUE!</v>
      </c>
      <c r="O26" s="54">
        <v>13</v>
      </c>
      <c r="P26" s="105">
        <f ca="1">SUMIF(OFFSET(Eventograma_e_Quantitativos!$DK$17,1,0):OFFSET(Eventograma_e_Quantitativos!$DK$37,-1,0),Resumo_de_Acompanhamento!$O26,OFFSET(Eventograma_e_Quantitativos!$DL$17,1,0):OFFSET(Eventograma_e_Quantitativos!$DL$37,-1,0))</f>
        <v>0</v>
      </c>
    </row>
    <row r="27" spans="2:16" x14ac:dyDescent="0.2">
      <c r="B27" s="37">
        <f t="shared" ca="1" si="1"/>
        <v>14</v>
      </c>
      <c r="C27" s="37">
        <f ca="1">IF(OR(D27="",D27&lt;dataInicioObra),"",COUNTIF(CronoPrev!$C$14:$C$25,"&lt;"&amp;(D27-7))+1)</f>
        <v>1</v>
      </c>
      <c r="D27" s="45">
        <f ca="1">OFFSET(PLE!$G$40,TRUNC((ROW($B27)-ROW($B$14))/12,0)*8,MOD(ROW($B27)-ROW($B$14),12)*4)</f>
        <v>0</v>
      </c>
      <c r="E27" s="181">
        <f ca="1">OFFSET(PLE!$G$43,TRUNC((ROW($B27)-ROW($B$14))/12,0)*8,MOD(ROW(B27)-ROW($B$14),12)*4)</f>
        <v>0</v>
      </c>
      <c r="F27" s="181">
        <f t="shared" ca="1" si="2"/>
        <v>0</v>
      </c>
      <c r="G27" s="38">
        <f ca="1">OFFSET(PLE!$G$42,TRUNC((ROW($B27)-ROW($B$14))/12,0)*8,MOD(ROW(B27)-ROW($B$14),12)*4)</f>
        <v>0</v>
      </c>
      <c r="H27" s="38">
        <f t="shared" ca="1" si="3"/>
        <v>0</v>
      </c>
      <c r="I27" s="38">
        <f ca="1">IF(C27="","",IF(C27&gt;Cronograma.NumPeríodos,1,VLOOKUP(C27,CronoPrev!$B$14:$G$25,6,FALSE)))</f>
        <v>0.19732785413667206</v>
      </c>
      <c r="J27" s="137">
        <f t="shared" ca="1" si="0"/>
        <v>0</v>
      </c>
      <c r="K27" s="37" t="e">
        <f t="shared" ca="1" si="4"/>
        <v>#VALUE!</v>
      </c>
      <c r="L27" s="37" t="e">
        <f t="shared" ca="1" si="5"/>
        <v>#VALUE!</v>
      </c>
      <c r="M27" s="38" t="e">
        <f ca="1">IF(C27="","",L27/SUM(OFFSET(CronoPrev!$D$14,0,0,Cronograma.NumPeríodos)))</f>
        <v>#VALUE!</v>
      </c>
      <c r="O27" s="54">
        <v>14</v>
      </c>
      <c r="P27" s="105">
        <f ca="1">SUMIF(OFFSET(Eventograma_e_Quantitativos!$DK$17,1,0):OFFSET(Eventograma_e_Quantitativos!$DK$37,-1,0),Resumo_de_Acompanhamento!$O27,OFFSET(Eventograma_e_Quantitativos!$DL$17,1,0):OFFSET(Eventograma_e_Quantitativos!$DL$37,-1,0))</f>
        <v>0</v>
      </c>
    </row>
    <row r="28" spans="2:16" x14ac:dyDescent="0.2">
      <c r="B28" s="37">
        <f t="shared" ca="1" si="1"/>
        <v>15</v>
      </c>
      <c r="C28" s="37">
        <f ca="1">IF(OR(D28="",D28&lt;dataInicioObra),"",COUNTIF(CronoPrev!$C$14:$C$25,"&lt;"&amp;(D28-7))+1)</f>
        <v>1</v>
      </c>
      <c r="D28" s="45">
        <f ca="1">OFFSET(PLE!$G$40,TRUNC((ROW($B28)-ROW($B$14))/12,0)*8,MOD(ROW($B28)-ROW($B$14),12)*4)</f>
        <v>0</v>
      </c>
      <c r="E28" s="181">
        <f ca="1">OFFSET(PLE!$G$43,TRUNC((ROW($B28)-ROW($B$14))/12,0)*8,MOD(ROW(B28)-ROW($B$14),12)*4)</f>
        <v>0</v>
      </c>
      <c r="F28" s="181">
        <f t="shared" ca="1" si="2"/>
        <v>0</v>
      </c>
      <c r="G28" s="38">
        <f ca="1">OFFSET(PLE!$G$42,TRUNC((ROW($B28)-ROW($B$14))/12,0)*8,MOD(ROW(B28)-ROW($B$14),12)*4)</f>
        <v>0</v>
      </c>
      <c r="H28" s="38">
        <f t="shared" ca="1" si="3"/>
        <v>0</v>
      </c>
      <c r="I28" s="38">
        <f ca="1">IF(C28="","",IF(C28&gt;Cronograma.NumPeríodos,1,VLOOKUP(C28,CronoPrev!$B$14:$G$25,6,FALSE)))</f>
        <v>0.19732785413667206</v>
      </c>
      <c r="J28" s="137">
        <f t="shared" ca="1" si="0"/>
        <v>0</v>
      </c>
      <c r="K28" s="37" t="e">
        <f t="shared" ca="1" si="4"/>
        <v>#VALUE!</v>
      </c>
      <c r="L28" s="37" t="e">
        <f t="shared" ca="1" si="5"/>
        <v>#VALUE!</v>
      </c>
      <c r="M28" s="38" t="e">
        <f ca="1">IF(C28="","",L28/SUM(OFFSET(CronoPrev!$D$14,0,0,Cronograma.NumPeríodos)))</f>
        <v>#VALUE!</v>
      </c>
      <c r="O28" s="54">
        <v>15</v>
      </c>
      <c r="P28" s="105">
        <f ca="1">SUMIF(OFFSET(Eventograma_e_Quantitativos!$DK$17,1,0):OFFSET(Eventograma_e_Quantitativos!$DK$37,-1,0),Resumo_de_Acompanhamento!$O28,OFFSET(Eventograma_e_Quantitativos!$DL$17,1,0):OFFSET(Eventograma_e_Quantitativos!$DL$37,-1,0))</f>
        <v>0</v>
      </c>
    </row>
    <row r="29" spans="2:16" x14ac:dyDescent="0.2">
      <c r="B29" s="37">
        <f t="shared" ca="1" si="1"/>
        <v>16</v>
      </c>
      <c r="C29" s="37">
        <f ca="1">IF(OR(D29="",D29&lt;dataInicioObra),"",COUNTIF(CronoPrev!$C$14:$C$25,"&lt;"&amp;(D29-7))+1)</f>
        <v>1</v>
      </c>
      <c r="D29" s="45">
        <f ca="1">OFFSET(PLE!$G$40,TRUNC((ROW($B29)-ROW($B$14))/12,0)*8,MOD(ROW($B29)-ROW($B$14),12)*4)</f>
        <v>0</v>
      </c>
      <c r="E29" s="181">
        <f ca="1">OFFSET(PLE!$G$43,TRUNC((ROW($B29)-ROW($B$14))/12,0)*8,MOD(ROW(B29)-ROW($B$14),12)*4)</f>
        <v>0</v>
      </c>
      <c r="F29" s="181">
        <f t="shared" ca="1" si="2"/>
        <v>0</v>
      </c>
      <c r="G29" s="38">
        <f ca="1">OFFSET(PLE!$G$42,TRUNC((ROW($B29)-ROW($B$14))/12,0)*8,MOD(ROW(B29)-ROW($B$14),12)*4)</f>
        <v>0</v>
      </c>
      <c r="H29" s="38">
        <f t="shared" ca="1" si="3"/>
        <v>0</v>
      </c>
      <c r="I29" s="38">
        <f ca="1">IF(C29="","",IF(C29&gt;Cronograma.NumPeríodos,1,VLOOKUP(C29,CronoPrev!$B$14:$G$25,6,FALSE)))</f>
        <v>0.19732785413667206</v>
      </c>
      <c r="J29" s="137">
        <f t="shared" ca="1" si="0"/>
        <v>0</v>
      </c>
      <c r="K29" s="37" t="e">
        <f t="shared" ca="1" si="4"/>
        <v>#VALUE!</v>
      </c>
      <c r="L29" s="37" t="e">
        <f t="shared" ca="1" si="5"/>
        <v>#VALUE!</v>
      </c>
      <c r="M29" s="38" t="e">
        <f ca="1">IF(C29="","",L29/SUM(OFFSET(CronoPrev!$D$14,0,0,Cronograma.NumPeríodos)))</f>
        <v>#VALUE!</v>
      </c>
      <c r="O29" s="54">
        <v>16</v>
      </c>
      <c r="P29" s="105">
        <f ca="1">SUMIF(OFFSET(Eventograma_e_Quantitativos!$DK$17,1,0):OFFSET(Eventograma_e_Quantitativos!$DK$37,-1,0),Resumo_de_Acompanhamento!$O29,OFFSET(Eventograma_e_Quantitativos!$DL$17,1,0):OFFSET(Eventograma_e_Quantitativos!$DL$37,-1,0))</f>
        <v>0</v>
      </c>
    </row>
    <row r="30" spans="2:16" x14ac:dyDescent="0.2">
      <c r="B30" s="37">
        <f t="shared" ca="1" si="1"/>
        <v>17</v>
      </c>
      <c r="C30" s="37">
        <f ca="1">IF(OR(D30="",D30&lt;dataInicioObra),"",COUNTIF(CronoPrev!$C$14:$C$25,"&lt;"&amp;(D30-7))+1)</f>
        <v>1</v>
      </c>
      <c r="D30" s="45">
        <f ca="1">OFFSET(PLE!$G$40,TRUNC((ROW($B30)-ROW($B$14))/12,0)*8,MOD(ROW($B30)-ROW($B$14),12)*4)</f>
        <v>0</v>
      </c>
      <c r="E30" s="181">
        <f ca="1">OFFSET(PLE!$G$43,TRUNC((ROW($B30)-ROW($B$14))/12,0)*8,MOD(ROW(B30)-ROW($B$14),12)*4)</f>
        <v>0</v>
      </c>
      <c r="F30" s="181">
        <f t="shared" ca="1" si="2"/>
        <v>0</v>
      </c>
      <c r="G30" s="38">
        <f ca="1">OFFSET(PLE!$G$42,TRUNC((ROW($B30)-ROW($B$14))/12,0)*8,MOD(ROW(B30)-ROW($B$14),12)*4)</f>
        <v>0</v>
      </c>
      <c r="H30" s="38">
        <f t="shared" ca="1" si="3"/>
        <v>0</v>
      </c>
      <c r="I30" s="38">
        <f ca="1">IF(C30="","",IF(C30&gt;Cronograma.NumPeríodos,1,VLOOKUP(C30,CronoPrev!$B$14:$G$25,6,FALSE)))</f>
        <v>0.19732785413667206</v>
      </c>
      <c r="J30" s="137">
        <f t="shared" ca="1" si="0"/>
        <v>0</v>
      </c>
      <c r="K30" s="37" t="e">
        <f t="shared" ca="1" si="4"/>
        <v>#VALUE!</v>
      </c>
      <c r="L30" s="37" t="e">
        <f t="shared" ca="1" si="5"/>
        <v>#VALUE!</v>
      </c>
      <c r="M30" s="38" t="e">
        <f ca="1">IF(C30="","",L30/SUM(OFFSET(CronoPrev!$D$14,0,0,Cronograma.NumPeríodos)))</f>
        <v>#VALUE!</v>
      </c>
      <c r="O30" s="54">
        <v>17</v>
      </c>
      <c r="P30" s="105">
        <f ca="1">SUMIF(OFFSET(Eventograma_e_Quantitativos!$DK$17,1,0):OFFSET(Eventograma_e_Quantitativos!$DK$37,-1,0),Resumo_de_Acompanhamento!$O30,OFFSET(Eventograma_e_Quantitativos!$DL$17,1,0):OFFSET(Eventograma_e_Quantitativos!$DL$37,-1,0))</f>
        <v>0</v>
      </c>
    </row>
    <row r="31" spans="2:16" x14ac:dyDescent="0.2">
      <c r="B31" s="37">
        <f t="shared" ca="1" si="1"/>
        <v>18</v>
      </c>
      <c r="C31" s="37">
        <f ca="1">IF(OR(D31="",D31&lt;dataInicioObra),"",COUNTIF(CronoPrev!$C$14:$C$25,"&lt;"&amp;(D31-7))+1)</f>
        <v>1</v>
      </c>
      <c r="D31" s="45">
        <f ca="1">OFFSET(PLE!$G$40,TRUNC((ROW($B31)-ROW($B$14))/12,0)*8,MOD(ROW($B31)-ROW($B$14),12)*4)</f>
        <v>0</v>
      </c>
      <c r="E31" s="181">
        <f ca="1">OFFSET(PLE!$G$43,TRUNC((ROW($B31)-ROW($B$14))/12,0)*8,MOD(ROW(B31)-ROW($B$14),12)*4)</f>
        <v>0</v>
      </c>
      <c r="F31" s="181">
        <f t="shared" ca="1" si="2"/>
        <v>0</v>
      </c>
      <c r="G31" s="38">
        <f ca="1">OFFSET(PLE!$G$42,TRUNC((ROW($B31)-ROW($B$14))/12,0)*8,MOD(ROW(B31)-ROW($B$14),12)*4)</f>
        <v>0</v>
      </c>
      <c r="H31" s="38">
        <f t="shared" ca="1" si="3"/>
        <v>0</v>
      </c>
      <c r="I31" s="38">
        <f ca="1">IF(C31="","",IF(C31&gt;Cronograma.NumPeríodos,1,VLOOKUP(C31,CronoPrev!$B$14:$G$25,6,FALSE)))</f>
        <v>0.19732785413667206</v>
      </c>
      <c r="J31" s="137">
        <f t="shared" ca="1" si="0"/>
        <v>0</v>
      </c>
      <c r="K31" s="37" t="e">
        <f t="shared" ca="1" si="4"/>
        <v>#VALUE!</v>
      </c>
      <c r="L31" s="37" t="e">
        <f t="shared" ca="1" si="5"/>
        <v>#VALUE!</v>
      </c>
      <c r="M31" s="38" t="e">
        <f ca="1">IF(C31="","",L31/SUM(OFFSET(CronoPrev!$D$14,0,0,Cronograma.NumPeríodos)))</f>
        <v>#VALUE!</v>
      </c>
      <c r="O31" s="54">
        <v>18</v>
      </c>
      <c r="P31" s="105">
        <f ca="1">SUMIF(OFFSET(Eventograma_e_Quantitativos!$DK$17,1,0):OFFSET(Eventograma_e_Quantitativos!$DK$37,-1,0),Resumo_de_Acompanhamento!$O31,OFFSET(Eventograma_e_Quantitativos!$DL$17,1,0):OFFSET(Eventograma_e_Quantitativos!$DL$37,-1,0))</f>
        <v>0</v>
      </c>
    </row>
    <row r="32" spans="2:16" x14ac:dyDescent="0.2">
      <c r="B32" s="37">
        <f t="shared" ca="1" si="1"/>
        <v>19</v>
      </c>
      <c r="C32" s="37">
        <f ca="1">IF(OR(D32="",D32&lt;dataInicioObra),"",COUNTIF(CronoPrev!$C$14:$C$25,"&lt;"&amp;(D32-7))+1)</f>
        <v>1</v>
      </c>
      <c r="D32" s="45">
        <f ca="1">OFFSET(PLE!$G$40,TRUNC((ROW($B32)-ROW($B$14))/12,0)*8,MOD(ROW($B32)-ROW($B$14),12)*4)</f>
        <v>0</v>
      </c>
      <c r="E32" s="181">
        <f ca="1">OFFSET(PLE!$G$43,TRUNC((ROW($B32)-ROW($B$14))/12,0)*8,MOD(ROW(B32)-ROW($B$14),12)*4)</f>
        <v>0</v>
      </c>
      <c r="F32" s="181">
        <f t="shared" ca="1" si="2"/>
        <v>0</v>
      </c>
      <c r="G32" s="38">
        <f ca="1">OFFSET(PLE!$G$42,TRUNC((ROW($B32)-ROW($B$14))/12,0)*8,MOD(ROW(B32)-ROW($B$14),12)*4)</f>
        <v>0</v>
      </c>
      <c r="H32" s="38">
        <f t="shared" ca="1" si="3"/>
        <v>0</v>
      </c>
      <c r="I32" s="38">
        <f ca="1">IF(C32="","",IF(C32&gt;Cronograma.NumPeríodos,1,VLOOKUP(C32,CronoPrev!$B$14:$G$25,6,FALSE)))</f>
        <v>0.19732785413667206</v>
      </c>
      <c r="J32" s="137">
        <f t="shared" ca="1" si="0"/>
        <v>0</v>
      </c>
      <c r="K32" s="37" t="e">
        <f t="shared" ca="1" si="4"/>
        <v>#VALUE!</v>
      </c>
      <c r="L32" s="37" t="e">
        <f t="shared" ca="1" si="5"/>
        <v>#VALUE!</v>
      </c>
      <c r="M32" s="38" t="e">
        <f ca="1">IF(C32="","",L32/SUM(OFFSET(CronoPrev!$D$14,0,0,Cronograma.NumPeríodos)))</f>
        <v>#VALUE!</v>
      </c>
      <c r="O32" s="54">
        <v>19</v>
      </c>
      <c r="P32" s="105">
        <f ca="1">SUMIF(OFFSET(Eventograma_e_Quantitativos!$DK$17,1,0):OFFSET(Eventograma_e_Quantitativos!$DK$37,-1,0),Resumo_de_Acompanhamento!$O32,OFFSET(Eventograma_e_Quantitativos!$DL$17,1,0):OFFSET(Eventograma_e_Quantitativos!$DL$37,-1,0))</f>
        <v>0</v>
      </c>
    </row>
    <row r="33" spans="2:16" x14ac:dyDescent="0.2">
      <c r="B33" s="37">
        <f t="shared" ca="1" si="1"/>
        <v>20</v>
      </c>
      <c r="C33" s="37">
        <f ca="1">IF(OR(D33="",D33&lt;dataInicioObra),"",COUNTIF(CronoPrev!$C$14:$C$25,"&lt;"&amp;(D33-7))+1)</f>
        <v>1</v>
      </c>
      <c r="D33" s="45">
        <f ca="1">OFFSET(PLE!$G$40,TRUNC((ROW($B33)-ROW($B$14))/12,0)*8,MOD(ROW($B33)-ROW($B$14),12)*4)</f>
        <v>0</v>
      </c>
      <c r="E33" s="181">
        <f ca="1">OFFSET(PLE!$G$43,TRUNC((ROW($B33)-ROW($B$14))/12,0)*8,MOD(ROW(B33)-ROW($B$14),12)*4)</f>
        <v>0</v>
      </c>
      <c r="F33" s="181">
        <f t="shared" ca="1" si="2"/>
        <v>0</v>
      </c>
      <c r="G33" s="38">
        <f ca="1">OFFSET(PLE!$G$42,TRUNC((ROW($B33)-ROW($B$14))/12,0)*8,MOD(ROW(B33)-ROW($B$14),12)*4)</f>
        <v>0</v>
      </c>
      <c r="H33" s="38">
        <f t="shared" ca="1" si="3"/>
        <v>0</v>
      </c>
      <c r="I33" s="38">
        <f ca="1">IF(C33="","",IF(C33&gt;Cronograma.NumPeríodos,1,VLOOKUP(C33,CronoPrev!$B$14:$G$25,6,FALSE)))</f>
        <v>0.19732785413667206</v>
      </c>
      <c r="J33" s="137">
        <f t="shared" ca="1" si="0"/>
        <v>0</v>
      </c>
      <c r="K33" s="37" t="e">
        <f t="shared" ca="1" si="4"/>
        <v>#VALUE!</v>
      </c>
      <c r="L33" s="37" t="e">
        <f t="shared" ca="1" si="5"/>
        <v>#VALUE!</v>
      </c>
      <c r="M33" s="38" t="e">
        <f ca="1">IF(C33="","",L33/SUM(OFFSET(CronoPrev!$D$14,0,0,Cronograma.NumPeríodos)))</f>
        <v>#VALUE!</v>
      </c>
      <c r="O33" s="54">
        <v>20</v>
      </c>
      <c r="P33" s="105">
        <f ca="1">SUMIF(OFFSET(Eventograma_e_Quantitativos!$DK$17,1,0):OFFSET(Eventograma_e_Quantitativos!$DK$37,-1,0),Resumo_de_Acompanhamento!$O33,OFFSET(Eventograma_e_Quantitativos!$DL$17,1,0):OFFSET(Eventograma_e_Quantitativos!$DL$37,-1,0))</f>
        <v>0</v>
      </c>
    </row>
    <row r="34" spans="2:16" x14ac:dyDescent="0.2">
      <c r="B34" s="37">
        <f t="shared" ca="1" si="1"/>
        <v>21</v>
      </c>
      <c r="C34" s="37">
        <f ca="1">IF(OR(D34="",D34&lt;dataInicioObra),"",COUNTIF(CronoPrev!$C$14:$C$25,"&lt;"&amp;(D34-7))+1)</f>
        <v>1</v>
      </c>
      <c r="D34" s="45">
        <f ca="1">OFFSET(PLE!$G$40,TRUNC((ROW($B34)-ROW($B$14))/12,0)*8,MOD(ROW($B34)-ROW($B$14),12)*4)</f>
        <v>0</v>
      </c>
      <c r="E34" s="181">
        <f ca="1">OFFSET(PLE!$G$43,TRUNC((ROW($B34)-ROW($B$14))/12,0)*8,MOD(ROW(B34)-ROW($B$14),12)*4)</f>
        <v>0</v>
      </c>
      <c r="F34" s="181">
        <f t="shared" ca="1" si="2"/>
        <v>0</v>
      </c>
      <c r="G34" s="38">
        <f ca="1">OFFSET(PLE!$G$42,TRUNC((ROW($B34)-ROW($B$14))/12,0)*8,MOD(ROW(B34)-ROW($B$14),12)*4)</f>
        <v>0</v>
      </c>
      <c r="H34" s="38">
        <f t="shared" ca="1" si="3"/>
        <v>0</v>
      </c>
      <c r="I34" s="38">
        <f ca="1">IF(C34="","",IF(C34&gt;Cronograma.NumPeríodos,1,VLOOKUP(C34,CronoPrev!$B$14:$G$25,6,FALSE)))</f>
        <v>0.19732785413667206</v>
      </c>
      <c r="J34" s="137">
        <f t="shared" ca="1" si="0"/>
        <v>0</v>
      </c>
      <c r="K34" s="37" t="e">
        <f t="shared" ca="1" si="4"/>
        <v>#VALUE!</v>
      </c>
      <c r="L34" s="37" t="e">
        <f t="shared" ca="1" si="5"/>
        <v>#VALUE!</v>
      </c>
      <c r="M34" s="38" t="e">
        <f ca="1">IF(C34="","",L34/SUM(OFFSET(CronoPrev!$D$14,0,0,Cronograma.NumPeríodos)))</f>
        <v>#VALUE!</v>
      </c>
    </row>
    <row r="35" spans="2:16" x14ac:dyDescent="0.2">
      <c r="B35" s="37">
        <f t="shared" ca="1" si="1"/>
        <v>22</v>
      </c>
      <c r="C35" s="37">
        <f ca="1">IF(OR(D35="",D35&lt;dataInicioObra),"",COUNTIF(CronoPrev!$C$14:$C$25,"&lt;"&amp;(D35-7))+1)</f>
        <v>1</v>
      </c>
      <c r="D35" s="45">
        <f ca="1">OFFSET(PLE!$G$40,TRUNC((ROW($B35)-ROW($B$14))/12,0)*8,MOD(ROW($B35)-ROW($B$14),12)*4)</f>
        <v>0</v>
      </c>
      <c r="E35" s="181">
        <f ca="1">OFFSET(PLE!$G$43,TRUNC((ROW($B35)-ROW($B$14))/12,0)*8,MOD(ROW(B35)-ROW($B$14),12)*4)</f>
        <v>0</v>
      </c>
      <c r="F35" s="181">
        <f t="shared" ca="1" si="2"/>
        <v>0</v>
      </c>
      <c r="G35" s="38">
        <f ca="1">OFFSET(PLE!$G$42,TRUNC((ROW($B35)-ROW($B$14))/12,0)*8,MOD(ROW(B35)-ROW($B$14),12)*4)</f>
        <v>0</v>
      </c>
      <c r="H35" s="38">
        <f t="shared" ca="1" si="3"/>
        <v>0</v>
      </c>
      <c r="I35" s="38">
        <f ca="1">IF(C35="","",IF(C35&gt;Cronograma.NumPeríodos,1,VLOOKUP(C35,CronoPrev!$B$14:$G$25,6,FALSE)))</f>
        <v>0.19732785413667206</v>
      </c>
      <c r="J35" s="137">
        <f t="shared" ca="1" si="0"/>
        <v>0</v>
      </c>
      <c r="K35" s="37" t="e">
        <f t="shared" ca="1" si="4"/>
        <v>#VALUE!</v>
      </c>
      <c r="L35" s="37" t="e">
        <f t="shared" ca="1" si="5"/>
        <v>#VALUE!</v>
      </c>
      <c r="M35" s="38" t="e">
        <f ca="1">IF(C35="","",L35/SUM(OFFSET(CronoPrev!$D$14,0,0,Cronograma.NumPeríodos)))</f>
        <v>#VALUE!</v>
      </c>
    </row>
    <row r="36" spans="2:16" x14ac:dyDescent="0.2">
      <c r="B36" s="37">
        <f t="shared" ca="1" si="1"/>
        <v>23</v>
      </c>
      <c r="C36" s="37">
        <f ca="1">IF(OR(D36="",D36&lt;dataInicioObra),"",COUNTIF(CronoPrev!$C$14:$C$25,"&lt;"&amp;(D36-7))+1)</f>
        <v>1</v>
      </c>
      <c r="D36" s="45">
        <f ca="1">OFFSET(PLE!$G$40,TRUNC((ROW($B36)-ROW($B$14))/12,0)*8,MOD(ROW($B36)-ROW($B$14),12)*4)</f>
        <v>0</v>
      </c>
      <c r="E36" s="181">
        <f ca="1">OFFSET(PLE!$G$43,TRUNC((ROW($B36)-ROW($B$14))/12,0)*8,MOD(ROW(B36)-ROW($B$14),12)*4)</f>
        <v>0</v>
      </c>
      <c r="F36" s="181">
        <f t="shared" ca="1" si="2"/>
        <v>0</v>
      </c>
      <c r="G36" s="38">
        <f ca="1">OFFSET(PLE!$G$42,TRUNC((ROW($B36)-ROW($B$14))/12,0)*8,MOD(ROW(B36)-ROW($B$14),12)*4)</f>
        <v>0</v>
      </c>
      <c r="H36" s="38">
        <f t="shared" ca="1" si="3"/>
        <v>0</v>
      </c>
      <c r="I36" s="38">
        <f ca="1">IF(C36="","",IF(C36&gt;Cronograma.NumPeríodos,1,VLOOKUP(C36,CronoPrev!$B$14:$G$25,6,FALSE)))</f>
        <v>0.19732785413667206</v>
      </c>
      <c r="J36" s="137">
        <f t="shared" ca="1" si="0"/>
        <v>0</v>
      </c>
      <c r="K36" s="37" t="e">
        <f t="shared" ca="1" si="4"/>
        <v>#VALUE!</v>
      </c>
      <c r="L36" s="37" t="e">
        <f t="shared" ca="1" si="5"/>
        <v>#VALUE!</v>
      </c>
      <c r="M36" s="38" t="e">
        <f ca="1">IF(C36="","",L36/SUM(OFFSET(CronoPrev!$D$14,0,0,Cronograma.NumPeríodos)))</f>
        <v>#VALUE!</v>
      </c>
    </row>
    <row r="37" spans="2:16" x14ac:dyDescent="0.2">
      <c r="B37" s="37">
        <f t="shared" ca="1" si="1"/>
        <v>24</v>
      </c>
      <c r="C37" s="37">
        <f ca="1">IF(OR(D37="",D37&lt;dataInicioObra),"",COUNTIF(CronoPrev!$C$14:$C$25,"&lt;"&amp;(D37-7))+1)</f>
        <v>1</v>
      </c>
      <c r="D37" s="45">
        <f ca="1">OFFSET(PLE!$G$40,TRUNC((ROW($B37)-ROW($B$14))/12,0)*8,MOD(ROW($B37)-ROW($B$14),12)*4)</f>
        <v>0</v>
      </c>
      <c r="E37" s="181">
        <f ca="1">OFFSET(PLE!$G$43,TRUNC((ROW($B37)-ROW($B$14))/12,0)*8,MOD(ROW(B37)-ROW($B$14),12)*4)</f>
        <v>0</v>
      </c>
      <c r="F37" s="181">
        <f t="shared" ca="1" si="2"/>
        <v>0</v>
      </c>
      <c r="G37" s="38">
        <f ca="1">OFFSET(PLE!$G$42,TRUNC((ROW($B37)-ROW($B$14))/12,0)*8,MOD(ROW(B37)-ROW($B$14),12)*4)</f>
        <v>0</v>
      </c>
      <c r="H37" s="38">
        <f t="shared" ca="1" si="3"/>
        <v>0</v>
      </c>
      <c r="I37" s="38">
        <f ca="1">IF(C37="","",IF(C37&gt;Cronograma.NumPeríodos,1,VLOOKUP(C37,CronoPrev!$B$14:$G$25,6,FALSE)))</f>
        <v>0.19732785413667206</v>
      </c>
      <c r="J37" s="137">
        <f t="shared" ca="1" si="0"/>
        <v>0</v>
      </c>
      <c r="K37" s="37" t="e">
        <f t="shared" ca="1" si="4"/>
        <v>#VALUE!</v>
      </c>
      <c r="L37" s="37" t="e">
        <f t="shared" ca="1" si="5"/>
        <v>#VALUE!</v>
      </c>
      <c r="M37" s="38" t="e">
        <f ca="1">IF(C37="","",L37/SUM(OFFSET(CronoPrev!$D$14,0,0,Cronograma.NumPeríodos)))</f>
        <v>#VALUE!</v>
      </c>
    </row>
    <row r="38" spans="2:16" ht="3.75" customHeight="1" x14ac:dyDescent="0.2"/>
    <row r="39" spans="2:16" x14ac:dyDescent="0.2">
      <c r="B39" s="47" t="s">
        <v>118</v>
      </c>
      <c r="C39" s="48"/>
      <c r="D39" s="49"/>
      <c r="E39" s="48"/>
      <c r="F39" s="142">
        <f ca="1">OFFSET(F$13,mediçao,0)</f>
        <v>0</v>
      </c>
      <c r="G39" s="48"/>
      <c r="H39" s="135">
        <f ca="1">OFFSET(H$13,mediçao,0)</f>
        <v>0</v>
      </c>
      <c r="I39" s="50"/>
      <c r="J39" s="48"/>
      <c r="K39" s="51" t="s">
        <v>27</v>
      </c>
      <c r="L39" s="141">
        <f ca="1">OFFSET($L$13,mediçao,0)</f>
        <v>0</v>
      </c>
      <c r="M39" s="52">
        <f ca="1">OFFSET($M$13,mediçao,0)</f>
        <v>0</v>
      </c>
    </row>
    <row r="40" spans="2:16" ht="8.25" customHeight="1" x14ac:dyDescent="0.2"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</row>
    <row r="41" spans="2:16" ht="9" customHeight="1" x14ac:dyDescent="0.2"/>
    <row r="42" spans="2:16" ht="18.75" customHeight="1" x14ac:dyDescent="0.2">
      <c r="B42" s="222" t="str">
        <f ca="1">Import.Município&amp;", "&amp;TEXT(hoje,"dd")&amp;" de "&amp;TEXT(hoje,"mmmm")&amp;" de "&amp;TEXT(hoje,"aaaa")</f>
        <v>COREMAS/PB, 31 de julho de 2023</v>
      </c>
      <c r="C42" s="222"/>
      <c r="D42" s="222"/>
      <c r="E42" s="222"/>
      <c r="F42" s="222"/>
      <c r="G42" s="152"/>
      <c r="K42" s="40"/>
      <c r="L42" s="40"/>
      <c r="M42" s="40"/>
      <c r="N42" s="40"/>
      <c r="O42" s="40"/>
      <c r="P42" s="40"/>
    </row>
    <row r="43" spans="2:16" x14ac:dyDescent="0.2">
      <c r="B43" s="217" t="s">
        <v>43</v>
      </c>
      <c r="C43" s="217"/>
      <c r="D43" s="217"/>
      <c r="E43" s="217"/>
      <c r="F43" s="217"/>
      <c r="K43" s="41" t="s">
        <v>52</v>
      </c>
      <c r="L43" s="217" t="str">
        <f>respFiscal</f>
        <v>FERNANDO</v>
      </c>
      <c r="M43" s="217"/>
      <c r="N43" s="217"/>
      <c r="O43" s="217"/>
      <c r="P43" s="217"/>
    </row>
    <row r="44" spans="2:16" x14ac:dyDescent="0.2">
      <c r="C44" s="41" t="s">
        <v>42</v>
      </c>
      <c r="D44" s="20"/>
      <c r="G44" s="20"/>
      <c r="K44" s="41" t="s">
        <v>42</v>
      </c>
      <c r="L44" s="218">
        <f>creaFiscal</f>
        <v>0</v>
      </c>
      <c r="M44" s="218"/>
      <c r="N44" s="218"/>
      <c r="O44" s="218"/>
      <c r="P44" s="218"/>
    </row>
    <row r="45" spans="2:16" x14ac:dyDescent="0.2">
      <c r="C45" s="41" t="s">
        <v>44</v>
      </c>
      <c r="D45" s="20"/>
      <c r="G45" s="20"/>
      <c r="K45" s="41" t="s">
        <v>44</v>
      </c>
      <c r="L45" s="218">
        <f>artFiscal</f>
        <v>0</v>
      </c>
      <c r="M45" s="218"/>
      <c r="N45" s="218"/>
      <c r="O45" s="218"/>
      <c r="P45" s="218"/>
    </row>
  </sheetData>
  <sheetProtection password="8574" sheet="1" objects="1" scenarios="1" formatRows="0"/>
  <mergeCells count="18">
    <mergeCell ref="E2:J2"/>
    <mergeCell ref="J11:J12"/>
    <mergeCell ref="P11:P12"/>
    <mergeCell ref="L11:L12"/>
    <mergeCell ref="M11:M12"/>
    <mergeCell ref="K11:K12"/>
    <mergeCell ref="O11:O12"/>
    <mergeCell ref="L43:P43"/>
    <mergeCell ref="L44:P44"/>
    <mergeCell ref="L45:P45"/>
    <mergeCell ref="B11:B12"/>
    <mergeCell ref="D11:D12"/>
    <mergeCell ref="C11:C12"/>
    <mergeCell ref="E11:F11"/>
    <mergeCell ref="I11:I12"/>
    <mergeCell ref="G11:H11"/>
    <mergeCell ref="B43:F43"/>
    <mergeCell ref="B42:F42"/>
  </mergeCells>
  <phoneticPr fontId="0" type="noConversion"/>
  <conditionalFormatting sqref="B1:M1 B14:M37">
    <cfRule type="expression" dxfId="2" priority="4" stopIfTrue="1">
      <formula>$B1&gt;mediçao</formula>
    </cfRule>
  </conditionalFormatting>
  <pageMargins left="0.78740157480314998" right="0.78740157480314998" top="0.78740157480314998" bottom="0.78740157480314998" header="0.59055118110236204" footer="0.59055118110236204"/>
  <pageSetup paperSize="9" fitToHeight="0" orientation="landscape" horizontalDpi="4294967295" verticalDpi="4294967295" r:id="rId1"/>
  <headerFooter>
    <oddFooter>&amp;R&amp;P&amp;L27.477 v006   micro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1"/>
  <dimension ref="A1:G25"/>
  <sheetViews>
    <sheetView workbookViewId="0"/>
  </sheetViews>
  <sheetFormatPr defaultRowHeight="15" x14ac:dyDescent="0.25"/>
  <sheetData>
    <row r="1" spans="1:7" x14ac:dyDescent="0.25">
      <c r="A1" s="57"/>
      <c r="B1" s="21"/>
      <c r="C1" s="21"/>
      <c r="D1" s="21"/>
      <c r="E1" s="21"/>
      <c r="F1" s="21"/>
      <c r="G1" s="21"/>
    </row>
    <row r="2" spans="1:7" x14ac:dyDescent="0.25">
      <c r="A2" s="99"/>
      <c r="B2" s="26"/>
      <c r="C2" s="26"/>
      <c r="D2" s="26"/>
      <c r="E2" s="26"/>
      <c r="F2" s="26"/>
      <c r="G2" s="26"/>
    </row>
    <row r="3" spans="1:7" x14ac:dyDescent="0.25">
      <c r="A3" s="57"/>
      <c r="B3" s="21"/>
      <c r="C3" s="21"/>
      <c r="D3" s="21"/>
      <c r="E3" s="21"/>
      <c r="F3" s="21"/>
      <c r="G3" s="21"/>
    </row>
    <row r="4" spans="1:7" x14ac:dyDescent="0.25">
      <c r="A4" s="57"/>
      <c r="B4" s="21"/>
      <c r="C4" s="21"/>
      <c r="D4" s="21"/>
      <c r="E4" s="21"/>
      <c r="F4" s="21"/>
      <c r="G4" s="21"/>
    </row>
    <row r="5" spans="1:7" x14ac:dyDescent="0.25">
      <c r="A5" s="57"/>
      <c r="B5" s="21"/>
      <c r="C5" s="21"/>
      <c r="D5" s="21"/>
      <c r="E5" s="21"/>
      <c r="F5" s="21"/>
      <c r="G5" s="21"/>
    </row>
    <row r="6" spans="1:7" x14ac:dyDescent="0.25">
      <c r="A6" s="57"/>
      <c r="B6" s="21"/>
      <c r="C6" s="21"/>
      <c r="D6" s="21"/>
      <c r="E6" s="21"/>
      <c r="F6" s="21"/>
      <c r="G6" s="21"/>
    </row>
    <row r="7" spans="1:7" x14ac:dyDescent="0.25">
      <c r="A7" s="57"/>
      <c r="B7" s="21"/>
      <c r="C7" s="21"/>
      <c r="D7" s="21"/>
      <c r="E7" s="21"/>
      <c r="F7" s="46"/>
      <c r="G7" s="21"/>
    </row>
    <row r="8" spans="1:7" x14ac:dyDescent="0.25">
      <c r="A8" s="101"/>
      <c r="B8" s="37">
        <f ca="1">OFFSET(B8,-1,0)+1</f>
        <v>1</v>
      </c>
      <c r="C8" s="45">
        <f ca="1">IF(DAY(DATE(YEAR(dataInicioObra),MONTH(dataInicioObra)+B8,DAY(dataInicioObra)))=DAY(dataInicioObra),DATE(YEAR(dataInicioObra),MONTH(dataInicioObra)+B8,DAY(dataInicioObra)),DATE(YEAR(dataInicioObra),MONTH(dataInicioObra)+1+B8,1)-1)</f>
        <v>60</v>
      </c>
      <c r="D8" s="137">
        <f ca="1">C8-OFFSET(C8,-1,0)</f>
        <v>60</v>
      </c>
      <c r="E8" s="137">
        <f ca="1">D8+OFFSET(E8,-1,0)</f>
        <v>60</v>
      </c>
      <c r="F8" s="46">
        <f ca="1">OFFSET(Cronograma!$G$40,TRUNC((ROW(B8)-ROW($B$14))/12,0)*6,MOD(ROW(B8)-ROW($B$14),12)*4)</f>
        <v>0</v>
      </c>
      <c r="G8" s="46">
        <f ca="1">F8+OFFSET(G8,-1,0)</f>
        <v>0</v>
      </c>
    </row>
    <row r="9" spans="1:7" x14ac:dyDescent="0.25">
      <c r="A9" s="57"/>
      <c r="B9" s="27"/>
      <c r="C9" s="21"/>
      <c r="D9" s="21"/>
      <c r="E9" s="21"/>
      <c r="F9" s="21"/>
      <c r="G9" s="21"/>
    </row>
    <row r="10" spans="1:7" x14ac:dyDescent="0.25">
      <c r="A10" s="57"/>
      <c r="B10" s="27" t="s">
        <v>17</v>
      </c>
      <c r="C10" s="21"/>
      <c r="D10" s="21"/>
      <c r="E10" s="21"/>
    </row>
    <row r="11" spans="1:7" x14ac:dyDescent="0.25">
      <c r="A11" s="57"/>
      <c r="B11" s="278" t="s">
        <v>13</v>
      </c>
      <c r="C11" s="282" t="s">
        <v>14</v>
      </c>
      <c r="D11" s="104"/>
      <c r="E11" s="104"/>
      <c r="F11" s="282" t="s">
        <v>16</v>
      </c>
      <c r="G11" s="282"/>
    </row>
    <row r="12" spans="1:7" x14ac:dyDescent="0.25">
      <c r="A12" s="100"/>
      <c r="B12" s="278"/>
      <c r="C12" s="282"/>
      <c r="D12" s="104"/>
      <c r="E12" s="104"/>
      <c r="F12" s="104" t="s">
        <v>15</v>
      </c>
      <c r="G12" s="104" t="s">
        <v>9</v>
      </c>
    </row>
    <row r="13" spans="1:7" x14ac:dyDescent="0.25">
      <c r="A13" s="57"/>
      <c r="B13" s="42">
        <v>0</v>
      </c>
      <c r="C13" s="151">
        <f>dataInicioObra</f>
        <v>0</v>
      </c>
      <c r="D13" s="43"/>
      <c r="E13" s="31"/>
      <c r="F13" s="31"/>
      <c r="G13" s="31"/>
    </row>
    <row r="14" spans="1:7" x14ac:dyDescent="0.25">
      <c r="A14" s="101"/>
      <c r="B14" s="37">
        <f ca="1">OFFSET(B14,-1,0)+1</f>
        <v>1</v>
      </c>
      <c r="C14" s="45">
        <f ca="1">IF(DAY(DATE(YEAR(dataInicioObra),MONTH(dataInicioObra)+B14,DAY(dataInicioObra)))=DAY(dataInicioObra),DATE(YEAR(dataInicioObra),MONTH(dataInicioObra)+B14,DAY(dataInicioObra)),DATE(YEAR(dataInicioObra),MONTH(dataInicioObra)+1+B14,1)-1)</f>
        <v>60</v>
      </c>
      <c r="D14" s="137">
        <f ca="1">C14-OFFSET(C14,-1,0)</f>
        <v>60</v>
      </c>
      <c r="E14" s="137">
        <f ca="1">D14+OFFSET(E14,-1,0)</f>
        <v>60</v>
      </c>
      <c r="F14" s="46">
        <f ca="1">OFFSET(Cronograma!$G$40,TRUNC((ROW(B14)-ROW($B$14))/12,0)*6,MOD(ROW(B14)-ROW($B$14),12)*4)</f>
        <v>0.19732785413667206</v>
      </c>
      <c r="G14" s="46">
        <f ca="1">F14+OFFSET(G14,-1,0)</f>
        <v>0.19732785413667206</v>
      </c>
    </row>
    <row r="15" spans="1:7" x14ac:dyDescent="0.25">
      <c r="A15" s="101"/>
      <c r="B15" s="37">
        <f ca="1">OFFSET(B15,-1,0)+1</f>
        <v>2</v>
      </c>
      <c r="C15" s="45">
        <f ca="1">IF(DAY(DATE(YEAR(dataInicioObra),MONTH(dataInicioObra)+B15,DAY(dataInicioObra)))=DAY(dataInicioObra),DATE(YEAR(dataInicioObra),MONTH(dataInicioObra)+B15,DAY(dataInicioObra)),DATE(YEAR(dataInicioObra),MONTH(dataInicioObra)+1+B15,1)-1)</f>
        <v>91</v>
      </c>
      <c r="D15" s="137">
        <f t="shared" ref="D15:D25" ca="1" si="0">C15-OFFSET(C15,-1,0)</f>
        <v>31</v>
      </c>
      <c r="E15" s="137">
        <f t="shared" ref="E15:E25" ca="1" si="1">D15+OFFSET(E15,-1,0)</f>
        <v>91</v>
      </c>
      <c r="F15" s="46">
        <f ca="1">OFFSET(Cronograma!$G$40,TRUNC((ROW(B15)-ROW($B$14))/12,0)*6,MOD(ROW(B15)-ROW($B$14),12)*4)</f>
        <v>0.21371810616185302</v>
      </c>
      <c r="G15" s="46">
        <f t="shared" ref="G15:G25" ca="1" si="2">F15+OFFSET(G15,-1,0)</f>
        <v>0.41104596029852508</v>
      </c>
    </row>
    <row r="16" spans="1:7" x14ac:dyDescent="0.25">
      <c r="A16" s="101"/>
      <c r="B16" s="37">
        <f t="shared" ref="B16:B25" ca="1" si="3">OFFSET(B16,-1,0)+1</f>
        <v>3</v>
      </c>
      <c r="C16" s="45">
        <f t="shared" ref="C16:C25" ca="1" si="4">IF(DAY(DATE(YEAR(dataInicioObra),MONTH(dataInicioObra)+B16,DAY(dataInicioObra)))=DAY(dataInicioObra),DATE(YEAR(dataInicioObra),MONTH(dataInicioObra)+B16,DAY(dataInicioObra)),DATE(YEAR(dataInicioObra),MONTH(dataInicioObra)+1+B16,1)-1)</f>
        <v>121</v>
      </c>
      <c r="D16" s="137">
        <f t="shared" ca="1" si="0"/>
        <v>30</v>
      </c>
      <c r="E16" s="137">
        <f t="shared" ca="1" si="1"/>
        <v>121</v>
      </c>
      <c r="F16" s="46">
        <f ca="1">OFFSET(Cronograma!$G$40,TRUNC((ROW(B16)-ROW($B$14))/12,0)*6,MOD(ROW(B16)-ROW($B$14),12)*4)</f>
        <v>0.19150359941878359</v>
      </c>
      <c r="G16" s="46">
        <f t="shared" ca="1" si="2"/>
        <v>0.60254955971730872</v>
      </c>
    </row>
    <row r="17" spans="1:7" x14ac:dyDescent="0.25">
      <c r="A17" s="101"/>
      <c r="B17" s="37">
        <f t="shared" ca="1" si="3"/>
        <v>4</v>
      </c>
      <c r="C17" s="45">
        <f t="shared" ca="1" si="4"/>
        <v>152</v>
      </c>
      <c r="D17" s="137">
        <f t="shared" ca="1" si="0"/>
        <v>31</v>
      </c>
      <c r="E17" s="137">
        <f t="shared" ca="1" si="1"/>
        <v>152</v>
      </c>
      <c r="F17" s="46">
        <f ca="1">OFFSET(Cronograma!$G$40,TRUNC((ROW(B17)-ROW($B$14))/12,0)*6,MOD(ROW(B17)-ROW($B$14),12)*4)</f>
        <v>0.11277542054912018</v>
      </c>
      <c r="G17" s="46">
        <f t="shared" ca="1" si="2"/>
        <v>0.71532498026642888</v>
      </c>
    </row>
    <row r="18" spans="1:7" x14ac:dyDescent="0.25">
      <c r="A18" s="101"/>
      <c r="B18" s="37">
        <f t="shared" ca="1" si="3"/>
        <v>5</v>
      </c>
      <c r="C18" s="45">
        <f t="shared" ca="1" si="4"/>
        <v>182</v>
      </c>
      <c r="D18" s="137">
        <f t="shared" ca="1" si="0"/>
        <v>30</v>
      </c>
      <c r="E18" s="137">
        <f t="shared" ca="1" si="1"/>
        <v>182</v>
      </c>
      <c r="F18" s="46">
        <f ca="1">OFFSET(Cronograma!$G$40,TRUNC((ROW(B18)-ROW($B$14))/12,0)*6,MOD(ROW(B18)-ROW($B$14),12)*4)</f>
        <v>0.13392978657625057</v>
      </c>
      <c r="G18" s="46">
        <f t="shared" ca="1" si="2"/>
        <v>0.84925476684267942</v>
      </c>
    </row>
    <row r="19" spans="1:7" x14ac:dyDescent="0.25">
      <c r="A19" s="101"/>
      <c r="B19" s="37">
        <f t="shared" ca="1" si="3"/>
        <v>6</v>
      </c>
      <c r="C19" s="45">
        <f t="shared" ca="1" si="4"/>
        <v>213</v>
      </c>
      <c r="D19" s="137">
        <f t="shared" ca="1" si="0"/>
        <v>31</v>
      </c>
      <c r="E19" s="137">
        <f t="shared" ca="1" si="1"/>
        <v>213</v>
      </c>
      <c r="F19" s="46">
        <f ca="1">OFFSET(Cronograma!$G$40,TRUNC((ROW(B19)-ROW($B$14))/12,0)*6,MOD(ROW(B19)-ROW($B$14),12)*4)</f>
        <v>0.15074523315732066</v>
      </c>
      <c r="G19" s="46">
        <f t="shared" ca="1" si="2"/>
        <v>1</v>
      </c>
    </row>
    <row r="20" spans="1:7" x14ac:dyDescent="0.25">
      <c r="A20" s="101"/>
      <c r="B20" s="37">
        <f t="shared" ca="1" si="3"/>
        <v>7</v>
      </c>
      <c r="C20" s="45">
        <f t="shared" ca="1" si="4"/>
        <v>244</v>
      </c>
      <c r="D20" s="137">
        <f t="shared" ca="1" si="0"/>
        <v>31</v>
      </c>
      <c r="E20" s="137">
        <f t="shared" ca="1" si="1"/>
        <v>244</v>
      </c>
      <c r="F20" s="46">
        <f ca="1">OFFSET(Cronograma!$G$40,TRUNC((ROW(B20)-ROW($B$14))/12,0)*6,MOD(ROW(B20)-ROW($B$14),12)*4)</f>
        <v>0</v>
      </c>
      <c r="G20" s="46">
        <f t="shared" ca="1" si="2"/>
        <v>1</v>
      </c>
    </row>
    <row r="21" spans="1:7" x14ac:dyDescent="0.25">
      <c r="A21" s="101"/>
      <c r="B21" s="37">
        <f t="shared" ca="1" si="3"/>
        <v>8</v>
      </c>
      <c r="C21" s="45">
        <f t="shared" ca="1" si="4"/>
        <v>274</v>
      </c>
      <c r="D21" s="137">
        <f t="shared" ca="1" si="0"/>
        <v>30</v>
      </c>
      <c r="E21" s="137">
        <f t="shared" ca="1" si="1"/>
        <v>274</v>
      </c>
      <c r="F21" s="46">
        <f ca="1">OFFSET(Cronograma!$G$40,TRUNC((ROW(B21)-ROW($B$14))/12,0)*6,MOD(ROW(B21)-ROW($B$14),12)*4)</f>
        <v>0</v>
      </c>
      <c r="G21" s="46">
        <f t="shared" ca="1" si="2"/>
        <v>1</v>
      </c>
    </row>
    <row r="22" spans="1:7" x14ac:dyDescent="0.25">
      <c r="A22" s="101"/>
      <c r="B22" s="37">
        <f t="shared" ca="1" si="3"/>
        <v>9</v>
      </c>
      <c r="C22" s="45">
        <f t="shared" ca="1" si="4"/>
        <v>305</v>
      </c>
      <c r="D22" s="137">
        <f t="shared" ca="1" si="0"/>
        <v>31</v>
      </c>
      <c r="E22" s="137">
        <f t="shared" ca="1" si="1"/>
        <v>305</v>
      </c>
      <c r="F22" s="46">
        <f ca="1">OFFSET(Cronograma!$G$40,TRUNC((ROW(B22)-ROW($B$14))/12,0)*6,MOD(ROW(B22)-ROW($B$14),12)*4)</f>
        <v>0</v>
      </c>
      <c r="G22" s="46">
        <f t="shared" ca="1" si="2"/>
        <v>1</v>
      </c>
    </row>
    <row r="23" spans="1:7" x14ac:dyDescent="0.25">
      <c r="A23" s="101"/>
      <c r="B23" s="37">
        <f t="shared" ca="1" si="3"/>
        <v>10</v>
      </c>
      <c r="C23" s="45">
        <f t="shared" ca="1" si="4"/>
        <v>335</v>
      </c>
      <c r="D23" s="137">
        <f t="shared" ca="1" si="0"/>
        <v>30</v>
      </c>
      <c r="E23" s="137">
        <f t="shared" ca="1" si="1"/>
        <v>335</v>
      </c>
      <c r="F23" s="46">
        <f ca="1">OFFSET(Cronograma!$G$40,TRUNC((ROW(B23)-ROW($B$14))/12,0)*6,MOD(ROW(B23)-ROW($B$14),12)*4)</f>
        <v>0</v>
      </c>
      <c r="G23" s="46">
        <f t="shared" ca="1" si="2"/>
        <v>1</v>
      </c>
    </row>
    <row r="24" spans="1:7" x14ac:dyDescent="0.25">
      <c r="A24" s="101"/>
      <c r="B24" s="37">
        <f t="shared" ca="1" si="3"/>
        <v>11</v>
      </c>
      <c r="C24" s="45">
        <f t="shared" ca="1" si="4"/>
        <v>366</v>
      </c>
      <c r="D24" s="137">
        <f t="shared" ca="1" si="0"/>
        <v>31</v>
      </c>
      <c r="E24" s="137">
        <f t="shared" ca="1" si="1"/>
        <v>366</v>
      </c>
      <c r="F24" s="46">
        <f ca="1">OFFSET(Cronograma!$G$40,TRUNC((ROW(B24)-ROW($B$14))/12,0)*6,MOD(ROW(B24)-ROW($B$14),12)*4)</f>
        <v>0</v>
      </c>
      <c r="G24" s="46">
        <f t="shared" ca="1" si="2"/>
        <v>1</v>
      </c>
    </row>
    <row r="25" spans="1:7" x14ac:dyDescent="0.25">
      <c r="A25" s="101"/>
      <c r="B25" s="37">
        <f t="shared" ca="1" si="3"/>
        <v>12</v>
      </c>
      <c r="C25" s="45">
        <f t="shared" ca="1" si="4"/>
        <v>397</v>
      </c>
      <c r="D25" s="137">
        <f t="shared" ca="1" si="0"/>
        <v>31</v>
      </c>
      <c r="E25" s="137">
        <f t="shared" ca="1" si="1"/>
        <v>397</v>
      </c>
      <c r="F25" s="46">
        <f ca="1">OFFSET(Cronograma!$G$40,TRUNC((ROW(B25)-ROW($B$14))/12,0)*6,MOD(ROW(B25)-ROW($B$14),12)*4)</f>
        <v>0</v>
      </c>
      <c r="G25" s="46">
        <f t="shared" ca="1" si="2"/>
        <v>1</v>
      </c>
    </row>
  </sheetData>
  <mergeCells count="3">
    <mergeCell ref="B11:B12"/>
    <mergeCell ref="C11:C12"/>
    <mergeCell ref="F11:G11"/>
  </mergeCells>
  <phoneticPr fontId="0" type="noConversion"/>
  <conditionalFormatting sqref="B8:G8 B14:G25">
    <cfRule type="expression" dxfId="1" priority="9" stopIfTrue="1">
      <formula>$G8=""</formula>
    </cfRule>
  </conditionalFormatting>
  <conditionalFormatting sqref="F7">
    <cfRule type="expression" dxfId="0" priority="1" stopIfTrue="1">
      <formula>$G7=""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&amp;L27.477 v006   micro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64</vt:i4>
      </vt:variant>
    </vt:vector>
  </HeadingPairs>
  <TitlesOfParts>
    <vt:vector size="71" baseType="lpstr">
      <vt:lpstr>DADOS</vt:lpstr>
      <vt:lpstr>Eventograma_e_Quantitativos</vt:lpstr>
      <vt:lpstr>Detalhamento</vt:lpstr>
      <vt:lpstr>Cronograma</vt:lpstr>
      <vt:lpstr>PLE</vt:lpstr>
      <vt:lpstr>Resumo_de_Acompanhamento</vt:lpstr>
      <vt:lpstr>CronoPrev</vt:lpstr>
      <vt:lpstr>Cronograma!Area_de_impressao</vt:lpstr>
      <vt:lpstr>DADOS!Area_de_impressao</vt:lpstr>
      <vt:lpstr>Detalhamento!Area_de_impressao</vt:lpstr>
      <vt:lpstr>Eventograma_e_Quantitativos!Area_de_impressao</vt:lpstr>
      <vt:lpstr>PLE!Area_de_impressao</vt:lpstr>
      <vt:lpstr>Resumo_de_Acompanhamento!Area_de_impressao</vt:lpstr>
      <vt:lpstr>artExec</vt:lpstr>
      <vt:lpstr>artFiscal</vt:lpstr>
      <vt:lpstr>cargoTomador</vt:lpstr>
      <vt:lpstr>creaExec</vt:lpstr>
      <vt:lpstr>creaFiscal</vt:lpstr>
      <vt:lpstr>creaPLE</vt:lpstr>
      <vt:lpstr>Cronograma</vt:lpstr>
      <vt:lpstr>Cronograma.LinhaPadrão</vt:lpstr>
      <vt:lpstr>Cronograma.Padrão</vt:lpstr>
      <vt:lpstr>Cronograma.Períodos.LinhaPadrão</vt:lpstr>
      <vt:lpstr>CronoPrev.LinhaPadrão</vt:lpstr>
      <vt:lpstr>DADOS.LinhaPadrão</vt:lpstr>
      <vt:lpstr>dataInicioObra</vt:lpstr>
      <vt:lpstr>Detalhamento.Filtro</vt:lpstr>
      <vt:lpstr>Detalhamento.LinhaPadrão</vt:lpstr>
      <vt:lpstr>Detalhamento.OpçãoServiços</vt:lpstr>
      <vt:lpstr>Detalhamento.OpçõesExibição</vt:lpstr>
      <vt:lpstr>Detalhamento.OpçõesServiços</vt:lpstr>
      <vt:lpstr>Eventograma_e_Quantitativos.LinhaPadrão</vt:lpstr>
      <vt:lpstr>FaltaEvento</vt:lpstr>
      <vt:lpstr>Import.Ação</vt:lpstr>
      <vt:lpstr>Import.CNPJ</vt:lpstr>
      <vt:lpstr>Import.Convênio</vt:lpstr>
      <vt:lpstr>Import.CR</vt:lpstr>
      <vt:lpstr>Import.CTEF</vt:lpstr>
      <vt:lpstr>Import.DataAssinaturaCR</vt:lpstr>
      <vt:lpstr>Import.DataInícioObra</vt:lpstr>
      <vt:lpstr>Import.Descrição</vt:lpstr>
      <vt:lpstr>Import.Empresa</vt:lpstr>
      <vt:lpstr>Import.FrenteDeObra</vt:lpstr>
      <vt:lpstr>Import.Gestor</vt:lpstr>
      <vt:lpstr>Import.Gigov</vt:lpstr>
      <vt:lpstr>Import.Localidade</vt:lpstr>
      <vt:lpstr>Import.Município</vt:lpstr>
      <vt:lpstr>Import.ObjetoCR</vt:lpstr>
      <vt:lpstr>Import.ObjetoCTEF</vt:lpstr>
      <vt:lpstr>Import.Programa</vt:lpstr>
      <vt:lpstr>Import.Proponente</vt:lpstr>
      <vt:lpstr>Eventograma_e_Quantitativos!Item</vt:lpstr>
      <vt:lpstr>mediçao</vt:lpstr>
      <vt:lpstr>Medições</vt:lpstr>
      <vt:lpstr>Medições.Padrão</vt:lpstr>
      <vt:lpstr>Detalhamento!Nível</vt:lpstr>
      <vt:lpstr>Eventograma_e_Quantitativos!Nível</vt:lpstr>
      <vt:lpstr>nomeTomador</vt:lpstr>
      <vt:lpstr>Eventograma_e_Quantitativos!NumEvento</vt:lpstr>
      <vt:lpstr>PLE.LinhaPadrão</vt:lpstr>
      <vt:lpstr>Eventograma_e_Quantitativos!PreçoTotal</vt:lpstr>
      <vt:lpstr>Eventograma_e_Quantitativos!PreçoUnit</vt:lpstr>
      <vt:lpstr>respExec</vt:lpstr>
      <vt:lpstr>respFiscal</vt:lpstr>
      <vt:lpstr>respPLE</vt:lpstr>
      <vt:lpstr>Resumo_de_Acompanhamento.LinhaPadrão</vt:lpstr>
      <vt:lpstr>Cronograma!Titulos_de_impressao</vt:lpstr>
      <vt:lpstr>Detalhamento!Titulos_de_impressao</vt:lpstr>
      <vt:lpstr>Eventograma_e_Quantitativos!Titulos_de_impressao</vt:lpstr>
      <vt:lpstr>PLE!Titulos_de_impressao</vt:lpstr>
      <vt:lpstr>ValoresPorEvento.LinhaPadrão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Batista</dc:creator>
  <cp:lastModifiedBy>Joelma Ferreira</cp:lastModifiedBy>
  <cp:lastPrinted>2023-07-31T11:15:12Z</cp:lastPrinted>
  <dcterms:created xsi:type="dcterms:W3CDTF">2015-07-14T23:43:47Z</dcterms:created>
  <dcterms:modified xsi:type="dcterms:W3CDTF">2023-07-31T12:23:15Z</dcterms:modified>
</cp:coreProperties>
</file>