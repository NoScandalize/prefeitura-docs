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ugl\Desktop\Creche DNOCS\"/>
    </mc:Choice>
  </mc:AlternateContent>
  <xr:revisionPtr revIDLastSave="0" documentId="13_ncr:1_{1BE14312-5049-4A39-9083-B1D931C7D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 Supressão" sheetId="2" r:id="rId1"/>
    <sheet name="Reprogramado" sheetId="3" r:id="rId2"/>
    <sheet name="Memorial de Calculo" sheetId="9" r:id="rId3"/>
    <sheet name="PLANILHA ORCAMENTARIA" sheetId="1" state="hidden" r:id="rId4"/>
    <sheet name="Comparativo" sheetId="4" state="hidden" r:id="rId5"/>
    <sheet name="COMPOSICOES" sheetId="5" state="hidden" r:id="rId6"/>
    <sheet name="CRONOGRAMA" sheetId="6" state="hidden" r:id="rId7"/>
    <sheet name="BDI" sheetId="7" state="hidden" r:id="rId8"/>
    <sheet name="ENCARGOS SOCIAIS" sheetId="8" state="hidden" r:id="rId9"/>
  </sheets>
  <definedNames>
    <definedName name="_xlnm.Print_Area" localSheetId="0">'Planilha Supressão'!$A$1:$K$275</definedName>
    <definedName name="_xlnm.Print_Area" localSheetId="1">Reprogramado!#REF!</definedName>
    <definedName name="JR_PAGE_ANCHOR_0_1">'PLANILHA ORCAMENTARIA'!$A$1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  <definedName name="_xlnm.Print_Titles" localSheetId="0">'Planilha Supressão'!$1:$10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2" l="1"/>
  <c r="K11" i="2"/>
  <c r="J11" i="2"/>
  <c r="J14" i="2"/>
  <c r="J12" i="2"/>
  <c r="I11" i="2"/>
  <c r="G6" i="9"/>
  <c r="G5" i="9"/>
  <c r="K8" i="3"/>
  <c r="I8" i="3"/>
  <c r="M8" i="3" s="1"/>
  <c r="L8" i="3" s="1"/>
  <c r="K7" i="3"/>
  <c r="K6" i="3" s="1"/>
  <c r="I7" i="3"/>
  <c r="M7" i="3" s="1"/>
  <c r="M6" i="3" s="1"/>
  <c r="I79" i="2"/>
  <c r="K273" i="2"/>
  <c r="K274" i="2"/>
  <c r="K240" i="2"/>
  <c r="J240" i="2" s="1"/>
  <c r="K220" i="2"/>
  <c r="K221" i="2"/>
  <c r="J221" i="2" s="1"/>
  <c r="K179" i="2"/>
  <c r="J179" i="2" s="1"/>
  <c r="K190" i="2"/>
  <c r="J190" i="2" s="1"/>
  <c r="K195" i="2"/>
  <c r="J195" i="2" s="1"/>
  <c r="K206" i="2"/>
  <c r="J206" i="2" s="1"/>
  <c r="K211" i="2"/>
  <c r="J211" i="2" s="1"/>
  <c r="K133" i="2"/>
  <c r="J133" i="2" s="1"/>
  <c r="K138" i="2"/>
  <c r="J138" i="2" s="1"/>
  <c r="K149" i="2"/>
  <c r="J149" i="2" s="1"/>
  <c r="K154" i="2"/>
  <c r="J154" i="2" s="1"/>
  <c r="K165" i="2"/>
  <c r="J165" i="2" s="1"/>
  <c r="K170" i="2"/>
  <c r="J170" i="2" s="1"/>
  <c r="K124" i="2"/>
  <c r="J124" i="2" s="1"/>
  <c r="K125" i="2"/>
  <c r="J125" i="2" s="1"/>
  <c r="K114" i="2"/>
  <c r="J114" i="2" s="1"/>
  <c r="K102" i="2"/>
  <c r="K28" i="2"/>
  <c r="I272" i="2"/>
  <c r="I273" i="2"/>
  <c r="I274" i="2"/>
  <c r="I271" i="2"/>
  <c r="I270" i="2" s="1"/>
  <c r="I266" i="2"/>
  <c r="I267" i="2"/>
  <c r="I268" i="2"/>
  <c r="I269" i="2"/>
  <c r="I265" i="2"/>
  <c r="I264" i="2" s="1"/>
  <c r="I257" i="2"/>
  <c r="I258" i="2"/>
  <c r="I259" i="2"/>
  <c r="I260" i="2"/>
  <c r="I261" i="2"/>
  <c r="I262" i="2"/>
  <c r="I263" i="2"/>
  <c r="I256" i="2"/>
  <c r="I255" i="2" s="1"/>
  <c r="I248" i="2"/>
  <c r="I249" i="2"/>
  <c r="I250" i="2"/>
  <c r="I251" i="2"/>
  <c r="I252" i="2"/>
  <c r="I253" i="2"/>
  <c r="I254" i="2"/>
  <c r="I247" i="2"/>
  <c r="I246" i="2" s="1"/>
  <c r="I241" i="2"/>
  <c r="I242" i="2"/>
  <c r="I243" i="2"/>
  <c r="I244" i="2"/>
  <c r="I245" i="2"/>
  <c r="I240" i="2"/>
  <c r="I239" i="2" s="1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16" i="2"/>
  <c r="I215" i="2" s="1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176" i="2"/>
  <c r="I175" i="2" s="1"/>
  <c r="I128" i="2"/>
  <c r="I126" i="2" s="1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27" i="2"/>
  <c r="I121" i="2"/>
  <c r="I122" i="2"/>
  <c r="I123" i="2"/>
  <c r="I124" i="2"/>
  <c r="I125" i="2"/>
  <c r="I120" i="2"/>
  <c r="I119" i="2" s="1"/>
  <c r="I117" i="2"/>
  <c r="I118" i="2"/>
  <c r="I116" i="2"/>
  <c r="I115" i="2" s="1"/>
  <c r="I106" i="2"/>
  <c r="I107" i="2"/>
  <c r="I108" i="2"/>
  <c r="I109" i="2"/>
  <c r="I110" i="2"/>
  <c r="I111" i="2"/>
  <c r="I112" i="2"/>
  <c r="I113" i="2"/>
  <c r="I114" i="2"/>
  <c r="I105" i="2"/>
  <c r="I104" i="2" s="1"/>
  <c r="I97" i="2"/>
  <c r="I98" i="2"/>
  <c r="I99" i="2"/>
  <c r="I100" i="2"/>
  <c r="I101" i="2"/>
  <c r="I102" i="2"/>
  <c r="I103" i="2"/>
  <c r="I96" i="2"/>
  <c r="I95" i="2" s="1"/>
  <c r="I93" i="2"/>
  <c r="I92" i="2" s="1"/>
  <c r="I94" i="2"/>
  <c r="I90" i="2"/>
  <c r="I91" i="2"/>
  <c r="I89" i="2"/>
  <c r="I88" i="2" s="1"/>
  <c r="I83" i="2"/>
  <c r="I84" i="2"/>
  <c r="I85" i="2"/>
  <c r="I86" i="2"/>
  <c r="I87" i="2"/>
  <c r="I77" i="2"/>
  <c r="I76" i="2"/>
  <c r="I75" i="2" s="1"/>
  <c r="I78" i="2"/>
  <c r="I73" i="2"/>
  <c r="I74" i="2"/>
  <c r="I70" i="2"/>
  <c r="I69" i="2" s="1"/>
  <c r="I63" i="2"/>
  <c r="I64" i="2"/>
  <c r="I65" i="2"/>
  <c r="I66" i="2"/>
  <c r="I67" i="2"/>
  <c r="I68" i="2"/>
  <c r="I59" i="2"/>
  <c r="I60" i="2"/>
  <c r="I49" i="2"/>
  <c r="I50" i="2"/>
  <c r="I51" i="2"/>
  <c r="I52" i="2"/>
  <c r="I53" i="2"/>
  <c r="I54" i="2"/>
  <c r="I55" i="2"/>
  <c r="I56" i="2"/>
  <c r="I41" i="2"/>
  <c r="I42" i="2"/>
  <c r="I43" i="2"/>
  <c r="I44" i="2"/>
  <c r="I45" i="2"/>
  <c r="I46" i="2"/>
  <c r="I34" i="2"/>
  <c r="I35" i="2"/>
  <c r="I36" i="2"/>
  <c r="I37" i="2"/>
  <c r="I38" i="2"/>
  <c r="I24" i="2"/>
  <c r="I25" i="2"/>
  <c r="I26" i="2"/>
  <c r="I27" i="2"/>
  <c r="I28" i="2"/>
  <c r="I29" i="2"/>
  <c r="I30" i="2"/>
  <c r="I31" i="2"/>
  <c r="I13" i="2"/>
  <c r="I12" i="2" s="1"/>
  <c r="I19" i="2"/>
  <c r="I20" i="2"/>
  <c r="I21" i="2"/>
  <c r="I14" i="2"/>
  <c r="I15" i="2"/>
  <c r="I16" i="2"/>
  <c r="G23" i="2"/>
  <c r="G24" i="2"/>
  <c r="K24" i="2" s="1"/>
  <c r="G25" i="2"/>
  <c r="K25" i="2" s="1"/>
  <c r="G26" i="2"/>
  <c r="K26" i="2" s="1"/>
  <c r="G27" i="2"/>
  <c r="K27" i="2" s="1"/>
  <c r="G28" i="2"/>
  <c r="G29" i="2"/>
  <c r="K29" i="2" s="1"/>
  <c r="G30" i="2"/>
  <c r="K30" i="2" s="1"/>
  <c r="G31" i="2"/>
  <c r="K31" i="2" s="1"/>
  <c r="G93" i="2"/>
  <c r="K93" i="2" s="1"/>
  <c r="G94" i="2"/>
  <c r="K94" i="2" s="1"/>
  <c r="J94" i="2" s="1"/>
  <c r="G96" i="2"/>
  <c r="K96" i="2" s="1"/>
  <c r="G97" i="2"/>
  <c r="K97" i="2" s="1"/>
  <c r="J97" i="2" s="1"/>
  <c r="G98" i="2"/>
  <c r="K98" i="2" s="1"/>
  <c r="J98" i="2" s="1"/>
  <c r="G99" i="2"/>
  <c r="K99" i="2" s="1"/>
  <c r="J99" i="2" s="1"/>
  <c r="G100" i="2"/>
  <c r="K100" i="2" s="1"/>
  <c r="G101" i="2"/>
  <c r="K101" i="2" s="1"/>
  <c r="G102" i="2"/>
  <c r="G103" i="2"/>
  <c r="K103" i="2" s="1"/>
  <c r="J103" i="2" s="1"/>
  <c r="G105" i="2"/>
  <c r="K105" i="2" s="1"/>
  <c r="J105" i="2" s="1"/>
  <c r="G106" i="2"/>
  <c r="K106" i="2" s="1"/>
  <c r="J106" i="2" s="1"/>
  <c r="G107" i="2"/>
  <c r="K107" i="2" s="1"/>
  <c r="J107" i="2" s="1"/>
  <c r="G108" i="2"/>
  <c r="K108" i="2" s="1"/>
  <c r="J108" i="2" s="1"/>
  <c r="G109" i="2"/>
  <c r="K109" i="2" s="1"/>
  <c r="J109" i="2" s="1"/>
  <c r="G110" i="2"/>
  <c r="K110" i="2" s="1"/>
  <c r="J110" i="2" s="1"/>
  <c r="G111" i="2"/>
  <c r="K111" i="2" s="1"/>
  <c r="G112" i="2"/>
  <c r="K112" i="2" s="1"/>
  <c r="G113" i="2"/>
  <c r="K113" i="2" s="1"/>
  <c r="J113" i="2" s="1"/>
  <c r="G114" i="2"/>
  <c r="G116" i="2"/>
  <c r="K116" i="2" s="1"/>
  <c r="G117" i="2"/>
  <c r="K117" i="2" s="1"/>
  <c r="G118" i="2"/>
  <c r="K118" i="2" s="1"/>
  <c r="G120" i="2"/>
  <c r="K120" i="2" s="1"/>
  <c r="G121" i="2"/>
  <c r="K121" i="2" s="1"/>
  <c r="J121" i="2" s="1"/>
  <c r="G122" i="2"/>
  <c r="K122" i="2" s="1"/>
  <c r="J122" i="2" s="1"/>
  <c r="G123" i="2"/>
  <c r="K123" i="2" s="1"/>
  <c r="J123" i="2" s="1"/>
  <c r="G124" i="2"/>
  <c r="G125" i="2"/>
  <c r="G127" i="2"/>
  <c r="K127" i="2" s="1"/>
  <c r="G128" i="2"/>
  <c r="K128" i="2" s="1"/>
  <c r="G129" i="2"/>
  <c r="K129" i="2" s="1"/>
  <c r="J129" i="2" s="1"/>
  <c r="G130" i="2"/>
  <c r="K130" i="2" s="1"/>
  <c r="J130" i="2" s="1"/>
  <c r="G131" i="2"/>
  <c r="K131" i="2" s="1"/>
  <c r="J131" i="2" s="1"/>
  <c r="G132" i="2"/>
  <c r="K132" i="2" s="1"/>
  <c r="J132" i="2" s="1"/>
  <c r="G133" i="2"/>
  <c r="G134" i="2"/>
  <c r="K134" i="2" s="1"/>
  <c r="G135" i="2"/>
  <c r="K135" i="2" s="1"/>
  <c r="G136" i="2"/>
  <c r="K136" i="2" s="1"/>
  <c r="G137" i="2"/>
  <c r="K137" i="2" s="1"/>
  <c r="J137" i="2" s="1"/>
  <c r="G138" i="2"/>
  <c r="G139" i="2"/>
  <c r="K139" i="2" s="1"/>
  <c r="J139" i="2" s="1"/>
  <c r="G140" i="2"/>
  <c r="K140" i="2" s="1"/>
  <c r="J140" i="2" s="1"/>
  <c r="G141" i="2"/>
  <c r="K141" i="2" s="1"/>
  <c r="J141" i="2" s="1"/>
  <c r="G142" i="2"/>
  <c r="K142" i="2" s="1"/>
  <c r="G143" i="2"/>
  <c r="K143" i="2" s="1"/>
  <c r="G144" i="2"/>
  <c r="K144" i="2" s="1"/>
  <c r="G145" i="2"/>
  <c r="K145" i="2" s="1"/>
  <c r="J145" i="2" s="1"/>
  <c r="G146" i="2"/>
  <c r="K146" i="2" s="1"/>
  <c r="J146" i="2" s="1"/>
  <c r="G147" i="2"/>
  <c r="K147" i="2" s="1"/>
  <c r="J147" i="2" s="1"/>
  <c r="G148" i="2"/>
  <c r="K148" i="2" s="1"/>
  <c r="J148" i="2" s="1"/>
  <c r="G149" i="2"/>
  <c r="G150" i="2"/>
  <c r="K150" i="2" s="1"/>
  <c r="G151" i="2"/>
  <c r="K151" i="2" s="1"/>
  <c r="G152" i="2"/>
  <c r="K152" i="2" s="1"/>
  <c r="G153" i="2"/>
  <c r="K153" i="2" s="1"/>
  <c r="J153" i="2" s="1"/>
  <c r="G154" i="2"/>
  <c r="G155" i="2"/>
  <c r="K155" i="2" s="1"/>
  <c r="J155" i="2" s="1"/>
  <c r="G156" i="2"/>
  <c r="K156" i="2" s="1"/>
  <c r="J156" i="2" s="1"/>
  <c r="G157" i="2"/>
  <c r="K157" i="2" s="1"/>
  <c r="J157" i="2" s="1"/>
  <c r="G158" i="2"/>
  <c r="K158" i="2" s="1"/>
  <c r="G159" i="2"/>
  <c r="K159" i="2" s="1"/>
  <c r="G160" i="2"/>
  <c r="K160" i="2" s="1"/>
  <c r="G161" i="2"/>
  <c r="K161" i="2" s="1"/>
  <c r="J161" i="2" s="1"/>
  <c r="G162" i="2"/>
  <c r="K162" i="2" s="1"/>
  <c r="J162" i="2" s="1"/>
  <c r="G163" i="2"/>
  <c r="K163" i="2" s="1"/>
  <c r="J163" i="2" s="1"/>
  <c r="G164" i="2"/>
  <c r="K164" i="2" s="1"/>
  <c r="J164" i="2" s="1"/>
  <c r="G165" i="2"/>
  <c r="G166" i="2"/>
  <c r="K166" i="2" s="1"/>
  <c r="G167" i="2"/>
  <c r="K167" i="2" s="1"/>
  <c r="G168" i="2"/>
  <c r="K168" i="2" s="1"/>
  <c r="G169" i="2"/>
  <c r="K169" i="2" s="1"/>
  <c r="J169" i="2" s="1"/>
  <c r="G170" i="2"/>
  <c r="G171" i="2"/>
  <c r="K171" i="2" s="1"/>
  <c r="J171" i="2" s="1"/>
  <c r="G172" i="2"/>
  <c r="K172" i="2" s="1"/>
  <c r="J172" i="2" s="1"/>
  <c r="G173" i="2"/>
  <c r="K173" i="2" s="1"/>
  <c r="J173" i="2" s="1"/>
  <c r="G174" i="2"/>
  <c r="K174" i="2" s="1"/>
  <c r="G176" i="2"/>
  <c r="K176" i="2" s="1"/>
  <c r="G177" i="2"/>
  <c r="K177" i="2" s="1"/>
  <c r="J177" i="2" s="1"/>
  <c r="G178" i="2"/>
  <c r="K178" i="2" s="1"/>
  <c r="J178" i="2" s="1"/>
  <c r="G179" i="2"/>
  <c r="G180" i="2"/>
  <c r="K180" i="2" s="1"/>
  <c r="J180" i="2" s="1"/>
  <c r="G181" i="2"/>
  <c r="K181" i="2" s="1"/>
  <c r="J181" i="2" s="1"/>
  <c r="G182" i="2"/>
  <c r="K182" i="2" s="1"/>
  <c r="J182" i="2" s="1"/>
  <c r="G183" i="2"/>
  <c r="K183" i="2" s="1"/>
  <c r="G184" i="2"/>
  <c r="K184" i="2" s="1"/>
  <c r="G185" i="2"/>
  <c r="K185" i="2" s="1"/>
  <c r="J185" i="2" s="1"/>
  <c r="G186" i="2"/>
  <c r="K186" i="2" s="1"/>
  <c r="J186" i="2" s="1"/>
  <c r="G187" i="2"/>
  <c r="K187" i="2" s="1"/>
  <c r="J187" i="2" s="1"/>
  <c r="G188" i="2"/>
  <c r="K188" i="2" s="1"/>
  <c r="J188" i="2" s="1"/>
  <c r="G189" i="2"/>
  <c r="K189" i="2" s="1"/>
  <c r="J189" i="2" s="1"/>
  <c r="G190" i="2"/>
  <c r="G191" i="2"/>
  <c r="K191" i="2" s="1"/>
  <c r="G192" i="2"/>
  <c r="K192" i="2" s="1"/>
  <c r="G193" i="2"/>
  <c r="K193" i="2" s="1"/>
  <c r="J193" i="2" s="1"/>
  <c r="G194" i="2"/>
  <c r="K194" i="2" s="1"/>
  <c r="J194" i="2" s="1"/>
  <c r="G195" i="2"/>
  <c r="G196" i="2"/>
  <c r="K196" i="2" s="1"/>
  <c r="J196" i="2" s="1"/>
  <c r="G197" i="2"/>
  <c r="K197" i="2" s="1"/>
  <c r="J197" i="2" s="1"/>
  <c r="G198" i="2"/>
  <c r="K198" i="2" s="1"/>
  <c r="J198" i="2" s="1"/>
  <c r="G199" i="2"/>
  <c r="K199" i="2" s="1"/>
  <c r="G200" i="2"/>
  <c r="K200" i="2" s="1"/>
  <c r="G201" i="2"/>
  <c r="K201" i="2" s="1"/>
  <c r="J201" i="2" s="1"/>
  <c r="G202" i="2"/>
  <c r="K202" i="2" s="1"/>
  <c r="J202" i="2" s="1"/>
  <c r="G203" i="2"/>
  <c r="K203" i="2" s="1"/>
  <c r="J203" i="2" s="1"/>
  <c r="G204" i="2"/>
  <c r="K204" i="2" s="1"/>
  <c r="J204" i="2" s="1"/>
  <c r="G205" i="2"/>
  <c r="K205" i="2" s="1"/>
  <c r="J205" i="2" s="1"/>
  <c r="G206" i="2"/>
  <c r="G207" i="2"/>
  <c r="K207" i="2" s="1"/>
  <c r="G208" i="2"/>
  <c r="K208" i="2" s="1"/>
  <c r="G209" i="2"/>
  <c r="K209" i="2" s="1"/>
  <c r="J209" i="2" s="1"/>
  <c r="G210" i="2"/>
  <c r="K210" i="2" s="1"/>
  <c r="J210" i="2" s="1"/>
  <c r="G211" i="2"/>
  <c r="G212" i="2"/>
  <c r="K212" i="2" s="1"/>
  <c r="J212" i="2" s="1"/>
  <c r="G213" i="2"/>
  <c r="K213" i="2" s="1"/>
  <c r="J213" i="2" s="1"/>
  <c r="G214" i="2"/>
  <c r="K214" i="2" s="1"/>
  <c r="J214" i="2" s="1"/>
  <c r="G216" i="2"/>
  <c r="K216" i="2" s="1"/>
  <c r="G217" i="2"/>
  <c r="K217" i="2" s="1"/>
  <c r="J217" i="2" s="1"/>
  <c r="G218" i="2"/>
  <c r="K218" i="2" s="1"/>
  <c r="J218" i="2" s="1"/>
  <c r="G219" i="2"/>
  <c r="K219" i="2" s="1"/>
  <c r="J219" i="2" s="1"/>
  <c r="G220" i="2"/>
  <c r="G221" i="2"/>
  <c r="G222" i="2"/>
  <c r="K222" i="2" s="1"/>
  <c r="G223" i="2"/>
  <c r="K223" i="2" s="1"/>
  <c r="G224" i="2"/>
  <c r="K224" i="2" s="1"/>
  <c r="J224" i="2" s="1"/>
  <c r="G225" i="2"/>
  <c r="K225" i="2" s="1"/>
  <c r="J225" i="2" s="1"/>
  <c r="G226" i="2"/>
  <c r="K226" i="2" s="1"/>
  <c r="J226" i="2" s="1"/>
  <c r="G227" i="2"/>
  <c r="K227" i="2" s="1"/>
  <c r="J227" i="2" s="1"/>
  <c r="G228" i="2"/>
  <c r="K228" i="2" s="1"/>
  <c r="J228" i="2" s="1"/>
  <c r="G229" i="2"/>
  <c r="K229" i="2" s="1"/>
  <c r="J229" i="2" s="1"/>
  <c r="G230" i="2"/>
  <c r="K230" i="2" s="1"/>
  <c r="G231" i="2"/>
  <c r="K231" i="2" s="1"/>
  <c r="J231" i="2" s="1"/>
  <c r="G232" i="2"/>
  <c r="K232" i="2" s="1"/>
  <c r="J232" i="2" s="1"/>
  <c r="G233" i="2"/>
  <c r="K233" i="2" s="1"/>
  <c r="J233" i="2" s="1"/>
  <c r="G234" i="2"/>
  <c r="K234" i="2" s="1"/>
  <c r="J234" i="2" s="1"/>
  <c r="G235" i="2"/>
  <c r="K235" i="2" s="1"/>
  <c r="J235" i="2" s="1"/>
  <c r="G236" i="2"/>
  <c r="K236" i="2" s="1"/>
  <c r="G237" i="2"/>
  <c r="K237" i="2" s="1"/>
  <c r="J237" i="2" s="1"/>
  <c r="G238" i="2"/>
  <c r="K238" i="2" s="1"/>
  <c r="G240" i="2"/>
  <c r="G241" i="2"/>
  <c r="K241" i="2" s="1"/>
  <c r="J241" i="2" s="1"/>
  <c r="G242" i="2"/>
  <c r="K242" i="2" s="1"/>
  <c r="J242" i="2" s="1"/>
  <c r="G243" i="2"/>
  <c r="K243" i="2" s="1"/>
  <c r="G244" i="2"/>
  <c r="K244" i="2" s="1"/>
  <c r="G245" i="2"/>
  <c r="K245" i="2" s="1"/>
  <c r="J245" i="2" s="1"/>
  <c r="G247" i="2"/>
  <c r="K247" i="2" s="1"/>
  <c r="J247" i="2" s="1"/>
  <c r="G248" i="2"/>
  <c r="K248" i="2" s="1"/>
  <c r="J248" i="2" s="1"/>
  <c r="G249" i="2"/>
  <c r="K249" i="2" s="1"/>
  <c r="J249" i="2" s="1"/>
  <c r="G250" i="2"/>
  <c r="K250" i="2" s="1"/>
  <c r="G251" i="2"/>
  <c r="K251" i="2" s="1"/>
  <c r="G252" i="2"/>
  <c r="K252" i="2" s="1"/>
  <c r="G253" i="2"/>
  <c r="K253" i="2" s="1"/>
  <c r="J253" i="2" s="1"/>
  <c r="G254" i="2"/>
  <c r="K254" i="2" s="1"/>
  <c r="J254" i="2" s="1"/>
  <c r="G256" i="2"/>
  <c r="K256" i="2" s="1"/>
  <c r="J256" i="2" s="1"/>
  <c r="G257" i="2"/>
  <c r="K257" i="2" s="1"/>
  <c r="J257" i="2" s="1"/>
  <c r="G258" i="2"/>
  <c r="K258" i="2" s="1"/>
  <c r="J258" i="2" s="1"/>
  <c r="G259" i="2"/>
  <c r="K259" i="2" s="1"/>
  <c r="J259" i="2" s="1"/>
  <c r="G260" i="2"/>
  <c r="K260" i="2" s="1"/>
  <c r="G261" i="2"/>
  <c r="K261" i="2" s="1"/>
  <c r="G262" i="2"/>
  <c r="K262" i="2" s="1"/>
  <c r="J262" i="2" s="1"/>
  <c r="G263" i="2"/>
  <c r="K263" i="2" s="1"/>
  <c r="J263" i="2" s="1"/>
  <c r="G265" i="2"/>
  <c r="K265" i="2" s="1"/>
  <c r="J265" i="2" s="1"/>
  <c r="G266" i="2"/>
  <c r="K266" i="2" s="1"/>
  <c r="J266" i="2" s="1"/>
  <c r="G267" i="2"/>
  <c r="K267" i="2" s="1"/>
  <c r="G268" i="2"/>
  <c r="K268" i="2" s="1"/>
  <c r="J268" i="2" s="1"/>
  <c r="G269" i="2"/>
  <c r="K269" i="2" s="1"/>
  <c r="J269" i="2" s="1"/>
  <c r="G271" i="2"/>
  <c r="K271" i="2" s="1"/>
  <c r="G272" i="2"/>
  <c r="K272" i="2" s="1"/>
  <c r="J272" i="2" s="1"/>
  <c r="G273" i="2"/>
  <c r="G274" i="2"/>
  <c r="G89" i="2"/>
  <c r="K89" i="2" s="1"/>
  <c r="J89" i="2" s="1"/>
  <c r="G90" i="2"/>
  <c r="K90" i="2" s="1"/>
  <c r="J90" i="2" s="1"/>
  <c r="G91" i="2"/>
  <c r="K91" i="2" s="1"/>
  <c r="G83" i="2"/>
  <c r="K83" i="2" s="1"/>
  <c r="G84" i="2"/>
  <c r="K84" i="2" s="1"/>
  <c r="J84" i="2" s="1"/>
  <c r="G85" i="2"/>
  <c r="K85" i="2" s="1"/>
  <c r="J85" i="2" s="1"/>
  <c r="G86" i="2"/>
  <c r="K86" i="2" s="1"/>
  <c r="J86" i="2" s="1"/>
  <c r="G87" i="2"/>
  <c r="K87" i="2" s="1"/>
  <c r="J87" i="2" s="1"/>
  <c r="G77" i="2"/>
  <c r="K77" i="2" s="1"/>
  <c r="J77" i="2" s="1"/>
  <c r="G78" i="2"/>
  <c r="K78" i="2" s="1"/>
  <c r="G74" i="2"/>
  <c r="K74" i="2" s="1"/>
  <c r="J74" i="2" s="1"/>
  <c r="G73" i="2"/>
  <c r="K73" i="2" s="1"/>
  <c r="G63" i="2"/>
  <c r="K63" i="2" s="1"/>
  <c r="G64" i="2"/>
  <c r="K64" i="2" s="1"/>
  <c r="G65" i="2"/>
  <c r="K65" i="2" s="1"/>
  <c r="G66" i="2"/>
  <c r="K66" i="2" s="1"/>
  <c r="G67" i="2"/>
  <c r="K67" i="2" s="1"/>
  <c r="G68" i="2"/>
  <c r="K68" i="2" s="1"/>
  <c r="G59" i="2"/>
  <c r="K59" i="2" s="1"/>
  <c r="J59" i="2" s="1"/>
  <c r="G60" i="2"/>
  <c r="K60" i="2" s="1"/>
  <c r="J60" i="2" s="1"/>
  <c r="G49" i="2"/>
  <c r="K49" i="2" s="1"/>
  <c r="J49" i="2" s="1"/>
  <c r="G50" i="2"/>
  <c r="K50" i="2" s="1"/>
  <c r="J50" i="2" s="1"/>
  <c r="G51" i="2"/>
  <c r="K51" i="2" s="1"/>
  <c r="J51" i="2" s="1"/>
  <c r="G52" i="2"/>
  <c r="K52" i="2" s="1"/>
  <c r="J52" i="2" s="1"/>
  <c r="G53" i="2"/>
  <c r="K53" i="2" s="1"/>
  <c r="G54" i="2"/>
  <c r="K54" i="2" s="1"/>
  <c r="G55" i="2"/>
  <c r="K55" i="2" s="1"/>
  <c r="J55" i="2" s="1"/>
  <c r="G56" i="2"/>
  <c r="K56" i="2" s="1"/>
  <c r="J56" i="2" s="1"/>
  <c r="G41" i="2"/>
  <c r="K41" i="2" s="1"/>
  <c r="J41" i="2" s="1"/>
  <c r="G42" i="2"/>
  <c r="K42" i="2" s="1"/>
  <c r="J42" i="2" s="1"/>
  <c r="G43" i="2"/>
  <c r="K43" i="2" s="1"/>
  <c r="G44" i="2"/>
  <c r="K44" i="2" s="1"/>
  <c r="G45" i="2"/>
  <c r="K45" i="2" s="1"/>
  <c r="G46" i="2"/>
  <c r="K46" i="2" s="1"/>
  <c r="G34" i="2"/>
  <c r="K34" i="2" s="1"/>
  <c r="J34" i="2" s="1"/>
  <c r="G35" i="2"/>
  <c r="K35" i="2" s="1"/>
  <c r="J35" i="2" s="1"/>
  <c r="G36" i="2"/>
  <c r="K36" i="2" s="1"/>
  <c r="J36" i="2" s="1"/>
  <c r="G37" i="2"/>
  <c r="K37" i="2" s="1"/>
  <c r="J37" i="2" s="1"/>
  <c r="G38" i="2"/>
  <c r="K38" i="2" s="1"/>
  <c r="J38" i="2" s="1"/>
  <c r="G19" i="2"/>
  <c r="K19" i="2" s="1"/>
  <c r="G20" i="2"/>
  <c r="K20" i="2" s="1"/>
  <c r="J20" i="2" s="1"/>
  <c r="G21" i="2"/>
  <c r="K21" i="2" s="1"/>
  <c r="J21" i="2" s="1"/>
  <c r="G14" i="2"/>
  <c r="K14" i="2" s="1"/>
  <c r="G15" i="2"/>
  <c r="G16" i="2"/>
  <c r="U82" i="2"/>
  <c r="T82" i="2"/>
  <c r="N82" i="2"/>
  <c r="R82" i="2" s="1"/>
  <c r="I82" i="2"/>
  <c r="I81" i="2" s="1"/>
  <c r="G82" i="2"/>
  <c r="K82" i="2" s="1"/>
  <c r="U80" i="2"/>
  <c r="T80" i="2"/>
  <c r="N80" i="2"/>
  <c r="R80" i="2" s="1"/>
  <c r="I80" i="2"/>
  <c r="G80" i="2"/>
  <c r="K80" i="2" s="1"/>
  <c r="K79" i="2" s="1"/>
  <c r="U76" i="2"/>
  <c r="T76" i="2"/>
  <c r="N76" i="2"/>
  <c r="O76" i="2" s="1"/>
  <c r="G76" i="2"/>
  <c r="K76" i="2" s="1"/>
  <c r="U72" i="2"/>
  <c r="T72" i="2"/>
  <c r="N72" i="2"/>
  <c r="O72" i="2" s="1"/>
  <c r="I72" i="2"/>
  <c r="I71" i="2" s="1"/>
  <c r="G72" i="2"/>
  <c r="K72" i="2" s="1"/>
  <c r="L7" i="3" l="1"/>
  <c r="L6" i="3" s="1"/>
  <c r="M9" i="3" s="1"/>
  <c r="J53" i="2"/>
  <c r="J244" i="2"/>
  <c r="J101" i="2"/>
  <c r="J25" i="2"/>
  <c r="J261" i="2"/>
  <c r="J252" i="2"/>
  <c r="J243" i="2"/>
  <c r="J239" i="2" s="1"/>
  <c r="J168" i="2"/>
  <c r="J160" i="2"/>
  <c r="J152" i="2"/>
  <c r="J144" i="2"/>
  <c r="J136" i="2"/>
  <c r="J128" i="2"/>
  <c r="J118" i="2"/>
  <c r="J100" i="2"/>
  <c r="J102" i="2"/>
  <c r="J19" i="2"/>
  <c r="J24" i="2"/>
  <c r="J73" i="2"/>
  <c r="J260" i="2"/>
  <c r="J255" i="2" s="1"/>
  <c r="J251" i="2"/>
  <c r="J208" i="2"/>
  <c r="J200" i="2"/>
  <c r="J192" i="2"/>
  <c r="J184" i="2"/>
  <c r="J167" i="2"/>
  <c r="J159" i="2"/>
  <c r="J151" i="2"/>
  <c r="J143" i="2"/>
  <c r="J135" i="2"/>
  <c r="J117" i="2"/>
  <c r="J91" i="2"/>
  <c r="J250" i="2"/>
  <c r="J207" i="2"/>
  <c r="J199" i="2"/>
  <c r="J191" i="2"/>
  <c r="J183" i="2"/>
  <c r="J174" i="2"/>
  <c r="J166" i="2"/>
  <c r="J158" i="2"/>
  <c r="J150" i="2"/>
  <c r="J142" i="2"/>
  <c r="J134" i="2"/>
  <c r="K75" i="2"/>
  <c r="J46" i="2"/>
  <c r="J54" i="2"/>
  <c r="J78" i="2"/>
  <c r="J267" i="2"/>
  <c r="J223" i="2"/>
  <c r="K119" i="2"/>
  <c r="J120" i="2"/>
  <c r="J119" i="2" s="1"/>
  <c r="J83" i="2"/>
  <c r="K81" i="2"/>
  <c r="J246" i="2"/>
  <c r="J116" i="2"/>
  <c r="J115" i="2" s="1"/>
  <c r="K115" i="2"/>
  <c r="J264" i="2"/>
  <c r="K270" i="2"/>
  <c r="J271" i="2"/>
  <c r="J216" i="2"/>
  <c r="K215" i="2"/>
  <c r="J96" i="2"/>
  <c r="K95" i="2"/>
  <c r="K71" i="2"/>
  <c r="K175" i="2"/>
  <c r="J176" i="2"/>
  <c r="K126" i="2"/>
  <c r="J127" i="2"/>
  <c r="J88" i="2"/>
  <c r="J93" i="2"/>
  <c r="J92" i="2" s="1"/>
  <c r="K92" i="2"/>
  <c r="K255" i="2"/>
  <c r="J238" i="2"/>
  <c r="J274" i="2"/>
  <c r="J236" i="2"/>
  <c r="J230" i="2"/>
  <c r="K246" i="2"/>
  <c r="K104" i="2"/>
  <c r="J45" i="2"/>
  <c r="J222" i="2"/>
  <c r="J44" i="2"/>
  <c r="J112" i="2"/>
  <c r="J273" i="2"/>
  <c r="J27" i="2"/>
  <c r="K264" i="2"/>
  <c r="J43" i="2"/>
  <c r="K88" i="2"/>
  <c r="J220" i="2"/>
  <c r="K239" i="2"/>
  <c r="J111" i="2"/>
  <c r="J104" i="2" s="1"/>
  <c r="J26" i="2"/>
  <c r="J30" i="2"/>
  <c r="J31" i="2"/>
  <c r="J29" i="2"/>
  <c r="J28" i="2"/>
  <c r="J82" i="2"/>
  <c r="O82" i="2"/>
  <c r="J80" i="2"/>
  <c r="J79" i="2" s="1"/>
  <c r="O80" i="2"/>
  <c r="J76" i="2"/>
  <c r="J75" i="2" s="1"/>
  <c r="R76" i="2"/>
  <c r="J72" i="2"/>
  <c r="J71" i="2" s="1"/>
  <c r="R72" i="2"/>
  <c r="J126" i="2" l="1"/>
  <c r="J81" i="2"/>
  <c r="J175" i="2"/>
  <c r="J95" i="2"/>
  <c r="J215" i="2"/>
  <c r="J270" i="2"/>
  <c r="O50" i="2" l="1"/>
  <c r="I48" i="2"/>
  <c r="I47" i="2" s="1"/>
  <c r="O19" i="2"/>
  <c r="T19" i="2"/>
  <c r="U19" i="2"/>
  <c r="J65" i="2" l="1"/>
  <c r="J67" i="2"/>
  <c r="J63" i="2"/>
  <c r="J68" i="2"/>
  <c r="J66" i="2"/>
  <c r="J64" i="2"/>
  <c r="O27" i="2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P70" i="2"/>
  <c r="P63" i="2"/>
  <c r="U63" i="2"/>
  <c r="P62" i="2"/>
  <c r="U62" i="2"/>
  <c r="P60" i="2"/>
  <c r="P58" i="2"/>
  <c r="T58" i="2"/>
  <c r="G58" i="2"/>
  <c r="P53" i="2"/>
  <c r="P49" i="2"/>
  <c r="U49" i="2"/>
  <c r="P48" i="2"/>
  <c r="U48" i="2"/>
  <c r="G48" i="2"/>
  <c r="P42" i="2"/>
  <c r="U42" i="2"/>
  <c r="P41" i="2"/>
  <c r="T41" i="2"/>
  <c r="P40" i="2"/>
  <c r="U40" i="2"/>
  <c r="G40" i="2"/>
  <c r="P33" i="2"/>
  <c r="T33" i="2"/>
  <c r="G33" i="2"/>
  <c r="P28" i="2"/>
  <c r="U28" i="2"/>
  <c r="P26" i="2"/>
  <c r="U26" i="2"/>
  <c r="P25" i="2"/>
  <c r="U25" i="2"/>
  <c r="P24" i="2"/>
  <c r="U24" i="2"/>
  <c r="P23" i="2"/>
  <c r="U23" i="2"/>
  <c r="P21" i="2"/>
  <c r="U21" i="2"/>
  <c r="P18" i="2"/>
  <c r="T18" i="2"/>
  <c r="G18" i="2"/>
  <c r="P16" i="2"/>
  <c r="U16" i="2"/>
  <c r="K16" i="2"/>
  <c r="J16" i="2" s="1"/>
  <c r="P15" i="2"/>
  <c r="U15" i="2"/>
  <c r="K15" i="2"/>
  <c r="J15" i="2" s="1"/>
  <c r="P14" i="2"/>
  <c r="U14" i="2"/>
  <c r="P13" i="2"/>
  <c r="U13" i="2"/>
  <c r="G13" i="2"/>
  <c r="K33" i="2" l="1"/>
  <c r="K32" i="2" s="1"/>
  <c r="U33" i="2"/>
  <c r="I33" i="2"/>
  <c r="U53" i="2"/>
  <c r="T62" i="2"/>
  <c r="T21" i="2"/>
  <c r="O21" i="2"/>
  <c r="N21" i="2" s="1"/>
  <c r="R21" i="2" s="1"/>
  <c r="O60" i="2"/>
  <c r="N60" i="2" s="1"/>
  <c r="R60" i="2" s="1"/>
  <c r="K48" i="2"/>
  <c r="K47" i="2" s="1"/>
  <c r="K40" i="2"/>
  <c r="K39" i="2" s="1"/>
  <c r="U60" i="2"/>
  <c r="O63" i="2"/>
  <c r="N63" i="2" s="1"/>
  <c r="R63" i="2" s="1"/>
  <c r="K13" i="2"/>
  <c r="I58" i="2"/>
  <c r="U58" i="2"/>
  <c r="K23" i="2"/>
  <c r="K22" i="2" s="1"/>
  <c r="K58" i="2"/>
  <c r="K57" i="2" s="1"/>
  <c r="M25" i="4"/>
  <c r="M43" i="4"/>
  <c r="M42" i="4" s="1"/>
  <c r="L44" i="4"/>
  <c r="K5" i="4"/>
  <c r="L13" i="4"/>
  <c r="M12" i="4"/>
  <c r="L17" i="4"/>
  <c r="M16" i="4"/>
  <c r="M29" i="4"/>
  <c r="L31" i="4"/>
  <c r="O70" i="2"/>
  <c r="N70" i="2" s="1"/>
  <c r="R70" i="2" s="1"/>
  <c r="L38" i="4"/>
  <c r="M37" i="4"/>
  <c r="L7" i="4"/>
  <c r="M6" i="4"/>
  <c r="L35" i="4"/>
  <c r="T13" i="2"/>
  <c r="T15" i="2"/>
  <c r="U18" i="2"/>
  <c r="T23" i="2"/>
  <c r="O41" i="2"/>
  <c r="N41" i="2" s="1"/>
  <c r="R41" i="2" s="1"/>
  <c r="T40" i="2"/>
  <c r="T42" i="2"/>
  <c r="I62" i="2"/>
  <c r="I61" i="2" s="1"/>
  <c r="T70" i="2"/>
  <c r="U41" i="2"/>
  <c r="T49" i="2"/>
  <c r="K18" i="2"/>
  <c r="K17" i="2" s="1"/>
  <c r="T14" i="2"/>
  <c r="T16" i="2"/>
  <c r="T24" i="2"/>
  <c r="T26" i="2"/>
  <c r="I40" i="2"/>
  <c r="I39" i="2" s="1"/>
  <c r="O42" i="2"/>
  <c r="N42" i="2" s="1"/>
  <c r="T48" i="2"/>
  <c r="T53" i="2"/>
  <c r="O14" i="2"/>
  <c r="N14" i="2" s="1"/>
  <c r="R14" i="2" s="1"/>
  <c r="O16" i="2"/>
  <c r="N16" i="2" s="1"/>
  <c r="R16" i="2" s="1"/>
  <c r="O24" i="2"/>
  <c r="N24" i="2" s="1"/>
  <c r="R24" i="2" s="1"/>
  <c r="O26" i="2"/>
  <c r="N26" i="2" s="1"/>
  <c r="R26" i="2" s="1"/>
  <c r="O53" i="2"/>
  <c r="N53" i="2" s="1"/>
  <c r="I36" i="4"/>
  <c r="M36" i="4" s="1"/>
  <c r="L36" i="4" s="1"/>
  <c r="H40" i="4"/>
  <c r="I40" i="4" s="1"/>
  <c r="M40" i="4" s="1"/>
  <c r="L40" i="4" s="1"/>
  <c r="I18" i="2"/>
  <c r="I17" i="2" s="1"/>
  <c r="T25" i="2"/>
  <c r="T28" i="2"/>
  <c r="O15" i="2"/>
  <c r="N15" i="2" s="1"/>
  <c r="R15" i="2" s="1"/>
  <c r="I23" i="2"/>
  <c r="I22" i="2" s="1"/>
  <c r="O25" i="2"/>
  <c r="N25" i="2" s="1"/>
  <c r="R25" i="2" s="1"/>
  <c r="O28" i="2"/>
  <c r="N28" i="2" s="1"/>
  <c r="O49" i="2"/>
  <c r="N49" i="2" s="1"/>
  <c r="R49" i="2" s="1"/>
  <c r="O33" i="2" l="1"/>
  <c r="N33" i="2" s="1"/>
  <c r="I32" i="2"/>
  <c r="I275" i="2" s="1"/>
  <c r="O58" i="2"/>
  <c r="N58" i="2" s="1"/>
  <c r="R58" i="2" s="1"/>
  <c r="I57" i="2"/>
  <c r="J13" i="2"/>
  <c r="J18" i="2"/>
  <c r="J23" i="2"/>
  <c r="T60" i="2"/>
  <c r="N35" i="2"/>
  <c r="N38" i="2" s="1"/>
  <c r="N34" i="2"/>
  <c r="O34" i="2" s="1"/>
  <c r="J33" i="2"/>
  <c r="J32" i="2" s="1"/>
  <c r="R33" i="2"/>
  <c r="G62" i="2"/>
  <c r="K62" i="2" s="1"/>
  <c r="K61" i="2" s="1"/>
  <c r="T63" i="2"/>
  <c r="J48" i="2"/>
  <c r="J47" i="2" s="1"/>
  <c r="J58" i="2"/>
  <c r="J57" i="2" s="1"/>
  <c r="J40" i="2"/>
  <c r="J39" i="2" s="1"/>
  <c r="R53" i="2"/>
  <c r="R28" i="2"/>
  <c r="N29" i="2"/>
  <c r="O48" i="2"/>
  <c r="N48" i="2" s="1"/>
  <c r="R48" i="2" s="1"/>
  <c r="M33" i="4"/>
  <c r="O62" i="2"/>
  <c r="N62" i="2" s="1"/>
  <c r="R62" i="2" s="1"/>
  <c r="R42" i="2"/>
  <c r="O18" i="2"/>
  <c r="N18" i="2" s="1"/>
  <c r="R18" i="2" s="1"/>
  <c r="O40" i="2"/>
  <c r="N40" i="2" s="1"/>
  <c r="R40" i="2" s="1"/>
  <c r="U70" i="2"/>
  <c r="G70" i="2"/>
  <c r="K70" i="2" s="1"/>
  <c r="K69" i="2" s="1"/>
  <c r="O23" i="2"/>
  <c r="N23" i="2" s="1"/>
  <c r="R23" i="2" s="1"/>
  <c r="M5" i="4"/>
  <c r="O13" i="2"/>
  <c r="N13" i="2" s="1"/>
  <c r="R13" i="2" s="1"/>
  <c r="J62" i="2" l="1"/>
  <c r="J61" i="2" s="1"/>
  <c r="R35" i="2"/>
  <c r="O35" i="2"/>
  <c r="T34" i="2"/>
  <c r="U34" i="2"/>
  <c r="J17" i="2"/>
  <c r="J70" i="2"/>
  <c r="J69" i="2" s="1"/>
  <c r="R29" i="2"/>
  <c r="O29" i="2"/>
  <c r="N273" i="2"/>
  <c r="R38" i="2"/>
  <c r="O38" i="2"/>
  <c r="N36" i="2"/>
  <c r="U35" i="2" l="1"/>
  <c r="T35" i="2"/>
  <c r="N274" i="2"/>
  <c r="R273" i="2"/>
  <c r="O273" i="2"/>
  <c r="R36" i="2"/>
  <c r="O36" i="2"/>
  <c r="U29" i="2"/>
  <c r="T29" i="2"/>
  <c r="T38" i="2"/>
  <c r="U38" i="2"/>
  <c r="T36" i="2" l="1"/>
  <c r="U36" i="2"/>
  <c r="J22" i="2"/>
  <c r="U273" i="2"/>
  <c r="T273" i="2"/>
  <c r="R274" i="2"/>
  <c r="O274" i="2"/>
  <c r="U274" i="2" l="1"/>
  <c r="T274" i="2"/>
  <c r="U11" i="2" l="1"/>
  <c r="T11" i="2"/>
  <c r="T10" i="2" s="1"/>
  <c r="U10" i="2" l="1"/>
  <c r="V10" i="2" s="1"/>
  <c r="V11" i="2"/>
  <c r="K275" i="2" l="1"/>
  <c r="O11" i="2" l="1"/>
</calcChain>
</file>

<file path=xl/sharedStrings.xml><?xml version="1.0" encoding="utf-8"?>
<sst xmlns="http://schemas.openxmlformats.org/spreadsheetml/2006/main" count="2057" uniqueCount="1042">
  <si>
    <t xml:space="preserve">
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</si>
  <si>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</si>
  <si>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</si>
  <si>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</si>
  <si>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</si>
  <si>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</si>
  <si>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</si>
  <si>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</si>
  <si>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</si>
  <si>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1</t>
  </si>
  <si>
    <t>SERVIÇOS PRELIMINARES</t>
  </si>
  <si>
    <t>1.1</t>
  </si>
  <si>
    <t>103689</t>
  </si>
  <si>
    <t>FORNECIMENTO E INSTALAÇÃO DE PLACA DE OBRA COM CHAPA GALVANIZADA E ESTRUTURA DE MADEIRA. AF_03/2022_PS</t>
  </si>
  <si>
    <t>SINAPI</t>
  </si>
  <si>
    <t>M2</t>
  </si>
  <si>
    <t>1.2</t>
  </si>
  <si>
    <t>99059</t>
  </si>
  <si>
    <t>LOCAÇÃO CONVENCIONAL DE OBRA, UTILIZANDO GABARITO DE TÁBUAS CORRIDAS PONTALETADAS A CADA 2,00M - 2 UTILIZAÇÕES. AF_03/2024</t>
  </si>
  <si>
    <t>M</t>
  </si>
  <si>
    <t>1.3</t>
  </si>
  <si>
    <t>104790</t>
  </si>
  <si>
    <t>DEMOLIÇÃO DE PISO DE CONCRETO SIMPLES, DE FORMA MECANIZADA COM MARTELETE, SEM REAPROVEITAMENTO. AF_09/2023</t>
  </si>
  <si>
    <t>M3</t>
  </si>
  <si>
    <t>1.4</t>
  </si>
  <si>
    <t>COM-82872488</t>
  </si>
  <si>
    <t>REMOÇÃO MANUAL DE ENTULHO (COREMAS 1)</t>
  </si>
  <si>
    <t>Composições Próprias</t>
  </si>
  <si>
    <t>1.5</t>
  </si>
  <si>
    <t>97647</t>
  </si>
  <si>
    <t>REMOÇÃO DE TELHAS DE FIBROCIMENTO METÁLICA E CERÂMICA, DE FORMA MANUAL, SEM REAPROVEITAMENTO. AF_09/2023</t>
  </si>
  <si>
    <t>2</t>
  </si>
  <si>
    <t>PAREDES E PAINEIS</t>
  </si>
  <si>
    <t>2.1</t>
  </si>
  <si>
    <t>103317</t>
  </si>
  <si>
    <t>ALVENARIA DE VEDAÇÃO DE BLOCOS VAZADOS DE CONCRETO DE 9X19X39 CM (ESPESSURA 9 CM) E ARGAMASSA DE ASSENTAMENTO COM PREPARO MANUAL. AF_12/2021</t>
  </si>
  <si>
    <t>2.2</t>
  </si>
  <si>
    <t>101158</t>
  </si>
  <si>
    <t>ALVENARIA DE VEDAÇÃO DE BLOCOS DE GESSO DE 10X50X66CM (ESPESSURA 10CM). AF_05/2020</t>
  </si>
  <si>
    <t>2.3</t>
  </si>
  <si>
    <t>105023</t>
  </si>
  <si>
    <t>VERGA MOLDADA IN LOCO EM CONCRETO, ESPESSURA DE *15* CM. AF_03/2024</t>
  </si>
  <si>
    <t>3</t>
  </si>
  <si>
    <t>COBERTURA</t>
  </si>
  <si>
    <t>3.1</t>
  </si>
  <si>
    <t>94201</t>
  </si>
  <si>
    <t>TELHAMENTO COM TELHA CERÂMICA CAPA-CANAL, TIPO COLONIAL, COM ATÉ 2 ÁGUAS, INCLUSO TRANSPORTE VERTICAL. AF_07/2019</t>
  </si>
  <si>
    <t>3.2</t>
  </si>
  <si>
    <t>COM-96928931</t>
  </si>
  <si>
    <t>REPARO DE FORRO EM RÁGUAS DE PVC, FRISADO, PARA AMBIENTES COMERCIAIS (COREMAS 2)</t>
  </si>
  <si>
    <t>3.3</t>
  </si>
  <si>
    <t>100328</t>
  </si>
  <si>
    <t>RETIRADA E RECOLOCAÇÃO DE TELHA CERÂMICA DE ENCAIXE, COM ATÉ DUAS ÁGUAS, INCLUSO IÇAMENTO. AF_07/2019</t>
  </si>
  <si>
    <t>3.4</t>
  </si>
  <si>
    <t>98555</t>
  </si>
  <si>
    <t>IMPERMEABILIZAÇÃO DE SUPERFÍCIE COM ARGAMASSA POLIMÉRICA / MEMBRANA ACRÍLICA, 3 DEMÃOS. AF_09/2023</t>
  </si>
  <si>
    <t>3.5</t>
  </si>
  <si>
    <t>98563</t>
  </si>
  <si>
    <t>PROTEÇÃO MECÂNICA DE SUPERFÍCIE HORIZONTAL COM ARGAMASSA DE CIMENTO E AREIA, TRAÇO 1:3, E=2CM. AF_09/2023</t>
  </si>
  <si>
    <t>4</t>
  </si>
  <si>
    <t>ESQUADRIAS</t>
  </si>
  <si>
    <t>4.1</t>
  </si>
  <si>
    <t>91314</t>
  </si>
  <si>
    <t>KIT DE PORTA DE MADEIRA PARA PINTURA, SEMI-OCA (LEVE OU MÉDIA), PADRÃO POPULAR, 80X210CM, ESPESSURA DE 3,5CM, ITENS INCLUSOS: DOBRADIÇAS, MONTAGEM E INSTALAÇÃO DO BATENTE, FECHADURA COM EXECUÇÃO DO FURO - FORNECIMENTO E INSTALAÇÃO. AF_12/2019</t>
  </si>
  <si>
    <t>UN</t>
  </si>
  <si>
    <t>5</t>
  </si>
  <si>
    <t>INSTALAÇÕES ELÉTRICAS</t>
  </si>
  <si>
    <t>5.1</t>
  </si>
  <si>
    <t>COM-76825377</t>
  </si>
  <si>
    <t>LUMINARIA TIPO PLAFON 40X40QUADRADA DE EMBUTIR COM LED DE 36W FORNECIMENTO E INSTALAÇÃO (COREMAS 3)</t>
  </si>
  <si>
    <t>5.2</t>
  </si>
  <si>
    <t>91953</t>
  </si>
  <si>
    <t>INTERRUPTOR SIMPLES (1 MÓDULO), 10A/250V, INCLUINDO SUPORTE E PLACA - FORNECIMENTO E INSTALAÇÃO. AF_03/2023</t>
  </si>
  <si>
    <t>5.3</t>
  </si>
  <si>
    <t>COM-41070178</t>
  </si>
  <si>
    <t>PONTO DE LUZ EM TETO OU PAREDE, COM ELETRODUTO PVC RIGIDO EMBUTIDO 0 3/4 (COREMAS 5)</t>
  </si>
  <si>
    <t>6</t>
  </si>
  <si>
    <t>PISOS</t>
  </si>
  <si>
    <t>6.1</t>
  </si>
  <si>
    <t>87622</t>
  </si>
  <si>
    <t>CONTRAPISO EM ARGAMASSA TRAÇO 1:4 (CIMENTO E AREIA), PREPARO MANUAL, APLICADO EM ÁREAS SECAS SOBRE LAJE, ADERIDO, ACABAMENTO NÃO REFORÇADO, ESPESSURA 2CM. AF_07/2021</t>
  </si>
  <si>
    <t>6.2</t>
  </si>
  <si>
    <t>104596</t>
  </si>
  <si>
    <t>REVESTIMENTO CERÂMICO PARA PISO COM PLACAS TIPO PORCELANATO DE DIMENSÕES 80X80 CM APLICADA EM AMBIENTES DE ÁREA MENOR QUE 5 M². AF_02/2023_PE</t>
  </si>
  <si>
    <t>6.3</t>
  </si>
  <si>
    <t>104162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</si>
  <si>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</si>
  <si>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>7</t>
  </si>
  <si>
    <t>REVESTIMENTOS INTERNOS</t>
  </si>
  <si>
    <t>7.1</t>
  </si>
  <si>
    <t>104410</t>
  </si>
  <si>
    <t>CHAPISCO APLICADO EM ALVENARIA E ESTRUTURAS DE CONCRETO INTERNAS, COM EQUIPAMENTO DE PROJEÇÃO. ARGAMASSA TRAÇO 1:3 COM PREPARO MANUAL. AF_10/2022</t>
  </si>
  <si>
    <t>7.2</t>
  </si>
  <si>
    <t>87528</t>
  </si>
  <si>
    <t>EMBOÇO, EM ARGAMASSA TRAÇO 1:2:8, PREPARO MANUAL, APLICADO MANUALMENTE EM PAREDES INTERNAS DE AMBIENTES COM ÁREA MENOR QUE 5M², E = 17,5MM, COM TALISCAS. AF_03/2024</t>
  </si>
  <si>
    <t>7.3</t>
  </si>
  <si>
    <t>104612</t>
  </si>
  <si>
    <t>REVESTIMENTO CERÂMICO PARA PAREDES INTERNAS COM PLACAS TIPO ESMALTADA DE DIMENSÕES 60X60 CM APLICADAS A MEIA ALTURA DAS PAREDES. AF_02/2023_PE</t>
  </si>
  <si>
    <t>8</t>
  </si>
  <si>
    <t>PINTURAS INTERNA</t>
  </si>
  <si>
    <t>8.1</t>
  </si>
  <si>
    <t>88485</t>
  </si>
  <si>
    <t>FUNDO SELADOR ACRÍLICO, APLICAÇÃO MANUAL EM PAREDE, UMA DEMÃO. AF_04/2023</t>
  </si>
  <si>
    <t>8.2</t>
  </si>
  <si>
    <t>88497</t>
  </si>
  <si>
    <t>EMASSAMENTO COM MASSA LÁTEX, APLICAÇÃO EM PAREDE, DUAS DEMÃOS, LIXAMENTO MANUAL. AF_04/2023</t>
  </si>
  <si>
    <t>8.3</t>
  </si>
  <si>
    <t>88489</t>
  </si>
  <si>
    <t>PINTURA LÁTEX ACRÍLICA PREMIUM, APLICAÇÃO MANUAL EM PAREDES, DUAS DEMÃOS. AF_04/2023</t>
  </si>
  <si>
    <t>8.4</t>
  </si>
  <si>
    <t>88488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</si>
  <si>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</si>
  <si>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</si>
  <si>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</si>
  <si>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</si>
  <si>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</si>
  <si>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</si>
  <si>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</si>
  <si>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VALOR BDI TOTAL:</t>
  </si>
  <si>
    <t>VALOR ORÇAMENTO:</t>
  </si>
  <si>
    <t>VALOR TOTAL:</t>
  </si>
  <si>
    <t>DESCRIÇÃO DOS SERVIÇOS</t>
  </si>
  <si>
    <t>UNID.</t>
  </si>
  <si>
    <t>LICITADA</t>
  </si>
  <si>
    <t>ACRESCIDA</t>
  </si>
  <si>
    <t>SUPRIMIDA</t>
  </si>
  <si>
    <t>REPROGRAMAÇÃO</t>
  </si>
  <si>
    <t>UNIT.</t>
  </si>
  <si>
    <t>LICITADO</t>
  </si>
  <si>
    <t>ACRESCIDO/ SUPRIMIDO</t>
  </si>
  <si>
    <t>TOTAL REPROGRAMADO</t>
  </si>
  <si>
    <t>Desconto</t>
  </si>
  <si>
    <t>Proposta</t>
  </si>
  <si>
    <t>Projeto</t>
  </si>
  <si>
    <t>Suprimido</t>
  </si>
  <si>
    <t>Acrescido</t>
  </si>
  <si>
    <t>Total reprogamado:</t>
  </si>
  <si>
    <t>MEMORIAL DE CALCULO ADITIVO/SUPRESSÃO</t>
  </si>
  <si>
    <t>Total</t>
  </si>
  <si>
    <t>SUPRESSÃO</t>
  </si>
  <si>
    <t>ACRÉSCIMO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</si>
  <si>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</si>
  <si>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</si>
  <si>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</si>
  <si>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</si>
  <si>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</si>
  <si>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</si>
  <si>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</si>
  <si>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</si>
  <si>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</si>
  <si>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</si>
  <si>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</si>
  <si>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</si>
  <si>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</si>
  <si>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</si>
  <si>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</si>
  <si>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</si>
  <si>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</si>
  <si>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</si>
  <si>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</si>
  <si>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</si>
  <si>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</si>
  <si>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</si>
  <si>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</si>
  <si>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</si>
  <si>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</si>
  <si>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</si>
  <si>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</si>
  <si>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</si>
  <si>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</si>
  <si>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</si>
  <si>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</si>
  <si>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</si>
  <si>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</si>
  <si>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</si>
  <si>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</si>
  <si>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</si>
  <si>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</si>
  <si>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</si>
  <si>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</si>
  <si>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</si>
  <si>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</si>
  <si>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</si>
  <si>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</si>
  <si>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</si>
  <si>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</si>
  <si>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</si>
  <si>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</si>
  <si>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</si>
  <si>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</si>
  <si>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</si>
  <si>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</si>
  <si>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</si>
  <si>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</si>
  <si>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</si>
  <si>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</si>
  <si>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</si>
  <si>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</si>
  <si>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</si>
  <si>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</si>
  <si>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</si>
  <si>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</si>
  <si>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</si>
  <si>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</si>
  <si>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</si>
  <si>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</si>
  <si>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</si>
  <si>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</si>
  <si>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</si>
  <si>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</si>
  <si>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</si>
  <si>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</si>
  <si>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</si>
  <si>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</si>
  <si>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</si>
  <si>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</si>
  <si>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</si>
  <si>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</si>
  <si>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</si>
  <si>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</si>
  <si>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</si>
  <si>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</si>
  <si>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</si>
  <si>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</si>
  <si>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</si>
  <si>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</si>
  <si>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</si>
  <si>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</si>
  <si>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</si>
  <si>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</si>
  <si>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</si>
  <si>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</si>
  <si>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</si>
  <si>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</si>
  <si>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</si>
  <si>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</si>
  <si>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</si>
  <si>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</si>
  <si>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</si>
  <si>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</si>
  <si>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</si>
  <si>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</si>
  <si>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</si>
  <si>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</si>
  <si>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</si>
  <si>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</si>
  <si>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</si>
  <si>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</si>
  <si>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</si>
  <si>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</si>
  <si>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</si>
  <si>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</si>
  <si>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</si>
  <si>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</si>
  <si>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</si>
  <si>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</si>
  <si>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</si>
  <si>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</si>
  <si>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</si>
  <si>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</si>
  <si>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</si>
  <si>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</si>
  <si>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</si>
  <si>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</si>
  <si>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</si>
  <si>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</si>
  <si>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</si>
  <si>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</si>
  <si>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</si>
  <si>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</si>
  <si>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</si>
  <si>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</si>
  <si>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</si>
  <si>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</si>
  <si>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</si>
  <si>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</si>
  <si>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</si>
  <si>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</si>
  <si>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</si>
  <si>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</si>
  <si>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</si>
  <si>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</si>
  <si>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</si>
  <si>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</si>
  <si>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</si>
  <si>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</si>
  <si>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</si>
  <si>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</si>
  <si>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</si>
  <si>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</si>
  <si>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</si>
  <si>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</si>
  <si>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</si>
  <si>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</si>
  <si>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</si>
  <si>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</si>
  <si>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</si>
  <si>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</si>
  <si>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</si>
  <si>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</si>
  <si>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</si>
  <si>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</si>
  <si>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</si>
  <si>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</si>
  <si>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</si>
  <si>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</si>
  <si>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</si>
  <si>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</si>
  <si>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</si>
  <si>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</si>
  <si>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</si>
  <si>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</si>
  <si>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</si>
  <si>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</si>
  <si>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</si>
  <si>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</si>
  <si>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</si>
  <si>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</si>
  <si>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</si>
  <si>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</si>
  <si>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</si>
  <si>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</si>
  <si>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</si>
  <si>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</si>
  <si>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</si>
  <si>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</si>
  <si>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</si>
  <si>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</si>
  <si>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</si>
  <si>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</si>
  <si>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</si>
  <si>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</si>
  <si>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</si>
  <si>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</si>
  <si>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</si>
  <si>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</si>
  <si>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</si>
  <si>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</si>
  <si>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</si>
  <si>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</si>
  <si>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</si>
  <si>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</si>
  <si>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</si>
  <si>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</si>
  <si>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</si>
  <si>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</si>
  <si>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</si>
  <si>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</si>
  <si>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</si>
  <si>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</si>
  <si>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</si>
  <si>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</si>
  <si>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</si>
  <si>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</si>
  <si>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</si>
  <si>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</si>
  <si>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</si>
  <si>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</si>
  <si>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</si>
  <si>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</si>
  <si>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</si>
  <si>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</si>
  <si>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</si>
  <si>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</si>
  <si>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</si>
  <si>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</si>
  <si>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</si>
  <si>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</si>
  <si>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</si>
  <si>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</si>
  <si>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</si>
  <si>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</si>
  <si>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</si>
  <si>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</si>
  <si>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</si>
  <si>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</si>
  <si>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</si>
  <si>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</si>
  <si>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</si>
  <si>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</si>
  <si>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</si>
  <si>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</si>
  <si>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</si>
  <si>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</si>
  <si>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</si>
  <si>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</si>
  <si>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</si>
  <si>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</si>
  <si>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</si>
  <si>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</si>
  <si>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</si>
  <si>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</si>
  <si>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</si>
  <si>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</si>
  <si>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</si>
  <si>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</si>
  <si>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</si>
  <si>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</si>
  <si>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</si>
  <si>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</si>
  <si>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</si>
  <si>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</si>
  <si>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</si>
  <si>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</si>
  <si>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</si>
  <si>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</si>
  <si>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</si>
  <si>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</si>
  <si>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</si>
  <si>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</si>
  <si>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</si>
  <si>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</si>
  <si>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</si>
  <si>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</si>
  <si>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</si>
  <si>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</si>
  <si>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</si>
  <si>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</si>
  <si>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</si>
  <si>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</si>
  <si>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</si>
  <si>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</si>
  <si>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</si>
  <si>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</si>
  <si>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</si>
  <si>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</si>
  <si>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</si>
  <si>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</si>
  <si>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</si>
  <si>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</si>
  <si>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</si>
  <si>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</si>
  <si>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</si>
  <si>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</si>
  <si>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</si>
  <si>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</si>
  <si>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</si>
  <si>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</si>
  <si>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</si>
  <si>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</si>
  <si>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</si>
  <si>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</si>
  <si>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</si>
  <si>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</si>
  <si>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</si>
  <si>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</si>
  <si>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</si>
  <si>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</si>
  <si>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</si>
  <si>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</si>
  <si>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</si>
  <si>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</si>
  <si>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</si>
  <si>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</si>
  <si>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</si>
  <si>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</si>
  <si>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</si>
  <si>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</si>
  <si>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</si>
  <si>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</si>
  <si>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</si>
  <si>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</si>
  <si>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</si>
  <si>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</si>
  <si>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</si>
  <si>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</si>
  <si>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</si>
  <si>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</si>
  <si>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</si>
  <si>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</si>
  <si>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</si>
  <si>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</si>
  <si>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</si>
  <si>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</si>
  <si>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</si>
  <si>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</si>
  <si>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</si>
  <si>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</si>
  <si>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</si>
  <si>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</si>
  <si>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</si>
  <si>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</si>
  <si>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</si>
  <si>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</si>
  <si>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</si>
  <si>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</si>
  <si>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</si>
  <si>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</si>
  <si>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</si>
  <si>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</si>
  <si>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</si>
  <si>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</si>
  <si>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</si>
  <si>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</si>
  <si>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</si>
  <si>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</si>
  <si>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</si>
  <si>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</si>
  <si>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</si>
  <si>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</si>
  <si>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</si>
  <si>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</si>
  <si>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</si>
  <si>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</si>
  <si>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</si>
  <si>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</si>
  <si>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</si>
  <si>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</si>
  <si>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</si>
  <si>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</si>
  <si>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</si>
  <si>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</si>
  <si>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</si>
  <si>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</si>
  <si>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</si>
  <si>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</si>
  <si>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</si>
  <si>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</si>
  <si>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</si>
  <si>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</si>
  <si>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</si>
  <si>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</si>
  <si>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</si>
  <si>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</si>
  <si>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</si>
  <si>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</si>
  <si>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</si>
  <si>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</si>
  <si>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</si>
  <si>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</si>
  <si>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</si>
  <si>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</si>
  <si>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</si>
  <si>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</si>
  <si>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</si>
  <si>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</si>
  <si>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</si>
  <si>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</si>
  <si>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</si>
  <si>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</si>
  <si>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</si>
  <si>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</si>
  <si>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</si>
  <si>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</si>
  <si>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</si>
  <si>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</si>
  <si>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</si>
  <si>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</si>
  <si>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</si>
  <si>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</si>
  <si>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</si>
  <si>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</si>
  <si>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</si>
  <si>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</si>
  <si>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</si>
  <si>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</si>
  <si>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</si>
  <si>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</si>
  <si>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</si>
  <si>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</si>
  <si>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</si>
  <si>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</si>
  <si>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</si>
  <si>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</si>
  <si>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</si>
  <si>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</si>
  <si>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</si>
  <si>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</si>
  <si>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</si>
  <si>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</si>
  <si>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</si>
  <si>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</si>
  <si>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</si>
  <si>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</si>
  <si>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</si>
  <si>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</si>
  <si>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</si>
  <si>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</si>
  <si>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</si>
  <si>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</si>
  <si>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</si>
  <si>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</si>
  <si>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</si>
  <si>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</si>
  <si>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</si>
  <si>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</si>
  <si>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</si>
  <si>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</si>
  <si>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</si>
  <si>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</si>
  <si>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</si>
  <si>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</si>
  <si>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</si>
  <si>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>REFORMA DA ESCOLA MUNICIPAL FLÓRIDO NITÃO DINIZ</t>
  </si>
  <si>
    <t>CHAPISCO APLICADO EM ALVENARIAS E ESTRUTURAS DE CONCRETO INTERNAS, COM COLHER DE PEDREIRO. ARGAMASSA TRAÇO 1:3 COM PREPARO EM BETONEIRA 400L. AF_06/2014</t>
  </si>
  <si>
    <t>APLICAÇÃO MANUAL DE PINTURA COM TINTA LÁTEX ACRÍLICA EM PAREDES, DUAS DEMÃOS. AF_06/2014</t>
  </si>
  <si>
    <t>3.6</t>
  </si>
  <si>
    <t>3.7</t>
  </si>
  <si>
    <t>4.2</t>
  </si>
  <si>
    <t>4.3</t>
  </si>
  <si>
    <t>4.4</t>
  </si>
  <si>
    <t>4.5</t>
  </si>
  <si>
    <t>TELHAMENTO COM TELHA CERÂMICA CAPA-CANAL, TIPO PLAN, COM MAIS DE 2 ÁGUAS, INCLUSO TRANSPORTE VERTICAL. AF_07/2019</t>
  </si>
  <si>
    <t>6.4</t>
  </si>
  <si>
    <t>6.5</t>
  </si>
  <si>
    <t>6.6</t>
  </si>
  <si>
    <t>INSTALAÇÕES SANITÁRIAS</t>
  </si>
  <si>
    <t>8.5</t>
  </si>
  <si>
    <t>8.6</t>
  </si>
  <si>
    <t>8.7</t>
  </si>
  <si>
    <t>2.4</t>
  </si>
  <si>
    <t>VALORES (R$)</t>
  </si>
  <si>
    <t>Total Licitado</t>
  </si>
  <si>
    <t>ENDEREÇO: Sede no Município de Coremas</t>
  </si>
  <si>
    <t>PLACA INDICATIVA DA OBRA EM CHAPA DE AÇO GALVANIZADO (4,0M X 2,0M)</t>
  </si>
  <si>
    <t>BARRACÃO DA OBRA EM ALVENARIA</t>
  </si>
  <si>
    <t>LOCACAO CONVENCIONAL DE OBRA, UTILIZANDO GABARITO DE TÁBUAS CORRIDAS PONTALETADAS A CADA 2,00M - 2 UTILIZAÇÕES. AF_10/2018</t>
  </si>
  <si>
    <t>EXECUÇÃO DE DEPÓSITO EM CANTEIRO DE OBRA EM CHAPA DE MADEIRA COMPENSADA, NÃO INCLUSO MOBILIÁRIO. AF_04/2016</t>
  </si>
  <si>
    <t>MOVIMENTO DE TERRA</t>
  </si>
  <si>
    <t>REATERRO MANUAL DE VALAS COM COMPACTAÇÃO MECANIZADA. AF_04/2016</t>
  </si>
  <si>
    <t>ESCAVAÇÃO MANUAL DE VALA COM PROFUNDIDADE MENOR OU IGUAL A 1,30 M. AF_02/2021</t>
  </si>
  <si>
    <t>REATERRO MANUAL APILOADO COM SOQUETE. AF_10/2017</t>
  </si>
  <si>
    <t>SAPATAS</t>
  </si>
  <si>
    <t>LASTRO DE CONCRETO MAGRO, APLICADO EM BLOCOS DE COROAMENTO OU SAPATAS. AF_08/2017</t>
  </si>
  <si>
    <t>FABRICAÇÃO, MONTAGEM E DESMONTAGEM DE FÔRMA PARA SAPATA, EM CHAPA DE MADEIRA COMPENSADA RESINADA, E=17 MM, 4 UTILIZAÇÕES. AF_06/2017</t>
  </si>
  <si>
    <t>CONCRETO FCK = 25MPA, TRAÇO 1:2,3:2,7 (EM MASSA SECA DE CIMENTO/ AREIA MÉDIA/ BRITA 1) - PREPARO MECÂNICO COM BETONEIRA 600 L. AF_05/2021</t>
  </si>
  <si>
    <t>LANÇAMENTO COM USO DE BALDES, ADENSAMENTO E ACABAMENTO DE CONCRETO EM ESTRUTURAS. AF_02/2022</t>
  </si>
  <si>
    <t>ARMAÇÃO DE BLOCO, VIGA BALDRAME OU SAPATA UTILIZANDO AÇO CA-50 DE 6,3 MM - MONTAGEM. AF_06/2017</t>
  </si>
  <si>
    <t>ARMAÇÃO DE BLOCO, VIGA BALDRAME OU SAPATA UTILIZANDO AÇO CA-50 DE 10 MM - MONTAGEM. AF_06/2017</t>
  </si>
  <si>
    <t>ARMAÇÃO DE BLOCO, VIGA BALDRAME OU SAPATA UTILIZANDO AÇO CA-50 DE 12,5 MM - MONTAGEM. AF_06/2017</t>
  </si>
  <si>
    <t>ARMAÇÃO DE BLOCO, VIGA BALDRAME OU SAPATA UTILIZANDO AÇO CA-50 DE 16 MM - MONTAGEM. AF_06/2017</t>
  </si>
  <si>
    <t>ARMAÇÃO DE BLOCO, VIGA BALDRAME E SAPATA UTILIZANDO AÇO CA-60 DE 5 MM - MONTAGEM. AF_06/2017</t>
  </si>
  <si>
    <t>3.8</t>
  </si>
  <si>
    <t>3.9</t>
  </si>
  <si>
    <t>VIGA BALDRAME</t>
  </si>
  <si>
    <t>LASTRO DE CONCRETO MAGRO, APLICADO EM PISOS, LAJES SOBRE SOLO OU RADIERS, ESPESSURA DE 3 CM. AF_07/2016</t>
  </si>
  <si>
    <t>FABRICAÇÃO, MONTAGEM E DESMONTAGEM DE FÔRMA PARA VIGA BALDRAME, EM CHAPA DE MADEIRA COMPENSADA RESINADA, E=17 MM, 4 UTILIZAÇÕES. AF_06/2017</t>
  </si>
  <si>
    <t>4.6</t>
  </si>
  <si>
    <t>PILARES</t>
  </si>
  <si>
    <t>MONTAGEM E DESMONTAGEM DE FÔRMA DE PILARES RETANGULARES E ESTRUTURAS SIMILARES, PÉ-DIREITO DUPLO, EM CHAPA DE MADEIRA COMPENSADA PLASTIFICADA, 18 UTILIZAÇÕES. AF_09/2020</t>
  </si>
  <si>
    <t>ARMAÇÃO DE PILAR OU VIGA DE ESTRUTURA CONVENCIONAL DE CONCRETO ARMADO UTILIZANDO AÇO CA-50 DE 10,0 MM - MONTAGEM. AF_06/2022</t>
  </si>
  <si>
    <t>ARMAÇÃO DE PILAR OU VIGA DE ESTRUTURA CONVENCIONAL DE CONCRETO ARMADO UTILIZANDO AÇO CA-50 DE 12,5 MM - MONTAGEM. AF_06/2022</t>
  </si>
  <si>
    <t>ARMAÇÃO DE PILAR OU VIGA DE ESTRUTURA CONVENCIONAL DE CONCRETO ARMADO UTILIZANDO AÇO CA-50 DE 16,0 MM - MONTAGEM. AF_06/2022</t>
  </si>
  <si>
    <t>ARMAÇÃO DE PILAR OU VIGA DE ESTRUTURA CONVENCIONAL DE CONCRETO ARMADO UTILIZANDO AÇO CA-60 DE 5,0 MM - MONTAGEM. AF_06/2022</t>
  </si>
  <si>
    <t>5.4</t>
  </si>
  <si>
    <t>5.5</t>
  </si>
  <si>
    <t>5.6</t>
  </si>
  <si>
    <t>5.7</t>
  </si>
  <si>
    <t>VIGAS</t>
  </si>
  <si>
    <t>FABRICAÇÃO DE FÔRMA PARA VIGAS, EM CHAPA DE MADEIRA COMPENSADA RESINADA, E = 17 MM. AF_09/2020</t>
  </si>
  <si>
    <t>ARMAÇÃO DE PILAR OU VIGA DE ESTRUTURA CONVENCIONAL DE CONCRETO ARMADO UTILIZANDO AÇO CA-50 DE 6,3 MM - MONTAGEM. AF_06/2022</t>
  </si>
  <si>
    <t>ARMAÇÃO DE PILAR OU VIGA DE ESTRUTURA CONVENCIONAL DE CONCRETO ARMADO UTILIZANDO AÇO CA-50 DE 8,0 MM - MONTAGEM. AF_06/2022</t>
  </si>
  <si>
    <t>6.7</t>
  </si>
  <si>
    <t>6.8</t>
  </si>
  <si>
    <t>6.9</t>
  </si>
  <si>
    <t>VERGAS</t>
  </si>
  <si>
    <t>VERGA PRÉ-MOLDADA PARA JANELAS COM ATÉ 1,5 M DE VÃO. AF_03/2016</t>
  </si>
  <si>
    <t>VERGA PRÉ-MOLDADA PARA PORTAS COM ATÉ 1,5 M DE VÃO. AF_03/2016</t>
  </si>
  <si>
    <t>CONTRAVERGA PRÉ-MOLDADA PARA VÃOS DE ATÉ 1,5 M DE COMPRIMENTO. AF_03/2016</t>
  </si>
  <si>
    <t>LAJE PRÉ-MOLDADA</t>
  </si>
  <si>
    <t>LAJE PRÉ-MOLDADA UNIDIRECIONAL, BIAPOIADA, PARA FORRO, ENCHIMENTO EM CERÂMICA, VIGOTA CONVENCIONAL, ALTURA TOTAL DA LAJE (ENCHIMENTO+CAPA) = (8+3). AF_11/2020</t>
  </si>
  <si>
    <t>ELEMENTOS VAZADOS</t>
  </si>
  <si>
    <t>ALVENARIA DE VEDAÇÃO COM ELEMENTO VAZADO DE CONCRETO (COBOGÓ) DE 7X50X50CM E ARGAMASSA DE ASSENTAMENTO COM PREPARO EM BETONEIRA. AF_05/2020</t>
  </si>
  <si>
    <t>ALVENARIA DE VEDAÇÃO</t>
  </si>
  <si>
    <t>10.1</t>
  </si>
  <si>
    <t>ALVENARIA DE VEDAÇÃO DE BLOCOS CERÂMICOS FURADOS NA HORIZONTAL DE 9X19X19 CM (ESPESSURA 9 CM) E ARGAMASSA DE ASSENTAMENTO COM PREPARO MANUAL. AF_12/2021</t>
  </si>
  <si>
    <t>DIVISORIA SANITÁRIA, TIPO CABINE, EM GRANITO CINZA POLIDO, ESP = 3CM, ASSENTADO COM ARGAMASSA COLANTE AC III-E, EXCLUSIVE FERRAGENS. AF_01/2021</t>
  </si>
  <si>
    <t>MURO DE CONTORNO COM PILAR EM CONCRETO ARMADO A CADA 2,50M, CONTENDO: ESCAVAÇÃO, ALV. PEDRA, EMBASAMENTO, RADIER, CINTA, CHAPISCADO, REBOCADO H=2,50M</t>
  </si>
  <si>
    <t>10.2</t>
  </si>
  <si>
    <t>10.3</t>
  </si>
  <si>
    <t>PORTAS DE MADEIRAS</t>
  </si>
  <si>
    <t>11.1</t>
  </si>
  <si>
    <t>KIT DE PORTA-PRONTA DE MADEIRA EM ACABAMENTO MELAMÍNICO BRANCO, FOLHA LEVE OU MÉDIA, 80X210CM, EXCLUSIVE FECHADURA, FIXAÇÃO COM PREENCHIMENTO PARCIAL DE ESPUMA EXPANSIVA - FORNECIMENTO E INSTALAÇÃO. AF_12/2019</t>
  </si>
  <si>
    <t>KIT DE PORTA-PRONTA DE MADEIRA EM ACABAMENTO MELAMÍNICO BRANCO, FOLHA LEVE OU MÉDIA, 60X210CM, EXCLUSIVE FECHADURA, FIXAÇÃO COM PREENCHIMENTO PARCIAL DE ESPUMA EXPANSIVA - FORNECIMENTO E INSTALAÇÃO. AF_12/2019</t>
  </si>
  <si>
    <t>11.2</t>
  </si>
  <si>
    <t>11.3</t>
  </si>
  <si>
    <t>PORTOES DE FERRO</t>
  </si>
  <si>
    <t>PORTA DE ALUMÍNIO DE ABRIR PARA VIDRO SEM GUARNIÇÃO, 87X210CM, FIXAÇÃO COM PARAFUSOS, INCLUSIVE VIDROS - FORNECIMENTO E INSTALAÇÃO. AF_12/2019</t>
  </si>
  <si>
    <t>12.1</t>
  </si>
  <si>
    <t>IMPERMEABILIZAÇÃO</t>
  </si>
  <si>
    <t>REVESTIMENTOS DE PAREDES</t>
  </si>
  <si>
    <t>PAVIMENTAÇÃO</t>
  </si>
  <si>
    <t>RODAPÉ E PEITORIL</t>
  </si>
  <si>
    <t>PINTURA</t>
  </si>
  <si>
    <t>ELETRICA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</si>
  <si>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</si>
  <si>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</si>
  <si>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</si>
  <si>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</si>
  <si>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</si>
  <si>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</si>
  <si>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</si>
  <si>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</si>
  <si>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</si>
  <si>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</si>
  <si>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</si>
  <si>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</si>
  <si>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</si>
  <si>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</si>
  <si>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</si>
  <si>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</si>
  <si>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</si>
  <si>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</si>
  <si>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</si>
  <si>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</si>
  <si>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20.21</t>
  </si>
  <si>
    <t>20.22</t>
  </si>
  <si>
    <t>20.23</t>
  </si>
  <si>
    <t>20.24</t>
  </si>
  <si>
    <t>20.25</t>
  </si>
  <si>
    <t>20.26</t>
  </si>
  <si>
    <t>20.27</t>
  </si>
  <si>
    <t>20.28</t>
  </si>
  <si>
    <t>20.29</t>
  </si>
  <si>
    <t>20.30</t>
  </si>
  <si>
    <t>20.31</t>
  </si>
  <si>
    <t>20.32</t>
  </si>
  <si>
    <t>20.33</t>
  </si>
  <si>
    <t>20.34</t>
  </si>
  <si>
    <t>20.35</t>
  </si>
  <si>
    <t>20.36</t>
  </si>
  <si>
    <t>20.37</t>
  </si>
  <si>
    <t>20.38</t>
  </si>
  <si>
    <t>20.39</t>
  </si>
  <si>
    <t>20.40</t>
  </si>
  <si>
    <t>20.41</t>
  </si>
  <si>
    <t>20.42</t>
  </si>
  <si>
    <t>20.43</t>
  </si>
  <si>
    <t>20.44</t>
  </si>
  <si>
    <t>20.45</t>
  </si>
  <si>
    <t>20.46</t>
  </si>
  <si>
    <t>20.47</t>
  </si>
  <si>
    <t>20.48</t>
  </si>
  <si>
    <t>HIDRAULICAS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</si>
  <si>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</si>
  <si>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</si>
  <si>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</si>
  <si>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</si>
  <si>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</si>
  <si>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</si>
  <si>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</si>
  <si>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</si>
  <si>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</si>
  <si>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</si>
  <si>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</si>
  <si>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</si>
  <si>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</si>
  <si>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</si>
  <si>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</si>
  <si>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</si>
  <si>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</si>
  <si>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21.18</t>
  </si>
  <si>
    <t>21.19</t>
  </si>
  <si>
    <t>21.20</t>
  </si>
  <si>
    <t>21.21</t>
  </si>
  <si>
    <t>21.22</t>
  </si>
  <si>
    <t>21.23</t>
  </si>
  <si>
    <t>21.24</t>
  </si>
  <si>
    <t>21.25</t>
  </si>
  <si>
    <t>21.26</t>
  </si>
  <si>
    <t>21.27</t>
  </si>
  <si>
    <t>21.28</t>
  </si>
  <si>
    <t>21.29</t>
  </si>
  <si>
    <t>21.30</t>
  </si>
  <si>
    <t>21.31</t>
  </si>
  <si>
    <t>21.32</t>
  </si>
  <si>
    <t>21.33</t>
  </si>
  <si>
    <t>21.34</t>
  </si>
  <si>
    <t>21.35</t>
  </si>
  <si>
    <t>21.36</t>
  </si>
  <si>
    <t>21.37</t>
  </si>
  <si>
    <t>21.38</t>
  </si>
  <si>
    <t>21.39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</si>
  <si>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</si>
  <si>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</si>
  <si>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</si>
  <si>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</si>
  <si>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</si>
  <si>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</si>
  <si>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</si>
  <si>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</si>
  <si>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</si>
  <si>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</si>
  <si>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</si>
  <si>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</si>
  <si>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</si>
  <si>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</si>
  <si>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</si>
  <si>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</si>
  <si>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</si>
  <si>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</si>
  <si>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</si>
  <si>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22.20</t>
  </si>
  <si>
    <t>22.21</t>
  </si>
  <si>
    <t>22.22</t>
  </si>
  <si>
    <t>22.23</t>
  </si>
  <si>
    <t>LOUÇAS E METAIS</t>
  </si>
  <si>
    <t>23.1</t>
  </si>
  <si>
    <t>23.2</t>
  </si>
  <si>
    <t>23.3</t>
  </si>
  <si>
    <t>23.4</t>
  </si>
  <si>
    <t>23.5</t>
  </si>
  <si>
    <t>23.6</t>
  </si>
  <si>
    <t>BWC - INFANTIL (CRECHE 1 E II)</t>
  </si>
  <si>
    <t>24.1</t>
  </si>
  <si>
    <t>24.2</t>
  </si>
  <si>
    <t>24.3</t>
  </si>
  <si>
    <t>24.4</t>
  </si>
  <si>
    <t>24.5</t>
  </si>
  <si>
    <t>24.6</t>
  </si>
  <si>
    <t>24.7</t>
  </si>
  <si>
    <t>24.8</t>
  </si>
  <si>
    <t>BWC - (ADMINISTRATIVO, CRECHE III, PRÉ-ESCOLA)</t>
  </si>
  <si>
    <t>25.1</t>
  </si>
  <si>
    <t>25.2</t>
  </si>
  <si>
    <t>25.3</t>
  </si>
  <si>
    <t>25.4</t>
  </si>
  <si>
    <t>25.5</t>
  </si>
  <si>
    <t>25.6</t>
  </si>
  <si>
    <t>25.7</t>
  </si>
  <si>
    <t>25.8</t>
  </si>
  <si>
    <t>COZINHA - CIRCULAÇÃO - LACTARIO - DML - LAVANDERIA</t>
  </si>
  <si>
    <t>26.1</t>
  </si>
  <si>
    <t>26.2</t>
  </si>
  <si>
    <t>26.3</t>
  </si>
  <si>
    <t>26.4</t>
  </si>
  <si>
    <t>26.5</t>
  </si>
  <si>
    <t>DIVERSOS</t>
  </si>
  <si>
    <t>27.1</t>
  </si>
  <si>
    <t>27.2</t>
  </si>
  <si>
    <t>27.3</t>
  </si>
  <si>
    <t>27.4</t>
  </si>
  <si>
    <t>LIMPEZA DE CONTRAPISO COM VASSOURA A SECO. AF_04/2019</t>
  </si>
  <si>
    <t>PINTURA DE PISO COM TINTA EPÓXI, APLICAÇÃO MANUAL, 2 DEMÃOS, INCLUSO PRIMER EPÓXI. AF_05/2021</t>
  </si>
  <si>
    <t>EXTINTOR DE INCÊNDIO PORTÁTIL COM CARGA DE ÁGUA PRESSURIZADA DE 10 L, CLASSE A - FORNECIMENTO E INSTALAÇÃO. AF_10/2020_P</t>
  </si>
  <si>
    <t>EXTINTOR DE INCÊNDIO PORTÁTIL COM CARGA DE PQS DE 6 KG, CLASSE BC - FORNECIMENTO E INSTALAÇÃO. AF_10/2020_P</t>
  </si>
  <si>
    <t>BANCADA EM GRANITO CINZA, E=2,5CM - ORSE (10759)</t>
  </si>
  <si>
    <t>TORNEIRA CROMADA 1/2? OU 3/4? PARA TANQUE, PADRÃO POPULAR - FORNECIMENTO E INSTALAÇÃO. AF_01/2020</t>
  </si>
  <si>
    <t>TORNEIRA CROMADA DE MESA, 1/2? OU 3/4?, PARA LAVATÓRIO, PADRÃO POPULAR - FORNECIMENTO E INSTALAÇÃO. AF_01/2020</t>
  </si>
  <si>
    <t>TANQUE DE LOUÇA BRANCA SUSPENSO, 18L OU EQUIVALENTE, INCLUSO SIFÃO TIPO GARRAFA EM METAL CROMADO, VÁLVULA METÁLICA E TORNEIRA DE METAL CROMADO PADRÃO MÉDIO - FORNECIMENTO E INSTALAÇÃO. AF_01/2020</t>
  </si>
  <si>
    <t>CUBA DE EMBUTIR OVAL EM LOUÇA BRANCA, 35 X 50CM OU EQUIVALENTE, INCLUSO VÁLVULA E SIFÃO TIPO GARRAFA EM METAL CROMADO - FORNECIMENTO E INSTALAÇÃO. AF_01/2020</t>
  </si>
  <si>
    <t>VASO SANITARIO SIFONADO CONVENCIONAL COM LOUÇA BRANCA, INCLUSO CONJUNTO DE LIGAÇÃO PARA BACIA SANITÁRIA AJUSTÁVEL - FORNECIMENTO E INSTALAÇÃO. AF_10/2016</t>
  </si>
  <si>
    <t>VÁLVULA DE DESCARGA METÁLICA, BASE 1 1/4", ACABAMENTO METALICO CROMADO - FORNECIMENTO E INSTALAÇÃO. AF_08/2021</t>
  </si>
  <si>
    <t>PAPELEIRA DE PAREDE EM METAL CROMADO SEM TAMPA, INCLUSO FIXAÇÃO. AF_01/2020</t>
  </si>
  <si>
    <t>CHUVEIRO ELÉTRICO COMUM CORPO PLÁSTICO, TIPO DUCHA ? FORNECIMENTO E INSTALAÇÃO. AF_01/2020</t>
  </si>
  <si>
    <t>VASO SANITÁRIO INFANTIL LOUÇA BRANCA - FORNECIMENTO E INSTALACAO. AF_01/2020</t>
  </si>
  <si>
    <t>VASO SANITARIO SIFONADO CONVENCIONAL PARA PCD SEM FURO FRONTAL COM LOUÇA BRANCA SEM ASSENTO - FORNECIMENTO E INSTALAÇÃO. AF_01/2020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</si>
  <si>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</si>
  <si>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>BARRA DE APOIO RETA, EM ALUMINIO, COMPRIMENTO 90 CM, FIXADA NA PAREDE - FORNECIMENTO E INSTALAÇÃO. AF_01/2020</t>
  </si>
  <si>
    <t>TUBO PVC, SERIE NORMAL, ESGOTO PREDIAL, DN 40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</si>
  <si>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</si>
  <si>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75 MM, FORNECIDO E INSTALADO EM RAMAL DE DESCARGA OU RAMAL DE ESGOTO SANITÁRIO. AF_08/2022</t>
  </si>
  <si>
    <t>TUBO DE PVC BRANCO PARA REDE COLETORA DE ESGOTO CONDOMINIAL DE PAREDE MACIÇA, DN 100 MM, JUNTA ELÁSTICA - FORNECIMENTO E ASSENTAMENTO. AF_01/2021</t>
  </si>
  <si>
    <t>CURVA 90 GRAUS, PVC, SOLDÁVEL, DN 110 MM, INSTALADO EM RESERVAÇÃO DE ÁGUA DE EDIFICAÇÃO QUE POSSUA RESERVATÓRIO DE FIBRA/FIBROCIMENTO FORNECIMENTO E INSTALAÇÃO. AF_06/2016</t>
  </si>
  <si>
    <t>CURVA 90 GRAUS, PVC, SOLDÁVEL, DN 50 MM, INSTALADO EM RESERVAÇÃO DE ÁGUA DE EDIFICAÇÃO QUE POSSUA RESERVATÓRIO DE FIBRA/FIBROCIMENTO FORNECIMENTO E INSTALAÇÃO. AF_06/2016</t>
  </si>
  <si>
    <t>CURVA PVC LONGA 90 GRAUS, 40 MM, PARA ESGOTO PREDIAL</t>
  </si>
  <si>
    <t>CURVA CURTA 90 GRAUS, PVC, SERIE NORMAL, ESGOTO PREDIAL, DN 40 MM, JUNTA SOLDÁVEL, FORNECIDO E INSTALADO EM RAMAL DE DESCARGA OU RAMAL DE ESGOTO SANITÁRIO. AF_08/2022</t>
  </si>
  <si>
    <t>JOELHO 45 GRAUS, PVC, SERIE NORMAL, ESGOTO PREDIAL, DN 40 MM, JUNTA SOLDÁVEL, FORNECIDO E INSTALADO EM RAMAL DE DESCARGA OU RAMAL DE ESGOTO SANITÁRIO. AF_08/2022</t>
  </si>
  <si>
    <t>JOELHO 90 GRAUS, PVC, SERIE NORMAL, ESGOTO PREDIAL, DN 100 MM, JUNTA ELÁSTICA, FORNECIDO E INSTALADO EM RAMAL DE DESCARGA OU RAMAL DE ESGOTO SANITÁRIO. AF_08/2022</t>
  </si>
  <si>
    <t>JOELHO 90 GRAUS, PVC, SERIE NORMAL, ESGOTO PREDIAL, DN 50 MM, JUNTA ELÁSTICA, FORNECIDO E INSTALADO EM PRUMADA DE ESGOTO SANITÁRIO OU VENTILAÇÃO. AF_08/2022</t>
  </si>
  <si>
    <t>JOELHO 90 GRAUS, PVC, SERIE R, ÁGUA PLUVIAL, DN 40 MM, JUNTA SOLDÁVEL, FORNECIDO E INSTALADO EM RAMAL DE ENCAMINHAMENTO. AF_06/2022</t>
  </si>
  <si>
    <t>JUNÇÃO SIMPLES, PVC, SERIE NORMAL, ESGOTO PREDIAL, DN 100 X 100 MM, JUNTA ELÁSTICA, FORNECIDO E INSTALADO EM RAMAL DE DESCARGA OU RAMAL DE ESGOTO SANITÁRIO. AF_08/2022</t>
  </si>
  <si>
    <t>JUNÇÃO SIMPLES, PVC, SERIE NORMAL, ESGOTO PREDIAL, DN 50 X 50 MM, JUNTA ELÁSTICA, FORNECIDO E INSTALADO EM PRUMADA DE ESGOTO SANITÁRIO OU VENTILAÇÃO. AF_08/2022</t>
  </si>
  <si>
    <t>TE, PVC, SERIE NORMAL, ESGOTO PREDIAL, DN 50 X 50 MM, JUNTA ELÁSTICA, FORNECIDO E INSTALADO EM RAMAL DE DESCARGA OU RAMAL DE ESGOTO SANITÁRIO. AF_08/2022</t>
  </si>
  <si>
    <t>CAIXA SIFONADA, PVC, DN 100 X 100 X 50 MM, JUNTA ELÁSTICA, FORNECIDA E INSTALADA EM RAMAL DE DESCARGA OU EM RAMAL DE ESGOTO SANITÁRIO. AF_08/2022</t>
  </si>
  <si>
    <t>SIFÃO DO TIPO GARRAFA/COPO EM PVC 1.1/4 X 1.1/2? - FORNECIMENTO E INSTALAÇÃO. AF_01/2020</t>
  </si>
  <si>
    <t>Sifão do tipo garrafa/copo em pvc 1.1/4 x 1.1/2? - fornecimento e instalação. af_01/2020</t>
  </si>
  <si>
    <t>SIFÃO DO TIPO FLEXÍVEL EM PVC 1 X 1.1/2 - FORNECIMENTO E INSTALAÇÃO. AF_01/2020</t>
  </si>
  <si>
    <t>VÁLVULA EM PLÁSTICO 1? PARA PIA, TANQUE OU LAVATÓRIO, COM OU SEM LADRÃO - FORNECIMENTO E INSTALAÇÃO. AF_01/2020</t>
  </si>
  <si>
    <t>VÁLVULA EM METAL CROMADO 1.1/2? X 1.1/2? PARA TANQUE OU LAVATÓRIO, COM OU SEM LADRÃO - FORNECIMENTO E INSTALAÇÃO. AF_01/2020</t>
  </si>
  <si>
    <t>CAIXA DE INSPEÇÃO PARA ATERRAMENTO, CIRCULAR, EM POLIETILENO, DIÂMETRO INTERNO = 0,3 M. AF_12/2020</t>
  </si>
  <si>
    <t>CAIXA DE GORDURA SIMPLES (CAPACIDADE: 36 L), RETANGULAR, EM ALVENARIA COM BLOCOS DE CONCRETO, DIMENSÕES INTERNAS = 0,2X0,4 M, ALTURA INTERNA = 0,8 M. AF_12/2020</t>
  </si>
  <si>
    <t>TUBO, PVC, SOLDÁVEL, DN 20MM, INSTALADO EM RAMAL OU SUB-RAMAL DE ÁGUA - FORNECIMENTO E INSTALAÇÃO. AF_06/2022</t>
  </si>
  <si>
    <t>TUBO, PVC, SOLDÁVEL, DN 25MM, INSTALADO EM RAMAL DE DISTRIBUIÇÃO DE ÁGUA - FORNECIMENTO E INSTALAÇÃO. AF_06/2022</t>
  </si>
  <si>
    <t>TUBO, PVC, SOLDÁVEL, DN 32MM, INSTALADO EM RAMAL DE DISTRIBUIÇÃO DE ÁGUA - FORNECIMENTO E INSTALAÇÃO. AF_06/2022</t>
  </si>
  <si>
    <t>TUBO, PVC, SOLDÁVEL, DN 40MM, INSTALADO EM PRUMADA DE ÁGUA - FORNECIMENTO E INSTALAÇÃO. AF_06/2022</t>
  </si>
  <si>
    <t>TUBO, PVC, SOLDÁVEL, DN 50MM, INSTALADO EM PRUMADA DE ÁGUA - FORNECIMENTO E INSTALAÇÃO. AF_06/2022</t>
  </si>
  <si>
    <t>COLAR DE TOMADA, PVC, COM TRAVAS, DE 75 MM X 1/2" OU 75 MM X 3/4", PARA LIGAÇÃO PREDIAL DE ÁGUA. AF_06/2022</t>
  </si>
  <si>
    <t>JOELHO 90 GRAUS, PVC, SOLDÁVEL, DN 25MM, INSTALADO EM RAMAL OU SUB-RAMAL DE ÁGUA - FORNECIMENTO E INSTALAÇÃO. AF_06/2022</t>
  </si>
  <si>
    <t>JOELHO 90 GRAUS COM BUCHA DE LATÃO, PVC, SOLDÁVEL, DN 25MM, X 3/4 INSTALADO EM RAMAL OU SUB-RAMAL DE ÁGUA - FORNECIMENTO E INSTALAÇÃO. AF_06/2022</t>
  </si>
  <si>
    <t>JOELHO 90 GRAUS COM BUCHA DE LATÃO, PVC, SOLDÁVEL, DN 25MM, X 1/2 INSTALADO EM RAMAL OU SUB-RAMAL DE ÁGUA - FORNECIMENTO E INSTALAÇÃO. AF_06/2022</t>
  </si>
  <si>
    <t>JOELHO 90 GRAUS, PVC, SOLDÁVEL, DN 25MM, INSTALADO EM RAMAL DE DISTRIBUIÇÃO DE ÁGUA - FORNECIMENTO E INSTALAÇÃO. AF_06/2022</t>
  </si>
  <si>
    <t>JOELHO 90 GRAUS, PVC, SOLDÁVEL, DN 50MM, INSTALADO EM PRUMADA DE ÁGUA - FORNECIMENTO E INSTALAÇÃO. AF_06/2022</t>
  </si>
  <si>
    <t>CURVA 90 GRAUS, PVC, SOLDÁVEL, DN 25MM, INSTALADO EM RAMAL DE DISTRIBUIÇÃO DE ÁGUA - FORNECIMENTO E INSTALAÇÃO. AF_06/2022</t>
  </si>
  <si>
    <t>LUVA DE CORRER, PVC, SOLDÁVEL, DN 32MM, INSTALADO EM RAMAL DE DISTRIBUIÇÃO DE ÁGUA FORNECIMENTO E INSTALAÇÃO. AF_06/2022</t>
  </si>
  <si>
    <t>LUVA DE CORRER, PVC, SOLDÁVEL, DN 25MM, INSTALADO EM RAMAL OU SUB-RAMAL DE ÁGUA - FORNECIMENTO E INSTALAÇÃO. AF_12/2014</t>
  </si>
  <si>
    <t>BUCHA DE REDUÇÃO, CPVC, SOLDÁVEL, DN35MM X 28MM, INSTALADO EM RAMAL DE DISTRIBUIÇÃO DE ÁGUA - FORNECIMENTO E INSTALAÇÃO. AF_06/2022</t>
  </si>
  <si>
    <t>BUCHA DE REDUÇÃO EM COBRE, DN 42 MM X 35 MM, SEM ANEL DE SOLDA, PONTA X BOLSA, INSTALADO EM PRUMADA DE HIDRÁULICA PREDIAL - FORNECIMENTO E INSTALAÇÃO. AF_04/2022</t>
  </si>
  <si>
    <t>BUCHA DE REDUÇÃO EM COBRE, DN 54 MM X 42 MM, SEM ANEL DE SOLDA, PONTA X BOLSA, INSTALADO EM PRUMADA DE HIDRÁULICA PREDIAL - FORNECIMENTO E INSTALAÇÃO. AF_04/2022</t>
  </si>
  <si>
    <t>BUCHA DE REDUÇÃO EM COBRE, DN 66 MM X 54 MM, SEM ANEL DE SOLDA, PONTA X BOLSA, INSTALADO EM PRUMADA DE HIDRÁULICA PREDIAL - FORNECIMENTO E INSTALAÇÃO. AF_04/2022</t>
  </si>
  <si>
    <t>TE, PVC, SOLDÁVEL, DN 25MM, INSTALADO EM RAMAL DE DISTRIBUIÇÃO DE ÁGUA - FORNECIMENTO E INSTALAÇÃO. AF_06/2022</t>
  </si>
  <si>
    <t>TE, PVC, SOLDÁVEL, DN 50MM, INSTALADO EM PRUMADA DE ÁGUA - FORNECIMENTO E INSTALAÇÃO. AF_06/2022</t>
  </si>
  <si>
    <t>TE, PVC, SOLDÁVEL, DN 60MM, INSTALADO EM PRUMADA DE ÁGUA - FORNECIMENTO E INSTALAÇÃO. AF_06/2022</t>
  </si>
  <si>
    <t>TE, PVC, SOLDÁVEL, DN 25MM, INSTALADO EM RAMAL OU SUB-RAMAL DE ÁGUA - FORNECIMENTO E INSTALAÇÃO. AF_06/2022</t>
  </si>
  <si>
    <t>TE, PVC, SOLDÁVEL, DN 32MM, INSTALADO EM RAMAL OU SUB-RAMAL DE ÁGUA - FORNECIMENTO E INSTALAÇÃO. AF_06/2022</t>
  </si>
  <si>
    <t>TÊ DE REDUÇÃO, PVC, SOLDÁVEL, DN 25MM X 20MM, INSTALADO EM RAMAL DE DISTRIBUIÇÃO DE ÁGUA - FORNECIMENTO E INSTALAÇÃO. AF_06/2022</t>
  </si>
  <si>
    <t>TÊ DE REDUÇÃO, PVC, SOLDÁVEL, DN 50MM X 25MM, INSTALADO EM PRUMADA DE ÁGUA - FORNECIMENTO E INSTALAÇÃO. AF_06/2022</t>
  </si>
  <si>
    <t>ENGATE FLEXÍVEL EM PLÁSTICO BRANCO, 1/2? X 30CM - FORNECIMENTO E INSTALAÇÃO. AF_01/2020</t>
  </si>
  <si>
    <t>ADAPTADOR CURTO COM BOLSA E ROSCA PARA REGISTRO, PVC, SOLDÁVEL, DN 25MM X 3/4 , INSTALADO EM RAMAL DE DISTRIBUIÇÃO DE ÁGUA - FORNECIMENTO E INSTALAÇÃO. AF_06/2022</t>
  </si>
  <si>
    <t>ADAPTADOR CURTO COM BOLSA E ROSCA PARA REGISTRO, PVC, SOLDÁVEL, DN 32MM X 1 , INSTALADO EM RAMAL DE DISTRIBUIÇÃO DE ÁGUA - FORNECIMENTO E INSTALAÇÃO. AF_06/2022</t>
  </si>
  <si>
    <t>ADAPTADOR CURTO COM BOLSA E ROSCA PARA REGISTRO, PVC, SOLDÁVEL, DN 60MM X 2 , INSTALADO EM PRUMADA DE ÁGUA - FORNECIMENTO E INSTALAÇÃO. AF_06/2022</t>
  </si>
  <si>
    <t>ADAPTADOR COM FLANGE E ANEL DE VEDAÇÃO, PVC, SOLDÁVEL, DN 25 MM X 3/4 , INSTALADO EM RESERVAÇÃO DE ÁGUA DE EDIFICAÇÃO QUE POSSUA RESERVATÓRIO DE FIBRA/FIBROCIMENTO FORNECIMENTO E INSTALAÇÃO. AF_06/2016</t>
  </si>
  <si>
    <t>ADAPTADOR COM FLANGE E ANEL DE VEDAÇÃO, PVC, SOLDÁVEL, DN 60 MM X 2 , INSTALADO EM RESERVAÇÃO DE ÁGUA DE EDIFICAÇÃO QUE POSSUA RESERVATÓRIO DE FIBRA/FIBROCIMENTO FORNECIMENTO E INSTALAÇÃO. AF_06/2016</t>
  </si>
  <si>
    <t>REGISTRO DE ESFERA, PVC, ROSCÁVEL, COM BORBOLETA, 3/4" - FORNECIMENTO E INSTALAÇÃO. AF_08/2021</t>
  </si>
  <si>
    <t>REGISTRO DE GAVETA BRUTO, LATÃO, ROSCÁVEL, 1" - FORNECIMENTO E INSTALAÇÃO. AF_08/2021</t>
  </si>
  <si>
    <t>REGISTRO DE GAVETA BRUTO, LATÃO, ROSCÁVEL, 2" - FORNECIMENTO E INSTALAÇÃO. AF_08/2021</t>
  </si>
  <si>
    <t>REGISTRO DE GAVETA BRUTO, LATÃO, ROSCÁVEL, 1", COM ACABAMENTO E CANOPLA CROMADOS - FORNECIMENTO E INSTALAÇÃO. AF_08/2021</t>
  </si>
  <si>
    <t>REGISTRO DE PRESSÃO BRUTO, LATÃO, ROSCÁVEL, 3/4", COM ACABAMENTO E CANOPLA CROMADOS - FORNECIMENTO E INSTALAÇÃO. AF_08/2021</t>
  </si>
  <si>
    <t>CAIXA D´ÁGUA EM POLIÉSTER REFORÇADO COM FIBRA DE VIDRO, 5000 LITROS - FORNECIMENTO E INSTALAÇÃO. AF_06/2021</t>
  </si>
  <si>
    <t>CAIXA D´ÁGUA EM POLIÉSTER REFORÇADO COM FIBRA DE VIDRO, 10000 LITROS - FORNECIMENTO E INSTALAÇÃO. AF_06/2021</t>
  </si>
  <si>
    <t>ELETRODUTO RÍGIDO ROSCÁVEL, PVC, DN 60 MM (2"), PARA REDE ENTERRADA DE DISTRIBUIÇÃO DE ENERGIA ELÉTRICA - FORNECIMENTO E INSTALAÇÃO. AF_12/2021</t>
  </si>
  <si>
    <t>ELETRODUTO RÍGIDO ROSCÁVEL, PVC, DN 50 MM (1 1/2"), PARA REDE ENTERRADA DE DISTRIBUIÇÃO DE ENERGIA ELÉTRICA - FORNECIMENTO E INSTALAÇÃO. AF_12/2021</t>
  </si>
  <si>
    <t>ELETRODUTO RÍGIDO ROSCÁVEL, PVC, DN 40 MM (1 1/4"), PARA CIRCUITOS TERMINAIS, INSTALADO EM PAREDE - FORNECIMENTO E INSTALAÇÃO. AF_12/2015</t>
  </si>
  <si>
    <t>ELETRODUTO RÍGIDO ROSCÁVEL, PVC, DN 32 MM (1"), PARA CIRCUITOS TERMINAIS, INSTALADO EM PAREDE - FORNECIMENTO E INSTALAÇÃO. AF_12/2015</t>
  </si>
  <si>
    <t>ELETRODUTO RÍGIDO ROSCÁVEL, PVC, DN 25 MM (3/4"), PARA CIRCUITOS TERMINAIS, INSTALADO EM PAREDE - FORNECIMENTO E INSTALAÇÃO. AF_12/2015</t>
  </si>
  <si>
    <t>ELETRODUTO RÍGIDO ROSCÁVEL, PVC, DN 20 MM (1/2"), PARA CIRCUITOS TERMINAIS, INSTALADO EM PAREDE - FORNECIMENTO E INSTALAÇÃO. AF_12/2015</t>
  </si>
  <si>
    <t>ABRAÇADEIRA EM AÇO PARA AMARRAÇÃO DE ELETRODUTOSS, TIPO D, COM 1" E CUNHA DE FIXAÇÃO</t>
  </si>
  <si>
    <t>ABRAÇADEIRA EM AÇO PARA AMARRAÇÃO DE ELETRODUTOSS, TIPO D, COM 3/4" E CUNHA DE FIXAÇÃO</t>
  </si>
  <si>
    <t>ABRAÇADEIRA EM AÇO PARA AMARRAÇÃO DE ELETRODUTOSS, TIPO U SIMPLES, COM 1 1/4"</t>
  </si>
  <si>
    <t>ABRAÇADEIRA EM AÇO PARA AMARRAÇÃO DE ELETRODUTOSS, TIPO U SIMPLES, COM 2"</t>
  </si>
  <si>
    <t>ARRUELA EM ALUMINIO, COM ROSCA, DE 1 1/2", PARA ELETRODUTO</t>
  </si>
  <si>
    <t>ARRUELA EM ALUMINIO, COM ROSCA, DE 1/2", PARA ELETRODUTO</t>
  </si>
  <si>
    <t>BUCHA EM ALUMINIO, COM ROSCA, DE 1 1/2", PARA ELETRODUTO</t>
  </si>
  <si>
    <t>BUCHA EM ALUMINIO, COM ROSCA, DE 1/2", PARA ELETRODUTO</t>
  </si>
  <si>
    <t>BUCHA DE NYLON SEM ABA S4</t>
  </si>
  <si>
    <t>BUCHA DE NYLON SEM ABA S6</t>
  </si>
  <si>
    <t>CURVA 135 GRAUS PARA ELETRODUTO, PVC, ROSCÁVEL, DN 25 MM (3/4?), PARA CIRCUITOS TERMINAIS, INSTALADA EM PAREDE - FORNECIMENTO E INSTALAÇÃO. AF_12/2015</t>
  </si>
  <si>
    <t>CURVA 90 GRAUS PARA ELETRODUTO, PVC, ROSCÁVEL, DN 20 MM (1/2"), PARA CIRCUITOS TERMINAIS, INSTALADA EM PAREDE - FORNECIMENTO E INSTALAÇÃO. AF_12/2015</t>
  </si>
  <si>
    <t>LUVA PARA ELETRODUTO, PVC, ROSCÁVEL, DN 25 MM (3/4"), PARA CIRCUITOS TERMINAIS, INSTALADA EM FORRO - FORNECIMENTO E INSTALAÇÃO. AF_12/2015</t>
  </si>
  <si>
    <t>LUVA PARA ELETRODUTO, PVC, ROSCÁVEL, DN 32 MM (1"), PARA CIRCUITOS TERMINAIS, INSTALADA EM FORRO - FORNECIMENTO E INSTALAÇÃO. AF_12/2015</t>
  </si>
  <si>
    <t>LUMINARIA LED DOWNLIGHT 14W DE EMBUTIR</t>
  </si>
  <si>
    <t>Luminária Painel Led embutir 18w quadrada, 6000k da G-light ou similar - Rev 01_11/2021</t>
  </si>
  <si>
    <t>LUMINARIA LED SPOTLIGHT 10W DE EMBUTIR</t>
  </si>
  <si>
    <t>LÂMPADA COMPACTA DE LED 6 W, BASE E27 - FORNECIMENTO E INSTALAÇÃO. AF_02/2020</t>
  </si>
  <si>
    <t>LUMINARIA LED REFLETOR RETANGULAR BIVOLT, LUZ BRANCA, 50 W</t>
  </si>
  <si>
    <t>TOMADA MÉDIA DE EMBUTIR (1 MÓDULO), 2P+T 10 A, INCLUINDO SUPORTE E PLACA - FORNECIMENTO E INSTALAÇÃO. AF_12/2015</t>
  </si>
  <si>
    <t>TOMADA MÉDIA DE EMBUTIR (2 MÓDULOS), 2P+T 20 A, INCLUINDO SUPORTE E PLACA - FORNECIMENTO E INSTALAÇÃO. AF_12/2015</t>
  </si>
  <si>
    <t>CABO DE COBRE FLEXÍVEL ISOLADO, 16 MM², ANTI-CHAMA 0,6/1,0 KV, PARA CIRCUITOS TERMINAIS - FORNECIMENTO E INSTALAÇÃO. AF_12/2015</t>
  </si>
  <si>
    <t>INTERRUPTOR SIMPLES (2 MÓDULOS), 10A/250V, SEM SUPORTE E SEM PLACA - FORNECIMENTO E INSTALAÇÃO. AF_12/2015</t>
  </si>
  <si>
    <t>INTERRUPTOR PARALELO (3 MÓDULOS), 10A/250V, INCLUINDO SUPORTE E PLACA - FORNECIMENTO E INSTALAÇÃO. AF_12/2015</t>
  </si>
  <si>
    <t>QUADRO DE DISTRIBUIÇÃO DE ENERGIA EM CHAPA DE AÇO GALVANIZADO, DE EMBUTIR, COM BARRAMENTO TRIFÁSICO, PARA 24 DISJUNTORES DIN 100A - FORNECIMENTO E INSTALAÇÃO. AF_10/2020</t>
  </si>
  <si>
    <t>ENTRADA DE ENERGIA ELÉTRICA, AÉREA, TRIFÁSICA, COM CAIXA DE EMBUTIR, CABO DE 35 MM2 E DISJUNTOR DIN 50A (NÃO INCLUSO O POSTE DE CONCRETO). AF_07/2020</t>
  </si>
  <si>
    <t>CABO DE COBRE FLEXÍVEL ISOLADO, 25 MM², ANTI-CHAMA 0,6/1,0 KV, PARA REDE ENTERRADA DE DISTRIBUIÇÃO DE ENERGIA ELÉTRICA - FORNECIMENTO E INSTALAÇÃO. AF_12/2021</t>
  </si>
  <si>
    <t>CABO DE COBRE FLEXÍVEL ISOLADO, 10 MM², ANTI-CHAMA 450/750 V, PARA CIRCUITOS TERMINAIS - FORNECIMENTO E INSTALAÇÃO. AF_12/2015</t>
  </si>
  <si>
    <t>CABO DE COBRE FLEXÍVEL ISOLADO, 6 MM², ANTI-CHAMA 450/750 V, PARA CIRCUITOS TERMINAIS - FORNECIMENTO E INSTALAÇÃO. AF_12/2015</t>
  </si>
  <si>
    <t>CABO DE COBRE FLEXÍVEL ISOLADO, 4 MM², ANTI-CHAMA 450/750 V, PARA CIRCUITOS TERMINAIS - FORNECIMENTO E INSTALAÇÃO. AF_12/2015</t>
  </si>
  <si>
    <t>CABO DE COBRE FLEXÍVEL ISOLADO, 2,5 MM², ANTI-CHAMA 450/750 V, PARA CIRCUITOS TERMINAIS - FORNECIMENTO E INSTALAÇÃO. AF_12/2015</t>
  </si>
  <si>
    <t>CABO DE COBRE FLEXÍVEL ISOLADO, 1,5 MM², ANTI-CHAMA 450/750 V, PARA CIRCUITOS TERMINAIS - FORNECIMENTO E INSTALAÇÃO. AF_12/2015</t>
  </si>
  <si>
    <t>CAIXA ENTERRADA ELÉTRICA RETANGULAR, EM ALVENARIA COM TIJOLOS CERÂMICOS MACIÇOS, FUNDO COM BRITA, DIMENSÕES INTERNAS: 0,3X0,3X0,3 M. AF_12/2020</t>
  </si>
  <si>
    <t>CAIXA RETANGULAR 4" X 2" MÉDIA (1,30 M DO PISO), PVC, INSTALADA EM PAREDE - FORNECIMENTO E INSTALAÇÃO. AF_12/2015</t>
  </si>
  <si>
    <t>DISJUNTOR TRIPOLAR TIPO DIN, CORRENTE NOMINAL DE 25A - FORNECIMENTO E INSTALAÇÃO. AF_10/2020</t>
  </si>
  <si>
    <t>DISJUNTOR TRIPOLAR TIPO DIN, CORRENTE NOMINAL DE 32A - FORNECIMENTO E INSTALAÇÃO. AF_10/2020</t>
  </si>
  <si>
    <t>Disjuntor termomagnetico bipolar 80 A, 30MA</t>
  </si>
  <si>
    <t>DISJUNTOR MONOPOLAR TIPO DIN, CORRENTE NOMINAL DE 10A - FORNECIMENTO E INSTALAÇÃO. AF_10/2020</t>
  </si>
  <si>
    <t>DISJUNTOR MONOPOLAR TIPO DIN, CORRENTE NOMINAL DE 16A - FORNECIMENTO E INSTALAÇÃO. AF_10/2020</t>
  </si>
  <si>
    <t>DISJUNTOR MONOPOLAR TIPO DIN, CORRENTE NOMINAL DE 20A - FORNECIMENTO E INSTALAÇÃO. AF_10/2020</t>
  </si>
  <si>
    <t>APLICAÇÃO MANUAL DE MASSA ACRÍLICA EM PAREDES EXTERNAS DE CASAS, DUAS DEMÃOS. AF_05/2017</t>
  </si>
  <si>
    <t>TEXTURA ACRÍLICA, APLICAÇÃO MANUAL EM TETO, UMA DEMÃO. AF_09/2016</t>
  </si>
  <si>
    <t>APLICAÇÃO MANUAL DE PINTURA COM TINTA LÁTEX ACRÍLICA EM TETO, DUAS DEMÃOS. AF_06/2014</t>
  </si>
  <si>
    <t>PINTURA HIDROFUGANTE COM SILICONE, APLICAÇÃO MANUAL, 2 DEMÃOS. AF_05/2021</t>
  </si>
  <si>
    <t>PINTURA COM TINTA ALQUÍDICA DE ACABAMENTO (ESMALTE SINTÉTICO BRILHANTE) APLICADA A ROLO OU PINCEL SOBRE PERFIL METÁLICO EXECUTADO EM FÁBRICA (POR DEMÃO). AF_01/2020</t>
  </si>
  <si>
    <t>19.1</t>
  </si>
  <si>
    <t>19.2</t>
  </si>
  <si>
    <t>19.3</t>
  </si>
  <si>
    <t>19.4</t>
  </si>
  <si>
    <t>19.5</t>
  </si>
  <si>
    <t>19.6</t>
  </si>
  <si>
    <t>RODAPÉ CERÂMICO DE 7CM DE ALTURA COM PLACAS TIPO ESMALTADA EXTRA DE DIMENSÕES 45X45CM. AF_06/2014</t>
  </si>
  <si>
    <t>SOLEIRA EM GRANITO, LARGURA 15 CM, ESPESSURA 2,0 CM. AF_09/2020</t>
  </si>
  <si>
    <t>PEITORIL LINEAR EM GRANITO OU MÁRMORE, L = 15CM, COMPRIMENTO DE ATÉ 2M, ASSENTADO COM ARGAMASSA 1:6 COM ADITIVO. AF_11/2020</t>
  </si>
  <si>
    <t>18.1</t>
  </si>
  <si>
    <t>18.2</t>
  </si>
  <si>
    <t>18.3</t>
  </si>
  <si>
    <t>IMPERMEABILIZAÇÃO DE PISO COM ARGAMASSA DE CIMENTO E AREIA, COM ADITIVO IMPERMEABILIZANTE, E = 2CM. AF_06/2018</t>
  </si>
  <si>
    <t>PISO CIMENTADO, TRAÇO 1:3 (CIMENTO E AREIA), ACABAMENTO RÚSTICO, ESPESSURA 4,0 CM, PREPARO MECÂNICO DA ARGAMASSA. AF_09/2020</t>
  </si>
  <si>
    <t>Polimento de piso de alta resistência (existente)</t>
  </si>
  <si>
    <t>RODAPÉ EM GRANITO, ALTURA 10 CM. AF_09/2020</t>
  </si>
  <si>
    <t>LASTRO DE CONCRETO MAGRO, APLICADO EM PISOS, LAJES SOBRE SOLO OU RADIERS, ESPESSURA DE 5 CM. AF_07/2016</t>
  </si>
  <si>
    <t>LASTRO COM MATERIAL GRANULAR (AREIA MÉDIA), APLICADO EM PISOS OU LAJES SOBRE SOLO, ESPESSURA DE *10 CM*. AF_07/2019</t>
  </si>
  <si>
    <t>EXECUÇÃO DE PASSEIO EM PISO INTERTRAVADO, COM BLOCO RETANGULAR COR NATURAL DE 20 X 10 CM, ESPESSURA 6 CM. AF_12/2015</t>
  </si>
  <si>
    <t>CERAMICA 43X43CM, PEI-4, ARIELLE, REF. 42145 LINHA RIVIERA, COR BRANCA OU SIMILAR</t>
  </si>
  <si>
    <t>PISO PODOTÁTIL DE ALERTA OU DIRECIONAL, DE BORRACHA, ASSENTADO SOBRE ARGAMASSA. AF_05/2020</t>
  </si>
  <si>
    <t>PLANTIO DE GRAMA BATATAIS EM PLACAS. AF_05/2018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</si>
  <si>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</si>
  <si>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</si>
  <si>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</si>
  <si>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</si>
  <si>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</si>
  <si>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</si>
  <si>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</si>
  <si>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</si>
  <si>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</si>
  <si>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</si>
  <si>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CHAPISCO APLICADO EM ALVENARIA (SEM PRESENÇA DE VÃOS) E ESTRUTURAS DE CONCRETO DE FACHADA, COM COLHER DE PEDREIRO. ARGAMASSA TRAÇO 1:3 COM PREPARO EM BETONEIRA 400L. AF_06/2014</t>
  </si>
  <si>
    <t>CHAPISCO APLICADO EM ALVENARIAS E ESTRUTURAS DE CONCRETO INTERNAS, COM COLHER DE PEDREIRO. ARGAMASSA TRAÇO 1:3 COM PREPARO MANUAL. AF_06/2014</t>
  </si>
  <si>
    <t>EMBOÇO, PARA RECEBIMENTO DE CERÂMICA, EM ARGAMASSA TRAÇO 1:2:8, PREPARO MECÂNICO COM BETONEIRA 400L, APLICADO MANUALMENTE EM FACES INTERNAS DE PAREDES, PARA AMBIENTE COM ÁREA MAIOR QUE 10M2, ESPESSURA DE 20MM, COM EXECUÇÃO DE TALISCAS. AF_06/2014</t>
  </si>
  <si>
    <t>MASSA ÚNICA, PARA RECEBIMENTO DE PINTURA, EM ARGAMASSA TRAÇO 1:2:8, PREPARO MECÂNICO COM BETONEIRA 400L, APLICADA MANUALMENTE EM FACES INTERNAS DE PAREDES, ESPESSURA DE 20MM, COM EXECUÇÃO DE TALISCAS. AF_06/2014</t>
  </si>
  <si>
    <t>MASSA ÚNICA, PARA RECEBIMENTO DE PINTURA, EM ARGAMASSA TRAÇO 1:2:8, PREPARO MECÂNICO COM BETONEIRA 400L, APLICADA MANUALMENTE EM TETO, ESPESSURA DE 20MM, COM EXECUÇÃO DE TALISCAS. AF_03/2015</t>
  </si>
  <si>
    <t>Revestimento cerâmico para parede, 10 x 10 cm, Elizabeth, linha cristal piscina, aplicado com argamassa industrializada ac-ii, rejunte epoxi, exclusive regularização de base ou emboço - Rev 02</t>
  </si>
  <si>
    <t>REVESTIMENTO CERÂMICO PARA PAREDES INTERNAS COM PLACAS TIPO ESMALTADA EXTRA DE DIMENSÕES 33X45 CM APLICADAS EM AMBIENTES DE ÁREA MAIOR QUE 5 M² A MEIA ALTURA DAS PAREDES. AF_06/2014</t>
  </si>
  <si>
    <t>16.1</t>
  </si>
  <si>
    <t>16.2</t>
  </si>
  <si>
    <t>16.3</t>
  </si>
  <si>
    <t>16.4</t>
  </si>
  <si>
    <t>16.5</t>
  </si>
  <si>
    <t>16.6</t>
  </si>
  <si>
    <t>16.7</t>
  </si>
  <si>
    <t>16.8</t>
  </si>
  <si>
    <t>IMPERMEABILIZAÇÃO DE SUPERFÍCIE COM MANTA ASFÁLTICA, UMA CAMADA, INCLUSIVE APLICAÇÃO DE PRIMER ASFÁLTICO, E=3MM. AF_06/2018</t>
  </si>
  <si>
    <t>IMPERMEABILIZAÇÃO DE SUPERFÍCIE COM EMULSÃO ASFÁLTICA, 2 DEMÃOS AF_06/2018</t>
  </si>
  <si>
    <t>15.1</t>
  </si>
  <si>
    <t>15.2</t>
  </si>
  <si>
    <t>CUMEEIRA E ESPIGÃO PARA TELHA CERÂMICA EMBOÇADA COM ARGAMASSA TRAÇO 1:2:9 (CIMENTO, CAL E AREIA), PARA TELHADOS COM MAIS DE 2 ÁGUAS, INCLUSO TRANSPORTE VERTICAL. AF_07/2019</t>
  </si>
  <si>
    <t>CALHA EM CHAPA DE AÇO GALVANIZADO NÚMERO 24, DESENVOLVIMENTO DE 33 CM, INCLUSO TRANSPORTE VERTICAL. AF_07/2019</t>
  </si>
  <si>
    <t>14.1</t>
  </si>
  <si>
    <t>14.2</t>
  </si>
  <si>
    <t>14.3</t>
  </si>
  <si>
    <t>JANELA DE AÇO TIPO BASCULANTE PARA VIDROS, COM BATENTE, FERRAGENS E PINTURA ANTICORROSIVA. EXCLUSIVE VIDROS, ACABAMENTO, ALIZAR E CONTRAMARCO. FORNECIMENTO E INSTALAÇÃO. AF_12/2019</t>
  </si>
  <si>
    <t>JANELA DE AÇO DE CORRER COM 4 FOLHAS PARA VIDRO, COM BATENTE, FERRAGENS E PINTURA ANTICORROSIVA. EXCLUSIVE VIDROS, ALIZAR E CONTRAMARCO. FORNECIMENTO E INSTALAÇÃO. AF_12/2019</t>
  </si>
  <si>
    <t>JANELA DE ALUMÍNIO DE CORRER COM 2 FOLHAS PARA VIDROS, COM VIDROS, BATENTE, ACABAMENTO COM ACETATO OU BRILHANTE E FERRAGENS. EXCLUSIVE ALIZAR E CONTRAMARCO. FORNECIMENTO E INSTALAÇÃO. AF_12/2019</t>
  </si>
  <si>
    <t>JANELAS DE FERRO</t>
  </si>
  <si>
    <t>13.1</t>
  </si>
  <si>
    <t>13.2</t>
  </si>
  <si>
    <t>13.3</t>
  </si>
  <si>
    <t>13.4</t>
  </si>
  <si>
    <t>13.5</t>
  </si>
  <si>
    <t>13.6</t>
  </si>
  <si>
    <t>FONTE DE RECURSO: Convenio com o Estado da Paraíba n° 0478/2021 (Ordinários: 1571 - Transferências do Estado referentes a Convénios e Instrumentos Congéneres vinculados à Educação).</t>
  </si>
  <si>
    <t>OBRA: Construção de 01 (uma) creche com capacidade para 50 (cinquenta) crianças.</t>
  </si>
  <si>
    <t>B.D.I: 22,47%</t>
  </si>
  <si>
    <t>MODALIDADE: Tomada de Preços 40001/2023</t>
  </si>
  <si>
    <t>CONTRATO Nº: 149/2023</t>
  </si>
  <si>
    <t>VALOR DO CONTRATO: R$ 912.926,02</t>
  </si>
  <si>
    <t>PERÍODO DE VIGÊNCIA: 13/07/2023 à 13/07/2024</t>
  </si>
  <si>
    <t>VALORES (R$) - COM BDI</t>
  </si>
  <si>
    <t>PROPRIA</t>
  </si>
  <si>
    <t>PRO-PREF-01</t>
  </si>
  <si>
    <t>Quantidade</t>
  </si>
  <si>
    <t>Comprimento</t>
  </si>
  <si>
    <t>Largura</t>
  </si>
  <si>
    <t>Altura</t>
  </si>
  <si>
    <t>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</si>
</sst>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R\$\ #,##0.00"/>
    <numFmt numFmtId="165" formatCode="\R\$\ ###,###,##0.00"/>
    <numFmt numFmtId="166" formatCode="[$R$ -416]#,##0.00"/>
    <numFmt numFmtId="167" formatCode="#,##0.00000000"/>
    <numFmt numFmtId="168" formatCode="#,##0.00%"/>
    <numFmt numFmtId="169" formatCode="###,###,##0.00"/>
    <numFmt numFmtId="170" formatCode="0.0000000"/>
    <numFmt numFmtId="171" formatCode="_(* #,##0.00_);_(* \(#,##0.00\);_(* \-??_);_(@_)"/>
  </numFmts>
  <fonts count="5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rgb="FF343A40"/>
      <name val="Arial"/>
      <family val="2"/>
    </font>
    <font>
      <sz val="11"/>
      <color rgb="FF212529"/>
      <name val="Roboto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b/>
      <sz val="11"/>
      <color indexed="8"/>
      <name val="Calibri"/>
      <family val="2"/>
    </font>
    <font>
      <b/>
      <sz val="14"/>
      <name val="Times New Roman"/>
      <family val="1"/>
    </font>
    <font>
      <sz val="14"/>
      <name val="Calibri"/>
      <family val="2"/>
    </font>
    <font>
      <b/>
      <sz val="14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42"/>
      </patternFill>
    </fill>
    <fill>
      <patternFill patternType="solid">
        <fgColor indexed="27"/>
        <b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9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theme="0"/>
        <bgColor rgb="FFDEE2E6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D9D9D9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38" fillId="0" borderId="6"/>
    <xf numFmtId="0" fontId="38" fillId="11" borderId="6" applyNumberFormat="0" applyBorder="0" applyAlignment="0" applyProtection="0"/>
    <xf numFmtId="0" fontId="38" fillId="12" borderId="6" applyNumberFormat="0" applyBorder="0" applyAlignment="0" applyProtection="0"/>
    <xf numFmtId="0" fontId="38" fillId="13" borderId="6" applyNumberFormat="0" applyBorder="0" applyAlignment="0" applyProtection="0"/>
    <xf numFmtId="0" fontId="38" fillId="14" borderId="6" applyNumberFormat="0" applyBorder="0" applyAlignment="0" applyProtection="0"/>
    <xf numFmtId="0" fontId="38" fillId="15" borderId="6" applyNumberFormat="0" applyBorder="0" applyAlignment="0" applyProtection="0"/>
    <xf numFmtId="0" fontId="38" fillId="13" borderId="6" applyNumberFormat="0" applyBorder="0" applyAlignment="0" applyProtection="0"/>
    <xf numFmtId="0" fontId="38" fillId="15" borderId="6" applyNumberFormat="0" applyBorder="0" applyAlignment="0" applyProtection="0"/>
    <xf numFmtId="0" fontId="38" fillId="12" borderId="6" applyNumberFormat="0" applyBorder="0" applyAlignment="0" applyProtection="0"/>
    <xf numFmtId="0" fontId="38" fillId="13" borderId="6" applyNumberFormat="0" applyBorder="0" applyAlignment="0" applyProtection="0"/>
    <xf numFmtId="0" fontId="38" fillId="16" borderId="6" applyNumberFormat="0" applyBorder="0" applyAlignment="0" applyProtection="0"/>
    <xf numFmtId="0" fontId="38" fillId="15" borderId="6" applyNumberFormat="0" applyBorder="0" applyAlignment="0" applyProtection="0"/>
    <xf numFmtId="0" fontId="38" fillId="13" borderId="6" applyNumberFormat="0" applyBorder="0" applyAlignment="0" applyProtection="0"/>
    <xf numFmtId="0" fontId="39" fillId="15" borderId="6" applyNumberFormat="0" applyBorder="0" applyAlignment="0" applyProtection="0"/>
    <xf numFmtId="0" fontId="39" fillId="12" borderId="6" applyNumberFormat="0" applyBorder="0" applyAlignment="0" applyProtection="0"/>
    <xf numFmtId="0" fontId="39" fillId="17" borderId="6" applyNumberFormat="0" applyBorder="0" applyAlignment="0" applyProtection="0"/>
    <xf numFmtId="0" fontId="39" fillId="16" borderId="6" applyNumberFormat="0" applyBorder="0" applyAlignment="0" applyProtection="0"/>
    <xf numFmtId="0" fontId="39" fillId="15" borderId="6" applyNumberFormat="0" applyBorder="0" applyAlignment="0" applyProtection="0"/>
    <xf numFmtId="0" fontId="39" fillId="12" borderId="6" applyNumberFormat="0" applyBorder="0" applyAlignment="0" applyProtection="0"/>
    <xf numFmtId="0" fontId="40" fillId="15" borderId="6" applyNumberFormat="0" applyBorder="0" applyAlignment="0" applyProtection="0"/>
    <xf numFmtId="0" fontId="41" fillId="18" borderId="40" applyNumberFormat="0" applyAlignment="0" applyProtection="0"/>
    <xf numFmtId="0" fontId="42" fillId="19" borderId="41" applyNumberFormat="0" applyAlignment="0" applyProtection="0"/>
    <xf numFmtId="0" fontId="43" fillId="0" borderId="42" applyNumberFormat="0" applyFill="0" applyAlignment="0" applyProtection="0"/>
    <xf numFmtId="0" fontId="39" fillId="20" borderId="6" applyNumberFormat="0" applyBorder="0" applyAlignment="0" applyProtection="0"/>
    <xf numFmtId="0" fontId="39" fillId="21" borderId="6" applyNumberFormat="0" applyBorder="0" applyAlignment="0" applyProtection="0"/>
    <xf numFmtId="0" fontId="39" fillId="17" borderId="6" applyNumberFormat="0" applyBorder="0" applyAlignment="0" applyProtection="0"/>
    <xf numFmtId="0" fontId="39" fillId="22" borderId="6" applyNumberFormat="0" applyBorder="0" applyAlignment="0" applyProtection="0"/>
    <xf numFmtId="0" fontId="39" fillId="20" borderId="6" applyNumberFormat="0" applyBorder="0" applyAlignment="0" applyProtection="0"/>
    <xf numFmtId="0" fontId="39" fillId="23" borderId="6" applyNumberFormat="0" applyBorder="0" applyAlignment="0" applyProtection="0"/>
    <xf numFmtId="0" fontId="44" fillId="12" borderId="40" applyNumberFormat="0" applyAlignment="0" applyProtection="0"/>
    <xf numFmtId="0" fontId="38" fillId="0" borderId="6"/>
    <xf numFmtId="0" fontId="1" fillId="0" borderId="6"/>
    <xf numFmtId="0" fontId="45" fillId="0" borderId="6"/>
    <xf numFmtId="0" fontId="38" fillId="13" borderId="43" applyNumberFormat="0" applyAlignment="0" applyProtection="0"/>
    <xf numFmtId="0" fontId="46" fillId="18" borderId="44" applyNumberFormat="0" applyAlignment="0" applyProtection="0"/>
    <xf numFmtId="171" fontId="38" fillId="0" borderId="6" applyFill="0" applyBorder="0" applyAlignment="0" applyProtection="0"/>
    <xf numFmtId="0" fontId="43" fillId="0" borderId="6" applyNumberFormat="0" applyFill="0" applyBorder="0" applyAlignment="0" applyProtection="0"/>
    <xf numFmtId="0" fontId="47" fillId="0" borderId="6" applyNumberFormat="0" applyFill="0" applyBorder="0" applyAlignment="0" applyProtection="0"/>
    <xf numFmtId="0" fontId="48" fillId="0" borderId="45" applyNumberFormat="0" applyFill="0" applyAlignment="0" applyProtection="0"/>
    <xf numFmtId="0" fontId="49" fillId="0" borderId="46" applyNumberFormat="0" applyFill="0" applyAlignment="0" applyProtection="0"/>
    <xf numFmtId="0" fontId="50" fillId="0" borderId="47" applyNumberFormat="0" applyFill="0" applyAlignment="0" applyProtection="0"/>
    <xf numFmtId="0" fontId="50" fillId="0" borderId="6" applyNumberFormat="0" applyFill="0" applyBorder="0" applyAlignment="0" applyProtection="0"/>
    <xf numFmtId="0" fontId="51" fillId="0" borderId="48" applyNumberFormat="0" applyFill="0" applyAlignment="0" applyProtection="0"/>
    <xf numFmtId="171" fontId="38" fillId="0" borderId="6" applyFill="0" applyBorder="0" applyAlignment="0" applyProtection="0"/>
  </cellStyleXfs>
  <cellXfs count="250">
    <xf numFmtId="0" fontId="0" fillId="0" borderId="0" xfId="0"/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/>
    <xf numFmtId="0" fontId="10" fillId="0" borderId="1" xfId="0" applyFont="1" applyBorder="1"/>
    <xf numFmtId="0" fontId="8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center" vertical="center" shrinkToFit="1"/>
    </xf>
    <xf numFmtId="2" fontId="8" fillId="0" borderId="1" xfId="0" applyNumberFormat="1" applyFont="1" applyBorder="1" applyAlignment="1">
      <alignment horizontal="left" vertical="center" shrinkToFit="1"/>
    </xf>
    <xf numFmtId="4" fontId="16" fillId="3" borderId="18" xfId="0" applyNumberFormat="1" applyFont="1" applyFill="1" applyBorder="1" applyAlignment="1">
      <alignment horizontal="center" vertical="top" wrapText="1"/>
    </xf>
    <xf numFmtId="4" fontId="17" fillId="3" borderId="18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8" fillId="0" borderId="0" xfId="0" applyFont="1"/>
    <xf numFmtId="0" fontId="19" fillId="0" borderId="0" xfId="0" applyFont="1"/>
    <xf numFmtId="4" fontId="10" fillId="0" borderId="17" xfId="0" applyNumberFormat="1" applyFont="1" applyBorder="1" applyAlignment="1">
      <alignment horizontal="center" wrapText="1"/>
    </xf>
    <xf numFmtId="4" fontId="19" fillId="0" borderId="17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 wrapText="1"/>
    </xf>
    <xf numFmtId="4" fontId="16" fillId="6" borderId="30" xfId="0" applyNumberFormat="1" applyFont="1" applyFill="1" applyBorder="1" applyAlignment="1">
      <alignment horizontal="center" vertical="center" wrapText="1"/>
    </xf>
    <xf numFmtId="4" fontId="17" fillId="6" borderId="3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left" wrapText="1"/>
    </xf>
    <xf numFmtId="0" fontId="16" fillId="7" borderId="1" xfId="0" applyFont="1" applyFill="1" applyBorder="1" applyAlignment="1">
      <alignment horizontal="center" vertical="top" wrapText="1"/>
    </xf>
    <xf numFmtId="0" fontId="16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 wrapText="1"/>
    </xf>
    <xf numFmtId="4" fontId="21" fillId="7" borderId="1" xfId="0" applyNumberFormat="1" applyFont="1" applyFill="1" applyBorder="1" applyAlignment="1">
      <alignment horizontal="center" vertical="center" shrinkToFit="1"/>
    </xf>
    <xf numFmtId="4" fontId="21" fillId="7" borderId="1" xfId="0" applyNumberFormat="1" applyFont="1" applyFill="1" applyBorder="1" applyAlignment="1">
      <alignment horizontal="center" vertical="top" shrinkToFit="1"/>
    </xf>
    <xf numFmtId="4" fontId="22" fillId="7" borderId="1" xfId="0" applyNumberFormat="1" applyFont="1" applyFill="1" applyBorder="1" applyAlignment="1">
      <alignment horizontal="center" vertical="center" shrinkToFit="1"/>
    </xf>
    <xf numFmtId="10" fontId="18" fillId="0" borderId="0" xfId="0" applyNumberFormat="1" applyFont="1"/>
    <xf numFmtId="9" fontId="18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center" vertical="top" wrapText="1"/>
    </xf>
    <xf numFmtId="0" fontId="16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21" fillId="5" borderId="1" xfId="0" applyNumberFormat="1" applyFont="1" applyFill="1" applyBorder="1" applyAlignment="1">
      <alignment horizontal="center" vertical="center" shrinkToFit="1"/>
    </xf>
    <xf numFmtId="4" fontId="21" fillId="5" borderId="1" xfId="0" applyNumberFormat="1" applyFont="1" applyFill="1" applyBorder="1" applyAlignment="1">
      <alignment horizontal="center" vertical="top" shrinkToFit="1"/>
    </xf>
    <xf numFmtId="4" fontId="22" fillId="5" borderId="1" xfId="0" applyNumberFormat="1" applyFont="1" applyFill="1" applyBorder="1" applyAlignment="1">
      <alignment horizontal="center" vertical="center" shrinkToFit="1"/>
    </xf>
    <xf numFmtId="4" fontId="18" fillId="0" borderId="0" xfId="0" applyNumberFormat="1" applyFont="1"/>
    <xf numFmtId="0" fontId="15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21" fillId="0" borderId="1" xfId="0" applyNumberFormat="1" applyFont="1" applyBorder="1" applyAlignment="1">
      <alignment horizontal="center" vertical="center" shrinkToFit="1"/>
    </xf>
    <xf numFmtId="4" fontId="21" fillId="0" borderId="1" xfId="0" applyNumberFormat="1" applyFont="1" applyBorder="1" applyAlignment="1">
      <alignment horizontal="center" vertical="center" shrinkToFit="1"/>
    </xf>
    <xf numFmtId="4" fontId="22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9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left" vertical="top" wrapText="1"/>
    </xf>
    <xf numFmtId="167" fontId="25" fillId="0" borderId="1" xfId="0" applyNumberFormat="1" applyFont="1" applyBorder="1" applyAlignment="1">
      <alignment horizontal="right" vertical="top" wrapText="1"/>
    </xf>
    <xf numFmtId="164" fontId="25" fillId="0" borderId="1" xfId="0" applyNumberFormat="1" applyFont="1" applyBorder="1" applyAlignment="1">
      <alignment horizontal="right" vertical="top" wrapText="1"/>
    </xf>
    <xf numFmtId="164" fontId="24" fillId="0" borderId="1" xfId="0" applyNumberFormat="1" applyFont="1" applyBorder="1" applyAlignment="1">
      <alignment horizontal="right" vertical="top" wrapText="1"/>
    </xf>
    <xf numFmtId="0" fontId="23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8" fontId="28" fillId="0" borderId="8" xfId="0" applyNumberFormat="1" applyFont="1" applyBorder="1" applyAlignment="1">
      <alignment horizontal="right" vertical="center" wrapText="1"/>
    </xf>
    <xf numFmtId="0" fontId="2" fillId="0" borderId="8" xfId="0" applyFont="1" applyBorder="1" applyAlignment="1">
      <alignment wrapText="1"/>
    </xf>
    <xf numFmtId="168" fontId="7" fillId="0" borderId="8" xfId="0" applyNumberFormat="1" applyFont="1" applyBorder="1" applyAlignment="1">
      <alignment horizontal="right" vertical="center" wrapText="1"/>
    </xf>
    <xf numFmtId="164" fontId="27" fillId="8" borderId="1" xfId="0" applyNumberFormat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wrapText="1"/>
    </xf>
    <xf numFmtId="164" fontId="3" fillId="0" borderId="1" xfId="0" applyNumberFormat="1" applyFont="1" applyBorder="1" applyAlignment="1">
      <alignment horizontal="right" vertical="center" wrapText="1"/>
    </xf>
    <xf numFmtId="0" fontId="2" fillId="8" borderId="31" xfId="0" applyFont="1" applyFill="1" applyBorder="1" applyAlignment="1">
      <alignment wrapText="1"/>
    </xf>
    <xf numFmtId="0" fontId="2" fillId="8" borderId="32" xfId="0" applyFont="1" applyFill="1" applyBorder="1" applyAlignment="1">
      <alignment wrapText="1"/>
    </xf>
    <xf numFmtId="164" fontId="27" fillId="8" borderId="34" xfId="0" applyNumberFormat="1" applyFont="1" applyFill="1" applyBorder="1" applyAlignment="1">
      <alignment horizontal="right" vertical="center" wrapText="1"/>
    </xf>
    <xf numFmtId="0" fontId="2" fillId="8" borderId="35" xfId="0" applyFont="1" applyFill="1" applyBorder="1" applyAlignment="1">
      <alignment wrapText="1"/>
    </xf>
    <xf numFmtId="0" fontId="2" fillId="8" borderId="36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 wrapText="1"/>
    </xf>
    <xf numFmtId="4" fontId="27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right" vertical="center" wrapText="1"/>
    </xf>
    <xf numFmtId="170" fontId="8" fillId="0" borderId="1" xfId="0" applyNumberFormat="1" applyFont="1" applyBorder="1" applyAlignment="1">
      <alignment horizontal="center" vertical="center" shrinkToFit="1"/>
    </xf>
    <xf numFmtId="0" fontId="9" fillId="10" borderId="0" xfId="0" applyFont="1" applyFill="1"/>
    <xf numFmtId="0" fontId="0" fillId="10" borderId="0" xfId="0" applyFill="1"/>
    <xf numFmtId="0" fontId="35" fillId="0" borderId="1" xfId="0" applyFont="1" applyBorder="1" applyAlignment="1">
      <alignment horizontal="left" vertical="center" wrapText="1"/>
    </xf>
    <xf numFmtId="4" fontId="8" fillId="5" borderId="38" xfId="0" applyNumberFormat="1" applyFont="1" applyFill="1" applyBorder="1" applyAlignment="1">
      <alignment horizontal="center" vertical="center"/>
    </xf>
    <xf numFmtId="0" fontId="10" fillId="10" borderId="0" xfId="0" applyFont="1" applyFill="1" applyAlignment="1">
      <alignment vertical="center"/>
    </xf>
    <xf numFmtId="0" fontId="10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4" fontId="8" fillId="10" borderId="0" xfId="0" applyNumberFormat="1" applyFont="1" applyFill="1" applyAlignment="1">
      <alignment horizontal="center" vertical="center"/>
    </xf>
    <xf numFmtId="4" fontId="14" fillId="10" borderId="0" xfId="0" applyNumberFormat="1" applyFont="1" applyFill="1" applyAlignment="1">
      <alignment horizont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4" fontId="9" fillId="10" borderId="0" xfId="0" applyNumberFormat="1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10" fontId="9" fillId="10" borderId="0" xfId="0" applyNumberFormat="1" applyFont="1" applyFill="1" applyAlignment="1">
      <alignment horizontal="center" vertical="center" wrapText="1"/>
    </xf>
    <xf numFmtId="10" fontId="9" fillId="10" borderId="0" xfId="0" applyNumberFormat="1" applyFont="1" applyFill="1"/>
    <xf numFmtId="4" fontId="9" fillId="10" borderId="0" xfId="0" applyNumberFormat="1" applyFont="1" applyFill="1" applyAlignment="1">
      <alignment horizontal="center" vertical="center"/>
    </xf>
    <xf numFmtId="10" fontId="9" fillId="10" borderId="0" xfId="0" applyNumberFormat="1" applyFont="1" applyFill="1" applyAlignment="1">
      <alignment horizontal="center" vertical="center"/>
    </xf>
    <xf numFmtId="166" fontId="9" fillId="10" borderId="0" xfId="0" applyNumberFormat="1" applyFont="1" applyFill="1"/>
    <xf numFmtId="166" fontId="9" fillId="10" borderId="0" xfId="0" applyNumberFormat="1" applyFont="1" applyFill="1" applyAlignment="1">
      <alignment horizontal="center" vertical="center" wrapText="1"/>
    </xf>
    <xf numFmtId="4" fontId="9" fillId="10" borderId="0" xfId="0" applyNumberFormat="1" applyFont="1" applyFill="1"/>
    <xf numFmtId="10" fontId="9" fillId="10" borderId="10" xfId="0" applyNumberFormat="1" applyFont="1" applyFill="1" applyBorder="1" applyAlignment="1">
      <alignment horizontal="center" vertical="center"/>
    </xf>
    <xf numFmtId="4" fontId="9" fillId="10" borderId="10" xfId="0" applyNumberFormat="1" applyFont="1" applyFill="1" applyBorder="1" applyAlignment="1">
      <alignment horizontal="center" vertical="center"/>
    </xf>
    <xf numFmtId="2" fontId="9" fillId="10" borderId="0" xfId="0" applyNumberFormat="1" applyFont="1" applyFill="1"/>
    <xf numFmtId="0" fontId="2" fillId="10" borderId="0" xfId="0" applyFont="1" applyFill="1" applyAlignment="1">
      <alignment horizontal="center" vertical="center"/>
    </xf>
    <xf numFmtId="2" fontId="9" fillId="10" borderId="10" xfId="0" applyNumberFormat="1" applyFont="1" applyFill="1" applyBorder="1" applyAlignment="1">
      <alignment horizontal="center" vertical="center"/>
    </xf>
    <xf numFmtId="0" fontId="9" fillId="24" borderId="10" xfId="0" applyFont="1" applyFill="1" applyBorder="1" applyAlignment="1">
      <alignment horizontal="center" vertical="center" wrapText="1"/>
    </xf>
    <xf numFmtId="4" fontId="9" fillId="10" borderId="11" xfId="0" applyNumberFormat="1" applyFont="1" applyFill="1" applyBorder="1" applyAlignment="1">
      <alignment horizontal="center" vertical="center"/>
    </xf>
    <xf numFmtId="10" fontId="9" fillId="10" borderId="12" xfId="0" applyNumberFormat="1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2" fontId="11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2" fontId="9" fillId="10" borderId="13" xfId="0" applyNumberFormat="1" applyFont="1" applyFill="1" applyBorder="1" applyAlignment="1">
      <alignment horizontal="center" vertical="center"/>
    </xf>
    <xf numFmtId="0" fontId="9" fillId="24" borderId="14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10" fontId="9" fillId="10" borderId="11" xfId="0" applyNumberFormat="1" applyFont="1" applyFill="1" applyBorder="1" applyAlignment="1">
      <alignment horizontal="center" vertical="center"/>
    </xf>
    <xf numFmtId="0" fontId="13" fillId="25" borderId="0" xfId="0" applyFont="1" applyFill="1" applyAlignment="1">
      <alignment horizontal="left"/>
    </xf>
    <xf numFmtId="4" fontId="9" fillId="10" borderId="10" xfId="0" applyNumberFormat="1" applyFont="1" applyFill="1" applyBorder="1" applyAlignment="1">
      <alignment horizontal="center" vertical="center" shrinkToFit="1"/>
    </xf>
    <xf numFmtId="2" fontId="9" fillId="10" borderId="11" xfId="0" applyNumberFormat="1" applyFont="1" applyFill="1" applyBorder="1" applyAlignment="1">
      <alignment horizontal="center" vertical="center"/>
    </xf>
    <xf numFmtId="0" fontId="54" fillId="10" borderId="50" xfId="0" applyFont="1" applyFill="1" applyBorder="1"/>
    <xf numFmtId="0" fontId="54" fillId="10" borderId="6" xfId="0" applyFont="1" applyFill="1" applyBorder="1"/>
    <xf numFmtId="0" fontId="52" fillId="10" borderId="6" xfId="0" applyFont="1" applyFill="1" applyBorder="1"/>
    <xf numFmtId="10" fontId="9" fillId="10" borderId="6" xfId="0" applyNumberFormat="1" applyFont="1" applyFill="1" applyBorder="1" applyAlignment="1">
      <alignment horizontal="center" vertical="center"/>
    </xf>
    <xf numFmtId="2" fontId="9" fillId="10" borderId="6" xfId="0" applyNumberFormat="1" applyFont="1" applyFill="1" applyBorder="1" applyAlignment="1">
      <alignment horizontal="center" vertical="center"/>
    </xf>
    <xf numFmtId="0" fontId="9" fillId="24" borderId="6" xfId="0" applyFont="1" applyFill="1" applyBorder="1" applyAlignment="1">
      <alignment horizontal="center" vertical="center" wrapText="1"/>
    </xf>
    <xf numFmtId="4" fontId="9" fillId="10" borderId="6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2" fontId="8" fillId="0" borderId="34" xfId="0" applyNumberFormat="1" applyFont="1" applyBorder="1" applyAlignment="1">
      <alignment horizontal="center" vertical="center" shrinkToFit="1"/>
    </xf>
    <xf numFmtId="4" fontId="8" fillId="0" borderId="34" xfId="0" applyNumberFormat="1" applyFont="1" applyBorder="1" applyAlignment="1">
      <alignment horizontal="center" vertical="center" shrinkToFit="1"/>
    </xf>
    <xf numFmtId="0" fontId="8" fillId="5" borderId="38" xfId="0" applyFont="1" applyFill="1" applyBorder="1" applyAlignment="1">
      <alignment horizontal="center" vertical="center"/>
    </xf>
    <xf numFmtId="0" fontId="52" fillId="10" borderId="51" xfId="0" applyFont="1" applyFill="1" applyBorder="1" applyAlignment="1">
      <alignment wrapText="1"/>
    </xf>
    <xf numFmtId="1" fontId="8" fillId="0" borderId="1" xfId="0" applyNumberFormat="1" applyFont="1" applyBorder="1" applyAlignment="1">
      <alignment horizontal="center" vertical="center" shrinkToFit="1"/>
    </xf>
    <xf numFmtId="0" fontId="55" fillId="0" borderId="1" xfId="33" applyFont="1" applyBorder="1" applyAlignment="1">
      <alignment horizontal="left" vertical="center" wrapText="1"/>
    </xf>
    <xf numFmtId="4" fontId="56" fillId="0" borderId="1" xfId="0" applyNumberFormat="1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4" fontId="8" fillId="5" borderId="3" xfId="0" applyNumberFormat="1" applyFont="1" applyFill="1" applyBorder="1" applyAlignment="1">
      <alignment horizontal="center" vertical="center"/>
    </xf>
    <xf numFmtId="4" fontId="8" fillId="5" borderId="4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 shrinkToFit="1"/>
    </xf>
    <xf numFmtId="2" fontId="8" fillId="26" borderId="2" xfId="0" applyNumberFormat="1" applyFont="1" applyFill="1" applyBorder="1" applyAlignment="1">
      <alignment horizontal="center" vertical="center" shrinkToFit="1"/>
    </xf>
    <xf numFmtId="2" fontId="8" fillId="0" borderId="38" xfId="0" applyNumberFormat="1" applyFont="1" applyBorder="1" applyAlignment="1">
      <alignment horizontal="center" vertical="center" shrinkToFi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left" vertical="center" wrapText="1"/>
    </xf>
    <xf numFmtId="0" fontId="8" fillId="5" borderId="38" xfId="0" applyFont="1" applyFill="1" applyBorder="1" applyAlignment="1">
      <alignment horizontal="center" vertical="center" wrapText="1"/>
    </xf>
    <xf numFmtId="0" fontId="10" fillId="5" borderId="38" xfId="0" applyFont="1" applyFill="1" applyBorder="1" applyAlignment="1">
      <alignment horizontal="left" vertical="center" wrapText="1"/>
    </xf>
    <xf numFmtId="2" fontId="8" fillId="5" borderId="38" xfId="0" applyNumberFormat="1" applyFont="1" applyFill="1" applyBorder="1" applyAlignment="1">
      <alignment horizontal="center" vertical="center" shrinkToFit="1"/>
    </xf>
    <xf numFmtId="2" fontId="8" fillId="5" borderId="38" xfId="0" applyNumberFormat="1" applyFont="1" applyFill="1" applyBorder="1" applyAlignment="1">
      <alignment horizontal="left" vertical="center" shrinkToFit="1"/>
    </xf>
    <xf numFmtId="0" fontId="37" fillId="4" borderId="2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53" fillId="10" borderId="51" xfId="0" applyFont="1" applyFill="1" applyBorder="1" applyAlignment="1">
      <alignment horizontal="center"/>
    </xf>
    <xf numFmtId="0" fontId="53" fillId="10" borderId="52" xfId="0" applyFont="1" applyFill="1" applyBorder="1" applyAlignment="1">
      <alignment horizontal="center"/>
    </xf>
    <xf numFmtId="0" fontId="53" fillId="10" borderId="6" xfId="0" applyFont="1" applyFill="1" applyBorder="1" applyAlignment="1">
      <alignment horizontal="center"/>
    </xf>
    <xf numFmtId="0" fontId="53" fillId="10" borderId="53" xfId="0" applyFont="1" applyFill="1" applyBorder="1" applyAlignment="1">
      <alignment horizontal="center"/>
    </xf>
    <xf numFmtId="0" fontId="53" fillId="10" borderId="55" xfId="0" applyFont="1" applyFill="1" applyBorder="1" applyAlignment="1">
      <alignment horizontal="center"/>
    </xf>
    <xf numFmtId="0" fontId="53" fillId="10" borderId="56" xfId="0" applyFont="1" applyFill="1" applyBorder="1" applyAlignment="1">
      <alignment horizontal="center"/>
    </xf>
    <xf numFmtId="0" fontId="54" fillId="10" borderId="50" xfId="0" applyFont="1" applyFill="1" applyBorder="1" applyAlignment="1">
      <alignment horizontal="left"/>
    </xf>
    <xf numFmtId="0" fontId="54" fillId="10" borderId="6" xfId="0" applyFont="1" applyFill="1" applyBorder="1" applyAlignment="1">
      <alignment horizontal="left"/>
    </xf>
    <xf numFmtId="0" fontId="54" fillId="10" borderId="54" xfId="0" applyFont="1" applyFill="1" applyBorder="1" applyAlignment="1">
      <alignment horizontal="left"/>
    </xf>
    <xf numFmtId="0" fontId="54" fillId="10" borderId="55" xfId="0" applyFont="1" applyFill="1" applyBorder="1" applyAlignment="1">
      <alignment horizontal="left"/>
    </xf>
    <xf numFmtId="0" fontId="8" fillId="4" borderId="35" xfId="0" applyFont="1" applyFill="1" applyBorder="1" applyAlignment="1">
      <alignment horizontal="center" vertical="center" wrapText="1"/>
    </xf>
    <xf numFmtId="0" fontId="5" fillId="0" borderId="36" xfId="0" applyFont="1" applyBorder="1"/>
    <xf numFmtId="0" fontId="5" fillId="0" borderId="37" xfId="0" applyFont="1" applyBorder="1"/>
    <xf numFmtId="0" fontId="8" fillId="4" borderId="39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8" fillId="4" borderId="39" xfId="0" applyFont="1" applyFill="1" applyBorder="1" applyAlignment="1">
      <alignment horizontal="left" vertical="center" wrapText="1"/>
    </xf>
    <xf numFmtId="0" fontId="52" fillId="10" borderId="49" xfId="0" applyFont="1" applyFill="1" applyBorder="1" applyAlignment="1">
      <alignment wrapText="1"/>
    </xf>
    <xf numFmtId="0" fontId="52" fillId="10" borderId="51" xfId="0" applyFont="1" applyFill="1" applyBorder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8" fillId="4" borderId="34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left" vertical="center" wrapText="1"/>
    </xf>
    <xf numFmtId="2" fontId="8" fillId="5" borderId="38" xfId="0" applyNumberFormat="1" applyFont="1" applyFill="1" applyBorder="1" applyAlignment="1">
      <alignment horizontal="center" vertical="center" shrinkToFit="1"/>
    </xf>
    <xf numFmtId="0" fontId="5" fillId="0" borderId="38" xfId="0" applyFont="1" applyBorder="1"/>
    <xf numFmtId="0" fontId="8" fillId="4" borderId="9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5" fillId="0" borderId="32" xfId="0" applyFont="1" applyBorder="1"/>
    <xf numFmtId="0" fontId="5" fillId="0" borderId="33" xfId="0" applyFont="1" applyBorder="1"/>
    <xf numFmtId="0" fontId="5" fillId="0" borderId="35" xfId="0" applyFont="1" applyBorder="1"/>
    <xf numFmtId="2" fontId="8" fillId="5" borderId="2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right" vertical="center" wrapText="1"/>
    </xf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0" fontId="20" fillId="6" borderId="21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16" fillId="6" borderId="23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5" fillId="0" borderId="25" xfId="0" applyFont="1" applyBorder="1"/>
    <xf numFmtId="0" fontId="15" fillId="3" borderId="5" xfId="0" applyFont="1" applyFill="1" applyBorder="1" applyAlignment="1">
      <alignment horizontal="center" vertical="top" wrapText="1"/>
    </xf>
    <xf numFmtId="0" fontId="5" fillId="0" borderId="6" xfId="0" applyFont="1" applyBorder="1"/>
    <xf numFmtId="0" fontId="5" fillId="0" borderId="7" xfId="0" applyFont="1" applyBorder="1"/>
    <xf numFmtId="0" fontId="19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15" fillId="6" borderId="19" xfId="0" applyFont="1" applyFill="1" applyBorder="1" applyAlignment="1">
      <alignment horizontal="center" vertical="center" wrapText="1"/>
    </xf>
    <xf numFmtId="0" fontId="5" fillId="0" borderId="26" xfId="0" applyFont="1" applyBorder="1"/>
    <xf numFmtId="0" fontId="16" fillId="6" borderId="20" xfId="0" applyFont="1" applyFill="1" applyBorder="1" applyAlignment="1">
      <alignment horizontal="center" vertical="center" wrapText="1"/>
    </xf>
    <xf numFmtId="0" fontId="5" fillId="0" borderId="27" xfId="0" applyFont="1" applyBorder="1"/>
    <xf numFmtId="0" fontId="16" fillId="6" borderId="20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2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24" fillId="2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right" vertical="top" wrapText="1"/>
    </xf>
    <xf numFmtId="0" fontId="2" fillId="0" borderId="16" xfId="0" applyFont="1" applyBorder="1" applyAlignment="1">
      <alignment horizontal="center" wrapText="1"/>
    </xf>
    <xf numFmtId="0" fontId="26" fillId="0" borderId="8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164" fontId="27" fillId="0" borderId="8" xfId="0" applyNumberFormat="1" applyFont="1" applyBorder="1" applyAlignment="1">
      <alignment horizontal="right" vertical="center" wrapText="1"/>
    </xf>
    <xf numFmtId="164" fontId="25" fillId="8" borderId="33" xfId="0" applyNumberFormat="1" applyFont="1" applyFill="1" applyBorder="1" applyAlignment="1">
      <alignment horizontal="right" vertical="center" wrapText="1"/>
    </xf>
    <xf numFmtId="164" fontId="27" fillId="8" borderId="8" xfId="0" applyNumberFormat="1" applyFont="1" applyFill="1" applyBorder="1" applyAlignment="1">
      <alignment horizontal="right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wrapText="1"/>
    </xf>
    <xf numFmtId="169" fontId="27" fillId="0" borderId="2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center" wrapText="1"/>
    </xf>
    <xf numFmtId="4" fontId="30" fillId="0" borderId="2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4" fontId="27" fillId="0" borderId="2" xfId="0" applyNumberFormat="1" applyFont="1" applyBorder="1" applyAlignment="1">
      <alignment horizontal="right" vertical="top" wrapText="1"/>
    </xf>
  </cellXfs>
  <cellStyles count="45">
    <cellStyle name="20% - Ênfase1 2" xfId="2" xr:uid="{BB03E3FE-84E4-4ACF-95C3-1350A06968B6}"/>
    <cellStyle name="20% - Ênfase2 2" xfId="3" xr:uid="{4E36E144-04D4-4F6E-A856-46AC32C5903F}"/>
    <cellStyle name="20% - Ênfase3 2" xfId="4" xr:uid="{65A9D5D8-E385-4BB9-8FCF-00BAD0BA27EA}"/>
    <cellStyle name="20% - Ênfase4 2" xfId="5" xr:uid="{F68F6796-FACC-4923-AC9A-C07D0448B3CD}"/>
    <cellStyle name="20% - Ênfase5 2" xfId="6" xr:uid="{7E245A92-093E-467B-AA87-3568B55833C0}"/>
    <cellStyle name="20% - Ênfase6 2" xfId="7" xr:uid="{977B9A2B-1685-4DA5-97D3-5C40EFE80AFB}"/>
    <cellStyle name="40% - Ênfase1 2" xfId="8" xr:uid="{56390A0F-70EE-4141-BE18-01ADB431C3F8}"/>
    <cellStyle name="40% - Ênfase2 2" xfId="9" xr:uid="{08168F90-9FD4-4B5A-8438-E199B4646B36}"/>
    <cellStyle name="40% - Ênfase3 2" xfId="10" xr:uid="{CF335037-978F-4FCE-9AD0-BD794B95DD40}"/>
    <cellStyle name="40% - Ênfase4 2" xfId="11" xr:uid="{4A08A25D-B5E5-42F4-808F-09049B9CBF82}"/>
    <cellStyle name="40% - Ênfase5 2" xfId="12" xr:uid="{78E0EAF2-CBAF-479B-AD82-D1D1069E4E8A}"/>
    <cellStyle name="40% - Ênfase6 2" xfId="13" xr:uid="{F3B2772B-A6AF-41B0-BD25-101B8209F349}"/>
    <cellStyle name="60% - Ênfase1 2" xfId="14" xr:uid="{A72A90AE-99CB-4A5D-A723-5A95240D0726}"/>
    <cellStyle name="60% - Ênfase2 2" xfId="15" xr:uid="{82658C98-BD0E-4F49-9E73-B8A7F1DB2380}"/>
    <cellStyle name="60% - Ênfase3 2" xfId="16" xr:uid="{BA3A77DF-39DA-4207-AD99-FF798F67C228}"/>
    <cellStyle name="60% - Ênfase4 2" xfId="17" xr:uid="{C9093C25-DD9D-4624-B546-3E4859103985}"/>
    <cellStyle name="60% - Ênfase5 2" xfId="18" xr:uid="{0ADA7689-811D-4ED1-9A6C-4B9A2B6BCBE5}"/>
    <cellStyle name="60% - Ênfase6 2" xfId="19" xr:uid="{1B549932-4816-4179-9900-CAB7DE8845C7}"/>
    <cellStyle name="Bom 2" xfId="20" xr:uid="{76604B7A-0E94-48FD-9B62-337B5F75EF96}"/>
    <cellStyle name="Cálculo 2" xfId="21" xr:uid="{C3CD0FAE-FE7E-4523-9E8C-DC70CB5D6D43}"/>
    <cellStyle name="Célula de Verificação 2" xfId="22" xr:uid="{1DA46017-E709-44E7-B486-33DB9D31D1CA}"/>
    <cellStyle name="Célula Vinculada 2" xfId="23" xr:uid="{A65805F8-5C54-4C95-940C-7EF472952A0B}"/>
    <cellStyle name="Ênfase1 2" xfId="24" xr:uid="{91FFC37E-F745-483C-9D19-DA8DFC028BE0}"/>
    <cellStyle name="Ênfase2 2" xfId="25" xr:uid="{E8F9159D-B2B0-492D-B153-413E6809B985}"/>
    <cellStyle name="Ênfase3 2" xfId="26" xr:uid="{77128988-9A52-4DDE-B503-92356292CE6E}"/>
    <cellStyle name="Ênfase4 2" xfId="27" xr:uid="{C07D7563-8917-455E-BE1D-245FAE0BFF62}"/>
    <cellStyle name="Ênfase5 2" xfId="28" xr:uid="{A1195B72-FB14-4039-98F8-DA8927B99A4D}"/>
    <cellStyle name="Ênfase6 2" xfId="29" xr:uid="{E0F06BE3-274F-4E09-9B0E-D88608F749F0}"/>
    <cellStyle name="Entrada 2" xfId="30" xr:uid="{2FE8FC23-00B0-49CD-A76D-D03ADDD963E5}"/>
    <cellStyle name="Normal" xfId="0" builtinId="0"/>
    <cellStyle name="Normal 2" xfId="31" xr:uid="{E3E4ED09-C2A2-4B41-8253-C7CD24EC6B44}"/>
    <cellStyle name="Normal 2 2" xfId="32" xr:uid="{D3145394-63FD-4B11-8873-02A33D4FCED5}"/>
    <cellStyle name="Normal 3" xfId="33" xr:uid="{1C6257E5-B074-41E1-8E46-A17AFE78D4A1}"/>
    <cellStyle name="Normal 4" xfId="1" xr:uid="{B5529572-F03A-4E3F-9C77-74D69B533DFE}"/>
    <cellStyle name="Nota 2" xfId="34" xr:uid="{8D7392A8-2B49-4478-8CE9-34E15DCFF104}"/>
    <cellStyle name="Saída 2" xfId="35" xr:uid="{55B23E9E-42B4-4C4A-BE9D-3EA4ECAEABEC}"/>
    <cellStyle name="Separador de milhares 2" xfId="36" xr:uid="{4BF82586-A35F-4CEE-81FE-3BEA72D20E4C}"/>
    <cellStyle name="Texto de Aviso 2" xfId="37" xr:uid="{EBF750FE-1383-4055-A9F5-A80043FF945F}"/>
    <cellStyle name="Texto Explicativo 2" xfId="38" xr:uid="{C94C5B18-4339-4FC7-ADFF-C5E5BE9ABB7E}"/>
    <cellStyle name="Título 1 2" xfId="39" xr:uid="{1E9F5536-643D-4EF7-9204-8F854E8161F5}"/>
    <cellStyle name="Título 2 2" xfId="40" xr:uid="{5D663388-E454-4CEB-B282-A84A125BC36A}"/>
    <cellStyle name="Título 3 2" xfId="41" xr:uid="{35E1AEC5-A0FB-4FE5-A7E7-1B9F8A481372}"/>
    <cellStyle name="Título 4 2" xfId="42" xr:uid="{43C21F8D-F028-4F7A-A0A2-E3520FDC3024}"/>
    <cellStyle name="Total 2" xfId="43" xr:uid="{16B7400F-2EB7-4349-AE7A-BF0F3866CE61}"/>
    <cellStyle name="Vírgula 2" xfId="44" xr:uid="{0FE89414-0414-4EB0-8CB2-F6454026E9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1097644</xdr:colOff>
      <xdr:row>0</xdr:row>
      <xdr:rowOff>36286</xdr:rowOff>
    </xdr:from>
    <xdr:to>
      <xdr:col>10</xdr:col>
      <xdr:colOff>5383</xdr:colOff>
      <xdr:row>5</xdr:row>
      <xdr:rowOff>88106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D2202DC-69E8-862D-BA01-EBC163BB7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5215" y="36286"/>
          <a:ext cx="5172467" cy="1423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279"/>
  <sheetViews>
    <sheetView tabSelected="1" topLeftCell="B1" zoomScale="99" workbookViewId="0">
      <selection activeCell="I11" sqref="I11"/>
    </sheetView>
  </sheetViews>
  <sheetFormatPr defaultColWidth="14.44140625" defaultRowHeight="14.4"/>
  <cols>
    <col min="1" max="1" width="6.77734375" style="111" customWidth="1"/>
    <col min="2" max="2" width="80" style="111" customWidth="1"/>
    <col min="3" max="3" width="9.21875" style="111" hidden="1" customWidth="1"/>
    <col min="4" max="4" width="15" style="111" customWidth="1"/>
    <col min="5" max="5" width="18.109375" style="111" customWidth="1"/>
    <col min="6" max="6" width="13.77734375" style="111" customWidth="1"/>
    <col min="7" max="7" width="22.6640625" style="111" customWidth="1"/>
    <col min="8" max="8" width="20.77734375" style="111" bestFit="1" customWidth="1"/>
    <col min="9" max="9" width="12.5546875" style="111" bestFit="1" customWidth="1"/>
    <col min="10" max="10" width="33.77734375" style="111" bestFit="1" customWidth="1"/>
    <col min="11" max="11" width="18.44140625" style="111" customWidth="1"/>
    <col min="12" max="12" width="10" style="111" customWidth="1"/>
    <col min="13" max="13" width="6" style="111" customWidth="1"/>
    <col min="14" max="14" width="8.44140625" style="111" hidden="1" customWidth="1"/>
    <col min="15" max="16" width="9" style="111" hidden="1" customWidth="1"/>
    <col min="17" max="17" width="4.21875" style="111" hidden="1" customWidth="1"/>
    <col min="18" max="18" width="11.5546875" style="111" hidden="1" customWidth="1"/>
    <col min="19" max="19" width="8.44140625" style="111" customWidth="1"/>
    <col min="20" max="20" width="9.21875" style="111" hidden="1" customWidth="1"/>
    <col min="21" max="21" width="9.5546875" style="111" hidden="1" customWidth="1"/>
    <col min="22" max="22" width="6.77734375" style="111" hidden="1" customWidth="1"/>
    <col min="23" max="28" width="8.21875" style="111" customWidth="1"/>
    <col min="29" max="29" width="4.21875" style="111" customWidth="1"/>
    <col min="30" max="30" width="8.21875" style="111" customWidth="1"/>
    <col min="31" max="16384" width="14.44140625" style="111"/>
  </cols>
  <sheetData>
    <row r="1" spans="1:30" ht="34.799999999999997" customHeight="1">
      <c r="A1" s="194" t="s">
        <v>1027</v>
      </c>
      <c r="B1" s="195"/>
      <c r="C1" s="195"/>
      <c r="D1" s="195"/>
      <c r="E1" s="195"/>
      <c r="F1" s="195"/>
      <c r="G1" s="159"/>
      <c r="H1" s="159"/>
      <c r="I1" s="159"/>
      <c r="J1" s="178"/>
      <c r="K1" s="179"/>
      <c r="L1" s="110"/>
      <c r="M1" s="110"/>
      <c r="N1" s="119"/>
      <c r="O1" s="119"/>
      <c r="P1" s="119"/>
      <c r="Q1" s="110"/>
      <c r="R1" s="119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</row>
    <row r="2" spans="1:30" ht="17.399999999999999">
      <c r="A2" s="184" t="s">
        <v>1028</v>
      </c>
      <c r="B2" s="185"/>
      <c r="C2" s="185"/>
      <c r="D2" s="185"/>
      <c r="E2" s="185"/>
      <c r="F2" s="185"/>
      <c r="G2" s="185"/>
      <c r="H2" s="185"/>
      <c r="I2" s="185"/>
      <c r="J2" s="180"/>
      <c r="K2" s="181"/>
      <c r="L2" s="110"/>
      <c r="M2" s="110"/>
      <c r="N2" s="119"/>
      <c r="O2" s="119"/>
      <c r="P2" s="119"/>
      <c r="Q2" s="110"/>
      <c r="R2" s="119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</row>
    <row r="3" spans="1:30" ht="17.399999999999999">
      <c r="A3" s="148" t="s">
        <v>613</v>
      </c>
      <c r="B3" s="149"/>
      <c r="C3" s="149"/>
      <c r="D3" s="149"/>
      <c r="E3" s="149"/>
      <c r="F3" s="149"/>
      <c r="G3" s="149"/>
      <c r="H3" s="149"/>
      <c r="I3" s="150"/>
      <c r="J3" s="180"/>
      <c r="K3" s="181"/>
      <c r="L3" s="110"/>
      <c r="M3" s="110"/>
      <c r="N3" s="119"/>
      <c r="O3" s="119"/>
      <c r="P3" s="119"/>
      <c r="Q3" s="110"/>
      <c r="R3" s="119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</row>
    <row r="4" spans="1:30" ht="17.399999999999999">
      <c r="A4" s="184" t="s">
        <v>1029</v>
      </c>
      <c r="B4" s="185"/>
      <c r="C4" s="185"/>
      <c r="D4" s="185"/>
      <c r="E4" s="185"/>
      <c r="F4" s="185"/>
      <c r="G4" s="185"/>
      <c r="H4" s="185"/>
      <c r="I4" s="150"/>
      <c r="J4" s="180"/>
      <c r="K4" s="181"/>
      <c r="L4" s="110"/>
      <c r="M4" s="110"/>
      <c r="N4" s="119"/>
      <c r="O4" s="119"/>
      <c r="P4" s="119"/>
      <c r="Q4" s="110"/>
      <c r="R4" s="119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</row>
    <row r="5" spans="1:30" ht="17.399999999999999">
      <c r="A5" s="184" t="s">
        <v>1030</v>
      </c>
      <c r="B5" s="185"/>
      <c r="C5" s="185"/>
      <c r="D5" s="185"/>
      <c r="E5" s="185"/>
      <c r="F5" s="185"/>
      <c r="G5" s="185"/>
      <c r="H5" s="185"/>
      <c r="I5" s="185"/>
      <c r="J5" s="180"/>
      <c r="K5" s="181"/>
      <c r="L5" s="110"/>
      <c r="M5" s="110"/>
      <c r="N5" s="119"/>
      <c r="O5" s="119"/>
      <c r="P5" s="119"/>
      <c r="Q5" s="110"/>
      <c r="R5" s="119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</row>
    <row r="6" spans="1:30" ht="17.399999999999999">
      <c r="A6" s="184" t="s">
        <v>1031</v>
      </c>
      <c r="B6" s="185"/>
      <c r="C6" s="185"/>
      <c r="D6" s="185"/>
      <c r="E6" s="185"/>
      <c r="F6" s="185"/>
      <c r="G6" s="185"/>
      <c r="H6" s="185"/>
      <c r="I6" s="185"/>
      <c r="J6" s="180"/>
      <c r="K6" s="181"/>
      <c r="L6" s="110"/>
      <c r="M6" s="110"/>
      <c r="N6" s="119"/>
      <c r="O6" s="119"/>
      <c r="P6" s="119"/>
      <c r="Q6" s="110"/>
      <c r="R6" s="119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</row>
    <row r="7" spans="1:30" ht="17.399999999999999">
      <c r="A7" s="184" t="s">
        <v>1032</v>
      </c>
      <c r="B7" s="185"/>
      <c r="C7" s="185"/>
      <c r="D7" s="185"/>
      <c r="E7" s="185"/>
      <c r="F7" s="185"/>
      <c r="G7" s="185"/>
      <c r="H7" s="185"/>
      <c r="I7" s="185"/>
      <c r="J7" s="180"/>
      <c r="K7" s="181"/>
      <c r="L7" s="110"/>
      <c r="M7" s="110"/>
      <c r="N7" s="119"/>
      <c r="O7" s="119"/>
      <c r="P7" s="119"/>
      <c r="Q7" s="110"/>
      <c r="R7" s="119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</row>
    <row r="8" spans="1:30" ht="18" thickBot="1">
      <c r="A8" s="186" t="s">
        <v>1033</v>
      </c>
      <c r="B8" s="187"/>
      <c r="C8" s="187"/>
      <c r="D8" s="187"/>
      <c r="E8" s="187"/>
      <c r="F8" s="187"/>
      <c r="G8" s="187"/>
      <c r="H8" s="187"/>
      <c r="I8" s="187"/>
      <c r="J8" s="182"/>
      <c r="K8" s="183"/>
      <c r="L8" s="110"/>
      <c r="M8" s="110"/>
      <c r="N8" s="119"/>
      <c r="O8" s="119"/>
      <c r="P8" s="119"/>
      <c r="Q8" s="110"/>
      <c r="R8" s="119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</row>
    <row r="9" spans="1:30">
      <c r="A9" s="191" t="s">
        <v>1</v>
      </c>
      <c r="B9" s="193" t="s">
        <v>121</v>
      </c>
      <c r="C9" s="191" t="s">
        <v>122</v>
      </c>
      <c r="D9" s="188" t="s">
        <v>6</v>
      </c>
      <c r="E9" s="189"/>
      <c r="F9" s="189"/>
      <c r="G9" s="190"/>
      <c r="H9" s="188" t="s">
        <v>611</v>
      </c>
      <c r="I9" s="189"/>
      <c r="J9" s="189"/>
      <c r="K9" s="190"/>
      <c r="L9" s="120"/>
      <c r="M9" s="121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2"/>
      <c r="Z9" s="122"/>
      <c r="AA9" s="122"/>
      <c r="AB9" s="122"/>
      <c r="AC9" s="122"/>
      <c r="AD9" s="122"/>
    </row>
    <row r="10" spans="1:30" ht="26.4">
      <c r="A10" s="192"/>
      <c r="B10" s="192"/>
      <c r="C10" s="192"/>
      <c r="D10" s="10" t="s">
        <v>123</v>
      </c>
      <c r="E10" s="10" t="s">
        <v>124</v>
      </c>
      <c r="F10" s="10" t="s">
        <v>125</v>
      </c>
      <c r="G10" s="10" t="s">
        <v>126</v>
      </c>
      <c r="H10" s="10" t="s">
        <v>127</v>
      </c>
      <c r="I10" s="11" t="s">
        <v>128</v>
      </c>
      <c r="J10" s="11" t="s">
        <v>129</v>
      </c>
      <c r="K10" s="11" t="s">
        <v>130</v>
      </c>
      <c r="L10" s="120"/>
      <c r="M10" s="123"/>
      <c r="N10" s="120"/>
      <c r="O10" s="120"/>
      <c r="P10" s="120"/>
      <c r="Q10" s="120"/>
      <c r="R10" s="120"/>
      <c r="S10" s="120"/>
      <c r="T10" s="123">
        <f>T11/I11</f>
        <v>1.3087141222824537E-2</v>
      </c>
      <c r="U10" s="123">
        <f>U11/I11</f>
        <v>1.2911079091668436E-2</v>
      </c>
      <c r="V10" s="123">
        <f t="shared" ref="V10:V11" si="0">U10-T10</f>
        <v>-1.76062131156101E-4</v>
      </c>
      <c r="W10" s="120"/>
      <c r="X10" s="120"/>
      <c r="Y10" s="122"/>
      <c r="Z10" s="122"/>
      <c r="AA10" s="122"/>
      <c r="AB10" s="122"/>
      <c r="AC10" s="122"/>
      <c r="AD10" s="122"/>
    </row>
    <row r="11" spans="1:30" ht="14.55" customHeight="1">
      <c r="A11" s="176" t="s">
        <v>593</v>
      </c>
      <c r="B11" s="177"/>
      <c r="C11" s="10"/>
      <c r="D11" s="10"/>
      <c r="E11" s="10"/>
      <c r="F11" s="10"/>
      <c r="G11" s="10"/>
      <c r="H11" s="10"/>
      <c r="I11" s="12">
        <f>SUM(I12+I17+I22+I32+I39+I47+I57+I61+I69+I270+I71+I75+I79+I81+I88+I92+I95+I104+I115+I119+I126+I175+I215+I239+I246+I255+I264+0.03)</f>
        <v>912926.01619999995</v>
      </c>
      <c r="J11" s="12">
        <f>K11-I11</f>
        <v>-160.73170000000391</v>
      </c>
      <c r="K11" s="12">
        <f>K12+K17+K22+K32+K39+K47+K57+K61+K69+K270+K71+K75+K79+K81+K88+K92+K95+K104+K115+K119+K126+K175+K215+K239+K246+K255+K264+0.03</f>
        <v>912765.28449999995</v>
      </c>
      <c r="L11" s="124"/>
      <c r="M11" s="124"/>
      <c r="N11" s="125"/>
      <c r="O11" s="126">
        <f>J11/K11</f>
        <v>-1.7609313448862211E-4</v>
      </c>
      <c r="P11" s="119"/>
      <c r="Q11" s="110"/>
      <c r="R11" s="119"/>
      <c r="S11" s="124"/>
      <c r="T11" s="127">
        <f>SUM(T13:T274)</f>
        <v>11947.591700000001</v>
      </c>
      <c r="U11" s="127">
        <f>SUM(U13:U274)</f>
        <v>11786.859999999979</v>
      </c>
      <c r="V11" s="128">
        <f t="shared" si="0"/>
        <v>-160.7317000000221</v>
      </c>
      <c r="W11" s="110"/>
      <c r="X11" s="110"/>
      <c r="Y11" s="110"/>
      <c r="Z11" s="110"/>
      <c r="AA11" s="110"/>
      <c r="AB11" s="110"/>
      <c r="AC11" s="110"/>
      <c r="AD11" s="110"/>
    </row>
    <row r="12" spans="1:30">
      <c r="A12" s="13">
        <v>1</v>
      </c>
      <c r="B12" s="14" t="s">
        <v>10</v>
      </c>
      <c r="C12" s="13"/>
      <c r="D12" s="13"/>
      <c r="E12" s="13"/>
      <c r="F12" s="13"/>
      <c r="G12" s="13"/>
      <c r="H12" s="13"/>
      <c r="I12" s="15">
        <f>SUM(I13:I16)</f>
        <v>18051.880100000002</v>
      </c>
      <c r="J12" s="15">
        <f>SUM(J13:J16)</f>
        <v>-160.7317000000221</v>
      </c>
      <c r="K12" s="15">
        <f>SUM(K13:K16)</f>
        <v>17891.14839999998</v>
      </c>
      <c r="L12" s="110"/>
      <c r="M12" s="129"/>
      <c r="N12" s="126" t="s">
        <v>131</v>
      </c>
      <c r="O12" s="119" t="s">
        <v>132</v>
      </c>
      <c r="P12" s="119" t="s">
        <v>133</v>
      </c>
      <c r="Q12" s="110"/>
      <c r="R12" s="119"/>
      <c r="S12" s="110"/>
      <c r="T12" s="110" t="s">
        <v>134</v>
      </c>
      <c r="U12" s="110" t="s">
        <v>135</v>
      </c>
      <c r="V12" s="110"/>
      <c r="W12" s="110"/>
      <c r="X12" s="110"/>
      <c r="Y12" s="110"/>
      <c r="Z12" s="110"/>
      <c r="AA12" s="110"/>
      <c r="AB12" s="110"/>
      <c r="AC12" s="110"/>
      <c r="AD12" s="110"/>
    </row>
    <row r="13" spans="1:30">
      <c r="A13" s="16" t="s">
        <v>11</v>
      </c>
      <c r="B13" s="17" t="s">
        <v>614</v>
      </c>
      <c r="C13" s="16" t="s">
        <v>15</v>
      </c>
      <c r="D13" s="18">
        <v>1</v>
      </c>
      <c r="E13" s="18"/>
      <c r="F13" s="18"/>
      <c r="G13" s="18">
        <f t="shared" ref="G13:G16" si="1">D13+E13-F13</f>
        <v>1</v>
      </c>
      <c r="H13" s="18">
        <v>187.44</v>
      </c>
      <c r="I13" s="19">
        <f>D13*H13</f>
        <v>187.44</v>
      </c>
      <c r="J13" s="19">
        <f>K13-I13</f>
        <v>0</v>
      </c>
      <c r="K13" s="19">
        <f t="shared" ref="K13:M16" si="2">G13*H13</f>
        <v>187.44</v>
      </c>
      <c r="L13" s="110"/>
      <c r="M13" s="110"/>
      <c r="N13" s="130">
        <f t="shared" ref="N13:N16" si="3">(O13)/P13</f>
        <v>5.6261931347476861E-2</v>
      </c>
      <c r="O13" s="131">
        <f t="shared" ref="O13:O16" si="4">I13</f>
        <v>187.44</v>
      </c>
      <c r="P13" s="131">
        <f>Comparativo!K7</f>
        <v>3331.56</v>
      </c>
      <c r="Q13" s="110"/>
      <c r="R13" s="126">
        <f t="shared" ref="R13:R16" si="5">N13-1</f>
        <v>-0.94373806865252319</v>
      </c>
      <c r="S13" s="110"/>
      <c r="T13" s="132">
        <f t="shared" ref="T13:T16" si="6">F13*H13</f>
        <v>0</v>
      </c>
      <c r="U13" s="132">
        <f t="shared" ref="U13:U16" si="7">E13*H13</f>
        <v>0</v>
      </c>
      <c r="V13" s="110"/>
      <c r="W13" s="110"/>
      <c r="X13" s="110"/>
      <c r="Y13" s="110"/>
      <c r="Z13" s="110"/>
      <c r="AA13" s="110"/>
      <c r="AB13" s="110"/>
      <c r="AC13" s="110"/>
      <c r="AD13" s="110"/>
    </row>
    <row r="14" spans="1:30" ht="26.4">
      <c r="A14" s="16" t="s">
        <v>16</v>
      </c>
      <c r="B14" s="17" t="s">
        <v>617</v>
      </c>
      <c r="C14" s="16" t="s">
        <v>19</v>
      </c>
      <c r="D14" s="18">
        <v>12.43</v>
      </c>
      <c r="E14" s="18"/>
      <c r="F14" s="18">
        <v>12.43</v>
      </c>
      <c r="G14" s="18">
        <f t="shared" si="1"/>
        <v>0</v>
      </c>
      <c r="H14" s="18">
        <v>961.19</v>
      </c>
      <c r="I14" s="19">
        <f t="shared" ref="I14:I16" si="8">D14*H14</f>
        <v>11947.591700000001</v>
      </c>
      <c r="J14" s="19">
        <f>K14-I14</f>
        <v>-11947.591700000001</v>
      </c>
      <c r="K14" s="19">
        <f>G14*H14</f>
        <v>0</v>
      </c>
      <c r="L14" s="110"/>
      <c r="M14" s="110"/>
      <c r="N14" s="130">
        <f t="shared" si="3"/>
        <v>166.51695749128922</v>
      </c>
      <c r="O14" s="131">
        <f t="shared" si="4"/>
        <v>11947.591700000001</v>
      </c>
      <c r="P14" s="131">
        <f>Comparativo!K8</f>
        <v>71.75</v>
      </c>
      <c r="Q14" s="110"/>
      <c r="R14" s="126">
        <f t="shared" si="5"/>
        <v>165.51695749128922</v>
      </c>
      <c r="S14" s="110"/>
      <c r="T14" s="132">
        <f t="shared" si="6"/>
        <v>11947.591700000001</v>
      </c>
      <c r="U14" s="132">
        <f t="shared" si="7"/>
        <v>0</v>
      </c>
      <c r="V14" s="110"/>
      <c r="W14" s="110"/>
      <c r="X14" s="110"/>
      <c r="Y14" s="110"/>
      <c r="Z14" s="110"/>
      <c r="AA14" s="110"/>
      <c r="AB14" s="110"/>
      <c r="AC14" s="110"/>
      <c r="AD14" s="110"/>
    </row>
    <row r="15" spans="1:30">
      <c r="A15" s="16" t="s">
        <v>16</v>
      </c>
      <c r="B15" s="17" t="s">
        <v>615</v>
      </c>
      <c r="C15" s="16" t="s">
        <v>23</v>
      </c>
      <c r="D15" s="7"/>
      <c r="E15" s="18">
        <v>27.3644</v>
      </c>
      <c r="F15" s="18"/>
      <c r="G15" s="18">
        <f t="shared" si="1"/>
        <v>27.3644</v>
      </c>
      <c r="H15" s="18">
        <v>430.73701597696203</v>
      </c>
      <c r="I15" s="19">
        <f t="shared" si="8"/>
        <v>0</v>
      </c>
      <c r="J15" s="19">
        <f t="shared" ref="J14:L16" si="9">K15-I15</f>
        <v>11786.859999999979</v>
      </c>
      <c r="K15" s="19">
        <f t="shared" si="2"/>
        <v>11786.859999999979</v>
      </c>
      <c r="L15" s="110"/>
      <c r="M15" s="110"/>
      <c r="N15" s="130">
        <f t="shared" si="3"/>
        <v>0</v>
      </c>
      <c r="O15" s="131">
        <f t="shared" si="4"/>
        <v>0</v>
      </c>
      <c r="P15" s="131">
        <f>Comparativo!K9</f>
        <v>1798.6080000000002</v>
      </c>
      <c r="Q15" s="110"/>
      <c r="R15" s="126">
        <f t="shared" si="5"/>
        <v>-1</v>
      </c>
      <c r="S15" s="110"/>
      <c r="T15" s="132">
        <f t="shared" si="6"/>
        <v>0</v>
      </c>
      <c r="U15" s="132">
        <f t="shared" si="7"/>
        <v>11786.859999999979</v>
      </c>
      <c r="V15" s="110"/>
      <c r="W15" s="110"/>
      <c r="X15" s="110"/>
      <c r="Y15" s="110"/>
      <c r="Z15" s="110"/>
      <c r="AA15" s="110"/>
      <c r="AB15" s="110"/>
      <c r="AC15" s="110"/>
      <c r="AD15" s="110"/>
    </row>
    <row r="16" spans="1:30" ht="26.4">
      <c r="A16" s="16" t="s">
        <v>24</v>
      </c>
      <c r="B16" s="17" t="s">
        <v>616</v>
      </c>
      <c r="C16" s="16" t="s">
        <v>23</v>
      </c>
      <c r="D16" s="18">
        <v>101.16</v>
      </c>
      <c r="E16" s="18"/>
      <c r="F16" s="18"/>
      <c r="G16" s="18">
        <f t="shared" si="1"/>
        <v>101.16</v>
      </c>
      <c r="H16" s="18">
        <v>58.49</v>
      </c>
      <c r="I16" s="19">
        <f t="shared" si="8"/>
        <v>5916.8483999999999</v>
      </c>
      <c r="J16" s="19">
        <f t="shared" si="9"/>
        <v>0</v>
      </c>
      <c r="K16" s="19">
        <f t="shared" si="2"/>
        <v>5916.8483999999999</v>
      </c>
      <c r="L16" s="110"/>
      <c r="M16" s="110"/>
      <c r="N16" s="130">
        <f t="shared" si="3"/>
        <v>2.8644023414438609</v>
      </c>
      <c r="O16" s="131">
        <f t="shared" si="4"/>
        <v>5916.8483999999999</v>
      </c>
      <c r="P16" s="131">
        <f>Comparativo!K10</f>
        <v>2065.6485000000002</v>
      </c>
      <c r="Q16" s="110"/>
      <c r="R16" s="126">
        <f t="shared" si="5"/>
        <v>1.8644023414438609</v>
      </c>
      <c r="S16" s="110"/>
      <c r="T16" s="132">
        <f t="shared" si="6"/>
        <v>0</v>
      </c>
      <c r="U16" s="132">
        <f t="shared" si="7"/>
        <v>0</v>
      </c>
      <c r="V16" s="110"/>
      <c r="W16" s="110"/>
      <c r="X16" s="110"/>
      <c r="Y16" s="110"/>
      <c r="Z16" s="110"/>
      <c r="AA16" s="110"/>
      <c r="AB16" s="110"/>
      <c r="AC16" s="110"/>
      <c r="AD16" s="110"/>
    </row>
    <row r="17" spans="1:30">
      <c r="A17" s="13">
        <v>2</v>
      </c>
      <c r="B17" s="14" t="s">
        <v>618</v>
      </c>
      <c r="C17" s="13"/>
      <c r="D17" s="13"/>
      <c r="E17" s="13"/>
      <c r="F17" s="13"/>
      <c r="G17" s="13"/>
      <c r="H17" s="13"/>
      <c r="I17" s="15">
        <f>SUM(I18:I21)</f>
        <v>12961.5519</v>
      </c>
      <c r="J17" s="15">
        <f>SUM(J18:J21)</f>
        <v>0</v>
      </c>
      <c r="K17" s="15">
        <f>SUM(K18:K21)</f>
        <v>12961.5519</v>
      </c>
      <c r="L17" s="110"/>
      <c r="M17" s="110"/>
      <c r="N17" s="133"/>
      <c r="O17" s="133"/>
      <c r="P17" s="133"/>
      <c r="Q17" s="110"/>
      <c r="R17" s="126"/>
      <c r="S17" s="110"/>
      <c r="T17" s="132"/>
      <c r="U17" s="132"/>
      <c r="V17" s="110"/>
      <c r="W17" s="110"/>
      <c r="X17" s="110"/>
      <c r="Y17" s="110"/>
      <c r="Z17" s="110"/>
      <c r="AA17" s="110"/>
      <c r="AB17" s="110"/>
      <c r="AC17" s="110"/>
      <c r="AD17" s="110"/>
    </row>
    <row r="18" spans="1:30">
      <c r="A18" s="16" t="s">
        <v>33</v>
      </c>
      <c r="B18" s="17" t="s">
        <v>619</v>
      </c>
      <c r="C18" s="16" t="s">
        <v>15</v>
      </c>
      <c r="D18" s="18">
        <v>136.71</v>
      </c>
      <c r="E18" s="18"/>
      <c r="F18" s="18"/>
      <c r="G18" s="18">
        <f t="shared" ref="G18:G21" si="10">D18+E18-F18</f>
        <v>136.71</v>
      </c>
      <c r="H18" s="18">
        <v>27.19</v>
      </c>
      <c r="I18" s="19">
        <f t="shared" ref="I18:I21" si="11">D18*H18</f>
        <v>3717.1449000000002</v>
      </c>
      <c r="J18" s="19">
        <f>K18-I18</f>
        <v>0</v>
      </c>
      <c r="K18" s="19">
        <f t="shared" ref="K18:K21" si="12">G18*H18</f>
        <v>3717.1449000000002</v>
      </c>
      <c r="L18" s="110"/>
      <c r="M18" s="110"/>
      <c r="N18" s="130">
        <f t="shared" ref="N18:N21" si="13">(O18)/P18</f>
        <v>34.851718609360944</v>
      </c>
      <c r="O18" s="131">
        <f t="shared" ref="O18:O21" si="14">I18</f>
        <v>3717.1449000000002</v>
      </c>
      <c r="P18" s="131">
        <f>Comparativo!K13</f>
        <v>106.65599999999999</v>
      </c>
      <c r="Q18" s="110"/>
      <c r="R18" s="126">
        <f t="shared" ref="R18:R21" si="15">N18-1</f>
        <v>33.851718609360944</v>
      </c>
      <c r="S18" s="110"/>
      <c r="T18" s="132">
        <f t="shared" ref="T18:T21" si="16">F18*H18</f>
        <v>0</v>
      </c>
      <c r="U18" s="132">
        <f t="shared" ref="U18:U21" si="17">E18*H18</f>
        <v>0</v>
      </c>
      <c r="V18" s="110"/>
      <c r="W18" s="110"/>
      <c r="X18" s="110"/>
      <c r="Y18" s="110"/>
      <c r="Z18" s="110"/>
      <c r="AA18" s="110"/>
      <c r="AB18" s="110"/>
      <c r="AC18" s="110"/>
      <c r="AD18" s="110"/>
    </row>
    <row r="19" spans="1:30" ht="26.4">
      <c r="A19" s="16" t="s">
        <v>36</v>
      </c>
      <c r="B19" s="17" t="s">
        <v>620</v>
      </c>
      <c r="C19" s="16"/>
      <c r="D19" s="18">
        <v>72.61</v>
      </c>
      <c r="E19" s="18"/>
      <c r="F19" s="18"/>
      <c r="G19" s="18">
        <f t="shared" si="10"/>
        <v>72.61</v>
      </c>
      <c r="H19" s="18">
        <v>72.97</v>
      </c>
      <c r="I19" s="19">
        <f t="shared" si="11"/>
        <v>5298.3517000000002</v>
      </c>
      <c r="J19" s="19">
        <f t="shared" ref="J19:J21" si="18">K19-I19</f>
        <v>0</v>
      </c>
      <c r="K19" s="19">
        <f t="shared" si="12"/>
        <v>5298.3517000000002</v>
      </c>
      <c r="L19" s="110"/>
      <c r="M19" s="110"/>
      <c r="N19" s="130"/>
      <c r="O19" s="131">
        <f t="shared" si="14"/>
        <v>5298.3517000000002</v>
      </c>
      <c r="P19" s="131"/>
      <c r="Q19" s="110"/>
      <c r="R19" s="126"/>
      <c r="S19" s="110"/>
      <c r="T19" s="132">
        <f t="shared" si="16"/>
        <v>0</v>
      </c>
      <c r="U19" s="132">
        <f t="shared" si="17"/>
        <v>0</v>
      </c>
      <c r="V19" s="110"/>
      <c r="W19" s="110"/>
      <c r="X19" s="110"/>
      <c r="Y19" s="110"/>
      <c r="Z19" s="110"/>
      <c r="AA19" s="110"/>
      <c r="AB19" s="110"/>
      <c r="AC19" s="110"/>
      <c r="AD19" s="110"/>
    </row>
    <row r="20" spans="1:30">
      <c r="A20" s="16" t="s">
        <v>39</v>
      </c>
      <c r="B20" s="17" t="s">
        <v>619</v>
      </c>
      <c r="C20" s="16"/>
      <c r="D20" s="18">
        <v>54.55</v>
      </c>
      <c r="E20" s="18"/>
      <c r="F20" s="18"/>
      <c r="G20" s="18">
        <f t="shared" si="10"/>
        <v>54.55</v>
      </c>
      <c r="H20" s="18">
        <v>27.19</v>
      </c>
      <c r="I20" s="19">
        <f t="shared" si="11"/>
        <v>1483.2145</v>
      </c>
      <c r="J20" s="19">
        <f t="shared" si="18"/>
        <v>0</v>
      </c>
      <c r="K20" s="19">
        <f t="shared" si="12"/>
        <v>1483.2145</v>
      </c>
      <c r="L20" s="110"/>
      <c r="M20" s="110"/>
      <c r="N20" s="130"/>
      <c r="O20" s="131"/>
      <c r="P20" s="131"/>
      <c r="Q20" s="110"/>
      <c r="R20" s="126"/>
      <c r="S20" s="110"/>
      <c r="T20" s="132"/>
      <c r="U20" s="132"/>
      <c r="V20" s="110"/>
      <c r="W20" s="110"/>
      <c r="X20" s="110"/>
      <c r="Y20" s="110"/>
      <c r="Z20" s="110"/>
      <c r="AA20" s="110"/>
      <c r="AB20" s="110"/>
      <c r="AC20" s="110"/>
      <c r="AD20" s="110"/>
    </row>
    <row r="21" spans="1:30">
      <c r="A21" s="16" t="s">
        <v>610</v>
      </c>
      <c r="B21" s="17" t="s">
        <v>621</v>
      </c>
      <c r="C21" s="16" t="s">
        <v>19</v>
      </c>
      <c r="D21" s="18">
        <v>55.67</v>
      </c>
      <c r="E21" s="18"/>
      <c r="F21" s="18"/>
      <c r="G21" s="18">
        <f t="shared" si="10"/>
        <v>55.67</v>
      </c>
      <c r="H21" s="18">
        <v>44.24</v>
      </c>
      <c r="I21" s="19">
        <f t="shared" si="11"/>
        <v>2462.8408000000004</v>
      </c>
      <c r="J21" s="19">
        <f t="shared" si="18"/>
        <v>0</v>
      </c>
      <c r="K21" s="19">
        <f t="shared" si="12"/>
        <v>2462.8408000000004</v>
      </c>
      <c r="L21" s="110"/>
      <c r="M21" s="110"/>
      <c r="N21" s="130">
        <f t="shared" si="13"/>
        <v>8.0250536015692724</v>
      </c>
      <c r="O21" s="131">
        <f t="shared" si="14"/>
        <v>2462.8408000000004</v>
      </c>
      <c r="P21" s="131">
        <f>Comparativo!K15</f>
        <v>306.89400000000001</v>
      </c>
      <c r="Q21" s="110"/>
      <c r="R21" s="126">
        <f t="shared" si="15"/>
        <v>7.0250536015692724</v>
      </c>
      <c r="S21" s="110"/>
      <c r="T21" s="132">
        <f t="shared" si="16"/>
        <v>0</v>
      </c>
      <c r="U21" s="132">
        <f t="shared" si="17"/>
        <v>0</v>
      </c>
      <c r="V21" s="110"/>
      <c r="W21" s="110"/>
      <c r="X21" s="110"/>
      <c r="Y21" s="110"/>
      <c r="Z21" s="110"/>
      <c r="AA21" s="110"/>
      <c r="AB21" s="110"/>
      <c r="AC21" s="110"/>
      <c r="AD21" s="110"/>
    </row>
    <row r="22" spans="1:30">
      <c r="A22" s="13">
        <v>3</v>
      </c>
      <c r="B22" s="14" t="s">
        <v>622</v>
      </c>
      <c r="C22" s="13"/>
      <c r="D22" s="13"/>
      <c r="E22" s="13"/>
      <c r="F22" s="13"/>
      <c r="G22" s="13"/>
      <c r="H22" s="13"/>
      <c r="I22" s="15">
        <f>SUM(I23:I31)</f>
        <v>37991.854199999994</v>
      </c>
      <c r="J22" s="15">
        <f>SUM(J23:J29)</f>
        <v>0</v>
      </c>
      <c r="K22" s="15">
        <f>SUM(K23:K31)</f>
        <v>37991.854199999994</v>
      </c>
      <c r="L22" s="110"/>
      <c r="M22" s="110"/>
      <c r="N22" s="133"/>
      <c r="O22" s="133"/>
      <c r="P22" s="133"/>
      <c r="Q22" s="110"/>
      <c r="R22" s="126"/>
      <c r="S22" s="110"/>
      <c r="T22" s="132"/>
      <c r="U22" s="132"/>
      <c r="V22" s="110"/>
      <c r="W22" s="110"/>
      <c r="X22" s="110"/>
      <c r="Y22" s="110"/>
      <c r="Z22" s="110"/>
      <c r="AA22" s="110"/>
      <c r="AB22" s="110"/>
      <c r="AC22" s="110"/>
      <c r="AD22" s="110"/>
    </row>
    <row r="23" spans="1:30" ht="26.4">
      <c r="A23" s="16" t="s">
        <v>44</v>
      </c>
      <c r="B23" s="17" t="s">
        <v>623</v>
      </c>
      <c r="C23" s="16" t="s">
        <v>15</v>
      </c>
      <c r="D23" s="18">
        <v>1.46</v>
      </c>
      <c r="E23" s="18"/>
      <c r="F23" s="18"/>
      <c r="G23" s="18">
        <f t="shared" ref="G23:G31" si="19">D23+E23-F23</f>
        <v>1.46</v>
      </c>
      <c r="H23" s="18">
        <v>675.67</v>
      </c>
      <c r="I23" s="19">
        <f t="shared" ref="I23:I31" si="20">D23*H23</f>
        <v>986.4781999999999</v>
      </c>
      <c r="J23" s="19">
        <f t="shared" ref="J23:J31" si="21">K23-I23</f>
        <v>0</v>
      </c>
      <c r="K23" s="19">
        <f t="shared" ref="K23:K31" si="22">G23*H23</f>
        <v>986.4781999999999</v>
      </c>
      <c r="L23" s="110"/>
      <c r="M23" s="110"/>
      <c r="N23" s="130">
        <f t="shared" ref="N23:N28" si="23">(O23)/P23</f>
        <v>0.16187290748183758</v>
      </c>
      <c r="O23" s="131">
        <f t="shared" ref="O23:O28" si="24">I23</f>
        <v>986.4781999999999</v>
      </c>
      <c r="P23" s="131">
        <f>Comparativo!K17</f>
        <v>6094.1525999999994</v>
      </c>
      <c r="Q23" s="110"/>
      <c r="R23" s="126">
        <f t="shared" ref="R23:R29" si="25">N23-1</f>
        <v>-0.83812709251816242</v>
      </c>
      <c r="S23" s="110"/>
      <c r="T23" s="132">
        <f t="shared" ref="T23:T29" si="26">F23*H23</f>
        <v>0</v>
      </c>
      <c r="U23" s="132">
        <f t="shared" ref="U23:U29" si="27">E23*H23</f>
        <v>0</v>
      </c>
      <c r="V23" s="110"/>
      <c r="W23" s="110"/>
      <c r="X23" s="110"/>
      <c r="Y23" s="110"/>
      <c r="Z23" s="110"/>
      <c r="AA23" s="110"/>
      <c r="AB23" s="110"/>
      <c r="AC23" s="110"/>
      <c r="AD23" s="110"/>
    </row>
    <row r="24" spans="1:30" ht="26.4">
      <c r="A24" s="16" t="s">
        <v>47</v>
      </c>
      <c r="B24" s="17" t="s">
        <v>624</v>
      </c>
      <c r="C24" s="16" t="s">
        <v>15</v>
      </c>
      <c r="D24" s="18">
        <v>96.48</v>
      </c>
      <c r="E24" s="18"/>
      <c r="F24" s="18"/>
      <c r="G24" s="18">
        <f t="shared" si="19"/>
        <v>96.48</v>
      </c>
      <c r="H24" s="18">
        <v>196.54</v>
      </c>
      <c r="I24" s="19">
        <f t="shared" si="20"/>
        <v>18962.179199999999</v>
      </c>
      <c r="J24" s="19">
        <f t="shared" si="21"/>
        <v>0</v>
      </c>
      <c r="K24" s="19">
        <f t="shared" si="22"/>
        <v>18962.179199999999</v>
      </c>
      <c r="L24" s="110"/>
      <c r="M24" s="110"/>
      <c r="N24" s="130">
        <f t="shared" si="23"/>
        <v>15.869313480001606</v>
      </c>
      <c r="O24" s="131">
        <f t="shared" si="24"/>
        <v>18962.179199999999</v>
      </c>
      <c r="P24" s="131">
        <f>Comparativo!K18</f>
        <v>1194.896</v>
      </c>
      <c r="Q24" s="110"/>
      <c r="R24" s="126">
        <f t="shared" si="25"/>
        <v>14.869313480001606</v>
      </c>
      <c r="S24" s="110"/>
      <c r="T24" s="132">
        <f t="shared" si="26"/>
        <v>0</v>
      </c>
      <c r="U24" s="132">
        <f t="shared" si="27"/>
        <v>0</v>
      </c>
      <c r="V24" s="110"/>
      <c r="W24" s="110"/>
      <c r="X24" s="110"/>
      <c r="Y24" s="110"/>
      <c r="Z24" s="110"/>
      <c r="AA24" s="110"/>
      <c r="AB24" s="110"/>
      <c r="AC24" s="110"/>
      <c r="AD24" s="110"/>
    </row>
    <row r="25" spans="1:30" ht="26.4">
      <c r="A25" s="16" t="s">
        <v>50</v>
      </c>
      <c r="B25" s="17" t="s">
        <v>625</v>
      </c>
      <c r="C25" s="16" t="s">
        <v>15</v>
      </c>
      <c r="D25" s="18">
        <v>10.06</v>
      </c>
      <c r="E25" s="18"/>
      <c r="F25" s="18"/>
      <c r="G25" s="18">
        <f t="shared" si="19"/>
        <v>10.06</v>
      </c>
      <c r="H25" s="18">
        <v>553.34</v>
      </c>
      <c r="I25" s="19">
        <f t="shared" si="20"/>
        <v>5566.6004000000003</v>
      </c>
      <c r="J25" s="19">
        <f t="shared" si="21"/>
        <v>0</v>
      </c>
      <c r="K25" s="19">
        <f t="shared" si="22"/>
        <v>5566.6004000000003</v>
      </c>
      <c r="L25" s="110"/>
      <c r="M25" s="110"/>
      <c r="N25" s="130">
        <f t="shared" si="23"/>
        <v>1.3246383039985912</v>
      </c>
      <c r="O25" s="131">
        <f t="shared" si="24"/>
        <v>5566.6004000000003</v>
      </c>
      <c r="P25" s="131">
        <f>Comparativo!K19</f>
        <v>4202.3550000000005</v>
      </c>
      <c r="Q25" s="110"/>
      <c r="R25" s="126">
        <f t="shared" si="25"/>
        <v>0.32463830399859117</v>
      </c>
      <c r="S25" s="110"/>
      <c r="T25" s="132">
        <f t="shared" si="26"/>
        <v>0</v>
      </c>
      <c r="U25" s="132">
        <f t="shared" si="27"/>
        <v>0</v>
      </c>
      <c r="V25" s="110"/>
      <c r="W25" s="110"/>
      <c r="X25" s="110"/>
      <c r="Y25" s="110"/>
      <c r="Z25" s="110"/>
      <c r="AA25" s="110"/>
      <c r="AB25" s="110"/>
      <c r="AC25" s="110"/>
      <c r="AD25" s="110"/>
    </row>
    <row r="26" spans="1:30" ht="26.4">
      <c r="A26" s="16" t="s">
        <v>53</v>
      </c>
      <c r="B26" s="17" t="s">
        <v>626</v>
      </c>
      <c r="C26" s="16" t="s">
        <v>15</v>
      </c>
      <c r="D26" s="18">
        <v>10.06</v>
      </c>
      <c r="E26" s="18"/>
      <c r="F26" s="18"/>
      <c r="G26" s="18">
        <f t="shared" si="19"/>
        <v>10.06</v>
      </c>
      <c r="H26" s="18">
        <v>252.24</v>
      </c>
      <c r="I26" s="19">
        <f t="shared" si="20"/>
        <v>2537.5344</v>
      </c>
      <c r="J26" s="19">
        <f t="shared" si="21"/>
        <v>0</v>
      </c>
      <c r="K26" s="19">
        <f t="shared" si="22"/>
        <v>2537.5344</v>
      </c>
      <c r="L26" s="110"/>
      <c r="M26" s="110"/>
      <c r="N26" s="130">
        <f t="shared" si="23"/>
        <v>18.257954964081783</v>
      </c>
      <c r="O26" s="131">
        <f t="shared" si="24"/>
        <v>2537.5344</v>
      </c>
      <c r="P26" s="131">
        <f>Comparativo!K20</f>
        <v>138.98240000000001</v>
      </c>
      <c r="Q26" s="110"/>
      <c r="R26" s="126">
        <f t="shared" si="25"/>
        <v>17.257954964081783</v>
      </c>
      <c r="S26" s="110"/>
      <c r="T26" s="132">
        <f t="shared" si="26"/>
        <v>0</v>
      </c>
      <c r="U26" s="132">
        <f t="shared" si="27"/>
        <v>0</v>
      </c>
      <c r="V26" s="110"/>
      <c r="W26" s="110"/>
      <c r="X26" s="110"/>
      <c r="Y26" s="110"/>
      <c r="Z26" s="110"/>
      <c r="AA26" s="110"/>
      <c r="AB26" s="110"/>
      <c r="AC26" s="110"/>
      <c r="AD26" s="110"/>
    </row>
    <row r="27" spans="1:30" ht="26.4">
      <c r="A27" s="16" t="s">
        <v>56</v>
      </c>
      <c r="B27" s="17" t="s">
        <v>627</v>
      </c>
      <c r="C27" s="16"/>
      <c r="D27" s="18">
        <v>241</v>
      </c>
      <c r="E27" s="18"/>
      <c r="F27" s="18"/>
      <c r="G27" s="18">
        <f t="shared" si="19"/>
        <v>241</v>
      </c>
      <c r="H27" s="18">
        <v>18.82</v>
      </c>
      <c r="I27" s="19">
        <f t="shared" si="20"/>
        <v>4535.62</v>
      </c>
      <c r="J27" s="19">
        <f t="shared" si="21"/>
        <v>0</v>
      </c>
      <c r="K27" s="19">
        <f t="shared" si="22"/>
        <v>4535.62</v>
      </c>
      <c r="L27" s="110"/>
      <c r="M27" s="110"/>
      <c r="N27" s="130"/>
      <c r="O27" s="131">
        <f t="shared" si="24"/>
        <v>4535.62</v>
      </c>
      <c r="P27" s="131"/>
      <c r="Q27" s="110"/>
      <c r="R27" s="126"/>
      <c r="S27" s="110"/>
      <c r="T27" s="132"/>
      <c r="U27" s="132"/>
      <c r="V27" s="110"/>
      <c r="W27" s="110"/>
      <c r="X27" s="110"/>
      <c r="Y27" s="110"/>
      <c r="Z27" s="110"/>
      <c r="AA27" s="110"/>
      <c r="AB27" s="110"/>
      <c r="AC27" s="110"/>
      <c r="AD27" s="110"/>
    </row>
    <row r="28" spans="1:30" ht="26.4">
      <c r="A28" s="16" t="s">
        <v>596</v>
      </c>
      <c r="B28" s="17" t="s">
        <v>628</v>
      </c>
      <c r="C28" s="16" t="s">
        <v>15</v>
      </c>
      <c r="D28" s="18">
        <v>235.2</v>
      </c>
      <c r="E28" s="18"/>
      <c r="F28" s="18"/>
      <c r="G28" s="18">
        <f t="shared" si="19"/>
        <v>235.2</v>
      </c>
      <c r="H28" s="18">
        <v>16.04</v>
      </c>
      <c r="I28" s="19">
        <f t="shared" si="20"/>
        <v>3772.6079999999997</v>
      </c>
      <c r="J28" s="19">
        <f t="shared" si="21"/>
        <v>0</v>
      </c>
      <c r="K28" s="19">
        <f t="shared" si="22"/>
        <v>3772.6079999999997</v>
      </c>
      <c r="L28" s="110"/>
      <c r="M28" s="110"/>
      <c r="N28" s="130">
        <f t="shared" si="23"/>
        <v>24.564704411557869</v>
      </c>
      <c r="O28" s="131">
        <f t="shared" si="24"/>
        <v>3772.6079999999997</v>
      </c>
      <c r="P28" s="131">
        <f>Comparativo!K21</f>
        <v>153.57840000000002</v>
      </c>
      <c r="Q28" s="110"/>
      <c r="R28" s="126">
        <f t="shared" si="25"/>
        <v>23.564704411557869</v>
      </c>
      <c r="S28" s="110"/>
      <c r="T28" s="132">
        <f t="shared" si="26"/>
        <v>0</v>
      </c>
      <c r="U28" s="132">
        <f t="shared" si="27"/>
        <v>0</v>
      </c>
      <c r="V28" s="110"/>
      <c r="W28" s="110"/>
      <c r="X28" s="110"/>
      <c r="Y28" s="110"/>
      <c r="Z28" s="110"/>
      <c r="AA28" s="110"/>
      <c r="AB28" s="110"/>
      <c r="AC28" s="110"/>
      <c r="AD28" s="110"/>
    </row>
    <row r="29" spans="1:30" ht="26.4">
      <c r="A29" s="16" t="s">
        <v>597</v>
      </c>
      <c r="B29" s="17" t="s">
        <v>629</v>
      </c>
      <c r="C29" s="16" t="s">
        <v>15</v>
      </c>
      <c r="D29" s="18">
        <v>18.100000000000001</v>
      </c>
      <c r="E29" s="18"/>
      <c r="F29" s="18"/>
      <c r="G29" s="18">
        <f t="shared" si="19"/>
        <v>18.100000000000001</v>
      </c>
      <c r="H29" s="18">
        <v>13.64</v>
      </c>
      <c r="I29" s="19">
        <f t="shared" si="20"/>
        <v>246.88400000000004</v>
      </c>
      <c r="J29" s="19">
        <f t="shared" si="21"/>
        <v>0</v>
      </c>
      <c r="K29" s="19">
        <f t="shared" si="22"/>
        <v>246.88400000000004</v>
      </c>
      <c r="L29" s="110"/>
      <c r="M29" s="110"/>
      <c r="N29" s="130">
        <f>N28</f>
        <v>24.564704411557869</v>
      </c>
      <c r="O29" s="134">
        <f>N29*P29</f>
        <v>3208.1503961494577</v>
      </c>
      <c r="P29" s="135">
        <v>130.6</v>
      </c>
      <c r="Q29" s="110"/>
      <c r="R29" s="126">
        <f t="shared" si="25"/>
        <v>23.564704411557869</v>
      </c>
      <c r="S29" s="110"/>
      <c r="T29" s="132">
        <f t="shared" si="26"/>
        <v>0</v>
      </c>
      <c r="U29" s="132">
        <f t="shared" si="27"/>
        <v>0</v>
      </c>
      <c r="V29" s="110"/>
      <c r="W29" s="110"/>
      <c r="X29" s="110"/>
      <c r="Y29" s="110"/>
      <c r="Z29" s="110"/>
      <c r="AA29" s="110"/>
      <c r="AB29" s="110"/>
      <c r="AC29" s="110"/>
      <c r="AD29" s="110"/>
    </row>
    <row r="30" spans="1:30" ht="26.4">
      <c r="A30" s="16" t="s">
        <v>632</v>
      </c>
      <c r="B30" s="17" t="s">
        <v>630</v>
      </c>
      <c r="C30" s="16"/>
      <c r="D30" s="18">
        <v>7.6</v>
      </c>
      <c r="E30" s="18"/>
      <c r="F30" s="18"/>
      <c r="G30" s="18">
        <f t="shared" si="19"/>
        <v>7.6</v>
      </c>
      <c r="H30" s="18">
        <v>13.01</v>
      </c>
      <c r="I30" s="19">
        <f t="shared" si="20"/>
        <v>98.875999999999991</v>
      </c>
      <c r="J30" s="19">
        <f t="shared" si="21"/>
        <v>0</v>
      </c>
      <c r="K30" s="19">
        <f t="shared" si="22"/>
        <v>98.875999999999991</v>
      </c>
      <c r="L30" s="110"/>
      <c r="M30" s="110"/>
      <c r="N30" s="151"/>
      <c r="O30" s="152"/>
      <c r="P30" s="153"/>
      <c r="Q30" s="110"/>
      <c r="R30" s="126"/>
      <c r="S30" s="110"/>
      <c r="T30" s="132"/>
      <c r="U30" s="132"/>
      <c r="V30" s="110"/>
      <c r="W30" s="110"/>
      <c r="X30" s="110"/>
      <c r="Y30" s="110"/>
      <c r="Z30" s="110"/>
      <c r="AA30" s="110"/>
      <c r="AB30" s="110"/>
      <c r="AC30" s="110"/>
      <c r="AD30" s="110"/>
    </row>
    <row r="31" spans="1:30" ht="26.4">
      <c r="A31" s="16" t="s">
        <v>633</v>
      </c>
      <c r="B31" s="17" t="s">
        <v>631</v>
      </c>
      <c r="C31" s="16"/>
      <c r="D31" s="18">
        <v>65.099999999999994</v>
      </c>
      <c r="E31" s="18"/>
      <c r="F31" s="18"/>
      <c r="G31" s="18">
        <f t="shared" si="19"/>
        <v>65.099999999999994</v>
      </c>
      <c r="H31" s="18">
        <v>19.739999999999998</v>
      </c>
      <c r="I31" s="19">
        <f t="shared" si="20"/>
        <v>1285.0739999999998</v>
      </c>
      <c r="J31" s="19">
        <f t="shared" si="21"/>
        <v>0</v>
      </c>
      <c r="K31" s="19">
        <f t="shared" si="22"/>
        <v>1285.0739999999998</v>
      </c>
      <c r="L31" s="110"/>
      <c r="M31" s="110"/>
      <c r="N31" s="151"/>
      <c r="O31" s="152"/>
      <c r="P31" s="153"/>
      <c r="Q31" s="110"/>
      <c r="R31" s="126"/>
      <c r="S31" s="110"/>
      <c r="T31" s="132"/>
      <c r="U31" s="132"/>
      <c r="V31" s="110"/>
      <c r="W31" s="110"/>
      <c r="X31" s="110"/>
      <c r="Y31" s="110"/>
      <c r="Z31" s="110"/>
      <c r="AA31" s="110"/>
      <c r="AB31" s="110"/>
      <c r="AC31" s="110"/>
      <c r="AD31" s="110"/>
    </row>
    <row r="32" spans="1:30">
      <c r="A32" s="13">
        <v>4</v>
      </c>
      <c r="B32" s="14" t="s">
        <v>634</v>
      </c>
      <c r="C32" s="13"/>
      <c r="D32" s="13"/>
      <c r="E32" s="13"/>
      <c r="F32" s="13"/>
      <c r="G32" s="13"/>
      <c r="H32" s="13"/>
      <c r="I32" s="15">
        <f>SUM(I33:I38)</f>
        <v>42240.624799999998</v>
      </c>
      <c r="J32" s="15">
        <f>SUM(J33:J38)</f>
        <v>0</v>
      </c>
      <c r="K32" s="15">
        <f>SUM(K33:K38)</f>
        <v>42240.624799999998</v>
      </c>
      <c r="L32" s="110"/>
      <c r="M32" s="110"/>
      <c r="N32" s="133"/>
      <c r="O32" s="133"/>
      <c r="P32" s="133"/>
      <c r="Q32" s="110"/>
      <c r="R32" s="126"/>
      <c r="S32" s="110"/>
      <c r="T32" s="132"/>
      <c r="U32" s="132"/>
      <c r="V32" s="110"/>
      <c r="W32" s="110"/>
      <c r="X32" s="110"/>
      <c r="Y32" s="110"/>
      <c r="Z32" s="110"/>
      <c r="AA32" s="110"/>
      <c r="AB32" s="110"/>
      <c r="AC32" s="110"/>
      <c r="AD32" s="110"/>
    </row>
    <row r="33" spans="1:30" ht="26.4">
      <c r="A33" s="16" t="s">
        <v>61</v>
      </c>
      <c r="B33" s="17" t="s">
        <v>635</v>
      </c>
      <c r="C33" s="16" t="s">
        <v>64</v>
      </c>
      <c r="D33" s="18">
        <v>2.2000000000000002</v>
      </c>
      <c r="E33" s="18"/>
      <c r="F33" s="18"/>
      <c r="G33" s="18">
        <f t="shared" ref="G33:G38" si="28">D33+E33-F33</f>
        <v>2.2000000000000002</v>
      </c>
      <c r="H33" s="19">
        <v>19.600000000000001</v>
      </c>
      <c r="I33" s="19">
        <f t="shared" ref="I33:I38" si="29">D33*H33</f>
        <v>43.120000000000005</v>
      </c>
      <c r="J33" s="19">
        <f t="shared" ref="J33:J38" si="30">K33-I33</f>
        <v>0</v>
      </c>
      <c r="K33" s="19">
        <f t="shared" ref="K33:K38" si="31">G33*H33</f>
        <v>43.120000000000005</v>
      </c>
      <c r="L33" s="110"/>
      <c r="M33" s="110"/>
      <c r="N33" s="130">
        <f>(O33)/P33</f>
        <v>1.4107547145119288E-2</v>
      </c>
      <c r="O33" s="136">
        <f>I33</f>
        <v>43.120000000000005</v>
      </c>
      <c r="P33" s="136">
        <f>Comparativo!K23</f>
        <v>3056.52</v>
      </c>
      <c r="Q33" s="110"/>
      <c r="R33" s="126">
        <f>N33-1</f>
        <v>-0.9858924528548807</v>
      </c>
      <c r="S33" s="110"/>
      <c r="T33" s="132">
        <f t="shared" ref="T33:T38" si="32">F33*H33</f>
        <v>0</v>
      </c>
      <c r="U33" s="132">
        <f t="shared" ref="U33:U38" si="33">E33*H33</f>
        <v>0</v>
      </c>
      <c r="V33" s="110"/>
      <c r="W33" s="110"/>
      <c r="X33" s="110"/>
      <c r="Y33" s="110"/>
      <c r="Z33" s="110"/>
      <c r="AA33" s="110"/>
      <c r="AB33" s="110"/>
      <c r="AC33" s="110"/>
      <c r="AD33" s="110"/>
    </row>
    <row r="34" spans="1:30" ht="39" customHeight="1">
      <c r="A34" s="16" t="s">
        <v>598</v>
      </c>
      <c r="B34" s="17" t="s">
        <v>636</v>
      </c>
      <c r="C34" s="16" t="s">
        <v>64</v>
      </c>
      <c r="D34" s="18">
        <v>220.31</v>
      </c>
      <c r="E34" s="18"/>
      <c r="F34" s="18"/>
      <c r="G34" s="18">
        <f t="shared" si="28"/>
        <v>220.31</v>
      </c>
      <c r="H34" s="19">
        <v>90.92</v>
      </c>
      <c r="I34" s="19">
        <f t="shared" si="29"/>
        <v>20030.585200000001</v>
      </c>
      <c r="J34" s="19">
        <f t="shared" si="30"/>
        <v>0</v>
      </c>
      <c r="K34" s="19">
        <f t="shared" si="31"/>
        <v>20030.585200000001</v>
      </c>
      <c r="L34" s="110"/>
      <c r="M34" s="110"/>
      <c r="N34" s="137">
        <f>N33</f>
        <v>1.4107547145119288E-2</v>
      </c>
      <c r="O34" s="138">
        <f t="shared" ref="O34:O38" si="34">N34*P34</f>
        <v>0</v>
      </c>
      <c r="P34" s="139"/>
      <c r="Q34" s="110"/>
      <c r="R34" s="126"/>
      <c r="S34" s="110"/>
      <c r="T34" s="132">
        <f t="shared" si="32"/>
        <v>0</v>
      </c>
      <c r="U34" s="132">
        <f t="shared" si="33"/>
        <v>0</v>
      </c>
      <c r="V34" s="110"/>
      <c r="W34" s="110"/>
      <c r="X34" s="110"/>
      <c r="Y34" s="110"/>
      <c r="Z34" s="110"/>
      <c r="AA34" s="110"/>
      <c r="AB34" s="110"/>
      <c r="AC34" s="110"/>
      <c r="AD34" s="110"/>
    </row>
    <row r="35" spans="1:30" ht="26.4">
      <c r="A35" s="16" t="s">
        <v>599</v>
      </c>
      <c r="B35" s="17" t="s">
        <v>625</v>
      </c>
      <c r="C35" s="16" t="s">
        <v>64</v>
      </c>
      <c r="D35" s="18">
        <v>13.22</v>
      </c>
      <c r="E35" s="18"/>
      <c r="F35" s="20"/>
      <c r="G35" s="18">
        <f t="shared" si="28"/>
        <v>13.22</v>
      </c>
      <c r="H35" s="19">
        <v>553.34</v>
      </c>
      <c r="I35" s="19">
        <f t="shared" si="29"/>
        <v>7315.1548000000012</v>
      </c>
      <c r="J35" s="19">
        <f t="shared" si="30"/>
        <v>0</v>
      </c>
      <c r="K35" s="19">
        <f t="shared" si="31"/>
        <v>7315.1548000000012</v>
      </c>
      <c r="L35" s="110"/>
      <c r="M35" s="110"/>
      <c r="N35" s="137">
        <f>N33</f>
        <v>1.4107547145119288E-2</v>
      </c>
      <c r="O35" s="138">
        <f t="shared" si="34"/>
        <v>10.878611754544385</v>
      </c>
      <c r="P35" s="140">
        <v>771.12</v>
      </c>
      <c r="Q35" s="110"/>
      <c r="R35" s="126">
        <f t="shared" ref="R35:R38" si="35">N35-1</f>
        <v>-0.9858924528548807</v>
      </c>
      <c r="S35" s="110"/>
      <c r="T35" s="132">
        <f t="shared" si="32"/>
        <v>0</v>
      </c>
      <c r="U35" s="132">
        <f t="shared" si="33"/>
        <v>0</v>
      </c>
      <c r="V35" s="110"/>
      <c r="W35" s="110"/>
      <c r="X35" s="110"/>
      <c r="Y35" s="110"/>
      <c r="Z35" s="110"/>
      <c r="AA35" s="110"/>
      <c r="AB35" s="110"/>
      <c r="AC35" s="110"/>
      <c r="AD35" s="110"/>
    </row>
    <row r="36" spans="1:30" ht="26.4">
      <c r="A36" s="16" t="s">
        <v>600</v>
      </c>
      <c r="B36" s="17" t="s">
        <v>626</v>
      </c>
      <c r="C36" s="16" t="s">
        <v>15</v>
      </c>
      <c r="D36" s="18">
        <v>13.22</v>
      </c>
      <c r="E36" s="18"/>
      <c r="F36" s="20"/>
      <c r="G36" s="18">
        <f t="shared" si="28"/>
        <v>13.22</v>
      </c>
      <c r="H36" s="19">
        <v>252.24</v>
      </c>
      <c r="I36" s="19">
        <f t="shared" si="29"/>
        <v>3334.6128000000003</v>
      </c>
      <c r="J36" s="19">
        <f t="shared" si="30"/>
        <v>0</v>
      </c>
      <c r="K36" s="19">
        <f t="shared" si="31"/>
        <v>3334.6128000000003</v>
      </c>
      <c r="L36" s="110"/>
      <c r="M36" s="110"/>
      <c r="N36" s="130">
        <f>N38</f>
        <v>1.4107547145119288E-2</v>
      </c>
      <c r="O36" s="141">
        <f t="shared" si="34"/>
        <v>1.3900166202086035</v>
      </c>
      <c r="P36" s="142">
        <v>98.53</v>
      </c>
      <c r="Q36" s="110"/>
      <c r="R36" s="126">
        <f t="shared" si="35"/>
        <v>-0.9858924528548807</v>
      </c>
      <c r="S36" s="110"/>
      <c r="T36" s="132">
        <f t="shared" si="32"/>
        <v>0</v>
      </c>
      <c r="U36" s="132">
        <f t="shared" si="33"/>
        <v>0</v>
      </c>
      <c r="V36" s="110"/>
      <c r="W36" s="110"/>
      <c r="X36" s="110"/>
      <c r="Y36" s="110"/>
      <c r="Z36" s="110"/>
      <c r="AA36" s="110"/>
      <c r="AB36" s="110"/>
      <c r="AC36" s="110"/>
      <c r="AD36" s="110"/>
    </row>
    <row r="37" spans="1:30" ht="26.4">
      <c r="A37" s="16" t="s">
        <v>601</v>
      </c>
      <c r="B37" s="17" t="s">
        <v>627</v>
      </c>
      <c r="C37" s="16"/>
      <c r="D37" s="18">
        <v>389.6</v>
      </c>
      <c r="E37" s="18"/>
      <c r="F37" s="20"/>
      <c r="G37" s="18">
        <f t="shared" si="28"/>
        <v>389.6</v>
      </c>
      <c r="H37" s="19">
        <v>18.82</v>
      </c>
      <c r="I37" s="19">
        <f t="shared" si="29"/>
        <v>7332.2720000000008</v>
      </c>
      <c r="J37" s="19">
        <f t="shared" si="30"/>
        <v>0</v>
      </c>
      <c r="K37" s="19">
        <f t="shared" si="31"/>
        <v>7332.2720000000008</v>
      </c>
      <c r="L37" s="110"/>
      <c r="M37" s="110"/>
      <c r="N37" s="137"/>
      <c r="O37" s="152"/>
      <c r="P37" s="153"/>
      <c r="Q37" s="110"/>
      <c r="R37" s="126"/>
      <c r="S37" s="110"/>
      <c r="T37" s="132"/>
      <c r="U37" s="132"/>
      <c r="V37" s="110"/>
      <c r="W37" s="110"/>
      <c r="X37" s="110"/>
      <c r="Y37" s="110"/>
      <c r="Z37" s="110"/>
      <c r="AA37" s="110"/>
      <c r="AB37" s="110"/>
      <c r="AC37" s="110"/>
      <c r="AD37" s="110"/>
    </row>
    <row r="38" spans="1:30">
      <c r="A38" s="16" t="s">
        <v>637</v>
      </c>
      <c r="B38" s="21" t="s">
        <v>631</v>
      </c>
      <c r="C38" s="16" t="s">
        <v>15</v>
      </c>
      <c r="D38" s="18">
        <v>212</v>
      </c>
      <c r="E38" s="18"/>
      <c r="F38" s="20"/>
      <c r="G38" s="18">
        <f t="shared" si="28"/>
        <v>212</v>
      </c>
      <c r="H38" s="19">
        <v>19.739999999999998</v>
      </c>
      <c r="I38" s="19">
        <f t="shared" si="29"/>
        <v>4184.88</v>
      </c>
      <c r="J38" s="19">
        <f t="shared" si="30"/>
        <v>0</v>
      </c>
      <c r="K38" s="19">
        <f t="shared" si="31"/>
        <v>4184.88</v>
      </c>
      <c r="L38" s="110"/>
      <c r="M38" s="110"/>
      <c r="N38" s="137">
        <f>N35</f>
        <v>1.4107547145119288E-2</v>
      </c>
      <c r="O38" s="138">
        <f t="shared" si="34"/>
        <v>0.36171750880085857</v>
      </c>
      <c r="P38" s="143">
        <v>25.64</v>
      </c>
      <c r="Q38" s="110"/>
      <c r="R38" s="126">
        <f t="shared" si="35"/>
        <v>-0.9858924528548807</v>
      </c>
      <c r="S38" s="110"/>
      <c r="T38" s="132">
        <f t="shared" si="32"/>
        <v>0</v>
      </c>
      <c r="U38" s="132">
        <f t="shared" si="33"/>
        <v>0</v>
      </c>
      <c r="V38" s="110"/>
      <c r="W38" s="110"/>
      <c r="X38" s="110"/>
      <c r="Y38" s="110"/>
      <c r="Z38" s="110"/>
      <c r="AA38" s="110"/>
      <c r="AB38" s="110"/>
      <c r="AC38" s="110"/>
      <c r="AD38" s="110"/>
    </row>
    <row r="39" spans="1:30">
      <c r="A39" s="13">
        <v>5</v>
      </c>
      <c r="B39" s="14" t="s">
        <v>638</v>
      </c>
      <c r="C39" s="13"/>
      <c r="D39" s="13"/>
      <c r="E39" s="13"/>
      <c r="F39" s="13"/>
      <c r="G39" s="13"/>
      <c r="H39" s="13"/>
      <c r="I39" s="15">
        <f>SUM(I40:I46)</f>
        <v>31334.072199999999</v>
      </c>
      <c r="J39" s="15">
        <f>SUM(J40:J46)</f>
        <v>0</v>
      </c>
      <c r="K39" s="15">
        <f>SUM(K40:K46)</f>
        <v>31334.072199999999</v>
      </c>
      <c r="L39" s="110"/>
      <c r="M39" s="110"/>
      <c r="N39" s="133"/>
      <c r="O39" s="133"/>
      <c r="P39" s="133"/>
      <c r="Q39" s="110"/>
      <c r="R39" s="126"/>
      <c r="S39" s="110"/>
      <c r="T39" s="132"/>
      <c r="U39" s="132"/>
      <c r="V39" s="110"/>
      <c r="W39" s="110"/>
      <c r="X39" s="110"/>
      <c r="Y39" s="110"/>
      <c r="Z39" s="110"/>
      <c r="AA39" s="110"/>
      <c r="AB39" s="110"/>
      <c r="AC39" s="110"/>
      <c r="AD39" s="110"/>
    </row>
    <row r="40" spans="1:30" ht="39.6">
      <c r="A40" s="16" t="s">
        <v>67</v>
      </c>
      <c r="B40" s="17" t="s">
        <v>639</v>
      </c>
      <c r="C40" s="16" t="s">
        <v>64</v>
      </c>
      <c r="D40" s="18">
        <v>199.64</v>
      </c>
      <c r="E40" s="18"/>
      <c r="F40" s="18"/>
      <c r="G40" s="18">
        <f t="shared" ref="G40:G46" si="36">D40+E40-F40</f>
        <v>199.64</v>
      </c>
      <c r="H40" s="18">
        <v>50.42</v>
      </c>
      <c r="I40" s="19">
        <f t="shared" ref="I40:I46" si="37">D40*H40</f>
        <v>10065.8488</v>
      </c>
      <c r="J40" s="19">
        <f t="shared" ref="J40:J46" si="38">K40-I40</f>
        <v>0</v>
      </c>
      <c r="K40" s="19">
        <f t="shared" ref="K40:K46" si="39">G40*H40</f>
        <v>10065.8488</v>
      </c>
      <c r="L40" s="110"/>
      <c r="M40" s="110"/>
      <c r="N40" s="130">
        <f t="shared" ref="N40:N42" si="40">(O40)/P40</f>
        <v>21.074132819696842</v>
      </c>
      <c r="O40" s="131">
        <f t="shared" ref="O40:O42" si="41">I40</f>
        <v>10065.8488</v>
      </c>
      <c r="P40" s="131">
        <f>Comparativo!K26</f>
        <v>477.64</v>
      </c>
      <c r="Q40" s="110"/>
      <c r="R40" s="126">
        <f t="shared" ref="R40:R42" si="42">N40-1</f>
        <v>20.074132819696842</v>
      </c>
      <c r="S40" s="110"/>
      <c r="T40" s="132">
        <f t="shared" ref="T40:T42" si="43">F40*H40</f>
        <v>0</v>
      </c>
      <c r="U40" s="132">
        <f t="shared" ref="U40:U42" si="44">E40*H40</f>
        <v>0</v>
      </c>
      <c r="V40" s="110"/>
      <c r="W40" s="110"/>
      <c r="X40" s="110"/>
      <c r="Y40" s="110"/>
      <c r="Z40" s="110"/>
      <c r="AA40" s="110"/>
      <c r="AB40" s="110"/>
      <c r="AC40" s="110"/>
      <c r="AD40" s="110"/>
    </row>
    <row r="41" spans="1:30" ht="26.4">
      <c r="A41" s="16" t="s">
        <v>70</v>
      </c>
      <c r="B41" s="17" t="s">
        <v>625</v>
      </c>
      <c r="C41" s="16" t="s">
        <v>64</v>
      </c>
      <c r="D41" s="18">
        <v>10.08</v>
      </c>
      <c r="E41" s="18"/>
      <c r="F41" s="18"/>
      <c r="G41" s="18">
        <f t="shared" si="36"/>
        <v>10.08</v>
      </c>
      <c r="H41" s="18">
        <v>553.34</v>
      </c>
      <c r="I41" s="19">
        <f t="shared" si="37"/>
        <v>5577.6672000000008</v>
      </c>
      <c r="J41" s="19">
        <f t="shared" si="38"/>
        <v>0</v>
      </c>
      <c r="K41" s="19">
        <f t="shared" si="39"/>
        <v>5577.6672000000008</v>
      </c>
      <c r="L41" s="110"/>
      <c r="M41" s="110"/>
      <c r="N41" s="130">
        <f t="shared" si="40"/>
        <v>57.901663033322961</v>
      </c>
      <c r="O41" s="131">
        <f t="shared" si="41"/>
        <v>5577.6672000000008</v>
      </c>
      <c r="P41" s="131">
        <f>Comparativo!K27</f>
        <v>96.33</v>
      </c>
      <c r="Q41" s="110"/>
      <c r="R41" s="126">
        <f t="shared" si="42"/>
        <v>56.901663033322961</v>
      </c>
      <c r="S41" s="110"/>
      <c r="T41" s="132">
        <f t="shared" si="43"/>
        <v>0</v>
      </c>
      <c r="U41" s="132">
        <f t="shared" si="44"/>
        <v>0</v>
      </c>
      <c r="V41" s="110"/>
      <c r="W41" s="110"/>
      <c r="X41" s="110"/>
      <c r="Y41" s="110"/>
      <c r="Z41" s="110"/>
      <c r="AA41" s="110"/>
      <c r="AB41" s="110"/>
      <c r="AC41" s="110"/>
      <c r="AD41" s="110"/>
    </row>
    <row r="42" spans="1:30" ht="26.4">
      <c r="A42" s="16" t="s">
        <v>73</v>
      </c>
      <c r="B42" s="17" t="s">
        <v>626</v>
      </c>
      <c r="C42" s="16" t="s">
        <v>64</v>
      </c>
      <c r="D42" s="18">
        <v>10.08</v>
      </c>
      <c r="E42" s="18"/>
      <c r="F42" s="18"/>
      <c r="G42" s="18">
        <f t="shared" si="36"/>
        <v>10.08</v>
      </c>
      <c r="H42" s="18">
        <v>252.24</v>
      </c>
      <c r="I42" s="19">
        <f t="shared" si="37"/>
        <v>2542.5792000000001</v>
      </c>
      <c r="J42" s="19">
        <f t="shared" si="38"/>
        <v>0</v>
      </c>
      <c r="K42" s="19">
        <f t="shared" si="39"/>
        <v>2542.5792000000001</v>
      </c>
      <c r="L42" s="110"/>
      <c r="M42" s="110"/>
      <c r="N42" s="144">
        <f t="shared" si="40"/>
        <v>0.95805027299343248</v>
      </c>
      <c r="O42" s="136">
        <f t="shared" si="41"/>
        <v>2542.5792000000001</v>
      </c>
      <c r="P42" s="136">
        <f>Comparativo!K28</f>
        <v>2653.91</v>
      </c>
      <c r="Q42" s="110"/>
      <c r="R42" s="126">
        <f t="shared" si="42"/>
        <v>-4.1949727006567517E-2</v>
      </c>
      <c r="S42" s="110"/>
      <c r="T42" s="132">
        <f t="shared" si="43"/>
        <v>0</v>
      </c>
      <c r="U42" s="132">
        <f t="shared" si="44"/>
        <v>0</v>
      </c>
      <c r="V42" s="110"/>
      <c r="W42" s="110"/>
      <c r="X42" s="110"/>
      <c r="Y42" s="110"/>
      <c r="Z42" s="110"/>
      <c r="AA42" s="110"/>
      <c r="AB42" s="110"/>
      <c r="AC42" s="110"/>
      <c r="AD42" s="110"/>
    </row>
    <row r="43" spans="1:30" ht="26.4">
      <c r="A43" s="16" t="s">
        <v>644</v>
      </c>
      <c r="B43" s="17" t="s">
        <v>640</v>
      </c>
      <c r="C43" s="16"/>
      <c r="D43" s="18">
        <v>580.5</v>
      </c>
      <c r="E43" s="18"/>
      <c r="F43" s="18"/>
      <c r="G43" s="18">
        <f t="shared" si="36"/>
        <v>580.5</v>
      </c>
      <c r="H43" s="18">
        <v>14.49</v>
      </c>
      <c r="I43" s="19">
        <f t="shared" si="37"/>
        <v>8411.4449999999997</v>
      </c>
      <c r="J43" s="19">
        <f t="shared" si="38"/>
        <v>0</v>
      </c>
      <c r="K43" s="19">
        <f t="shared" si="39"/>
        <v>8411.4449999999997</v>
      </c>
      <c r="L43" s="110"/>
      <c r="M43" s="110"/>
      <c r="N43" s="151"/>
      <c r="O43" s="154"/>
      <c r="P43" s="154"/>
      <c r="Q43" s="110"/>
      <c r="R43" s="126"/>
      <c r="S43" s="110"/>
      <c r="T43" s="132"/>
      <c r="U43" s="132"/>
      <c r="V43" s="110"/>
      <c r="W43" s="110"/>
      <c r="X43" s="110"/>
      <c r="Y43" s="110"/>
      <c r="Z43" s="110"/>
      <c r="AA43" s="110"/>
      <c r="AB43" s="110"/>
      <c r="AC43" s="110"/>
      <c r="AD43" s="110"/>
    </row>
    <row r="44" spans="1:30" ht="26.4">
      <c r="A44" s="16" t="s">
        <v>645</v>
      </c>
      <c r="B44" s="17" t="s">
        <v>641</v>
      </c>
      <c r="C44" s="16"/>
      <c r="D44" s="18">
        <v>59.1</v>
      </c>
      <c r="E44" s="18"/>
      <c r="F44" s="18"/>
      <c r="G44" s="18">
        <f t="shared" si="36"/>
        <v>59.1</v>
      </c>
      <c r="H44" s="18">
        <v>12.36</v>
      </c>
      <c r="I44" s="19">
        <f t="shared" si="37"/>
        <v>730.476</v>
      </c>
      <c r="J44" s="19">
        <f t="shared" si="38"/>
        <v>0</v>
      </c>
      <c r="K44" s="19">
        <f t="shared" si="39"/>
        <v>730.476</v>
      </c>
      <c r="L44" s="110"/>
      <c r="M44" s="110"/>
      <c r="N44" s="151"/>
      <c r="O44" s="154"/>
      <c r="P44" s="154"/>
      <c r="Q44" s="110"/>
      <c r="R44" s="126"/>
      <c r="S44" s="110"/>
      <c r="T44" s="132"/>
      <c r="U44" s="132"/>
      <c r="V44" s="110"/>
      <c r="W44" s="110"/>
      <c r="X44" s="110"/>
      <c r="Y44" s="110"/>
      <c r="Z44" s="110"/>
      <c r="AA44" s="110"/>
      <c r="AB44" s="110"/>
      <c r="AC44" s="110"/>
      <c r="AD44" s="110"/>
    </row>
    <row r="45" spans="1:30" ht="26.4">
      <c r="A45" s="16" t="s">
        <v>646</v>
      </c>
      <c r="B45" s="17" t="s">
        <v>642</v>
      </c>
      <c r="C45" s="16"/>
      <c r="D45" s="18">
        <v>22.7</v>
      </c>
      <c r="E45" s="18"/>
      <c r="F45" s="18"/>
      <c r="G45" s="18">
        <f t="shared" si="36"/>
        <v>22.7</v>
      </c>
      <c r="H45" s="18">
        <v>12.08</v>
      </c>
      <c r="I45" s="19">
        <f t="shared" si="37"/>
        <v>274.21600000000001</v>
      </c>
      <c r="J45" s="19">
        <f t="shared" si="38"/>
        <v>0</v>
      </c>
      <c r="K45" s="19">
        <f t="shared" si="39"/>
        <v>274.21600000000001</v>
      </c>
      <c r="L45" s="110"/>
      <c r="M45" s="110"/>
      <c r="N45" s="151"/>
      <c r="O45" s="154"/>
      <c r="P45" s="154"/>
      <c r="Q45" s="110"/>
      <c r="R45" s="126"/>
      <c r="S45" s="110"/>
      <c r="T45" s="132"/>
      <c r="U45" s="132"/>
      <c r="V45" s="110"/>
      <c r="W45" s="110"/>
      <c r="X45" s="110"/>
      <c r="Y45" s="110"/>
      <c r="Z45" s="110"/>
      <c r="AA45" s="110"/>
      <c r="AB45" s="110"/>
      <c r="AC45" s="110"/>
      <c r="AD45" s="110"/>
    </row>
    <row r="46" spans="1:30" ht="26.4">
      <c r="A46" s="16" t="s">
        <v>647</v>
      </c>
      <c r="B46" s="17" t="s">
        <v>643</v>
      </c>
      <c r="C46" s="16"/>
      <c r="D46" s="18">
        <v>224</v>
      </c>
      <c r="E46" s="18"/>
      <c r="F46" s="18"/>
      <c r="G46" s="18">
        <f t="shared" si="36"/>
        <v>224</v>
      </c>
      <c r="H46" s="18">
        <v>16.66</v>
      </c>
      <c r="I46" s="19">
        <f t="shared" si="37"/>
        <v>3731.84</v>
      </c>
      <c r="J46" s="19">
        <f t="shared" si="38"/>
        <v>0</v>
      </c>
      <c r="K46" s="19">
        <f t="shared" si="39"/>
        <v>3731.84</v>
      </c>
      <c r="L46" s="110"/>
      <c r="M46" s="110"/>
      <c r="N46" s="151"/>
      <c r="O46" s="154"/>
      <c r="P46" s="154"/>
      <c r="Q46" s="110"/>
      <c r="R46" s="126"/>
      <c r="S46" s="110"/>
      <c r="T46" s="132"/>
      <c r="U46" s="132"/>
      <c r="V46" s="110"/>
      <c r="W46" s="110"/>
      <c r="X46" s="110"/>
      <c r="Y46" s="110"/>
      <c r="Z46" s="110"/>
      <c r="AA46" s="110"/>
      <c r="AB46" s="110"/>
      <c r="AC46" s="110"/>
      <c r="AD46" s="110"/>
    </row>
    <row r="47" spans="1:30">
      <c r="A47" s="13">
        <v>6</v>
      </c>
      <c r="B47" s="14" t="s">
        <v>648</v>
      </c>
      <c r="C47" s="13"/>
      <c r="D47" s="13"/>
      <c r="E47" s="13"/>
      <c r="F47" s="13"/>
      <c r="G47" s="13"/>
      <c r="H47" s="13"/>
      <c r="I47" s="15">
        <f>SUM(I48:I56)</f>
        <v>57860.760600000001</v>
      </c>
      <c r="J47" s="15">
        <f>SUM(J48:J56)</f>
        <v>0</v>
      </c>
      <c r="K47" s="15">
        <f>SUM(K48:K56)</f>
        <v>57860.760600000001</v>
      </c>
      <c r="L47" s="110"/>
      <c r="M47" s="110"/>
      <c r="N47" s="133"/>
      <c r="O47" s="133"/>
      <c r="P47" s="145"/>
      <c r="Q47" s="110"/>
      <c r="R47" s="126"/>
      <c r="S47" s="110"/>
      <c r="T47" s="132"/>
      <c r="U47" s="132"/>
      <c r="V47" s="110"/>
      <c r="W47" s="110"/>
      <c r="X47" s="110"/>
      <c r="Y47" s="110"/>
      <c r="Z47" s="110"/>
      <c r="AA47" s="110"/>
      <c r="AB47" s="110"/>
      <c r="AC47" s="110"/>
      <c r="AD47" s="110"/>
    </row>
    <row r="48" spans="1:30" ht="26.4">
      <c r="A48" s="16" t="s">
        <v>78</v>
      </c>
      <c r="B48" s="17" t="s">
        <v>649</v>
      </c>
      <c r="C48" s="16" t="s">
        <v>15</v>
      </c>
      <c r="D48" s="18">
        <v>264.23</v>
      </c>
      <c r="E48" s="18"/>
      <c r="F48" s="18"/>
      <c r="G48" s="18">
        <f t="shared" ref="G48:G56" si="45">D48+E48-F48</f>
        <v>264.23</v>
      </c>
      <c r="H48" s="18">
        <v>117.58</v>
      </c>
      <c r="I48" s="19">
        <f>D48*H48</f>
        <v>31068.163400000001</v>
      </c>
      <c r="J48" s="19">
        <f t="shared" ref="J48:J56" si="46">K48-I48</f>
        <v>0</v>
      </c>
      <c r="K48" s="19">
        <f t="shared" ref="K48:K56" si="47">G48*H48</f>
        <v>31068.163400000001</v>
      </c>
      <c r="L48" s="110"/>
      <c r="M48" s="110"/>
      <c r="N48" s="130">
        <f t="shared" ref="N48:N53" si="48">(O48)/P48</f>
        <v>2.9372078595895728</v>
      </c>
      <c r="O48" s="131">
        <f t="shared" ref="O48:O53" si="49">I48</f>
        <v>31068.163400000001</v>
      </c>
      <c r="P48" s="131">
        <f>Comparativo!K30</f>
        <v>10577.447999999999</v>
      </c>
      <c r="Q48" s="110"/>
      <c r="R48" s="126">
        <f t="shared" ref="R48:R53" si="50">N48-1</f>
        <v>1.9372078595895728</v>
      </c>
      <c r="S48" s="110"/>
      <c r="T48" s="132">
        <f t="shared" ref="T48:T53" si="51">F48*H48</f>
        <v>0</v>
      </c>
      <c r="U48" s="132">
        <f t="shared" ref="U48:U53" si="52">E48*H48</f>
        <v>0</v>
      </c>
      <c r="V48" s="110"/>
      <c r="W48" s="110"/>
      <c r="X48" s="110"/>
      <c r="Y48" s="110"/>
      <c r="Z48" s="110"/>
      <c r="AA48" s="110"/>
      <c r="AB48" s="110"/>
      <c r="AC48" s="110"/>
      <c r="AD48" s="110"/>
    </row>
    <row r="49" spans="1:30" ht="26.4">
      <c r="A49" s="16" t="s">
        <v>81</v>
      </c>
      <c r="B49" s="17" t="s">
        <v>625</v>
      </c>
      <c r="C49" s="16" t="s">
        <v>15</v>
      </c>
      <c r="D49" s="18">
        <v>16.489999999999998</v>
      </c>
      <c r="E49" s="18"/>
      <c r="F49" s="18"/>
      <c r="G49" s="18">
        <f t="shared" si="45"/>
        <v>16.489999999999998</v>
      </c>
      <c r="H49" s="18">
        <v>553.34</v>
      </c>
      <c r="I49" s="19">
        <f t="shared" ref="I49:I56" si="53">D49*H49</f>
        <v>9124.5766000000003</v>
      </c>
      <c r="J49" s="19">
        <f t="shared" si="46"/>
        <v>0</v>
      </c>
      <c r="K49" s="19">
        <f t="shared" si="47"/>
        <v>9124.5766000000003</v>
      </c>
      <c r="L49" s="129"/>
      <c r="M49" s="110"/>
      <c r="N49" s="130">
        <f t="shared" si="48"/>
        <v>5.0708065262780009</v>
      </c>
      <c r="O49" s="131">
        <f t="shared" si="49"/>
        <v>9124.5766000000003</v>
      </c>
      <c r="P49" s="131">
        <f>Comparativo!K31</f>
        <v>1799.4329999999998</v>
      </c>
      <c r="Q49" s="110"/>
      <c r="R49" s="126">
        <f t="shared" si="50"/>
        <v>4.0708065262780009</v>
      </c>
      <c r="S49" s="110"/>
      <c r="T49" s="132">
        <f t="shared" si="51"/>
        <v>0</v>
      </c>
      <c r="U49" s="132">
        <f t="shared" si="52"/>
        <v>0</v>
      </c>
      <c r="V49" s="110"/>
      <c r="W49" s="110"/>
      <c r="X49" s="110"/>
      <c r="Y49" s="110"/>
      <c r="Z49" s="110"/>
      <c r="AA49" s="110"/>
      <c r="AB49" s="110"/>
      <c r="AC49" s="110"/>
      <c r="AD49" s="110"/>
    </row>
    <row r="50" spans="1:30" ht="26.4">
      <c r="A50" s="16" t="s">
        <v>84</v>
      </c>
      <c r="B50" s="17" t="s">
        <v>626</v>
      </c>
      <c r="C50" s="16"/>
      <c r="D50" s="18">
        <v>16.489999999999998</v>
      </c>
      <c r="E50" s="18"/>
      <c r="F50" s="18"/>
      <c r="G50" s="18">
        <f t="shared" si="45"/>
        <v>16.489999999999998</v>
      </c>
      <c r="H50" s="18">
        <v>252.24</v>
      </c>
      <c r="I50" s="19">
        <f t="shared" si="53"/>
        <v>4159.4376000000002</v>
      </c>
      <c r="J50" s="19">
        <f t="shared" si="46"/>
        <v>0</v>
      </c>
      <c r="K50" s="19">
        <f t="shared" si="47"/>
        <v>4159.4376000000002</v>
      </c>
      <c r="L50" s="129"/>
      <c r="M50" s="110"/>
      <c r="N50" s="130"/>
      <c r="O50" s="131">
        <f t="shared" si="49"/>
        <v>4159.4376000000002</v>
      </c>
      <c r="P50" s="131"/>
      <c r="Q50" s="110"/>
      <c r="R50" s="126"/>
      <c r="S50" s="110"/>
      <c r="T50" s="132"/>
      <c r="U50" s="132"/>
      <c r="V50" s="110"/>
      <c r="W50" s="110"/>
      <c r="X50" s="110"/>
      <c r="Y50" s="110"/>
      <c r="Z50" s="110"/>
      <c r="AA50" s="110"/>
      <c r="AB50" s="110"/>
      <c r="AC50" s="110"/>
      <c r="AD50" s="110"/>
    </row>
    <row r="51" spans="1:30" ht="26.4">
      <c r="A51" s="16" t="s">
        <v>603</v>
      </c>
      <c r="B51" s="17" t="s">
        <v>650</v>
      </c>
      <c r="C51" s="16"/>
      <c r="D51" s="18">
        <v>285.3</v>
      </c>
      <c r="E51" s="18"/>
      <c r="F51" s="18"/>
      <c r="G51" s="18">
        <f t="shared" si="45"/>
        <v>285.3</v>
      </c>
      <c r="H51" s="18">
        <v>16.420000000000002</v>
      </c>
      <c r="I51" s="19">
        <f t="shared" si="53"/>
        <v>4684.6260000000011</v>
      </c>
      <c r="J51" s="19">
        <f t="shared" si="46"/>
        <v>0</v>
      </c>
      <c r="K51" s="19">
        <f t="shared" si="47"/>
        <v>4684.6260000000011</v>
      </c>
      <c r="L51" s="129"/>
      <c r="M51" s="110"/>
      <c r="N51" s="130"/>
      <c r="O51" s="131"/>
      <c r="P51" s="131"/>
      <c r="Q51" s="110"/>
      <c r="R51" s="126"/>
      <c r="S51" s="110"/>
      <c r="T51" s="132"/>
      <c r="U51" s="132"/>
      <c r="V51" s="110"/>
      <c r="W51" s="110"/>
      <c r="X51" s="110"/>
      <c r="Y51" s="110"/>
      <c r="Z51" s="110"/>
      <c r="AA51" s="110"/>
      <c r="AB51" s="110"/>
      <c r="AC51" s="110"/>
      <c r="AD51" s="110"/>
    </row>
    <row r="52" spans="1:30" ht="26.4">
      <c r="A52" s="16" t="s">
        <v>604</v>
      </c>
      <c r="B52" s="17" t="s">
        <v>651</v>
      </c>
      <c r="C52" s="16"/>
      <c r="D52" s="18">
        <v>174.4</v>
      </c>
      <c r="E52" s="18"/>
      <c r="F52" s="18"/>
      <c r="G52" s="18">
        <f t="shared" si="45"/>
        <v>174.4</v>
      </c>
      <c r="H52" s="18">
        <v>15.95</v>
      </c>
      <c r="I52" s="19">
        <f t="shared" si="53"/>
        <v>2781.68</v>
      </c>
      <c r="J52" s="19">
        <f t="shared" si="46"/>
        <v>0</v>
      </c>
      <c r="K52" s="19">
        <f t="shared" si="47"/>
        <v>2781.68</v>
      </c>
      <c r="L52" s="129"/>
      <c r="M52" s="110"/>
      <c r="N52" s="130"/>
      <c r="O52" s="131"/>
      <c r="P52" s="131"/>
      <c r="Q52" s="110"/>
      <c r="R52" s="126"/>
      <c r="S52" s="110"/>
      <c r="T52" s="132"/>
      <c r="U52" s="132"/>
      <c r="V52" s="110"/>
      <c r="W52" s="110"/>
      <c r="X52" s="110"/>
      <c r="Y52" s="110"/>
      <c r="Z52" s="110"/>
      <c r="AA52" s="110"/>
      <c r="AB52" s="110"/>
      <c r="AC52" s="110"/>
      <c r="AD52" s="110"/>
    </row>
    <row r="53" spans="1:30" ht="26.4">
      <c r="A53" s="16" t="s">
        <v>605</v>
      </c>
      <c r="B53" s="17" t="s">
        <v>640</v>
      </c>
      <c r="C53" s="16" t="s">
        <v>15</v>
      </c>
      <c r="D53" s="18">
        <v>64.900000000000006</v>
      </c>
      <c r="E53" s="18"/>
      <c r="F53" s="18"/>
      <c r="G53" s="18">
        <f t="shared" si="45"/>
        <v>64.900000000000006</v>
      </c>
      <c r="H53" s="18">
        <v>14.49</v>
      </c>
      <c r="I53" s="19">
        <f t="shared" si="53"/>
        <v>940.40100000000007</v>
      </c>
      <c r="J53" s="19">
        <f t="shared" si="46"/>
        <v>0</v>
      </c>
      <c r="K53" s="19">
        <f t="shared" si="47"/>
        <v>940.40100000000007</v>
      </c>
      <c r="L53" s="129"/>
      <c r="M53" s="110"/>
      <c r="N53" s="130">
        <f t="shared" si="48"/>
        <v>2.7038820966047396E-2</v>
      </c>
      <c r="O53" s="131">
        <f t="shared" si="49"/>
        <v>940.40100000000007</v>
      </c>
      <c r="P53" s="131">
        <f>Comparativo!K32</f>
        <v>34779.660000000003</v>
      </c>
      <c r="Q53" s="110"/>
      <c r="R53" s="126">
        <f t="shared" si="50"/>
        <v>-0.97296117903395263</v>
      </c>
      <c r="S53" s="110"/>
      <c r="T53" s="132">
        <f t="shared" si="51"/>
        <v>0</v>
      </c>
      <c r="U53" s="132">
        <f t="shared" si="52"/>
        <v>0</v>
      </c>
      <c r="V53" s="110"/>
      <c r="W53" s="110"/>
      <c r="X53" s="110"/>
      <c r="Y53" s="110"/>
      <c r="Z53" s="110"/>
      <c r="AA53" s="110"/>
      <c r="AB53" s="110"/>
      <c r="AC53" s="110"/>
      <c r="AD53" s="110"/>
    </row>
    <row r="54" spans="1:30" ht="26.4">
      <c r="A54" s="16" t="s">
        <v>652</v>
      </c>
      <c r="B54" s="17" t="s">
        <v>641</v>
      </c>
      <c r="C54" s="16"/>
      <c r="D54" s="18">
        <v>18.7</v>
      </c>
      <c r="E54" s="18"/>
      <c r="F54" s="18"/>
      <c r="G54" s="18">
        <f t="shared" si="45"/>
        <v>18.7</v>
      </c>
      <c r="H54" s="18">
        <v>12.36</v>
      </c>
      <c r="I54" s="19">
        <f t="shared" si="53"/>
        <v>231.13199999999998</v>
      </c>
      <c r="J54" s="19">
        <f t="shared" si="46"/>
        <v>0</v>
      </c>
      <c r="K54" s="19">
        <f t="shared" si="47"/>
        <v>231.13199999999998</v>
      </c>
      <c r="L54" s="129"/>
      <c r="M54" s="110"/>
      <c r="N54" s="151"/>
      <c r="O54" s="154"/>
      <c r="P54" s="154"/>
      <c r="Q54" s="110"/>
      <c r="R54" s="126"/>
      <c r="S54" s="110"/>
      <c r="T54" s="132"/>
      <c r="U54" s="132"/>
      <c r="V54" s="110"/>
      <c r="W54" s="110"/>
      <c r="X54" s="110"/>
      <c r="Y54" s="110"/>
      <c r="Z54" s="110"/>
      <c r="AA54" s="110"/>
      <c r="AB54" s="110"/>
      <c r="AC54" s="110"/>
      <c r="AD54" s="110"/>
    </row>
    <row r="55" spans="1:30" ht="26.4">
      <c r="A55" s="16" t="s">
        <v>653</v>
      </c>
      <c r="B55" s="17" t="s">
        <v>642</v>
      </c>
      <c r="C55" s="16"/>
      <c r="D55" s="18">
        <v>17.600000000000001</v>
      </c>
      <c r="E55" s="18"/>
      <c r="F55" s="18"/>
      <c r="G55" s="18">
        <f t="shared" si="45"/>
        <v>17.600000000000001</v>
      </c>
      <c r="H55" s="18">
        <v>12.08</v>
      </c>
      <c r="I55" s="19">
        <f t="shared" si="53"/>
        <v>212.60800000000003</v>
      </c>
      <c r="J55" s="19">
        <f t="shared" si="46"/>
        <v>0</v>
      </c>
      <c r="K55" s="19">
        <f t="shared" si="47"/>
        <v>212.60800000000003</v>
      </c>
      <c r="L55" s="129"/>
      <c r="M55" s="110"/>
      <c r="N55" s="151"/>
      <c r="O55" s="154"/>
      <c r="P55" s="154"/>
      <c r="Q55" s="110"/>
      <c r="R55" s="126"/>
      <c r="S55" s="110"/>
      <c r="T55" s="132"/>
      <c r="U55" s="132"/>
      <c r="V55" s="110"/>
      <c r="W55" s="110"/>
      <c r="X55" s="110"/>
      <c r="Y55" s="110"/>
      <c r="Z55" s="110"/>
      <c r="AA55" s="110"/>
      <c r="AB55" s="110"/>
      <c r="AC55" s="110"/>
      <c r="AD55" s="110"/>
    </row>
    <row r="56" spans="1:30" ht="26.4">
      <c r="A56" s="16" t="s">
        <v>654</v>
      </c>
      <c r="B56" s="17" t="s">
        <v>643</v>
      </c>
      <c r="C56" s="16"/>
      <c r="D56" s="18">
        <v>279.60000000000002</v>
      </c>
      <c r="E56" s="18"/>
      <c r="F56" s="18"/>
      <c r="G56" s="18">
        <f t="shared" si="45"/>
        <v>279.60000000000002</v>
      </c>
      <c r="H56" s="18">
        <v>16.66</v>
      </c>
      <c r="I56" s="19">
        <f t="shared" si="53"/>
        <v>4658.1360000000004</v>
      </c>
      <c r="J56" s="19">
        <f t="shared" si="46"/>
        <v>0</v>
      </c>
      <c r="K56" s="19">
        <f t="shared" si="47"/>
        <v>4658.1360000000004</v>
      </c>
      <c r="L56" s="129"/>
      <c r="M56" s="110"/>
      <c r="N56" s="151"/>
      <c r="O56" s="154"/>
      <c r="P56" s="154"/>
      <c r="Q56" s="110"/>
      <c r="R56" s="126"/>
      <c r="S56" s="110"/>
      <c r="T56" s="132"/>
      <c r="U56" s="132"/>
      <c r="V56" s="110"/>
      <c r="W56" s="110"/>
      <c r="X56" s="110"/>
      <c r="Y56" s="110"/>
      <c r="Z56" s="110"/>
      <c r="AA56" s="110"/>
      <c r="AB56" s="110"/>
      <c r="AC56" s="110"/>
      <c r="AD56" s="110"/>
    </row>
    <row r="57" spans="1:30">
      <c r="A57" s="13">
        <v>7</v>
      </c>
      <c r="B57" s="14" t="s">
        <v>655</v>
      </c>
      <c r="C57" s="13"/>
      <c r="D57" s="13"/>
      <c r="E57" s="13"/>
      <c r="F57" s="13"/>
      <c r="G57" s="13"/>
      <c r="H57" s="13"/>
      <c r="I57" s="15">
        <f>SUM(I58:I60)</f>
        <v>6412.4591999999993</v>
      </c>
      <c r="J57" s="15">
        <f>SUM(J58:J60)</f>
        <v>0</v>
      </c>
      <c r="K57" s="15">
        <f>SUM(K58:K60)</f>
        <v>6412.4591999999993</v>
      </c>
      <c r="L57" s="110"/>
      <c r="M57" s="110"/>
      <c r="N57" s="133"/>
      <c r="O57" s="133"/>
      <c r="P57" s="133"/>
      <c r="Q57" s="110"/>
      <c r="R57" s="126"/>
      <c r="S57" s="110"/>
      <c r="T57" s="132"/>
      <c r="U57" s="132"/>
      <c r="V57" s="110"/>
      <c r="W57" s="110"/>
      <c r="X57" s="110"/>
      <c r="Y57" s="110"/>
      <c r="Z57" s="110"/>
      <c r="AA57" s="110"/>
      <c r="AB57" s="110"/>
      <c r="AC57" s="110"/>
      <c r="AD57" s="110"/>
    </row>
    <row r="58" spans="1:30">
      <c r="A58" s="16" t="s">
        <v>89</v>
      </c>
      <c r="B58" s="17" t="s">
        <v>656</v>
      </c>
      <c r="C58" s="16" t="s">
        <v>15</v>
      </c>
      <c r="D58" s="18">
        <v>55.16</v>
      </c>
      <c r="E58" s="18"/>
      <c r="F58" s="18"/>
      <c r="G58" s="18">
        <f t="shared" ref="G58:G60" si="54">D58+E58-F58</f>
        <v>55.16</v>
      </c>
      <c r="H58" s="18">
        <v>51.69</v>
      </c>
      <c r="I58" s="19">
        <f t="shared" ref="I58:I60" si="55">D58*H58</f>
        <v>2851.2203999999997</v>
      </c>
      <c r="J58" s="19">
        <f t="shared" ref="J58:J60" si="56">K58-I58</f>
        <v>0</v>
      </c>
      <c r="K58" s="19">
        <f t="shared" ref="K58:K60" si="57">G58*H58</f>
        <v>2851.2203999999997</v>
      </c>
      <c r="L58" s="110"/>
      <c r="M58" s="110"/>
      <c r="N58" s="130">
        <f t="shared" ref="N58:N60" si="58">(O58)/P58</f>
        <v>406.85222602739719</v>
      </c>
      <c r="O58" s="131">
        <f t="shared" ref="O58:O60" si="59">I58</f>
        <v>2851.2203999999997</v>
      </c>
      <c r="P58" s="146">
        <f>Comparativo!K34</f>
        <v>7.008</v>
      </c>
      <c r="Q58" s="110"/>
      <c r="R58" s="126">
        <f t="shared" ref="R58:R60" si="60">N58-1</f>
        <v>405.85222602739719</v>
      </c>
      <c r="S58" s="110"/>
      <c r="T58" s="132">
        <f t="shared" ref="T58:T60" si="61">F58*H58</f>
        <v>0</v>
      </c>
      <c r="U58" s="132">
        <f t="shared" ref="U58:U60" si="62">E58*H58</f>
        <v>0</v>
      </c>
      <c r="V58" s="110"/>
      <c r="W58" s="110"/>
      <c r="X58" s="110"/>
      <c r="Y58" s="110"/>
      <c r="Z58" s="110"/>
      <c r="AA58" s="110"/>
      <c r="AB58" s="110"/>
      <c r="AC58" s="110"/>
      <c r="AD58" s="110"/>
    </row>
    <row r="59" spans="1:30">
      <c r="A59" s="16" t="s">
        <v>92</v>
      </c>
      <c r="B59" s="17" t="s">
        <v>657</v>
      </c>
      <c r="C59" s="16"/>
      <c r="D59" s="18">
        <v>20.16</v>
      </c>
      <c r="E59" s="18"/>
      <c r="F59" s="18"/>
      <c r="G59" s="18">
        <f t="shared" si="54"/>
        <v>20.16</v>
      </c>
      <c r="H59" s="18">
        <v>38.01</v>
      </c>
      <c r="I59" s="19">
        <f t="shared" si="55"/>
        <v>766.28159999999991</v>
      </c>
      <c r="J59" s="19">
        <f t="shared" si="56"/>
        <v>0</v>
      </c>
      <c r="K59" s="19">
        <f t="shared" si="57"/>
        <v>766.28159999999991</v>
      </c>
      <c r="L59" s="110"/>
      <c r="M59" s="110"/>
      <c r="N59" s="130"/>
      <c r="O59" s="131"/>
      <c r="P59" s="146"/>
      <c r="Q59" s="110"/>
      <c r="R59" s="126"/>
      <c r="S59" s="110"/>
      <c r="T59" s="132"/>
      <c r="U59" s="132"/>
      <c r="V59" s="110"/>
      <c r="W59" s="110"/>
      <c r="X59" s="110"/>
      <c r="Y59" s="110"/>
      <c r="Z59" s="110"/>
      <c r="AA59" s="110"/>
      <c r="AB59" s="110"/>
      <c r="AC59" s="110"/>
      <c r="AD59" s="110"/>
    </row>
    <row r="60" spans="1:30" ht="26.4">
      <c r="A60" s="16" t="s">
        <v>95</v>
      </c>
      <c r="B60" s="17" t="s">
        <v>658</v>
      </c>
      <c r="C60" s="16" t="s">
        <v>15</v>
      </c>
      <c r="D60" s="18">
        <v>55.16</v>
      </c>
      <c r="E60" s="18"/>
      <c r="F60" s="18"/>
      <c r="G60" s="18">
        <f t="shared" si="54"/>
        <v>55.16</v>
      </c>
      <c r="H60" s="18">
        <v>50.67</v>
      </c>
      <c r="I60" s="19">
        <f t="shared" si="55"/>
        <v>2794.9571999999998</v>
      </c>
      <c r="J60" s="19">
        <f t="shared" si="56"/>
        <v>0</v>
      </c>
      <c r="K60" s="19">
        <f t="shared" si="57"/>
        <v>2794.9571999999998</v>
      </c>
      <c r="L60" s="110"/>
      <c r="M60" s="110"/>
      <c r="N60" s="130">
        <f t="shared" si="58"/>
        <v>2.8848434404003376</v>
      </c>
      <c r="O60" s="131">
        <f t="shared" si="59"/>
        <v>2794.9571999999998</v>
      </c>
      <c r="P60" s="146">
        <f>Comparativo!K35</f>
        <v>968.84190000000001</v>
      </c>
      <c r="Q60" s="110"/>
      <c r="R60" s="126">
        <f t="shared" si="60"/>
        <v>1.8848434404003376</v>
      </c>
      <c r="S60" s="110"/>
      <c r="T60" s="132">
        <f t="shared" si="61"/>
        <v>0</v>
      </c>
      <c r="U60" s="132">
        <f t="shared" si="62"/>
        <v>0</v>
      </c>
      <c r="V60" s="110"/>
      <c r="W60" s="110"/>
      <c r="X60" s="110"/>
      <c r="Y60" s="110"/>
      <c r="Z60" s="110"/>
      <c r="AA60" s="110"/>
      <c r="AB60" s="110"/>
      <c r="AC60" s="110"/>
      <c r="AD60" s="110"/>
    </row>
    <row r="61" spans="1:30">
      <c r="A61" s="13">
        <v>8</v>
      </c>
      <c r="B61" s="14" t="s">
        <v>659</v>
      </c>
      <c r="C61" s="13"/>
      <c r="D61" s="13"/>
      <c r="E61" s="13"/>
      <c r="F61" s="13"/>
      <c r="G61" s="13"/>
      <c r="H61" s="13"/>
      <c r="I61" s="15">
        <f>SUM(I62:I68)</f>
        <v>108703.4613</v>
      </c>
      <c r="J61" s="15">
        <f>SUM(J62:J68)</f>
        <v>0</v>
      </c>
      <c r="K61" s="15">
        <f>SUM(K62:K68)</f>
        <v>108703.4613</v>
      </c>
      <c r="L61" s="110"/>
      <c r="M61" s="110"/>
      <c r="N61" s="133"/>
      <c r="O61" s="133"/>
      <c r="P61" s="133"/>
      <c r="Q61" s="110"/>
      <c r="R61" s="126"/>
      <c r="S61" s="110"/>
      <c r="T61" s="132"/>
      <c r="U61" s="132"/>
      <c r="V61" s="110"/>
      <c r="W61" s="110"/>
      <c r="X61" s="110"/>
      <c r="Y61" s="110"/>
      <c r="Z61" s="110"/>
      <c r="AA61" s="110"/>
      <c r="AB61" s="110"/>
      <c r="AC61" s="110"/>
      <c r="AD61" s="110"/>
    </row>
    <row r="62" spans="1:30" ht="39.6">
      <c r="A62" s="16" t="s">
        <v>100</v>
      </c>
      <c r="B62" s="17" t="s">
        <v>660</v>
      </c>
      <c r="C62" s="16" t="s">
        <v>15</v>
      </c>
      <c r="D62" s="18">
        <v>395.11</v>
      </c>
      <c r="E62" s="18"/>
      <c r="F62" s="18"/>
      <c r="G62" s="18">
        <f t="shared" ref="G62:G68" si="63">D62+E62-F62</f>
        <v>395.11</v>
      </c>
      <c r="H62" s="18">
        <v>182.71</v>
      </c>
      <c r="I62" s="19">
        <f t="shared" ref="I62:I68" si="64">D62*H62</f>
        <v>72190.5481</v>
      </c>
      <c r="J62" s="19">
        <f t="shared" ref="J62:J68" si="65">K62-I62</f>
        <v>0</v>
      </c>
      <c r="K62" s="19">
        <f t="shared" ref="K62:K68" si="66">G62*H62</f>
        <v>72190.5481</v>
      </c>
      <c r="L62" s="110"/>
      <c r="M62" s="110"/>
      <c r="N62" s="130">
        <f t="shared" ref="N62:N63" si="67">(O62)/P62</f>
        <v>134.08585051184969</v>
      </c>
      <c r="O62" s="131">
        <f t="shared" ref="O62:O63" si="68">I62</f>
        <v>72190.5481</v>
      </c>
      <c r="P62" s="131">
        <f>Comparativo!K38</f>
        <v>538.39049999999997</v>
      </c>
      <c r="Q62" s="110"/>
      <c r="R62" s="126">
        <f t="shared" ref="R62:R63" si="69">N62-1</f>
        <v>133.08585051184969</v>
      </c>
      <c r="S62" s="110"/>
      <c r="T62" s="132">
        <f t="shared" ref="T62:T63" si="70">F62*H62</f>
        <v>0</v>
      </c>
      <c r="U62" s="132">
        <f t="shared" ref="U62:U63" si="71">E62*H62</f>
        <v>0</v>
      </c>
      <c r="V62" s="110"/>
      <c r="W62" s="110"/>
      <c r="X62" s="110"/>
      <c r="Y62" s="110"/>
      <c r="Z62" s="110"/>
      <c r="AA62" s="110"/>
      <c r="AB62" s="110"/>
      <c r="AC62" s="110"/>
      <c r="AD62" s="110"/>
    </row>
    <row r="63" spans="1:30" ht="26.4">
      <c r="A63" s="16" t="s">
        <v>103</v>
      </c>
      <c r="B63" s="17" t="s">
        <v>649</v>
      </c>
      <c r="C63" s="16" t="s">
        <v>15</v>
      </c>
      <c r="D63" s="18">
        <v>54.1</v>
      </c>
      <c r="E63" s="18"/>
      <c r="F63" s="109"/>
      <c r="G63" s="18">
        <f t="shared" si="63"/>
        <v>54.1</v>
      </c>
      <c r="H63" s="18">
        <v>117.58</v>
      </c>
      <c r="I63" s="19">
        <f t="shared" si="64"/>
        <v>6361.0780000000004</v>
      </c>
      <c r="J63" s="19">
        <f t="shared" si="65"/>
        <v>0</v>
      </c>
      <c r="K63" s="19">
        <f t="shared" si="66"/>
        <v>6361.0780000000004</v>
      </c>
      <c r="L63" s="110"/>
      <c r="M63" s="110"/>
      <c r="N63" s="130">
        <f t="shared" si="67"/>
        <v>0.8452863274320821</v>
      </c>
      <c r="O63" s="131">
        <f t="shared" si="68"/>
        <v>6361.0780000000004</v>
      </c>
      <c r="P63" s="131">
        <f>Comparativo!K39</f>
        <v>7525.3529999999992</v>
      </c>
      <c r="Q63" s="110"/>
      <c r="R63" s="126">
        <f t="shared" si="69"/>
        <v>-0.1547136725679179</v>
      </c>
      <c r="S63" s="110"/>
      <c r="T63" s="132">
        <f t="shared" si="70"/>
        <v>0</v>
      </c>
      <c r="U63" s="132">
        <f t="shared" si="71"/>
        <v>0</v>
      </c>
      <c r="V63" s="110"/>
      <c r="W63" s="110"/>
      <c r="X63" s="110"/>
      <c r="Y63" s="110"/>
      <c r="Z63" s="110"/>
      <c r="AA63" s="110"/>
      <c r="AB63" s="110"/>
      <c r="AC63" s="110"/>
      <c r="AD63" s="110"/>
    </row>
    <row r="64" spans="1:30" ht="26.4">
      <c r="A64" s="16" t="s">
        <v>106</v>
      </c>
      <c r="B64" s="17" t="s">
        <v>625</v>
      </c>
      <c r="C64" s="16"/>
      <c r="D64" s="18">
        <v>11.19</v>
      </c>
      <c r="E64" s="18"/>
      <c r="F64" s="109"/>
      <c r="G64" s="18">
        <f t="shared" si="63"/>
        <v>11.19</v>
      </c>
      <c r="H64" s="18">
        <v>553.34</v>
      </c>
      <c r="I64" s="19">
        <f t="shared" si="64"/>
        <v>6191.8746000000001</v>
      </c>
      <c r="J64" s="19">
        <f t="shared" si="65"/>
        <v>0</v>
      </c>
      <c r="K64" s="19">
        <f t="shared" si="66"/>
        <v>6191.8746000000001</v>
      </c>
      <c r="L64" s="110"/>
      <c r="M64" s="110"/>
      <c r="N64" s="130"/>
      <c r="O64" s="131"/>
      <c r="P64" s="131"/>
      <c r="Q64" s="110"/>
      <c r="R64" s="126"/>
      <c r="S64" s="110"/>
      <c r="T64" s="132"/>
      <c r="U64" s="132"/>
      <c r="V64" s="110"/>
      <c r="W64" s="110"/>
      <c r="X64" s="110"/>
      <c r="Y64" s="110"/>
      <c r="Z64" s="110"/>
      <c r="AA64" s="110"/>
      <c r="AB64" s="110"/>
      <c r="AC64" s="110"/>
      <c r="AD64" s="110"/>
    </row>
    <row r="65" spans="1:30" ht="26.4">
      <c r="A65" s="16" t="s">
        <v>109</v>
      </c>
      <c r="B65" s="17" t="s">
        <v>626</v>
      </c>
      <c r="C65" s="16"/>
      <c r="D65" s="18">
        <v>11.19</v>
      </c>
      <c r="E65" s="18"/>
      <c r="F65" s="109"/>
      <c r="G65" s="18">
        <f t="shared" si="63"/>
        <v>11.19</v>
      </c>
      <c r="H65" s="18">
        <v>252.24</v>
      </c>
      <c r="I65" s="19">
        <f t="shared" si="64"/>
        <v>2822.5655999999999</v>
      </c>
      <c r="J65" s="19">
        <f t="shared" si="65"/>
        <v>0</v>
      </c>
      <c r="K65" s="19">
        <f t="shared" si="66"/>
        <v>2822.5655999999999</v>
      </c>
      <c r="L65" s="110"/>
      <c r="M65" s="110"/>
      <c r="N65" s="130"/>
      <c r="O65" s="131"/>
      <c r="P65" s="131"/>
      <c r="Q65" s="110"/>
      <c r="R65" s="126"/>
      <c r="S65" s="110"/>
      <c r="T65" s="132"/>
      <c r="U65" s="132"/>
      <c r="V65" s="110"/>
      <c r="W65" s="110"/>
      <c r="X65" s="110"/>
      <c r="Y65" s="110"/>
      <c r="Z65" s="110"/>
      <c r="AA65" s="110"/>
      <c r="AB65" s="110"/>
      <c r="AC65" s="110"/>
      <c r="AD65" s="110"/>
    </row>
    <row r="66" spans="1:30" ht="26.4">
      <c r="A66" s="16" t="s">
        <v>607</v>
      </c>
      <c r="B66" s="17" t="s">
        <v>651</v>
      </c>
      <c r="C66" s="16"/>
      <c r="D66" s="18">
        <v>486.6</v>
      </c>
      <c r="E66" s="18"/>
      <c r="F66" s="109"/>
      <c r="G66" s="18">
        <f t="shared" si="63"/>
        <v>486.6</v>
      </c>
      <c r="H66" s="18">
        <v>15.95</v>
      </c>
      <c r="I66" s="19">
        <f t="shared" si="64"/>
        <v>7761.27</v>
      </c>
      <c r="J66" s="19">
        <f t="shared" si="65"/>
        <v>0</v>
      </c>
      <c r="K66" s="19">
        <f t="shared" si="66"/>
        <v>7761.27</v>
      </c>
      <c r="L66" s="110"/>
      <c r="M66" s="110"/>
      <c r="N66" s="130"/>
      <c r="O66" s="131"/>
      <c r="P66" s="131"/>
      <c r="Q66" s="110"/>
      <c r="R66" s="126"/>
      <c r="S66" s="110"/>
      <c r="T66" s="132"/>
      <c r="U66" s="132"/>
      <c r="V66" s="110"/>
      <c r="W66" s="110"/>
      <c r="X66" s="110"/>
      <c r="Y66" s="110"/>
      <c r="Z66" s="110"/>
      <c r="AA66" s="110"/>
      <c r="AB66" s="110"/>
      <c r="AC66" s="110"/>
      <c r="AD66" s="110"/>
    </row>
    <row r="67" spans="1:30" ht="26.4">
      <c r="A67" s="16" t="s">
        <v>608</v>
      </c>
      <c r="B67" s="17" t="s">
        <v>640</v>
      </c>
      <c r="C67" s="16"/>
      <c r="D67" s="18">
        <v>104.5</v>
      </c>
      <c r="E67" s="18"/>
      <c r="F67" s="109"/>
      <c r="G67" s="18">
        <f t="shared" si="63"/>
        <v>104.5</v>
      </c>
      <c r="H67" s="18">
        <v>14.49</v>
      </c>
      <c r="I67" s="19">
        <f t="shared" si="64"/>
        <v>1514.2049999999999</v>
      </c>
      <c r="J67" s="19">
        <f t="shared" si="65"/>
        <v>0</v>
      </c>
      <c r="K67" s="19">
        <f t="shared" si="66"/>
        <v>1514.2049999999999</v>
      </c>
      <c r="L67" s="110"/>
      <c r="M67" s="110"/>
      <c r="N67" s="130"/>
      <c r="O67" s="131"/>
      <c r="P67" s="131"/>
      <c r="Q67" s="110"/>
      <c r="R67" s="126"/>
      <c r="S67" s="110"/>
      <c r="T67" s="132"/>
      <c r="U67" s="132"/>
      <c r="V67" s="110"/>
      <c r="W67" s="110"/>
      <c r="X67" s="110"/>
      <c r="Y67" s="110"/>
      <c r="Z67" s="110"/>
      <c r="AA67" s="110"/>
      <c r="AB67" s="110"/>
      <c r="AC67" s="110"/>
      <c r="AD67" s="110"/>
    </row>
    <row r="68" spans="1:30" ht="26.4">
      <c r="A68" s="16" t="s">
        <v>609</v>
      </c>
      <c r="B68" s="17" t="s">
        <v>643</v>
      </c>
      <c r="C68" s="16"/>
      <c r="D68" s="18">
        <v>712</v>
      </c>
      <c r="E68" s="18"/>
      <c r="F68" s="109"/>
      <c r="G68" s="18">
        <f t="shared" si="63"/>
        <v>712</v>
      </c>
      <c r="H68" s="18">
        <v>16.66</v>
      </c>
      <c r="I68" s="19">
        <f t="shared" si="64"/>
        <v>11861.92</v>
      </c>
      <c r="J68" s="19">
        <f t="shared" si="65"/>
        <v>0</v>
      </c>
      <c r="K68" s="19">
        <f t="shared" si="66"/>
        <v>11861.92</v>
      </c>
      <c r="L68" s="110"/>
      <c r="M68" s="110"/>
      <c r="N68" s="130"/>
      <c r="O68" s="131"/>
      <c r="P68" s="131"/>
      <c r="Q68" s="110"/>
      <c r="R68" s="126"/>
      <c r="S68" s="110"/>
      <c r="T68" s="132"/>
      <c r="U68" s="132"/>
      <c r="V68" s="110"/>
      <c r="W68" s="110"/>
      <c r="X68" s="110"/>
      <c r="Y68" s="110"/>
      <c r="Z68" s="110"/>
      <c r="AA68" s="110"/>
      <c r="AB68" s="110"/>
      <c r="AC68" s="110"/>
      <c r="AD68" s="110"/>
    </row>
    <row r="69" spans="1:30">
      <c r="A69" s="13">
        <v>9</v>
      </c>
      <c r="B69" s="14" t="s">
        <v>661</v>
      </c>
      <c r="C69" s="13"/>
      <c r="D69" s="13"/>
      <c r="E69" s="13"/>
      <c r="F69" s="13"/>
      <c r="G69" s="13"/>
      <c r="H69" s="13"/>
      <c r="I69" s="15">
        <f>SUM(I70:I70)</f>
        <v>7097.1302999999998</v>
      </c>
      <c r="J69" s="15">
        <f>SUM(J70:J70)</f>
        <v>0</v>
      </c>
      <c r="K69" s="15">
        <f>SUM(K70:K70)</f>
        <v>7097.1302999999998</v>
      </c>
      <c r="L69" s="110"/>
      <c r="M69" s="110"/>
      <c r="N69" s="133"/>
      <c r="O69" s="133"/>
      <c r="P69" s="133"/>
      <c r="Q69" s="110"/>
      <c r="R69" s="126"/>
      <c r="S69" s="110"/>
      <c r="T69" s="132"/>
      <c r="U69" s="132"/>
      <c r="V69" s="110"/>
      <c r="W69" s="110"/>
      <c r="X69" s="110"/>
      <c r="Y69" s="110"/>
      <c r="Z69" s="110"/>
      <c r="AA69" s="110"/>
      <c r="AB69" s="110"/>
      <c r="AC69" s="110"/>
      <c r="AD69" s="110"/>
    </row>
    <row r="70" spans="1:30" ht="39.6">
      <c r="A70" s="16" t="s">
        <v>114</v>
      </c>
      <c r="B70" s="17" t="s">
        <v>662</v>
      </c>
      <c r="C70" s="16" t="s">
        <v>15</v>
      </c>
      <c r="D70" s="18">
        <v>31.87</v>
      </c>
      <c r="E70" s="18"/>
      <c r="F70" s="18"/>
      <c r="G70" s="18">
        <f t="shared" ref="G70" si="72">D70+E70-F70</f>
        <v>31.87</v>
      </c>
      <c r="H70" s="18">
        <v>222.69</v>
      </c>
      <c r="I70" s="19">
        <f>H70*D70</f>
        <v>7097.1302999999998</v>
      </c>
      <c r="J70" s="19">
        <f t="shared" ref="J70" si="73">K70-I70</f>
        <v>0</v>
      </c>
      <c r="K70" s="19">
        <f t="shared" ref="K70" si="74">G70*H70</f>
        <v>7097.1302999999998</v>
      </c>
      <c r="L70" s="110"/>
      <c r="M70" s="110"/>
      <c r="N70" s="130">
        <f t="shared" ref="N70" si="75">(O70)/P70</f>
        <v>1.0790508935645382</v>
      </c>
      <c r="O70" s="131">
        <f t="shared" ref="O70" si="76">I70</f>
        <v>7097.1302999999998</v>
      </c>
      <c r="P70" s="131">
        <f>Comparativo!K44</f>
        <v>6577.1969999999992</v>
      </c>
      <c r="Q70" s="110"/>
      <c r="R70" s="126">
        <f t="shared" ref="R70" si="77">N70-1</f>
        <v>7.9050893564538205E-2</v>
      </c>
      <c r="S70" s="110"/>
      <c r="T70" s="132">
        <f t="shared" ref="T70" si="78">F70*H70</f>
        <v>0</v>
      </c>
      <c r="U70" s="132">
        <f t="shared" ref="U70" si="79">E70*H70</f>
        <v>0</v>
      </c>
      <c r="V70" s="110"/>
      <c r="W70" s="110"/>
      <c r="X70" s="110"/>
      <c r="Y70" s="110"/>
      <c r="Z70" s="110"/>
      <c r="AA70" s="110"/>
      <c r="AB70" s="110"/>
      <c r="AC70" s="110"/>
      <c r="AD70" s="110"/>
    </row>
    <row r="71" spans="1:30">
      <c r="A71" s="13">
        <v>10</v>
      </c>
      <c r="B71" s="14" t="s">
        <v>663</v>
      </c>
      <c r="C71" s="13"/>
      <c r="D71" s="13"/>
      <c r="E71" s="13"/>
      <c r="F71" s="13"/>
      <c r="G71" s="13"/>
      <c r="H71" s="13"/>
      <c r="I71" s="15">
        <f>SUM(I72:I74)</f>
        <v>82930.575600000011</v>
      </c>
      <c r="J71" s="15">
        <f>SUM(J72:J74)</f>
        <v>0</v>
      </c>
      <c r="K71" s="15">
        <f>SUM(K72:K74)</f>
        <v>82930.575600000011</v>
      </c>
      <c r="L71" s="110"/>
      <c r="M71" s="110"/>
      <c r="N71" s="133"/>
      <c r="O71" s="133"/>
      <c r="P71" s="133"/>
      <c r="Q71" s="110"/>
      <c r="R71" s="126"/>
      <c r="S71" s="110"/>
      <c r="T71" s="132"/>
      <c r="U71" s="132"/>
      <c r="V71" s="110"/>
      <c r="W71" s="110"/>
      <c r="X71" s="110"/>
      <c r="Y71" s="110"/>
      <c r="Z71" s="110"/>
      <c r="AA71" s="110"/>
      <c r="AB71" s="110"/>
      <c r="AC71" s="110"/>
      <c r="AD71" s="110"/>
    </row>
    <row r="72" spans="1:30">
      <c r="A72" s="16" t="s">
        <v>664</v>
      </c>
      <c r="B72" s="21" t="s">
        <v>665</v>
      </c>
      <c r="C72" s="16" t="s">
        <v>64</v>
      </c>
      <c r="D72" s="18">
        <v>656.2</v>
      </c>
      <c r="E72" s="18"/>
      <c r="F72" s="18"/>
      <c r="G72" s="18">
        <f t="shared" ref="G72:G74" si="80">D72+E72-F72</f>
        <v>656.2</v>
      </c>
      <c r="H72" s="18">
        <v>83.95</v>
      </c>
      <c r="I72" s="19">
        <f t="shared" ref="I72:I74" si="81">D72*H72</f>
        <v>55087.990000000005</v>
      </c>
      <c r="J72" s="19">
        <f t="shared" ref="J72:J74" si="82">K72-I72</f>
        <v>0</v>
      </c>
      <c r="K72" s="19">
        <f t="shared" ref="K72:K74" si="83">G72*H72</f>
        <v>55087.990000000005</v>
      </c>
      <c r="L72" s="110"/>
      <c r="M72" s="110"/>
      <c r="N72" s="130" t="e">
        <f>#REF!</f>
        <v>#REF!</v>
      </c>
      <c r="O72" s="134" t="e">
        <f t="shared" ref="O72" si="84">N72*P72</f>
        <v>#REF!</v>
      </c>
      <c r="P72" s="134">
        <v>833.12</v>
      </c>
      <c r="Q72" s="110"/>
      <c r="R72" s="126" t="e">
        <f t="shared" ref="R72" si="85">N72-1</f>
        <v>#REF!</v>
      </c>
      <c r="S72" s="110"/>
      <c r="T72" s="132">
        <f t="shared" ref="T72" si="86">F72*H72</f>
        <v>0</v>
      </c>
      <c r="U72" s="132">
        <f t="shared" ref="U72" si="87">E72*H72</f>
        <v>0</v>
      </c>
      <c r="V72" s="110"/>
      <c r="W72" s="110"/>
      <c r="X72" s="110"/>
      <c r="Y72" s="110"/>
      <c r="Z72" s="110"/>
      <c r="AA72" s="110"/>
      <c r="AB72" s="110"/>
      <c r="AC72" s="110"/>
      <c r="AD72" s="110"/>
    </row>
    <row r="73" spans="1:30" ht="40.799999999999997" customHeight="1">
      <c r="A73" s="16" t="s">
        <v>668</v>
      </c>
      <c r="B73" s="17" t="s">
        <v>666</v>
      </c>
      <c r="C73" s="16"/>
      <c r="D73" s="18">
        <v>21.03</v>
      </c>
      <c r="E73" s="18"/>
      <c r="F73" s="18"/>
      <c r="G73" s="18">
        <f t="shared" si="80"/>
        <v>21.03</v>
      </c>
      <c r="H73" s="18">
        <v>687.36</v>
      </c>
      <c r="I73" s="19">
        <f t="shared" si="81"/>
        <v>14455.180800000002</v>
      </c>
      <c r="J73" s="19">
        <f t="shared" si="82"/>
        <v>0</v>
      </c>
      <c r="K73" s="19">
        <f t="shared" si="83"/>
        <v>14455.180800000002</v>
      </c>
      <c r="L73" s="110"/>
      <c r="M73" s="110"/>
      <c r="N73" s="151"/>
      <c r="O73" s="152"/>
      <c r="P73" s="152"/>
      <c r="Q73" s="110"/>
      <c r="R73" s="126"/>
      <c r="S73" s="110"/>
      <c r="T73" s="132"/>
      <c r="U73" s="132"/>
      <c r="V73" s="110"/>
      <c r="W73" s="110"/>
      <c r="X73" s="110"/>
      <c r="Y73" s="110"/>
      <c r="Z73" s="110"/>
      <c r="AA73" s="110"/>
      <c r="AB73" s="110"/>
      <c r="AC73" s="110"/>
      <c r="AD73" s="110"/>
    </row>
    <row r="74" spans="1:30" ht="39.6">
      <c r="A74" s="16" t="s">
        <v>669</v>
      </c>
      <c r="B74" s="17" t="s">
        <v>667</v>
      </c>
      <c r="C74" s="16"/>
      <c r="D74" s="18">
        <v>21.76</v>
      </c>
      <c r="E74" s="18"/>
      <c r="F74" s="18"/>
      <c r="G74" s="18">
        <f t="shared" si="80"/>
        <v>21.76</v>
      </c>
      <c r="H74" s="18">
        <v>615.23</v>
      </c>
      <c r="I74" s="19">
        <f t="shared" si="81"/>
        <v>13387.404800000002</v>
      </c>
      <c r="J74" s="19">
        <f t="shared" si="82"/>
        <v>0</v>
      </c>
      <c r="K74" s="19">
        <f t="shared" si="83"/>
        <v>13387.404800000002</v>
      </c>
      <c r="L74" s="110"/>
      <c r="M74" s="110"/>
      <c r="N74" s="151"/>
      <c r="O74" s="152"/>
      <c r="P74" s="152"/>
      <c r="Q74" s="110"/>
      <c r="R74" s="126"/>
      <c r="S74" s="110"/>
      <c r="T74" s="132"/>
      <c r="U74" s="132"/>
      <c r="V74" s="110"/>
      <c r="W74" s="110"/>
      <c r="X74" s="110"/>
      <c r="Y74" s="110"/>
      <c r="Z74" s="110"/>
      <c r="AA74" s="110"/>
      <c r="AB74" s="110"/>
      <c r="AC74" s="110"/>
      <c r="AD74" s="110"/>
    </row>
    <row r="75" spans="1:30" ht="14.4" customHeight="1">
      <c r="A75" s="13">
        <v>11</v>
      </c>
      <c r="B75" s="14" t="s">
        <v>670</v>
      </c>
      <c r="C75" s="13"/>
      <c r="D75" s="13"/>
      <c r="E75" s="13"/>
      <c r="F75" s="13"/>
      <c r="G75" s="13"/>
      <c r="H75" s="13"/>
      <c r="I75" s="15">
        <f>SUM(I76:I78)</f>
        <v>28292.489999999998</v>
      </c>
      <c r="J75" s="15">
        <f>SUM(J76:J78)</f>
        <v>0</v>
      </c>
      <c r="K75" s="15">
        <f>SUM(K76:K78)</f>
        <v>28292.489999999998</v>
      </c>
      <c r="L75" s="110"/>
      <c r="M75" s="110"/>
      <c r="N75" s="133"/>
      <c r="O75" s="133"/>
      <c r="P75" s="133"/>
      <c r="Q75" s="110"/>
      <c r="R75" s="126"/>
      <c r="S75" s="110"/>
      <c r="T75" s="132"/>
      <c r="U75" s="132"/>
      <c r="V75" s="110"/>
      <c r="W75" s="110"/>
      <c r="X75" s="110"/>
      <c r="Y75" s="110"/>
      <c r="Z75" s="110"/>
      <c r="AA75" s="110"/>
      <c r="AB75" s="110"/>
      <c r="AC75" s="110"/>
      <c r="AD75" s="110"/>
    </row>
    <row r="76" spans="1:30" ht="40.200000000000003">
      <c r="A76" s="16" t="s">
        <v>671</v>
      </c>
      <c r="B76" s="155" t="s">
        <v>672</v>
      </c>
      <c r="C76" s="16" t="s">
        <v>64</v>
      </c>
      <c r="D76" s="18">
        <v>8</v>
      </c>
      <c r="E76" s="18"/>
      <c r="F76" s="18"/>
      <c r="G76" s="18">
        <f t="shared" ref="G76:G78" si="88">D76+E76-F76</f>
        <v>8</v>
      </c>
      <c r="H76" s="18">
        <v>1059</v>
      </c>
      <c r="I76" s="19">
        <f>D76*H76</f>
        <v>8472</v>
      </c>
      <c r="J76" s="19">
        <f t="shared" ref="J76:J78" si="89">K76-I76</f>
        <v>0</v>
      </c>
      <c r="K76" s="19">
        <f t="shared" ref="K76:K78" si="90">G76*H76</f>
        <v>8472</v>
      </c>
      <c r="L76" s="110"/>
      <c r="M76" s="110"/>
      <c r="N76" s="130" t="e">
        <f>#REF!</f>
        <v>#REF!</v>
      </c>
      <c r="O76" s="134" t="e">
        <f t="shared" ref="O76" si="91">N76*P76</f>
        <v>#REF!</v>
      </c>
      <c r="P76" s="134">
        <v>833.12</v>
      </c>
      <c r="Q76" s="110"/>
      <c r="R76" s="126" t="e">
        <f t="shared" ref="R76" si="92">N76-1</f>
        <v>#REF!</v>
      </c>
      <c r="S76" s="110"/>
      <c r="T76" s="132">
        <f t="shared" ref="T76" si="93">F76*H76</f>
        <v>0</v>
      </c>
      <c r="U76" s="132">
        <f t="shared" ref="U76" si="94">E76*H76</f>
        <v>0</v>
      </c>
      <c r="V76" s="110"/>
      <c r="W76" s="110"/>
      <c r="X76" s="110"/>
      <c r="Y76" s="110"/>
      <c r="Z76" s="110"/>
      <c r="AA76" s="110"/>
      <c r="AB76" s="110"/>
      <c r="AC76" s="110"/>
      <c r="AD76" s="110"/>
    </row>
    <row r="77" spans="1:30" ht="40.200000000000003">
      <c r="A77" s="16" t="s">
        <v>674</v>
      </c>
      <c r="B77" s="155" t="s">
        <v>673</v>
      </c>
      <c r="C77" s="16"/>
      <c r="D77" s="18">
        <v>9</v>
      </c>
      <c r="E77" s="18"/>
      <c r="F77" s="18"/>
      <c r="G77" s="18">
        <f t="shared" si="88"/>
        <v>9</v>
      </c>
      <c r="H77" s="18">
        <v>1025.6099999999999</v>
      </c>
      <c r="I77" s="19">
        <f>D77*H77</f>
        <v>9230.49</v>
      </c>
      <c r="J77" s="19">
        <f t="shared" si="89"/>
        <v>0</v>
      </c>
      <c r="K77" s="19">
        <f t="shared" si="90"/>
        <v>9230.49</v>
      </c>
      <c r="L77" s="110"/>
      <c r="M77" s="110"/>
      <c r="N77" s="151"/>
      <c r="O77" s="152"/>
      <c r="P77" s="152"/>
      <c r="Q77" s="110"/>
      <c r="R77" s="126"/>
      <c r="S77" s="110"/>
      <c r="T77" s="132"/>
      <c r="U77" s="132"/>
      <c r="V77" s="110"/>
      <c r="W77" s="110"/>
      <c r="X77" s="110"/>
      <c r="Y77" s="110"/>
      <c r="Z77" s="110"/>
      <c r="AA77" s="110"/>
      <c r="AB77" s="110"/>
      <c r="AC77" s="110"/>
      <c r="AD77" s="110"/>
    </row>
    <row r="78" spans="1:30" ht="40.200000000000003">
      <c r="A78" s="16" t="s">
        <v>675</v>
      </c>
      <c r="B78" s="155" t="s">
        <v>672</v>
      </c>
      <c r="C78" s="16"/>
      <c r="D78" s="18">
        <v>10</v>
      </c>
      <c r="E78" s="18"/>
      <c r="F78" s="18"/>
      <c r="G78" s="18">
        <f t="shared" si="88"/>
        <v>10</v>
      </c>
      <c r="H78" s="18">
        <v>1059</v>
      </c>
      <c r="I78" s="19">
        <f t="shared" ref="I78" si="95">D78*H78</f>
        <v>10590</v>
      </c>
      <c r="J78" s="19">
        <f t="shared" si="89"/>
        <v>0</v>
      </c>
      <c r="K78" s="19">
        <f t="shared" si="90"/>
        <v>10590</v>
      </c>
      <c r="L78" s="110"/>
      <c r="M78" s="110"/>
      <c r="N78" s="151"/>
      <c r="O78" s="152"/>
      <c r="P78" s="152"/>
      <c r="Q78" s="110"/>
      <c r="R78" s="126"/>
      <c r="S78" s="110"/>
      <c r="T78" s="132"/>
      <c r="U78" s="132"/>
      <c r="V78" s="110"/>
      <c r="W78" s="110"/>
      <c r="X78" s="110"/>
      <c r="Y78" s="110"/>
      <c r="Z78" s="110"/>
      <c r="AA78" s="110"/>
      <c r="AB78" s="110"/>
      <c r="AC78" s="110"/>
      <c r="AD78" s="110"/>
    </row>
    <row r="79" spans="1:30">
      <c r="A79" s="13">
        <v>12</v>
      </c>
      <c r="B79" s="14" t="s">
        <v>676</v>
      </c>
      <c r="C79" s="13"/>
      <c r="D79" s="13"/>
      <c r="E79" s="13"/>
      <c r="F79" s="13"/>
      <c r="G79" s="13"/>
      <c r="H79" s="13"/>
      <c r="I79" s="15">
        <f>SUM(I80:I80)</f>
        <v>1814.12</v>
      </c>
      <c r="J79" s="15">
        <f>SUM(J80:J80)</f>
        <v>0</v>
      </c>
      <c r="K79" s="15">
        <f>SUM(K80)</f>
        <v>1814.12</v>
      </c>
      <c r="L79" s="110"/>
      <c r="M79" s="110"/>
      <c r="N79" s="133"/>
      <c r="O79" s="133"/>
      <c r="P79" s="133"/>
      <c r="Q79" s="110"/>
      <c r="R79" s="126"/>
      <c r="S79" s="110"/>
      <c r="T79" s="132"/>
      <c r="U79" s="132"/>
      <c r="V79" s="110"/>
      <c r="W79" s="110"/>
      <c r="X79" s="110"/>
      <c r="Y79" s="110"/>
      <c r="Z79" s="110"/>
      <c r="AA79" s="110"/>
      <c r="AB79" s="110"/>
      <c r="AC79" s="110"/>
      <c r="AD79" s="110"/>
    </row>
    <row r="80" spans="1:30" ht="27">
      <c r="A80" s="16" t="s">
        <v>678</v>
      </c>
      <c r="B80" s="155" t="s">
        <v>677</v>
      </c>
      <c r="C80" s="16" t="s">
        <v>64</v>
      </c>
      <c r="D80" s="18">
        <v>2</v>
      </c>
      <c r="E80" s="18"/>
      <c r="F80" s="18"/>
      <c r="G80" s="18">
        <f t="shared" ref="G80" si="96">D80+E80-F80</f>
        <v>2</v>
      </c>
      <c r="H80" s="18">
        <v>907.06</v>
      </c>
      <c r="I80" s="19">
        <f t="shared" ref="I80" si="97">D80*H80</f>
        <v>1814.12</v>
      </c>
      <c r="J80" s="19">
        <f t="shared" ref="J80" si="98">K80-I80</f>
        <v>0</v>
      </c>
      <c r="K80" s="19">
        <f t="shared" ref="K80" si="99">G80*H80</f>
        <v>1814.12</v>
      </c>
      <c r="L80" s="110"/>
      <c r="M80" s="110"/>
      <c r="N80" s="130" t="e">
        <f>#REF!</f>
        <v>#REF!</v>
      </c>
      <c r="O80" s="134" t="e">
        <f t="shared" ref="O80" si="100">N80*P80</f>
        <v>#REF!</v>
      </c>
      <c r="P80" s="134">
        <v>833.12</v>
      </c>
      <c r="Q80" s="110"/>
      <c r="R80" s="126" t="e">
        <f t="shared" ref="R80" si="101">N80-1</f>
        <v>#REF!</v>
      </c>
      <c r="S80" s="110"/>
      <c r="T80" s="132">
        <f t="shared" ref="T80" si="102">F80*H80</f>
        <v>0</v>
      </c>
      <c r="U80" s="132">
        <f t="shared" ref="U80" si="103">E80*H80</f>
        <v>0</v>
      </c>
      <c r="V80" s="110"/>
      <c r="W80" s="110"/>
      <c r="X80" s="110"/>
      <c r="Y80" s="110"/>
      <c r="Z80" s="110"/>
      <c r="AA80" s="110"/>
      <c r="AB80" s="110"/>
      <c r="AC80" s="110"/>
      <c r="AD80" s="110"/>
    </row>
    <row r="81" spans="1:30">
      <c r="A81" s="13">
        <v>13</v>
      </c>
      <c r="B81" s="14" t="s">
        <v>1020</v>
      </c>
      <c r="C81" s="13"/>
      <c r="D81" s="13"/>
      <c r="E81" s="13"/>
      <c r="F81" s="13"/>
      <c r="G81" s="13"/>
      <c r="H81" s="13"/>
      <c r="I81" s="15">
        <f>SUM(I82:I87)</f>
        <v>38470.9755</v>
      </c>
      <c r="J81" s="15">
        <f>SUM(J82:J87)</f>
        <v>0</v>
      </c>
      <c r="K81" s="15">
        <f>SUM(K82:K87)</f>
        <v>38470.9755</v>
      </c>
      <c r="L81" s="110"/>
      <c r="M81" s="110"/>
      <c r="N81" s="133"/>
      <c r="O81" s="133"/>
      <c r="P81" s="133"/>
      <c r="Q81" s="110"/>
      <c r="R81" s="126"/>
      <c r="S81" s="110"/>
      <c r="T81" s="132"/>
      <c r="U81" s="132"/>
      <c r="V81" s="110"/>
      <c r="W81" s="110"/>
      <c r="X81" s="110"/>
      <c r="Y81" s="110"/>
      <c r="Z81" s="110"/>
      <c r="AA81" s="110"/>
      <c r="AB81" s="110"/>
      <c r="AC81" s="110"/>
      <c r="AD81" s="110"/>
    </row>
    <row r="82" spans="1:30" ht="40.200000000000003">
      <c r="A82" s="16" t="s">
        <v>1021</v>
      </c>
      <c r="B82" s="155" t="s">
        <v>1017</v>
      </c>
      <c r="C82" s="16" t="s">
        <v>64</v>
      </c>
      <c r="D82" s="18">
        <v>2.46</v>
      </c>
      <c r="E82" s="18"/>
      <c r="F82" s="18"/>
      <c r="G82" s="18">
        <f t="shared" ref="G82:G145" si="104">D82+E82-F82</f>
        <v>2.46</v>
      </c>
      <c r="H82" s="18">
        <v>927.51</v>
      </c>
      <c r="I82" s="19">
        <f t="shared" ref="I82:I87" si="105">D82*H82</f>
        <v>2281.6745999999998</v>
      </c>
      <c r="J82" s="19">
        <f t="shared" ref="J82:J93" si="106">K82-I82</f>
        <v>0</v>
      </c>
      <c r="K82" s="19">
        <f t="shared" ref="K82:K93" si="107">G82*H82</f>
        <v>2281.6745999999998</v>
      </c>
      <c r="L82" s="110"/>
      <c r="M82" s="110"/>
      <c r="N82" s="130" t="e">
        <f>#REF!</f>
        <v>#REF!</v>
      </c>
      <c r="O82" s="134" t="e">
        <f t="shared" ref="O82" si="108">N82*P82</f>
        <v>#REF!</v>
      </c>
      <c r="P82" s="134">
        <v>833.12</v>
      </c>
      <c r="Q82" s="110"/>
      <c r="R82" s="126" t="e">
        <f t="shared" ref="R82" si="109">N82-1</f>
        <v>#REF!</v>
      </c>
      <c r="S82" s="110"/>
      <c r="T82" s="132">
        <f t="shared" ref="T82" si="110">F82*H82</f>
        <v>0</v>
      </c>
      <c r="U82" s="132">
        <f t="shared" ref="U82" si="111">E82*H82</f>
        <v>0</v>
      </c>
      <c r="V82" s="110"/>
      <c r="W82" s="110"/>
      <c r="X82" s="110"/>
      <c r="Y82" s="110"/>
      <c r="Z82" s="110"/>
      <c r="AA82" s="110"/>
      <c r="AB82" s="110"/>
      <c r="AC82" s="110"/>
      <c r="AD82" s="110"/>
    </row>
    <row r="83" spans="1:30" ht="40.200000000000003">
      <c r="A83" s="16" t="s">
        <v>1022</v>
      </c>
      <c r="B83" s="155" t="s">
        <v>1017</v>
      </c>
      <c r="C83" s="16"/>
      <c r="D83" s="18">
        <v>1.1200000000000001</v>
      </c>
      <c r="E83" s="18"/>
      <c r="F83" s="18"/>
      <c r="G83" s="18">
        <f t="shared" si="104"/>
        <v>1.1200000000000001</v>
      </c>
      <c r="H83" s="18">
        <v>927.51</v>
      </c>
      <c r="I83" s="19">
        <f t="shared" si="105"/>
        <v>1038.8112000000001</v>
      </c>
      <c r="J83" s="19">
        <f t="shared" si="106"/>
        <v>0</v>
      </c>
      <c r="K83" s="19">
        <f t="shared" si="107"/>
        <v>1038.8112000000001</v>
      </c>
      <c r="L83" s="110"/>
      <c r="M83" s="110"/>
      <c r="N83" s="151"/>
      <c r="O83" s="152"/>
      <c r="P83" s="152"/>
      <c r="Q83" s="110"/>
      <c r="R83" s="126"/>
      <c r="S83" s="110"/>
      <c r="T83" s="132"/>
      <c r="U83" s="132"/>
      <c r="V83" s="110"/>
      <c r="W83" s="110"/>
      <c r="X83" s="110"/>
      <c r="Y83" s="110"/>
      <c r="Z83" s="110"/>
      <c r="AA83" s="110"/>
      <c r="AB83" s="110"/>
      <c r="AC83" s="110"/>
      <c r="AD83" s="110"/>
    </row>
    <row r="84" spans="1:30" ht="40.200000000000003">
      <c r="A84" s="16" t="s">
        <v>1023</v>
      </c>
      <c r="B84" s="155" t="s">
        <v>1017</v>
      </c>
      <c r="C84" s="16"/>
      <c r="D84" s="18">
        <v>8.0500000000000007</v>
      </c>
      <c r="E84" s="18"/>
      <c r="F84" s="18"/>
      <c r="G84" s="18">
        <f t="shared" si="104"/>
        <v>8.0500000000000007</v>
      </c>
      <c r="H84" s="18">
        <v>927.51</v>
      </c>
      <c r="I84" s="19">
        <f t="shared" si="105"/>
        <v>7466.4555000000009</v>
      </c>
      <c r="J84" s="19">
        <f t="shared" si="106"/>
        <v>0</v>
      </c>
      <c r="K84" s="19">
        <f t="shared" si="107"/>
        <v>7466.4555000000009</v>
      </c>
      <c r="L84" s="110"/>
      <c r="M84" s="110"/>
      <c r="N84" s="151"/>
      <c r="O84" s="152"/>
      <c r="P84" s="152"/>
      <c r="Q84" s="110"/>
      <c r="R84" s="126"/>
      <c r="S84" s="110"/>
      <c r="T84" s="132"/>
      <c r="U84" s="132"/>
      <c r="V84" s="110"/>
      <c r="W84" s="110"/>
      <c r="X84" s="110"/>
      <c r="Y84" s="110"/>
      <c r="Z84" s="110"/>
      <c r="AA84" s="110"/>
      <c r="AB84" s="110"/>
      <c r="AC84" s="110"/>
      <c r="AD84" s="110"/>
    </row>
    <row r="85" spans="1:30" ht="40.200000000000003">
      <c r="A85" s="16" t="s">
        <v>1024</v>
      </c>
      <c r="B85" s="155" t="s">
        <v>1018</v>
      </c>
      <c r="C85" s="16"/>
      <c r="D85" s="18">
        <v>1.34</v>
      </c>
      <c r="E85" s="18"/>
      <c r="F85" s="18"/>
      <c r="G85" s="18">
        <f t="shared" si="104"/>
        <v>1.34</v>
      </c>
      <c r="H85" s="18">
        <v>917.63</v>
      </c>
      <c r="I85" s="19">
        <f t="shared" si="105"/>
        <v>1229.6242</v>
      </c>
      <c r="J85" s="19">
        <f t="shared" si="106"/>
        <v>0</v>
      </c>
      <c r="K85" s="19">
        <f t="shared" si="107"/>
        <v>1229.6242</v>
      </c>
      <c r="L85" s="110"/>
      <c r="M85" s="110"/>
      <c r="N85" s="151"/>
      <c r="O85" s="152"/>
      <c r="P85" s="152"/>
      <c r="Q85" s="110"/>
      <c r="R85" s="126"/>
      <c r="S85" s="110"/>
      <c r="T85" s="132"/>
      <c r="U85" s="132"/>
      <c r="V85" s="110"/>
      <c r="W85" s="110"/>
      <c r="X85" s="110"/>
      <c r="Y85" s="110"/>
      <c r="Z85" s="110"/>
      <c r="AA85" s="110"/>
      <c r="AB85" s="110"/>
      <c r="AC85" s="110"/>
      <c r="AD85" s="110"/>
    </row>
    <row r="86" spans="1:30" ht="40.200000000000003">
      <c r="A86" s="16" t="s">
        <v>1025</v>
      </c>
      <c r="B86" s="155" t="s">
        <v>1018</v>
      </c>
      <c r="C86" s="16"/>
      <c r="D86" s="18">
        <v>21.48</v>
      </c>
      <c r="E86" s="18"/>
      <c r="F86" s="18"/>
      <c r="G86" s="18">
        <f t="shared" si="104"/>
        <v>21.48</v>
      </c>
      <c r="H86" s="18">
        <v>917.63</v>
      </c>
      <c r="I86" s="19">
        <f t="shared" si="105"/>
        <v>19710.6924</v>
      </c>
      <c r="J86" s="19">
        <f t="shared" si="106"/>
        <v>0</v>
      </c>
      <c r="K86" s="19">
        <f t="shared" si="107"/>
        <v>19710.6924</v>
      </c>
      <c r="L86" s="110"/>
      <c r="M86" s="110"/>
      <c r="N86" s="151"/>
      <c r="O86" s="152"/>
      <c r="P86" s="152"/>
      <c r="Q86" s="110"/>
      <c r="R86" s="126"/>
      <c r="S86" s="110"/>
      <c r="T86" s="132"/>
      <c r="U86" s="132"/>
      <c r="V86" s="110"/>
      <c r="W86" s="110"/>
      <c r="X86" s="110"/>
      <c r="Y86" s="110"/>
      <c r="Z86" s="110"/>
      <c r="AA86" s="110"/>
      <c r="AB86" s="110"/>
      <c r="AC86" s="110"/>
      <c r="AD86" s="110"/>
    </row>
    <row r="87" spans="1:30" ht="40.200000000000003">
      <c r="A87" s="16" t="s">
        <v>1026</v>
      </c>
      <c r="B87" s="155" t="s">
        <v>1019</v>
      </c>
      <c r="C87" s="16"/>
      <c r="D87" s="18">
        <v>7.16</v>
      </c>
      <c r="E87" s="18"/>
      <c r="F87" s="18"/>
      <c r="G87" s="18">
        <f t="shared" si="104"/>
        <v>7.16</v>
      </c>
      <c r="H87" s="18">
        <v>941.86</v>
      </c>
      <c r="I87" s="19">
        <f t="shared" si="105"/>
        <v>6743.7175999999999</v>
      </c>
      <c r="J87" s="19">
        <f t="shared" si="106"/>
        <v>0</v>
      </c>
      <c r="K87" s="19">
        <f t="shared" si="107"/>
        <v>6743.7175999999999</v>
      </c>
      <c r="L87" s="110"/>
      <c r="M87" s="110"/>
      <c r="N87" s="151"/>
      <c r="O87" s="152"/>
      <c r="P87" s="152"/>
      <c r="Q87" s="110"/>
      <c r="R87" s="126"/>
      <c r="S87" s="110"/>
      <c r="T87" s="132"/>
      <c r="U87" s="132"/>
      <c r="V87" s="110"/>
      <c r="W87" s="110"/>
      <c r="X87" s="110"/>
      <c r="Y87" s="110"/>
      <c r="Z87" s="110"/>
      <c r="AA87" s="110"/>
      <c r="AB87" s="110"/>
      <c r="AC87" s="110"/>
      <c r="AD87" s="110"/>
    </row>
    <row r="88" spans="1:30">
      <c r="A88" s="13">
        <v>14</v>
      </c>
      <c r="B88" s="14" t="s">
        <v>43</v>
      </c>
      <c r="C88" s="13"/>
      <c r="D88" s="13"/>
      <c r="E88" s="13"/>
      <c r="F88" s="13"/>
      <c r="G88" s="13"/>
      <c r="H88" s="13"/>
      <c r="I88" s="15">
        <f>SUM(I89:I91)</f>
        <v>22129.019500000002</v>
      </c>
      <c r="J88" s="15">
        <f>SUM(J89:J91)</f>
        <v>0</v>
      </c>
      <c r="K88" s="15">
        <f>SUM(K89:K91)</f>
        <v>22129.019500000002</v>
      </c>
      <c r="L88" s="110"/>
      <c r="M88" s="110"/>
      <c r="N88" s="133"/>
      <c r="O88" s="133"/>
      <c r="P88" s="133"/>
      <c r="Q88" s="110"/>
      <c r="R88" s="126"/>
      <c r="S88" s="110"/>
      <c r="T88" s="132"/>
      <c r="U88" s="132"/>
      <c r="V88" s="110"/>
      <c r="W88" s="110"/>
      <c r="X88" s="110"/>
      <c r="Y88" s="110"/>
      <c r="Z88" s="110"/>
      <c r="AA88" s="110"/>
      <c r="AB88" s="110"/>
      <c r="AC88" s="110"/>
      <c r="AD88" s="110"/>
    </row>
    <row r="89" spans="1:30" ht="27">
      <c r="A89" s="16" t="s">
        <v>1014</v>
      </c>
      <c r="B89" s="155" t="s">
        <v>602</v>
      </c>
      <c r="C89" s="16"/>
      <c r="D89" s="18">
        <v>390.67</v>
      </c>
      <c r="E89" s="18"/>
      <c r="F89" s="18"/>
      <c r="G89" s="18">
        <f t="shared" si="104"/>
        <v>390.67</v>
      </c>
      <c r="H89" s="18">
        <v>48.35</v>
      </c>
      <c r="I89" s="19">
        <f>D89*H89</f>
        <v>18888.894500000002</v>
      </c>
      <c r="J89" s="19">
        <f t="shared" si="106"/>
        <v>0</v>
      </c>
      <c r="K89" s="19">
        <f t="shared" si="107"/>
        <v>18888.894500000002</v>
      </c>
      <c r="L89" s="110"/>
      <c r="M89" s="110"/>
      <c r="N89" s="151"/>
      <c r="O89" s="152"/>
      <c r="P89" s="152"/>
      <c r="Q89" s="110"/>
      <c r="R89" s="126"/>
      <c r="S89" s="110"/>
      <c r="T89" s="132"/>
      <c r="U89" s="132"/>
      <c r="V89" s="110"/>
      <c r="W89" s="110"/>
      <c r="X89" s="110"/>
      <c r="Y89" s="110"/>
      <c r="Z89" s="110"/>
      <c r="AA89" s="110"/>
      <c r="AB89" s="110"/>
      <c r="AC89" s="110"/>
      <c r="AD89" s="110"/>
    </row>
    <row r="90" spans="1:30" ht="40.200000000000003">
      <c r="A90" s="16" t="s">
        <v>1015</v>
      </c>
      <c r="B90" s="155" t="s">
        <v>1012</v>
      </c>
      <c r="C90" s="16"/>
      <c r="D90" s="18">
        <v>102.05</v>
      </c>
      <c r="E90" s="18"/>
      <c r="F90" s="18"/>
      <c r="G90" s="18">
        <f t="shared" si="104"/>
        <v>102.05</v>
      </c>
      <c r="H90" s="18">
        <v>28.9</v>
      </c>
      <c r="I90" s="19">
        <f t="shared" ref="I90:I153" si="112">D90*H90</f>
        <v>2949.2449999999999</v>
      </c>
      <c r="J90" s="19">
        <f t="shared" si="106"/>
        <v>0</v>
      </c>
      <c r="K90" s="19">
        <f t="shared" si="107"/>
        <v>2949.2449999999999</v>
      </c>
      <c r="L90" s="110"/>
      <c r="M90" s="110"/>
      <c r="N90" s="151"/>
      <c r="O90" s="152"/>
      <c r="P90" s="152"/>
      <c r="Q90" s="110"/>
      <c r="R90" s="126"/>
      <c r="S90" s="110"/>
      <c r="T90" s="132"/>
      <c r="U90" s="132"/>
      <c r="V90" s="110"/>
      <c r="W90" s="110"/>
      <c r="X90" s="110"/>
      <c r="Y90" s="110"/>
      <c r="Z90" s="110"/>
      <c r="AA90" s="110"/>
      <c r="AB90" s="110"/>
      <c r="AC90" s="110"/>
      <c r="AD90" s="110"/>
    </row>
    <row r="91" spans="1:30" ht="27">
      <c r="A91" s="16" t="s">
        <v>1016</v>
      </c>
      <c r="B91" s="155" t="s">
        <v>1013</v>
      </c>
      <c r="C91" s="16"/>
      <c r="D91" s="18">
        <v>4.04</v>
      </c>
      <c r="E91" s="18"/>
      <c r="F91" s="18"/>
      <c r="G91" s="18">
        <f t="shared" si="104"/>
        <v>4.04</v>
      </c>
      <c r="H91" s="18">
        <v>72</v>
      </c>
      <c r="I91" s="19">
        <f t="shared" si="112"/>
        <v>290.88</v>
      </c>
      <c r="J91" s="19">
        <f t="shared" si="106"/>
        <v>0</v>
      </c>
      <c r="K91" s="19">
        <f t="shared" si="107"/>
        <v>290.88</v>
      </c>
      <c r="L91" s="110"/>
      <c r="M91" s="110"/>
      <c r="N91" s="151"/>
      <c r="O91" s="152"/>
      <c r="P91" s="152"/>
      <c r="Q91" s="110"/>
      <c r="R91" s="126"/>
      <c r="S91" s="110"/>
      <c r="T91" s="132"/>
      <c r="U91" s="132"/>
      <c r="V91" s="110"/>
      <c r="W91" s="110"/>
      <c r="X91" s="110"/>
      <c r="Y91" s="110"/>
      <c r="Z91" s="110"/>
      <c r="AA91" s="110"/>
      <c r="AB91" s="110"/>
      <c r="AC91" s="110"/>
      <c r="AD91" s="110"/>
    </row>
    <row r="92" spans="1:30">
      <c r="A92" s="13">
        <v>15</v>
      </c>
      <c r="B92" s="14" t="s">
        <v>679</v>
      </c>
      <c r="C92" s="13"/>
      <c r="D92" s="13"/>
      <c r="E92" s="13"/>
      <c r="F92" s="13"/>
      <c r="G92" s="13"/>
      <c r="H92" s="13"/>
      <c r="I92" s="15">
        <f>SUM(I93:I94)</f>
        <v>46563.024699999994</v>
      </c>
      <c r="J92" s="15">
        <f>SUM(J93:J94)</f>
        <v>0</v>
      </c>
      <c r="K92" s="15">
        <f>SUM(K93:K94)</f>
        <v>46563.024699999994</v>
      </c>
      <c r="L92" s="110"/>
      <c r="M92" s="110"/>
      <c r="N92" s="133"/>
      <c r="O92" s="133"/>
      <c r="P92" s="133"/>
      <c r="Q92" s="110"/>
      <c r="R92" s="126"/>
      <c r="S92" s="110"/>
      <c r="T92" s="132"/>
      <c r="U92" s="132"/>
      <c r="V92" s="110"/>
      <c r="W92" s="110"/>
      <c r="X92" s="110"/>
      <c r="Y92" s="110"/>
      <c r="Z92" s="110"/>
      <c r="AA92" s="110"/>
      <c r="AB92" s="110"/>
      <c r="AC92" s="110"/>
      <c r="AD92" s="110"/>
    </row>
    <row r="93" spans="1:30" ht="27">
      <c r="A93" s="16" t="s">
        <v>1010</v>
      </c>
      <c r="B93" s="155" t="s">
        <v>1008</v>
      </c>
      <c r="C93" s="16"/>
      <c r="D93" s="18">
        <v>92.29</v>
      </c>
      <c r="E93" s="18"/>
      <c r="F93" s="18"/>
      <c r="G93" s="18">
        <f t="shared" si="104"/>
        <v>92.29</v>
      </c>
      <c r="H93" s="18">
        <v>122.49</v>
      </c>
      <c r="I93" s="19">
        <f>D93*H93</f>
        <v>11304.6021</v>
      </c>
      <c r="J93" s="19">
        <f t="shared" si="106"/>
        <v>0</v>
      </c>
      <c r="K93" s="19">
        <f t="shared" si="107"/>
        <v>11304.6021</v>
      </c>
      <c r="L93" s="110"/>
      <c r="M93" s="110"/>
      <c r="N93" s="151"/>
      <c r="O93" s="152"/>
      <c r="P93" s="152"/>
      <c r="Q93" s="110"/>
      <c r="R93" s="126"/>
      <c r="S93" s="110"/>
      <c r="T93" s="132"/>
      <c r="U93" s="132"/>
      <c r="V93" s="110"/>
      <c r="W93" s="110"/>
      <c r="X93" s="110"/>
      <c r="Y93" s="110"/>
      <c r="Z93" s="110"/>
      <c r="AA93" s="110"/>
      <c r="AB93" s="110"/>
      <c r="AC93" s="110"/>
      <c r="AD93" s="110"/>
    </row>
    <row r="94" spans="1:30" ht="27">
      <c r="A94" s="16" t="s">
        <v>1011</v>
      </c>
      <c r="B94" s="155" t="s">
        <v>1009</v>
      </c>
      <c r="C94" s="16"/>
      <c r="D94" s="18">
        <v>630.29</v>
      </c>
      <c r="E94" s="18"/>
      <c r="F94" s="18"/>
      <c r="G94" s="18">
        <f t="shared" si="104"/>
        <v>630.29</v>
      </c>
      <c r="H94" s="18">
        <v>55.94</v>
      </c>
      <c r="I94" s="19">
        <f t="shared" si="112"/>
        <v>35258.422599999998</v>
      </c>
      <c r="J94" s="19">
        <f t="shared" ref="J94:J96" si="113">K94-I94</f>
        <v>0</v>
      </c>
      <c r="K94" s="19">
        <f t="shared" ref="K94:K96" si="114">G94*H94</f>
        <v>35258.422599999998</v>
      </c>
      <c r="L94" s="110"/>
      <c r="M94" s="110"/>
      <c r="N94" s="151"/>
      <c r="O94" s="152"/>
      <c r="P94" s="152"/>
      <c r="Q94" s="110"/>
      <c r="R94" s="126"/>
      <c r="S94" s="110"/>
      <c r="T94" s="132"/>
      <c r="U94" s="132"/>
      <c r="V94" s="110"/>
      <c r="W94" s="110"/>
      <c r="X94" s="110"/>
      <c r="Y94" s="110"/>
      <c r="Z94" s="110"/>
      <c r="AA94" s="110"/>
      <c r="AB94" s="110"/>
      <c r="AC94" s="110"/>
      <c r="AD94" s="110"/>
    </row>
    <row r="95" spans="1:30">
      <c r="A95" s="13">
        <v>16</v>
      </c>
      <c r="B95" s="14" t="s">
        <v>680</v>
      </c>
      <c r="C95" s="13"/>
      <c r="D95" s="13"/>
      <c r="E95" s="13"/>
      <c r="F95" s="13"/>
      <c r="G95" s="13"/>
      <c r="H95" s="13"/>
      <c r="I95" s="15">
        <f>SUM(I96:I103)</f>
        <v>98030.419399999984</v>
      </c>
      <c r="J95" s="15">
        <f>SUM(J96:J103)</f>
        <v>0</v>
      </c>
      <c r="K95" s="15">
        <f>SUM(K96:K103)</f>
        <v>98030.419399999984</v>
      </c>
      <c r="L95" s="110"/>
      <c r="M95" s="110"/>
      <c r="N95" s="133"/>
      <c r="O95" s="133"/>
      <c r="P95" s="133"/>
      <c r="Q95" s="110"/>
      <c r="R95" s="126"/>
      <c r="S95" s="110"/>
      <c r="T95" s="132"/>
      <c r="U95" s="132"/>
      <c r="V95" s="110"/>
      <c r="W95" s="110"/>
      <c r="X95" s="110"/>
      <c r="Y95" s="110"/>
      <c r="Z95" s="110"/>
      <c r="AA95" s="110"/>
      <c r="AB95" s="110"/>
      <c r="AC95" s="110"/>
      <c r="AD95" s="110"/>
    </row>
    <row r="96" spans="1:30" ht="40.200000000000003">
      <c r="A96" s="16" t="s">
        <v>1000</v>
      </c>
      <c r="B96" s="155" t="s">
        <v>594</v>
      </c>
      <c r="C96" s="16"/>
      <c r="D96" s="18">
        <v>757.22</v>
      </c>
      <c r="E96" s="18"/>
      <c r="F96" s="18"/>
      <c r="G96" s="18">
        <f t="shared" si="104"/>
        <v>757.22</v>
      </c>
      <c r="H96" s="18">
        <v>4.1399999999999997</v>
      </c>
      <c r="I96" s="19">
        <f t="shared" si="112"/>
        <v>3134.8907999999997</v>
      </c>
      <c r="J96" s="19">
        <f t="shared" si="113"/>
        <v>0</v>
      </c>
      <c r="K96" s="19">
        <f t="shared" si="114"/>
        <v>3134.8907999999997</v>
      </c>
      <c r="L96" s="110"/>
      <c r="M96" s="110"/>
      <c r="N96" s="151"/>
      <c r="O96" s="152"/>
      <c r="P96" s="152"/>
      <c r="Q96" s="110"/>
      <c r="R96" s="126"/>
      <c r="S96" s="110"/>
      <c r="T96" s="132"/>
      <c r="U96" s="132"/>
      <c r="V96" s="110"/>
      <c r="W96" s="110"/>
      <c r="X96" s="110"/>
      <c r="Y96" s="110"/>
      <c r="Z96" s="110"/>
      <c r="AA96" s="110"/>
      <c r="AB96" s="110"/>
      <c r="AC96" s="110"/>
      <c r="AD96" s="110"/>
    </row>
    <row r="97" spans="1:30" ht="40.200000000000003">
      <c r="A97" s="16" t="s">
        <v>1001</v>
      </c>
      <c r="B97" s="155" t="s">
        <v>993</v>
      </c>
      <c r="C97" s="16"/>
      <c r="D97" s="18">
        <v>378.61</v>
      </c>
      <c r="E97" s="18"/>
      <c r="F97" s="18"/>
      <c r="G97" s="18">
        <f t="shared" si="104"/>
        <v>378.61</v>
      </c>
      <c r="H97" s="18">
        <v>6.21</v>
      </c>
      <c r="I97" s="19">
        <f t="shared" si="112"/>
        <v>2351.1680999999999</v>
      </c>
      <c r="J97" s="19">
        <f t="shared" ref="J97:J105" si="115">K97-I97</f>
        <v>0</v>
      </c>
      <c r="K97" s="19">
        <f t="shared" ref="K97:K105" si="116">G97*H97</f>
        <v>2351.1680999999999</v>
      </c>
      <c r="L97" s="110"/>
      <c r="M97" s="110"/>
      <c r="N97" s="151"/>
      <c r="O97" s="152"/>
      <c r="P97" s="152"/>
      <c r="Q97" s="110"/>
      <c r="R97" s="126"/>
      <c r="S97" s="110"/>
      <c r="T97" s="132"/>
      <c r="U97" s="132"/>
      <c r="V97" s="110"/>
      <c r="W97" s="110"/>
      <c r="X97" s="110"/>
      <c r="Y97" s="110"/>
      <c r="Z97" s="110"/>
      <c r="AA97" s="110"/>
      <c r="AB97" s="110"/>
      <c r="AC97" s="110"/>
      <c r="AD97" s="110"/>
    </row>
    <row r="98" spans="1:30" ht="27">
      <c r="A98" s="16" t="s">
        <v>1002</v>
      </c>
      <c r="B98" s="155" t="s">
        <v>994</v>
      </c>
      <c r="C98" s="16"/>
      <c r="D98" s="18">
        <v>394</v>
      </c>
      <c r="E98" s="18"/>
      <c r="F98" s="18"/>
      <c r="G98" s="18">
        <f t="shared" si="104"/>
        <v>394</v>
      </c>
      <c r="H98" s="18">
        <v>4.57</v>
      </c>
      <c r="I98" s="19">
        <f t="shared" si="112"/>
        <v>1800.5800000000002</v>
      </c>
      <c r="J98" s="19">
        <f t="shared" si="115"/>
        <v>0</v>
      </c>
      <c r="K98" s="19">
        <f t="shared" si="116"/>
        <v>1800.5800000000002</v>
      </c>
      <c r="L98" s="110"/>
      <c r="M98" s="110"/>
      <c r="N98" s="151"/>
      <c r="O98" s="152"/>
      <c r="P98" s="152"/>
      <c r="Q98" s="110"/>
      <c r="R98" s="126"/>
      <c r="S98" s="110"/>
      <c r="T98" s="132"/>
      <c r="U98" s="132"/>
      <c r="V98" s="110"/>
      <c r="W98" s="110"/>
      <c r="X98" s="110"/>
      <c r="Y98" s="110"/>
      <c r="Z98" s="110"/>
      <c r="AA98" s="110"/>
      <c r="AB98" s="110"/>
      <c r="AC98" s="110"/>
      <c r="AD98" s="110"/>
    </row>
    <row r="99" spans="1:30" ht="53.4">
      <c r="A99" s="16" t="s">
        <v>1003</v>
      </c>
      <c r="B99" s="155" t="s">
        <v>995</v>
      </c>
      <c r="C99" s="16"/>
      <c r="D99" s="18">
        <v>470.96</v>
      </c>
      <c r="E99" s="18"/>
      <c r="F99" s="18"/>
      <c r="G99" s="18">
        <f t="shared" si="104"/>
        <v>470.96</v>
      </c>
      <c r="H99" s="18">
        <v>31.17</v>
      </c>
      <c r="I99" s="19">
        <f t="shared" si="112"/>
        <v>14679.823200000001</v>
      </c>
      <c r="J99" s="19">
        <f t="shared" si="115"/>
        <v>0</v>
      </c>
      <c r="K99" s="19">
        <f t="shared" si="116"/>
        <v>14679.823200000001</v>
      </c>
      <c r="L99" s="110"/>
      <c r="M99" s="110"/>
      <c r="N99" s="151"/>
      <c r="O99" s="152"/>
      <c r="P99" s="152"/>
      <c r="Q99" s="110"/>
      <c r="R99" s="126"/>
      <c r="S99" s="110"/>
      <c r="T99" s="132"/>
      <c r="U99" s="132"/>
      <c r="V99" s="110"/>
      <c r="W99" s="110"/>
      <c r="X99" s="110"/>
      <c r="Y99" s="110"/>
      <c r="Z99" s="110"/>
      <c r="AA99" s="110"/>
      <c r="AB99" s="110"/>
      <c r="AC99" s="110"/>
      <c r="AD99" s="110"/>
    </row>
    <row r="100" spans="1:30" ht="53.4">
      <c r="A100" s="16" t="s">
        <v>1004</v>
      </c>
      <c r="B100" s="155" t="s">
        <v>996</v>
      </c>
      <c r="C100" s="16"/>
      <c r="D100" s="18">
        <v>286.27</v>
      </c>
      <c r="E100" s="18"/>
      <c r="F100" s="18"/>
      <c r="G100" s="18">
        <f t="shared" si="104"/>
        <v>286.27</v>
      </c>
      <c r="H100" s="18">
        <v>35.65</v>
      </c>
      <c r="I100" s="19">
        <f t="shared" si="112"/>
        <v>10205.5255</v>
      </c>
      <c r="J100" s="19">
        <f t="shared" si="115"/>
        <v>0</v>
      </c>
      <c r="K100" s="19">
        <f t="shared" si="116"/>
        <v>10205.5255</v>
      </c>
      <c r="L100" s="110"/>
      <c r="M100" s="110"/>
      <c r="N100" s="151"/>
      <c r="O100" s="152"/>
      <c r="P100" s="152"/>
      <c r="Q100" s="110"/>
      <c r="R100" s="126"/>
      <c r="S100" s="110"/>
      <c r="T100" s="132"/>
      <c r="U100" s="132"/>
      <c r="V100" s="110"/>
      <c r="W100" s="110"/>
      <c r="X100" s="110"/>
      <c r="Y100" s="110"/>
      <c r="Z100" s="110"/>
      <c r="AA100" s="110"/>
      <c r="AB100" s="110"/>
      <c r="AC100" s="110"/>
      <c r="AD100" s="110"/>
    </row>
    <row r="101" spans="1:30" ht="40.200000000000003">
      <c r="A101" s="16" t="s">
        <v>1005</v>
      </c>
      <c r="B101" s="155" t="s">
        <v>997</v>
      </c>
      <c r="C101" s="16"/>
      <c r="D101" s="18">
        <v>394</v>
      </c>
      <c r="E101" s="18"/>
      <c r="F101" s="18"/>
      <c r="G101" s="18">
        <f t="shared" si="104"/>
        <v>394</v>
      </c>
      <c r="H101" s="18">
        <v>45.3</v>
      </c>
      <c r="I101" s="19">
        <f t="shared" si="112"/>
        <v>17848.199999999997</v>
      </c>
      <c r="J101" s="19">
        <f t="shared" si="115"/>
        <v>0</v>
      </c>
      <c r="K101" s="19">
        <f t="shared" si="116"/>
        <v>17848.199999999997</v>
      </c>
      <c r="L101" s="110"/>
      <c r="M101" s="110"/>
      <c r="N101" s="151"/>
      <c r="O101" s="152"/>
      <c r="P101" s="152"/>
      <c r="Q101" s="110"/>
      <c r="R101" s="126"/>
      <c r="S101" s="110"/>
      <c r="T101" s="132"/>
      <c r="U101" s="132"/>
      <c r="V101" s="110"/>
      <c r="W101" s="110"/>
      <c r="X101" s="110"/>
      <c r="Y101" s="110"/>
      <c r="Z101" s="110"/>
      <c r="AA101" s="110"/>
      <c r="AB101" s="110"/>
      <c r="AC101" s="110"/>
      <c r="AD101" s="110"/>
    </row>
    <row r="102" spans="1:30" ht="27">
      <c r="A102" s="16" t="s">
        <v>1006</v>
      </c>
      <c r="B102" s="155" t="s">
        <v>998</v>
      </c>
      <c r="C102" s="16"/>
      <c r="D102" s="18">
        <v>171.54</v>
      </c>
      <c r="E102" s="18"/>
      <c r="F102" s="18"/>
      <c r="G102" s="18">
        <f t="shared" si="104"/>
        <v>171.54</v>
      </c>
      <c r="H102" s="18">
        <v>130.19</v>
      </c>
      <c r="I102" s="19">
        <f t="shared" si="112"/>
        <v>22332.792599999997</v>
      </c>
      <c r="J102" s="19">
        <f t="shared" si="115"/>
        <v>0</v>
      </c>
      <c r="K102" s="19">
        <f t="shared" si="116"/>
        <v>22332.792599999997</v>
      </c>
      <c r="L102" s="110"/>
      <c r="M102" s="110"/>
      <c r="N102" s="151"/>
      <c r="O102" s="152"/>
      <c r="P102" s="152"/>
      <c r="Q102" s="110"/>
      <c r="R102" s="126"/>
      <c r="S102" s="110"/>
      <c r="T102" s="132"/>
      <c r="U102" s="132"/>
      <c r="V102" s="110"/>
      <c r="W102" s="110"/>
      <c r="X102" s="110"/>
      <c r="Y102" s="110"/>
      <c r="Z102" s="110"/>
      <c r="AA102" s="110"/>
      <c r="AB102" s="110"/>
      <c r="AC102" s="110"/>
      <c r="AD102" s="110"/>
    </row>
    <row r="103" spans="1:30" ht="40.200000000000003">
      <c r="A103" s="16" t="s">
        <v>1007</v>
      </c>
      <c r="B103" s="155" t="s">
        <v>999</v>
      </c>
      <c r="C103" s="16"/>
      <c r="D103" s="18">
        <v>273.63</v>
      </c>
      <c r="E103" s="18"/>
      <c r="F103" s="18"/>
      <c r="G103" s="18">
        <f t="shared" si="104"/>
        <v>273.63</v>
      </c>
      <c r="H103" s="18">
        <v>93.84</v>
      </c>
      <c r="I103" s="19">
        <f t="shared" si="112"/>
        <v>25677.439200000001</v>
      </c>
      <c r="J103" s="19">
        <f t="shared" si="115"/>
        <v>0</v>
      </c>
      <c r="K103" s="19">
        <f t="shared" si="116"/>
        <v>25677.439200000001</v>
      </c>
      <c r="L103" s="110"/>
      <c r="M103" s="110"/>
      <c r="N103" s="151"/>
      <c r="O103" s="152"/>
      <c r="P103" s="152"/>
      <c r="Q103" s="110"/>
      <c r="R103" s="126"/>
      <c r="S103" s="110"/>
      <c r="T103" s="132"/>
      <c r="U103" s="132"/>
      <c r="V103" s="110"/>
      <c r="W103" s="110"/>
      <c r="X103" s="110"/>
      <c r="Y103" s="110"/>
      <c r="Z103" s="110"/>
      <c r="AA103" s="110"/>
      <c r="AB103" s="110"/>
      <c r="AC103" s="110"/>
      <c r="AD103" s="110"/>
    </row>
    <row r="104" spans="1:30">
      <c r="A104" s="13">
        <v>17</v>
      </c>
      <c r="B104" s="14" t="s">
        <v>681</v>
      </c>
      <c r="C104" s="13"/>
      <c r="D104" s="13"/>
      <c r="E104" s="13"/>
      <c r="F104" s="13"/>
      <c r="G104" s="13"/>
      <c r="H104" s="13"/>
      <c r="I104" s="15">
        <f>SUM(I105:I114)</f>
        <v>102188.03300000001</v>
      </c>
      <c r="J104" s="15">
        <f>SUM(J105:J114)</f>
        <v>0</v>
      </c>
      <c r="K104" s="15">
        <f>SUM(K105:K114)</f>
        <v>102188.03300000001</v>
      </c>
      <c r="L104" s="110"/>
      <c r="M104" s="110"/>
      <c r="N104" s="133"/>
      <c r="O104" s="133"/>
      <c r="P104" s="133"/>
      <c r="Q104" s="110"/>
      <c r="R104" s="126"/>
      <c r="S104" s="110"/>
      <c r="T104" s="132"/>
      <c r="U104" s="132"/>
      <c r="V104" s="110"/>
      <c r="W104" s="110"/>
      <c r="X104" s="110"/>
      <c r="Y104" s="110"/>
      <c r="Z104" s="110"/>
      <c r="AA104" s="110"/>
      <c r="AB104" s="110"/>
      <c r="AC104" s="110"/>
      <c r="AD104" s="110"/>
    </row>
    <row r="105" spans="1:30" ht="27">
      <c r="A105" s="16" t="s">
        <v>983</v>
      </c>
      <c r="B105" s="155" t="s">
        <v>973</v>
      </c>
      <c r="C105" s="16"/>
      <c r="D105" s="18">
        <v>413.25</v>
      </c>
      <c r="E105" s="18"/>
      <c r="F105" s="18"/>
      <c r="G105" s="18">
        <f t="shared" si="104"/>
        <v>413.25</v>
      </c>
      <c r="H105" s="18">
        <v>47.97</v>
      </c>
      <c r="I105" s="19">
        <f t="shared" si="112"/>
        <v>19823.602500000001</v>
      </c>
      <c r="J105" s="19">
        <f t="shared" si="115"/>
        <v>0</v>
      </c>
      <c r="K105" s="19">
        <f t="shared" si="116"/>
        <v>19823.602500000001</v>
      </c>
      <c r="L105" s="110"/>
      <c r="M105" s="110"/>
      <c r="N105" s="151"/>
      <c r="O105" s="152"/>
      <c r="P105" s="152"/>
      <c r="Q105" s="110"/>
      <c r="R105" s="126"/>
      <c r="S105" s="110"/>
      <c r="T105" s="132"/>
      <c r="U105" s="132"/>
      <c r="V105" s="110"/>
      <c r="W105" s="110"/>
      <c r="X105" s="110"/>
      <c r="Y105" s="110"/>
      <c r="Z105" s="110"/>
      <c r="AA105" s="110"/>
      <c r="AB105" s="110"/>
      <c r="AC105" s="110"/>
      <c r="AD105" s="110"/>
    </row>
    <row r="106" spans="1:30" ht="27">
      <c r="A106" s="16" t="s">
        <v>984</v>
      </c>
      <c r="B106" s="155" t="s">
        <v>974</v>
      </c>
      <c r="C106" s="16"/>
      <c r="D106" s="18">
        <v>413.25</v>
      </c>
      <c r="E106" s="18"/>
      <c r="F106" s="18"/>
      <c r="G106" s="18">
        <f t="shared" si="104"/>
        <v>413.25</v>
      </c>
      <c r="H106" s="18">
        <v>53.43</v>
      </c>
      <c r="I106" s="19">
        <f t="shared" si="112"/>
        <v>22079.947499999998</v>
      </c>
      <c r="J106" s="19">
        <f t="shared" ref="J106:J116" si="117">K106-I106</f>
        <v>0</v>
      </c>
      <c r="K106" s="19">
        <f t="shared" ref="K106:K116" si="118">G106*H106</f>
        <v>22079.947499999998</v>
      </c>
      <c r="L106" s="110"/>
      <c r="M106" s="110"/>
      <c r="N106" s="151"/>
      <c r="O106" s="152"/>
      <c r="P106" s="152"/>
      <c r="Q106" s="110"/>
      <c r="R106" s="126"/>
      <c r="S106" s="110"/>
      <c r="T106" s="132"/>
      <c r="U106" s="132"/>
      <c r="V106" s="110"/>
      <c r="W106" s="110"/>
      <c r="X106" s="110"/>
      <c r="Y106" s="110"/>
      <c r="Z106" s="110"/>
      <c r="AA106" s="110"/>
      <c r="AB106" s="110"/>
      <c r="AC106" s="110"/>
      <c r="AD106" s="110"/>
    </row>
    <row r="107" spans="1:30">
      <c r="A107" s="16" t="s">
        <v>985</v>
      </c>
      <c r="B107" s="155" t="s">
        <v>975</v>
      </c>
      <c r="C107" s="16"/>
      <c r="D107" s="18">
        <v>413.25</v>
      </c>
      <c r="E107" s="18"/>
      <c r="F107" s="18"/>
      <c r="G107" s="18">
        <f t="shared" si="104"/>
        <v>413.25</v>
      </c>
      <c r="H107" s="18">
        <v>25.68</v>
      </c>
      <c r="I107" s="19">
        <f t="shared" si="112"/>
        <v>10612.26</v>
      </c>
      <c r="J107" s="19">
        <f t="shared" si="117"/>
        <v>0</v>
      </c>
      <c r="K107" s="19">
        <f t="shared" si="118"/>
        <v>10612.26</v>
      </c>
      <c r="L107" s="110"/>
      <c r="M107" s="110"/>
      <c r="N107" s="151"/>
      <c r="O107" s="152"/>
      <c r="P107" s="152"/>
      <c r="Q107" s="110"/>
      <c r="R107" s="126"/>
      <c r="S107" s="110"/>
      <c r="T107" s="132"/>
      <c r="U107" s="132"/>
      <c r="V107" s="110"/>
      <c r="W107" s="110"/>
      <c r="X107" s="110"/>
      <c r="Y107" s="110"/>
      <c r="Z107" s="110"/>
      <c r="AA107" s="110"/>
      <c r="AB107" s="110"/>
      <c r="AC107" s="110"/>
      <c r="AD107" s="110"/>
    </row>
    <row r="108" spans="1:30">
      <c r="A108" s="16" t="s">
        <v>986</v>
      </c>
      <c r="B108" s="155" t="s">
        <v>976</v>
      </c>
      <c r="C108" s="16"/>
      <c r="D108" s="18">
        <v>296.33</v>
      </c>
      <c r="E108" s="18"/>
      <c r="F108" s="18"/>
      <c r="G108" s="18">
        <f t="shared" si="104"/>
        <v>296.33</v>
      </c>
      <c r="H108" s="18">
        <v>62.84</v>
      </c>
      <c r="I108" s="19">
        <f t="shared" si="112"/>
        <v>18621.377199999999</v>
      </c>
      <c r="J108" s="19">
        <f t="shared" si="117"/>
        <v>0</v>
      </c>
      <c r="K108" s="19">
        <f t="shared" si="118"/>
        <v>18621.377199999999</v>
      </c>
      <c r="L108" s="110"/>
      <c r="M108" s="110"/>
      <c r="N108" s="151"/>
      <c r="O108" s="152"/>
      <c r="P108" s="152"/>
      <c r="Q108" s="110"/>
      <c r="R108" s="126"/>
      <c r="S108" s="110"/>
      <c r="T108" s="132"/>
      <c r="U108" s="132"/>
      <c r="V108" s="110"/>
      <c r="W108" s="110"/>
      <c r="X108" s="110"/>
      <c r="Y108" s="110"/>
      <c r="Z108" s="110"/>
      <c r="AA108" s="110"/>
      <c r="AB108" s="110"/>
      <c r="AC108" s="110"/>
      <c r="AD108" s="110"/>
    </row>
    <row r="109" spans="1:30" ht="27">
      <c r="A109" s="16" t="s">
        <v>987</v>
      </c>
      <c r="B109" s="155" t="s">
        <v>977</v>
      </c>
      <c r="C109" s="16"/>
      <c r="D109" s="18">
        <v>85.92</v>
      </c>
      <c r="E109" s="18"/>
      <c r="F109" s="18"/>
      <c r="G109" s="18">
        <f t="shared" si="104"/>
        <v>85.92</v>
      </c>
      <c r="H109" s="18">
        <v>32.659999999999997</v>
      </c>
      <c r="I109" s="19">
        <f t="shared" si="112"/>
        <v>2806.1471999999999</v>
      </c>
      <c r="J109" s="19">
        <f t="shared" si="117"/>
        <v>0</v>
      </c>
      <c r="K109" s="19">
        <f t="shared" si="118"/>
        <v>2806.1471999999999</v>
      </c>
      <c r="L109" s="110"/>
      <c r="M109" s="110"/>
      <c r="N109" s="151"/>
      <c r="O109" s="152"/>
      <c r="P109" s="152"/>
      <c r="Q109" s="110"/>
      <c r="R109" s="126"/>
      <c r="S109" s="110"/>
      <c r="T109" s="132"/>
      <c r="U109" s="132"/>
      <c r="V109" s="110"/>
      <c r="W109" s="110"/>
      <c r="X109" s="110"/>
      <c r="Y109" s="110"/>
      <c r="Z109" s="110"/>
      <c r="AA109" s="110"/>
      <c r="AB109" s="110"/>
      <c r="AC109" s="110"/>
      <c r="AD109" s="110"/>
    </row>
    <row r="110" spans="1:30" ht="27">
      <c r="A110" s="16" t="s">
        <v>988</v>
      </c>
      <c r="B110" s="155" t="s">
        <v>978</v>
      </c>
      <c r="C110" s="16"/>
      <c r="D110" s="18">
        <v>4.37</v>
      </c>
      <c r="E110" s="18"/>
      <c r="F110" s="18"/>
      <c r="G110" s="18">
        <f t="shared" si="104"/>
        <v>4.37</v>
      </c>
      <c r="H110" s="18">
        <v>179.86</v>
      </c>
      <c r="I110" s="19">
        <f t="shared" si="112"/>
        <v>785.98820000000012</v>
      </c>
      <c r="J110" s="19">
        <f t="shared" si="117"/>
        <v>0</v>
      </c>
      <c r="K110" s="19">
        <f t="shared" si="118"/>
        <v>785.98820000000012</v>
      </c>
      <c r="L110" s="110"/>
      <c r="M110" s="110"/>
      <c r="N110" s="151"/>
      <c r="O110" s="152"/>
      <c r="P110" s="152"/>
      <c r="Q110" s="110"/>
      <c r="R110" s="126"/>
      <c r="S110" s="110"/>
      <c r="T110" s="132"/>
      <c r="U110" s="132"/>
      <c r="V110" s="110"/>
      <c r="W110" s="110"/>
      <c r="X110" s="110"/>
      <c r="Y110" s="110"/>
      <c r="Z110" s="110"/>
      <c r="AA110" s="110"/>
      <c r="AB110" s="110"/>
      <c r="AC110" s="110"/>
      <c r="AD110" s="110"/>
    </row>
    <row r="111" spans="1:30" ht="27">
      <c r="A111" s="16" t="s">
        <v>989</v>
      </c>
      <c r="B111" s="155" t="s">
        <v>979</v>
      </c>
      <c r="C111" s="16"/>
      <c r="D111" s="18">
        <v>58.61</v>
      </c>
      <c r="E111" s="18"/>
      <c r="F111" s="18"/>
      <c r="G111" s="18">
        <f t="shared" si="104"/>
        <v>58.61</v>
      </c>
      <c r="H111" s="18">
        <v>71.28</v>
      </c>
      <c r="I111" s="19">
        <f t="shared" si="112"/>
        <v>4177.7208000000001</v>
      </c>
      <c r="J111" s="19">
        <f t="shared" si="117"/>
        <v>0</v>
      </c>
      <c r="K111" s="19">
        <f t="shared" si="118"/>
        <v>4177.7208000000001</v>
      </c>
      <c r="L111" s="110"/>
      <c r="M111" s="110"/>
      <c r="N111" s="151"/>
      <c r="O111" s="152"/>
      <c r="P111" s="152"/>
      <c r="Q111" s="110"/>
      <c r="R111" s="126"/>
      <c r="S111" s="110"/>
      <c r="T111" s="132"/>
      <c r="U111" s="132"/>
      <c r="V111" s="110"/>
      <c r="W111" s="110"/>
      <c r="X111" s="110"/>
      <c r="Y111" s="110"/>
      <c r="Z111" s="110"/>
      <c r="AA111" s="110"/>
      <c r="AB111" s="110"/>
      <c r="AC111" s="110"/>
      <c r="AD111" s="110"/>
    </row>
    <row r="112" spans="1:30" ht="27">
      <c r="A112" s="16" t="s">
        <v>990</v>
      </c>
      <c r="B112" s="155" t="s">
        <v>980</v>
      </c>
      <c r="C112" s="16"/>
      <c r="D112" s="18">
        <v>104.27</v>
      </c>
      <c r="E112" s="18"/>
      <c r="F112" s="18"/>
      <c r="G112" s="18">
        <f t="shared" si="104"/>
        <v>104.27</v>
      </c>
      <c r="H112" s="18">
        <v>25.68</v>
      </c>
      <c r="I112" s="19">
        <f t="shared" si="112"/>
        <v>2677.6535999999996</v>
      </c>
      <c r="J112" s="19">
        <f t="shared" si="117"/>
        <v>0</v>
      </c>
      <c r="K112" s="19">
        <f t="shared" si="118"/>
        <v>2677.6535999999996</v>
      </c>
      <c r="L112" s="110"/>
      <c r="M112" s="110"/>
      <c r="N112" s="151"/>
      <c r="O112" s="152"/>
      <c r="P112" s="152"/>
      <c r="Q112" s="110"/>
      <c r="R112" s="126"/>
      <c r="S112" s="110"/>
      <c r="T112" s="132"/>
      <c r="U112" s="132"/>
      <c r="V112" s="110"/>
      <c r="W112" s="110"/>
      <c r="X112" s="110"/>
      <c r="Y112" s="110"/>
      <c r="Z112" s="110"/>
      <c r="AA112" s="110"/>
      <c r="AB112" s="110"/>
      <c r="AC112" s="110"/>
      <c r="AD112" s="110"/>
    </row>
    <row r="113" spans="1:30" ht="27">
      <c r="A113" s="16" t="s">
        <v>991</v>
      </c>
      <c r="B113" s="155" t="s">
        <v>981</v>
      </c>
      <c r="C113" s="16"/>
      <c r="D113" s="18">
        <v>79.48</v>
      </c>
      <c r="E113" s="18"/>
      <c r="F113" s="18"/>
      <c r="G113" s="18">
        <f t="shared" si="104"/>
        <v>79.48</v>
      </c>
      <c r="H113" s="18">
        <v>213.5</v>
      </c>
      <c r="I113" s="19">
        <f t="shared" si="112"/>
        <v>16968.98</v>
      </c>
      <c r="J113" s="19">
        <f t="shared" si="117"/>
        <v>0</v>
      </c>
      <c r="K113" s="19">
        <f t="shared" si="118"/>
        <v>16968.98</v>
      </c>
      <c r="L113" s="110"/>
      <c r="M113" s="110"/>
      <c r="N113" s="151"/>
      <c r="O113" s="152"/>
      <c r="P113" s="152"/>
      <c r="Q113" s="110"/>
      <c r="R113" s="126"/>
      <c r="S113" s="110"/>
      <c r="T113" s="132"/>
      <c r="U113" s="132"/>
      <c r="V113" s="110"/>
      <c r="W113" s="110"/>
      <c r="X113" s="110"/>
      <c r="Y113" s="110"/>
      <c r="Z113" s="110"/>
      <c r="AA113" s="110"/>
      <c r="AB113" s="110"/>
      <c r="AC113" s="110"/>
      <c r="AD113" s="110"/>
    </row>
    <row r="114" spans="1:30">
      <c r="A114" s="16" t="s">
        <v>992</v>
      </c>
      <c r="B114" s="155" t="s">
        <v>982</v>
      </c>
      <c r="C114" s="16"/>
      <c r="D114" s="18">
        <v>200.24</v>
      </c>
      <c r="E114" s="18"/>
      <c r="F114" s="18"/>
      <c r="G114" s="18">
        <f t="shared" si="104"/>
        <v>200.24</v>
      </c>
      <c r="H114" s="18">
        <v>18.149999999999999</v>
      </c>
      <c r="I114" s="19">
        <f t="shared" si="112"/>
        <v>3634.3559999999998</v>
      </c>
      <c r="J114" s="19">
        <f t="shared" si="117"/>
        <v>0</v>
      </c>
      <c r="K114" s="19">
        <f t="shared" si="118"/>
        <v>3634.3559999999998</v>
      </c>
      <c r="L114" s="110"/>
      <c r="M114" s="110"/>
      <c r="N114" s="151"/>
      <c r="O114" s="152"/>
      <c r="P114" s="152"/>
      <c r="Q114" s="110"/>
      <c r="R114" s="126"/>
      <c r="S114" s="110"/>
      <c r="T114" s="132"/>
      <c r="U114" s="132"/>
      <c r="V114" s="110"/>
      <c r="W114" s="110"/>
      <c r="X114" s="110"/>
      <c r="Y114" s="110"/>
      <c r="Z114" s="110"/>
      <c r="AA114" s="110"/>
      <c r="AB114" s="110"/>
      <c r="AC114" s="110"/>
      <c r="AD114" s="110"/>
    </row>
    <row r="115" spans="1:30">
      <c r="A115" s="13">
        <v>18</v>
      </c>
      <c r="B115" s="14" t="s">
        <v>682</v>
      </c>
      <c r="C115" s="13"/>
      <c r="D115" s="13"/>
      <c r="E115" s="13"/>
      <c r="F115" s="13"/>
      <c r="G115" s="13"/>
      <c r="H115" s="13"/>
      <c r="I115" s="15">
        <f>SUM(I116:I118)</f>
        <v>1714.7342000000001</v>
      </c>
      <c r="J115" s="15">
        <f>SUM(J116:J118)</f>
        <v>0</v>
      </c>
      <c r="K115" s="15">
        <f>SUM(K116:K118)</f>
        <v>1714.7342000000001</v>
      </c>
      <c r="L115" s="110"/>
      <c r="M115" s="110"/>
      <c r="N115" s="133"/>
      <c r="O115" s="133"/>
      <c r="P115" s="133"/>
      <c r="Q115" s="110"/>
      <c r="R115" s="126"/>
      <c r="S115" s="110"/>
      <c r="T115" s="132"/>
      <c r="U115" s="132"/>
      <c r="V115" s="110"/>
      <c r="W115" s="110"/>
      <c r="X115" s="110"/>
      <c r="Y115" s="110"/>
      <c r="Z115" s="110"/>
      <c r="AA115" s="110"/>
      <c r="AB115" s="110"/>
      <c r="AC115" s="110"/>
      <c r="AD115" s="110"/>
    </row>
    <row r="116" spans="1:30" ht="27">
      <c r="A116" s="16" t="s">
        <v>970</v>
      </c>
      <c r="B116" s="155" t="s">
        <v>967</v>
      </c>
      <c r="C116" s="16"/>
      <c r="D116" s="18">
        <v>48.38</v>
      </c>
      <c r="E116" s="18"/>
      <c r="F116" s="18"/>
      <c r="G116" s="18">
        <f t="shared" si="104"/>
        <v>48.38</v>
      </c>
      <c r="H116" s="18">
        <v>9.1999999999999993</v>
      </c>
      <c r="I116" s="19">
        <f t="shared" si="112"/>
        <v>445.096</v>
      </c>
      <c r="J116" s="19">
        <f t="shared" si="117"/>
        <v>0</v>
      </c>
      <c r="K116" s="19">
        <f t="shared" si="118"/>
        <v>445.096</v>
      </c>
      <c r="L116" s="110"/>
      <c r="M116" s="110"/>
      <c r="N116" s="151"/>
      <c r="O116" s="152"/>
      <c r="P116" s="152"/>
      <c r="Q116" s="110"/>
      <c r="R116" s="126"/>
      <c r="S116" s="110"/>
      <c r="T116" s="132"/>
      <c r="U116" s="132"/>
      <c r="V116" s="110"/>
      <c r="W116" s="110"/>
      <c r="X116" s="110"/>
      <c r="Y116" s="110"/>
      <c r="Z116" s="110"/>
      <c r="AA116" s="110"/>
      <c r="AB116" s="110"/>
      <c r="AC116" s="110"/>
      <c r="AD116" s="110"/>
    </row>
    <row r="117" spans="1:30">
      <c r="A117" s="16" t="s">
        <v>971</v>
      </c>
      <c r="B117" s="155" t="s">
        <v>968</v>
      </c>
      <c r="C117" s="16"/>
      <c r="D117" s="18">
        <v>12.18</v>
      </c>
      <c r="E117" s="18"/>
      <c r="F117" s="18"/>
      <c r="G117" s="18">
        <f t="shared" si="104"/>
        <v>12.18</v>
      </c>
      <c r="H117" s="18">
        <v>89.55</v>
      </c>
      <c r="I117" s="19">
        <f t="shared" si="112"/>
        <v>1090.7190000000001</v>
      </c>
      <c r="J117" s="19">
        <f t="shared" ref="J117:J120" si="119">K117-I117</f>
        <v>0</v>
      </c>
      <c r="K117" s="19">
        <f t="shared" ref="K117:K120" si="120">G117*H117</f>
        <v>1090.7190000000001</v>
      </c>
      <c r="L117" s="110"/>
      <c r="M117" s="110"/>
      <c r="N117" s="151"/>
      <c r="O117" s="152"/>
      <c r="P117" s="152"/>
      <c r="Q117" s="110"/>
      <c r="R117" s="126"/>
      <c r="S117" s="110"/>
      <c r="T117" s="132"/>
      <c r="U117" s="132"/>
      <c r="V117" s="110"/>
      <c r="W117" s="110"/>
      <c r="X117" s="110"/>
      <c r="Y117" s="110"/>
      <c r="Z117" s="110"/>
      <c r="AA117" s="110"/>
      <c r="AB117" s="110"/>
      <c r="AC117" s="110"/>
      <c r="AD117" s="110"/>
    </row>
    <row r="118" spans="1:30" ht="27">
      <c r="A118" s="16" t="s">
        <v>972</v>
      </c>
      <c r="B118" s="155" t="s">
        <v>969</v>
      </c>
      <c r="C118" s="16"/>
      <c r="D118" s="18">
        <v>1.49</v>
      </c>
      <c r="E118" s="18"/>
      <c r="F118" s="18"/>
      <c r="G118" s="18">
        <f t="shared" si="104"/>
        <v>1.49</v>
      </c>
      <c r="H118" s="18">
        <v>120.08</v>
      </c>
      <c r="I118" s="19">
        <f t="shared" si="112"/>
        <v>178.91919999999999</v>
      </c>
      <c r="J118" s="19">
        <f t="shared" si="119"/>
        <v>0</v>
      </c>
      <c r="K118" s="19">
        <f t="shared" si="120"/>
        <v>178.91919999999999</v>
      </c>
      <c r="L118" s="110"/>
      <c r="M118" s="110"/>
      <c r="N118" s="151"/>
      <c r="O118" s="152"/>
      <c r="P118" s="152"/>
      <c r="Q118" s="110"/>
      <c r="R118" s="126"/>
      <c r="S118" s="110"/>
      <c r="T118" s="132"/>
      <c r="U118" s="132"/>
      <c r="V118" s="110"/>
      <c r="W118" s="110"/>
      <c r="X118" s="110"/>
      <c r="Y118" s="110"/>
      <c r="Z118" s="110"/>
      <c r="AA118" s="110"/>
      <c r="AB118" s="110"/>
      <c r="AC118" s="110"/>
      <c r="AD118" s="110"/>
    </row>
    <row r="119" spans="1:30">
      <c r="A119" s="13">
        <v>19</v>
      </c>
      <c r="B119" s="14" t="s">
        <v>683</v>
      </c>
      <c r="C119" s="13"/>
      <c r="D119" s="13"/>
      <c r="E119" s="13"/>
      <c r="F119" s="13"/>
      <c r="G119" s="13"/>
      <c r="H119" s="13"/>
      <c r="I119" s="15">
        <f>SUM(I120:I125)</f>
        <v>36042.471999999994</v>
      </c>
      <c r="J119" s="15">
        <f>SUM(J120:J125)</f>
        <v>0</v>
      </c>
      <c r="K119" s="15">
        <f>SUM(K120:K125)</f>
        <v>36042.471999999994</v>
      </c>
      <c r="L119" s="110"/>
      <c r="M119" s="110"/>
      <c r="N119" s="133"/>
      <c r="O119" s="133"/>
      <c r="P119" s="133"/>
      <c r="Q119" s="110"/>
      <c r="R119" s="126"/>
      <c r="S119" s="110"/>
      <c r="T119" s="132"/>
      <c r="U119" s="132"/>
      <c r="V119" s="110"/>
      <c r="W119" s="110"/>
      <c r="X119" s="110"/>
      <c r="Y119" s="110"/>
      <c r="Z119" s="110"/>
      <c r="AA119" s="110"/>
      <c r="AB119" s="110"/>
      <c r="AC119" s="110"/>
      <c r="AD119" s="110"/>
    </row>
    <row r="120" spans="1:30" ht="27">
      <c r="A120" s="16" t="s">
        <v>961</v>
      </c>
      <c r="B120" s="155" t="s">
        <v>956</v>
      </c>
      <c r="C120" s="16"/>
      <c r="D120" s="18">
        <v>286.27</v>
      </c>
      <c r="E120" s="18"/>
      <c r="F120" s="18"/>
      <c r="G120" s="18">
        <f t="shared" si="104"/>
        <v>286.27</v>
      </c>
      <c r="H120" s="18">
        <v>27.37</v>
      </c>
      <c r="I120" s="19">
        <f t="shared" si="112"/>
        <v>7835.2098999999998</v>
      </c>
      <c r="J120" s="19">
        <f t="shared" si="119"/>
        <v>0</v>
      </c>
      <c r="K120" s="19">
        <f t="shared" si="120"/>
        <v>7835.2098999999998</v>
      </c>
      <c r="L120" s="110"/>
      <c r="M120" s="110"/>
      <c r="N120" s="151"/>
      <c r="O120" s="152"/>
      <c r="P120" s="152"/>
      <c r="Q120" s="110"/>
      <c r="R120" s="126"/>
      <c r="S120" s="110"/>
      <c r="T120" s="132"/>
      <c r="U120" s="132"/>
      <c r="V120" s="110"/>
      <c r="W120" s="110"/>
      <c r="X120" s="110"/>
      <c r="Y120" s="110"/>
      <c r="Z120" s="110"/>
      <c r="AA120" s="110"/>
      <c r="AB120" s="110"/>
      <c r="AC120" s="110"/>
      <c r="AD120" s="110"/>
    </row>
    <row r="121" spans="1:30">
      <c r="A121" s="16" t="s">
        <v>962</v>
      </c>
      <c r="B121" s="155" t="s">
        <v>957</v>
      </c>
      <c r="C121" s="16"/>
      <c r="D121" s="18">
        <v>394</v>
      </c>
      <c r="E121" s="18"/>
      <c r="F121" s="18"/>
      <c r="G121" s="18">
        <f t="shared" si="104"/>
        <v>394</v>
      </c>
      <c r="H121" s="18">
        <v>14.32</v>
      </c>
      <c r="I121" s="19">
        <f t="shared" si="112"/>
        <v>5642.08</v>
      </c>
      <c r="J121" s="19">
        <f t="shared" ref="J121:J127" si="121">K121-I121</f>
        <v>0</v>
      </c>
      <c r="K121" s="19">
        <f t="shared" ref="K121:K127" si="122">G121*H121</f>
        <v>5642.08</v>
      </c>
      <c r="L121" s="110"/>
      <c r="M121" s="110"/>
      <c r="N121" s="151"/>
      <c r="O121" s="152"/>
      <c r="P121" s="152"/>
      <c r="Q121" s="110"/>
      <c r="R121" s="126"/>
      <c r="S121" s="110"/>
      <c r="T121" s="132"/>
      <c r="U121" s="132"/>
      <c r="V121" s="110"/>
      <c r="W121" s="110"/>
      <c r="X121" s="110"/>
      <c r="Y121" s="110"/>
      <c r="Z121" s="110"/>
      <c r="AA121" s="110"/>
      <c r="AB121" s="110"/>
      <c r="AC121" s="110"/>
      <c r="AD121" s="110"/>
    </row>
    <row r="122" spans="1:30" ht="27">
      <c r="A122" s="16" t="s">
        <v>963</v>
      </c>
      <c r="B122" s="155" t="s">
        <v>595</v>
      </c>
      <c r="C122" s="16"/>
      <c r="D122" s="18">
        <v>286.27</v>
      </c>
      <c r="E122" s="18"/>
      <c r="F122" s="18"/>
      <c r="G122" s="18">
        <f t="shared" si="104"/>
        <v>286.27</v>
      </c>
      <c r="H122" s="18">
        <v>13.36</v>
      </c>
      <c r="I122" s="19">
        <f t="shared" si="112"/>
        <v>3824.5671999999995</v>
      </c>
      <c r="J122" s="19">
        <f t="shared" si="121"/>
        <v>0</v>
      </c>
      <c r="K122" s="19">
        <f t="shared" si="122"/>
        <v>3824.5671999999995</v>
      </c>
      <c r="L122" s="110"/>
      <c r="M122" s="110"/>
      <c r="N122" s="151"/>
      <c r="O122" s="152"/>
      <c r="P122" s="152"/>
      <c r="Q122" s="110"/>
      <c r="R122" s="126"/>
      <c r="S122" s="110"/>
      <c r="T122" s="132"/>
      <c r="U122" s="132"/>
      <c r="V122" s="110"/>
      <c r="W122" s="110"/>
      <c r="X122" s="110"/>
      <c r="Y122" s="110"/>
      <c r="Z122" s="110"/>
      <c r="AA122" s="110"/>
      <c r="AB122" s="110"/>
      <c r="AC122" s="110"/>
      <c r="AD122" s="110"/>
    </row>
    <row r="123" spans="1:30" ht="27">
      <c r="A123" s="16" t="s">
        <v>964</v>
      </c>
      <c r="B123" s="155" t="s">
        <v>958</v>
      </c>
      <c r="C123" s="16"/>
      <c r="D123" s="18">
        <v>394</v>
      </c>
      <c r="E123" s="18"/>
      <c r="F123" s="18"/>
      <c r="G123" s="18">
        <f t="shared" si="104"/>
        <v>394</v>
      </c>
      <c r="H123" s="18">
        <v>15.14</v>
      </c>
      <c r="I123" s="19">
        <f t="shared" si="112"/>
        <v>5965.16</v>
      </c>
      <c r="J123" s="19">
        <f t="shared" si="121"/>
        <v>0</v>
      </c>
      <c r="K123" s="19">
        <f t="shared" si="122"/>
        <v>5965.16</v>
      </c>
      <c r="L123" s="110"/>
      <c r="M123" s="110"/>
      <c r="N123" s="151"/>
      <c r="O123" s="152"/>
      <c r="P123" s="152"/>
      <c r="Q123" s="110"/>
      <c r="R123" s="126"/>
      <c r="S123" s="110"/>
      <c r="T123" s="132"/>
      <c r="U123" s="132"/>
      <c r="V123" s="110"/>
      <c r="W123" s="110"/>
      <c r="X123" s="110"/>
      <c r="Y123" s="110"/>
      <c r="Z123" s="110"/>
      <c r="AA123" s="110"/>
      <c r="AB123" s="110"/>
      <c r="AC123" s="110"/>
      <c r="AD123" s="110"/>
    </row>
    <row r="124" spans="1:30">
      <c r="A124" s="16" t="s">
        <v>965</v>
      </c>
      <c r="B124" s="155" t="s">
        <v>959</v>
      </c>
      <c r="C124" s="16"/>
      <c r="D124" s="18">
        <v>348.34</v>
      </c>
      <c r="E124" s="18"/>
      <c r="F124" s="18"/>
      <c r="G124" s="18">
        <f t="shared" si="104"/>
        <v>348.34</v>
      </c>
      <c r="H124" s="18">
        <v>34.049999999999997</v>
      </c>
      <c r="I124" s="19">
        <f t="shared" si="112"/>
        <v>11860.976999999999</v>
      </c>
      <c r="J124" s="19">
        <f t="shared" si="121"/>
        <v>0</v>
      </c>
      <c r="K124" s="19">
        <f t="shared" si="122"/>
        <v>11860.976999999999</v>
      </c>
      <c r="L124" s="110"/>
      <c r="M124" s="110"/>
      <c r="N124" s="151"/>
      <c r="O124" s="152"/>
      <c r="P124" s="152"/>
      <c r="Q124" s="110"/>
      <c r="R124" s="126"/>
      <c r="S124" s="110"/>
      <c r="T124" s="132"/>
      <c r="U124" s="132"/>
      <c r="V124" s="110"/>
      <c r="W124" s="110"/>
      <c r="X124" s="110"/>
      <c r="Y124" s="110"/>
      <c r="Z124" s="110"/>
      <c r="AA124" s="110"/>
      <c r="AB124" s="110"/>
      <c r="AC124" s="110"/>
      <c r="AD124" s="110"/>
    </row>
    <row r="125" spans="1:30" ht="40.200000000000003">
      <c r="A125" s="16" t="s">
        <v>966</v>
      </c>
      <c r="B125" s="155" t="s">
        <v>960</v>
      </c>
      <c r="C125" s="16"/>
      <c r="D125" s="18">
        <v>83.21</v>
      </c>
      <c r="E125" s="18"/>
      <c r="F125" s="18"/>
      <c r="G125" s="18">
        <f t="shared" si="104"/>
        <v>83.21</v>
      </c>
      <c r="H125" s="18">
        <v>10.99</v>
      </c>
      <c r="I125" s="19">
        <f t="shared" si="112"/>
        <v>914.47789999999998</v>
      </c>
      <c r="J125" s="19">
        <f t="shared" si="121"/>
        <v>0</v>
      </c>
      <c r="K125" s="19">
        <f t="shared" si="122"/>
        <v>914.47789999999998</v>
      </c>
      <c r="L125" s="110"/>
      <c r="M125" s="110"/>
      <c r="N125" s="151"/>
      <c r="O125" s="152"/>
      <c r="P125" s="152"/>
      <c r="Q125" s="110"/>
      <c r="R125" s="126"/>
      <c r="S125" s="110"/>
      <c r="T125" s="132"/>
      <c r="U125" s="132"/>
      <c r="V125" s="110"/>
      <c r="W125" s="110"/>
      <c r="X125" s="110"/>
      <c r="Y125" s="110"/>
      <c r="Z125" s="110"/>
      <c r="AA125" s="110"/>
      <c r="AB125" s="110"/>
      <c r="AC125" s="110"/>
      <c r="AD125" s="110"/>
    </row>
    <row r="126" spans="1:30">
      <c r="A126" s="13">
        <v>20</v>
      </c>
      <c r="B126" s="14" t="s">
        <v>684</v>
      </c>
      <c r="C126" s="13"/>
      <c r="D126" s="13"/>
      <c r="E126" s="13"/>
      <c r="F126" s="13"/>
      <c r="G126" s="13"/>
      <c r="H126" s="13"/>
      <c r="I126" s="15">
        <f>SUM(I127:I174)</f>
        <v>51647.761500000001</v>
      </c>
      <c r="J126" s="15">
        <f>SUM(J127:J174)</f>
        <v>0</v>
      </c>
      <c r="K126" s="15">
        <f>SUM(K127:K174)</f>
        <v>51647.761500000001</v>
      </c>
      <c r="L126" s="110"/>
      <c r="M126" s="110"/>
      <c r="N126" s="133"/>
      <c r="O126" s="133"/>
      <c r="P126" s="133"/>
      <c r="Q126" s="110"/>
      <c r="R126" s="126"/>
      <c r="S126" s="110"/>
      <c r="T126" s="132"/>
      <c r="U126" s="132"/>
      <c r="V126" s="110"/>
      <c r="W126" s="110"/>
      <c r="X126" s="110"/>
      <c r="Y126" s="110"/>
      <c r="Z126" s="110"/>
      <c r="AA126" s="110"/>
      <c r="AB126" s="110"/>
      <c r="AC126" s="110"/>
      <c r="AD126" s="110"/>
    </row>
    <row r="127" spans="1:30" ht="27">
      <c r="A127" s="16" t="s">
        <v>685</v>
      </c>
      <c r="B127" s="155" t="s">
        <v>910</v>
      </c>
      <c r="C127" s="16"/>
      <c r="D127" s="18">
        <v>8.9499999999999993</v>
      </c>
      <c r="E127" s="18"/>
      <c r="F127" s="18"/>
      <c r="G127" s="18">
        <f t="shared" si="104"/>
        <v>8.9499999999999993</v>
      </c>
      <c r="H127" s="18">
        <v>30.95</v>
      </c>
      <c r="I127" s="19">
        <f t="shared" si="112"/>
        <v>277.0025</v>
      </c>
      <c r="J127" s="19">
        <f t="shared" si="121"/>
        <v>0</v>
      </c>
      <c r="K127" s="19">
        <f t="shared" si="122"/>
        <v>277.0025</v>
      </c>
      <c r="L127" s="110"/>
      <c r="M127" s="110"/>
      <c r="N127" s="151"/>
      <c r="O127" s="152"/>
      <c r="P127" s="152"/>
      <c r="Q127" s="110"/>
      <c r="R127" s="126"/>
      <c r="S127" s="110"/>
      <c r="T127" s="132"/>
      <c r="U127" s="132"/>
      <c r="V127" s="110"/>
      <c r="W127" s="110"/>
      <c r="X127" s="110"/>
      <c r="Y127" s="110"/>
      <c r="Z127" s="110"/>
      <c r="AA127" s="110"/>
      <c r="AB127" s="110"/>
      <c r="AC127" s="110"/>
      <c r="AD127" s="110"/>
    </row>
    <row r="128" spans="1:30" ht="27">
      <c r="A128" s="16" t="s">
        <v>686</v>
      </c>
      <c r="B128" s="155" t="s">
        <v>911</v>
      </c>
      <c r="C128" s="16"/>
      <c r="D128" s="18">
        <v>2</v>
      </c>
      <c r="E128" s="18"/>
      <c r="F128" s="18"/>
      <c r="G128" s="18">
        <f t="shared" si="104"/>
        <v>2</v>
      </c>
      <c r="H128" s="18">
        <v>20.34</v>
      </c>
      <c r="I128" s="19">
        <f t="shared" si="112"/>
        <v>40.68</v>
      </c>
      <c r="J128" s="19">
        <f t="shared" ref="J128:J176" si="123">K128-I128</f>
        <v>0</v>
      </c>
      <c r="K128" s="19">
        <f t="shared" ref="K128:K176" si="124">G128*H128</f>
        <v>40.68</v>
      </c>
      <c r="L128" s="110"/>
      <c r="M128" s="110"/>
      <c r="N128" s="151"/>
      <c r="O128" s="152"/>
      <c r="P128" s="152"/>
      <c r="Q128" s="110"/>
      <c r="R128" s="126"/>
      <c r="S128" s="110"/>
      <c r="T128" s="132"/>
      <c r="U128" s="132"/>
      <c r="V128" s="110"/>
      <c r="W128" s="110"/>
      <c r="X128" s="110"/>
      <c r="Y128" s="110"/>
      <c r="Z128" s="110"/>
      <c r="AA128" s="110"/>
      <c r="AB128" s="110"/>
      <c r="AC128" s="110"/>
      <c r="AD128" s="110"/>
    </row>
    <row r="129" spans="1:30" ht="27">
      <c r="A129" s="16" t="s">
        <v>687</v>
      </c>
      <c r="B129" s="155" t="s">
        <v>912</v>
      </c>
      <c r="C129" s="16"/>
      <c r="D129" s="18">
        <v>35.799999999999997</v>
      </c>
      <c r="E129" s="18"/>
      <c r="F129" s="18"/>
      <c r="G129" s="18">
        <f t="shared" si="104"/>
        <v>35.799999999999997</v>
      </c>
      <c r="H129" s="18">
        <v>22.49</v>
      </c>
      <c r="I129" s="19">
        <f t="shared" si="112"/>
        <v>805.14199999999983</v>
      </c>
      <c r="J129" s="19">
        <f t="shared" si="123"/>
        <v>0</v>
      </c>
      <c r="K129" s="19">
        <f t="shared" si="124"/>
        <v>805.14199999999983</v>
      </c>
      <c r="L129" s="110"/>
      <c r="M129" s="110"/>
      <c r="N129" s="151"/>
      <c r="O129" s="152"/>
      <c r="P129" s="152"/>
      <c r="Q129" s="110"/>
      <c r="R129" s="126"/>
      <c r="S129" s="110"/>
      <c r="T129" s="132"/>
      <c r="U129" s="132"/>
      <c r="V129" s="110"/>
      <c r="W129" s="110"/>
      <c r="X129" s="110"/>
      <c r="Y129" s="110"/>
      <c r="Z129" s="110"/>
      <c r="AA129" s="110"/>
      <c r="AB129" s="110"/>
      <c r="AC129" s="110"/>
      <c r="AD129" s="110"/>
    </row>
    <row r="130" spans="1:30" ht="27">
      <c r="A130" s="16" t="s">
        <v>688</v>
      </c>
      <c r="B130" s="155" t="s">
        <v>913</v>
      </c>
      <c r="C130" s="16"/>
      <c r="D130" s="18">
        <v>31.55</v>
      </c>
      <c r="E130" s="18"/>
      <c r="F130" s="18"/>
      <c r="G130" s="18">
        <f t="shared" si="104"/>
        <v>31.55</v>
      </c>
      <c r="H130" s="18">
        <v>18.059999999999999</v>
      </c>
      <c r="I130" s="19">
        <f t="shared" si="112"/>
        <v>569.79300000000001</v>
      </c>
      <c r="J130" s="19">
        <f t="shared" si="123"/>
        <v>0</v>
      </c>
      <c r="K130" s="19">
        <f t="shared" si="124"/>
        <v>569.79300000000001</v>
      </c>
      <c r="L130" s="110"/>
      <c r="M130" s="110"/>
      <c r="N130" s="151"/>
      <c r="O130" s="152"/>
      <c r="P130" s="152"/>
      <c r="Q130" s="110"/>
      <c r="R130" s="126"/>
      <c r="S130" s="110"/>
      <c r="T130" s="132"/>
      <c r="U130" s="132"/>
      <c r="V130" s="110"/>
      <c r="W130" s="110"/>
      <c r="X130" s="110"/>
      <c r="Y130" s="110"/>
      <c r="Z130" s="110"/>
      <c r="AA130" s="110"/>
      <c r="AB130" s="110"/>
      <c r="AC130" s="110"/>
      <c r="AD130" s="110"/>
    </row>
    <row r="131" spans="1:30" ht="27">
      <c r="A131" s="16" t="s">
        <v>689</v>
      </c>
      <c r="B131" s="155" t="s">
        <v>914</v>
      </c>
      <c r="C131" s="16"/>
      <c r="D131" s="18">
        <v>48.2</v>
      </c>
      <c r="E131" s="18"/>
      <c r="F131" s="18"/>
      <c r="G131" s="18">
        <f t="shared" si="104"/>
        <v>48.2</v>
      </c>
      <c r="H131" s="18">
        <v>13.5</v>
      </c>
      <c r="I131" s="19">
        <f t="shared" si="112"/>
        <v>650.70000000000005</v>
      </c>
      <c r="J131" s="19">
        <f t="shared" si="123"/>
        <v>0</v>
      </c>
      <c r="K131" s="19">
        <f t="shared" si="124"/>
        <v>650.70000000000005</v>
      </c>
      <c r="L131" s="110"/>
      <c r="M131" s="110"/>
      <c r="N131" s="151"/>
      <c r="O131" s="152"/>
      <c r="P131" s="152"/>
      <c r="Q131" s="110"/>
      <c r="R131" s="126"/>
      <c r="S131" s="110"/>
      <c r="T131" s="132"/>
      <c r="U131" s="132"/>
      <c r="V131" s="110"/>
      <c r="W131" s="110"/>
      <c r="X131" s="110"/>
      <c r="Y131" s="110"/>
      <c r="Z131" s="110"/>
      <c r="AA131" s="110"/>
      <c r="AB131" s="110"/>
      <c r="AC131" s="110"/>
      <c r="AD131" s="110"/>
    </row>
    <row r="132" spans="1:30" ht="27">
      <c r="A132" s="16" t="s">
        <v>690</v>
      </c>
      <c r="B132" s="155" t="s">
        <v>915</v>
      </c>
      <c r="C132" s="16"/>
      <c r="D132" s="18">
        <v>2</v>
      </c>
      <c r="E132" s="18"/>
      <c r="F132" s="18"/>
      <c r="G132" s="18">
        <f t="shared" si="104"/>
        <v>2</v>
      </c>
      <c r="H132" s="18">
        <v>11.5</v>
      </c>
      <c r="I132" s="19">
        <f t="shared" si="112"/>
        <v>23</v>
      </c>
      <c r="J132" s="19">
        <f t="shared" si="123"/>
        <v>0</v>
      </c>
      <c r="K132" s="19">
        <f t="shared" si="124"/>
        <v>23</v>
      </c>
      <c r="L132" s="110"/>
      <c r="M132" s="110"/>
      <c r="N132" s="151"/>
      <c r="O132" s="152"/>
      <c r="P132" s="152"/>
      <c r="Q132" s="110"/>
      <c r="R132" s="126"/>
      <c r="S132" s="110"/>
      <c r="T132" s="132"/>
      <c r="U132" s="132"/>
      <c r="V132" s="110"/>
      <c r="W132" s="110"/>
      <c r="X132" s="110"/>
      <c r="Y132" s="110"/>
      <c r="Z132" s="110"/>
      <c r="AA132" s="110"/>
      <c r="AB132" s="110"/>
      <c r="AC132" s="110"/>
      <c r="AD132" s="110"/>
    </row>
    <row r="133" spans="1:30" ht="27">
      <c r="A133" s="16" t="s">
        <v>691</v>
      </c>
      <c r="B133" s="155" t="s">
        <v>916</v>
      </c>
      <c r="C133" s="16"/>
      <c r="D133" s="18">
        <v>33</v>
      </c>
      <c r="E133" s="18"/>
      <c r="F133" s="18"/>
      <c r="G133" s="18">
        <f t="shared" si="104"/>
        <v>33</v>
      </c>
      <c r="H133" s="18">
        <v>25.94</v>
      </c>
      <c r="I133" s="19">
        <f t="shared" si="112"/>
        <v>856.0200000000001</v>
      </c>
      <c r="J133" s="19">
        <f t="shared" si="123"/>
        <v>0</v>
      </c>
      <c r="K133" s="19">
        <f t="shared" si="124"/>
        <v>856.0200000000001</v>
      </c>
      <c r="L133" s="110"/>
      <c r="M133" s="110"/>
      <c r="N133" s="151"/>
      <c r="O133" s="152"/>
      <c r="P133" s="152"/>
      <c r="Q133" s="110"/>
      <c r="R133" s="126"/>
      <c r="S133" s="110"/>
      <c r="T133" s="132"/>
      <c r="U133" s="132"/>
      <c r="V133" s="110"/>
      <c r="W133" s="110"/>
      <c r="X133" s="110"/>
      <c r="Y133" s="110"/>
      <c r="Z133" s="110"/>
      <c r="AA133" s="110"/>
      <c r="AB133" s="110"/>
      <c r="AC133" s="110"/>
      <c r="AD133" s="110"/>
    </row>
    <row r="134" spans="1:30" ht="27">
      <c r="A134" s="16" t="s">
        <v>692</v>
      </c>
      <c r="B134" s="155" t="s">
        <v>917</v>
      </c>
      <c r="C134" s="16"/>
      <c r="D134" s="18">
        <v>52</v>
      </c>
      <c r="E134" s="18"/>
      <c r="F134" s="18"/>
      <c r="G134" s="18">
        <f t="shared" si="104"/>
        <v>52</v>
      </c>
      <c r="H134" s="18">
        <v>25.94</v>
      </c>
      <c r="I134" s="19">
        <f t="shared" si="112"/>
        <v>1348.88</v>
      </c>
      <c r="J134" s="19">
        <f t="shared" si="123"/>
        <v>0</v>
      </c>
      <c r="K134" s="19">
        <f t="shared" si="124"/>
        <v>1348.88</v>
      </c>
      <c r="L134" s="110"/>
      <c r="M134" s="110"/>
      <c r="N134" s="151"/>
      <c r="O134" s="152"/>
      <c r="P134" s="152"/>
      <c r="Q134" s="110"/>
      <c r="R134" s="126"/>
      <c r="S134" s="110"/>
      <c r="T134" s="132"/>
      <c r="U134" s="132"/>
      <c r="V134" s="110"/>
      <c r="W134" s="110"/>
      <c r="X134" s="110"/>
      <c r="Y134" s="110"/>
      <c r="Z134" s="110"/>
      <c r="AA134" s="110"/>
      <c r="AB134" s="110"/>
      <c r="AC134" s="110"/>
      <c r="AD134" s="110"/>
    </row>
    <row r="135" spans="1:30" ht="27">
      <c r="A135" s="16" t="s">
        <v>693</v>
      </c>
      <c r="B135" s="155" t="s">
        <v>918</v>
      </c>
      <c r="C135" s="16"/>
      <c r="D135" s="18">
        <v>37</v>
      </c>
      <c r="E135" s="18"/>
      <c r="F135" s="18"/>
      <c r="G135" s="18">
        <f t="shared" si="104"/>
        <v>37</v>
      </c>
      <c r="H135" s="18">
        <v>25.94</v>
      </c>
      <c r="I135" s="19">
        <f t="shared" si="112"/>
        <v>959.78000000000009</v>
      </c>
      <c r="J135" s="19">
        <f t="shared" si="123"/>
        <v>0</v>
      </c>
      <c r="K135" s="19">
        <f t="shared" si="124"/>
        <v>959.78000000000009</v>
      </c>
      <c r="L135" s="110"/>
      <c r="M135" s="110"/>
      <c r="N135" s="151"/>
      <c r="O135" s="152"/>
      <c r="P135" s="152"/>
      <c r="Q135" s="110"/>
      <c r="R135" s="126"/>
      <c r="S135" s="110"/>
      <c r="T135" s="132"/>
      <c r="U135" s="132"/>
      <c r="V135" s="110"/>
      <c r="W135" s="110"/>
      <c r="X135" s="110"/>
      <c r="Y135" s="110"/>
      <c r="Z135" s="110"/>
      <c r="AA135" s="110"/>
      <c r="AB135" s="110"/>
      <c r="AC135" s="110"/>
      <c r="AD135" s="110"/>
    </row>
    <row r="136" spans="1:30">
      <c r="A136" s="16" t="s">
        <v>694</v>
      </c>
      <c r="B136" s="155" t="s">
        <v>919</v>
      </c>
      <c r="C136" s="16"/>
      <c r="D136" s="18">
        <v>131</v>
      </c>
      <c r="E136" s="18"/>
      <c r="F136" s="18"/>
      <c r="G136" s="18">
        <f t="shared" si="104"/>
        <v>131</v>
      </c>
      <c r="H136" s="18">
        <v>25.94</v>
      </c>
      <c r="I136" s="19">
        <f t="shared" si="112"/>
        <v>3398.1400000000003</v>
      </c>
      <c r="J136" s="19">
        <f t="shared" si="123"/>
        <v>0</v>
      </c>
      <c r="K136" s="19">
        <f t="shared" si="124"/>
        <v>3398.1400000000003</v>
      </c>
      <c r="L136" s="110"/>
      <c r="M136" s="110"/>
      <c r="N136" s="151"/>
      <c r="O136" s="152"/>
      <c r="P136" s="152"/>
      <c r="Q136" s="110"/>
      <c r="R136" s="126"/>
      <c r="S136" s="110"/>
      <c r="T136" s="132"/>
      <c r="U136" s="132"/>
      <c r="V136" s="110"/>
      <c r="W136" s="110"/>
      <c r="X136" s="110"/>
      <c r="Y136" s="110"/>
      <c r="Z136" s="110"/>
      <c r="AA136" s="110"/>
      <c r="AB136" s="110"/>
      <c r="AC136" s="110"/>
      <c r="AD136" s="110"/>
    </row>
    <row r="137" spans="1:30">
      <c r="A137" s="16" t="s">
        <v>695</v>
      </c>
      <c r="B137" s="155" t="s">
        <v>920</v>
      </c>
      <c r="C137" s="16"/>
      <c r="D137" s="18">
        <v>4</v>
      </c>
      <c r="E137" s="18"/>
      <c r="F137" s="18"/>
      <c r="G137" s="18">
        <f t="shared" si="104"/>
        <v>4</v>
      </c>
      <c r="H137" s="18">
        <v>1.8</v>
      </c>
      <c r="I137" s="19">
        <f t="shared" si="112"/>
        <v>7.2</v>
      </c>
      <c r="J137" s="19">
        <f t="shared" si="123"/>
        <v>0</v>
      </c>
      <c r="K137" s="19">
        <f t="shared" si="124"/>
        <v>7.2</v>
      </c>
      <c r="L137" s="110"/>
      <c r="M137" s="110"/>
      <c r="N137" s="151"/>
      <c r="O137" s="152"/>
      <c r="P137" s="152"/>
      <c r="Q137" s="110"/>
      <c r="R137" s="126"/>
      <c r="S137" s="110"/>
      <c r="T137" s="132"/>
      <c r="U137" s="132"/>
      <c r="V137" s="110"/>
      <c r="W137" s="110"/>
      <c r="X137" s="110"/>
      <c r="Y137" s="110"/>
      <c r="Z137" s="110"/>
      <c r="AA137" s="110"/>
      <c r="AB137" s="110"/>
      <c r="AC137" s="110"/>
      <c r="AD137" s="110"/>
    </row>
    <row r="138" spans="1:30">
      <c r="A138" s="16" t="s">
        <v>696</v>
      </c>
      <c r="B138" s="155" t="s">
        <v>921</v>
      </c>
      <c r="C138" s="16"/>
      <c r="D138" s="18">
        <v>4</v>
      </c>
      <c r="E138" s="18"/>
      <c r="F138" s="18"/>
      <c r="G138" s="18">
        <f t="shared" si="104"/>
        <v>4</v>
      </c>
      <c r="H138" s="18">
        <v>1.96</v>
      </c>
      <c r="I138" s="19">
        <f t="shared" si="112"/>
        <v>7.84</v>
      </c>
      <c r="J138" s="19">
        <f t="shared" si="123"/>
        <v>0</v>
      </c>
      <c r="K138" s="19">
        <f t="shared" si="124"/>
        <v>7.84</v>
      </c>
      <c r="L138" s="110"/>
      <c r="M138" s="110"/>
      <c r="N138" s="151"/>
      <c r="O138" s="152"/>
      <c r="P138" s="152"/>
      <c r="Q138" s="110"/>
      <c r="R138" s="126"/>
      <c r="S138" s="110"/>
      <c r="T138" s="132"/>
      <c r="U138" s="132"/>
      <c r="V138" s="110"/>
      <c r="W138" s="110"/>
      <c r="X138" s="110"/>
      <c r="Y138" s="110"/>
      <c r="Z138" s="110"/>
      <c r="AA138" s="110"/>
      <c r="AB138" s="110"/>
      <c r="AC138" s="110"/>
      <c r="AD138" s="110"/>
    </row>
    <row r="139" spans="1:30">
      <c r="A139" s="16" t="s">
        <v>697</v>
      </c>
      <c r="B139" s="155" t="s">
        <v>922</v>
      </c>
      <c r="C139" s="16"/>
      <c r="D139" s="18">
        <v>4</v>
      </c>
      <c r="E139" s="18"/>
      <c r="F139" s="18"/>
      <c r="G139" s="18">
        <f t="shared" si="104"/>
        <v>4</v>
      </c>
      <c r="H139" s="18">
        <v>3.85</v>
      </c>
      <c r="I139" s="19">
        <f t="shared" si="112"/>
        <v>15.4</v>
      </c>
      <c r="J139" s="19">
        <f t="shared" si="123"/>
        <v>0</v>
      </c>
      <c r="K139" s="19">
        <f t="shared" si="124"/>
        <v>15.4</v>
      </c>
      <c r="L139" s="110"/>
      <c r="M139" s="110"/>
      <c r="N139" s="151"/>
      <c r="O139" s="152"/>
      <c r="P139" s="152"/>
      <c r="Q139" s="110"/>
      <c r="R139" s="126"/>
      <c r="S139" s="110"/>
      <c r="T139" s="132"/>
      <c r="U139" s="132"/>
      <c r="V139" s="110"/>
      <c r="W139" s="110"/>
      <c r="X139" s="110"/>
      <c r="Y139" s="110"/>
      <c r="Z139" s="110"/>
      <c r="AA139" s="110"/>
      <c r="AB139" s="110"/>
      <c r="AC139" s="110"/>
      <c r="AD139" s="110"/>
    </row>
    <row r="140" spans="1:30">
      <c r="A140" s="16" t="s">
        <v>698</v>
      </c>
      <c r="B140" s="155" t="s">
        <v>923</v>
      </c>
      <c r="C140" s="16"/>
      <c r="D140" s="18">
        <v>4</v>
      </c>
      <c r="E140" s="18"/>
      <c r="F140" s="18"/>
      <c r="G140" s="18">
        <f t="shared" si="104"/>
        <v>4</v>
      </c>
      <c r="H140" s="18">
        <v>2.2799999999999998</v>
      </c>
      <c r="I140" s="19">
        <f t="shared" si="112"/>
        <v>9.1199999999999992</v>
      </c>
      <c r="J140" s="19">
        <f t="shared" si="123"/>
        <v>0</v>
      </c>
      <c r="K140" s="19">
        <f t="shared" si="124"/>
        <v>9.1199999999999992</v>
      </c>
      <c r="L140" s="110"/>
      <c r="M140" s="110"/>
      <c r="N140" s="151"/>
      <c r="O140" s="152"/>
      <c r="P140" s="152"/>
      <c r="Q140" s="110"/>
      <c r="R140" s="126"/>
      <c r="S140" s="110"/>
      <c r="T140" s="132"/>
      <c r="U140" s="132"/>
      <c r="V140" s="110"/>
      <c r="W140" s="110"/>
      <c r="X140" s="110"/>
      <c r="Y140" s="110"/>
      <c r="Z140" s="110"/>
      <c r="AA140" s="110"/>
      <c r="AB140" s="110"/>
      <c r="AC140" s="110"/>
      <c r="AD140" s="110"/>
    </row>
    <row r="141" spans="1:30">
      <c r="A141" s="16" t="s">
        <v>699</v>
      </c>
      <c r="B141" s="155" t="s">
        <v>924</v>
      </c>
      <c r="C141" s="16"/>
      <c r="D141" s="18">
        <v>52</v>
      </c>
      <c r="E141" s="18"/>
      <c r="F141" s="18"/>
      <c r="G141" s="18">
        <f t="shared" si="104"/>
        <v>52</v>
      </c>
      <c r="H141" s="18">
        <v>7.0000000000000007E-2</v>
      </c>
      <c r="I141" s="19">
        <f t="shared" si="112"/>
        <v>3.6400000000000006</v>
      </c>
      <c r="J141" s="19">
        <f t="shared" si="123"/>
        <v>0</v>
      </c>
      <c r="K141" s="19">
        <f t="shared" si="124"/>
        <v>3.6400000000000006</v>
      </c>
      <c r="L141" s="110"/>
      <c r="M141" s="110"/>
      <c r="N141" s="151"/>
      <c r="O141" s="152"/>
      <c r="P141" s="152"/>
      <c r="Q141" s="110"/>
      <c r="R141" s="126"/>
      <c r="S141" s="110"/>
      <c r="T141" s="132"/>
      <c r="U141" s="132"/>
      <c r="V141" s="110"/>
      <c r="W141" s="110"/>
      <c r="X141" s="110"/>
      <c r="Y141" s="110"/>
      <c r="Z141" s="110"/>
      <c r="AA141" s="110"/>
      <c r="AB141" s="110"/>
      <c r="AC141" s="110"/>
      <c r="AD141" s="110"/>
    </row>
    <row r="142" spans="1:30">
      <c r="A142" s="16" t="s">
        <v>700</v>
      </c>
      <c r="B142" s="155" t="s">
        <v>925</v>
      </c>
      <c r="C142" s="16"/>
      <c r="D142" s="18">
        <v>79</v>
      </c>
      <c r="E142" s="18"/>
      <c r="F142" s="18"/>
      <c r="G142" s="18">
        <f t="shared" si="104"/>
        <v>79</v>
      </c>
      <c r="H142" s="18">
        <v>0.2</v>
      </c>
      <c r="I142" s="19">
        <f t="shared" si="112"/>
        <v>15.8</v>
      </c>
      <c r="J142" s="19">
        <f t="shared" si="123"/>
        <v>0</v>
      </c>
      <c r="K142" s="19">
        <f t="shared" si="124"/>
        <v>15.8</v>
      </c>
      <c r="L142" s="110"/>
      <c r="M142" s="110"/>
      <c r="N142" s="151"/>
      <c r="O142" s="152"/>
      <c r="P142" s="152"/>
      <c r="Q142" s="110"/>
      <c r="R142" s="126"/>
      <c r="S142" s="110"/>
      <c r="T142" s="132"/>
      <c r="U142" s="132"/>
      <c r="V142" s="110"/>
      <c r="W142" s="110"/>
      <c r="X142" s="110"/>
      <c r="Y142" s="110"/>
      <c r="Z142" s="110"/>
      <c r="AA142" s="110"/>
      <c r="AB142" s="110"/>
      <c r="AC142" s="110"/>
      <c r="AD142" s="110"/>
    </row>
    <row r="143" spans="1:30" ht="40.200000000000003">
      <c r="A143" s="16" t="s">
        <v>701</v>
      </c>
      <c r="B143" s="155" t="s">
        <v>926</v>
      </c>
      <c r="C143" s="16"/>
      <c r="D143" s="18">
        <v>2</v>
      </c>
      <c r="E143" s="18"/>
      <c r="F143" s="18"/>
      <c r="G143" s="18">
        <f t="shared" si="104"/>
        <v>2</v>
      </c>
      <c r="H143" s="18">
        <v>12.11</v>
      </c>
      <c r="I143" s="19">
        <f t="shared" si="112"/>
        <v>24.22</v>
      </c>
      <c r="J143" s="19">
        <f t="shared" si="123"/>
        <v>0</v>
      </c>
      <c r="K143" s="19">
        <f t="shared" si="124"/>
        <v>24.22</v>
      </c>
      <c r="L143" s="110"/>
      <c r="M143" s="110"/>
      <c r="N143" s="151"/>
      <c r="O143" s="152"/>
      <c r="P143" s="152"/>
      <c r="Q143" s="110"/>
      <c r="R143" s="126"/>
      <c r="S143" s="110"/>
      <c r="T143" s="132"/>
      <c r="U143" s="132"/>
      <c r="V143" s="110"/>
      <c r="W143" s="110"/>
      <c r="X143" s="110"/>
      <c r="Y143" s="110"/>
      <c r="Z143" s="110"/>
      <c r="AA143" s="110"/>
      <c r="AB143" s="110"/>
      <c r="AC143" s="110"/>
      <c r="AD143" s="110"/>
    </row>
    <row r="144" spans="1:30" ht="40.200000000000003">
      <c r="A144" s="16" t="s">
        <v>702</v>
      </c>
      <c r="B144" s="155" t="s">
        <v>927</v>
      </c>
      <c r="C144" s="16"/>
      <c r="D144" s="18">
        <v>1</v>
      </c>
      <c r="E144" s="18"/>
      <c r="F144" s="18"/>
      <c r="G144" s="18">
        <f t="shared" si="104"/>
        <v>1</v>
      </c>
      <c r="H144" s="18">
        <v>11.23</v>
      </c>
      <c r="I144" s="19">
        <f t="shared" si="112"/>
        <v>11.23</v>
      </c>
      <c r="J144" s="19">
        <f t="shared" si="123"/>
        <v>0</v>
      </c>
      <c r="K144" s="19">
        <f t="shared" si="124"/>
        <v>11.23</v>
      </c>
      <c r="L144" s="110"/>
      <c r="M144" s="110"/>
      <c r="N144" s="151"/>
      <c r="O144" s="152"/>
      <c r="P144" s="152"/>
      <c r="Q144" s="110"/>
      <c r="R144" s="126"/>
      <c r="S144" s="110"/>
      <c r="T144" s="132"/>
      <c r="U144" s="132"/>
      <c r="V144" s="110"/>
      <c r="W144" s="110"/>
      <c r="X144" s="110"/>
      <c r="Y144" s="110"/>
      <c r="Z144" s="110"/>
      <c r="AA144" s="110"/>
      <c r="AB144" s="110"/>
      <c r="AC144" s="110"/>
      <c r="AD144" s="110"/>
    </row>
    <row r="145" spans="1:30" ht="27">
      <c r="A145" s="16" t="s">
        <v>703</v>
      </c>
      <c r="B145" s="155" t="s">
        <v>928</v>
      </c>
      <c r="C145" s="16"/>
      <c r="D145" s="18">
        <v>6</v>
      </c>
      <c r="E145" s="18"/>
      <c r="F145" s="18"/>
      <c r="G145" s="18">
        <f t="shared" si="104"/>
        <v>6</v>
      </c>
      <c r="H145" s="18">
        <v>5.45</v>
      </c>
      <c r="I145" s="19">
        <f t="shared" si="112"/>
        <v>32.700000000000003</v>
      </c>
      <c r="J145" s="19">
        <f t="shared" si="123"/>
        <v>0</v>
      </c>
      <c r="K145" s="19">
        <f t="shared" si="124"/>
        <v>32.700000000000003</v>
      </c>
      <c r="L145" s="110"/>
      <c r="M145" s="110"/>
      <c r="N145" s="151"/>
      <c r="O145" s="152"/>
      <c r="P145" s="152"/>
      <c r="Q145" s="110"/>
      <c r="R145" s="126"/>
      <c r="S145" s="110"/>
      <c r="T145" s="132"/>
      <c r="U145" s="132"/>
      <c r="V145" s="110"/>
      <c r="W145" s="110"/>
      <c r="X145" s="110"/>
      <c r="Y145" s="110"/>
      <c r="Z145" s="110"/>
      <c r="AA145" s="110"/>
      <c r="AB145" s="110"/>
      <c r="AC145" s="110"/>
      <c r="AD145" s="110"/>
    </row>
    <row r="146" spans="1:30" ht="27">
      <c r="A146" s="16" t="s">
        <v>704</v>
      </c>
      <c r="B146" s="155" t="s">
        <v>929</v>
      </c>
      <c r="C146" s="16"/>
      <c r="D146" s="18">
        <v>5</v>
      </c>
      <c r="E146" s="18"/>
      <c r="F146" s="18"/>
      <c r="G146" s="18">
        <f t="shared" ref="G146:G209" si="125">D146+E146-F146</f>
        <v>5</v>
      </c>
      <c r="H146" s="18">
        <v>7.18</v>
      </c>
      <c r="I146" s="19">
        <f t="shared" si="112"/>
        <v>35.9</v>
      </c>
      <c r="J146" s="19">
        <f t="shared" si="123"/>
        <v>0</v>
      </c>
      <c r="K146" s="19">
        <f t="shared" si="124"/>
        <v>35.9</v>
      </c>
      <c r="L146" s="110"/>
      <c r="M146" s="110"/>
      <c r="N146" s="151"/>
      <c r="O146" s="152"/>
      <c r="P146" s="152"/>
      <c r="Q146" s="110"/>
      <c r="R146" s="126"/>
      <c r="S146" s="110"/>
      <c r="T146" s="132"/>
      <c r="U146" s="132"/>
      <c r="V146" s="110"/>
      <c r="W146" s="110"/>
      <c r="X146" s="110"/>
      <c r="Y146" s="110"/>
      <c r="Z146" s="110"/>
      <c r="AA146" s="110"/>
      <c r="AB146" s="110"/>
      <c r="AC146" s="110"/>
      <c r="AD146" s="110"/>
    </row>
    <row r="147" spans="1:30" ht="27">
      <c r="A147" s="16" t="s">
        <v>705</v>
      </c>
      <c r="B147" s="155" t="s">
        <v>928</v>
      </c>
      <c r="C147" s="16"/>
      <c r="D147" s="18">
        <v>52</v>
      </c>
      <c r="E147" s="18"/>
      <c r="F147" s="18"/>
      <c r="G147" s="18">
        <f t="shared" si="125"/>
        <v>52</v>
      </c>
      <c r="H147" s="18">
        <v>4.1399999999999997</v>
      </c>
      <c r="I147" s="19">
        <f t="shared" si="112"/>
        <v>215.27999999999997</v>
      </c>
      <c r="J147" s="19">
        <f t="shared" si="123"/>
        <v>0</v>
      </c>
      <c r="K147" s="19">
        <f t="shared" si="124"/>
        <v>215.27999999999997</v>
      </c>
      <c r="L147" s="110"/>
      <c r="M147" s="110"/>
      <c r="N147" s="151"/>
      <c r="O147" s="152"/>
      <c r="P147" s="152"/>
      <c r="Q147" s="110"/>
      <c r="R147" s="126"/>
      <c r="S147" s="110"/>
      <c r="T147" s="132"/>
      <c r="U147" s="132"/>
      <c r="V147" s="110"/>
      <c r="W147" s="110"/>
      <c r="X147" s="110"/>
      <c r="Y147" s="110"/>
      <c r="Z147" s="110"/>
      <c r="AA147" s="110"/>
      <c r="AB147" s="110"/>
      <c r="AC147" s="110"/>
      <c r="AD147" s="110"/>
    </row>
    <row r="148" spans="1:30">
      <c r="A148" s="16" t="s">
        <v>706</v>
      </c>
      <c r="B148" s="155" t="s">
        <v>930</v>
      </c>
      <c r="C148" s="16"/>
      <c r="D148" s="18">
        <v>4</v>
      </c>
      <c r="E148" s="18"/>
      <c r="F148" s="18"/>
      <c r="G148" s="18">
        <f t="shared" si="125"/>
        <v>4</v>
      </c>
      <c r="H148" s="18">
        <v>307.13</v>
      </c>
      <c r="I148" s="19">
        <f t="shared" si="112"/>
        <v>1228.52</v>
      </c>
      <c r="J148" s="19">
        <f t="shared" si="123"/>
        <v>0</v>
      </c>
      <c r="K148" s="19">
        <f t="shared" si="124"/>
        <v>1228.52</v>
      </c>
      <c r="L148" s="110"/>
      <c r="M148" s="110"/>
      <c r="N148" s="151"/>
      <c r="O148" s="152"/>
      <c r="P148" s="152"/>
      <c r="Q148" s="110"/>
      <c r="R148" s="126"/>
      <c r="S148" s="110"/>
      <c r="T148" s="132"/>
      <c r="U148" s="132"/>
      <c r="V148" s="110"/>
      <c r="W148" s="110"/>
      <c r="X148" s="110"/>
      <c r="Y148" s="110"/>
      <c r="Z148" s="110"/>
      <c r="AA148" s="110"/>
      <c r="AB148" s="110"/>
      <c r="AC148" s="110"/>
      <c r="AD148" s="110"/>
    </row>
    <row r="149" spans="1:30">
      <c r="A149" s="16" t="s">
        <v>707</v>
      </c>
      <c r="B149" s="155" t="s">
        <v>931</v>
      </c>
      <c r="C149" s="16"/>
      <c r="D149" s="18">
        <v>100</v>
      </c>
      <c r="E149" s="18"/>
      <c r="F149" s="18"/>
      <c r="G149" s="18">
        <f t="shared" si="125"/>
        <v>100</v>
      </c>
      <c r="H149" s="18">
        <v>76.08</v>
      </c>
      <c r="I149" s="19">
        <f t="shared" si="112"/>
        <v>7608</v>
      </c>
      <c r="J149" s="19">
        <f t="shared" si="123"/>
        <v>0</v>
      </c>
      <c r="K149" s="19">
        <f t="shared" si="124"/>
        <v>7608</v>
      </c>
      <c r="L149" s="110"/>
      <c r="M149" s="110"/>
      <c r="N149" s="151"/>
      <c r="O149" s="152"/>
      <c r="P149" s="152"/>
      <c r="Q149" s="110"/>
      <c r="R149" s="126"/>
      <c r="S149" s="110"/>
      <c r="T149" s="132"/>
      <c r="U149" s="132"/>
      <c r="V149" s="110"/>
      <c r="W149" s="110"/>
      <c r="X149" s="110"/>
      <c r="Y149" s="110"/>
      <c r="Z149" s="110"/>
      <c r="AA149" s="110"/>
      <c r="AB149" s="110"/>
      <c r="AC149" s="110"/>
      <c r="AD149" s="110"/>
    </row>
    <row r="150" spans="1:30">
      <c r="A150" s="16" t="s">
        <v>708</v>
      </c>
      <c r="B150" s="155" t="s">
        <v>932</v>
      </c>
      <c r="C150" s="16"/>
      <c r="D150" s="18">
        <v>14</v>
      </c>
      <c r="E150" s="18"/>
      <c r="F150" s="18"/>
      <c r="G150" s="18">
        <f t="shared" si="125"/>
        <v>14</v>
      </c>
      <c r="H150" s="18">
        <v>299.55</v>
      </c>
      <c r="I150" s="19">
        <f t="shared" si="112"/>
        <v>4193.7</v>
      </c>
      <c r="J150" s="19">
        <f t="shared" si="123"/>
        <v>0</v>
      </c>
      <c r="K150" s="19">
        <f t="shared" si="124"/>
        <v>4193.7</v>
      </c>
      <c r="L150" s="110"/>
      <c r="M150" s="110"/>
      <c r="N150" s="151"/>
      <c r="O150" s="152"/>
      <c r="P150" s="152"/>
      <c r="Q150" s="110"/>
      <c r="R150" s="126"/>
      <c r="S150" s="110"/>
      <c r="T150" s="132"/>
      <c r="U150" s="132"/>
      <c r="V150" s="110"/>
      <c r="W150" s="110"/>
      <c r="X150" s="110"/>
      <c r="Y150" s="110"/>
      <c r="Z150" s="110"/>
      <c r="AA150" s="110"/>
      <c r="AB150" s="110"/>
      <c r="AC150" s="110"/>
      <c r="AD150" s="110"/>
    </row>
    <row r="151" spans="1:30" ht="27">
      <c r="A151" s="16" t="s">
        <v>709</v>
      </c>
      <c r="B151" s="155" t="s">
        <v>933</v>
      </c>
      <c r="C151" s="16"/>
      <c r="D151" s="18">
        <v>11</v>
      </c>
      <c r="E151" s="18"/>
      <c r="F151" s="18"/>
      <c r="G151" s="18">
        <f t="shared" si="125"/>
        <v>11</v>
      </c>
      <c r="H151" s="18">
        <v>15.6</v>
      </c>
      <c r="I151" s="19">
        <f t="shared" si="112"/>
        <v>171.6</v>
      </c>
      <c r="J151" s="19">
        <f t="shared" si="123"/>
        <v>0</v>
      </c>
      <c r="K151" s="19">
        <f t="shared" si="124"/>
        <v>171.6</v>
      </c>
      <c r="L151" s="110"/>
      <c r="M151" s="110"/>
      <c r="N151" s="151"/>
      <c r="O151" s="152"/>
      <c r="P151" s="152"/>
      <c r="Q151" s="110"/>
      <c r="R151" s="126"/>
      <c r="S151" s="110"/>
      <c r="T151" s="132"/>
      <c r="U151" s="132"/>
      <c r="V151" s="110"/>
      <c r="W151" s="110"/>
      <c r="X151" s="110"/>
      <c r="Y151" s="110"/>
      <c r="Z151" s="110"/>
      <c r="AA151" s="110"/>
      <c r="AB151" s="110"/>
      <c r="AC151" s="110"/>
      <c r="AD151" s="110"/>
    </row>
    <row r="152" spans="1:30">
      <c r="A152" s="16" t="s">
        <v>710</v>
      </c>
      <c r="B152" s="155" t="s">
        <v>934</v>
      </c>
      <c r="C152" s="16"/>
      <c r="D152" s="18">
        <v>11</v>
      </c>
      <c r="E152" s="18"/>
      <c r="F152" s="18"/>
      <c r="G152" s="18">
        <f t="shared" si="125"/>
        <v>11</v>
      </c>
      <c r="H152" s="18">
        <v>58.8</v>
      </c>
      <c r="I152" s="19">
        <f t="shared" si="112"/>
        <v>646.79999999999995</v>
      </c>
      <c r="J152" s="19">
        <f t="shared" si="123"/>
        <v>0</v>
      </c>
      <c r="K152" s="19">
        <f t="shared" si="124"/>
        <v>646.79999999999995</v>
      </c>
      <c r="L152" s="110"/>
      <c r="M152" s="110"/>
      <c r="N152" s="151"/>
      <c r="O152" s="152"/>
      <c r="P152" s="152"/>
      <c r="Q152" s="110"/>
      <c r="R152" s="126"/>
      <c r="S152" s="110"/>
      <c r="T152" s="132"/>
      <c r="U152" s="132"/>
      <c r="V152" s="110"/>
      <c r="W152" s="110"/>
      <c r="X152" s="110"/>
      <c r="Y152" s="110"/>
      <c r="Z152" s="110"/>
      <c r="AA152" s="110"/>
      <c r="AB152" s="110"/>
      <c r="AC152" s="110"/>
      <c r="AD152" s="110"/>
    </row>
    <row r="153" spans="1:30" ht="27">
      <c r="A153" s="16" t="s">
        <v>711</v>
      </c>
      <c r="B153" s="155" t="s">
        <v>935</v>
      </c>
      <c r="C153" s="16"/>
      <c r="D153" s="18">
        <v>81</v>
      </c>
      <c r="E153" s="18"/>
      <c r="F153" s="18"/>
      <c r="G153" s="18">
        <f t="shared" si="125"/>
        <v>81</v>
      </c>
      <c r="H153" s="18">
        <v>30.19</v>
      </c>
      <c r="I153" s="19">
        <f t="shared" si="112"/>
        <v>2445.3900000000003</v>
      </c>
      <c r="J153" s="19">
        <f t="shared" si="123"/>
        <v>0</v>
      </c>
      <c r="K153" s="19">
        <f t="shared" si="124"/>
        <v>2445.3900000000003</v>
      </c>
      <c r="L153" s="110"/>
      <c r="M153" s="110"/>
      <c r="N153" s="151"/>
      <c r="O153" s="152"/>
      <c r="P153" s="152"/>
      <c r="Q153" s="110"/>
      <c r="R153" s="126"/>
      <c r="S153" s="110"/>
      <c r="T153" s="132"/>
      <c r="U153" s="132"/>
      <c r="V153" s="110"/>
      <c r="W153" s="110"/>
      <c r="X153" s="110"/>
      <c r="Y153" s="110"/>
      <c r="Z153" s="110"/>
      <c r="AA153" s="110"/>
      <c r="AB153" s="110"/>
      <c r="AC153" s="110"/>
      <c r="AD153" s="110"/>
    </row>
    <row r="154" spans="1:30" ht="27">
      <c r="A154" s="16" t="s">
        <v>712</v>
      </c>
      <c r="B154" s="155" t="s">
        <v>936</v>
      </c>
      <c r="C154" s="16"/>
      <c r="D154" s="18">
        <v>9</v>
      </c>
      <c r="E154" s="18"/>
      <c r="F154" s="18"/>
      <c r="G154" s="18">
        <f t="shared" si="125"/>
        <v>9</v>
      </c>
      <c r="H154" s="18">
        <v>54.85</v>
      </c>
      <c r="I154" s="19">
        <f t="shared" ref="I154:I217" si="126">D154*H154</f>
        <v>493.65000000000003</v>
      </c>
      <c r="J154" s="19">
        <f t="shared" si="123"/>
        <v>0</v>
      </c>
      <c r="K154" s="19">
        <f t="shared" si="124"/>
        <v>493.65000000000003</v>
      </c>
      <c r="L154" s="110"/>
      <c r="M154" s="110"/>
      <c r="N154" s="151"/>
      <c r="O154" s="152"/>
      <c r="P154" s="152"/>
      <c r="Q154" s="110"/>
      <c r="R154" s="126"/>
      <c r="S154" s="110"/>
      <c r="T154" s="132"/>
      <c r="U154" s="132"/>
      <c r="V154" s="110"/>
      <c r="W154" s="110"/>
      <c r="X154" s="110"/>
      <c r="Y154" s="110"/>
      <c r="Z154" s="110"/>
      <c r="AA154" s="110"/>
      <c r="AB154" s="110"/>
      <c r="AC154" s="110"/>
      <c r="AD154" s="110"/>
    </row>
    <row r="155" spans="1:30" ht="27">
      <c r="A155" s="16" t="s">
        <v>713</v>
      </c>
      <c r="B155" s="155" t="s">
        <v>937</v>
      </c>
      <c r="C155" s="16"/>
      <c r="D155" s="18">
        <v>14</v>
      </c>
      <c r="E155" s="18"/>
      <c r="F155" s="18"/>
      <c r="G155" s="18">
        <f t="shared" si="125"/>
        <v>14</v>
      </c>
      <c r="H155" s="18">
        <v>25.56</v>
      </c>
      <c r="I155" s="19">
        <f t="shared" si="126"/>
        <v>357.84</v>
      </c>
      <c r="J155" s="19">
        <f t="shared" si="123"/>
        <v>0</v>
      </c>
      <c r="K155" s="19">
        <f t="shared" si="124"/>
        <v>357.84</v>
      </c>
      <c r="L155" s="110"/>
      <c r="M155" s="110"/>
      <c r="N155" s="151"/>
      <c r="O155" s="152"/>
      <c r="P155" s="152"/>
      <c r="Q155" s="110"/>
      <c r="R155" s="126"/>
      <c r="S155" s="110"/>
      <c r="T155" s="132"/>
      <c r="U155" s="132"/>
      <c r="V155" s="110"/>
      <c r="W155" s="110"/>
      <c r="X155" s="110"/>
      <c r="Y155" s="110"/>
      <c r="Z155" s="110"/>
      <c r="AA155" s="110"/>
      <c r="AB155" s="110"/>
      <c r="AC155" s="110"/>
      <c r="AD155" s="110"/>
    </row>
    <row r="156" spans="1:30" ht="27">
      <c r="A156" s="16" t="s">
        <v>714</v>
      </c>
      <c r="B156" s="155" t="s">
        <v>938</v>
      </c>
      <c r="C156" s="16"/>
      <c r="D156" s="18">
        <v>7</v>
      </c>
      <c r="E156" s="18"/>
      <c r="F156" s="18"/>
      <c r="G156" s="18">
        <f t="shared" si="125"/>
        <v>7</v>
      </c>
      <c r="H156" s="18">
        <v>32.5</v>
      </c>
      <c r="I156" s="19">
        <f t="shared" si="126"/>
        <v>227.5</v>
      </c>
      <c r="J156" s="19">
        <f t="shared" si="123"/>
        <v>0</v>
      </c>
      <c r="K156" s="19">
        <f t="shared" si="124"/>
        <v>227.5</v>
      </c>
      <c r="L156" s="110"/>
      <c r="M156" s="110"/>
      <c r="N156" s="151"/>
      <c r="O156" s="152"/>
      <c r="P156" s="152"/>
      <c r="Q156" s="110"/>
      <c r="R156" s="126"/>
      <c r="S156" s="110"/>
      <c r="T156" s="132"/>
      <c r="U156" s="132"/>
      <c r="V156" s="110"/>
      <c r="W156" s="110"/>
      <c r="X156" s="110"/>
      <c r="Y156" s="110"/>
      <c r="Z156" s="110"/>
      <c r="AA156" s="110"/>
      <c r="AB156" s="110"/>
      <c r="AC156" s="110"/>
      <c r="AD156" s="110"/>
    </row>
    <row r="157" spans="1:30" ht="27">
      <c r="A157" s="16" t="s">
        <v>715</v>
      </c>
      <c r="B157" s="155" t="s">
        <v>939</v>
      </c>
      <c r="C157" s="16"/>
      <c r="D157" s="18">
        <v>1</v>
      </c>
      <c r="E157" s="18"/>
      <c r="F157" s="18"/>
      <c r="G157" s="18">
        <f t="shared" si="125"/>
        <v>1</v>
      </c>
      <c r="H157" s="18">
        <v>73.290000000000006</v>
      </c>
      <c r="I157" s="19">
        <f t="shared" si="126"/>
        <v>73.290000000000006</v>
      </c>
      <c r="J157" s="19">
        <f t="shared" si="123"/>
        <v>0</v>
      </c>
      <c r="K157" s="19">
        <f t="shared" si="124"/>
        <v>73.290000000000006</v>
      </c>
      <c r="L157" s="110"/>
      <c r="M157" s="110"/>
      <c r="N157" s="151"/>
      <c r="O157" s="152"/>
      <c r="P157" s="152"/>
      <c r="Q157" s="110"/>
      <c r="R157" s="126"/>
      <c r="S157" s="110"/>
      <c r="T157" s="132"/>
      <c r="U157" s="132"/>
      <c r="V157" s="110"/>
      <c r="W157" s="110"/>
      <c r="X157" s="110"/>
      <c r="Y157" s="110"/>
      <c r="Z157" s="110"/>
      <c r="AA157" s="110"/>
      <c r="AB157" s="110"/>
      <c r="AC157" s="110"/>
      <c r="AD157" s="110"/>
    </row>
    <row r="158" spans="1:30" ht="40.200000000000003">
      <c r="A158" s="16" t="s">
        <v>716</v>
      </c>
      <c r="B158" s="155" t="s">
        <v>940</v>
      </c>
      <c r="C158" s="16"/>
      <c r="D158" s="18">
        <v>3</v>
      </c>
      <c r="E158" s="18"/>
      <c r="F158" s="18"/>
      <c r="G158" s="18">
        <f t="shared" si="125"/>
        <v>3</v>
      </c>
      <c r="H158" s="18">
        <v>639.61</v>
      </c>
      <c r="I158" s="19">
        <f t="shared" si="126"/>
        <v>1918.83</v>
      </c>
      <c r="J158" s="19">
        <f t="shared" si="123"/>
        <v>0</v>
      </c>
      <c r="K158" s="19">
        <f t="shared" si="124"/>
        <v>1918.83</v>
      </c>
      <c r="L158" s="110"/>
      <c r="M158" s="110"/>
      <c r="N158" s="151"/>
      <c r="O158" s="152"/>
      <c r="P158" s="152"/>
      <c r="Q158" s="110"/>
      <c r="R158" s="126"/>
      <c r="S158" s="110"/>
      <c r="T158" s="132"/>
      <c r="U158" s="132"/>
      <c r="V158" s="110"/>
      <c r="W158" s="110"/>
      <c r="X158" s="110"/>
      <c r="Y158" s="110"/>
      <c r="Z158" s="110"/>
      <c r="AA158" s="110"/>
      <c r="AB158" s="110"/>
      <c r="AC158" s="110"/>
      <c r="AD158" s="110"/>
    </row>
    <row r="159" spans="1:30" ht="27">
      <c r="A159" s="16" t="s">
        <v>717</v>
      </c>
      <c r="B159" s="155" t="s">
        <v>941</v>
      </c>
      <c r="C159" s="16"/>
      <c r="D159" s="18">
        <v>1</v>
      </c>
      <c r="E159" s="18"/>
      <c r="F159" s="18"/>
      <c r="G159" s="18">
        <f t="shared" si="125"/>
        <v>1</v>
      </c>
      <c r="H159" s="18">
        <v>2687.19</v>
      </c>
      <c r="I159" s="19">
        <f t="shared" si="126"/>
        <v>2687.19</v>
      </c>
      <c r="J159" s="19">
        <f t="shared" si="123"/>
        <v>0</v>
      </c>
      <c r="K159" s="19">
        <f t="shared" si="124"/>
        <v>2687.19</v>
      </c>
      <c r="L159" s="110"/>
      <c r="M159" s="110"/>
      <c r="N159" s="151"/>
      <c r="O159" s="152"/>
      <c r="P159" s="152"/>
      <c r="Q159" s="110"/>
      <c r="R159" s="126"/>
      <c r="S159" s="110"/>
      <c r="T159" s="132"/>
      <c r="U159" s="132"/>
      <c r="V159" s="110"/>
      <c r="W159" s="110"/>
      <c r="X159" s="110"/>
      <c r="Y159" s="110"/>
      <c r="Z159" s="110"/>
      <c r="AA159" s="110"/>
      <c r="AB159" s="110"/>
      <c r="AC159" s="110"/>
      <c r="AD159" s="110"/>
    </row>
    <row r="160" spans="1:30" ht="40.200000000000003">
      <c r="A160" s="16" t="s">
        <v>718</v>
      </c>
      <c r="B160" s="155" t="s">
        <v>942</v>
      </c>
      <c r="C160" s="16"/>
      <c r="D160" s="18">
        <v>14.8</v>
      </c>
      <c r="E160" s="18"/>
      <c r="F160" s="18"/>
      <c r="G160" s="18">
        <f t="shared" si="125"/>
        <v>14.8</v>
      </c>
      <c r="H160" s="18">
        <v>33.31</v>
      </c>
      <c r="I160" s="19">
        <f t="shared" si="126"/>
        <v>492.98800000000006</v>
      </c>
      <c r="J160" s="19">
        <f t="shared" si="123"/>
        <v>0</v>
      </c>
      <c r="K160" s="19">
        <f t="shared" si="124"/>
        <v>492.98800000000006</v>
      </c>
      <c r="L160" s="110"/>
      <c r="M160" s="110"/>
      <c r="N160" s="151"/>
      <c r="O160" s="152"/>
      <c r="P160" s="152"/>
      <c r="Q160" s="110"/>
      <c r="R160" s="126"/>
      <c r="S160" s="110"/>
      <c r="T160" s="132"/>
      <c r="U160" s="132"/>
      <c r="V160" s="110"/>
      <c r="W160" s="110"/>
      <c r="X160" s="110"/>
      <c r="Y160" s="110"/>
      <c r="Z160" s="110"/>
      <c r="AA160" s="110"/>
      <c r="AB160" s="110"/>
      <c r="AC160" s="110"/>
      <c r="AD160" s="110"/>
    </row>
    <row r="161" spans="1:30" ht="27">
      <c r="A161" s="16" t="s">
        <v>719</v>
      </c>
      <c r="B161" s="155" t="s">
        <v>937</v>
      </c>
      <c r="C161" s="16"/>
      <c r="D161" s="18">
        <v>3.7</v>
      </c>
      <c r="E161" s="18"/>
      <c r="F161" s="18"/>
      <c r="G161" s="18">
        <f t="shared" si="125"/>
        <v>3.7</v>
      </c>
      <c r="H161" s="18">
        <v>28.14</v>
      </c>
      <c r="I161" s="19">
        <f t="shared" si="126"/>
        <v>104.11800000000001</v>
      </c>
      <c r="J161" s="19">
        <f t="shared" si="123"/>
        <v>0</v>
      </c>
      <c r="K161" s="19">
        <f t="shared" si="124"/>
        <v>104.11800000000001</v>
      </c>
      <c r="L161" s="110"/>
      <c r="M161" s="110"/>
      <c r="N161" s="151"/>
      <c r="O161" s="152"/>
      <c r="P161" s="152"/>
      <c r="Q161" s="110"/>
      <c r="R161" s="126"/>
      <c r="S161" s="110"/>
      <c r="T161" s="132"/>
      <c r="U161" s="132"/>
      <c r="V161" s="110"/>
      <c r="W161" s="110"/>
      <c r="X161" s="110"/>
      <c r="Y161" s="110"/>
      <c r="Z161" s="110"/>
      <c r="AA161" s="110"/>
      <c r="AB161" s="110"/>
      <c r="AC161" s="110"/>
      <c r="AD161" s="110"/>
    </row>
    <row r="162" spans="1:30" ht="27">
      <c r="A162" s="16" t="s">
        <v>720</v>
      </c>
      <c r="B162" s="155" t="s">
        <v>943</v>
      </c>
      <c r="C162" s="16"/>
      <c r="D162" s="18">
        <v>190</v>
      </c>
      <c r="E162" s="18"/>
      <c r="F162" s="18"/>
      <c r="G162" s="18">
        <f t="shared" si="125"/>
        <v>190</v>
      </c>
      <c r="H162" s="18">
        <v>18.579999999999998</v>
      </c>
      <c r="I162" s="19">
        <f t="shared" si="126"/>
        <v>3530.2</v>
      </c>
      <c r="J162" s="19">
        <f t="shared" si="123"/>
        <v>0</v>
      </c>
      <c r="K162" s="19">
        <f t="shared" si="124"/>
        <v>3530.2</v>
      </c>
      <c r="L162" s="110"/>
      <c r="M162" s="110"/>
      <c r="N162" s="151"/>
      <c r="O162" s="152"/>
      <c r="P162" s="152"/>
      <c r="Q162" s="110"/>
      <c r="R162" s="126"/>
      <c r="S162" s="110"/>
      <c r="T162" s="132"/>
      <c r="U162" s="132"/>
      <c r="V162" s="110"/>
      <c r="W162" s="110"/>
      <c r="X162" s="110"/>
      <c r="Y162" s="110"/>
      <c r="Z162" s="110"/>
      <c r="AA162" s="110"/>
      <c r="AB162" s="110"/>
      <c r="AC162" s="110"/>
      <c r="AD162" s="110"/>
    </row>
    <row r="163" spans="1:30" ht="27">
      <c r="A163" s="16" t="s">
        <v>721</v>
      </c>
      <c r="B163" s="155" t="s">
        <v>944</v>
      </c>
      <c r="C163" s="16"/>
      <c r="D163" s="18">
        <v>166</v>
      </c>
      <c r="E163" s="18"/>
      <c r="F163" s="18"/>
      <c r="G163" s="18">
        <f t="shared" si="125"/>
        <v>166</v>
      </c>
      <c r="H163" s="18">
        <v>10.24</v>
      </c>
      <c r="I163" s="19">
        <f t="shared" si="126"/>
        <v>1699.8400000000001</v>
      </c>
      <c r="J163" s="19">
        <f t="shared" si="123"/>
        <v>0</v>
      </c>
      <c r="K163" s="19">
        <f t="shared" si="124"/>
        <v>1699.8400000000001</v>
      </c>
      <c r="L163" s="110"/>
      <c r="M163" s="110"/>
      <c r="N163" s="151"/>
      <c r="O163" s="152"/>
      <c r="P163" s="152"/>
      <c r="Q163" s="110"/>
      <c r="R163" s="126"/>
      <c r="S163" s="110"/>
      <c r="T163" s="132"/>
      <c r="U163" s="132"/>
      <c r="V163" s="110"/>
      <c r="W163" s="110"/>
      <c r="X163" s="110"/>
      <c r="Y163" s="110"/>
      <c r="Z163" s="110"/>
      <c r="AA163" s="110"/>
      <c r="AB163" s="110"/>
      <c r="AC163" s="110"/>
      <c r="AD163" s="110"/>
    </row>
    <row r="164" spans="1:30" ht="27">
      <c r="A164" s="16" t="s">
        <v>722</v>
      </c>
      <c r="B164" s="155" t="s">
        <v>945</v>
      </c>
      <c r="C164" s="16"/>
      <c r="D164" s="18">
        <v>143.69999999999999</v>
      </c>
      <c r="E164" s="18"/>
      <c r="F164" s="18"/>
      <c r="G164" s="18">
        <f t="shared" si="125"/>
        <v>143.69999999999999</v>
      </c>
      <c r="H164" s="18">
        <v>7.29</v>
      </c>
      <c r="I164" s="19">
        <f t="shared" si="126"/>
        <v>1047.5729999999999</v>
      </c>
      <c r="J164" s="19">
        <f t="shared" si="123"/>
        <v>0</v>
      </c>
      <c r="K164" s="19">
        <f t="shared" si="124"/>
        <v>1047.5729999999999</v>
      </c>
      <c r="L164" s="110"/>
      <c r="M164" s="110"/>
      <c r="N164" s="151"/>
      <c r="O164" s="152"/>
      <c r="P164" s="152"/>
      <c r="Q164" s="110"/>
      <c r="R164" s="126"/>
      <c r="S164" s="110"/>
      <c r="T164" s="132"/>
      <c r="U164" s="132"/>
      <c r="V164" s="110"/>
      <c r="W164" s="110"/>
      <c r="X164" s="110"/>
      <c r="Y164" s="110"/>
      <c r="Z164" s="110"/>
      <c r="AA164" s="110"/>
      <c r="AB164" s="110"/>
      <c r="AC164" s="110"/>
      <c r="AD164" s="110"/>
    </row>
    <row r="165" spans="1:30" ht="27">
      <c r="A165" s="16" t="s">
        <v>723</v>
      </c>
      <c r="B165" s="155" t="s">
        <v>946</v>
      </c>
      <c r="C165" s="16"/>
      <c r="D165" s="18">
        <v>1805.7</v>
      </c>
      <c r="E165" s="18"/>
      <c r="F165" s="18"/>
      <c r="G165" s="18">
        <f t="shared" si="125"/>
        <v>1805.7</v>
      </c>
      <c r="H165" s="18">
        <v>4.6500000000000004</v>
      </c>
      <c r="I165" s="19">
        <f t="shared" si="126"/>
        <v>8396.505000000001</v>
      </c>
      <c r="J165" s="19">
        <f t="shared" si="123"/>
        <v>0</v>
      </c>
      <c r="K165" s="19">
        <f t="shared" si="124"/>
        <v>8396.505000000001</v>
      </c>
      <c r="L165" s="110"/>
      <c r="M165" s="110"/>
      <c r="N165" s="151"/>
      <c r="O165" s="152"/>
      <c r="P165" s="152"/>
      <c r="Q165" s="110"/>
      <c r="R165" s="126"/>
      <c r="S165" s="110"/>
      <c r="T165" s="132"/>
      <c r="U165" s="132"/>
      <c r="V165" s="110"/>
      <c r="W165" s="110"/>
      <c r="X165" s="110"/>
      <c r="Y165" s="110"/>
      <c r="Z165" s="110"/>
      <c r="AA165" s="110"/>
      <c r="AB165" s="110"/>
      <c r="AC165" s="110"/>
      <c r="AD165" s="110"/>
    </row>
    <row r="166" spans="1:30" ht="27">
      <c r="A166" s="16" t="s">
        <v>724</v>
      </c>
      <c r="B166" s="155" t="s">
        <v>947</v>
      </c>
      <c r="C166" s="16"/>
      <c r="D166" s="18">
        <v>817.5</v>
      </c>
      <c r="E166" s="18"/>
      <c r="F166" s="18"/>
      <c r="G166" s="18">
        <f t="shared" si="125"/>
        <v>817.5</v>
      </c>
      <c r="H166" s="18">
        <v>3.16</v>
      </c>
      <c r="I166" s="19">
        <f t="shared" si="126"/>
        <v>2583.3000000000002</v>
      </c>
      <c r="J166" s="19">
        <f t="shared" si="123"/>
        <v>0</v>
      </c>
      <c r="K166" s="19">
        <f t="shared" si="124"/>
        <v>2583.3000000000002</v>
      </c>
      <c r="L166" s="110"/>
      <c r="M166" s="110"/>
      <c r="N166" s="151"/>
      <c r="O166" s="152"/>
      <c r="P166" s="152"/>
      <c r="Q166" s="110"/>
      <c r="R166" s="126"/>
      <c r="S166" s="110"/>
      <c r="T166" s="132"/>
      <c r="U166" s="132"/>
      <c r="V166" s="110"/>
      <c r="W166" s="110"/>
      <c r="X166" s="110"/>
      <c r="Y166" s="110"/>
      <c r="Z166" s="110"/>
      <c r="AA166" s="110"/>
      <c r="AB166" s="110"/>
      <c r="AC166" s="110"/>
      <c r="AD166" s="110"/>
    </row>
    <row r="167" spans="1:30" ht="27">
      <c r="A167" s="16" t="s">
        <v>725</v>
      </c>
      <c r="B167" s="155" t="s">
        <v>948</v>
      </c>
      <c r="C167" s="16"/>
      <c r="D167" s="18">
        <v>2</v>
      </c>
      <c r="E167" s="18"/>
      <c r="F167" s="18"/>
      <c r="G167" s="18">
        <f t="shared" si="125"/>
        <v>2</v>
      </c>
      <c r="H167" s="18">
        <v>161.6</v>
      </c>
      <c r="I167" s="19">
        <f t="shared" si="126"/>
        <v>323.2</v>
      </c>
      <c r="J167" s="19">
        <f t="shared" si="123"/>
        <v>0</v>
      </c>
      <c r="K167" s="19">
        <f t="shared" si="124"/>
        <v>323.2</v>
      </c>
      <c r="L167" s="110"/>
      <c r="M167" s="110"/>
      <c r="N167" s="151"/>
      <c r="O167" s="152"/>
      <c r="P167" s="152"/>
      <c r="Q167" s="110"/>
      <c r="R167" s="126"/>
      <c r="S167" s="110"/>
      <c r="T167" s="132"/>
      <c r="U167" s="132"/>
      <c r="V167" s="110"/>
      <c r="W167" s="110"/>
      <c r="X167" s="110"/>
      <c r="Y167" s="110"/>
      <c r="Z167" s="110"/>
      <c r="AA167" s="110"/>
      <c r="AB167" s="110"/>
      <c r="AC167" s="110"/>
      <c r="AD167" s="110"/>
    </row>
    <row r="168" spans="1:30" ht="27">
      <c r="A168" s="16" t="s">
        <v>726</v>
      </c>
      <c r="B168" s="155" t="s">
        <v>949</v>
      </c>
      <c r="C168" s="16"/>
      <c r="D168" s="18">
        <v>112</v>
      </c>
      <c r="E168" s="18"/>
      <c r="F168" s="18"/>
      <c r="G168" s="18">
        <f t="shared" si="125"/>
        <v>112</v>
      </c>
      <c r="H168" s="18">
        <v>12.93</v>
      </c>
      <c r="I168" s="19">
        <f t="shared" si="126"/>
        <v>1448.1599999999999</v>
      </c>
      <c r="J168" s="19">
        <f t="shared" si="123"/>
        <v>0</v>
      </c>
      <c r="K168" s="19">
        <f t="shared" si="124"/>
        <v>1448.1599999999999</v>
      </c>
      <c r="L168" s="110"/>
      <c r="M168" s="110"/>
      <c r="N168" s="151"/>
      <c r="O168" s="152"/>
      <c r="P168" s="152"/>
      <c r="Q168" s="110"/>
      <c r="R168" s="126"/>
      <c r="S168" s="110"/>
      <c r="T168" s="132"/>
      <c r="U168" s="132"/>
      <c r="V168" s="110"/>
      <c r="W168" s="110"/>
      <c r="X168" s="110"/>
      <c r="Y168" s="110"/>
      <c r="Z168" s="110"/>
      <c r="AA168" s="110"/>
      <c r="AB168" s="110"/>
      <c r="AC168" s="110"/>
      <c r="AD168" s="110"/>
    </row>
    <row r="169" spans="1:30" ht="27">
      <c r="A169" s="16" t="s">
        <v>727</v>
      </c>
      <c r="B169" s="155" t="s">
        <v>950</v>
      </c>
      <c r="C169" s="16"/>
      <c r="D169" s="18">
        <v>1</v>
      </c>
      <c r="E169" s="18"/>
      <c r="F169" s="18"/>
      <c r="G169" s="18">
        <f t="shared" si="125"/>
        <v>1</v>
      </c>
      <c r="H169" s="18">
        <v>83.49</v>
      </c>
      <c r="I169" s="19">
        <f t="shared" si="126"/>
        <v>83.49</v>
      </c>
      <c r="J169" s="19">
        <f t="shared" si="123"/>
        <v>0</v>
      </c>
      <c r="K169" s="19">
        <f t="shared" si="124"/>
        <v>83.49</v>
      </c>
      <c r="L169" s="110"/>
      <c r="M169" s="110"/>
      <c r="N169" s="151"/>
      <c r="O169" s="152"/>
      <c r="P169" s="152"/>
      <c r="Q169" s="110"/>
      <c r="R169" s="126"/>
      <c r="S169" s="110"/>
      <c r="T169" s="132"/>
      <c r="U169" s="132"/>
      <c r="V169" s="110"/>
      <c r="W169" s="110"/>
      <c r="X169" s="110"/>
      <c r="Y169" s="110"/>
      <c r="Z169" s="110"/>
      <c r="AA169" s="110"/>
      <c r="AB169" s="110"/>
      <c r="AC169" s="110"/>
      <c r="AD169" s="110"/>
    </row>
    <row r="170" spans="1:30" ht="27">
      <c r="A170" s="16" t="s">
        <v>728</v>
      </c>
      <c r="B170" s="155" t="s">
        <v>951</v>
      </c>
      <c r="C170" s="16"/>
      <c r="D170" s="18">
        <v>2</v>
      </c>
      <c r="E170" s="18"/>
      <c r="F170" s="18"/>
      <c r="G170" s="18">
        <f t="shared" si="125"/>
        <v>2</v>
      </c>
      <c r="H170" s="18">
        <v>87.36</v>
      </c>
      <c r="I170" s="19">
        <f t="shared" si="126"/>
        <v>174.72</v>
      </c>
      <c r="J170" s="19">
        <f t="shared" si="123"/>
        <v>0</v>
      </c>
      <c r="K170" s="19">
        <f t="shared" si="124"/>
        <v>174.72</v>
      </c>
      <c r="L170" s="110"/>
      <c r="M170" s="110"/>
      <c r="N170" s="151"/>
      <c r="O170" s="152"/>
      <c r="P170" s="152"/>
      <c r="Q170" s="110"/>
      <c r="R170" s="126"/>
      <c r="S170" s="110"/>
      <c r="T170" s="132"/>
      <c r="U170" s="132"/>
      <c r="V170" s="110"/>
      <c r="W170" s="110"/>
      <c r="X170" s="110"/>
      <c r="Y170" s="110"/>
      <c r="Z170" s="110"/>
      <c r="AA170" s="110"/>
      <c r="AB170" s="110"/>
      <c r="AC170" s="110"/>
      <c r="AD170" s="110"/>
    </row>
    <row r="171" spans="1:30">
      <c r="A171" s="16" t="s">
        <v>729</v>
      </c>
      <c r="B171" s="155" t="s">
        <v>952</v>
      </c>
      <c r="C171" s="16"/>
      <c r="D171" s="18">
        <v>1</v>
      </c>
      <c r="E171" s="18"/>
      <c r="F171" s="18"/>
      <c r="G171" s="18">
        <f t="shared" si="125"/>
        <v>1</v>
      </c>
      <c r="H171" s="18">
        <v>96.31</v>
      </c>
      <c r="I171" s="19">
        <f t="shared" si="126"/>
        <v>96.31</v>
      </c>
      <c r="J171" s="19">
        <f t="shared" si="123"/>
        <v>0</v>
      </c>
      <c r="K171" s="19">
        <f t="shared" si="124"/>
        <v>96.31</v>
      </c>
      <c r="L171" s="110"/>
      <c r="M171" s="110"/>
      <c r="N171" s="151"/>
      <c r="O171" s="152"/>
      <c r="P171" s="152"/>
      <c r="Q171" s="110"/>
      <c r="R171" s="126"/>
      <c r="S171" s="110"/>
      <c r="T171" s="132"/>
      <c r="U171" s="132"/>
      <c r="V171" s="110"/>
      <c r="W171" s="110"/>
      <c r="X171" s="110"/>
      <c r="Y171" s="110"/>
      <c r="Z171" s="110"/>
      <c r="AA171" s="110"/>
      <c r="AB171" s="110"/>
      <c r="AC171" s="110"/>
      <c r="AD171" s="110"/>
    </row>
    <row r="172" spans="1:30" ht="27">
      <c r="A172" s="16" t="s">
        <v>730</v>
      </c>
      <c r="B172" s="155" t="s">
        <v>953</v>
      </c>
      <c r="C172" s="16"/>
      <c r="D172" s="18">
        <v>15</v>
      </c>
      <c r="E172" s="18"/>
      <c r="F172" s="18"/>
      <c r="G172" s="18">
        <f t="shared" si="125"/>
        <v>15</v>
      </c>
      <c r="H172" s="18">
        <v>12.58</v>
      </c>
      <c r="I172" s="19">
        <f t="shared" si="126"/>
        <v>188.7</v>
      </c>
      <c r="J172" s="19">
        <f t="shared" si="123"/>
        <v>0</v>
      </c>
      <c r="K172" s="19">
        <f t="shared" si="124"/>
        <v>188.7</v>
      </c>
      <c r="L172" s="110"/>
      <c r="M172" s="110"/>
      <c r="N172" s="151"/>
      <c r="O172" s="152"/>
      <c r="P172" s="152"/>
      <c r="Q172" s="110"/>
      <c r="R172" s="126"/>
      <c r="S172" s="110"/>
      <c r="T172" s="132"/>
      <c r="U172" s="132"/>
      <c r="V172" s="110"/>
      <c r="W172" s="110"/>
      <c r="X172" s="110"/>
      <c r="Y172" s="110"/>
      <c r="Z172" s="110"/>
      <c r="AA172" s="110"/>
      <c r="AB172" s="110"/>
      <c r="AC172" s="110"/>
      <c r="AD172" s="110"/>
    </row>
    <row r="173" spans="1:30" ht="27">
      <c r="A173" s="16" t="s">
        <v>731</v>
      </c>
      <c r="B173" s="155" t="s">
        <v>954</v>
      </c>
      <c r="C173" s="16"/>
      <c r="D173" s="18">
        <v>8</v>
      </c>
      <c r="E173" s="18"/>
      <c r="F173" s="18"/>
      <c r="G173" s="18">
        <f t="shared" si="125"/>
        <v>8</v>
      </c>
      <c r="H173" s="18">
        <v>13.09</v>
      </c>
      <c r="I173" s="19">
        <f t="shared" si="126"/>
        <v>104.72</v>
      </c>
      <c r="J173" s="19">
        <f t="shared" si="123"/>
        <v>0</v>
      </c>
      <c r="K173" s="19">
        <f t="shared" si="124"/>
        <v>104.72</v>
      </c>
      <c r="L173" s="110"/>
      <c r="M173" s="110"/>
      <c r="N173" s="151"/>
      <c r="O173" s="152"/>
      <c r="P173" s="152"/>
      <c r="Q173" s="110"/>
      <c r="R173" s="126"/>
      <c r="S173" s="110"/>
      <c r="T173" s="132"/>
      <c r="U173" s="132"/>
      <c r="V173" s="110"/>
      <c r="W173" s="110"/>
      <c r="X173" s="110"/>
      <c r="Y173" s="110"/>
      <c r="Z173" s="110"/>
      <c r="AA173" s="110"/>
      <c r="AB173" s="110"/>
      <c r="AC173" s="110"/>
      <c r="AD173" s="110"/>
    </row>
    <row r="174" spans="1:30" ht="27">
      <c r="A174" s="16" t="s">
        <v>732</v>
      </c>
      <c r="B174" s="155" t="s">
        <v>955</v>
      </c>
      <c r="C174" s="16"/>
      <c r="D174" s="18">
        <v>1</v>
      </c>
      <c r="E174" s="18"/>
      <c r="F174" s="18"/>
      <c r="G174" s="18">
        <f t="shared" si="125"/>
        <v>1</v>
      </c>
      <c r="H174" s="18">
        <v>14.16</v>
      </c>
      <c r="I174" s="19">
        <f t="shared" si="126"/>
        <v>14.16</v>
      </c>
      <c r="J174" s="19">
        <f t="shared" si="123"/>
        <v>0</v>
      </c>
      <c r="K174" s="19">
        <f t="shared" si="124"/>
        <v>14.16</v>
      </c>
      <c r="L174" s="110"/>
      <c r="M174" s="110"/>
      <c r="N174" s="151"/>
      <c r="O174" s="152"/>
      <c r="P174" s="152"/>
      <c r="Q174" s="110"/>
      <c r="R174" s="126"/>
      <c r="S174" s="110"/>
      <c r="T174" s="132"/>
      <c r="U174" s="132"/>
      <c r="V174" s="110"/>
      <c r="W174" s="110"/>
      <c r="X174" s="110"/>
      <c r="Y174" s="110"/>
      <c r="Z174" s="110"/>
      <c r="AA174" s="110"/>
      <c r="AB174" s="110"/>
      <c r="AC174" s="110"/>
      <c r="AD174" s="110"/>
    </row>
    <row r="175" spans="1:30">
      <c r="A175" s="13">
        <v>21</v>
      </c>
      <c r="B175" s="14" t="s">
        <v>733</v>
      </c>
      <c r="C175" s="13"/>
      <c r="D175" s="13"/>
      <c r="E175" s="13"/>
      <c r="F175" s="13"/>
      <c r="G175" s="13"/>
      <c r="H175" s="13"/>
      <c r="I175" s="15">
        <f>SUM(I176:I214)</f>
        <v>23425.186500000003</v>
      </c>
      <c r="J175" s="15">
        <f>SUM(J176:J214)</f>
        <v>0</v>
      </c>
      <c r="K175" s="15">
        <f>SUM(K176:K214)</f>
        <v>23425.186500000003</v>
      </c>
      <c r="L175" s="110"/>
      <c r="M175" s="110"/>
      <c r="N175" s="133"/>
      <c r="O175" s="133"/>
      <c r="P175" s="133"/>
      <c r="Q175" s="110"/>
      <c r="R175" s="126"/>
      <c r="S175" s="110"/>
      <c r="T175" s="132"/>
      <c r="U175" s="132"/>
      <c r="V175" s="110"/>
      <c r="W175" s="110"/>
      <c r="X175" s="110"/>
      <c r="Y175" s="110"/>
      <c r="Z175" s="110"/>
      <c r="AA175" s="110"/>
      <c r="AB175" s="110"/>
      <c r="AC175" s="110"/>
      <c r="AD175" s="110"/>
    </row>
    <row r="176" spans="1:30" ht="27">
      <c r="A176" s="16" t="s">
        <v>734</v>
      </c>
      <c r="B176" s="155" t="s">
        <v>872</v>
      </c>
      <c r="C176" s="16"/>
      <c r="D176" s="18">
        <v>0.34</v>
      </c>
      <c r="E176" s="18"/>
      <c r="F176" s="18"/>
      <c r="G176" s="18">
        <f t="shared" si="125"/>
        <v>0.34</v>
      </c>
      <c r="H176" s="18">
        <v>18.73</v>
      </c>
      <c r="I176" s="19">
        <f t="shared" si="126"/>
        <v>6.3682000000000007</v>
      </c>
      <c r="J176" s="19">
        <f t="shared" si="123"/>
        <v>0</v>
      </c>
      <c r="K176" s="19">
        <f t="shared" si="124"/>
        <v>6.3682000000000007</v>
      </c>
      <c r="L176" s="110"/>
      <c r="M176" s="110"/>
      <c r="N176" s="151"/>
      <c r="O176" s="152"/>
      <c r="P176" s="152"/>
      <c r="Q176" s="110"/>
      <c r="R176" s="126"/>
      <c r="S176" s="110"/>
      <c r="T176" s="132"/>
      <c r="U176" s="132"/>
      <c r="V176" s="110"/>
      <c r="W176" s="110"/>
      <c r="X176" s="110"/>
      <c r="Y176" s="110"/>
      <c r="Z176" s="110"/>
      <c r="AA176" s="110"/>
      <c r="AB176" s="110"/>
      <c r="AC176" s="110"/>
      <c r="AD176" s="110"/>
    </row>
    <row r="177" spans="1:30" ht="27">
      <c r="A177" s="16" t="s">
        <v>735</v>
      </c>
      <c r="B177" s="155" t="s">
        <v>873</v>
      </c>
      <c r="C177" s="16"/>
      <c r="D177" s="18">
        <v>112.78</v>
      </c>
      <c r="E177" s="18"/>
      <c r="F177" s="18"/>
      <c r="G177" s="18">
        <f t="shared" si="125"/>
        <v>112.78</v>
      </c>
      <c r="H177" s="18">
        <v>12.5</v>
      </c>
      <c r="I177" s="19">
        <f t="shared" si="126"/>
        <v>1409.75</v>
      </c>
      <c r="J177" s="19">
        <f t="shared" ref="J177:J216" si="127">K177-I177</f>
        <v>0</v>
      </c>
      <c r="K177" s="19">
        <f t="shared" ref="K177:K216" si="128">G177*H177</f>
        <v>1409.75</v>
      </c>
      <c r="L177" s="110"/>
      <c r="M177" s="110"/>
      <c r="N177" s="151"/>
      <c r="O177" s="152"/>
      <c r="P177" s="152"/>
      <c r="Q177" s="110"/>
      <c r="R177" s="126"/>
      <c r="S177" s="110"/>
      <c r="T177" s="132"/>
      <c r="U177" s="132"/>
      <c r="V177" s="110"/>
      <c r="W177" s="110"/>
      <c r="X177" s="110"/>
      <c r="Y177" s="110"/>
      <c r="Z177" s="110"/>
      <c r="AA177" s="110"/>
      <c r="AB177" s="110"/>
      <c r="AC177" s="110"/>
      <c r="AD177" s="110"/>
    </row>
    <row r="178" spans="1:30" ht="27">
      <c r="A178" s="16" t="s">
        <v>736</v>
      </c>
      <c r="B178" s="155" t="s">
        <v>874</v>
      </c>
      <c r="C178" s="16"/>
      <c r="D178" s="18">
        <v>14.66</v>
      </c>
      <c r="E178" s="18"/>
      <c r="F178" s="18"/>
      <c r="G178" s="18">
        <f t="shared" si="125"/>
        <v>14.66</v>
      </c>
      <c r="H178" s="18">
        <v>20.8</v>
      </c>
      <c r="I178" s="19">
        <f t="shared" si="126"/>
        <v>304.928</v>
      </c>
      <c r="J178" s="19">
        <f t="shared" si="127"/>
        <v>0</v>
      </c>
      <c r="K178" s="19">
        <f t="shared" si="128"/>
        <v>304.928</v>
      </c>
      <c r="L178" s="110"/>
      <c r="M178" s="110"/>
      <c r="N178" s="151"/>
      <c r="O178" s="152"/>
      <c r="P178" s="152"/>
      <c r="Q178" s="110"/>
      <c r="R178" s="126"/>
      <c r="S178" s="110"/>
      <c r="T178" s="132"/>
      <c r="U178" s="132"/>
      <c r="V178" s="110"/>
      <c r="W178" s="110"/>
      <c r="X178" s="110"/>
      <c r="Y178" s="110"/>
      <c r="Z178" s="110"/>
      <c r="AA178" s="110"/>
      <c r="AB178" s="110"/>
      <c r="AC178" s="110"/>
      <c r="AD178" s="110"/>
    </row>
    <row r="179" spans="1:30" ht="27">
      <c r="A179" s="16" t="s">
        <v>737</v>
      </c>
      <c r="B179" s="155" t="s">
        <v>875</v>
      </c>
      <c r="C179" s="16"/>
      <c r="D179" s="18">
        <v>26.63</v>
      </c>
      <c r="E179" s="18"/>
      <c r="F179" s="18"/>
      <c r="G179" s="18">
        <f t="shared" si="125"/>
        <v>26.63</v>
      </c>
      <c r="H179" s="18">
        <v>21.74</v>
      </c>
      <c r="I179" s="19">
        <f t="shared" si="126"/>
        <v>578.93619999999999</v>
      </c>
      <c r="J179" s="19">
        <f t="shared" si="127"/>
        <v>0</v>
      </c>
      <c r="K179" s="19">
        <f t="shared" si="128"/>
        <v>578.93619999999999</v>
      </c>
      <c r="L179" s="110"/>
      <c r="M179" s="110"/>
      <c r="N179" s="151"/>
      <c r="O179" s="152"/>
      <c r="P179" s="152"/>
      <c r="Q179" s="110"/>
      <c r="R179" s="126"/>
      <c r="S179" s="110"/>
      <c r="T179" s="132"/>
      <c r="U179" s="132"/>
      <c r="V179" s="110"/>
      <c r="W179" s="110"/>
      <c r="X179" s="110"/>
      <c r="Y179" s="110"/>
      <c r="Z179" s="110"/>
      <c r="AA179" s="110"/>
      <c r="AB179" s="110"/>
      <c r="AC179" s="110"/>
      <c r="AD179" s="110"/>
    </row>
    <row r="180" spans="1:30" ht="27">
      <c r="A180" s="16" t="s">
        <v>738</v>
      </c>
      <c r="B180" s="155" t="s">
        <v>876</v>
      </c>
      <c r="C180" s="16"/>
      <c r="D180" s="18">
        <v>73.53</v>
      </c>
      <c r="E180" s="18"/>
      <c r="F180" s="18"/>
      <c r="G180" s="18">
        <f t="shared" si="125"/>
        <v>73.53</v>
      </c>
      <c r="H180" s="18">
        <v>23.97</v>
      </c>
      <c r="I180" s="19">
        <f t="shared" si="126"/>
        <v>1762.5140999999999</v>
      </c>
      <c r="J180" s="19">
        <f t="shared" si="127"/>
        <v>0</v>
      </c>
      <c r="K180" s="19">
        <f t="shared" si="128"/>
        <v>1762.5140999999999</v>
      </c>
      <c r="L180" s="110"/>
      <c r="M180" s="110"/>
      <c r="N180" s="151"/>
      <c r="O180" s="152"/>
      <c r="P180" s="152"/>
      <c r="Q180" s="110"/>
      <c r="R180" s="126"/>
      <c r="S180" s="110"/>
      <c r="T180" s="132"/>
      <c r="U180" s="132"/>
      <c r="V180" s="110"/>
      <c r="W180" s="110"/>
      <c r="X180" s="110"/>
      <c r="Y180" s="110"/>
      <c r="Z180" s="110"/>
      <c r="AA180" s="110"/>
      <c r="AB180" s="110"/>
      <c r="AC180" s="110"/>
      <c r="AD180" s="110"/>
    </row>
    <row r="181" spans="1:30" ht="27">
      <c r="A181" s="16" t="s">
        <v>739</v>
      </c>
      <c r="B181" s="155" t="s">
        <v>877</v>
      </c>
      <c r="C181" s="16"/>
      <c r="D181" s="18">
        <v>1</v>
      </c>
      <c r="E181" s="18"/>
      <c r="F181" s="18"/>
      <c r="G181" s="18">
        <f t="shared" si="125"/>
        <v>1</v>
      </c>
      <c r="H181" s="18">
        <v>26.62</v>
      </c>
      <c r="I181" s="19">
        <f t="shared" si="126"/>
        <v>26.62</v>
      </c>
      <c r="J181" s="19">
        <f t="shared" si="127"/>
        <v>0</v>
      </c>
      <c r="K181" s="19">
        <f t="shared" si="128"/>
        <v>26.62</v>
      </c>
      <c r="L181" s="110"/>
      <c r="M181" s="110"/>
      <c r="N181" s="151"/>
      <c r="O181" s="152"/>
      <c r="P181" s="152"/>
      <c r="Q181" s="110"/>
      <c r="R181" s="126"/>
      <c r="S181" s="110"/>
      <c r="T181" s="132"/>
      <c r="U181" s="132"/>
      <c r="V181" s="110"/>
      <c r="W181" s="110"/>
      <c r="X181" s="110"/>
      <c r="Y181" s="110"/>
      <c r="Z181" s="110"/>
      <c r="AA181" s="110"/>
      <c r="AB181" s="110"/>
      <c r="AC181" s="110"/>
      <c r="AD181" s="110"/>
    </row>
    <row r="182" spans="1:30" ht="27">
      <c r="A182" s="16" t="s">
        <v>740</v>
      </c>
      <c r="B182" s="155" t="s">
        <v>878</v>
      </c>
      <c r="C182" s="16"/>
      <c r="D182" s="18">
        <v>4</v>
      </c>
      <c r="E182" s="18"/>
      <c r="F182" s="18"/>
      <c r="G182" s="18">
        <f t="shared" si="125"/>
        <v>4</v>
      </c>
      <c r="H182" s="18">
        <v>8.23</v>
      </c>
      <c r="I182" s="19">
        <f t="shared" si="126"/>
        <v>32.92</v>
      </c>
      <c r="J182" s="19">
        <f t="shared" si="127"/>
        <v>0</v>
      </c>
      <c r="K182" s="19">
        <f t="shared" si="128"/>
        <v>32.92</v>
      </c>
      <c r="L182" s="110"/>
      <c r="M182" s="110"/>
      <c r="N182" s="151"/>
      <c r="O182" s="152"/>
      <c r="P182" s="152"/>
      <c r="Q182" s="110"/>
      <c r="R182" s="126"/>
      <c r="S182" s="110"/>
      <c r="T182" s="132"/>
      <c r="U182" s="132"/>
      <c r="V182" s="110"/>
      <c r="W182" s="110"/>
      <c r="X182" s="110"/>
      <c r="Y182" s="110"/>
      <c r="Z182" s="110"/>
      <c r="AA182" s="110"/>
      <c r="AB182" s="110"/>
      <c r="AC182" s="110"/>
      <c r="AD182" s="110"/>
    </row>
    <row r="183" spans="1:30" ht="27">
      <c r="A183" s="16" t="s">
        <v>741</v>
      </c>
      <c r="B183" s="155" t="s">
        <v>879</v>
      </c>
      <c r="C183" s="16"/>
      <c r="D183" s="18">
        <v>7</v>
      </c>
      <c r="E183" s="18"/>
      <c r="F183" s="18"/>
      <c r="G183" s="18">
        <f t="shared" si="125"/>
        <v>7</v>
      </c>
      <c r="H183" s="18">
        <v>17.88</v>
      </c>
      <c r="I183" s="19">
        <f t="shared" si="126"/>
        <v>125.16</v>
      </c>
      <c r="J183" s="19">
        <f t="shared" si="127"/>
        <v>0</v>
      </c>
      <c r="K183" s="19">
        <f t="shared" si="128"/>
        <v>125.16</v>
      </c>
      <c r="L183" s="110"/>
      <c r="M183" s="110"/>
      <c r="N183" s="151"/>
      <c r="O183" s="152"/>
      <c r="P183" s="152"/>
      <c r="Q183" s="110"/>
      <c r="R183" s="126"/>
      <c r="S183" s="110"/>
      <c r="T183" s="132"/>
      <c r="U183" s="132"/>
      <c r="V183" s="110"/>
      <c r="W183" s="110"/>
      <c r="X183" s="110"/>
      <c r="Y183" s="110"/>
      <c r="Z183" s="110"/>
      <c r="AA183" s="110"/>
      <c r="AB183" s="110"/>
      <c r="AC183" s="110"/>
      <c r="AD183" s="110"/>
    </row>
    <row r="184" spans="1:30" ht="27">
      <c r="A184" s="16" t="s">
        <v>742</v>
      </c>
      <c r="B184" s="155" t="s">
        <v>880</v>
      </c>
      <c r="C184" s="16"/>
      <c r="D184" s="18">
        <v>12</v>
      </c>
      <c r="E184" s="18"/>
      <c r="F184" s="18"/>
      <c r="G184" s="18">
        <f t="shared" si="125"/>
        <v>12</v>
      </c>
      <c r="H184" s="18">
        <v>13.68</v>
      </c>
      <c r="I184" s="19">
        <f t="shared" si="126"/>
        <v>164.16</v>
      </c>
      <c r="J184" s="19">
        <f t="shared" si="127"/>
        <v>0</v>
      </c>
      <c r="K184" s="19">
        <f t="shared" si="128"/>
        <v>164.16</v>
      </c>
      <c r="L184" s="110"/>
      <c r="M184" s="110"/>
      <c r="N184" s="151"/>
      <c r="O184" s="152"/>
      <c r="P184" s="152"/>
      <c r="Q184" s="110"/>
      <c r="R184" s="126"/>
      <c r="S184" s="110"/>
      <c r="T184" s="132"/>
      <c r="U184" s="132"/>
      <c r="V184" s="110"/>
      <c r="W184" s="110"/>
      <c r="X184" s="110"/>
      <c r="Y184" s="110"/>
      <c r="Z184" s="110"/>
      <c r="AA184" s="110"/>
      <c r="AB184" s="110"/>
      <c r="AC184" s="110"/>
      <c r="AD184" s="110"/>
    </row>
    <row r="185" spans="1:30" ht="27">
      <c r="A185" s="16" t="s">
        <v>743</v>
      </c>
      <c r="B185" s="155" t="s">
        <v>881</v>
      </c>
      <c r="C185" s="16"/>
      <c r="D185" s="18">
        <v>13</v>
      </c>
      <c r="E185" s="18"/>
      <c r="F185" s="18"/>
      <c r="G185" s="18">
        <f t="shared" si="125"/>
        <v>13</v>
      </c>
      <c r="H185" s="18">
        <v>7.57</v>
      </c>
      <c r="I185" s="19">
        <f t="shared" si="126"/>
        <v>98.41</v>
      </c>
      <c r="J185" s="19">
        <f t="shared" si="127"/>
        <v>0</v>
      </c>
      <c r="K185" s="19">
        <f t="shared" si="128"/>
        <v>98.41</v>
      </c>
      <c r="L185" s="110"/>
      <c r="M185" s="110"/>
      <c r="N185" s="151"/>
      <c r="O185" s="152"/>
      <c r="P185" s="152"/>
      <c r="Q185" s="110"/>
      <c r="R185" s="126"/>
      <c r="S185" s="110"/>
      <c r="T185" s="132"/>
      <c r="U185" s="132"/>
      <c r="V185" s="110"/>
      <c r="W185" s="110"/>
      <c r="X185" s="110"/>
      <c r="Y185" s="110"/>
      <c r="Z185" s="110"/>
      <c r="AA185" s="110"/>
      <c r="AB185" s="110"/>
      <c r="AC185" s="110"/>
      <c r="AD185" s="110"/>
    </row>
    <row r="186" spans="1:30" ht="27">
      <c r="A186" s="16" t="s">
        <v>744</v>
      </c>
      <c r="B186" s="155" t="s">
        <v>882</v>
      </c>
      <c r="C186" s="16"/>
      <c r="D186" s="18">
        <v>1</v>
      </c>
      <c r="E186" s="18"/>
      <c r="F186" s="18"/>
      <c r="G186" s="18">
        <f t="shared" si="125"/>
        <v>1</v>
      </c>
      <c r="H186" s="18">
        <v>14.77</v>
      </c>
      <c r="I186" s="19">
        <f t="shared" si="126"/>
        <v>14.77</v>
      </c>
      <c r="J186" s="19">
        <f t="shared" si="127"/>
        <v>0</v>
      </c>
      <c r="K186" s="19">
        <f t="shared" si="128"/>
        <v>14.77</v>
      </c>
      <c r="L186" s="110"/>
      <c r="M186" s="110"/>
      <c r="N186" s="151"/>
      <c r="O186" s="152"/>
      <c r="P186" s="152"/>
      <c r="Q186" s="110"/>
      <c r="R186" s="126"/>
      <c r="S186" s="110"/>
      <c r="T186" s="132"/>
      <c r="U186" s="132"/>
      <c r="V186" s="110"/>
      <c r="W186" s="110"/>
      <c r="X186" s="110"/>
      <c r="Y186" s="110"/>
      <c r="Z186" s="110"/>
      <c r="AA186" s="110"/>
      <c r="AB186" s="110"/>
      <c r="AC186" s="110"/>
      <c r="AD186" s="110"/>
    </row>
    <row r="187" spans="1:30" ht="27">
      <c r="A187" s="16" t="s">
        <v>745</v>
      </c>
      <c r="B187" s="155" t="s">
        <v>883</v>
      </c>
      <c r="C187" s="16"/>
      <c r="D187" s="18">
        <v>54</v>
      </c>
      <c r="E187" s="18"/>
      <c r="F187" s="18"/>
      <c r="G187" s="18">
        <f t="shared" si="125"/>
        <v>54</v>
      </c>
      <c r="H187" s="18">
        <v>10.72</v>
      </c>
      <c r="I187" s="19">
        <f t="shared" si="126"/>
        <v>578.88</v>
      </c>
      <c r="J187" s="19">
        <f t="shared" si="127"/>
        <v>0</v>
      </c>
      <c r="K187" s="19">
        <f t="shared" si="128"/>
        <v>578.88</v>
      </c>
      <c r="L187" s="110"/>
      <c r="M187" s="110"/>
      <c r="N187" s="151"/>
      <c r="O187" s="152"/>
      <c r="P187" s="152"/>
      <c r="Q187" s="110"/>
      <c r="R187" s="126"/>
      <c r="S187" s="110"/>
      <c r="T187" s="132"/>
      <c r="U187" s="132"/>
      <c r="V187" s="110"/>
      <c r="W187" s="110"/>
      <c r="X187" s="110"/>
      <c r="Y187" s="110"/>
      <c r="Z187" s="110"/>
      <c r="AA187" s="110"/>
      <c r="AB187" s="110"/>
      <c r="AC187" s="110"/>
      <c r="AD187" s="110"/>
    </row>
    <row r="188" spans="1:30" ht="27">
      <c r="A188" s="16" t="s">
        <v>746</v>
      </c>
      <c r="B188" s="155" t="s">
        <v>884</v>
      </c>
      <c r="C188" s="16"/>
      <c r="D188" s="18">
        <v>14</v>
      </c>
      <c r="E188" s="18"/>
      <c r="F188" s="18"/>
      <c r="G188" s="18">
        <f t="shared" si="125"/>
        <v>14</v>
      </c>
      <c r="H188" s="18">
        <v>36.4</v>
      </c>
      <c r="I188" s="19">
        <f t="shared" si="126"/>
        <v>509.59999999999997</v>
      </c>
      <c r="J188" s="19">
        <f t="shared" si="127"/>
        <v>0</v>
      </c>
      <c r="K188" s="19">
        <f t="shared" si="128"/>
        <v>509.59999999999997</v>
      </c>
      <c r="L188" s="110"/>
      <c r="M188" s="110"/>
      <c r="N188" s="151"/>
      <c r="O188" s="152"/>
      <c r="P188" s="152"/>
      <c r="Q188" s="110"/>
      <c r="R188" s="126"/>
      <c r="S188" s="110"/>
      <c r="T188" s="132"/>
      <c r="U188" s="132"/>
      <c r="V188" s="110"/>
      <c r="W188" s="110"/>
      <c r="X188" s="110"/>
      <c r="Y188" s="110"/>
      <c r="Z188" s="110"/>
      <c r="AA188" s="110"/>
      <c r="AB188" s="110"/>
      <c r="AC188" s="110"/>
      <c r="AD188" s="110"/>
    </row>
    <row r="189" spans="1:30" ht="27">
      <c r="A189" s="16" t="s">
        <v>747</v>
      </c>
      <c r="B189" s="155" t="s">
        <v>885</v>
      </c>
      <c r="C189" s="16"/>
      <c r="D189" s="18">
        <v>2</v>
      </c>
      <c r="E189" s="18"/>
      <c r="F189" s="18"/>
      <c r="G189" s="18">
        <f t="shared" si="125"/>
        <v>2</v>
      </c>
      <c r="H189" s="18">
        <v>22.4</v>
      </c>
      <c r="I189" s="19">
        <f t="shared" si="126"/>
        <v>44.8</v>
      </c>
      <c r="J189" s="19">
        <f t="shared" si="127"/>
        <v>0</v>
      </c>
      <c r="K189" s="19">
        <f t="shared" si="128"/>
        <v>44.8</v>
      </c>
      <c r="L189" s="110"/>
      <c r="M189" s="110"/>
      <c r="N189" s="151"/>
      <c r="O189" s="152"/>
      <c r="P189" s="152"/>
      <c r="Q189" s="110"/>
      <c r="R189" s="126"/>
      <c r="S189" s="110"/>
      <c r="T189" s="132"/>
      <c r="U189" s="132"/>
      <c r="V189" s="110"/>
      <c r="W189" s="110"/>
      <c r="X189" s="110"/>
      <c r="Y189" s="110"/>
      <c r="Z189" s="110"/>
      <c r="AA189" s="110"/>
      <c r="AB189" s="110"/>
      <c r="AC189" s="110"/>
      <c r="AD189" s="110"/>
    </row>
    <row r="190" spans="1:30" ht="27">
      <c r="A190" s="16" t="s">
        <v>748</v>
      </c>
      <c r="B190" s="155" t="s">
        <v>886</v>
      </c>
      <c r="C190" s="16"/>
      <c r="D190" s="18">
        <v>15</v>
      </c>
      <c r="E190" s="18"/>
      <c r="F190" s="18"/>
      <c r="G190" s="18">
        <f t="shared" si="125"/>
        <v>15</v>
      </c>
      <c r="H190" s="18">
        <v>42.89</v>
      </c>
      <c r="I190" s="19">
        <f t="shared" si="126"/>
        <v>643.35</v>
      </c>
      <c r="J190" s="19">
        <f t="shared" si="127"/>
        <v>0</v>
      </c>
      <c r="K190" s="19">
        <f t="shared" si="128"/>
        <v>643.35</v>
      </c>
      <c r="L190" s="110"/>
      <c r="M190" s="110"/>
      <c r="N190" s="151"/>
      <c r="O190" s="152"/>
      <c r="P190" s="152"/>
      <c r="Q190" s="110"/>
      <c r="R190" s="126"/>
      <c r="S190" s="110"/>
      <c r="T190" s="132"/>
      <c r="U190" s="132"/>
      <c r="V190" s="110"/>
      <c r="W190" s="110"/>
      <c r="X190" s="110"/>
      <c r="Y190" s="110"/>
      <c r="Z190" s="110"/>
      <c r="AA190" s="110"/>
      <c r="AB190" s="110"/>
      <c r="AC190" s="110"/>
      <c r="AD190" s="110"/>
    </row>
    <row r="191" spans="1:30" ht="40.200000000000003">
      <c r="A191" s="16" t="s">
        <v>749</v>
      </c>
      <c r="B191" s="155" t="s">
        <v>887</v>
      </c>
      <c r="C191" s="16"/>
      <c r="D191" s="18">
        <v>16</v>
      </c>
      <c r="E191" s="18"/>
      <c r="F191" s="18"/>
      <c r="G191" s="18">
        <f t="shared" si="125"/>
        <v>16</v>
      </c>
      <c r="H191" s="18">
        <v>49</v>
      </c>
      <c r="I191" s="19">
        <f t="shared" si="126"/>
        <v>784</v>
      </c>
      <c r="J191" s="19">
        <f t="shared" si="127"/>
        <v>0</v>
      </c>
      <c r="K191" s="19">
        <f t="shared" si="128"/>
        <v>784</v>
      </c>
      <c r="L191" s="110"/>
      <c r="M191" s="110"/>
      <c r="N191" s="151"/>
      <c r="O191" s="152"/>
      <c r="P191" s="152"/>
      <c r="Q191" s="110"/>
      <c r="R191" s="126"/>
      <c r="S191" s="110"/>
      <c r="T191" s="132"/>
      <c r="U191" s="132"/>
      <c r="V191" s="110"/>
      <c r="W191" s="110"/>
      <c r="X191" s="110"/>
      <c r="Y191" s="110"/>
      <c r="Z191" s="110"/>
      <c r="AA191" s="110"/>
      <c r="AB191" s="110"/>
      <c r="AC191" s="110"/>
      <c r="AD191" s="110"/>
    </row>
    <row r="192" spans="1:30" ht="40.200000000000003">
      <c r="A192" s="16" t="s">
        <v>750</v>
      </c>
      <c r="B192" s="155" t="s">
        <v>888</v>
      </c>
      <c r="C192" s="16"/>
      <c r="D192" s="18">
        <v>2</v>
      </c>
      <c r="E192" s="18"/>
      <c r="F192" s="18"/>
      <c r="G192" s="18">
        <f t="shared" si="125"/>
        <v>2</v>
      </c>
      <c r="H192" s="18">
        <v>69.31</v>
      </c>
      <c r="I192" s="19">
        <f t="shared" si="126"/>
        <v>138.62</v>
      </c>
      <c r="J192" s="19">
        <f t="shared" si="127"/>
        <v>0</v>
      </c>
      <c r="K192" s="19">
        <f t="shared" si="128"/>
        <v>138.62</v>
      </c>
      <c r="L192" s="110"/>
      <c r="M192" s="110"/>
      <c r="N192" s="151"/>
      <c r="O192" s="152"/>
      <c r="P192" s="152"/>
      <c r="Q192" s="110"/>
      <c r="R192" s="126"/>
      <c r="S192" s="110"/>
      <c r="T192" s="132"/>
      <c r="U192" s="132"/>
      <c r="V192" s="110"/>
      <c r="W192" s="110"/>
      <c r="X192" s="110"/>
      <c r="Y192" s="110"/>
      <c r="Z192" s="110"/>
      <c r="AA192" s="110"/>
      <c r="AB192" s="110"/>
      <c r="AC192" s="110"/>
      <c r="AD192" s="110"/>
    </row>
    <row r="193" spans="1:30" ht="40.200000000000003">
      <c r="A193" s="16" t="s">
        <v>751</v>
      </c>
      <c r="B193" s="155" t="s">
        <v>889</v>
      </c>
      <c r="C193" s="16"/>
      <c r="D193" s="18">
        <v>2</v>
      </c>
      <c r="E193" s="18"/>
      <c r="F193" s="18"/>
      <c r="G193" s="18">
        <f t="shared" si="125"/>
        <v>2</v>
      </c>
      <c r="H193" s="18">
        <v>192.45</v>
      </c>
      <c r="I193" s="19">
        <f t="shared" si="126"/>
        <v>384.9</v>
      </c>
      <c r="J193" s="19">
        <f t="shared" si="127"/>
        <v>0</v>
      </c>
      <c r="K193" s="19">
        <f t="shared" si="128"/>
        <v>384.9</v>
      </c>
      <c r="L193" s="110"/>
      <c r="M193" s="110"/>
      <c r="N193" s="151"/>
      <c r="O193" s="152"/>
      <c r="P193" s="152"/>
      <c r="Q193" s="110"/>
      <c r="R193" s="126"/>
      <c r="S193" s="110"/>
      <c r="T193" s="132"/>
      <c r="U193" s="132"/>
      <c r="V193" s="110"/>
      <c r="W193" s="110"/>
      <c r="X193" s="110"/>
      <c r="Y193" s="110"/>
      <c r="Z193" s="110"/>
      <c r="AA193" s="110"/>
      <c r="AB193" s="110"/>
      <c r="AC193" s="110"/>
      <c r="AD193" s="110"/>
    </row>
    <row r="194" spans="1:30" ht="27">
      <c r="A194" s="16" t="s">
        <v>752</v>
      </c>
      <c r="B194" s="155" t="s">
        <v>890</v>
      </c>
      <c r="C194" s="16"/>
      <c r="D194" s="18">
        <v>14</v>
      </c>
      <c r="E194" s="18"/>
      <c r="F194" s="18"/>
      <c r="G194" s="18">
        <f t="shared" si="125"/>
        <v>14</v>
      </c>
      <c r="H194" s="18">
        <v>10.62</v>
      </c>
      <c r="I194" s="19">
        <f t="shared" si="126"/>
        <v>148.67999999999998</v>
      </c>
      <c r="J194" s="19">
        <f t="shared" si="127"/>
        <v>0</v>
      </c>
      <c r="K194" s="19">
        <f t="shared" si="128"/>
        <v>148.67999999999998</v>
      </c>
      <c r="L194" s="110"/>
      <c r="M194" s="110"/>
      <c r="N194" s="151"/>
      <c r="O194" s="152"/>
      <c r="P194" s="152"/>
      <c r="Q194" s="110"/>
      <c r="R194" s="126"/>
      <c r="S194" s="110"/>
      <c r="T194" s="132"/>
      <c r="U194" s="132"/>
      <c r="V194" s="110"/>
      <c r="W194" s="110"/>
      <c r="X194" s="110"/>
      <c r="Y194" s="110"/>
      <c r="Z194" s="110"/>
      <c r="AA194" s="110"/>
      <c r="AB194" s="110"/>
      <c r="AC194" s="110"/>
      <c r="AD194" s="110"/>
    </row>
    <row r="195" spans="1:30" ht="27">
      <c r="A195" s="16" t="s">
        <v>753</v>
      </c>
      <c r="B195" s="155" t="s">
        <v>891</v>
      </c>
      <c r="C195" s="16"/>
      <c r="D195" s="18">
        <v>3</v>
      </c>
      <c r="E195" s="18"/>
      <c r="F195" s="18"/>
      <c r="G195" s="18">
        <f t="shared" si="125"/>
        <v>3</v>
      </c>
      <c r="H195" s="18">
        <v>24.33</v>
      </c>
      <c r="I195" s="19">
        <f t="shared" si="126"/>
        <v>72.989999999999995</v>
      </c>
      <c r="J195" s="19">
        <f t="shared" si="127"/>
        <v>0</v>
      </c>
      <c r="K195" s="19">
        <f t="shared" si="128"/>
        <v>72.989999999999995</v>
      </c>
      <c r="L195" s="110"/>
      <c r="M195" s="110"/>
      <c r="N195" s="151"/>
      <c r="O195" s="152"/>
      <c r="P195" s="152"/>
      <c r="Q195" s="110"/>
      <c r="R195" s="126"/>
      <c r="S195" s="110"/>
      <c r="T195" s="132"/>
      <c r="U195" s="132"/>
      <c r="V195" s="110"/>
      <c r="W195" s="110"/>
      <c r="X195" s="110"/>
      <c r="Y195" s="110"/>
      <c r="Z195" s="110"/>
      <c r="AA195" s="110"/>
      <c r="AB195" s="110"/>
      <c r="AC195" s="110"/>
      <c r="AD195" s="110"/>
    </row>
    <row r="196" spans="1:30" ht="27">
      <c r="A196" s="16" t="s">
        <v>754</v>
      </c>
      <c r="B196" s="155" t="s">
        <v>892</v>
      </c>
      <c r="C196" s="16"/>
      <c r="D196" s="18">
        <v>1</v>
      </c>
      <c r="E196" s="18"/>
      <c r="F196" s="18"/>
      <c r="G196" s="18">
        <f t="shared" si="125"/>
        <v>1</v>
      </c>
      <c r="H196" s="18">
        <v>56.65</v>
      </c>
      <c r="I196" s="19">
        <f t="shared" si="126"/>
        <v>56.65</v>
      </c>
      <c r="J196" s="19">
        <f t="shared" si="127"/>
        <v>0</v>
      </c>
      <c r="K196" s="19">
        <f t="shared" si="128"/>
        <v>56.65</v>
      </c>
      <c r="L196" s="110"/>
      <c r="M196" s="110"/>
      <c r="N196" s="151"/>
      <c r="O196" s="152"/>
      <c r="P196" s="152"/>
      <c r="Q196" s="110"/>
      <c r="R196" s="126"/>
      <c r="S196" s="110"/>
      <c r="T196" s="132"/>
      <c r="U196" s="132"/>
      <c r="V196" s="110"/>
      <c r="W196" s="110"/>
      <c r="X196" s="110"/>
      <c r="Y196" s="110"/>
      <c r="Z196" s="110"/>
      <c r="AA196" s="110"/>
      <c r="AB196" s="110"/>
      <c r="AC196" s="110"/>
      <c r="AD196" s="110"/>
    </row>
    <row r="197" spans="1:30" ht="27">
      <c r="A197" s="16" t="s">
        <v>755</v>
      </c>
      <c r="B197" s="155" t="s">
        <v>893</v>
      </c>
      <c r="C197" s="16"/>
      <c r="D197" s="18">
        <v>8</v>
      </c>
      <c r="E197" s="18"/>
      <c r="F197" s="18"/>
      <c r="G197" s="18">
        <f t="shared" si="125"/>
        <v>8</v>
      </c>
      <c r="H197" s="18">
        <v>11.5</v>
      </c>
      <c r="I197" s="19">
        <f t="shared" si="126"/>
        <v>92</v>
      </c>
      <c r="J197" s="19">
        <f t="shared" si="127"/>
        <v>0</v>
      </c>
      <c r="K197" s="19">
        <f t="shared" si="128"/>
        <v>92</v>
      </c>
      <c r="L197" s="110"/>
      <c r="M197" s="110"/>
      <c r="N197" s="151"/>
      <c r="O197" s="152"/>
      <c r="P197" s="152"/>
      <c r="Q197" s="110"/>
      <c r="R197" s="126"/>
      <c r="S197" s="110"/>
      <c r="T197" s="132"/>
      <c r="U197" s="132"/>
      <c r="V197" s="110"/>
      <c r="W197" s="110"/>
      <c r="X197" s="110"/>
      <c r="Y197" s="110"/>
      <c r="Z197" s="110"/>
      <c r="AA197" s="110"/>
      <c r="AB197" s="110"/>
      <c r="AC197" s="110"/>
      <c r="AD197" s="110"/>
    </row>
    <row r="198" spans="1:30" ht="27">
      <c r="A198" s="16" t="s">
        <v>756</v>
      </c>
      <c r="B198" s="155" t="s">
        <v>894</v>
      </c>
      <c r="C198" s="16"/>
      <c r="D198" s="18">
        <v>4</v>
      </c>
      <c r="E198" s="18"/>
      <c r="F198" s="18"/>
      <c r="G198" s="18">
        <f t="shared" si="125"/>
        <v>4</v>
      </c>
      <c r="H198" s="18">
        <v>17.190000000000001</v>
      </c>
      <c r="I198" s="19">
        <f t="shared" si="126"/>
        <v>68.760000000000005</v>
      </c>
      <c r="J198" s="19">
        <f t="shared" si="127"/>
        <v>0</v>
      </c>
      <c r="K198" s="19">
        <f t="shared" si="128"/>
        <v>68.760000000000005</v>
      </c>
      <c r="L198" s="110"/>
      <c r="M198" s="110"/>
      <c r="N198" s="151"/>
      <c r="O198" s="152"/>
      <c r="P198" s="152"/>
      <c r="Q198" s="110"/>
      <c r="R198" s="126"/>
      <c r="S198" s="110"/>
      <c r="T198" s="132"/>
      <c r="U198" s="132"/>
      <c r="V198" s="110"/>
      <c r="W198" s="110"/>
      <c r="X198" s="110"/>
      <c r="Y198" s="110"/>
      <c r="Z198" s="110"/>
      <c r="AA198" s="110"/>
      <c r="AB198" s="110"/>
      <c r="AC198" s="110"/>
      <c r="AD198" s="110"/>
    </row>
    <row r="199" spans="1:30" ht="27">
      <c r="A199" s="16" t="s">
        <v>757</v>
      </c>
      <c r="B199" s="155" t="s">
        <v>895</v>
      </c>
      <c r="C199" s="16"/>
      <c r="D199" s="18">
        <v>2</v>
      </c>
      <c r="E199" s="18"/>
      <c r="F199" s="18"/>
      <c r="G199" s="18">
        <f t="shared" si="125"/>
        <v>2</v>
      </c>
      <c r="H199" s="18">
        <v>13.52</v>
      </c>
      <c r="I199" s="19">
        <f t="shared" si="126"/>
        <v>27.04</v>
      </c>
      <c r="J199" s="19">
        <f t="shared" si="127"/>
        <v>0</v>
      </c>
      <c r="K199" s="19">
        <f t="shared" si="128"/>
        <v>27.04</v>
      </c>
      <c r="L199" s="110"/>
      <c r="M199" s="110"/>
      <c r="N199" s="151"/>
      <c r="O199" s="152"/>
      <c r="P199" s="152"/>
      <c r="Q199" s="110"/>
      <c r="R199" s="126"/>
      <c r="S199" s="110"/>
      <c r="T199" s="132"/>
      <c r="U199" s="132"/>
      <c r="V199" s="110"/>
      <c r="W199" s="110"/>
      <c r="X199" s="110"/>
      <c r="Y199" s="110"/>
      <c r="Z199" s="110"/>
      <c r="AA199" s="110"/>
      <c r="AB199" s="110"/>
      <c r="AC199" s="110"/>
      <c r="AD199" s="110"/>
    </row>
    <row r="200" spans="1:30" ht="27">
      <c r="A200" s="16" t="s">
        <v>758</v>
      </c>
      <c r="B200" s="155" t="s">
        <v>896</v>
      </c>
      <c r="C200" s="16"/>
      <c r="D200" s="18">
        <v>1</v>
      </c>
      <c r="E200" s="18"/>
      <c r="F200" s="18"/>
      <c r="G200" s="18">
        <f t="shared" si="125"/>
        <v>1</v>
      </c>
      <c r="H200" s="18">
        <v>22.33</v>
      </c>
      <c r="I200" s="19">
        <f t="shared" si="126"/>
        <v>22.33</v>
      </c>
      <c r="J200" s="19">
        <f t="shared" si="127"/>
        <v>0</v>
      </c>
      <c r="K200" s="19">
        <f t="shared" si="128"/>
        <v>22.33</v>
      </c>
      <c r="L200" s="110"/>
      <c r="M200" s="110"/>
      <c r="N200" s="151"/>
      <c r="O200" s="152"/>
      <c r="P200" s="152"/>
      <c r="Q200" s="110"/>
      <c r="R200" s="126"/>
      <c r="S200" s="110"/>
      <c r="T200" s="132"/>
      <c r="U200" s="132"/>
      <c r="V200" s="110"/>
      <c r="W200" s="110"/>
      <c r="X200" s="110"/>
      <c r="Y200" s="110"/>
      <c r="Z200" s="110"/>
      <c r="AA200" s="110"/>
      <c r="AB200" s="110"/>
      <c r="AC200" s="110"/>
      <c r="AD200" s="110"/>
    </row>
    <row r="201" spans="1:30" ht="27">
      <c r="A201" s="16" t="s">
        <v>759</v>
      </c>
      <c r="B201" s="155" t="s">
        <v>897</v>
      </c>
      <c r="C201" s="16"/>
      <c r="D201" s="18">
        <v>14</v>
      </c>
      <c r="E201" s="18"/>
      <c r="F201" s="18"/>
      <c r="G201" s="18">
        <f t="shared" si="125"/>
        <v>14</v>
      </c>
      <c r="H201" s="18">
        <v>10.88</v>
      </c>
      <c r="I201" s="19">
        <f t="shared" si="126"/>
        <v>152.32000000000002</v>
      </c>
      <c r="J201" s="19">
        <f t="shared" si="127"/>
        <v>0</v>
      </c>
      <c r="K201" s="19">
        <f t="shared" si="128"/>
        <v>152.32000000000002</v>
      </c>
      <c r="L201" s="110"/>
      <c r="M201" s="110"/>
      <c r="N201" s="151"/>
      <c r="O201" s="152"/>
      <c r="P201" s="152"/>
      <c r="Q201" s="110"/>
      <c r="R201" s="126"/>
      <c r="S201" s="110"/>
      <c r="T201" s="132"/>
      <c r="U201" s="132"/>
      <c r="V201" s="110"/>
      <c r="W201" s="110"/>
      <c r="X201" s="110"/>
      <c r="Y201" s="110"/>
      <c r="Z201" s="110"/>
      <c r="AA201" s="110"/>
      <c r="AB201" s="110"/>
      <c r="AC201" s="110"/>
      <c r="AD201" s="110"/>
    </row>
    <row r="202" spans="1:30" ht="40.200000000000003">
      <c r="A202" s="16" t="s">
        <v>760</v>
      </c>
      <c r="B202" s="155" t="s">
        <v>898</v>
      </c>
      <c r="C202" s="16"/>
      <c r="D202" s="18">
        <v>2</v>
      </c>
      <c r="E202" s="18"/>
      <c r="F202" s="18"/>
      <c r="G202" s="18">
        <f t="shared" si="125"/>
        <v>2</v>
      </c>
      <c r="H202" s="18">
        <v>5.56</v>
      </c>
      <c r="I202" s="19">
        <f t="shared" si="126"/>
        <v>11.12</v>
      </c>
      <c r="J202" s="19">
        <f t="shared" si="127"/>
        <v>0</v>
      </c>
      <c r="K202" s="19">
        <f t="shared" si="128"/>
        <v>11.12</v>
      </c>
      <c r="L202" s="110"/>
      <c r="M202" s="110"/>
      <c r="N202" s="151"/>
      <c r="O202" s="152"/>
      <c r="P202" s="152"/>
      <c r="Q202" s="110"/>
      <c r="R202" s="126"/>
      <c r="S202" s="110"/>
      <c r="T202" s="132"/>
      <c r="U202" s="132"/>
      <c r="V202" s="110"/>
      <c r="W202" s="110"/>
      <c r="X202" s="110"/>
      <c r="Y202" s="110"/>
      <c r="Z202" s="110"/>
      <c r="AA202" s="110"/>
      <c r="AB202" s="110"/>
      <c r="AC202" s="110"/>
      <c r="AD202" s="110"/>
    </row>
    <row r="203" spans="1:30" ht="40.200000000000003">
      <c r="A203" s="16" t="s">
        <v>761</v>
      </c>
      <c r="B203" s="155" t="s">
        <v>899</v>
      </c>
      <c r="C203" s="16"/>
      <c r="D203" s="18">
        <v>30</v>
      </c>
      <c r="E203" s="18"/>
      <c r="F203" s="18"/>
      <c r="G203" s="18">
        <f t="shared" si="125"/>
        <v>30</v>
      </c>
      <c r="H203" s="18">
        <v>7.76</v>
      </c>
      <c r="I203" s="19">
        <f t="shared" si="126"/>
        <v>232.79999999999998</v>
      </c>
      <c r="J203" s="19">
        <f t="shared" si="127"/>
        <v>0</v>
      </c>
      <c r="K203" s="19">
        <f t="shared" si="128"/>
        <v>232.79999999999998</v>
      </c>
      <c r="L203" s="110"/>
      <c r="M203" s="110"/>
      <c r="N203" s="151"/>
      <c r="O203" s="152"/>
      <c r="P203" s="152"/>
      <c r="Q203" s="110"/>
      <c r="R203" s="126"/>
      <c r="S203" s="110"/>
      <c r="T203" s="132"/>
      <c r="U203" s="132"/>
      <c r="V203" s="110"/>
      <c r="W203" s="110"/>
      <c r="X203" s="110"/>
      <c r="Y203" s="110"/>
      <c r="Z203" s="110"/>
      <c r="AA203" s="110"/>
      <c r="AB203" s="110"/>
      <c r="AC203" s="110"/>
      <c r="AD203" s="110"/>
    </row>
    <row r="204" spans="1:30" ht="27">
      <c r="A204" s="16" t="s">
        <v>762</v>
      </c>
      <c r="B204" s="155" t="s">
        <v>900</v>
      </c>
      <c r="C204" s="16"/>
      <c r="D204" s="18">
        <v>2</v>
      </c>
      <c r="E204" s="18"/>
      <c r="F204" s="18"/>
      <c r="G204" s="18">
        <f t="shared" si="125"/>
        <v>2</v>
      </c>
      <c r="H204" s="18">
        <v>22.44</v>
      </c>
      <c r="I204" s="19">
        <f t="shared" si="126"/>
        <v>44.88</v>
      </c>
      <c r="J204" s="19">
        <f t="shared" si="127"/>
        <v>0</v>
      </c>
      <c r="K204" s="19">
        <f t="shared" si="128"/>
        <v>44.88</v>
      </c>
      <c r="L204" s="110"/>
      <c r="M204" s="110"/>
      <c r="N204" s="151"/>
      <c r="O204" s="152"/>
      <c r="P204" s="152"/>
      <c r="Q204" s="110"/>
      <c r="R204" s="126"/>
      <c r="S204" s="110"/>
      <c r="T204" s="132"/>
      <c r="U204" s="132"/>
      <c r="V204" s="110"/>
      <c r="W204" s="110"/>
      <c r="X204" s="110"/>
      <c r="Y204" s="110"/>
      <c r="Z204" s="110"/>
      <c r="AA204" s="110"/>
      <c r="AB204" s="110"/>
      <c r="AC204" s="110"/>
      <c r="AD204" s="110"/>
    </row>
    <row r="205" spans="1:30" ht="40.200000000000003">
      <c r="A205" s="16" t="s">
        <v>763</v>
      </c>
      <c r="B205" s="155" t="s">
        <v>901</v>
      </c>
      <c r="C205" s="16"/>
      <c r="D205" s="18">
        <v>1</v>
      </c>
      <c r="E205" s="18"/>
      <c r="F205" s="18"/>
      <c r="G205" s="18">
        <f t="shared" si="125"/>
        <v>1</v>
      </c>
      <c r="H205" s="18">
        <v>24.45</v>
      </c>
      <c r="I205" s="19">
        <f t="shared" si="126"/>
        <v>24.45</v>
      </c>
      <c r="J205" s="19">
        <f t="shared" si="127"/>
        <v>0</v>
      </c>
      <c r="K205" s="19">
        <f t="shared" si="128"/>
        <v>24.45</v>
      </c>
      <c r="L205" s="110"/>
      <c r="M205" s="110"/>
      <c r="N205" s="151"/>
      <c r="O205" s="152"/>
      <c r="P205" s="152"/>
      <c r="Q205" s="110"/>
      <c r="R205" s="126"/>
      <c r="S205" s="110"/>
      <c r="T205" s="132"/>
      <c r="U205" s="132"/>
      <c r="V205" s="110"/>
      <c r="W205" s="110"/>
      <c r="X205" s="110"/>
      <c r="Y205" s="110"/>
      <c r="Z205" s="110"/>
      <c r="AA205" s="110"/>
      <c r="AB205" s="110"/>
      <c r="AC205" s="110"/>
      <c r="AD205" s="110"/>
    </row>
    <row r="206" spans="1:30" ht="40.200000000000003">
      <c r="A206" s="16" t="s">
        <v>764</v>
      </c>
      <c r="B206" s="155" t="s">
        <v>902</v>
      </c>
      <c r="C206" s="16"/>
      <c r="D206" s="18">
        <v>1</v>
      </c>
      <c r="E206" s="18"/>
      <c r="F206" s="18"/>
      <c r="G206" s="18">
        <f t="shared" si="125"/>
        <v>1</v>
      </c>
      <c r="H206" s="18">
        <v>79.16</v>
      </c>
      <c r="I206" s="19">
        <f t="shared" si="126"/>
        <v>79.16</v>
      </c>
      <c r="J206" s="19">
        <f t="shared" si="127"/>
        <v>0</v>
      </c>
      <c r="K206" s="19">
        <f t="shared" si="128"/>
        <v>79.16</v>
      </c>
      <c r="L206" s="110"/>
      <c r="M206" s="110"/>
      <c r="N206" s="151"/>
      <c r="O206" s="152"/>
      <c r="P206" s="152"/>
      <c r="Q206" s="110"/>
      <c r="R206" s="126"/>
      <c r="S206" s="110"/>
      <c r="T206" s="132"/>
      <c r="U206" s="132"/>
      <c r="V206" s="110"/>
      <c r="W206" s="110"/>
      <c r="X206" s="110"/>
      <c r="Y206" s="110"/>
      <c r="Z206" s="110"/>
      <c r="AA206" s="110"/>
      <c r="AB206" s="110"/>
      <c r="AC206" s="110"/>
      <c r="AD206" s="110"/>
    </row>
    <row r="207" spans="1:30" ht="27">
      <c r="A207" s="16" t="s">
        <v>765</v>
      </c>
      <c r="B207" s="155" t="s">
        <v>903</v>
      </c>
      <c r="C207" s="16"/>
      <c r="D207" s="18">
        <v>1</v>
      </c>
      <c r="E207" s="18"/>
      <c r="F207" s="18"/>
      <c r="G207" s="18">
        <f t="shared" si="125"/>
        <v>1</v>
      </c>
      <c r="H207" s="18">
        <v>18.93</v>
      </c>
      <c r="I207" s="19">
        <f t="shared" si="126"/>
        <v>18.93</v>
      </c>
      <c r="J207" s="19">
        <f t="shared" si="127"/>
        <v>0</v>
      </c>
      <c r="K207" s="19">
        <f t="shared" si="128"/>
        <v>18.93</v>
      </c>
      <c r="L207" s="110"/>
      <c r="M207" s="110"/>
      <c r="N207" s="151"/>
      <c r="O207" s="152"/>
      <c r="P207" s="152"/>
      <c r="Q207" s="110"/>
      <c r="R207" s="126"/>
      <c r="S207" s="110"/>
      <c r="T207" s="132"/>
      <c r="U207" s="132"/>
      <c r="V207" s="110"/>
      <c r="W207" s="110"/>
      <c r="X207" s="110"/>
      <c r="Y207" s="110"/>
      <c r="Z207" s="110"/>
      <c r="AA207" s="110"/>
      <c r="AB207" s="110"/>
      <c r="AC207" s="110"/>
      <c r="AD207" s="110"/>
    </row>
    <row r="208" spans="1:30" ht="27">
      <c r="A208" s="16" t="s">
        <v>766</v>
      </c>
      <c r="B208" s="155" t="s">
        <v>904</v>
      </c>
      <c r="C208" s="16"/>
      <c r="D208" s="18">
        <v>14</v>
      </c>
      <c r="E208" s="18"/>
      <c r="F208" s="18"/>
      <c r="G208" s="18">
        <f t="shared" si="125"/>
        <v>14</v>
      </c>
      <c r="H208" s="18">
        <v>70.47</v>
      </c>
      <c r="I208" s="19">
        <f t="shared" si="126"/>
        <v>986.57999999999993</v>
      </c>
      <c r="J208" s="19">
        <f t="shared" si="127"/>
        <v>0</v>
      </c>
      <c r="K208" s="19">
        <f t="shared" si="128"/>
        <v>986.57999999999993</v>
      </c>
      <c r="L208" s="110"/>
      <c r="M208" s="110"/>
      <c r="N208" s="151"/>
      <c r="O208" s="152"/>
      <c r="P208" s="152"/>
      <c r="Q208" s="110"/>
      <c r="R208" s="126"/>
      <c r="S208" s="110"/>
      <c r="T208" s="132"/>
      <c r="U208" s="132"/>
      <c r="V208" s="110"/>
      <c r="W208" s="110"/>
      <c r="X208" s="110"/>
      <c r="Y208" s="110"/>
      <c r="Z208" s="110"/>
      <c r="AA208" s="110"/>
      <c r="AB208" s="110"/>
      <c r="AC208" s="110"/>
      <c r="AD208" s="110"/>
    </row>
    <row r="209" spans="1:30" ht="27">
      <c r="A209" s="16" t="s">
        <v>767</v>
      </c>
      <c r="B209" s="155" t="s">
        <v>905</v>
      </c>
      <c r="C209" s="16"/>
      <c r="D209" s="18">
        <v>1</v>
      </c>
      <c r="E209" s="18"/>
      <c r="F209" s="18"/>
      <c r="G209" s="18">
        <f t="shared" si="125"/>
        <v>1</v>
      </c>
      <c r="H209" s="18">
        <v>168.2</v>
      </c>
      <c r="I209" s="19">
        <f t="shared" si="126"/>
        <v>168.2</v>
      </c>
      <c r="J209" s="19">
        <f t="shared" si="127"/>
        <v>0</v>
      </c>
      <c r="K209" s="19">
        <f t="shared" si="128"/>
        <v>168.2</v>
      </c>
      <c r="L209" s="110"/>
      <c r="M209" s="110"/>
      <c r="N209" s="151"/>
      <c r="O209" s="152"/>
      <c r="P209" s="152"/>
      <c r="Q209" s="110"/>
      <c r="R209" s="126"/>
      <c r="S209" s="110"/>
      <c r="T209" s="132"/>
      <c r="U209" s="132"/>
      <c r="V209" s="110"/>
      <c r="W209" s="110"/>
      <c r="X209" s="110"/>
      <c r="Y209" s="110"/>
      <c r="Z209" s="110"/>
      <c r="AA209" s="110"/>
      <c r="AB209" s="110"/>
      <c r="AC209" s="110"/>
      <c r="AD209" s="110"/>
    </row>
    <row r="210" spans="1:30" ht="27">
      <c r="A210" s="16" t="s">
        <v>768</v>
      </c>
      <c r="B210" s="155" t="s">
        <v>906</v>
      </c>
      <c r="C210" s="16"/>
      <c r="D210" s="18">
        <v>1</v>
      </c>
      <c r="E210" s="18"/>
      <c r="F210" s="18"/>
      <c r="G210" s="18">
        <f t="shared" ref="G210:G273" si="129">D210+E210-F210</f>
        <v>1</v>
      </c>
      <c r="H210" s="18">
        <v>132.35</v>
      </c>
      <c r="I210" s="19">
        <f t="shared" si="126"/>
        <v>132.35</v>
      </c>
      <c r="J210" s="19">
        <f t="shared" si="127"/>
        <v>0</v>
      </c>
      <c r="K210" s="19">
        <f t="shared" si="128"/>
        <v>132.35</v>
      </c>
      <c r="L210" s="110"/>
      <c r="M210" s="110"/>
      <c r="N210" s="151"/>
      <c r="O210" s="152"/>
      <c r="P210" s="152"/>
      <c r="Q210" s="110"/>
      <c r="R210" s="126"/>
      <c r="S210" s="110"/>
      <c r="T210" s="132"/>
      <c r="U210" s="132"/>
      <c r="V210" s="110"/>
      <c r="W210" s="110"/>
      <c r="X210" s="110"/>
      <c r="Y210" s="110"/>
      <c r="Z210" s="110"/>
      <c r="AA210" s="110"/>
      <c r="AB210" s="110"/>
      <c r="AC210" s="110"/>
      <c r="AD210" s="110"/>
    </row>
    <row r="211" spans="1:30" ht="27">
      <c r="A211" s="16" t="s">
        <v>769</v>
      </c>
      <c r="B211" s="155" t="s">
        <v>903</v>
      </c>
      <c r="C211" s="16"/>
      <c r="D211" s="18">
        <v>1</v>
      </c>
      <c r="E211" s="18"/>
      <c r="F211" s="18"/>
      <c r="G211" s="18">
        <f t="shared" si="129"/>
        <v>1</v>
      </c>
      <c r="H211" s="18">
        <v>18.93</v>
      </c>
      <c r="I211" s="19">
        <f t="shared" si="126"/>
        <v>18.93</v>
      </c>
      <c r="J211" s="19">
        <f t="shared" si="127"/>
        <v>0</v>
      </c>
      <c r="K211" s="19">
        <f t="shared" si="128"/>
        <v>18.93</v>
      </c>
      <c r="L211" s="110"/>
      <c r="M211" s="110"/>
      <c r="N211" s="151"/>
      <c r="O211" s="152"/>
      <c r="P211" s="152"/>
      <c r="Q211" s="110"/>
      <c r="R211" s="126"/>
      <c r="S211" s="110"/>
      <c r="T211" s="132"/>
      <c r="U211" s="132"/>
      <c r="V211" s="110"/>
      <c r="W211" s="110"/>
      <c r="X211" s="110"/>
      <c r="Y211" s="110"/>
      <c r="Z211" s="110"/>
      <c r="AA211" s="110"/>
      <c r="AB211" s="110"/>
      <c r="AC211" s="110"/>
      <c r="AD211" s="110"/>
    </row>
    <row r="212" spans="1:30" ht="27">
      <c r="A212" s="16" t="s">
        <v>770</v>
      </c>
      <c r="B212" s="155" t="s">
        <v>907</v>
      </c>
      <c r="C212" s="16"/>
      <c r="D212" s="18">
        <v>4</v>
      </c>
      <c r="E212" s="18"/>
      <c r="F212" s="18"/>
      <c r="G212" s="18">
        <f t="shared" si="129"/>
        <v>4</v>
      </c>
      <c r="H212" s="18">
        <v>102.85</v>
      </c>
      <c r="I212" s="19">
        <f t="shared" si="126"/>
        <v>411.4</v>
      </c>
      <c r="J212" s="19">
        <f t="shared" si="127"/>
        <v>0</v>
      </c>
      <c r="K212" s="19">
        <f t="shared" si="128"/>
        <v>411.4</v>
      </c>
      <c r="L212" s="110"/>
      <c r="M212" s="110"/>
      <c r="N212" s="151"/>
      <c r="O212" s="152"/>
      <c r="P212" s="152"/>
      <c r="Q212" s="110"/>
      <c r="R212" s="126"/>
      <c r="S212" s="110"/>
      <c r="T212" s="132"/>
      <c r="U212" s="132"/>
      <c r="V212" s="110"/>
      <c r="W212" s="110"/>
      <c r="X212" s="110"/>
      <c r="Y212" s="110"/>
      <c r="Z212" s="110"/>
      <c r="AA212" s="110"/>
      <c r="AB212" s="110"/>
      <c r="AC212" s="110"/>
      <c r="AD212" s="110"/>
    </row>
    <row r="213" spans="1:30" ht="27">
      <c r="A213" s="16" t="s">
        <v>771</v>
      </c>
      <c r="B213" s="155" t="s">
        <v>908</v>
      </c>
      <c r="C213" s="16"/>
      <c r="D213" s="18">
        <v>1</v>
      </c>
      <c r="E213" s="18"/>
      <c r="F213" s="18"/>
      <c r="G213" s="18">
        <f t="shared" si="129"/>
        <v>1</v>
      </c>
      <c r="H213" s="18">
        <v>4444.74</v>
      </c>
      <c r="I213" s="19">
        <f t="shared" si="126"/>
        <v>4444.74</v>
      </c>
      <c r="J213" s="19">
        <f t="shared" si="127"/>
        <v>0</v>
      </c>
      <c r="K213" s="19">
        <f t="shared" si="128"/>
        <v>4444.74</v>
      </c>
      <c r="L213" s="110"/>
      <c r="M213" s="110"/>
      <c r="N213" s="151"/>
      <c r="O213" s="152"/>
      <c r="P213" s="152"/>
      <c r="Q213" s="110"/>
      <c r="R213" s="126"/>
      <c r="S213" s="110"/>
      <c r="T213" s="132"/>
      <c r="U213" s="132"/>
      <c r="V213" s="110"/>
      <c r="W213" s="110"/>
      <c r="X213" s="110"/>
      <c r="Y213" s="110"/>
      <c r="Z213" s="110"/>
      <c r="AA213" s="110"/>
      <c r="AB213" s="110"/>
      <c r="AC213" s="110"/>
      <c r="AD213" s="110"/>
    </row>
    <row r="214" spans="1:30" ht="27">
      <c r="A214" s="16" t="s">
        <v>772</v>
      </c>
      <c r="B214" s="155" t="s">
        <v>909</v>
      </c>
      <c r="C214" s="16"/>
      <c r="D214" s="18">
        <v>1</v>
      </c>
      <c r="E214" s="18"/>
      <c r="F214" s="18"/>
      <c r="G214" s="18">
        <f t="shared" si="129"/>
        <v>1</v>
      </c>
      <c r="H214" s="18">
        <v>8602.19</v>
      </c>
      <c r="I214" s="19">
        <f t="shared" si="126"/>
        <v>8602.19</v>
      </c>
      <c r="J214" s="19">
        <f t="shared" si="127"/>
        <v>0</v>
      </c>
      <c r="K214" s="19">
        <f t="shared" si="128"/>
        <v>8602.19</v>
      </c>
      <c r="L214" s="110"/>
      <c r="M214" s="110"/>
      <c r="N214" s="151"/>
      <c r="O214" s="152"/>
      <c r="P214" s="152"/>
      <c r="Q214" s="110"/>
      <c r="R214" s="126"/>
      <c r="S214" s="110"/>
      <c r="T214" s="132"/>
      <c r="U214" s="132"/>
      <c r="V214" s="110"/>
      <c r="W214" s="110"/>
      <c r="X214" s="110"/>
      <c r="Y214" s="110"/>
      <c r="Z214" s="110"/>
      <c r="AA214" s="110"/>
      <c r="AB214" s="110"/>
      <c r="AC214" s="110"/>
      <c r="AD214" s="110"/>
    </row>
    <row r="215" spans="1:30">
      <c r="A215" s="13">
        <v>22</v>
      </c>
      <c r="B215" s="14" t="s">
        <v>606</v>
      </c>
      <c r="C215" s="13"/>
      <c r="D215" s="13"/>
      <c r="E215" s="13"/>
      <c r="F215" s="13"/>
      <c r="G215" s="13"/>
      <c r="H215" s="13"/>
      <c r="I215" s="15">
        <f>SUM(I216:I238)</f>
        <v>9016.6812999999984</v>
      </c>
      <c r="J215" s="15">
        <f>SUM(J216:J238)</f>
        <v>0</v>
      </c>
      <c r="K215" s="15">
        <f>SUM(K216:K238)</f>
        <v>9016.6812999999984</v>
      </c>
      <c r="L215" s="110"/>
      <c r="M215" s="110"/>
      <c r="N215" s="133"/>
      <c r="O215" s="133"/>
      <c r="P215" s="133"/>
      <c r="Q215" s="110"/>
      <c r="R215" s="126"/>
      <c r="S215" s="110"/>
      <c r="T215" s="132"/>
      <c r="U215" s="132"/>
      <c r="V215" s="110"/>
      <c r="W215" s="110"/>
      <c r="X215" s="110"/>
      <c r="Y215" s="110"/>
      <c r="Z215" s="110"/>
      <c r="AA215" s="110"/>
      <c r="AB215" s="110"/>
      <c r="AC215" s="110"/>
      <c r="AD215" s="110"/>
    </row>
    <row r="216" spans="1:30" ht="27">
      <c r="A216" s="16" t="s">
        <v>773</v>
      </c>
      <c r="B216" s="155" t="s">
        <v>849</v>
      </c>
      <c r="C216" s="16"/>
      <c r="D216" s="18">
        <v>29.25</v>
      </c>
      <c r="E216" s="18"/>
      <c r="F216" s="18"/>
      <c r="G216" s="18">
        <f t="shared" si="129"/>
        <v>29.25</v>
      </c>
      <c r="H216" s="18">
        <v>21</v>
      </c>
      <c r="I216" s="19">
        <f t="shared" si="126"/>
        <v>614.25</v>
      </c>
      <c r="J216" s="19">
        <f t="shared" si="127"/>
        <v>0</v>
      </c>
      <c r="K216" s="19">
        <f t="shared" si="128"/>
        <v>614.25</v>
      </c>
      <c r="L216" s="110"/>
      <c r="M216" s="110"/>
      <c r="N216" s="151"/>
      <c r="O216" s="152"/>
      <c r="P216" s="152"/>
      <c r="Q216" s="110"/>
      <c r="R216" s="126"/>
      <c r="S216" s="110"/>
      <c r="T216" s="132"/>
      <c r="U216" s="132"/>
      <c r="V216" s="110"/>
      <c r="W216" s="110"/>
      <c r="X216" s="110"/>
      <c r="Y216" s="110"/>
      <c r="Z216" s="110"/>
      <c r="AA216" s="110"/>
      <c r="AB216" s="110"/>
      <c r="AC216" s="110"/>
      <c r="AD216" s="110"/>
    </row>
    <row r="217" spans="1:30" ht="27">
      <c r="A217" s="16" t="s">
        <v>774</v>
      </c>
      <c r="B217" s="155" t="s">
        <v>850</v>
      </c>
      <c r="C217" s="16"/>
      <c r="D217" s="18">
        <v>37.79</v>
      </c>
      <c r="E217" s="18"/>
      <c r="F217" s="18"/>
      <c r="G217" s="18">
        <f t="shared" si="129"/>
        <v>37.79</v>
      </c>
      <c r="H217" s="18">
        <v>28.06</v>
      </c>
      <c r="I217" s="19">
        <f t="shared" si="126"/>
        <v>1060.3873999999998</v>
      </c>
      <c r="J217" s="19">
        <f t="shared" ref="J217:J256" si="130">K217-I217</f>
        <v>0</v>
      </c>
      <c r="K217" s="19">
        <f t="shared" ref="K217:K256" si="131">G217*H217</f>
        <v>1060.3873999999998</v>
      </c>
      <c r="L217" s="110"/>
      <c r="M217" s="110"/>
      <c r="N217" s="151"/>
      <c r="O217" s="152"/>
      <c r="P217" s="152"/>
      <c r="Q217" s="110"/>
      <c r="R217" s="126"/>
      <c r="S217" s="110"/>
      <c r="T217" s="132"/>
      <c r="U217" s="132"/>
      <c r="V217" s="110"/>
      <c r="W217" s="110"/>
      <c r="X217" s="110"/>
      <c r="Y217" s="110"/>
      <c r="Z217" s="110"/>
      <c r="AA217" s="110"/>
      <c r="AB217" s="110"/>
      <c r="AC217" s="110"/>
      <c r="AD217" s="110"/>
    </row>
    <row r="218" spans="1:30" ht="27">
      <c r="A218" s="16" t="s">
        <v>775</v>
      </c>
      <c r="B218" s="155" t="s">
        <v>851</v>
      </c>
      <c r="C218" s="16"/>
      <c r="D218" s="18">
        <v>11.32</v>
      </c>
      <c r="E218" s="18"/>
      <c r="F218" s="18"/>
      <c r="G218" s="18">
        <f t="shared" si="129"/>
        <v>11.32</v>
      </c>
      <c r="H218" s="18">
        <v>35.33</v>
      </c>
      <c r="I218" s="19">
        <f t="shared" ref="I218:I274" si="132">D218*H218</f>
        <v>399.93559999999997</v>
      </c>
      <c r="J218" s="19">
        <f t="shared" si="130"/>
        <v>0</v>
      </c>
      <c r="K218" s="19">
        <f t="shared" si="131"/>
        <v>399.93559999999997</v>
      </c>
      <c r="L218" s="110"/>
      <c r="M218" s="110"/>
      <c r="N218" s="151"/>
      <c r="O218" s="152"/>
      <c r="P218" s="152"/>
      <c r="Q218" s="110"/>
      <c r="R218" s="126"/>
      <c r="S218" s="110"/>
      <c r="T218" s="132"/>
      <c r="U218" s="132"/>
      <c r="V218" s="110"/>
      <c r="W218" s="110"/>
      <c r="X218" s="110"/>
      <c r="Y218" s="110"/>
      <c r="Z218" s="110"/>
      <c r="AA218" s="110"/>
      <c r="AB218" s="110"/>
      <c r="AC218" s="110"/>
      <c r="AD218" s="110"/>
    </row>
    <row r="219" spans="1:30" ht="27">
      <c r="A219" s="16" t="s">
        <v>776</v>
      </c>
      <c r="B219" s="155" t="s">
        <v>852</v>
      </c>
      <c r="C219" s="16"/>
      <c r="D219" s="18">
        <v>88.09</v>
      </c>
      <c r="E219" s="18"/>
      <c r="F219" s="18"/>
      <c r="G219" s="18">
        <f t="shared" si="129"/>
        <v>88.09</v>
      </c>
      <c r="H219" s="18">
        <v>24.87</v>
      </c>
      <c r="I219" s="19">
        <f t="shared" si="132"/>
        <v>2190.7983000000004</v>
      </c>
      <c r="J219" s="19">
        <f t="shared" si="130"/>
        <v>0</v>
      </c>
      <c r="K219" s="19">
        <f t="shared" si="131"/>
        <v>2190.7983000000004</v>
      </c>
      <c r="L219" s="110"/>
      <c r="M219" s="110"/>
      <c r="N219" s="151"/>
      <c r="O219" s="152"/>
      <c r="P219" s="152"/>
      <c r="Q219" s="110"/>
      <c r="R219" s="126"/>
      <c r="S219" s="110"/>
      <c r="T219" s="132"/>
      <c r="U219" s="132"/>
      <c r="V219" s="110"/>
      <c r="W219" s="110"/>
      <c r="X219" s="110"/>
      <c r="Y219" s="110"/>
      <c r="Z219" s="110"/>
      <c r="AA219" s="110"/>
      <c r="AB219" s="110"/>
      <c r="AC219" s="110"/>
      <c r="AD219" s="110"/>
    </row>
    <row r="220" spans="1:30" ht="40.200000000000003">
      <c r="A220" s="16" t="s">
        <v>777</v>
      </c>
      <c r="B220" s="155" t="s">
        <v>853</v>
      </c>
      <c r="C220" s="16"/>
      <c r="D220" s="18">
        <v>4</v>
      </c>
      <c r="E220" s="18"/>
      <c r="F220" s="18"/>
      <c r="G220" s="18">
        <f t="shared" si="129"/>
        <v>4</v>
      </c>
      <c r="H220" s="18">
        <v>287.51</v>
      </c>
      <c r="I220" s="19">
        <f t="shared" si="132"/>
        <v>1150.04</v>
      </c>
      <c r="J220" s="19">
        <f t="shared" si="130"/>
        <v>0</v>
      </c>
      <c r="K220" s="19">
        <f t="shared" si="131"/>
        <v>1150.04</v>
      </c>
      <c r="L220" s="110"/>
      <c r="M220" s="110"/>
      <c r="N220" s="151"/>
      <c r="O220" s="152"/>
      <c r="P220" s="152"/>
      <c r="Q220" s="110"/>
      <c r="R220" s="126"/>
      <c r="S220" s="110"/>
      <c r="T220" s="132"/>
      <c r="U220" s="132"/>
      <c r="V220" s="110"/>
      <c r="W220" s="110"/>
      <c r="X220" s="110"/>
      <c r="Y220" s="110"/>
      <c r="Z220" s="110"/>
      <c r="AA220" s="110"/>
      <c r="AB220" s="110"/>
      <c r="AC220" s="110"/>
      <c r="AD220" s="110"/>
    </row>
    <row r="221" spans="1:30" ht="40.200000000000003">
      <c r="A221" s="16" t="s">
        <v>778</v>
      </c>
      <c r="B221" s="155" t="s">
        <v>854</v>
      </c>
      <c r="C221" s="16"/>
      <c r="D221" s="18">
        <v>4</v>
      </c>
      <c r="E221" s="18"/>
      <c r="F221" s="18"/>
      <c r="G221" s="18">
        <f t="shared" si="129"/>
        <v>4</v>
      </c>
      <c r="H221" s="18">
        <v>27.91</v>
      </c>
      <c r="I221" s="19">
        <f t="shared" si="132"/>
        <v>111.64</v>
      </c>
      <c r="J221" s="19">
        <f t="shared" si="130"/>
        <v>0</v>
      </c>
      <c r="K221" s="19">
        <f t="shared" si="131"/>
        <v>111.64</v>
      </c>
      <c r="L221" s="110"/>
      <c r="M221" s="110"/>
      <c r="N221" s="151"/>
      <c r="O221" s="152"/>
      <c r="P221" s="152"/>
      <c r="Q221" s="110"/>
      <c r="R221" s="126"/>
      <c r="S221" s="110"/>
      <c r="T221" s="132"/>
      <c r="U221" s="132"/>
      <c r="V221" s="110"/>
      <c r="W221" s="110"/>
      <c r="X221" s="110"/>
      <c r="Y221" s="110"/>
      <c r="Z221" s="110"/>
      <c r="AA221" s="110"/>
      <c r="AB221" s="110"/>
      <c r="AC221" s="110"/>
      <c r="AD221" s="110"/>
    </row>
    <row r="222" spans="1:30">
      <c r="A222" s="16" t="s">
        <v>779</v>
      </c>
      <c r="B222" s="155" t="s">
        <v>855</v>
      </c>
      <c r="C222" s="16"/>
      <c r="D222" s="18">
        <v>10</v>
      </c>
      <c r="E222" s="18"/>
      <c r="F222" s="18"/>
      <c r="G222" s="18">
        <f t="shared" si="129"/>
        <v>10</v>
      </c>
      <c r="H222" s="18">
        <v>17.940000000000001</v>
      </c>
      <c r="I222" s="19">
        <f t="shared" si="132"/>
        <v>179.4</v>
      </c>
      <c r="J222" s="19">
        <f t="shared" si="130"/>
        <v>0</v>
      </c>
      <c r="K222" s="19">
        <f t="shared" si="131"/>
        <v>179.4</v>
      </c>
      <c r="L222" s="110"/>
      <c r="M222" s="110"/>
      <c r="N222" s="151"/>
      <c r="O222" s="152"/>
      <c r="P222" s="152"/>
      <c r="Q222" s="110"/>
      <c r="R222" s="126"/>
      <c r="S222" s="110"/>
      <c r="T222" s="132"/>
      <c r="U222" s="132"/>
      <c r="V222" s="110"/>
      <c r="W222" s="110"/>
      <c r="X222" s="110"/>
      <c r="Y222" s="110"/>
      <c r="Z222" s="110"/>
      <c r="AA222" s="110"/>
      <c r="AB222" s="110"/>
      <c r="AC222" s="110"/>
      <c r="AD222" s="110"/>
    </row>
    <row r="223" spans="1:30" ht="40.200000000000003">
      <c r="A223" s="16" t="s">
        <v>780</v>
      </c>
      <c r="B223" s="155" t="s">
        <v>856</v>
      </c>
      <c r="C223" s="16"/>
      <c r="D223" s="18">
        <v>14</v>
      </c>
      <c r="E223" s="18"/>
      <c r="F223" s="18"/>
      <c r="G223" s="18">
        <f t="shared" si="129"/>
        <v>14</v>
      </c>
      <c r="H223" s="18">
        <v>13.58</v>
      </c>
      <c r="I223" s="19">
        <f t="shared" si="132"/>
        <v>190.12</v>
      </c>
      <c r="J223" s="19">
        <f t="shared" si="130"/>
        <v>0</v>
      </c>
      <c r="K223" s="19">
        <f t="shared" si="131"/>
        <v>190.12</v>
      </c>
      <c r="L223" s="110"/>
      <c r="M223" s="110"/>
      <c r="N223" s="151"/>
      <c r="O223" s="152"/>
      <c r="P223" s="152"/>
      <c r="Q223" s="110"/>
      <c r="R223" s="126"/>
      <c r="S223" s="110"/>
      <c r="T223" s="132"/>
      <c r="U223" s="132"/>
      <c r="V223" s="110"/>
      <c r="W223" s="110"/>
      <c r="X223" s="110"/>
      <c r="Y223" s="110"/>
      <c r="Z223" s="110"/>
      <c r="AA223" s="110"/>
      <c r="AB223" s="110"/>
      <c r="AC223" s="110"/>
      <c r="AD223" s="110"/>
    </row>
    <row r="224" spans="1:30" ht="40.200000000000003">
      <c r="A224" s="16" t="s">
        <v>781</v>
      </c>
      <c r="B224" s="155" t="s">
        <v>857</v>
      </c>
      <c r="C224" s="16"/>
      <c r="D224" s="18">
        <v>1</v>
      </c>
      <c r="E224" s="18"/>
      <c r="F224" s="18"/>
      <c r="G224" s="18">
        <f t="shared" si="129"/>
        <v>1</v>
      </c>
      <c r="H224" s="18">
        <v>9.98</v>
      </c>
      <c r="I224" s="19">
        <f t="shared" si="132"/>
        <v>9.98</v>
      </c>
      <c r="J224" s="19">
        <f t="shared" si="130"/>
        <v>0</v>
      </c>
      <c r="K224" s="19">
        <f t="shared" si="131"/>
        <v>9.98</v>
      </c>
      <c r="L224" s="110"/>
      <c r="M224" s="110"/>
      <c r="N224" s="151"/>
      <c r="O224" s="152"/>
      <c r="P224" s="152"/>
      <c r="Q224" s="110"/>
      <c r="R224" s="126"/>
      <c r="S224" s="110"/>
      <c r="T224" s="132"/>
      <c r="U224" s="132"/>
      <c r="V224" s="110"/>
      <c r="W224" s="110"/>
      <c r="X224" s="110"/>
      <c r="Y224" s="110"/>
      <c r="Z224" s="110"/>
      <c r="AA224" s="110"/>
      <c r="AB224" s="110"/>
      <c r="AC224" s="110"/>
      <c r="AD224" s="110"/>
    </row>
    <row r="225" spans="1:30" ht="40.200000000000003">
      <c r="A225" s="16" t="s">
        <v>782</v>
      </c>
      <c r="B225" s="155" t="s">
        <v>858</v>
      </c>
      <c r="C225" s="16"/>
      <c r="D225" s="18">
        <v>9</v>
      </c>
      <c r="E225" s="18"/>
      <c r="F225" s="18"/>
      <c r="G225" s="18">
        <f t="shared" si="129"/>
        <v>9</v>
      </c>
      <c r="H225" s="18">
        <v>30.35</v>
      </c>
      <c r="I225" s="19">
        <f t="shared" si="132"/>
        <v>273.15000000000003</v>
      </c>
      <c r="J225" s="19">
        <f t="shared" si="130"/>
        <v>0</v>
      </c>
      <c r="K225" s="19">
        <f t="shared" si="131"/>
        <v>273.15000000000003</v>
      </c>
      <c r="L225" s="110"/>
      <c r="M225" s="110"/>
      <c r="N225" s="151"/>
      <c r="O225" s="152"/>
      <c r="P225" s="152"/>
      <c r="Q225" s="110"/>
      <c r="R225" s="126"/>
      <c r="S225" s="110"/>
      <c r="T225" s="132"/>
      <c r="U225" s="132"/>
      <c r="V225" s="110"/>
      <c r="W225" s="110"/>
      <c r="X225" s="110"/>
      <c r="Y225" s="110"/>
      <c r="Z225" s="110"/>
      <c r="AA225" s="110"/>
      <c r="AB225" s="110"/>
      <c r="AC225" s="110"/>
      <c r="AD225" s="110"/>
    </row>
    <row r="226" spans="1:30" ht="40.200000000000003">
      <c r="A226" s="16" t="s">
        <v>783</v>
      </c>
      <c r="B226" s="155" t="s">
        <v>859</v>
      </c>
      <c r="C226" s="16"/>
      <c r="D226" s="18">
        <v>25</v>
      </c>
      <c r="E226" s="18"/>
      <c r="F226" s="18"/>
      <c r="G226" s="18">
        <f t="shared" si="129"/>
        <v>25</v>
      </c>
      <c r="H226" s="18">
        <v>11.56</v>
      </c>
      <c r="I226" s="19">
        <f t="shared" si="132"/>
        <v>289</v>
      </c>
      <c r="J226" s="19">
        <f t="shared" si="130"/>
        <v>0</v>
      </c>
      <c r="K226" s="19">
        <f t="shared" si="131"/>
        <v>289</v>
      </c>
      <c r="L226" s="110"/>
      <c r="M226" s="110"/>
      <c r="N226" s="151"/>
      <c r="O226" s="152"/>
      <c r="P226" s="152"/>
      <c r="Q226" s="110"/>
      <c r="R226" s="126"/>
      <c r="S226" s="110"/>
      <c r="T226" s="132"/>
      <c r="U226" s="132"/>
      <c r="V226" s="110"/>
      <c r="W226" s="110"/>
      <c r="X226" s="110"/>
      <c r="Y226" s="110"/>
      <c r="Z226" s="110"/>
      <c r="AA226" s="110"/>
      <c r="AB226" s="110"/>
      <c r="AC226" s="110"/>
      <c r="AD226" s="110"/>
    </row>
    <row r="227" spans="1:30" ht="27">
      <c r="A227" s="16" t="s">
        <v>784</v>
      </c>
      <c r="B227" s="155" t="s">
        <v>860</v>
      </c>
      <c r="C227" s="16"/>
      <c r="D227" s="18">
        <v>14</v>
      </c>
      <c r="E227" s="18"/>
      <c r="F227" s="18"/>
      <c r="G227" s="18">
        <f t="shared" si="129"/>
        <v>14</v>
      </c>
      <c r="H227" s="18">
        <v>8.9499999999999993</v>
      </c>
      <c r="I227" s="19">
        <f t="shared" si="132"/>
        <v>125.29999999999998</v>
      </c>
      <c r="J227" s="19">
        <f t="shared" si="130"/>
        <v>0</v>
      </c>
      <c r="K227" s="19">
        <f t="shared" si="131"/>
        <v>125.29999999999998</v>
      </c>
      <c r="L227" s="110"/>
      <c r="M227" s="110"/>
      <c r="N227" s="151"/>
      <c r="O227" s="152"/>
      <c r="P227" s="152"/>
      <c r="Q227" s="110"/>
      <c r="R227" s="126"/>
      <c r="S227" s="110"/>
      <c r="T227" s="132"/>
      <c r="U227" s="132"/>
      <c r="V227" s="110"/>
      <c r="W227" s="110"/>
      <c r="X227" s="110"/>
      <c r="Y227" s="110"/>
      <c r="Z227" s="110"/>
      <c r="AA227" s="110"/>
      <c r="AB227" s="110"/>
      <c r="AC227" s="110"/>
      <c r="AD227" s="110"/>
    </row>
    <row r="228" spans="1:30" ht="40.200000000000003">
      <c r="A228" s="16" t="s">
        <v>785</v>
      </c>
      <c r="B228" s="155" t="s">
        <v>861</v>
      </c>
      <c r="C228" s="16"/>
      <c r="D228" s="18">
        <v>4</v>
      </c>
      <c r="E228" s="18"/>
      <c r="F228" s="18"/>
      <c r="G228" s="18">
        <f t="shared" si="129"/>
        <v>4</v>
      </c>
      <c r="H228" s="18">
        <v>59.77</v>
      </c>
      <c r="I228" s="19">
        <f t="shared" si="132"/>
        <v>239.08</v>
      </c>
      <c r="J228" s="19">
        <f t="shared" si="130"/>
        <v>0</v>
      </c>
      <c r="K228" s="19">
        <f t="shared" si="131"/>
        <v>239.08</v>
      </c>
      <c r="L228" s="110"/>
      <c r="M228" s="110"/>
      <c r="N228" s="151"/>
      <c r="O228" s="152"/>
      <c r="P228" s="152"/>
      <c r="Q228" s="110"/>
      <c r="R228" s="126"/>
      <c r="S228" s="110"/>
      <c r="T228" s="132"/>
      <c r="U228" s="132"/>
      <c r="V228" s="110"/>
      <c r="W228" s="110"/>
      <c r="X228" s="110"/>
      <c r="Y228" s="110"/>
      <c r="Z228" s="110"/>
      <c r="AA228" s="110"/>
      <c r="AB228" s="110"/>
      <c r="AC228" s="110"/>
      <c r="AD228" s="110"/>
    </row>
    <row r="229" spans="1:30" ht="40.200000000000003">
      <c r="A229" s="16" t="s">
        <v>786</v>
      </c>
      <c r="B229" s="155" t="s">
        <v>862</v>
      </c>
      <c r="C229" s="16"/>
      <c r="D229" s="18">
        <v>1</v>
      </c>
      <c r="E229" s="18"/>
      <c r="F229" s="18"/>
      <c r="G229" s="18">
        <f t="shared" si="129"/>
        <v>1</v>
      </c>
      <c r="H229" s="18">
        <v>24.19</v>
      </c>
      <c r="I229" s="19">
        <f t="shared" si="132"/>
        <v>24.19</v>
      </c>
      <c r="J229" s="19">
        <f t="shared" si="130"/>
        <v>0</v>
      </c>
      <c r="K229" s="19">
        <f t="shared" si="131"/>
        <v>24.19</v>
      </c>
      <c r="L229" s="110"/>
      <c r="M229" s="110"/>
      <c r="N229" s="151"/>
      <c r="O229" s="152"/>
      <c r="P229" s="152"/>
      <c r="Q229" s="110"/>
      <c r="R229" s="126"/>
      <c r="S229" s="110"/>
      <c r="T229" s="132"/>
      <c r="U229" s="132"/>
      <c r="V229" s="110"/>
      <c r="W229" s="110"/>
      <c r="X229" s="110"/>
      <c r="Y229" s="110"/>
      <c r="Z229" s="110"/>
      <c r="AA229" s="110"/>
      <c r="AB229" s="110"/>
      <c r="AC229" s="110"/>
      <c r="AD229" s="110"/>
    </row>
    <row r="230" spans="1:30" ht="40.200000000000003">
      <c r="A230" s="16" t="s">
        <v>787</v>
      </c>
      <c r="B230" s="155" t="s">
        <v>863</v>
      </c>
      <c r="C230" s="16"/>
      <c r="D230" s="18">
        <v>5</v>
      </c>
      <c r="E230" s="18"/>
      <c r="F230" s="18"/>
      <c r="G230" s="18">
        <f t="shared" si="129"/>
        <v>5</v>
      </c>
      <c r="H230" s="18">
        <v>26.6</v>
      </c>
      <c r="I230" s="19">
        <f t="shared" si="132"/>
        <v>133</v>
      </c>
      <c r="J230" s="19">
        <f t="shared" si="130"/>
        <v>0</v>
      </c>
      <c r="K230" s="19">
        <f t="shared" si="131"/>
        <v>133</v>
      </c>
      <c r="L230" s="110"/>
      <c r="M230" s="110"/>
      <c r="N230" s="151"/>
      <c r="O230" s="152"/>
      <c r="P230" s="152"/>
      <c r="Q230" s="110"/>
      <c r="R230" s="126"/>
      <c r="S230" s="110"/>
      <c r="T230" s="132"/>
      <c r="U230" s="132"/>
      <c r="V230" s="110"/>
      <c r="W230" s="110"/>
      <c r="X230" s="110"/>
      <c r="Y230" s="110"/>
      <c r="Z230" s="110"/>
      <c r="AA230" s="110"/>
      <c r="AB230" s="110"/>
      <c r="AC230" s="110"/>
      <c r="AD230" s="110"/>
    </row>
    <row r="231" spans="1:30" ht="40.200000000000003">
      <c r="A231" s="16" t="s">
        <v>788</v>
      </c>
      <c r="B231" s="155" t="s">
        <v>864</v>
      </c>
      <c r="C231" s="16"/>
      <c r="D231" s="18">
        <v>11</v>
      </c>
      <c r="E231" s="18"/>
      <c r="F231" s="18"/>
      <c r="G231" s="18">
        <f t="shared" si="129"/>
        <v>11</v>
      </c>
      <c r="H231" s="18">
        <v>45.5</v>
      </c>
      <c r="I231" s="19">
        <f t="shared" si="132"/>
        <v>500.5</v>
      </c>
      <c r="J231" s="19">
        <f t="shared" si="130"/>
        <v>0</v>
      </c>
      <c r="K231" s="19">
        <f t="shared" si="131"/>
        <v>500.5</v>
      </c>
      <c r="L231" s="110"/>
      <c r="M231" s="110"/>
      <c r="N231" s="151"/>
      <c r="O231" s="152"/>
      <c r="P231" s="152"/>
      <c r="Q231" s="110"/>
      <c r="R231" s="126"/>
      <c r="S231" s="110"/>
      <c r="T231" s="132"/>
      <c r="U231" s="132"/>
      <c r="V231" s="110"/>
      <c r="W231" s="110"/>
      <c r="X231" s="110"/>
      <c r="Y231" s="110"/>
      <c r="Z231" s="110"/>
      <c r="AA231" s="110"/>
      <c r="AB231" s="110"/>
      <c r="AC231" s="110"/>
      <c r="AD231" s="110"/>
    </row>
    <row r="232" spans="1:30" ht="27">
      <c r="A232" s="16" t="s">
        <v>789</v>
      </c>
      <c r="B232" s="155" t="s">
        <v>865</v>
      </c>
      <c r="C232" s="16"/>
      <c r="D232" s="18">
        <v>14</v>
      </c>
      <c r="E232" s="18"/>
      <c r="F232" s="18"/>
      <c r="G232" s="18">
        <f t="shared" si="129"/>
        <v>14</v>
      </c>
      <c r="H232" s="18">
        <v>24.69</v>
      </c>
      <c r="I232" s="19">
        <f t="shared" si="132"/>
        <v>345.66</v>
      </c>
      <c r="J232" s="19">
        <f t="shared" si="130"/>
        <v>0</v>
      </c>
      <c r="K232" s="19">
        <f t="shared" si="131"/>
        <v>345.66</v>
      </c>
      <c r="L232" s="110"/>
      <c r="M232" s="110"/>
      <c r="N232" s="151"/>
      <c r="O232" s="152"/>
      <c r="P232" s="152"/>
      <c r="Q232" s="110"/>
      <c r="R232" s="126"/>
      <c r="S232" s="110"/>
      <c r="T232" s="132"/>
      <c r="U232" s="132"/>
      <c r="V232" s="110"/>
      <c r="W232" s="110"/>
      <c r="X232" s="110"/>
      <c r="Y232" s="110"/>
      <c r="Z232" s="110"/>
      <c r="AA232" s="110"/>
      <c r="AB232" s="110"/>
      <c r="AC232" s="110"/>
      <c r="AD232" s="110"/>
    </row>
    <row r="233" spans="1:30">
      <c r="A233" s="16" t="s">
        <v>790</v>
      </c>
      <c r="B233" s="155" t="s">
        <v>866</v>
      </c>
      <c r="C233" s="16"/>
      <c r="D233" s="18">
        <v>8</v>
      </c>
      <c r="E233" s="18"/>
      <c r="F233" s="18"/>
      <c r="G233" s="18">
        <f t="shared" si="129"/>
        <v>8</v>
      </c>
      <c r="H233" s="18">
        <v>23.05</v>
      </c>
      <c r="I233" s="19">
        <f t="shared" si="132"/>
        <v>184.4</v>
      </c>
      <c r="J233" s="19">
        <f t="shared" si="130"/>
        <v>0</v>
      </c>
      <c r="K233" s="19">
        <f t="shared" si="131"/>
        <v>184.4</v>
      </c>
      <c r="L233" s="110"/>
      <c r="M233" s="110"/>
      <c r="N233" s="151"/>
      <c r="O233" s="152"/>
      <c r="P233" s="152"/>
      <c r="Q233" s="110"/>
      <c r="R233" s="126"/>
      <c r="S233" s="110"/>
      <c r="T233" s="132"/>
      <c r="U233" s="132"/>
      <c r="V233" s="110"/>
      <c r="W233" s="110"/>
      <c r="X233" s="110"/>
      <c r="Y233" s="110"/>
      <c r="Z233" s="110"/>
      <c r="AA233" s="110"/>
      <c r="AB233" s="110"/>
      <c r="AC233" s="110"/>
      <c r="AD233" s="110"/>
    </row>
    <row r="234" spans="1:30">
      <c r="A234" s="16" t="s">
        <v>791</v>
      </c>
      <c r="B234" s="155" t="s">
        <v>867</v>
      </c>
      <c r="C234" s="16"/>
      <c r="D234" s="18">
        <v>2</v>
      </c>
      <c r="E234" s="18"/>
      <c r="F234" s="18"/>
      <c r="G234" s="18">
        <f t="shared" si="129"/>
        <v>2</v>
      </c>
      <c r="H234" s="18">
        <v>13.26</v>
      </c>
      <c r="I234" s="19">
        <f t="shared" si="132"/>
        <v>26.52</v>
      </c>
      <c r="J234" s="19">
        <f t="shared" si="130"/>
        <v>0</v>
      </c>
      <c r="K234" s="19">
        <f t="shared" si="131"/>
        <v>26.52</v>
      </c>
      <c r="L234" s="110"/>
      <c r="M234" s="110"/>
      <c r="N234" s="151"/>
      <c r="O234" s="152"/>
      <c r="P234" s="152"/>
      <c r="Q234" s="110"/>
      <c r="R234" s="126"/>
      <c r="S234" s="110"/>
      <c r="T234" s="132"/>
      <c r="U234" s="132"/>
      <c r="V234" s="110"/>
      <c r="W234" s="110"/>
      <c r="X234" s="110"/>
      <c r="Y234" s="110"/>
      <c r="Z234" s="110"/>
      <c r="AA234" s="110"/>
      <c r="AB234" s="110"/>
      <c r="AC234" s="110"/>
      <c r="AD234" s="110"/>
    </row>
    <row r="235" spans="1:30" ht="27">
      <c r="A235" s="16" t="s">
        <v>792</v>
      </c>
      <c r="B235" s="155" t="s">
        <v>868</v>
      </c>
      <c r="C235" s="16"/>
      <c r="D235" s="18">
        <v>22</v>
      </c>
      <c r="E235" s="18"/>
      <c r="F235" s="18"/>
      <c r="G235" s="18">
        <f t="shared" si="129"/>
        <v>22</v>
      </c>
      <c r="H235" s="18">
        <v>9.91</v>
      </c>
      <c r="I235" s="19">
        <f t="shared" si="132"/>
        <v>218.02</v>
      </c>
      <c r="J235" s="19">
        <f t="shared" si="130"/>
        <v>0</v>
      </c>
      <c r="K235" s="19">
        <f t="shared" si="131"/>
        <v>218.02</v>
      </c>
      <c r="L235" s="110"/>
      <c r="M235" s="110"/>
      <c r="N235" s="151"/>
      <c r="O235" s="152"/>
      <c r="P235" s="152"/>
      <c r="Q235" s="110"/>
      <c r="R235" s="126"/>
      <c r="S235" s="110"/>
      <c r="T235" s="132"/>
      <c r="U235" s="132"/>
      <c r="V235" s="110"/>
      <c r="W235" s="110"/>
      <c r="X235" s="110"/>
      <c r="Y235" s="110"/>
      <c r="Z235" s="110"/>
      <c r="AA235" s="110"/>
      <c r="AB235" s="110"/>
      <c r="AC235" s="110"/>
      <c r="AD235" s="110"/>
    </row>
    <row r="236" spans="1:30" ht="27">
      <c r="A236" s="16" t="s">
        <v>793</v>
      </c>
      <c r="B236" s="155" t="s">
        <v>869</v>
      </c>
      <c r="C236" s="16"/>
      <c r="D236" s="18">
        <v>2</v>
      </c>
      <c r="E236" s="18"/>
      <c r="F236" s="18"/>
      <c r="G236" s="18">
        <f t="shared" si="129"/>
        <v>2</v>
      </c>
      <c r="H236" s="18">
        <v>58.41</v>
      </c>
      <c r="I236" s="19">
        <f t="shared" si="132"/>
        <v>116.82</v>
      </c>
      <c r="J236" s="19">
        <f t="shared" si="130"/>
        <v>0</v>
      </c>
      <c r="K236" s="19">
        <f t="shared" si="131"/>
        <v>116.82</v>
      </c>
      <c r="L236" s="110"/>
      <c r="M236" s="110"/>
      <c r="N236" s="151"/>
      <c r="O236" s="152"/>
      <c r="P236" s="152"/>
      <c r="Q236" s="110"/>
      <c r="R236" s="126"/>
      <c r="S236" s="110"/>
      <c r="T236" s="132"/>
      <c r="U236" s="132"/>
      <c r="V236" s="110"/>
      <c r="W236" s="110"/>
      <c r="X236" s="110"/>
      <c r="Y236" s="110"/>
      <c r="Z236" s="110"/>
      <c r="AA236" s="110"/>
      <c r="AB236" s="110"/>
      <c r="AC236" s="110"/>
      <c r="AD236" s="110"/>
    </row>
    <row r="237" spans="1:30" ht="27">
      <c r="A237" s="16" t="s">
        <v>794</v>
      </c>
      <c r="B237" s="155" t="s">
        <v>870</v>
      </c>
      <c r="C237" s="16"/>
      <c r="D237" s="18">
        <v>7</v>
      </c>
      <c r="E237" s="18"/>
      <c r="F237" s="18"/>
      <c r="G237" s="18">
        <f t="shared" si="129"/>
        <v>7</v>
      </c>
      <c r="H237" s="18">
        <v>53.08</v>
      </c>
      <c r="I237" s="19">
        <f t="shared" si="132"/>
        <v>371.56</v>
      </c>
      <c r="J237" s="19">
        <f t="shared" si="130"/>
        <v>0</v>
      </c>
      <c r="K237" s="19">
        <f t="shared" si="131"/>
        <v>371.56</v>
      </c>
      <c r="L237" s="110"/>
      <c r="M237" s="110"/>
      <c r="N237" s="151"/>
      <c r="O237" s="152"/>
      <c r="P237" s="152"/>
      <c r="Q237" s="110"/>
      <c r="R237" s="126"/>
      <c r="S237" s="110"/>
      <c r="T237" s="132"/>
      <c r="U237" s="132"/>
      <c r="V237" s="110"/>
      <c r="W237" s="110"/>
      <c r="X237" s="110"/>
      <c r="Y237" s="110"/>
      <c r="Z237" s="110"/>
      <c r="AA237" s="110"/>
      <c r="AB237" s="110"/>
      <c r="AC237" s="110"/>
      <c r="AD237" s="110"/>
    </row>
    <row r="238" spans="1:30" ht="40.200000000000003">
      <c r="A238" s="16" t="s">
        <v>795</v>
      </c>
      <c r="B238" s="155" t="s">
        <v>871</v>
      </c>
      <c r="C238" s="16"/>
      <c r="D238" s="18">
        <v>1</v>
      </c>
      <c r="E238" s="18"/>
      <c r="F238" s="18"/>
      <c r="G238" s="18">
        <f t="shared" si="129"/>
        <v>1</v>
      </c>
      <c r="H238" s="18">
        <v>262.93</v>
      </c>
      <c r="I238" s="19">
        <f t="shared" si="132"/>
        <v>262.93</v>
      </c>
      <c r="J238" s="19">
        <f t="shared" si="130"/>
        <v>0</v>
      </c>
      <c r="K238" s="19">
        <f t="shared" si="131"/>
        <v>262.93</v>
      </c>
      <c r="L238" s="110"/>
      <c r="M238" s="110"/>
      <c r="N238" s="151"/>
      <c r="O238" s="152"/>
      <c r="P238" s="152"/>
      <c r="Q238" s="110"/>
      <c r="R238" s="126"/>
      <c r="S238" s="110"/>
      <c r="T238" s="132"/>
      <c r="U238" s="132"/>
      <c r="V238" s="110"/>
      <c r="W238" s="110"/>
      <c r="X238" s="110"/>
      <c r="Y238" s="110"/>
      <c r="Z238" s="110"/>
      <c r="AA238" s="110"/>
      <c r="AB238" s="110"/>
      <c r="AC238" s="110"/>
      <c r="AD238" s="110"/>
    </row>
    <row r="239" spans="1:30">
      <c r="A239" s="13">
        <v>23</v>
      </c>
      <c r="B239" s="14" t="s">
        <v>796</v>
      </c>
      <c r="C239" s="13"/>
      <c r="D239" s="13"/>
      <c r="E239" s="13"/>
      <c r="F239" s="13"/>
      <c r="G239" s="13"/>
      <c r="H239" s="13"/>
      <c r="I239" s="15">
        <f>SUM(I240:I245)</f>
        <v>14962.02</v>
      </c>
      <c r="J239" s="15">
        <f>SUM(J240:J245)</f>
        <v>0</v>
      </c>
      <c r="K239" s="15">
        <f>SUM(K240:K245)</f>
        <v>14962.02</v>
      </c>
      <c r="L239" s="110"/>
      <c r="M239" s="110"/>
      <c r="N239" s="133"/>
      <c r="O239" s="133"/>
      <c r="P239" s="133"/>
      <c r="Q239" s="110"/>
      <c r="R239" s="126"/>
      <c r="S239" s="110"/>
      <c r="T239" s="132"/>
      <c r="U239" s="132"/>
      <c r="V239" s="110"/>
      <c r="W239" s="110"/>
      <c r="X239" s="110"/>
      <c r="Y239" s="110"/>
      <c r="Z239" s="110"/>
      <c r="AA239" s="110"/>
      <c r="AB239" s="110"/>
      <c r="AC239" s="110"/>
      <c r="AD239" s="110"/>
    </row>
    <row r="240" spans="1:30" ht="27">
      <c r="A240" s="16" t="s">
        <v>797</v>
      </c>
      <c r="B240" s="155" t="s">
        <v>846</v>
      </c>
      <c r="C240" s="16"/>
      <c r="D240" s="18">
        <v>4</v>
      </c>
      <c r="E240" s="18"/>
      <c r="F240" s="18"/>
      <c r="G240" s="18">
        <f t="shared" si="129"/>
        <v>4</v>
      </c>
      <c r="H240" s="18">
        <v>850.33</v>
      </c>
      <c r="I240" s="19">
        <f t="shared" si="132"/>
        <v>3401.32</v>
      </c>
      <c r="J240" s="19">
        <f t="shared" si="130"/>
        <v>0</v>
      </c>
      <c r="K240" s="19">
        <f t="shared" si="131"/>
        <v>3401.32</v>
      </c>
      <c r="L240" s="110"/>
      <c r="M240" s="110"/>
      <c r="N240" s="151"/>
      <c r="O240" s="152"/>
      <c r="P240" s="152"/>
      <c r="Q240" s="110"/>
      <c r="R240" s="126"/>
      <c r="S240" s="110"/>
      <c r="T240" s="132"/>
      <c r="U240" s="132"/>
      <c r="V240" s="110"/>
      <c r="W240" s="110"/>
      <c r="X240" s="110"/>
      <c r="Y240" s="110"/>
      <c r="Z240" s="110"/>
      <c r="AA240" s="110"/>
      <c r="AB240" s="110"/>
      <c r="AC240" s="110"/>
      <c r="AD240" s="110"/>
    </row>
    <row r="241" spans="1:30" ht="27">
      <c r="A241" s="16" t="s">
        <v>798</v>
      </c>
      <c r="B241" s="155" t="s">
        <v>842</v>
      </c>
      <c r="C241" s="16"/>
      <c r="D241" s="18">
        <v>4</v>
      </c>
      <c r="E241" s="18"/>
      <c r="F241" s="18"/>
      <c r="G241" s="18">
        <f t="shared" si="129"/>
        <v>4</v>
      </c>
      <c r="H241" s="18">
        <v>309.56</v>
      </c>
      <c r="I241" s="19">
        <f t="shared" si="132"/>
        <v>1238.24</v>
      </c>
      <c r="J241" s="19">
        <f t="shared" si="130"/>
        <v>0</v>
      </c>
      <c r="K241" s="19">
        <f t="shared" si="131"/>
        <v>1238.24</v>
      </c>
      <c r="L241" s="110"/>
      <c r="M241" s="110"/>
      <c r="N241" s="151"/>
      <c r="O241" s="152"/>
      <c r="P241" s="152"/>
      <c r="Q241" s="110"/>
      <c r="R241" s="126"/>
      <c r="S241" s="110"/>
      <c r="T241" s="132"/>
      <c r="U241" s="132"/>
      <c r="V241" s="110"/>
      <c r="W241" s="110"/>
      <c r="X241" s="110"/>
      <c r="Y241" s="110"/>
      <c r="Z241" s="110"/>
      <c r="AA241" s="110"/>
      <c r="AB241" s="110"/>
      <c r="AC241" s="110"/>
      <c r="AD241" s="110"/>
    </row>
    <row r="242" spans="1:30" ht="53.4">
      <c r="A242" s="16" t="s">
        <v>799</v>
      </c>
      <c r="B242" s="155" t="s">
        <v>847</v>
      </c>
      <c r="C242" s="16"/>
      <c r="D242" s="18">
        <v>4</v>
      </c>
      <c r="E242" s="18"/>
      <c r="F242" s="18"/>
      <c r="G242" s="18">
        <f t="shared" si="129"/>
        <v>4</v>
      </c>
      <c r="H242" s="18">
        <v>805.89</v>
      </c>
      <c r="I242" s="19">
        <f t="shared" si="132"/>
        <v>3223.56</v>
      </c>
      <c r="J242" s="19">
        <f t="shared" si="130"/>
        <v>0</v>
      </c>
      <c r="K242" s="19">
        <f t="shared" si="131"/>
        <v>3223.56</v>
      </c>
      <c r="L242" s="110"/>
      <c r="M242" s="110"/>
      <c r="N242" s="151"/>
      <c r="O242" s="152"/>
      <c r="P242" s="152"/>
      <c r="Q242" s="110"/>
      <c r="R242" s="126"/>
      <c r="S242" s="110"/>
      <c r="T242" s="132"/>
      <c r="U242" s="132"/>
      <c r="V242" s="110"/>
      <c r="W242" s="110"/>
      <c r="X242" s="110"/>
      <c r="Y242" s="110"/>
      <c r="Z242" s="110"/>
      <c r="AA242" s="110"/>
      <c r="AB242" s="110"/>
      <c r="AC242" s="110"/>
      <c r="AD242" s="110"/>
    </row>
    <row r="243" spans="1:30" ht="27">
      <c r="A243" s="16" t="s">
        <v>800</v>
      </c>
      <c r="B243" s="155" t="s">
        <v>838</v>
      </c>
      <c r="C243" s="16"/>
      <c r="D243" s="18">
        <v>4</v>
      </c>
      <c r="E243" s="18"/>
      <c r="F243" s="18"/>
      <c r="G243" s="18">
        <f t="shared" si="129"/>
        <v>4</v>
      </c>
      <c r="H243" s="18">
        <v>66.34</v>
      </c>
      <c r="I243" s="19">
        <f t="shared" si="132"/>
        <v>265.36</v>
      </c>
      <c r="J243" s="19">
        <f t="shared" si="130"/>
        <v>0</v>
      </c>
      <c r="K243" s="19">
        <f t="shared" si="131"/>
        <v>265.36</v>
      </c>
      <c r="L243" s="110"/>
      <c r="M243" s="110"/>
      <c r="N243" s="151"/>
      <c r="O243" s="152"/>
      <c r="P243" s="152"/>
      <c r="Q243" s="110"/>
      <c r="R243" s="126"/>
      <c r="S243" s="110"/>
      <c r="T243" s="132"/>
      <c r="U243" s="132"/>
      <c r="V243" s="110"/>
      <c r="W243" s="110"/>
      <c r="X243" s="110"/>
      <c r="Y243" s="110"/>
      <c r="Z243" s="110"/>
      <c r="AA243" s="110"/>
      <c r="AB243" s="110"/>
      <c r="AC243" s="110"/>
      <c r="AD243" s="110"/>
    </row>
    <row r="244" spans="1:30" ht="27">
      <c r="A244" s="16" t="s">
        <v>801</v>
      </c>
      <c r="B244" s="155" t="s">
        <v>843</v>
      </c>
      <c r="C244" s="16"/>
      <c r="D244" s="18">
        <v>4</v>
      </c>
      <c r="E244" s="18"/>
      <c r="F244" s="18"/>
      <c r="G244" s="18">
        <f t="shared" si="129"/>
        <v>4</v>
      </c>
      <c r="H244" s="18">
        <v>30.47</v>
      </c>
      <c r="I244" s="19">
        <f t="shared" si="132"/>
        <v>121.88</v>
      </c>
      <c r="J244" s="19">
        <f t="shared" si="130"/>
        <v>0</v>
      </c>
      <c r="K244" s="19">
        <f t="shared" si="131"/>
        <v>121.88</v>
      </c>
      <c r="L244" s="110"/>
      <c r="M244" s="110"/>
      <c r="N244" s="151"/>
      <c r="O244" s="152"/>
      <c r="P244" s="152"/>
      <c r="Q244" s="110"/>
      <c r="R244" s="126"/>
      <c r="S244" s="110"/>
      <c r="T244" s="132"/>
      <c r="U244" s="132"/>
      <c r="V244" s="110"/>
      <c r="W244" s="110"/>
      <c r="X244" s="110"/>
      <c r="Y244" s="110"/>
      <c r="Z244" s="110"/>
      <c r="AA244" s="110"/>
      <c r="AB244" s="110"/>
      <c r="AC244" s="110"/>
      <c r="AD244" s="110"/>
    </row>
    <row r="245" spans="1:30" ht="27">
      <c r="A245" s="16" t="s">
        <v>802</v>
      </c>
      <c r="B245" s="155" t="s">
        <v>848</v>
      </c>
      <c r="C245" s="16"/>
      <c r="D245" s="18">
        <v>18</v>
      </c>
      <c r="E245" s="18"/>
      <c r="F245" s="18"/>
      <c r="G245" s="18">
        <f t="shared" si="129"/>
        <v>18</v>
      </c>
      <c r="H245" s="18">
        <v>372.87</v>
      </c>
      <c r="I245" s="19">
        <f t="shared" si="132"/>
        <v>6711.66</v>
      </c>
      <c r="J245" s="19">
        <f t="shared" si="130"/>
        <v>0</v>
      </c>
      <c r="K245" s="19">
        <f t="shared" si="131"/>
        <v>6711.66</v>
      </c>
      <c r="L245" s="110"/>
      <c r="M245" s="110"/>
      <c r="N245" s="151"/>
      <c r="O245" s="152"/>
      <c r="P245" s="152"/>
      <c r="Q245" s="110"/>
      <c r="R245" s="126"/>
      <c r="S245" s="110"/>
      <c r="T245" s="132"/>
      <c r="U245" s="132"/>
      <c r="V245" s="110"/>
      <c r="W245" s="110"/>
      <c r="X245" s="110"/>
      <c r="Y245" s="110"/>
      <c r="Z245" s="110"/>
      <c r="AA245" s="110"/>
      <c r="AB245" s="110"/>
      <c r="AC245" s="110"/>
      <c r="AD245" s="110"/>
    </row>
    <row r="246" spans="1:30">
      <c r="A246" s="13">
        <v>24</v>
      </c>
      <c r="B246" s="14" t="s">
        <v>803</v>
      </c>
      <c r="C246" s="13"/>
      <c r="D246" s="13"/>
      <c r="E246" s="13"/>
      <c r="F246" s="13"/>
      <c r="G246" s="13"/>
      <c r="H246" s="13"/>
      <c r="I246" s="15">
        <f>SUM(I247:I254)</f>
        <v>9093.8885000000009</v>
      </c>
      <c r="J246" s="15">
        <f>SUM(J247:J254)</f>
        <v>0</v>
      </c>
      <c r="K246" s="15">
        <f>SUM(K247:K254)</f>
        <v>9093.8885000000009</v>
      </c>
      <c r="L246" s="110"/>
      <c r="M246" s="110"/>
      <c r="N246" s="133"/>
      <c r="O246" s="133"/>
      <c r="P246" s="133"/>
      <c r="Q246" s="110"/>
      <c r="R246" s="126"/>
      <c r="S246" s="110"/>
      <c r="T246" s="132"/>
      <c r="U246" s="132"/>
      <c r="V246" s="110"/>
      <c r="W246" s="110"/>
      <c r="X246" s="110"/>
      <c r="Y246" s="110"/>
      <c r="Z246" s="110"/>
      <c r="AA246" s="110"/>
      <c r="AB246" s="110"/>
      <c r="AC246" s="110"/>
      <c r="AD246" s="110"/>
    </row>
    <row r="247" spans="1:30" ht="27">
      <c r="A247" s="16" t="s">
        <v>804</v>
      </c>
      <c r="B247" s="155" t="s">
        <v>845</v>
      </c>
      <c r="C247" s="16"/>
      <c r="D247" s="18">
        <v>2</v>
      </c>
      <c r="E247" s="18"/>
      <c r="F247" s="18"/>
      <c r="G247" s="18">
        <f t="shared" si="129"/>
        <v>2</v>
      </c>
      <c r="H247" s="18">
        <v>615.14</v>
      </c>
      <c r="I247" s="19">
        <f t="shared" si="132"/>
        <v>1230.28</v>
      </c>
      <c r="J247" s="19">
        <f t="shared" si="130"/>
        <v>0</v>
      </c>
      <c r="K247" s="19">
        <f t="shared" si="131"/>
        <v>1230.28</v>
      </c>
      <c r="L247" s="110"/>
      <c r="M247" s="110"/>
      <c r="N247" s="151"/>
      <c r="O247" s="152"/>
      <c r="P247" s="152"/>
      <c r="Q247" s="110"/>
      <c r="R247" s="126"/>
      <c r="S247" s="110"/>
      <c r="T247" s="132"/>
      <c r="U247" s="132"/>
      <c r="V247" s="110"/>
      <c r="W247" s="110"/>
      <c r="X247" s="110"/>
      <c r="Y247" s="110"/>
      <c r="Z247" s="110"/>
      <c r="AA247" s="110"/>
      <c r="AB247" s="110"/>
      <c r="AC247" s="110"/>
      <c r="AD247" s="110"/>
    </row>
    <row r="248" spans="1:30" ht="27">
      <c r="A248" s="16" t="s">
        <v>805</v>
      </c>
      <c r="B248" s="155" t="s">
        <v>842</v>
      </c>
      <c r="C248" s="16"/>
      <c r="D248" s="18">
        <v>2</v>
      </c>
      <c r="E248" s="18"/>
      <c r="F248" s="18"/>
      <c r="G248" s="18">
        <f t="shared" si="129"/>
        <v>2</v>
      </c>
      <c r="H248" s="18">
        <v>309.56</v>
      </c>
      <c r="I248" s="19">
        <f t="shared" si="132"/>
        <v>619.12</v>
      </c>
      <c r="J248" s="19">
        <f t="shared" si="130"/>
        <v>0</v>
      </c>
      <c r="K248" s="19">
        <f t="shared" si="131"/>
        <v>619.12</v>
      </c>
      <c r="L248" s="110"/>
      <c r="M248" s="110"/>
      <c r="N248" s="151"/>
      <c r="O248" s="152"/>
      <c r="P248" s="152"/>
      <c r="Q248" s="110"/>
      <c r="R248" s="126"/>
      <c r="S248" s="110"/>
      <c r="T248" s="132"/>
      <c r="U248" s="132"/>
      <c r="V248" s="110"/>
      <c r="W248" s="110"/>
      <c r="X248" s="110"/>
      <c r="Y248" s="110"/>
      <c r="Z248" s="110"/>
      <c r="AA248" s="110"/>
      <c r="AB248" s="110"/>
      <c r="AC248" s="110"/>
      <c r="AD248" s="110"/>
    </row>
    <row r="249" spans="1:30" ht="40.200000000000003">
      <c r="A249" s="16" t="s">
        <v>806</v>
      </c>
      <c r="B249" s="155" t="s">
        <v>840</v>
      </c>
      <c r="C249" s="16"/>
      <c r="D249" s="18">
        <v>5</v>
      </c>
      <c r="E249" s="18"/>
      <c r="F249" s="18"/>
      <c r="G249" s="18">
        <f t="shared" si="129"/>
        <v>5</v>
      </c>
      <c r="H249" s="18">
        <v>394.65</v>
      </c>
      <c r="I249" s="19">
        <f t="shared" si="132"/>
        <v>1973.25</v>
      </c>
      <c r="J249" s="19">
        <f t="shared" si="130"/>
        <v>0</v>
      </c>
      <c r="K249" s="19">
        <f t="shared" si="131"/>
        <v>1973.25</v>
      </c>
      <c r="L249" s="110"/>
      <c r="M249" s="110"/>
      <c r="N249" s="151"/>
      <c r="O249" s="152"/>
      <c r="P249" s="152"/>
      <c r="Q249" s="110"/>
      <c r="R249" s="126"/>
      <c r="S249" s="110"/>
      <c r="T249" s="132"/>
      <c r="U249" s="132"/>
      <c r="V249" s="110"/>
      <c r="W249" s="110"/>
      <c r="X249" s="110"/>
      <c r="Y249" s="110"/>
      <c r="Z249" s="110"/>
      <c r="AA249" s="110"/>
      <c r="AB249" s="110"/>
      <c r="AC249" s="110"/>
      <c r="AD249" s="110"/>
    </row>
    <row r="250" spans="1:30" ht="27">
      <c r="A250" s="16" t="s">
        <v>807</v>
      </c>
      <c r="B250" s="155" t="s">
        <v>838</v>
      </c>
      <c r="C250" s="16"/>
      <c r="D250" s="18">
        <v>5</v>
      </c>
      <c r="E250" s="18"/>
      <c r="F250" s="18"/>
      <c r="G250" s="18">
        <f t="shared" si="129"/>
        <v>5</v>
      </c>
      <c r="H250" s="18">
        <v>66.34</v>
      </c>
      <c r="I250" s="19">
        <f t="shared" si="132"/>
        <v>331.70000000000005</v>
      </c>
      <c r="J250" s="19">
        <f t="shared" si="130"/>
        <v>0</v>
      </c>
      <c r="K250" s="19">
        <f t="shared" si="131"/>
        <v>331.70000000000005</v>
      </c>
      <c r="L250" s="110"/>
      <c r="M250" s="110"/>
      <c r="N250" s="151"/>
      <c r="O250" s="152"/>
      <c r="P250" s="152"/>
      <c r="Q250" s="110"/>
      <c r="R250" s="126"/>
      <c r="S250" s="110"/>
      <c r="T250" s="132"/>
      <c r="U250" s="132"/>
      <c r="V250" s="110"/>
      <c r="W250" s="110"/>
      <c r="X250" s="110"/>
      <c r="Y250" s="110"/>
      <c r="Z250" s="110"/>
      <c r="AA250" s="110"/>
      <c r="AB250" s="110"/>
      <c r="AC250" s="110"/>
      <c r="AD250" s="110"/>
    </row>
    <row r="251" spans="1:30" ht="27">
      <c r="A251" s="16" t="s">
        <v>808</v>
      </c>
      <c r="B251" s="155" t="s">
        <v>843</v>
      </c>
      <c r="C251" s="16"/>
      <c r="D251" s="18">
        <v>3</v>
      </c>
      <c r="E251" s="18"/>
      <c r="F251" s="18"/>
      <c r="G251" s="18">
        <f t="shared" si="129"/>
        <v>3</v>
      </c>
      <c r="H251" s="18">
        <v>30.47</v>
      </c>
      <c r="I251" s="19">
        <f t="shared" si="132"/>
        <v>91.41</v>
      </c>
      <c r="J251" s="19">
        <f t="shared" si="130"/>
        <v>0</v>
      </c>
      <c r="K251" s="19">
        <f t="shared" si="131"/>
        <v>91.41</v>
      </c>
      <c r="L251" s="110"/>
      <c r="M251" s="110"/>
      <c r="N251" s="151"/>
      <c r="O251" s="152"/>
      <c r="P251" s="152"/>
      <c r="Q251" s="110"/>
      <c r="R251" s="126"/>
      <c r="S251" s="110"/>
      <c r="T251" s="132"/>
      <c r="U251" s="132"/>
      <c r="V251" s="110"/>
      <c r="W251" s="110"/>
      <c r="X251" s="110"/>
      <c r="Y251" s="110"/>
      <c r="Z251" s="110"/>
      <c r="AA251" s="110"/>
      <c r="AB251" s="110"/>
      <c r="AC251" s="110"/>
      <c r="AD251" s="110"/>
    </row>
    <row r="252" spans="1:30" ht="27">
      <c r="A252" s="16" t="s">
        <v>809</v>
      </c>
      <c r="B252" s="155" t="s">
        <v>844</v>
      </c>
      <c r="C252" s="16"/>
      <c r="D252" s="18">
        <v>2</v>
      </c>
      <c r="E252" s="18"/>
      <c r="F252" s="18"/>
      <c r="G252" s="18">
        <f t="shared" si="129"/>
        <v>2</v>
      </c>
      <c r="H252" s="18">
        <v>123.78</v>
      </c>
      <c r="I252" s="19">
        <f t="shared" si="132"/>
        <v>247.56</v>
      </c>
      <c r="J252" s="19">
        <f t="shared" si="130"/>
        <v>0</v>
      </c>
      <c r="K252" s="19">
        <f t="shared" si="131"/>
        <v>247.56</v>
      </c>
      <c r="L252" s="110"/>
      <c r="M252" s="110"/>
      <c r="N252" s="151"/>
      <c r="O252" s="152"/>
      <c r="P252" s="152"/>
      <c r="Q252" s="110"/>
      <c r="R252" s="126"/>
      <c r="S252" s="110"/>
      <c r="T252" s="132"/>
      <c r="U252" s="132"/>
      <c r="V252" s="110"/>
      <c r="W252" s="110"/>
      <c r="X252" s="110"/>
      <c r="Y252" s="110"/>
      <c r="Z252" s="110"/>
      <c r="AA252" s="110"/>
      <c r="AB252" s="110"/>
      <c r="AC252" s="110"/>
      <c r="AD252" s="110"/>
    </row>
    <row r="253" spans="1:30">
      <c r="A253" s="16" t="s">
        <v>810</v>
      </c>
      <c r="B253" s="155" t="s">
        <v>836</v>
      </c>
      <c r="C253" s="16"/>
      <c r="D253" s="18">
        <v>6.13</v>
      </c>
      <c r="E253" s="18"/>
      <c r="F253" s="18"/>
      <c r="G253" s="18">
        <f t="shared" si="129"/>
        <v>6.13</v>
      </c>
      <c r="H253" s="18">
        <v>535.21</v>
      </c>
      <c r="I253" s="19">
        <f t="shared" si="132"/>
        <v>3280.8373000000001</v>
      </c>
      <c r="J253" s="19">
        <f t="shared" si="130"/>
        <v>0</v>
      </c>
      <c r="K253" s="19">
        <f t="shared" si="131"/>
        <v>3280.8373000000001</v>
      </c>
      <c r="L253" s="110"/>
      <c r="M253" s="110"/>
      <c r="N253" s="151"/>
      <c r="O253" s="152"/>
      <c r="P253" s="152"/>
      <c r="Q253" s="110"/>
      <c r="R253" s="126"/>
      <c r="S253" s="110"/>
      <c r="T253" s="132"/>
      <c r="U253" s="132"/>
      <c r="V253" s="110"/>
      <c r="W253" s="110"/>
      <c r="X253" s="110"/>
      <c r="Y253" s="110"/>
      <c r="Z253" s="110"/>
      <c r="AA253" s="110"/>
      <c r="AB253" s="110"/>
      <c r="AC253" s="110"/>
      <c r="AD253" s="110"/>
    </row>
    <row r="254" spans="1:30" ht="27">
      <c r="A254" s="16" t="s">
        <v>811</v>
      </c>
      <c r="B254" s="155" t="s">
        <v>666</v>
      </c>
      <c r="C254" s="16"/>
      <c r="D254" s="18">
        <v>1.92</v>
      </c>
      <c r="E254" s="18"/>
      <c r="F254" s="18"/>
      <c r="G254" s="18">
        <f t="shared" si="129"/>
        <v>1.92</v>
      </c>
      <c r="H254" s="18">
        <v>687.36</v>
      </c>
      <c r="I254" s="19">
        <f t="shared" si="132"/>
        <v>1319.7311999999999</v>
      </c>
      <c r="J254" s="19">
        <f t="shared" si="130"/>
        <v>0</v>
      </c>
      <c r="K254" s="19">
        <f t="shared" si="131"/>
        <v>1319.7311999999999</v>
      </c>
      <c r="L254" s="110"/>
      <c r="M254" s="110"/>
      <c r="N254" s="151"/>
      <c r="O254" s="152"/>
      <c r="P254" s="152"/>
      <c r="Q254" s="110"/>
      <c r="R254" s="126"/>
      <c r="S254" s="110"/>
      <c r="T254" s="132"/>
      <c r="U254" s="132"/>
      <c r="V254" s="110"/>
      <c r="W254" s="110"/>
      <c r="X254" s="110"/>
      <c r="Y254" s="110"/>
      <c r="Z254" s="110"/>
      <c r="AA254" s="110"/>
      <c r="AB254" s="110"/>
      <c r="AC254" s="110"/>
      <c r="AD254" s="110"/>
    </row>
    <row r="255" spans="1:30">
      <c r="A255" s="13">
        <v>25</v>
      </c>
      <c r="B255" s="14" t="s">
        <v>812</v>
      </c>
      <c r="C255" s="13"/>
      <c r="D255" s="13"/>
      <c r="E255" s="13"/>
      <c r="F255" s="13"/>
      <c r="G255" s="13"/>
      <c r="H255" s="13"/>
      <c r="I255" s="15">
        <f>SUM(I256:I263)</f>
        <v>7437.9818000000005</v>
      </c>
      <c r="J255" s="15">
        <f>SUM(J256:J263)</f>
        <v>0</v>
      </c>
      <c r="K255" s="15">
        <f>SUM(K256:K263)</f>
        <v>7437.9818000000005</v>
      </c>
      <c r="L255" s="110"/>
      <c r="M255" s="110"/>
      <c r="N255" s="133"/>
      <c r="O255" s="133"/>
      <c r="P255" s="133"/>
      <c r="Q255" s="110"/>
      <c r="R255" s="126"/>
      <c r="S255" s="110"/>
      <c r="T255" s="132"/>
      <c r="U255" s="132"/>
      <c r="V255" s="110"/>
      <c r="W255" s="110"/>
      <c r="X255" s="110"/>
      <c r="Y255" s="110"/>
      <c r="Z255" s="110"/>
      <c r="AA255" s="110"/>
      <c r="AB255" s="110"/>
      <c r="AC255" s="110"/>
      <c r="AD255" s="110"/>
    </row>
    <row r="256" spans="1:30" ht="40.200000000000003">
      <c r="A256" s="16" t="s">
        <v>813</v>
      </c>
      <c r="B256" s="155" t="s">
        <v>841</v>
      </c>
      <c r="C256" s="16"/>
      <c r="D256" s="18">
        <v>3</v>
      </c>
      <c r="E256" s="18"/>
      <c r="F256" s="18"/>
      <c r="G256" s="18">
        <f t="shared" si="129"/>
        <v>3</v>
      </c>
      <c r="H256" s="18">
        <v>343.43</v>
      </c>
      <c r="I256" s="19">
        <f t="shared" si="132"/>
        <v>1030.29</v>
      </c>
      <c r="J256" s="19">
        <f t="shared" si="130"/>
        <v>0</v>
      </c>
      <c r="K256" s="19">
        <f t="shared" si="131"/>
        <v>1030.29</v>
      </c>
      <c r="L256" s="110"/>
      <c r="M256" s="110"/>
      <c r="N256" s="151"/>
      <c r="O256" s="152"/>
      <c r="P256" s="152"/>
      <c r="Q256" s="110"/>
      <c r="R256" s="126"/>
      <c r="S256" s="110"/>
      <c r="T256" s="132"/>
      <c r="U256" s="132"/>
      <c r="V256" s="110"/>
      <c r="W256" s="110"/>
      <c r="X256" s="110"/>
      <c r="Y256" s="110"/>
      <c r="Z256" s="110"/>
      <c r="AA256" s="110"/>
      <c r="AB256" s="110"/>
      <c r="AC256" s="110"/>
      <c r="AD256" s="110"/>
    </row>
    <row r="257" spans="1:30" ht="27">
      <c r="A257" s="16" t="s">
        <v>814</v>
      </c>
      <c r="B257" s="155" t="s">
        <v>842</v>
      </c>
      <c r="C257" s="16"/>
      <c r="D257" s="18">
        <v>3</v>
      </c>
      <c r="E257" s="18"/>
      <c r="F257" s="18"/>
      <c r="G257" s="18">
        <f t="shared" si="129"/>
        <v>3</v>
      </c>
      <c r="H257" s="18">
        <v>309.56</v>
      </c>
      <c r="I257" s="19">
        <f t="shared" si="132"/>
        <v>928.68000000000006</v>
      </c>
      <c r="J257" s="19">
        <f t="shared" ref="J257:J265" si="133">K257-I257</f>
        <v>0</v>
      </c>
      <c r="K257" s="19">
        <f t="shared" ref="K257:K265" si="134">G257*H257</f>
        <v>928.68000000000006</v>
      </c>
      <c r="L257" s="110"/>
      <c r="M257" s="110"/>
      <c r="N257" s="151"/>
      <c r="O257" s="152"/>
      <c r="P257" s="152"/>
      <c r="Q257" s="110"/>
      <c r="R257" s="126"/>
      <c r="S257" s="110"/>
      <c r="T257" s="132"/>
      <c r="U257" s="132"/>
      <c r="V257" s="110"/>
      <c r="W257" s="110"/>
      <c r="X257" s="110"/>
      <c r="Y257" s="110"/>
      <c r="Z257" s="110"/>
      <c r="AA257" s="110"/>
      <c r="AB257" s="110"/>
      <c r="AC257" s="110"/>
      <c r="AD257" s="110"/>
    </row>
    <row r="258" spans="1:30" ht="40.200000000000003">
      <c r="A258" s="16" t="s">
        <v>815</v>
      </c>
      <c r="B258" s="155" t="s">
        <v>840</v>
      </c>
      <c r="C258" s="16"/>
      <c r="D258" s="18">
        <v>3</v>
      </c>
      <c r="E258" s="18"/>
      <c r="F258" s="18"/>
      <c r="G258" s="18">
        <f t="shared" si="129"/>
        <v>3</v>
      </c>
      <c r="H258" s="18">
        <v>394.65</v>
      </c>
      <c r="I258" s="19">
        <f t="shared" si="132"/>
        <v>1183.9499999999998</v>
      </c>
      <c r="J258" s="19">
        <f t="shared" si="133"/>
        <v>0</v>
      </c>
      <c r="K258" s="19">
        <f t="shared" si="134"/>
        <v>1183.9499999999998</v>
      </c>
      <c r="L258" s="110"/>
      <c r="M258" s="110"/>
      <c r="N258" s="151"/>
      <c r="O258" s="152"/>
      <c r="P258" s="152"/>
      <c r="Q258" s="110"/>
      <c r="R258" s="126"/>
      <c r="S258" s="110"/>
      <c r="T258" s="132"/>
      <c r="U258" s="132"/>
      <c r="V258" s="110"/>
      <c r="W258" s="110"/>
      <c r="X258" s="110"/>
      <c r="Y258" s="110"/>
      <c r="Z258" s="110"/>
      <c r="AA258" s="110"/>
      <c r="AB258" s="110"/>
      <c r="AC258" s="110"/>
      <c r="AD258" s="110"/>
    </row>
    <row r="259" spans="1:30" ht="27">
      <c r="A259" s="16" t="s">
        <v>816</v>
      </c>
      <c r="B259" s="155" t="s">
        <v>838</v>
      </c>
      <c r="C259" s="16"/>
      <c r="D259" s="18">
        <v>3</v>
      </c>
      <c r="E259" s="18"/>
      <c r="F259" s="18"/>
      <c r="G259" s="18">
        <f t="shared" si="129"/>
        <v>3</v>
      </c>
      <c r="H259" s="18">
        <v>66.34</v>
      </c>
      <c r="I259" s="19">
        <f t="shared" si="132"/>
        <v>199.02</v>
      </c>
      <c r="J259" s="19">
        <f t="shared" si="133"/>
        <v>0</v>
      </c>
      <c r="K259" s="19">
        <f t="shared" si="134"/>
        <v>199.02</v>
      </c>
      <c r="L259" s="110"/>
      <c r="M259" s="110"/>
      <c r="N259" s="151"/>
      <c r="O259" s="152"/>
      <c r="P259" s="152"/>
      <c r="Q259" s="110"/>
      <c r="R259" s="126"/>
      <c r="S259" s="110"/>
      <c r="T259" s="132"/>
      <c r="U259" s="132"/>
      <c r="V259" s="110"/>
      <c r="W259" s="110"/>
      <c r="X259" s="110"/>
      <c r="Y259" s="110"/>
      <c r="Z259" s="110"/>
      <c r="AA259" s="110"/>
      <c r="AB259" s="110"/>
      <c r="AC259" s="110"/>
      <c r="AD259" s="110"/>
    </row>
    <row r="260" spans="1:30" ht="27">
      <c r="A260" s="16" t="s">
        <v>817</v>
      </c>
      <c r="B260" s="155" t="s">
        <v>843</v>
      </c>
      <c r="C260" s="16"/>
      <c r="D260" s="18">
        <v>3</v>
      </c>
      <c r="E260" s="18"/>
      <c r="F260" s="18"/>
      <c r="G260" s="18">
        <f t="shared" si="129"/>
        <v>3</v>
      </c>
      <c r="H260" s="18">
        <v>30.47</v>
      </c>
      <c r="I260" s="19">
        <f t="shared" si="132"/>
        <v>91.41</v>
      </c>
      <c r="J260" s="19">
        <f t="shared" si="133"/>
        <v>0</v>
      </c>
      <c r="K260" s="19">
        <f t="shared" si="134"/>
        <v>91.41</v>
      </c>
      <c r="L260" s="110"/>
      <c r="M260" s="110"/>
      <c r="N260" s="151"/>
      <c r="O260" s="152"/>
      <c r="P260" s="152"/>
      <c r="Q260" s="110"/>
      <c r="R260" s="126"/>
      <c r="S260" s="110"/>
      <c r="T260" s="132"/>
      <c r="U260" s="132"/>
      <c r="V260" s="110"/>
      <c r="W260" s="110"/>
      <c r="X260" s="110"/>
      <c r="Y260" s="110"/>
      <c r="Z260" s="110"/>
      <c r="AA260" s="110"/>
      <c r="AB260" s="110"/>
      <c r="AC260" s="110"/>
      <c r="AD260" s="110"/>
    </row>
    <row r="261" spans="1:30" ht="27">
      <c r="A261" s="16" t="s">
        <v>818</v>
      </c>
      <c r="B261" s="155" t="s">
        <v>844</v>
      </c>
      <c r="C261" s="16"/>
      <c r="D261" s="18">
        <v>2</v>
      </c>
      <c r="E261" s="18"/>
      <c r="F261" s="18"/>
      <c r="G261" s="18">
        <f t="shared" si="129"/>
        <v>2</v>
      </c>
      <c r="H261" s="18">
        <v>123.78</v>
      </c>
      <c r="I261" s="19">
        <f t="shared" si="132"/>
        <v>247.56</v>
      </c>
      <c r="J261" s="19">
        <f t="shared" si="133"/>
        <v>0</v>
      </c>
      <c r="K261" s="19">
        <f t="shared" si="134"/>
        <v>247.56</v>
      </c>
      <c r="L261" s="110"/>
      <c r="M261" s="110"/>
      <c r="N261" s="151"/>
      <c r="O261" s="152"/>
      <c r="P261" s="152"/>
      <c r="Q261" s="110"/>
      <c r="R261" s="126"/>
      <c r="S261" s="110"/>
      <c r="T261" s="132"/>
      <c r="U261" s="132"/>
      <c r="V261" s="110"/>
      <c r="W261" s="110"/>
      <c r="X261" s="110"/>
      <c r="Y261" s="110"/>
      <c r="Z261" s="110"/>
      <c r="AA261" s="110"/>
      <c r="AB261" s="110"/>
      <c r="AC261" s="110"/>
      <c r="AD261" s="110"/>
    </row>
    <row r="262" spans="1:30">
      <c r="A262" s="16" t="s">
        <v>819</v>
      </c>
      <c r="B262" s="155" t="s">
        <v>836</v>
      </c>
      <c r="C262" s="16"/>
      <c r="D262" s="18">
        <v>1.9</v>
      </c>
      <c r="E262" s="18"/>
      <c r="F262" s="18"/>
      <c r="G262" s="18">
        <f t="shared" si="129"/>
        <v>1.9</v>
      </c>
      <c r="H262" s="18">
        <v>535.21</v>
      </c>
      <c r="I262" s="19">
        <f t="shared" si="132"/>
        <v>1016.899</v>
      </c>
      <c r="J262" s="19">
        <f t="shared" si="133"/>
        <v>0</v>
      </c>
      <c r="K262" s="19">
        <f t="shared" si="134"/>
        <v>1016.899</v>
      </c>
      <c r="L262" s="110"/>
      <c r="M262" s="110"/>
      <c r="N262" s="151"/>
      <c r="O262" s="152"/>
      <c r="P262" s="152"/>
      <c r="Q262" s="110"/>
      <c r="R262" s="126"/>
      <c r="S262" s="110"/>
      <c r="T262" s="132"/>
      <c r="U262" s="132"/>
      <c r="V262" s="110"/>
      <c r="W262" s="110"/>
      <c r="X262" s="110"/>
      <c r="Y262" s="110"/>
      <c r="Z262" s="110"/>
      <c r="AA262" s="110"/>
      <c r="AB262" s="110"/>
      <c r="AC262" s="110"/>
      <c r="AD262" s="110"/>
    </row>
    <row r="263" spans="1:30">
      <c r="A263" s="16" t="s">
        <v>820</v>
      </c>
      <c r="B263" s="155" t="s">
        <v>836</v>
      </c>
      <c r="C263" s="16"/>
      <c r="D263" s="18">
        <v>5.12</v>
      </c>
      <c r="E263" s="18"/>
      <c r="F263" s="18"/>
      <c r="G263" s="18">
        <f t="shared" si="129"/>
        <v>5.12</v>
      </c>
      <c r="H263" s="18">
        <v>535.19000000000005</v>
      </c>
      <c r="I263" s="19">
        <f t="shared" si="132"/>
        <v>2740.1728000000003</v>
      </c>
      <c r="J263" s="19">
        <f t="shared" si="133"/>
        <v>0</v>
      </c>
      <c r="K263" s="19">
        <f t="shared" si="134"/>
        <v>2740.1728000000003</v>
      </c>
      <c r="L263" s="110"/>
      <c r="M263" s="110"/>
      <c r="N263" s="151"/>
      <c r="O263" s="152"/>
      <c r="P263" s="152"/>
      <c r="Q263" s="110"/>
      <c r="R263" s="126"/>
      <c r="S263" s="110"/>
      <c r="T263" s="132"/>
      <c r="U263" s="132"/>
      <c r="V263" s="110"/>
      <c r="W263" s="110"/>
      <c r="X263" s="110"/>
      <c r="Y263" s="110"/>
      <c r="Z263" s="110"/>
      <c r="AA263" s="110"/>
      <c r="AB263" s="110"/>
      <c r="AC263" s="110"/>
      <c r="AD263" s="110"/>
    </row>
    <row r="264" spans="1:30">
      <c r="A264" s="13">
        <v>26</v>
      </c>
      <c r="B264" s="14" t="s">
        <v>821</v>
      </c>
      <c r="C264" s="13"/>
      <c r="D264" s="13"/>
      <c r="E264" s="13"/>
      <c r="F264" s="13"/>
      <c r="G264" s="13"/>
      <c r="H264" s="13"/>
      <c r="I264" s="15">
        <f>SUM(I265:I269)</f>
        <v>10423.972900000001</v>
      </c>
      <c r="J264" s="15">
        <f>SUM(J265:J269)</f>
        <v>0</v>
      </c>
      <c r="K264" s="15">
        <f>SUM(K265:K269)</f>
        <v>10423.972900000001</v>
      </c>
      <c r="L264" s="110"/>
      <c r="M264" s="110"/>
      <c r="N264" s="133"/>
      <c r="O264" s="133"/>
      <c r="P264" s="133"/>
      <c r="Q264" s="110"/>
      <c r="R264" s="126"/>
      <c r="S264" s="110"/>
      <c r="T264" s="132"/>
      <c r="U264" s="132"/>
      <c r="V264" s="110"/>
      <c r="W264" s="110"/>
      <c r="X264" s="110"/>
      <c r="Y264" s="110"/>
      <c r="Z264" s="110"/>
      <c r="AA264" s="110"/>
      <c r="AB264" s="110"/>
      <c r="AC264" s="110"/>
      <c r="AD264" s="110"/>
    </row>
    <row r="265" spans="1:30" ht="40.200000000000003">
      <c r="A265" s="16" t="s">
        <v>822</v>
      </c>
      <c r="B265" s="155" t="s">
        <v>840</v>
      </c>
      <c r="C265" s="16"/>
      <c r="D265" s="18">
        <v>1</v>
      </c>
      <c r="E265" s="18"/>
      <c r="F265" s="18"/>
      <c r="G265" s="18">
        <f t="shared" si="129"/>
        <v>1</v>
      </c>
      <c r="H265" s="18">
        <v>394.65</v>
      </c>
      <c r="I265" s="19">
        <f t="shared" si="132"/>
        <v>394.65</v>
      </c>
      <c r="J265" s="19">
        <f t="shared" si="133"/>
        <v>0</v>
      </c>
      <c r="K265" s="19">
        <f t="shared" si="134"/>
        <v>394.65</v>
      </c>
      <c r="L265" s="110"/>
      <c r="M265" s="110"/>
      <c r="N265" s="151"/>
      <c r="O265" s="152"/>
      <c r="P265" s="152"/>
      <c r="Q265" s="110"/>
      <c r="R265" s="126"/>
      <c r="S265" s="110"/>
      <c r="T265" s="132"/>
      <c r="U265" s="132"/>
      <c r="V265" s="110"/>
      <c r="W265" s="110"/>
      <c r="X265" s="110"/>
      <c r="Y265" s="110"/>
      <c r="Z265" s="110"/>
      <c r="AA265" s="110"/>
      <c r="AB265" s="110"/>
      <c r="AC265" s="110"/>
      <c r="AD265" s="110"/>
    </row>
    <row r="266" spans="1:30" ht="40.200000000000003">
      <c r="A266" s="16" t="s">
        <v>823</v>
      </c>
      <c r="B266" s="155" t="s">
        <v>839</v>
      </c>
      <c r="C266" s="16"/>
      <c r="D266" s="18">
        <v>4</v>
      </c>
      <c r="E266" s="18"/>
      <c r="F266" s="18"/>
      <c r="G266" s="18">
        <f t="shared" si="129"/>
        <v>4</v>
      </c>
      <c r="H266" s="18">
        <v>887.25</v>
      </c>
      <c r="I266" s="19">
        <f t="shared" si="132"/>
        <v>3549</v>
      </c>
      <c r="J266" s="19">
        <f t="shared" ref="J266:J271" si="135">K266-I266</f>
        <v>0</v>
      </c>
      <c r="K266" s="19">
        <f t="shared" ref="K266:K271" si="136">G266*H266</f>
        <v>3549</v>
      </c>
      <c r="L266" s="110"/>
      <c r="M266" s="110"/>
      <c r="N266" s="151"/>
      <c r="O266" s="152"/>
      <c r="P266" s="152"/>
      <c r="Q266" s="110"/>
      <c r="R266" s="126"/>
      <c r="S266" s="110"/>
      <c r="T266" s="132"/>
      <c r="U266" s="132"/>
      <c r="V266" s="110"/>
      <c r="W266" s="110"/>
      <c r="X266" s="110"/>
      <c r="Y266" s="110"/>
      <c r="Z266" s="110"/>
      <c r="AA266" s="110"/>
      <c r="AB266" s="110"/>
      <c r="AC266" s="110"/>
      <c r="AD266" s="110"/>
    </row>
    <row r="267" spans="1:30" ht="27">
      <c r="A267" s="16" t="s">
        <v>824</v>
      </c>
      <c r="B267" s="155" t="s">
        <v>838</v>
      </c>
      <c r="C267" s="16"/>
      <c r="D267" s="18">
        <v>5</v>
      </c>
      <c r="E267" s="18"/>
      <c r="F267" s="18"/>
      <c r="G267" s="18">
        <f t="shared" si="129"/>
        <v>5</v>
      </c>
      <c r="H267" s="18">
        <v>66.34</v>
      </c>
      <c r="I267" s="19">
        <f t="shared" si="132"/>
        <v>331.70000000000005</v>
      </c>
      <c r="J267" s="19">
        <f t="shared" si="135"/>
        <v>0</v>
      </c>
      <c r="K267" s="19">
        <f t="shared" si="136"/>
        <v>331.70000000000005</v>
      </c>
      <c r="L267" s="110"/>
      <c r="M267" s="110"/>
      <c r="N267" s="151"/>
      <c r="O267" s="152"/>
      <c r="P267" s="152"/>
      <c r="Q267" s="110"/>
      <c r="R267" s="126"/>
      <c r="S267" s="110"/>
      <c r="T267" s="132"/>
      <c r="U267" s="132"/>
      <c r="V267" s="110"/>
      <c r="W267" s="110"/>
      <c r="X267" s="110"/>
      <c r="Y267" s="110"/>
      <c r="Z267" s="110"/>
      <c r="AA267" s="110"/>
      <c r="AB267" s="110"/>
      <c r="AC267" s="110"/>
      <c r="AD267" s="110"/>
    </row>
    <row r="268" spans="1:30" ht="27">
      <c r="A268" s="16" t="s">
        <v>825</v>
      </c>
      <c r="B268" s="155" t="s">
        <v>837</v>
      </c>
      <c r="C268" s="16"/>
      <c r="D268" s="18">
        <v>11</v>
      </c>
      <c r="E268" s="18"/>
      <c r="F268" s="18"/>
      <c r="G268" s="18">
        <f t="shared" si="129"/>
        <v>11</v>
      </c>
      <c r="H268" s="18">
        <v>48.57</v>
      </c>
      <c r="I268" s="19">
        <f t="shared" si="132"/>
        <v>534.27</v>
      </c>
      <c r="J268" s="19">
        <f t="shared" si="135"/>
        <v>0</v>
      </c>
      <c r="K268" s="19">
        <f t="shared" si="136"/>
        <v>534.27</v>
      </c>
      <c r="L268" s="110"/>
      <c r="M268" s="110"/>
      <c r="N268" s="151"/>
      <c r="O268" s="152"/>
      <c r="P268" s="152"/>
      <c r="Q268" s="110"/>
      <c r="R268" s="126"/>
      <c r="S268" s="110"/>
      <c r="T268" s="132"/>
      <c r="U268" s="132"/>
      <c r="V268" s="110"/>
      <c r="W268" s="110"/>
      <c r="X268" s="110"/>
      <c r="Y268" s="110"/>
      <c r="Z268" s="110"/>
      <c r="AA268" s="110"/>
      <c r="AB268" s="110"/>
      <c r="AC268" s="110"/>
      <c r="AD268" s="110"/>
    </row>
    <row r="269" spans="1:30">
      <c r="A269" s="16" t="s">
        <v>826</v>
      </c>
      <c r="B269" s="155" t="s">
        <v>836</v>
      </c>
      <c r="C269" s="16"/>
      <c r="D269" s="18">
        <v>10.49</v>
      </c>
      <c r="E269" s="18"/>
      <c r="F269" s="18"/>
      <c r="G269" s="18">
        <f t="shared" si="129"/>
        <v>10.49</v>
      </c>
      <c r="H269" s="18">
        <v>535.21</v>
      </c>
      <c r="I269" s="19">
        <f t="shared" si="132"/>
        <v>5614.3529000000008</v>
      </c>
      <c r="J269" s="19">
        <f t="shared" si="135"/>
        <v>0</v>
      </c>
      <c r="K269" s="19">
        <f t="shared" si="136"/>
        <v>5614.3529000000008</v>
      </c>
      <c r="L269" s="110"/>
      <c r="M269" s="110"/>
      <c r="N269" s="151"/>
      <c r="O269" s="152"/>
      <c r="P269" s="152"/>
      <c r="Q269" s="110"/>
      <c r="R269" s="126"/>
      <c r="S269" s="110"/>
      <c r="T269" s="132"/>
      <c r="U269" s="132"/>
      <c r="V269" s="110"/>
      <c r="W269" s="110"/>
      <c r="X269" s="110"/>
      <c r="Y269" s="110"/>
      <c r="Z269" s="110"/>
      <c r="AA269" s="110"/>
      <c r="AB269" s="110"/>
      <c r="AC269" s="110"/>
      <c r="AD269" s="110"/>
    </row>
    <row r="270" spans="1:30">
      <c r="A270" s="13">
        <v>27</v>
      </c>
      <c r="B270" s="14" t="s">
        <v>827</v>
      </c>
      <c r="C270" s="13"/>
      <c r="D270" s="13"/>
      <c r="E270" s="13"/>
      <c r="F270" s="13"/>
      <c r="G270" s="13"/>
      <c r="H270" s="13"/>
      <c r="I270" s="15">
        <f>SUM(I271:I274)</f>
        <v>6088.8351999999995</v>
      </c>
      <c r="J270" s="15">
        <f>SUM(J271:J274)</f>
        <v>0</v>
      </c>
      <c r="K270" s="15">
        <f>SUM(K271:K274)</f>
        <v>6088.8351999999995</v>
      </c>
      <c r="L270" s="110"/>
      <c r="M270" s="110"/>
      <c r="N270" s="133"/>
      <c r="O270" s="133"/>
      <c r="P270" s="133"/>
      <c r="Q270" s="110"/>
      <c r="R270" s="126"/>
      <c r="S270" s="110"/>
      <c r="T270" s="132"/>
      <c r="U270" s="132"/>
      <c r="V270" s="110"/>
      <c r="W270" s="110"/>
      <c r="X270" s="110"/>
      <c r="Y270" s="110"/>
      <c r="Z270" s="110"/>
      <c r="AA270" s="110"/>
      <c r="AB270" s="110"/>
      <c r="AC270" s="110"/>
      <c r="AD270" s="110"/>
    </row>
    <row r="271" spans="1:30" ht="27">
      <c r="A271" s="16" t="s">
        <v>828</v>
      </c>
      <c r="B271" s="155" t="s">
        <v>835</v>
      </c>
      <c r="C271" s="16"/>
      <c r="D271" s="18">
        <v>4</v>
      </c>
      <c r="E271" s="18"/>
      <c r="F271" s="18"/>
      <c r="G271" s="18">
        <f t="shared" si="129"/>
        <v>4</v>
      </c>
      <c r="H271" s="18">
        <v>392.17</v>
      </c>
      <c r="I271" s="19">
        <f t="shared" si="132"/>
        <v>1568.68</v>
      </c>
      <c r="J271" s="19">
        <f t="shared" si="135"/>
        <v>0</v>
      </c>
      <c r="K271" s="19">
        <f t="shared" si="136"/>
        <v>1568.68</v>
      </c>
      <c r="L271" s="110"/>
      <c r="M271" s="110"/>
      <c r="N271" s="151"/>
      <c r="O271" s="152"/>
      <c r="P271" s="152"/>
      <c r="Q271" s="110"/>
      <c r="R271" s="126"/>
      <c r="S271" s="110"/>
      <c r="T271" s="132"/>
      <c r="U271" s="132"/>
      <c r="V271" s="110"/>
      <c r="W271" s="110"/>
      <c r="X271" s="110"/>
      <c r="Y271" s="110"/>
      <c r="Z271" s="110"/>
      <c r="AA271" s="110"/>
      <c r="AB271" s="110"/>
      <c r="AC271" s="110"/>
      <c r="AD271" s="110"/>
    </row>
    <row r="272" spans="1:30" ht="27">
      <c r="A272" s="16" t="s">
        <v>829</v>
      </c>
      <c r="B272" s="155" t="s">
        <v>834</v>
      </c>
      <c r="C272" s="16"/>
      <c r="D272" s="18">
        <v>4</v>
      </c>
      <c r="E272" s="18"/>
      <c r="F272" s="18"/>
      <c r="G272" s="18">
        <f t="shared" si="129"/>
        <v>4</v>
      </c>
      <c r="H272" s="18">
        <v>345.66</v>
      </c>
      <c r="I272" s="19">
        <f t="shared" si="132"/>
        <v>1382.64</v>
      </c>
      <c r="J272" s="19">
        <f t="shared" ref="J272:J274" si="137">K272-I272</f>
        <v>0</v>
      </c>
      <c r="K272" s="19">
        <f t="shared" ref="K272:K274" si="138">G272*H272</f>
        <v>1382.64</v>
      </c>
      <c r="L272" s="110"/>
      <c r="M272" s="110"/>
      <c r="N272" s="151"/>
      <c r="O272" s="152"/>
      <c r="P272" s="152"/>
      <c r="Q272" s="110"/>
      <c r="R272" s="126"/>
      <c r="S272" s="110"/>
      <c r="T272" s="132"/>
      <c r="U272" s="132"/>
      <c r="V272" s="110"/>
      <c r="W272" s="110"/>
      <c r="X272" s="110"/>
      <c r="Y272" s="110"/>
      <c r="Z272" s="110"/>
      <c r="AA272" s="110"/>
      <c r="AB272" s="110"/>
      <c r="AC272" s="110"/>
      <c r="AD272" s="110"/>
    </row>
    <row r="273" spans="1:30" ht="27">
      <c r="A273" s="16" t="s">
        <v>830</v>
      </c>
      <c r="B273" s="155" t="s">
        <v>833</v>
      </c>
      <c r="C273" s="16" t="s">
        <v>64</v>
      </c>
      <c r="D273" s="18">
        <v>12</v>
      </c>
      <c r="E273" s="18"/>
      <c r="F273" s="18"/>
      <c r="G273" s="18">
        <f t="shared" si="129"/>
        <v>12</v>
      </c>
      <c r="H273" s="18">
        <v>68.069999999999993</v>
      </c>
      <c r="I273" s="19">
        <f t="shared" si="132"/>
        <v>816.83999999999992</v>
      </c>
      <c r="J273" s="19">
        <f t="shared" si="137"/>
        <v>0</v>
      </c>
      <c r="K273" s="19">
        <f t="shared" si="138"/>
        <v>816.83999999999992</v>
      </c>
      <c r="L273" s="110"/>
      <c r="M273" s="110"/>
      <c r="N273" s="130" t="e">
        <f>#REF!</f>
        <v>#REF!</v>
      </c>
      <c r="O273" s="134" t="e">
        <f t="shared" ref="O273:O274" si="139">N273*P273</f>
        <v>#REF!</v>
      </c>
      <c r="P273" s="134">
        <v>833.12</v>
      </c>
      <c r="Q273" s="110"/>
      <c r="R273" s="126" t="e">
        <f t="shared" ref="R273:R274" si="140">N273-1</f>
        <v>#REF!</v>
      </c>
      <c r="S273" s="110"/>
      <c r="T273" s="132">
        <f t="shared" ref="T273:T274" si="141">F273*H273</f>
        <v>0</v>
      </c>
      <c r="U273" s="132">
        <f t="shared" ref="U273:U274" si="142">E273*H273</f>
        <v>0</v>
      </c>
      <c r="V273" s="110"/>
      <c r="W273" s="110"/>
      <c r="X273" s="110"/>
      <c r="Y273" s="110"/>
      <c r="Z273" s="110"/>
      <c r="AA273" s="110"/>
      <c r="AB273" s="110"/>
      <c r="AC273" s="110"/>
      <c r="AD273" s="110"/>
    </row>
    <row r="274" spans="1:30">
      <c r="A274" s="16" t="s">
        <v>831</v>
      </c>
      <c r="B274" s="21" t="s">
        <v>832</v>
      </c>
      <c r="C274" s="16" t="s">
        <v>64</v>
      </c>
      <c r="D274" s="18">
        <v>763.38</v>
      </c>
      <c r="E274" s="18"/>
      <c r="F274" s="18"/>
      <c r="G274" s="18">
        <f t="shared" ref="G274" si="143">D274+E274-F274</f>
        <v>763.38</v>
      </c>
      <c r="H274" s="156">
        <v>3.04</v>
      </c>
      <c r="I274" s="157">
        <f t="shared" si="132"/>
        <v>2320.6752000000001</v>
      </c>
      <c r="J274" s="157">
        <f t="shared" si="137"/>
        <v>0</v>
      </c>
      <c r="K274" s="157">
        <f t="shared" si="138"/>
        <v>2320.6752000000001</v>
      </c>
      <c r="L274" s="110"/>
      <c r="M274" s="110"/>
      <c r="N274" s="130" t="e">
        <f t="shared" ref="N274" si="144">N273</f>
        <v>#REF!</v>
      </c>
      <c r="O274" s="147" t="e">
        <f t="shared" si="139"/>
        <v>#REF!</v>
      </c>
      <c r="P274" s="147">
        <v>502.14</v>
      </c>
      <c r="Q274" s="110"/>
      <c r="R274" s="126" t="e">
        <f t="shared" si="140"/>
        <v>#REF!</v>
      </c>
      <c r="S274" s="110"/>
      <c r="T274" s="132">
        <f t="shared" si="141"/>
        <v>0</v>
      </c>
      <c r="U274" s="132">
        <f t="shared" si="142"/>
        <v>0</v>
      </c>
      <c r="V274" s="110"/>
      <c r="W274" s="110"/>
      <c r="X274" s="110"/>
      <c r="Y274" s="110"/>
      <c r="Z274" s="110"/>
      <c r="AA274" s="110"/>
      <c r="AB274" s="110"/>
      <c r="AC274" s="110"/>
      <c r="AD274" s="110"/>
    </row>
    <row r="275" spans="1:30">
      <c r="A275" s="23"/>
      <c r="B275" s="24"/>
      <c r="C275" s="22"/>
      <c r="D275" s="22"/>
      <c r="E275" s="22"/>
      <c r="F275" s="22"/>
      <c r="G275" s="22"/>
      <c r="H275" s="158" t="s">
        <v>612</v>
      </c>
      <c r="I275" s="113">
        <f>I11</f>
        <v>912926.01619999995</v>
      </c>
      <c r="J275" s="113" t="s">
        <v>136</v>
      </c>
      <c r="K275" s="113">
        <f>K11</f>
        <v>912765.28449999995</v>
      </c>
      <c r="L275" s="110"/>
      <c r="M275" s="110"/>
      <c r="N275" s="119"/>
      <c r="O275" s="119"/>
      <c r="P275" s="119"/>
      <c r="Q275" s="110"/>
      <c r="R275" s="119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</row>
    <row r="276" spans="1:30">
      <c r="A276" s="114"/>
      <c r="B276" s="115"/>
      <c r="C276" s="116"/>
      <c r="D276" s="116"/>
      <c r="E276" s="116"/>
      <c r="F276" s="116"/>
      <c r="G276" s="116"/>
      <c r="H276" s="116"/>
      <c r="I276" s="117"/>
      <c r="J276" s="117"/>
      <c r="K276" s="117"/>
      <c r="L276" s="110"/>
      <c r="M276" s="110"/>
      <c r="N276" s="119"/>
      <c r="O276" s="119"/>
      <c r="P276" s="119"/>
      <c r="Q276" s="110"/>
      <c r="R276" s="119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</row>
    <row r="277" spans="1:30">
      <c r="A277" s="114"/>
      <c r="B277" s="115"/>
      <c r="C277" s="116"/>
      <c r="D277" s="116"/>
      <c r="E277" s="116"/>
      <c r="F277" s="116"/>
      <c r="G277" s="116"/>
      <c r="H277" s="116"/>
      <c r="I277" s="117"/>
      <c r="J277" s="117"/>
      <c r="K277" s="117"/>
      <c r="L277" s="110"/>
      <c r="M277" s="110"/>
      <c r="N277" s="119"/>
      <c r="O277" s="119"/>
      <c r="P277" s="119"/>
      <c r="Q277" s="110"/>
      <c r="R277" s="119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</row>
    <row r="278" spans="1:30">
      <c r="A278" s="114"/>
      <c r="B278" s="115"/>
      <c r="C278" s="116"/>
      <c r="D278" s="116"/>
      <c r="E278" s="116"/>
      <c r="F278" s="116"/>
      <c r="G278" s="116"/>
      <c r="H278" s="116"/>
      <c r="I278" s="117"/>
      <c r="J278" s="118"/>
      <c r="K278" s="117"/>
      <c r="L278" s="110"/>
      <c r="M278" s="110"/>
      <c r="N278" s="119"/>
      <c r="O278" s="119"/>
      <c r="P278" s="119"/>
      <c r="Q278" s="110"/>
      <c r="R278" s="119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</row>
    <row r="279" spans="1:30">
      <c r="A279" s="114"/>
      <c r="B279" s="115"/>
      <c r="C279" s="116"/>
      <c r="D279" s="116"/>
      <c r="E279" s="116"/>
      <c r="F279" s="116"/>
      <c r="G279" s="116"/>
      <c r="H279" s="116"/>
      <c r="I279" s="117"/>
      <c r="J279" s="118"/>
      <c r="K279" s="117"/>
      <c r="L279" s="110"/>
      <c r="M279" s="110"/>
      <c r="N279" s="119"/>
      <c r="O279" s="119"/>
      <c r="P279" s="119"/>
      <c r="Q279" s="110"/>
      <c r="R279" s="119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</row>
  </sheetData>
  <mergeCells count="14">
    <mergeCell ref="A11:B11"/>
    <mergeCell ref="J1:K8"/>
    <mergeCell ref="A2:I2"/>
    <mergeCell ref="A4:H4"/>
    <mergeCell ref="A5:I5"/>
    <mergeCell ref="A6:I6"/>
    <mergeCell ref="A7:I7"/>
    <mergeCell ref="A8:I8"/>
    <mergeCell ref="D9:G9"/>
    <mergeCell ref="H9:K9"/>
    <mergeCell ref="A9:A10"/>
    <mergeCell ref="B9:B10"/>
    <mergeCell ref="C9:C10"/>
    <mergeCell ref="A1:F1"/>
  </mergeCells>
  <phoneticPr fontId="34" type="noConversion"/>
  <printOptions horizontalCentered="1"/>
  <pageMargins left="0.59055118110236227" right="0.59055118110236227" top="0.70866141732283472" bottom="0.86614173228346458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M9"/>
  <sheetViews>
    <sheetView zoomScale="85" zoomScaleNormal="85" workbookViewId="0">
      <selection activeCell="D15" sqref="D15"/>
    </sheetView>
  </sheetViews>
  <sheetFormatPr defaultColWidth="14.44140625" defaultRowHeight="15" customHeight="1"/>
  <cols>
    <col min="1" max="1" width="10.44140625" customWidth="1"/>
    <col min="2" max="2" width="10.33203125" customWidth="1"/>
    <col min="3" max="3" width="14.21875" customWidth="1"/>
    <col min="4" max="4" width="65.88671875" customWidth="1"/>
    <col min="5" max="5" width="11.21875" customWidth="1"/>
    <col min="6" max="6" width="11.77734375" customWidth="1"/>
    <col min="7" max="7" width="13" customWidth="1"/>
    <col min="8" max="8" width="11.44140625" customWidth="1"/>
    <col min="9" max="9" width="19.6640625" customWidth="1"/>
    <col min="10" max="10" width="10.21875" customWidth="1"/>
    <col min="11" max="11" width="12" customWidth="1"/>
    <col min="12" max="12" width="19.5546875" customWidth="1"/>
    <col min="13" max="13" width="17.21875" customWidth="1"/>
    <col min="14" max="18" width="8.21875" customWidth="1"/>
    <col min="19" max="19" width="4.21875" customWidth="1"/>
    <col min="20" max="20" width="8.21875" customWidth="1"/>
  </cols>
  <sheetData>
    <row r="4" spans="1:13" ht="16.2" customHeight="1">
      <c r="A4" s="199" t="s">
        <v>4</v>
      </c>
      <c r="B4" s="199" t="s">
        <v>2</v>
      </c>
      <c r="C4" s="199" t="s">
        <v>1</v>
      </c>
      <c r="D4" s="200" t="s">
        <v>121</v>
      </c>
      <c r="E4" s="199" t="s">
        <v>122</v>
      </c>
      <c r="F4" s="196" t="s">
        <v>6</v>
      </c>
      <c r="G4" s="197"/>
      <c r="H4" s="197"/>
      <c r="I4" s="198"/>
      <c r="J4" s="196" t="s">
        <v>1034</v>
      </c>
      <c r="K4" s="197"/>
      <c r="L4" s="197"/>
      <c r="M4" s="198"/>
    </row>
    <row r="5" spans="1:13" ht="26.4" customHeight="1">
      <c r="A5" s="192"/>
      <c r="B5" s="192"/>
      <c r="C5" s="192"/>
      <c r="D5" s="192"/>
      <c r="E5" s="192"/>
      <c r="F5" s="10" t="s">
        <v>123</v>
      </c>
      <c r="G5" s="10" t="s">
        <v>124</v>
      </c>
      <c r="H5" s="10" t="s">
        <v>125</v>
      </c>
      <c r="I5" s="10" t="s">
        <v>126</v>
      </c>
      <c r="J5" s="10" t="s">
        <v>127</v>
      </c>
      <c r="K5" s="11" t="s">
        <v>128</v>
      </c>
      <c r="L5" s="11" t="s">
        <v>129</v>
      </c>
      <c r="M5" s="11" t="s">
        <v>130</v>
      </c>
    </row>
    <row r="6" spans="1:13" ht="15" customHeight="1">
      <c r="A6" s="13"/>
      <c r="B6" s="13"/>
      <c r="C6" s="13">
        <v>1</v>
      </c>
      <c r="D6" s="14" t="s">
        <v>10</v>
      </c>
      <c r="E6" s="13"/>
      <c r="F6" s="13"/>
      <c r="G6" s="13"/>
      <c r="H6" s="13"/>
      <c r="I6" s="13"/>
      <c r="J6" s="13"/>
      <c r="K6" s="15">
        <f>SUM(K7:K7)</f>
        <v>0</v>
      </c>
      <c r="L6" s="15">
        <f>SUM(L7:L7,L8)</f>
        <v>-160.7317000000221</v>
      </c>
      <c r="M6" s="15">
        <f>SUM(M7:M7)</f>
        <v>11786.859999999979</v>
      </c>
    </row>
    <row r="7" spans="1:13" ht="15" customHeight="1">
      <c r="A7" s="16" t="s">
        <v>1035</v>
      </c>
      <c r="B7" s="160" t="s">
        <v>1036</v>
      </c>
      <c r="C7" s="16" t="s">
        <v>16</v>
      </c>
      <c r="D7" s="161" t="s">
        <v>615</v>
      </c>
      <c r="E7" s="16" t="s">
        <v>19</v>
      </c>
      <c r="F7" s="18">
        <v>0</v>
      </c>
      <c r="G7" s="162">
        <v>27.3644</v>
      </c>
      <c r="H7" s="18"/>
      <c r="I7" s="18">
        <f t="shared" ref="I7" si="0">F7+G7-H7</f>
        <v>27.3644</v>
      </c>
      <c r="J7" s="18">
        <v>430.73701597696203</v>
      </c>
      <c r="K7" s="19">
        <f t="shared" ref="K7:K8" si="1">F7*J7</f>
        <v>0</v>
      </c>
      <c r="L7" s="19">
        <f t="shared" ref="L7:L8" si="2">M7-K7</f>
        <v>11786.859999999979</v>
      </c>
      <c r="M7" s="19">
        <f t="shared" ref="M7:M8" si="3">I7*J7</f>
        <v>11786.859999999979</v>
      </c>
    </row>
    <row r="8" spans="1:13" ht="31.2" customHeight="1">
      <c r="A8" s="16" t="s">
        <v>14</v>
      </c>
      <c r="B8" s="160">
        <v>93584</v>
      </c>
      <c r="C8" s="16" t="s">
        <v>16</v>
      </c>
      <c r="D8" s="17" t="s">
        <v>617</v>
      </c>
      <c r="E8" s="16" t="s">
        <v>15</v>
      </c>
      <c r="F8" s="18">
        <v>12.43</v>
      </c>
      <c r="G8" s="18"/>
      <c r="H8" s="18">
        <v>12.43</v>
      </c>
      <c r="I8" s="18">
        <f>F8+G8-H8</f>
        <v>0</v>
      </c>
      <c r="J8" s="18">
        <v>961.19</v>
      </c>
      <c r="K8" s="19">
        <f t="shared" si="1"/>
        <v>11947.591700000001</v>
      </c>
      <c r="L8" s="19">
        <f t="shared" si="2"/>
        <v>-11947.591700000001</v>
      </c>
      <c r="M8" s="19">
        <f t="shared" si="3"/>
        <v>0</v>
      </c>
    </row>
    <row r="9" spans="1:13" ht="15" customHeight="1">
      <c r="A9" s="163"/>
      <c r="B9" s="22"/>
      <c r="C9" s="23"/>
      <c r="D9" s="24"/>
      <c r="E9" s="22"/>
      <c r="F9" s="22"/>
      <c r="G9" s="22"/>
      <c r="H9" s="22"/>
      <c r="I9" s="22"/>
      <c r="J9" s="22"/>
      <c r="K9" s="164"/>
      <c r="L9" s="165" t="s">
        <v>136</v>
      </c>
      <c r="M9" s="166">
        <f>L6</f>
        <v>-160.7317000000221</v>
      </c>
    </row>
  </sheetData>
  <mergeCells count="7">
    <mergeCell ref="F4:I4"/>
    <mergeCell ref="J4:M4"/>
    <mergeCell ref="A4:A5"/>
    <mergeCell ref="B4:B5"/>
    <mergeCell ref="C4:C5"/>
    <mergeCell ref="D4:D5"/>
    <mergeCell ref="E4:E5"/>
  </mergeCells>
  <phoneticPr fontId="36" type="noConversion"/>
  <printOptions horizontalCentered="1" verticalCentered="1"/>
  <pageMargins left="0.59055118110236227" right="0.59055118110236227" top="0.39370078740157483" bottom="0.98425196850393704" header="0" footer="0"/>
  <pageSetup paperSize="9" scale="6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5145-2CFB-4FFB-9A71-551A2C841803}">
  <dimension ref="A2:H8"/>
  <sheetViews>
    <sheetView workbookViewId="0">
      <selection activeCell="B17" sqref="B17"/>
    </sheetView>
  </sheetViews>
  <sheetFormatPr defaultRowHeight="14.4"/>
  <cols>
    <col min="1" max="1" width="6.77734375" customWidth="1"/>
    <col min="2" max="2" width="51.77734375" customWidth="1"/>
    <col min="3" max="3" width="11.109375" customWidth="1"/>
    <col min="4" max="4" width="13" customWidth="1"/>
  </cols>
  <sheetData>
    <row r="2" spans="1:8">
      <c r="A2" s="199" t="s">
        <v>1</v>
      </c>
      <c r="B2" s="199" t="s">
        <v>121</v>
      </c>
      <c r="C2" s="204" t="s">
        <v>137</v>
      </c>
      <c r="D2" s="205"/>
      <c r="E2" s="205"/>
      <c r="F2" s="205"/>
      <c r="G2" s="205"/>
      <c r="H2" s="206"/>
    </row>
    <row r="3" spans="1:8">
      <c r="A3" s="203"/>
      <c r="B3" s="203"/>
      <c r="C3" s="207"/>
      <c r="D3" s="189"/>
      <c r="E3" s="189"/>
      <c r="F3" s="189"/>
      <c r="G3" s="189"/>
      <c r="H3" s="190"/>
    </row>
    <row r="4" spans="1:8" ht="15.6" customHeight="1">
      <c r="A4" s="13">
        <v>1</v>
      </c>
      <c r="B4" s="14" t="s">
        <v>10</v>
      </c>
      <c r="C4" s="13" t="s">
        <v>1037</v>
      </c>
      <c r="D4" s="13" t="s">
        <v>1038</v>
      </c>
      <c r="E4" s="13" t="s">
        <v>1039</v>
      </c>
      <c r="F4" s="13" t="s">
        <v>1040</v>
      </c>
      <c r="G4" s="13" t="s">
        <v>138</v>
      </c>
      <c r="H4" s="14" t="s">
        <v>1041</v>
      </c>
    </row>
    <row r="5" spans="1:8" ht="14.4" customHeight="1">
      <c r="A5" s="13" t="s">
        <v>16</v>
      </c>
      <c r="B5" s="25" t="s">
        <v>615</v>
      </c>
      <c r="C5" s="208" t="s">
        <v>140</v>
      </c>
      <c r="D5" s="197"/>
      <c r="E5" s="197"/>
      <c r="F5" s="198"/>
      <c r="G5" s="26">
        <f>SUM(G6:G6)</f>
        <v>27.3644</v>
      </c>
      <c r="H5" s="167" t="s">
        <v>1041</v>
      </c>
    </row>
    <row r="6" spans="1:8">
      <c r="A6" s="16"/>
      <c r="B6" s="17"/>
      <c r="C6" s="168">
        <v>1</v>
      </c>
      <c r="D6" s="18">
        <v>4.0599999999999996</v>
      </c>
      <c r="E6" s="169">
        <v>6.74</v>
      </c>
      <c r="F6" s="18"/>
      <c r="G6" s="18">
        <f>C6*D6*E6</f>
        <v>27.3644</v>
      </c>
      <c r="H6" s="27"/>
    </row>
    <row r="7" spans="1:8" ht="15" customHeight="1">
      <c r="A7" s="170">
        <v>1</v>
      </c>
      <c r="B7" s="171" t="s">
        <v>10</v>
      </c>
      <c r="C7" s="170" t="s">
        <v>1037</v>
      </c>
      <c r="D7" s="170" t="s">
        <v>1038</v>
      </c>
      <c r="E7" s="170" t="s">
        <v>1039</v>
      </c>
      <c r="F7" s="170" t="s">
        <v>1040</v>
      </c>
      <c r="G7" s="170" t="s">
        <v>138</v>
      </c>
      <c r="H7" s="171"/>
    </row>
    <row r="8" spans="1:8" ht="46.2" customHeight="1">
      <c r="A8" s="172" t="s">
        <v>16</v>
      </c>
      <c r="B8" s="173" t="s">
        <v>617</v>
      </c>
      <c r="C8" s="201" t="s">
        <v>139</v>
      </c>
      <c r="D8" s="202"/>
      <c r="E8" s="202"/>
      <c r="F8" s="202"/>
      <c r="G8" s="174">
        <v>12.43</v>
      </c>
      <c r="H8" s="175" t="s">
        <v>1041</v>
      </c>
    </row>
  </sheetData>
  <mergeCells count="5">
    <mergeCell ref="C8:F8"/>
    <mergeCell ref="A2:A3"/>
    <mergeCell ref="B2:B3"/>
    <mergeCell ref="C2:H3"/>
    <mergeCell ref="C5:F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opLeftCell="A26" zoomScale="110" zoomScaleNormal="110" workbookViewId="0">
      <selection activeCell="C38" sqref="C38"/>
    </sheetView>
  </sheetViews>
  <sheetFormatPr defaultColWidth="14.44140625" defaultRowHeight="15" customHeight="1"/>
  <cols>
    <col min="1" max="1" width="9.21875" customWidth="1"/>
    <col min="2" max="2" width="10.21875" customWidth="1"/>
    <col min="3" max="3" width="42.77734375" customWidth="1"/>
    <col min="4" max="4" width="9.21875" customWidth="1"/>
    <col min="5" max="5" width="8.21875" customWidth="1"/>
    <col min="6" max="6" width="10.21875" customWidth="1"/>
    <col min="7" max="8" width="12.44140625" customWidth="1"/>
    <col min="9" max="26" width="8.77734375" customWidth="1"/>
  </cols>
  <sheetData>
    <row r="1" spans="1:8" ht="69.75" customHeight="1">
      <c r="A1" s="211"/>
      <c r="B1" s="210"/>
      <c r="C1" s="210"/>
      <c r="D1" s="210"/>
      <c r="E1" s="210"/>
      <c r="F1" s="210"/>
      <c r="G1" s="210"/>
      <c r="H1" s="210"/>
    </row>
    <row r="2" spans="1:8" ht="9.75" customHeight="1">
      <c r="A2" s="1"/>
      <c r="B2" s="212" t="s">
        <v>0</v>
      </c>
      <c r="C2" s="210"/>
      <c r="D2" s="210"/>
      <c r="E2" s="210"/>
      <c r="F2" s="210"/>
      <c r="G2" s="210"/>
      <c r="H2" s="1"/>
    </row>
    <row r="3" spans="1:8" ht="21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9.5" customHeight="1">
      <c r="A4" s="3" t="s">
        <v>9</v>
      </c>
      <c r="B4" s="213" t="s">
        <v>10</v>
      </c>
      <c r="C4" s="197"/>
      <c r="D4" s="197"/>
      <c r="E4" s="197"/>
      <c r="F4" s="197"/>
      <c r="G4" s="198"/>
      <c r="H4" s="4">
        <v>7571.29</v>
      </c>
    </row>
    <row r="5" spans="1:8" ht="15.6">
      <c r="A5" s="5" t="s">
        <v>11</v>
      </c>
      <c r="B5" s="6" t="s">
        <v>12</v>
      </c>
      <c r="C5" s="5" t="s">
        <v>13</v>
      </c>
      <c r="D5" s="6" t="s">
        <v>14</v>
      </c>
      <c r="E5" s="6" t="s">
        <v>15</v>
      </c>
      <c r="F5" s="7">
        <v>6</v>
      </c>
      <c r="G5" s="8">
        <v>539.62</v>
      </c>
      <c r="H5" s="9">
        <v>3237.72</v>
      </c>
    </row>
    <row r="6" spans="1:8" ht="15.6">
      <c r="A6" s="5" t="s">
        <v>16</v>
      </c>
      <c r="B6" s="6" t="s">
        <v>17</v>
      </c>
      <c r="C6" s="5" t="s">
        <v>18</v>
      </c>
      <c r="D6" s="6" t="s">
        <v>14</v>
      </c>
      <c r="E6" s="6" t="s">
        <v>19</v>
      </c>
      <c r="F6" s="7">
        <v>1</v>
      </c>
      <c r="G6" s="8">
        <v>69.97</v>
      </c>
      <c r="H6" s="9">
        <v>69.97</v>
      </c>
    </row>
    <row r="7" spans="1:8" ht="15.6">
      <c r="A7" s="5" t="s">
        <v>20</v>
      </c>
      <c r="B7" s="6" t="s">
        <v>21</v>
      </c>
      <c r="C7" s="5" t="s">
        <v>22</v>
      </c>
      <c r="D7" s="6" t="s">
        <v>14</v>
      </c>
      <c r="E7" s="6" t="s">
        <v>23</v>
      </c>
      <c r="F7" s="7">
        <v>15.9</v>
      </c>
      <c r="G7" s="8">
        <v>110.29</v>
      </c>
      <c r="H7" s="9">
        <v>1753.61</v>
      </c>
    </row>
    <row r="8" spans="1:8" ht="15.6">
      <c r="A8" s="5" t="s">
        <v>24</v>
      </c>
      <c r="B8" s="6" t="s">
        <v>25</v>
      </c>
      <c r="C8" s="5" t="s">
        <v>26</v>
      </c>
      <c r="D8" s="6" t="s">
        <v>27</v>
      </c>
      <c r="E8" s="6" t="s">
        <v>23</v>
      </c>
      <c r="F8" s="7">
        <v>23.85</v>
      </c>
      <c r="G8" s="8">
        <v>84.44</v>
      </c>
      <c r="H8" s="9">
        <v>2013.89</v>
      </c>
    </row>
    <row r="9" spans="1:8" ht="15.6">
      <c r="A9" s="5" t="s">
        <v>28</v>
      </c>
      <c r="B9" s="6" t="s">
        <v>29</v>
      </c>
      <c r="C9" s="5" t="s">
        <v>30</v>
      </c>
      <c r="D9" s="6" t="s">
        <v>14</v>
      </c>
      <c r="E9" s="6" t="s">
        <v>15</v>
      </c>
      <c r="F9" s="7">
        <v>128.19</v>
      </c>
      <c r="G9" s="8">
        <v>3.87</v>
      </c>
      <c r="H9" s="9">
        <v>496.1</v>
      </c>
    </row>
    <row r="10" spans="1:8" ht="19.5" customHeight="1">
      <c r="A10" s="3" t="s">
        <v>31</v>
      </c>
      <c r="B10" s="213" t="s">
        <v>32</v>
      </c>
      <c r="C10" s="197"/>
      <c r="D10" s="197"/>
      <c r="E10" s="197"/>
      <c r="F10" s="197"/>
      <c r="G10" s="198"/>
      <c r="H10" s="4">
        <v>10522.33</v>
      </c>
    </row>
    <row r="11" spans="1:8" ht="23.4">
      <c r="A11" s="5" t="s">
        <v>33</v>
      </c>
      <c r="B11" s="6" t="s">
        <v>34</v>
      </c>
      <c r="C11" s="5" t="s">
        <v>35</v>
      </c>
      <c r="D11" s="6" t="s">
        <v>14</v>
      </c>
      <c r="E11" s="6" t="s">
        <v>15</v>
      </c>
      <c r="F11" s="7">
        <v>1.2</v>
      </c>
      <c r="G11" s="8">
        <v>86.67</v>
      </c>
      <c r="H11" s="9">
        <v>104</v>
      </c>
    </row>
    <row r="12" spans="1:8" ht="15.6">
      <c r="A12" s="5" t="s">
        <v>36</v>
      </c>
      <c r="B12" s="6" t="s">
        <v>37</v>
      </c>
      <c r="C12" s="5" t="s">
        <v>38</v>
      </c>
      <c r="D12" s="6" t="s">
        <v>14</v>
      </c>
      <c r="E12" s="6" t="s">
        <v>15</v>
      </c>
      <c r="F12" s="7">
        <v>100.16</v>
      </c>
      <c r="G12" s="8">
        <v>101.03</v>
      </c>
      <c r="H12" s="9">
        <v>10119.16</v>
      </c>
    </row>
    <row r="13" spans="1:8" ht="15.6">
      <c r="A13" s="5" t="s">
        <v>39</v>
      </c>
      <c r="B13" s="6" t="s">
        <v>40</v>
      </c>
      <c r="C13" s="5" t="s">
        <v>41</v>
      </c>
      <c r="D13" s="6" t="s">
        <v>14</v>
      </c>
      <c r="E13" s="6" t="s">
        <v>19</v>
      </c>
      <c r="F13" s="7">
        <v>4.2</v>
      </c>
      <c r="G13" s="8">
        <v>71.23</v>
      </c>
      <c r="H13" s="9">
        <v>299.17</v>
      </c>
    </row>
    <row r="14" spans="1:8" ht="19.5" customHeight="1">
      <c r="A14" s="3" t="s">
        <v>42</v>
      </c>
      <c r="B14" s="213" t="s">
        <v>43</v>
      </c>
      <c r="C14" s="197"/>
      <c r="D14" s="197"/>
      <c r="E14" s="197"/>
      <c r="F14" s="197"/>
      <c r="G14" s="198"/>
      <c r="H14" s="4">
        <v>11488.43</v>
      </c>
    </row>
    <row r="15" spans="1:8" ht="15.6">
      <c r="A15" s="5" t="s">
        <v>44</v>
      </c>
      <c r="B15" s="6" t="s">
        <v>45</v>
      </c>
      <c r="C15" s="5" t="s">
        <v>46</v>
      </c>
      <c r="D15" s="6" t="s">
        <v>14</v>
      </c>
      <c r="E15" s="6" t="s">
        <v>15</v>
      </c>
      <c r="F15" s="7">
        <v>128.19</v>
      </c>
      <c r="G15" s="8">
        <v>46.34</v>
      </c>
      <c r="H15" s="9">
        <v>5940.32</v>
      </c>
    </row>
    <row r="16" spans="1:8" ht="15.6">
      <c r="A16" s="5" t="s">
        <v>47</v>
      </c>
      <c r="B16" s="6" t="s">
        <v>48</v>
      </c>
      <c r="C16" s="5" t="s">
        <v>49</v>
      </c>
      <c r="D16" s="6" t="s">
        <v>27</v>
      </c>
      <c r="E16" s="6" t="s">
        <v>15</v>
      </c>
      <c r="F16" s="7">
        <v>156.4</v>
      </c>
      <c r="G16" s="8">
        <v>7.45</v>
      </c>
      <c r="H16" s="9">
        <v>1165.18</v>
      </c>
    </row>
    <row r="17" spans="1:8" ht="15.6">
      <c r="A17" s="5" t="s">
        <v>50</v>
      </c>
      <c r="B17" s="6" t="s">
        <v>51</v>
      </c>
      <c r="C17" s="5" t="s">
        <v>52</v>
      </c>
      <c r="D17" s="6" t="s">
        <v>14</v>
      </c>
      <c r="E17" s="6" t="s">
        <v>15</v>
      </c>
      <c r="F17" s="7">
        <v>299.10000000000002</v>
      </c>
      <c r="G17" s="8">
        <v>13.7</v>
      </c>
      <c r="H17" s="9">
        <v>4097.67</v>
      </c>
    </row>
    <row r="18" spans="1:8" ht="15.6">
      <c r="A18" s="5" t="s">
        <v>53</v>
      </c>
      <c r="B18" s="6" t="s">
        <v>54</v>
      </c>
      <c r="C18" s="5" t="s">
        <v>55</v>
      </c>
      <c r="D18" s="6" t="s">
        <v>14</v>
      </c>
      <c r="E18" s="6" t="s">
        <v>15</v>
      </c>
      <c r="F18" s="7">
        <v>3.56</v>
      </c>
      <c r="G18" s="8">
        <v>38.07</v>
      </c>
      <c r="H18" s="9">
        <v>135.53</v>
      </c>
    </row>
    <row r="19" spans="1:8" ht="15.6">
      <c r="A19" s="5" t="s">
        <v>56</v>
      </c>
      <c r="B19" s="6" t="s">
        <v>57</v>
      </c>
      <c r="C19" s="5" t="s">
        <v>58</v>
      </c>
      <c r="D19" s="6" t="s">
        <v>14</v>
      </c>
      <c r="E19" s="6" t="s">
        <v>15</v>
      </c>
      <c r="F19" s="7">
        <v>3.56</v>
      </c>
      <c r="G19" s="8">
        <v>42.06</v>
      </c>
      <c r="H19" s="9">
        <v>149.72999999999999</v>
      </c>
    </row>
    <row r="20" spans="1:8" ht="19.5" customHeight="1">
      <c r="A20" s="3" t="s">
        <v>59</v>
      </c>
      <c r="B20" s="213" t="s">
        <v>60</v>
      </c>
      <c r="C20" s="197"/>
      <c r="D20" s="197"/>
      <c r="E20" s="197"/>
      <c r="F20" s="197"/>
      <c r="G20" s="198"/>
      <c r="H20" s="4">
        <v>2980.11</v>
      </c>
    </row>
    <row r="21" spans="1:8" ht="15.75" customHeight="1">
      <c r="A21" s="5" t="s">
        <v>61</v>
      </c>
      <c r="B21" s="6" t="s">
        <v>62</v>
      </c>
      <c r="C21" s="5" t="s">
        <v>63</v>
      </c>
      <c r="D21" s="6" t="s">
        <v>14</v>
      </c>
      <c r="E21" s="6" t="s">
        <v>64</v>
      </c>
      <c r="F21" s="7">
        <v>3</v>
      </c>
      <c r="G21" s="8">
        <v>993.37</v>
      </c>
      <c r="H21" s="9">
        <v>2980.11</v>
      </c>
    </row>
    <row r="22" spans="1:8" ht="19.5" customHeight="1">
      <c r="A22" s="3" t="s">
        <v>65</v>
      </c>
      <c r="B22" s="213" t="s">
        <v>66</v>
      </c>
      <c r="C22" s="197"/>
      <c r="D22" s="197"/>
      <c r="E22" s="197"/>
      <c r="F22" s="197"/>
      <c r="G22" s="198"/>
      <c r="H22" s="4">
        <v>3147.13</v>
      </c>
    </row>
    <row r="23" spans="1:8" ht="15.75" customHeight="1">
      <c r="A23" s="5" t="s">
        <v>67</v>
      </c>
      <c r="B23" s="6" t="s">
        <v>68</v>
      </c>
      <c r="C23" s="5" t="s">
        <v>69</v>
      </c>
      <c r="D23" s="6" t="s">
        <v>27</v>
      </c>
      <c r="E23" s="6" t="s">
        <v>5</v>
      </c>
      <c r="F23" s="7">
        <v>4</v>
      </c>
      <c r="G23" s="8">
        <v>116.42</v>
      </c>
      <c r="H23" s="9">
        <v>465.68</v>
      </c>
    </row>
    <row r="24" spans="1:8" ht="15.75" customHeight="1">
      <c r="A24" s="5" t="s">
        <v>70</v>
      </c>
      <c r="B24" s="6" t="s">
        <v>71</v>
      </c>
      <c r="C24" s="5" t="s">
        <v>72</v>
      </c>
      <c r="D24" s="6" t="s">
        <v>14</v>
      </c>
      <c r="E24" s="6" t="s">
        <v>64</v>
      </c>
      <c r="F24" s="7">
        <v>3</v>
      </c>
      <c r="G24" s="8">
        <v>31.3</v>
      </c>
      <c r="H24" s="9">
        <v>93.9</v>
      </c>
    </row>
    <row r="25" spans="1:8" ht="15.75" customHeight="1">
      <c r="A25" s="5" t="s">
        <v>73</v>
      </c>
      <c r="B25" s="6" t="s">
        <v>74</v>
      </c>
      <c r="C25" s="5" t="s">
        <v>75</v>
      </c>
      <c r="D25" s="6" t="s">
        <v>27</v>
      </c>
      <c r="E25" s="6" t="s">
        <v>5</v>
      </c>
      <c r="F25" s="7">
        <v>7</v>
      </c>
      <c r="G25" s="8">
        <v>369.65</v>
      </c>
      <c r="H25" s="9">
        <v>2587.5500000000002</v>
      </c>
    </row>
    <row r="26" spans="1:8" ht="19.5" customHeight="1">
      <c r="A26" s="3" t="s">
        <v>76</v>
      </c>
      <c r="B26" s="213" t="s">
        <v>77</v>
      </c>
      <c r="C26" s="197"/>
      <c r="D26" s="197"/>
      <c r="E26" s="197"/>
      <c r="F26" s="197"/>
      <c r="G26" s="198"/>
      <c r="H26" s="4">
        <v>45980.53</v>
      </c>
    </row>
    <row r="27" spans="1:8" ht="15.75" customHeight="1">
      <c r="A27" s="5" t="s">
        <v>78</v>
      </c>
      <c r="B27" s="6" t="s">
        <v>79</v>
      </c>
      <c r="C27" s="112" t="s">
        <v>80</v>
      </c>
      <c r="D27" s="6" t="s">
        <v>14</v>
      </c>
      <c r="E27" s="6" t="s">
        <v>15</v>
      </c>
      <c r="F27" s="7">
        <v>260.39999999999998</v>
      </c>
      <c r="G27" s="8">
        <v>39.61</v>
      </c>
      <c r="H27" s="9">
        <v>10314.44</v>
      </c>
    </row>
    <row r="28" spans="1:8" ht="15.75" customHeight="1">
      <c r="A28" s="5" t="s">
        <v>81</v>
      </c>
      <c r="B28" s="6" t="s">
        <v>82</v>
      </c>
      <c r="C28" s="5" t="s">
        <v>83</v>
      </c>
      <c r="D28" s="6" t="s">
        <v>14</v>
      </c>
      <c r="E28" s="6" t="s">
        <v>15</v>
      </c>
      <c r="F28" s="7">
        <v>9.69</v>
      </c>
      <c r="G28" s="8">
        <v>181.07</v>
      </c>
      <c r="H28" s="9">
        <v>1754.57</v>
      </c>
    </row>
    <row r="29" spans="1:8" ht="15.75" customHeight="1">
      <c r="A29" s="5" t="s">
        <v>84</v>
      </c>
      <c r="B29" s="6" t="s">
        <v>85</v>
      </c>
      <c r="C29" s="112" t="s">
        <v>86</v>
      </c>
      <c r="D29" s="6" t="s">
        <v>14</v>
      </c>
      <c r="E29" s="6" t="s">
        <v>15</v>
      </c>
      <c r="F29" s="7">
        <v>318</v>
      </c>
      <c r="G29" s="8">
        <v>106.64</v>
      </c>
      <c r="H29" s="9">
        <v>33911.519999999997</v>
      </c>
    </row>
    <row r="30" spans="1:8" ht="19.5" customHeight="1">
      <c r="A30" s="3" t="s">
        <v>87</v>
      </c>
      <c r="B30" s="213" t="s">
        <v>88</v>
      </c>
      <c r="C30" s="197"/>
      <c r="D30" s="197"/>
      <c r="E30" s="197"/>
      <c r="F30" s="197"/>
      <c r="G30" s="198"/>
      <c r="H30" s="4">
        <v>2750.12</v>
      </c>
    </row>
    <row r="31" spans="1:8" ht="15.75" customHeight="1">
      <c r="A31" s="5" t="s">
        <v>89</v>
      </c>
      <c r="B31" s="6" t="s">
        <v>90</v>
      </c>
      <c r="C31" s="5" t="s">
        <v>91</v>
      </c>
      <c r="D31" s="6" t="s">
        <v>14</v>
      </c>
      <c r="E31" s="6" t="s">
        <v>15</v>
      </c>
      <c r="F31" s="7">
        <v>1.2</v>
      </c>
      <c r="G31" s="8">
        <v>5.7</v>
      </c>
      <c r="H31" s="9">
        <v>6.84</v>
      </c>
    </row>
    <row r="32" spans="1:8" ht="15.75" customHeight="1">
      <c r="A32" s="5" t="s">
        <v>92</v>
      </c>
      <c r="B32" s="6" t="s">
        <v>93</v>
      </c>
      <c r="C32" s="5" t="s">
        <v>94</v>
      </c>
      <c r="D32" s="6" t="s">
        <v>14</v>
      </c>
      <c r="E32" s="6" t="s">
        <v>15</v>
      </c>
      <c r="F32" s="7">
        <v>19.89</v>
      </c>
      <c r="G32" s="8">
        <v>47.49</v>
      </c>
      <c r="H32" s="9">
        <v>944.58</v>
      </c>
    </row>
    <row r="33" spans="1:8" ht="15.75" customHeight="1">
      <c r="A33" s="5" t="s">
        <v>95</v>
      </c>
      <c r="B33" s="6" t="s">
        <v>96</v>
      </c>
      <c r="C33" s="5" t="s">
        <v>97</v>
      </c>
      <c r="D33" s="6" t="s">
        <v>14</v>
      </c>
      <c r="E33" s="6" t="s">
        <v>15</v>
      </c>
      <c r="F33" s="7">
        <v>14.82</v>
      </c>
      <c r="G33" s="8">
        <v>121.37</v>
      </c>
      <c r="H33" s="9">
        <v>1798.7</v>
      </c>
    </row>
    <row r="34" spans="1:8" ht="19.5" customHeight="1">
      <c r="A34" s="3" t="s">
        <v>98</v>
      </c>
      <c r="B34" s="213" t="s">
        <v>99</v>
      </c>
      <c r="C34" s="197"/>
      <c r="D34" s="197"/>
      <c r="E34" s="197"/>
      <c r="F34" s="197"/>
      <c r="G34" s="198"/>
      <c r="H34" s="4">
        <v>14897.97</v>
      </c>
    </row>
    <row r="35" spans="1:8" ht="15.75" customHeight="1">
      <c r="A35" s="5" t="s">
        <v>100</v>
      </c>
      <c r="B35" s="6" t="s">
        <v>101</v>
      </c>
      <c r="C35" s="5" t="s">
        <v>102</v>
      </c>
      <c r="D35" s="6" t="s">
        <v>14</v>
      </c>
      <c r="E35" s="6" t="s">
        <v>15</v>
      </c>
      <c r="F35" s="7">
        <v>118.85</v>
      </c>
      <c r="G35" s="8">
        <v>4.42</v>
      </c>
      <c r="H35" s="9">
        <v>525.32000000000005</v>
      </c>
    </row>
    <row r="36" spans="1:8" ht="15.75" customHeight="1">
      <c r="A36" s="5" t="s">
        <v>103</v>
      </c>
      <c r="B36" s="6" t="s">
        <v>104</v>
      </c>
      <c r="C36" s="5" t="s">
        <v>105</v>
      </c>
      <c r="D36" s="6" t="s">
        <v>14</v>
      </c>
      <c r="E36" s="6" t="s">
        <v>15</v>
      </c>
      <c r="F36" s="7">
        <v>414.62</v>
      </c>
      <c r="G36" s="8">
        <v>17.7</v>
      </c>
      <c r="H36" s="9">
        <v>7338.77</v>
      </c>
    </row>
    <row r="37" spans="1:8" ht="15.75" customHeight="1">
      <c r="A37" s="5" t="s">
        <v>106</v>
      </c>
      <c r="B37" s="6" t="s">
        <v>107</v>
      </c>
      <c r="C37" s="5" t="s">
        <v>108</v>
      </c>
      <c r="D37" s="6" t="s">
        <v>14</v>
      </c>
      <c r="E37" s="6" t="s">
        <v>15</v>
      </c>
      <c r="F37" s="7">
        <v>400.93</v>
      </c>
      <c r="G37" s="8">
        <v>14.66</v>
      </c>
      <c r="H37" s="9">
        <v>5877.63</v>
      </c>
    </row>
    <row r="38" spans="1:8" ht="15.75" customHeight="1">
      <c r="A38" s="5" t="s">
        <v>109</v>
      </c>
      <c r="B38" s="6" t="s">
        <v>110</v>
      </c>
      <c r="C38" s="112" t="s">
        <v>111</v>
      </c>
      <c r="D38" s="6" t="s">
        <v>14</v>
      </c>
      <c r="E38" s="6" t="s">
        <v>15</v>
      </c>
      <c r="F38" s="7">
        <v>67.42</v>
      </c>
      <c r="G38" s="8">
        <v>17.149999999999999</v>
      </c>
      <c r="H38" s="9">
        <v>1156.25</v>
      </c>
    </row>
    <row r="39" spans="1:8" ht="19.5" customHeight="1">
      <c r="A39" s="3" t="s">
        <v>112</v>
      </c>
      <c r="B39" s="213" t="s">
        <v>113</v>
      </c>
      <c r="C39" s="197"/>
      <c r="D39" s="197"/>
      <c r="E39" s="197"/>
      <c r="F39" s="197"/>
      <c r="G39" s="198"/>
      <c r="H39" s="4">
        <v>11593.36</v>
      </c>
    </row>
    <row r="40" spans="1:8" ht="19.5" customHeight="1">
      <c r="A40" s="3" t="s">
        <v>114</v>
      </c>
      <c r="B40" s="213" t="s">
        <v>115</v>
      </c>
      <c r="C40" s="197"/>
      <c r="D40" s="197"/>
      <c r="E40" s="197"/>
      <c r="F40" s="197"/>
      <c r="G40" s="198"/>
      <c r="H40" s="4">
        <v>11593.36</v>
      </c>
    </row>
    <row r="41" spans="1:8" ht="15.75" customHeight="1">
      <c r="A41" s="5" t="s">
        <v>116</v>
      </c>
      <c r="B41" s="6" t="s">
        <v>104</v>
      </c>
      <c r="C41" s="5" t="s">
        <v>105</v>
      </c>
      <c r="D41" s="6" t="s">
        <v>14</v>
      </c>
      <c r="E41" s="6" t="s">
        <v>15</v>
      </c>
      <c r="F41" s="7">
        <v>362.38</v>
      </c>
      <c r="G41" s="8">
        <v>17.7</v>
      </c>
      <c r="H41" s="9">
        <v>6414.13</v>
      </c>
    </row>
    <row r="42" spans="1:8" ht="15.75" customHeight="1">
      <c r="A42" s="5" t="s">
        <v>117</v>
      </c>
      <c r="B42" s="6" t="s">
        <v>107</v>
      </c>
      <c r="C42" s="5" t="s">
        <v>108</v>
      </c>
      <c r="D42" s="6" t="s">
        <v>14</v>
      </c>
      <c r="E42" s="6" t="s">
        <v>15</v>
      </c>
      <c r="F42" s="7">
        <v>353.29</v>
      </c>
      <c r="G42" s="8">
        <v>14.66</v>
      </c>
      <c r="H42" s="9">
        <v>5179.2299999999996</v>
      </c>
    </row>
    <row r="43" spans="1:8" ht="15" customHeight="1">
      <c r="A43" s="1"/>
      <c r="B43" s="1"/>
      <c r="C43" s="1"/>
      <c r="D43" s="1"/>
      <c r="E43" s="1"/>
      <c r="F43" s="209" t="s">
        <v>118</v>
      </c>
      <c r="G43" s="210"/>
      <c r="H43" s="4">
        <v>18851.22</v>
      </c>
    </row>
    <row r="44" spans="1:8" ht="15" customHeight="1">
      <c r="A44" s="1"/>
      <c r="B44" s="1"/>
      <c r="C44" s="1"/>
      <c r="D44" s="1"/>
      <c r="E44" s="1"/>
      <c r="F44" s="209" t="s">
        <v>119</v>
      </c>
      <c r="G44" s="210"/>
      <c r="H44" s="4">
        <v>92080.05</v>
      </c>
    </row>
    <row r="45" spans="1:8" ht="15" customHeight="1">
      <c r="A45" s="1"/>
      <c r="B45" s="1"/>
      <c r="C45" s="1"/>
      <c r="D45" s="1"/>
      <c r="E45" s="1"/>
      <c r="F45" s="209" t="s">
        <v>120</v>
      </c>
      <c r="G45" s="210"/>
      <c r="H45" s="4">
        <v>110931.27</v>
      </c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F43:G43"/>
    <mergeCell ref="F44:G44"/>
    <mergeCell ref="F45:G45"/>
    <mergeCell ref="A1:H1"/>
    <mergeCell ref="B2:G2"/>
    <mergeCell ref="B4:G4"/>
    <mergeCell ref="B10:G10"/>
    <mergeCell ref="B14:G14"/>
    <mergeCell ref="B20:G20"/>
    <mergeCell ref="B22:G22"/>
    <mergeCell ref="B26:G26"/>
    <mergeCell ref="B30:G30"/>
    <mergeCell ref="B34:G34"/>
    <mergeCell ref="B39:G39"/>
    <mergeCell ref="B40:G40"/>
  </mergeCells>
  <pageMargins left="0.5" right="0.5" top="0.5" bottom="0.5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/>
  <cols>
    <col min="1" max="1" width="12.21875" customWidth="1"/>
    <col min="2" max="2" width="7.44140625" customWidth="1"/>
    <col min="3" max="3" width="6.77734375" customWidth="1"/>
    <col min="4" max="4" width="45.21875" customWidth="1"/>
    <col min="5" max="5" width="4.77734375" customWidth="1"/>
    <col min="6" max="6" width="8.44140625" customWidth="1"/>
    <col min="7" max="8" width="10.77734375" customWidth="1"/>
    <col min="9" max="9" width="16.5546875" customWidth="1"/>
    <col min="10" max="10" width="11.44140625" customWidth="1"/>
    <col min="11" max="11" width="11" customWidth="1"/>
    <col min="12" max="12" width="10.77734375" customWidth="1"/>
    <col min="13" max="13" width="14.44140625" customWidth="1"/>
    <col min="14" max="14" width="8.21875" customWidth="1"/>
    <col min="15" max="15" width="10.21875" customWidth="1"/>
    <col min="16" max="26" width="8.21875" customWidth="1"/>
  </cols>
  <sheetData>
    <row r="1" spans="1:26" ht="9" customHeight="1">
      <c r="A1" s="219" t="s">
        <v>141</v>
      </c>
      <c r="B1" s="220"/>
      <c r="C1" s="220"/>
      <c r="D1" s="220"/>
      <c r="E1" s="220"/>
      <c r="F1" s="220"/>
      <c r="G1" s="220"/>
      <c r="H1" s="220"/>
      <c r="I1" s="220"/>
      <c r="J1" s="220"/>
      <c r="K1" s="221"/>
      <c r="L1" s="28"/>
      <c r="M1" s="29"/>
      <c r="N1" s="30"/>
      <c r="O1" s="31"/>
      <c r="P1" s="31"/>
      <c r="Q1" s="31"/>
      <c r="R1" s="32"/>
      <c r="S1" s="32"/>
      <c r="T1" s="32"/>
      <c r="U1" s="32"/>
      <c r="V1" s="32"/>
      <c r="W1" s="32"/>
      <c r="X1" s="32"/>
      <c r="Y1" s="32"/>
      <c r="Z1" s="32"/>
    </row>
    <row r="2" spans="1:26" ht="8.25" customHeight="1">
      <c r="A2" s="222"/>
      <c r="B2" s="223"/>
      <c r="C2" s="223"/>
      <c r="D2" s="223"/>
      <c r="E2" s="223"/>
      <c r="F2" s="223"/>
      <c r="G2" s="223"/>
      <c r="H2" s="223"/>
      <c r="I2" s="223"/>
      <c r="J2" s="223"/>
      <c r="K2" s="224"/>
      <c r="L2" s="33"/>
      <c r="M2" s="34"/>
      <c r="N2" s="30"/>
      <c r="O2" s="31"/>
      <c r="P2" s="31"/>
      <c r="Q2" s="31"/>
      <c r="R2" s="32"/>
      <c r="S2" s="32"/>
      <c r="T2" s="32"/>
      <c r="U2" s="32"/>
      <c r="V2" s="32"/>
      <c r="W2" s="32"/>
      <c r="X2" s="32"/>
      <c r="Y2" s="32"/>
      <c r="Z2" s="32"/>
    </row>
    <row r="3" spans="1:26" ht="9" customHeight="1">
      <c r="A3" s="225" t="s">
        <v>142</v>
      </c>
      <c r="B3" s="227" t="s">
        <v>143</v>
      </c>
      <c r="C3" s="227" t="s">
        <v>144</v>
      </c>
      <c r="D3" s="229" t="s">
        <v>145</v>
      </c>
      <c r="E3" s="227" t="s">
        <v>146</v>
      </c>
      <c r="F3" s="214" t="s">
        <v>6</v>
      </c>
      <c r="G3" s="197"/>
      <c r="H3" s="197"/>
      <c r="I3" s="215"/>
      <c r="J3" s="216" t="s">
        <v>147</v>
      </c>
      <c r="K3" s="217"/>
      <c r="L3" s="217"/>
      <c r="M3" s="218"/>
      <c r="N3" s="35"/>
      <c r="O3" s="36"/>
      <c r="P3" s="36"/>
      <c r="Q3" s="36"/>
      <c r="R3" s="35"/>
      <c r="S3" s="35"/>
      <c r="T3" s="35"/>
      <c r="U3" s="35"/>
      <c r="V3" s="35"/>
      <c r="W3" s="35"/>
      <c r="X3" s="35"/>
      <c r="Y3" s="35"/>
      <c r="Z3" s="35"/>
    </row>
    <row r="4" spans="1:26" ht="16.5" customHeight="1">
      <c r="A4" s="226"/>
      <c r="B4" s="228"/>
      <c r="C4" s="228"/>
      <c r="D4" s="228"/>
      <c r="E4" s="228"/>
      <c r="F4" s="37" t="s">
        <v>123</v>
      </c>
      <c r="G4" s="37" t="s">
        <v>124</v>
      </c>
      <c r="H4" s="37" t="s">
        <v>125</v>
      </c>
      <c r="I4" s="37" t="s">
        <v>126</v>
      </c>
      <c r="J4" s="38" t="s">
        <v>148</v>
      </c>
      <c r="K4" s="39" t="s">
        <v>128</v>
      </c>
      <c r="L4" s="39" t="s">
        <v>149</v>
      </c>
      <c r="M4" s="40" t="s">
        <v>130</v>
      </c>
      <c r="N4" s="35"/>
      <c r="O4" s="36"/>
      <c r="P4" s="36"/>
      <c r="Q4" s="36"/>
      <c r="R4" s="35"/>
      <c r="S4" s="35"/>
      <c r="T4" s="35"/>
      <c r="U4" s="35"/>
      <c r="V4" s="35"/>
      <c r="W4" s="35"/>
      <c r="X4" s="35"/>
      <c r="Y4" s="35"/>
      <c r="Z4" s="35"/>
    </row>
    <row r="5" spans="1:26" ht="9" customHeight="1">
      <c r="A5" s="41"/>
      <c r="B5" s="42"/>
      <c r="C5" s="43" t="s">
        <v>150</v>
      </c>
      <c r="D5" s="44" t="s">
        <v>151</v>
      </c>
      <c r="E5" s="45"/>
      <c r="F5" s="45"/>
      <c r="G5" s="45"/>
      <c r="H5" s="45"/>
      <c r="I5" s="45"/>
      <c r="J5" s="45"/>
      <c r="K5" s="46">
        <f>SUM(K6,K12,K16,K22,K25,K29,K33,K37,K42)</f>
        <v>113775.66190000001</v>
      </c>
      <c r="L5" s="47"/>
      <c r="M5" s="48">
        <f>SUM(M6,M12,M16,M22,M25,M29,M33,M37,M42)</f>
        <v>98759.602899999998</v>
      </c>
      <c r="N5" s="49"/>
      <c r="O5" s="49"/>
      <c r="P5" s="50"/>
      <c r="Q5" s="31"/>
      <c r="R5" s="32"/>
      <c r="S5" s="32"/>
      <c r="T5" s="32"/>
      <c r="U5" s="32"/>
      <c r="V5" s="32"/>
      <c r="W5" s="32"/>
      <c r="X5" s="32"/>
      <c r="Y5" s="32"/>
      <c r="Z5" s="32"/>
    </row>
    <row r="6" spans="1:26" ht="9" customHeight="1">
      <c r="A6" s="51"/>
      <c r="B6" s="52"/>
      <c r="C6" s="53" t="s">
        <v>152</v>
      </c>
      <c r="D6" s="54" t="s">
        <v>153</v>
      </c>
      <c r="E6" s="55"/>
      <c r="F6" s="55"/>
      <c r="G6" s="55"/>
      <c r="H6" s="55"/>
      <c r="I6" s="55"/>
      <c r="J6" s="55"/>
      <c r="K6" s="56">
        <f>SUM(K7:K11)</f>
        <v>7775.1988999999994</v>
      </c>
      <c r="L6" s="57"/>
      <c r="M6" s="58">
        <f>SUM(M7:M11)</f>
        <v>7775.1988999999994</v>
      </c>
      <c r="N6" s="30"/>
      <c r="O6" s="59"/>
      <c r="P6" s="49"/>
      <c r="Q6" s="31"/>
      <c r="R6" s="32"/>
      <c r="S6" s="32"/>
      <c r="T6" s="32"/>
      <c r="U6" s="32"/>
      <c r="V6" s="32"/>
      <c r="W6" s="32"/>
      <c r="X6" s="32"/>
      <c r="Y6" s="32"/>
      <c r="Z6" s="32"/>
    </row>
    <row r="7" spans="1:26" ht="25.5" customHeight="1">
      <c r="A7" s="60" t="s">
        <v>154</v>
      </c>
      <c r="B7" s="61">
        <v>103689</v>
      </c>
      <c r="C7" s="62" t="s">
        <v>155</v>
      </c>
      <c r="D7" s="63" t="s">
        <v>156</v>
      </c>
      <c r="E7" s="62" t="s">
        <v>157</v>
      </c>
      <c r="F7" s="64">
        <v>6</v>
      </c>
      <c r="G7" s="64"/>
      <c r="H7" s="64"/>
      <c r="I7" s="64">
        <f t="shared" ref="I7:I11" si="0">F7+G7-H7</f>
        <v>6</v>
      </c>
      <c r="J7" s="64">
        <v>555.26</v>
      </c>
      <c r="K7" s="65">
        <f t="shared" ref="K7:K11" si="1">F7*J7</f>
        <v>3331.56</v>
      </c>
      <c r="L7" s="65">
        <f t="shared" ref="L7:L11" si="2">M7-K7</f>
        <v>0</v>
      </c>
      <c r="M7" s="66">
        <f t="shared" ref="M7:M11" si="3">I7*J7</f>
        <v>3331.56</v>
      </c>
      <c r="N7" s="30"/>
      <c r="O7" s="31"/>
      <c r="P7" s="49"/>
      <c r="Q7" s="31"/>
      <c r="R7" s="32"/>
      <c r="S7" s="32"/>
      <c r="T7" s="32"/>
      <c r="U7" s="32"/>
      <c r="V7" s="32"/>
      <c r="W7" s="32"/>
      <c r="X7" s="32"/>
      <c r="Y7" s="32"/>
      <c r="Z7" s="32"/>
    </row>
    <row r="8" spans="1:26" ht="25.5" customHeight="1">
      <c r="A8" s="60" t="s">
        <v>158</v>
      </c>
      <c r="B8" s="61">
        <v>99059</v>
      </c>
      <c r="C8" s="62" t="s">
        <v>159</v>
      </c>
      <c r="D8" s="63" t="s">
        <v>160</v>
      </c>
      <c r="E8" s="62" t="s">
        <v>161</v>
      </c>
      <c r="F8" s="64">
        <v>1</v>
      </c>
      <c r="G8" s="64"/>
      <c r="H8" s="64"/>
      <c r="I8" s="64">
        <f t="shared" si="0"/>
        <v>1</v>
      </c>
      <c r="J8" s="64">
        <v>71.75</v>
      </c>
      <c r="K8" s="65">
        <f t="shared" si="1"/>
        <v>71.75</v>
      </c>
      <c r="L8" s="65">
        <f t="shared" si="2"/>
        <v>0</v>
      </c>
      <c r="M8" s="66">
        <f t="shared" si="3"/>
        <v>71.75</v>
      </c>
      <c r="N8" s="30"/>
      <c r="O8" s="31"/>
      <c r="P8" s="31"/>
      <c r="Q8" s="31"/>
      <c r="R8" s="32"/>
      <c r="S8" s="32"/>
      <c r="T8" s="32"/>
      <c r="U8" s="32"/>
      <c r="V8" s="32"/>
      <c r="W8" s="32"/>
      <c r="X8" s="32"/>
      <c r="Y8" s="32"/>
      <c r="Z8" s="32"/>
    </row>
    <row r="9" spans="1:26" ht="23.4">
      <c r="A9" s="60" t="s">
        <v>162</v>
      </c>
      <c r="B9" s="61">
        <v>104790</v>
      </c>
      <c r="C9" s="62" t="s">
        <v>163</v>
      </c>
      <c r="D9" s="63" t="s">
        <v>164</v>
      </c>
      <c r="E9" s="62" t="s">
        <v>165</v>
      </c>
      <c r="F9" s="64">
        <v>15.9</v>
      </c>
      <c r="G9" s="64"/>
      <c r="H9" s="64"/>
      <c r="I9" s="64">
        <f t="shared" si="0"/>
        <v>15.9</v>
      </c>
      <c r="J9" s="64">
        <v>113.12</v>
      </c>
      <c r="K9" s="65">
        <f t="shared" si="1"/>
        <v>1798.6080000000002</v>
      </c>
      <c r="L9" s="65">
        <f t="shared" si="2"/>
        <v>0</v>
      </c>
      <c r="M9" s="66">
        <f t="shared" si="3"/>
        <v>1798.6080000000002</v>
      </c>
      <c r="N9" s="30"/>
      <c r="O9" s="31"/>
      <c r="P9" s="31"/>
      <c r="Q9" s="31"/>
      <c r="R9" s="32"/>
      <c r="S9" s="32"/>
      <c r="T9" s="32"/>
      <c r="U9" s="32"/>
      <c r="V9" s="32"/>
      <c r="W9" s="32"/>
      <c r="X9" s="32"/>
      <c r="Y9" s="32"/>
      <c r="Z9" s="32"/>
    </row>
    <row r="10" spans="1:26" ht="14.4">
      <c r="A10" s="67" t="s">
        <v>166</v>
      </c>
      <c r="B10" s="68">
        <v>1</v>
      </c>
      <c r="C10" s="69" t="s">
        <v>167</v>
      </c>
      <c r="D10" s="70" t="s">
        <v>168</v>
      </c>
      <c r="E10" s="62" t="s">
        <v>169</v>
      </c>
      <c r="F10" s="64">
        <v>23.85</v>
      </c>
      <c r="G10" s="64"/>
      <c r="H10" s="64"/>
      <c r="I10" s="64">
        <f t="shared" si="0"/>
        <v>23.85</v>
      </c>
      <c r="J10" s="64">
        <v>86.61</v>
      </c>
      <c r="K10" s="65">
        <f t="shared" si="1"/>
        <v>2065.6485000000002</v>
      </c>
      <c r="L10" s="65">
        <f t="shared" si="2"/>
        <v>0</v>
      </c>
      <c r="M10" s="66">
        <f t="shared" si="3"/>
        <v>2065.6485000000002</v>
      </c>
      <c r="N10" s="30"/>
      <c r="O10" s="31"/>
      <c r="P10" s="31"/>
      <c r="Q10" s="31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6">
      <c r="A11" s="67" t="s">
        <v>170</v>
      </c>
      <c r="B11" s="68">
        <v>97647</v>
      </c>
      <c r="C11" s="69" t="s">
        <v>171</v>
      </c>
      <c r="D11" s="70" t="s">
        <v>172</v>
      </c>
      <c r="E11" s="62" t="s">
        <v>173</v>
      </c>
      <c r="F11" s="64">
        <v>128.19</v>
      </c>
      <c r="G11" s="64"/>
      <c r="H11" s="64"/>
      <c r="I11" s="64">
        <f t="shared" si="0"/>
        <v>128.19</v>
      </c>
      <c r="J11" s="64">
        <v>3.96</v>
      </c>
      <c r="K11" s="65">
        <f t="shared" si="1"/>
        <v>507.63239999999996</v>
      </c>
      <c r="L11" s="65">
        <f t="shared" si="2"/>
        <v>0</v>
      </c>
      <c r="M11" s="66">
        <f t="shared" si="3"/>
        <v>507.63239999999996</v>
      </c>
      <c r="N11" s="30"/>
      <c r="O11" s="31"/>
      <c r="P11" s="31"/>
      <c r="Q11" s="31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9" customHeight="1">
      <c r="A12" s="51"/>
      <c r="B12" s="52"/>
      <c r="C12" s="53" t="s">
        <v>174</v>
      </c>
      <c r="D12" s="54" t="s">
        <v>175</v>
      </c>
      <c r="E12" s="55"/>
      <c r="F12" s="55"/>
      <c r="G12" s="55"/>
      <c r="H12" s="55"/>
      <c r="I12" s="55"/>
      <c r="J12" s="55"/>
      <c r="K12" s="56">
        <f>SUM(K13:K15)</f>
        <v>10792.129200000001</v>
      </c>
      <c r="L12" s="57"/>
      <c r="M12" s="58">
        <f>SUM(M13:M15)</f>
        <v>106.65599999999999</v>
      </c>
      <c r="N12" s="30"/>
      <c r="O12" s="31"/>
      <c r="P12" s="31"/>
      <c r="Q12" s="31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3.4">
      <c r="A13" s="67" t="s">
        <v>176</v>
      </c>
      <c r="B13" s="68">
        <v>103317</v>
      </c>
      <c r="C13" s="69" t="s">
        <v>177</v>
      </c>
      <c r="D13" s="70" t="s">
        <v>178</v>
      </c>
      <c r="E13" s="62" t="s">
        <v>179</v>
      </c>
      <c r="F13" s="64">
        <v>1.2</v>
      </c>
      <c r="G13" s="64"/>
      <c r="H13" s="64"/>
      <c r="I13" s="64">
        <f t="shared" ref="I13:I15" si="4">F13+G13-H13</f>
        <v>1.2</v>
      </c>
      <c r="J13" s="64">
        <v>88.88</v>
      </c>
      <c r="K13" s="65">
        <f t="shared" ref="K13:K15" si="5">F13*J13</f>
        <v>106.65599999999999</v>
      </c>
      <c r="L13" s="65">
        <f t="shared" ref="L13:L15" si="6">M13-K13</f>
        <v>0</v>
      </c>
      <c r="M13" s="66">
        <f t="shared" ref="M13:M15" si="7">I13*J13</f>
        <v>106.65599999999999</v>
      </c>
      <c r="N13" s="30"/>
      <c r="O13" s="31"/>
      <c r="P13" s="31"/>
      <c r="Q13" s="31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8" customHeight="1">
      <c r="A14" s="67" t="s">
        <v>180</v>
      </c>
      <c r="B14" s="68">
        <v>101158</v>
      </c>
      <c r="C14" s="69" t="s">
        <v>181</v>
      </c>
      <c r="D14" s="63" t="s">
        <v>182</v>
      </c>
      <c r="E14" s="62" t="s">
        <v>183</v>
      </c>
      <c r="F14" s="64">
        <v>100.16</v>
      </c>
      <c r="G14" s="64"/>
      <c r="H14" s="64">
        <f>(38.72+15.98-3.36)+(48.82)</f>
        <v>100.16</v>
      </c>
      <c r="I14" s="64">
        <f t="shared" si="4"/>
        <v>0</v>
      </c>
      <c r="J14" s="64">
        <v>103.62</v>
      </c>
      <c r="K14" s="65">
        <f t="shared" si="5"/>
        <v>10378.5792</v>
      </c>
      <c r="L14" s="65">
        <f t="shared" si="6"/>
        <v>-10378.5792</v>
      </c>
      <c r="M14" s="66">
        <f t="shared" si="7"/>
        <v>0</v>
      </c>
      <c r="N14" s="30"/>
      <c r="O14" s="31"/>
      <c r="P14" s="31"/>
      <c r="Q14" s="31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8" customHeight="1">
      <c r="A15" s="67" t="s">
        <v>184</v>
      </c>
      <c r="B15" s="68">
        <v>105023</v>
      </c>
      <c r="C15" s="69" t="s">
        <v>185</v>
      </c>
      <c r="D15" s="63" t="s">
        <v>186</v>
      </c>
      <c r="E15" s="62" t="s">
        <v>187</v>
      </c>
      <c r="F15" s="64">
        <v>4.2</v>
      </c>
      <c r="G15" s="64"/>
      <c r="H15" s="64">
        <f>3*1.4</f>
        <v>4.1999999999999993</v>
      </c>
      <c r="I15" s="64">
        <f t="shared" si="4"/>
        <v>0</v>
      </c>
      <c r="J15" s="64">
        <v>73.069999999999993</v>
      </c>
      <c r="K15" s="65">
        <f t="shared" si="5"/>
        <v>306.89400000000001</v>
      </c>
      <c r="L15" s="65">
        <f t="shared" si="6"/>
        <v>-306.89400000000001</v>
      </c>
      <c r="M15" s="66">
        <f t="shared" si="7"/>
        <v>0</v>
      </c>
      <c r="N15" s="30"/>
      <c r="O15" s="31"/>
      <c r="P15" s="31"/>
      <c r="Q15" s="31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9" customHeight="1">
      <c r="A16" s="51"/>
      <c r="B16" s="52"/>
      <c r="C16" s="53" t="s">
        <v>188</v>
      </c>
      <c r="D16" s="54" t="s">
        <v>189</v>
      </c>
      <c r="E16" s="55"/>
      <c r="F16" s="55"/>
      <c r="G16" s="55"/>
      <c r="H16" s="55"/>
      <c r="I16" s="55"/>
      <c r="J16" s="55"/>
      <c r="K16" s="56">
        <f>SUM(K17:K21)</f>
        <v>11783.964400000001</v>
      </c>
      <c r="L16" s="57"/>
      <c r="M16" s="58">
        <f>SUM(M17:M21)</f>
        <v>11783.964400000001</v>
      </c>
      <c r="N16" s="30"/>
      <c r="O16" s="31"/>
      <c r="P16" s="31"/>
      <c r="Q16" s="31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25.5" customHeight="1">
      <c r="A17" s="60" t="s">
        <v>190</v>
      </c>
      <c r="B17" s="61">
        <v>94201</v>
      </c>
      <c r="C17" s="62" t="s">
        <v>191</v>
      </c>
      <c r="D17" s="63" t="s">
        <v>192</v>
      </c>
      <c r="E17" s="62" t="s">
        <v>193</v>
      </c>
      <c r="F17" s="64">
        <v>128.19</v>
      </c>
      <c r="G17" s="64"/>
      <c r="H17" s="64"/>
      <c r="I17" s="64">
        <f t="shared" ref="I17:I21" si="8">F17+G17-H17</f>
        <v>128.19</v>
      </c>
      <c r="J17" s="64">
        <v>47.54</v>
      </c>
      <c r="K17" s="65">
        <f t="shared" ref="K17:K21" si="9">F17*J17</f>
        <v>6094.1525999999994</v>
      </c>
      <c r="L17" s="65">
        <f t="shared" ref="L17:L21" si="10">M17-K17</f>
        <v>0</v>
      </c>
      <c r="M17" s="66">
        <f t="shared" ref="M17:M21" si="11">I17*J17</f>
        <v>6094.1525999999994</v>
      </c>
      <c r="N17" s="30"/>
      <c r="O17" s="31"/>
      <c r="P17" s="31"/>
      <c r="Q17" s="31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8" customHeight="1">
      <c r="A18" s="67" t="s">
        <v>194</v>
      </c>
      <c r="B18" s="68">
        <v>2</v>
      </c>
      <c r="C18" s="69" t="s">
        <v>195</v>
      </c>
      <c r="D18" s="63" t="s">
        <v>196</v>
      </c>
      <c r="E18" s="62" t="s">
        <v>197</v>
      </c>
      <c r="F18" s="64">
        <v>156.4</v>
      </c>
      <c r="G18" s="64"/>
      <c r="H18" s="64"/>
      <c r="I18" s="64">
        <f t="shared" si="8"/>
        <v>156.4</v>
      </c>
      <c r="J18" s="64">
        <v>7.64</v>
      </c>
      <c r="K18" s="65">
        <f t="shared" si="9"/>
        <v>1194.896</v>
      </c>
      <c r="L18" s="65">
        <f t="shared" si="10"/>
        <v>0</v>
      </c>
      <c r="M18" s="66">
        <f t="shared" si="11"/>
        <v>1194.896</v>
      </c>
      <c r="N18" s="30"/>
      <c r="O18" s="31"/>
      <c r="P18" s="31"/>
      <c r="Q18" s="31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25.5" customHeight="1">
      <c r="A19" s="60" t="s">
        <v>198</v>
      </c>
      <c r="B19" s="61">
        <v>100328</v>
      </c>
      <c r="C19" s="62" t="s">
        <v>199</v>
      </c>
      <c r="D19" s="70" t="s">
        <v>200</v>
      </c>
      <c r="E19" s="62" t="s">
        <v>201</v>
      </c>
      <c r="F19" s="64">
        <v>299.10000000000002</v>
      </c>
      <c r="G19" s="64"/>
      <c r="H19" s="64"/>
      <c r="I19" s="64">
        <f t="shared" si="8"/>
        <v>299.10000000000002</v>
      </c>
      <c r="J19" s="64">
        <v>14.05</v>
      </c>
      <c r="K19" s="65">
        <f t="shared" si="9"/>
        <v>4202.3550000000005</v>
      </c>
      <c r="L19" s="65">
        <f t="shared" si="10"/>
        <v>0</v>
      </c>
      <c r="M19" s="66">
        <f t="shared" si="11"/>
        <v>4202.3550000000005</v>
      </c>
      <c r="N19" s="30"/>
      <c r="O19" s="31"/>
      <c r="P19" s="31"/>
      <c r="Q19" s="31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25.5" customHeight="1">
      <c r="A20" s="60" t="s">
        <v>202</v>
      </c>
      <c r="B20" s="61">
        <v>98555</v>
      </c>
      <c r="C20" s="62" t="s">
        <v>203</v>
      </c>
      <c r="D20" s="70" t="s">
        <v>204</v>
      </c>
      <c r="E20" s="62" t="s">
        <v>205</v>
      </c>
      <c r="F20" s="64">
        <v>3.56</v>
      </c>
      <c r="G20" s="64"/>
      <c r="H20" s="64"/>
      <c r="I20" s="64">
        <f t="shared" si="8"/>
        <v>3.56</v>
      </c>
      <c r="J20" s="64">
        <v>39.04</v>
      </c>
      <c r="K20" s="65">
        <f t="shared" si="9"/>
        <v>138.98240000000001</v>
      </c>
      <c r="L20" s="65">
        <f t="shared" si="10"/>
        <v>0</v>
      </c>
      <c r="M20" s="66">
        <f t="shared" si="11"/>
        <v>138.98240000000001</v>
      </c>
      <c r="N20" s="30"/>
      <c r="O20" s="31"/>
      <c r="P20" s="31"/>
      <c r="Q20" s="31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25.5" customHeight="1">
      <c r="A21" s="60" t="s">
        <v>206</v>
      </c>
      <c r="B21" s="61">
        <v>98563</v>
      </c>
      <c r="C21" s="62" t="s">
        <v>207</v>
      </c>
      <c r="D21" s="63" t="s">
        <v>208</v>
      </c>
      <c r="E21" s="62" t="s">
        <v>209</v>
      </c>
      <c r="F21" s="64">
        <v>3.56</v>
      </c>
      <c r="G21" s="64"/>
      <c r="H21" s="64"/>
      <c r="I21" s="64">
        <f t="shared" si="8"/>
        <v>3.56</v>
      </c>
      <c r="J21" s="64">
        <v>43.14</v>
      </c>
      <c r="K21" s="65">
        <f t="shared" si="9"/>
        <v>153.57840000000002</v>
      </c>
      <c r="L21" s="65">
        <f t="shared" si="10"/>
        <v>0</v>
      </c>
      <c r="M21" s="66">
        <f t="shared" si="11"/>
        <v>153.57840000000002</v>
      </c>
      <c r="N21" s="30"/>
      <c r="O21" s="31"/>
      <c r="P21" s="31"/>
      <c r="Q21" s="31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9" customHeight="1">
      <c r="A22" s="51"/>
      <c r="B22" s="52"/>
      <c r="C22" s="53" t="s">
        <v>210</v>
      </c>
      <c r="D22" s="54" t="s">
        <v>211</v>
      </c>
      <c r="E22" s="55"/>
      <c r="F22" s="55"/>
      <c r="G22" s="55"/>
      <c r="H22" s="55"/>
      <c r="I22" s="55"/>
      <c r="J22" s="55"/>
      <c r="K22" s="56">
        <f>K23</f>
        <v>3056.52</v>
      </c>
      <c r="L22" s="57"/>
      <c r="M22" s="58">
        <f>M23</f>
        <v>0</v>
      </c>
      <c r="N22" s="30"/>
      <c r="O22" s="31"/>
      <c r="P22" s="31"/>
      <c r="Q22" s="31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33" customHeight="1">
      <c r="A23" s="67" t="s">
        <v>212</v>
      </c>
      <c r="B23" s="68">
        <v>91314</v>
      </c>
      <c r="C23" s="69" t="s">
        <v>213</v>
      </c>
      <c r="D23" s="63" t="s">
        <v>214</v>
      </c>
      <c r="E23" s="62" t="s">
        <v>215</v>
      </c>
      <c r="F23" s="64">
        <v>3</v>
      </c>
      <c r="G23" s="64"/>
      <c r="H23" s="64">
        <v>3</v>
      </c>
      <c r="I23" s="64">
        <f>F23+G23-H23</f>
        <v>0</v>
      </c>
      <c r="J23" s="65">
        <v>1018.84</v>
      </c>
      <c r="K23" s="65">
        <f>F23*J23</f>
        <v>3056.52</v>
      </c>
      <c r="L23" s="65">
        <f>M23-K23</f>
        <v>-3056.52</v>
      </c>
      <c r="M23" s="66">
        <f>I23*J23</f>
        <v>0</v>
      </c>
      <c r="N23" s="30"/>
      <c r="O23" s="31"/>
      <c r="P23" s="31"/>
      <c r="Q23" s="31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26.25" customHeight="1">
      <c r="A24" s="67"/>
      <c r="B24" s="68"/>
      <c r="C24" s="69"/>
      <c r="D24" s="63"/>
      <c r="E24" s="62"/>
      <c r="F24" s="64"/>
      <c r="G24" s="64"/>
      <c r="H24" s="64"/>
      <c r="I24" s="64"/>
      <c r="J24" s="65"/>
      <c r="K24" s="65"/>
      <c r="L24" s="65"/>
      <c r="M24" s="66"/>
      <c r="N24" s="30"/>
      <c r="O24" s="31"/>
      <c r="P24" s="31"/>
      <c r="Q24" s="31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9" customHeight="1">
      <c r="A25" s="51"/>
      <c r="B25" s="52"/>
      <c r="C25" s="53" t="s">
        <v>216</v>
      </c>
      <c r="D25" s="54" t="s">
        <v>217</v>
      </c>
      <c r="E25" s="55"/>
      <c r="F25" s="55"/>
      <c r="G25" s="55"/>
      <c r="H25" s="55"/>
      <c r="I25" s="55"/>
      <c r="J25" s="55"/>
      <c r="K25" s="56">
        <f>SUM(K26:K28)</f>
        <v>3227.88</v>
      </c>
      <c r="L25" s="57"/>
      <c r="M25" s="58">
        <f>SUM(M26:M28)</f>
        <v>3227.88</v>
      </c>
      <c r="N25" s="30"/>
      <c r="O25" s="31"/>
      <c r="P25" s="31"/>
      <c r="Q25" s="31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25.5" customHeight="1">
      <c r="A26" s="67" t="s">
        <v>218</v>
      </c>
      <c r="B26" s="61">
        <v>3</v>
      </c>
      <c r="C26" s="62" t="s">
        <v>219</v>
      </c>
      <c r="D26" s="63" t="s">
        <v>220</v>
      </c>
      <c r="E26" s="62" t="s">
        <v>221</v>
      </c>
      <c r="F26" s="64">
        <v>4</v>
      </c>
      <c r="G26" s="64"/>
      <c r="H26" s="64"/>
      <c r="I26" s="64">
        <f t="shared" ref="I26:I28" si="12">F26+G26-H26</f>
        <v>4</v>
      </c>
      <c r="J26" s="64">
        <v>119.41</v>
      </c>
      <c r="K26" s="65">
        <f t="shared" ref="K26:K28" si="13">F26*J26</f>
        <v>477.64</v>
      </c>
      <c r="L26" s="65">
        <f t="shared" ref="L26:L28" si="14">M26-K26</f>
        <v>0</v>
      </c>
      <c r="M26" s="66">
        <f t="shared" ref="M26:M28" si="15">I26*J26</f>
        <v>477.64</v>
      </c>
      <c r="N26" s="30"/>
      <c r="O26" s="31"/>
      <c r="P26" s="31"/>
      <c r="Q26" s="31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25.5" customHeight="1">
      <c r="A27" s="60" t="s">
        <v>222</v>
      </c>
      <c r="B27" s="61">
        <v>91953</v>
      </c>
      <c r="C27" s="62" t="s">
        <v>223</v>
      </c>
      <c r="D27" s="63" t="s">
        <v>224</v>
      </c>
      <c r="E27" s="62" t="s">
        <v>225</v>
      </c>
      <c r="F27" s="64">
        <v>3</v>
      </c>
      <c r="G27" s="64"/>
      <c r="H27" s="64"/>
      <c r="I27" s="64">
        <f t="shared" si="12"/>
        <v>3</v>
      </c>
      <c r="J27" s="64">
        <v>32.11</v>
      </c>
      <c r="K27" s="65">
        <f t="shared" si="13"/>
        <v>96.33</v>
      </c>
      <c r="L27" s="65">
        <f t="shared" si="14"/>
        <v>0</v>
      </c>
      <c r="M27" s="66">
        <f t="shared" si="15"/>
        <v>96.33</v>
      </c>
      <c r="N27" s="30"/>
      <c r="O27" s="31"/>
      <c r="P27" s="31"/>
      <c r="Q27" s="31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8" customHeight="1">
      <c r="A28" s="67" t="s">
        <v>226</v>
      </c>
      <c r="B28" s="68">
        <v>5</v>
      </c>
      <c r="C28" s="69" t="s">
        <v>227</v>
      </c>
      <c r="D28" s="63" t="s">
        <v>228</v>
      </c>
      <c r="E28" s="62" t="s">
        <v>229</v>
      </c>
      <c r="F28" s="64">
        <v>7</v>
      </c>
      <c r="G28" s="64"/>
      <c r="H28" s="64"/>
      <c r="I28" s="64">
        <f t="shared" si="12"/>
        <v>7</v>
      </c>
      <c r="J28" s="64">
        <v>379.13</v>
      </c>
      <c r="K28" s="65">
        <f t="shared" si="13"/>
        <v>2653.91</v>
      </c>
      <c r="L28" s="65">
        <f t="shared" si="14"/>
        <v>0</v>
      </c>
      <c r="M28" s="66">
        <f t="shared" si="15"/>
        <v>2653.91</v>
      </c>
      <c r="N28" s="30"/>
      <c r="O28" s="31"/>
      <c r="P28" s="31"/>
      <c r="Q28" s="31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9" customHeight="1">
      <c r="A29" s="51"/>
      <c r="B29" s="52"/>
      <c r="C29" s="53" t="s">
        <v>230</v>
      </c>
      <c r="D29" s="54" t="s">
        <v>231</v>
      </c>
      <c r="E29" s="55"/>
      <c r="F29" s="55"/>
      <c r="G29" s="55"/>
      <c r="H29" s="55"/>
      <c r="I29" s="55"/>
      <c r="J29" s="55"/>
      <c r="K29" s="56">
        <f>SUM(K30:K32)</f>
        <v>47156.540999999997</v>
      </c>
      <c r="L29" s="57"/>
      <c r="M29" s="58">
        <f>SUM(M30:M32)</f>
        <v>47156.540999999997</v>
      </c>
      <c r="N29" s="30"/>
      <c r="O29" s="31"/>
      <c r="P29" s="31"/>
      <c r="Q29" s="31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34.5" customHeight="1">
      <c r="A30" s="67" t="s">
        <v>232</v>
      </c>
      <c r="B30" s="68">
        <v>87622</v>
      </c>
      <c r="C30" s="69" t="s">
        <v>233</v>
      </c>
      <c r="D30" s="63" t="s">
        <v>234</v>
      </c>
      <c r="E30" s="62" t="s">
        <v>235</v>
      </c>
      <c r="F30" s="64">
        <v>260.39999999999998</v>
      </c>
      <c r="G30" s="64"/>
      <c r="H30" s="64"/>
      <c r="I30" s="64">
        <f t="shared" ref="I30:I32" si="16">F30+G30-H30</f>
        <v>260.39999999999998</v>
      </c>
      <c r="J30" s="64">
        <v>40.619999999999997</v>
      </c>
      <c r="K30" s="65">
        <f t="shared" ref="K30:K32" si="17">F30*J30</f>
        <v>10577.447999999999</v>
      </c>
      <c r="L30" s="65">
        <f t="shared" ref="L30:L32" si="18">M30-K30</f>
        <v>0</v>
      </c>
      <c r="M30" s="66">
        <f t="shared" ref="M30:M32" si="19">I30*J30</f>
        <v>10577.447999999999</v>
      </c>
      <c r="N30" s="30"/>
      <c r="O30" s="31"/>
      <c r="P30" s="31"/>
      <c r="Q30" s="31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25.5" customHeight="1">
      <c r="A31" s="60" t="s">
        <v>236</v>
      </c>
      <c r="B31" s="61">
        <v>104596</v>
      </c>
      <c r="C31" s="62" t="s">
        <v>237</v>
      </c>
      <c r="D31" s="63" t="s">
        <v>238</v>
      </c>
      <c r="E31" s="62" t="s">
        <v>239</v>
      </c>
      <c r="F31" s="64">
        <v>9.69</v>
      </c>
      <c r="G31" s="64"/>
      <c r="H31" s="64"/>
      <c r="I31" s="64">
        <f t="shared" si="16"/>
        <v>9.69</v>
      </c>
      <c r="J31" s="64">
        <v>185.7</v>
      </c>
      <c r="K31" s="65">
        <f t="shared" si="17"/>
        <v>1799.4329999999998</v>
      </c>
      <c r="L31" s="65">
        <f t="shared" si="18"/>
        <v>0</v>
      </c>
      <c r="M31" s="66">
        <f t="shared" si="19"/>
        <v>1799.4329999999998</v>
      </c>
      <c r="N31" s="30"/>
      <c r="O31" s="31"/>
      <c r="P31" s="31"/>
      <c r="Q31" s="31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42.75" customHeight="1">
      <c r="A32" s="60" t="s">
        <v>240</v>
      </c>
      <c r="B32" s="61">
        <v>104162</v>
      </c>
      <c r="C32" s="62" t="s">
        <v>241</v>
      </c>
      <c r="D32" s="63" t="s">
        <v>242</v>
      </c>
      <c r="E32" s="62" t="s">
        <v>243</v>
      </c>
      <c r="F32" s="64">
        <v>318</v>
      </c>
      <c r="G32" s="64"/>
      <c r="H32" s="64"/>
      <c r="I32" s="64">
        <f t="shared" si="16"/>
        <v>318</v>
      </c>
      <c r="J32" s="64">
        <v>109.37</v>
      </c>
      <c r="K32" s="65">
        <f t="shared" si="17"/>
        <v>34779.660000000003</v>
      </c>
      <c r="L32" s="65">
        <f t="shared" si="18"/>
        <v>0</v>
      </c>
      <c r="M32" s="66">
        <f t="shared" si="19"/>
        <v>34779.660000000003</v>
      </c>
      <c r="N32" s="30"/>
      <c r="O32" s="31"/>
      <c r="P32" s="31"/>
      <c r="Q32" s="31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9" customHeight="1">
      <c r="A33" s="51"/>
      <c r="B33" s="52"/>
      <c r="C33" s="53" t="s">
        <v>244</v>
      </c>
      <c r="D33" s="54" t="s">
        <v>245</v>
      </c>
      <c r="E33" s="55"/>
      <c r="F33" s="55"/>
      <c r="G33" s="55"/>
      <c r="H33" s="55"/>
      <c r="I33" s="55"/>
      <c r="J33" s="55"/>
      <c r="K33" s="56">
        <f>SUM(K34:K36)</f>
        <v>2820.6435000000001</v>
      </c>
      <c r="L33" s="57"/>
      <c r="M33" s="58">
        <f>SUM(M34:M36)</f>
        <v>4236.7848000000004</v>
      </c>
      <c r="N33" s="30"/>
      <c r="O33" s="31"/>
      <c r="P33" s="31"/>
      <c r="Q33" s="31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67" t="s">
        <v>246</v>
      </c>
      <c r="B34" s="68">
        <v>104410</v>
      </c>
      <c r="C34" s="69" t="s">
        <v>247</v>
      </c>
      <c r="D34" s="70" t="s">
        <v>248</v>
      </c>
      <c r="E34" s="62" t="s">
        <v>249</v>
      </c>
      <c r="F34" s="64">
        <v>1.2</v>
      </c>
      <c r="G34" s="64"/>
      <c r="H34" s="64"/>
      <c r="I34" s="64">
        <f t="shared" ref="I34:I36" si="20">F34+G34-H34</f>
        <v>1.2</v>
      </c>
      <c r="J34" s="64">
        <v>5.84</v>
      </c>
      <c r="K34" s="65">
        <f t="shared" ref="K34:K36" si="21">F34*J34</f>
        <v>7.008</v>
      </c>
      <c r="L34" s="65">
        <f t="shared" ref="L34:L36" si="22">M34-K34</f>
        <v>0</v>
      </c>
      <c r="M34" s="66">
        <f t="shared" ref="M34:M36" si="23">I34*J34</f>
        <v>7.008</v>
      </c>
      <c r="N34" s="30"/>
      <c r="O34" s="31"/>
      <c r="P34" s="31"/>
      <c r="Q34" s="31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60" t="s">
        <v>250</v>
      </c>
      <c r="B35" s="61">
        <v>87528</v>
      </c>
      <c r="C35" s="62" t="s">
        <v>251</v>
      </c>
      <c r="D35" s="70" t="s">
        <v>252</v>
      </c>
      <c r="E35" s="62" t="s">
        <v>253</v>
      </c>
      <c r="F35" s="64">
        <v>19.89</v>
      </c>
      <c r="G35" s="64"/>
      <c r="H35" s="64">
        <f>G36</f>
        <v>18.690000000000001</v>
      </c>
      <c r="I35" s="64">
        <f t="shared" si="20"/>
        <v>1.1999999999999993</v>
      </c>
      <c r="J35" s="64">
        <v>48.71</v>
      </c>
      <c r="K35" s="65">
        <f t="shared" si="21"/>
        <v>968.84190000000001</v>
      </c>
      <c r="L35" s="65">
        <f t="shared" si="22"/>
        <v>-910.38990000000001</v>
      </c>
      <c r="M35" s="66">
        <f t="shared" si="23"/>
        <v>58.45199999999997</v>
      </c>
      <c r="N35" s="30"/>
      <c r="O35" s="31"/>
      <c r="P35" s="31"/>
      <c r="Q35" s="31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67" t="s">
        <v>254</v>
      </c>
      <c r="B36" s="68">
        <v>104612</v>
      </c>
      <c r="C36" s="69" t="s">
        <v>255</v>
      </c>
      <c r="D36" s="63" t="s">
        <v>256</v>
      </c>
      <c r="E36" s="62" t="s">
        <v>257</v>
      </c>
      <c r="F36" s="64">
        <v>14.82</v>
      </c>
      <c r="G36" s="64">
        <f>12.46*1.5</f>
        <v>18.690000000000001</v>
      </c>
      <c r="H36" s="64"/>
      <c r="I36" s="64">
        <f t="shared" si="20"/>
        <v>33.510000000000005</v>
      </c>
      <c r="J36" s="64">
        <v>124.48</v>
      </c>
      <c r="K36" s="65">
        <f t="shared" si="21"/>
        <v>1844.7936000000002</v>
      </c>
      <c r="L36" s="65">
        <f t="shared" si="22"/>
        <v>2326.5312000000004</v>
      </c>
      <c r="M36" s="66">
        <f t="shared" si="23"/>
        <v>4171.3248000000003</v>
      </c>
      <c r="N36" s="30"/>
      <c r="O36" s="31"/>
      <c r="P36" s="31"/>
      <c r="Q36" s="31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51"/>
      <c r="B37" s="52"/>
      <c r="C37" s="53" t="s">
        <v>258</v>
      </c>
      <c r="D37" s="54" t="s">
        <v>259</v>
      </c>
      <c r="E37" s="55"/>
      <c r="F37" s="55"/>
      <c r="G37" s="55"/>
      <c r="H37" s="55"/>
      <c r="I37" s="55"/>
      <c r="J37" s="55"/>
      <c r="K37" s="56">
        <f>SUM(K38:K41)</f>
        <v>15275.639199999998</v>
      </c>
      <c r="L37" s="57"/>
      <c r="M37" s="58">
        <f>SUM(M38:M41)</f>
        <v>12585.432099999998</v>
      </c>
      <c r="N37" s="30"/>
      <c r="O37" s="31"/>
      <c r="P37" s="31"/>
      <c r="Q37" s="31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67" t="s">
        <v>260</v>
      </c>
      <c r="B38" s="68">
        <v>88485</v>
      </c>
      <c r="C38" s="69" t="s">
        <v>261</v>
      </c>
      <c r="D38" s="63" t="s">
        <v>262</v>
      </c>
      <c r="E38" s="62" t="s">
        <v>263</v>
      </c>
      <c r="F38" s="64">
        <v>118.85</v>
      </c>
      <c r="G38" s="64"/>
      <c r="H38" s="64">
        <f>38.72+48.82+18.69</f>
        <v>106.22999999999999</v>
      </c>
      <c r="I38" s="64">
        <f t="shared" ref="I38:I41" si="24">F38+G38-H38</f>
        <v>12.620000000000005</v>
      </c>
      <c r="J38" s="64">
        <v>4.53</v>
      </c>
      <c r="K38" s="65">
        <f t="shared" ref="K38:K41" si="25">F38*J38</f>
        <v>538.39049999999997</v>
      </c>
      <c r="L38" s="65">
        <f t="shared" ref="L38:L41" si="26">M38-K38</f>
        <v>-481.22189999999995</v>
      </c>
      <c r="M38" s="66">
        <f t="shared" ref="M38:M41" si="27">I38*J38</f>
        <v>57.168600000000026</v>
      </c>
      <c r="N38" s="30"/>
      <c r="O38" s="31"/>
      <c r="P38" s="31"/>
      <c r="Q38" s="31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67" t="s">
        <v>264</v>
      </c>
      <c r="B39" s="68">
        <v>88497</v>
      </c>
      <c r="C39" s="69" t="s">
        <v>265</v>
      </c>
      <c r="D39" s="63" t="s">
        <v>266</v>
      </c>
      <c r="E39" s="62" t="s">
        <v>267</v>
      </c>
      <c r="F39" s="64">
        <v>414.62</v>
      </c>
      <c r="G39" s="64"/>
      <c r="H39" s="64">
        <f>H38</f>
        <v>106.22999999999999</v>
      </c>
      <c r="I39" s="64">
        <f t="shared" si="24"/>
        <v>308.39</v>
      </c>
      <c r="J39" s="64">
        <v>18.149999999999999</v>
      </c>
      <c r="K39" s="65">
        <f t="shared" si="25"/>
        <v>7525.3529999999992</v>
      </c>
      <c r="L39" s="65">
        <f t="shared" si="26"/>
        <v>-1928.0744999999997</v>
      </c>
      <c r="M39" s="66">
        <f t="shared" si="27"/>
        <v>5597.2784999999994</v>
      </c>
      <c r="N39" s="30"/>
      <c r="O39" s="31"/>
      <c r="P39" s="31"/>
      <c r="Q39" s="31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67" t="s">
        <v>268</v>
      </c>
      <c r="B40" s="68">
        <v>88489</v>
      </c>
      <c r="C40" s="69" t="s">
        <v>269</v>
      </c>
      <c r="D40" s="63" t="s">
        <v>270</v>
      </c>
      <c r="E40" s="62" t="s">
        <v>271</v>
      </c>
      <c r="F40" s="64">
        <v>400.93</v>
      </c>
      <c r="G40" s="64"/>
      <c r="H40" s="64">
        <f>G36</f>
        <v>18.690000000000001</v>
      </c>
      <c r="I40" s="64">
        <f t="shared" si="24"/>
        <v>382.24</v>
      </c>
      <c r="J40" s="64">
        <v>15.03</v>
      </c>
      <c r="K40" s="65">
        <f t="shared" si="25"/>
        <v>6025.9778999999999</v>
      </c>
      <c r="L40" s="65">
        <f t="shared" si="26"/>
        <v>-280.91070000000036</v>
      </c>
      <c r="M40" s="66">
        <f t="shared" si="27"/>
        <v>5745.0671999999995</v>
      </c>
      <c r="N40" s="30"/>
      <c r="O40" s="31"/>
      <c r="P40" s="31"/>
      <c r="Q40" s="31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67" t="s">
        <v>272</v>
      </c>
      <c r="B41" s="68">
        <v>88488</v>
      </c>
      <c r="C41" s="69" t="s">
        <v>273</v>
      </c>
      <c r="D41" s="63" t="s">
        <v>274</v>
      </c>
      <c r="E41" s="62" t="s">
        <v>275</v>
      </c>
      <c r="F41" s="64">
        <v>67.42</v>
      </c>
      <c r="G41" s="64"/>
      <c r="H41" s="64"/>
      <c r="I41" s="64">
        <f t="shared" si="24"/>
        <v>67.42</v>
      </c>
      <c r="J41" s="64">
        <v>17.59</v>
      </c>
      <c r="K41" s="65">
        <f t="shared" si="25"/>
        <v>1185.9177999999999</v>
      </c>
      <c r="L41" s="65">
        <f t="shared" si="26"/>
        <v>0</v>
      </c>
      <c r="M41" s="66">
        <f t="shared" si="27"/>
        <v>1185.9177999999999</v>
      </c>
      <c r="N41" s="30"/>
      <c r="O41" s="31"/>
      <c r="P41" s="31"/>
      <c r="Q41" s="31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51"/>
      <c r="B42" s="52"/>
      <c r="C42" s="53" t="s">
        <v>276</v>
      </c>
      <c r="D42" s="54" t="s">
        <v>277</v>
      </c>
      <c r="E42" s="55"/>
      <c r="F42" s="55"/>
      <c r="G42" s="55"/>
      <c r="H42" s="55"/>
      <c r="I42" s="55"/>
      <c r="J42" s="55"/>
      <c r="K42" s="56">
        <f>K43</f>
        <v>11887.145699999999</v>
      </c>
      <c r="L42" s="57"/>
      <c r="M42" s="58">
        <f>M43</f>
        <v>11887.145699999999</v>
      </c>
      <c r="N42" s="30"/>
      <c r="O42" s="31"/>
      <c r="P42" s="31"/>
      <c r="Q42" s="31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51"/>
      <c r="B43" s="52"/>
      <c r="C43" s="53" t="s">
        <v>278</v>
      </c>
      <c r="D43" s="54" t="s">
        <v>279</v>
      </c>
      <c r="E43" s="55"/>
      <c r="F43" s="55"/>
      <c r="G43" s="55"/>
      <c r="H43" s="55"/>
      <c r="I43" s="55"/>
      <c r="J43" s="55"/>
      <c r="K43" s="56">
        <f>SUM(K44:K45)</f>
        <v>11887.145699999999</v>
      </c>
      <c r="L43" s="57"/>
      <c r="M43" s="58">
        <f>SUM(M44:M45)</f>
        <v>11887.145699999999</v>
      </c>
      <c r="N43" s="30"/>
      <c r="O43" s="31"/>
      <c r="P43" s="31"/>
      <c r="Q43" s="31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67" t="s">
        <v>280</v>
      </c>
      <c r="B44" s="68">
        <v>88497</v>
      </c>
      <c r="C44" s="69" t="s">
        <v>281</v>
      </c>
      <c r="D44" s="63" t="s">
        <v>282</v>
      </c>
      <c r="E44" s="62" t="s">
        <v>283</v>
      </c>
      <c r="F44" s="64">
        <v>362.38</v>
      </c>
      <c r="G44" s="64"/>
      <c r="H44" s="64"/>
      <c r="I44" s="64">
        <f t="shared" ref="I44:I45" si="28">F44+G44-H44</f>
        <v>362.38</v>
      </c>
      <c r="J44" s="64">
        <v>18.149999999999999</v>
      </c>
      <c r="K44" s="65">
        <f t="shared" ref="K44:K45" si="29">F44*J44</f>
        <v>6577.1969999999992</v>
      </c>
      <c r="L44" s="65">
        <f t="shared" ref="L44:L45" si="30">M44-K44</f>
        <v>0</v>
      </c>
      <c r="M44" s="66">
        <f t="shared" ref="M44:M45" si="31">I44*J44</f>
        <v>6577.1969999999992</v>
      </c>
      <c r="N44" s="30"/>
      <c r="O44" s="31"/>
      <c r="P44" s="31"/>
      <c r="Q44" s="31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67" t="s">
        <v>284</v>
      </c>
      <c r="B45" s="68">
        <v>88489</v>
      </c>
      <c r="C45" s="69" t="s">
        <v>285</v>
      </c>
      <c r="D45" s="63" t="s">
        <v>286</v>
      </c>
      <c r="E45" s="62" t="s">
        <v>287</v>
      </c>
      <c r="F45" s="64">
        <v>353.29</v>
      </c>
      <c r="G45" s="64"/>
      <c r="H45" s="64"/>
      <c r="I45" s="64">
        <f t="shared" si="28"/>
        <v>353.29</v>
      </c>
      <c r="J45" s="64">
        <v>15.03</v>
      </c>
      <c r="K45" s="65">
        <f t="shared" si="29"/>
        <v>5309.9486999999999</v>
      </c>
      <c r="L45" s="65">
        <f t="shared" si="30"/>
        <v>0</v>
      </c>
      <c r="M45" s="66">
        <f t="shared" si="31"/>
        <v>5309.9486999999999</v>
      </c>
      <c r="N45" s="30"/>
      <c r="O45" s="31"/>
      <c r="P45" s="31"/>
      <c r="Q45" s="31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71"/>
      <c r="B46" s="72"/>
      <c r="C46" s="72"/>
      <c r="D46" s="73"/>
      <c r="E46" s="74"/>
      <c r="F46" s="74"/>
      <c r="G46" s="74"/>
      <c r="H46" s="74"/>
      <c r="I46" s="74"/>
      <c r="J46" s="74"/>
      <c r="K46" s="75"/>
      <c r="L46" s="76"/>
      <c r="M46" s="77"/>
      <c r="N46" s="30"/>
      <c r="O46" s="31"/>
      <c r="P46" s="31"/>
      <c r="Q46" s="31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.75" customHeight="1">
      <c r="A47" s="71"/>
      <c r="B47" s="72"/>
      <c r="C47" s="72"/>
      <c r="D47" s="73"/>
      <c r="E47" s="74"/>
      <c r="F47" s="74"/>
      <c r="G47" s="74"/>
      <c r="H47" s="74"/>
      <c r="I47" s="74"/>
      <c r="J47" s="74"/>
      <c r="K47" s="75"/>
      <c r="L47" s="76"/>
      <c r="M47" s="77"/>
      <c r="N47" s="30"/>
      <c r="O47" s="31"/>
      <c r="P47" s="31"/>
      <c r="Q47" s="31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.75" customHeight="1">
      <c r="A48" s="71"/>
      <c r="B48" s="72"/>
      <c r="C48" s="72"/>
      <c r="D48" s="73"/>
      <c r="E48" s="74"/>
      <c r="F48" s="74"/>
      <c r="G48" s="74"/>
      <c r="H48" s="74"/>
      <c r="I48" s="74"/>
      <c r="J48" s="74"/>
      <c r="K48" s="75"/>
      <c r="L48" s="76"/>
      <c r="M48" s="77"/>
      <c r="N48" s="30"/>
      <c r="O48" s="31"/>
      <c r="P48" s="31"/>
      <c r="Q48" s="31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.75" customHeight="1">
      <c r="A49" s="71"/>
      <c r="B49" s="72"/>
      <c r="C49" s="72"/>
      <c r="D49" s="73"/>
      <c r="E49" s="74"/>
      <c r="F49" s="74"/>
      <c r="G49" s="74"/>
      <c r="H49" s="74"/>
      <c r="I49" s="74"/>
      <c r="J49" s="74"/>
      <c r="K49" s="75"/>
      <c r="L49" s="76"/>
      <c r="M49" s="77"/>
      <c r="N49" s="30"/>
      <c r="O49" s="31"/>
      <c r="P49" s="31"/>
      <c r="Q49" s="31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.75" customHeight="1">
      <c r="A50" s="71"/>
      <c r="B50" s="72"/>
      <c r="C50" s="72"/>
      <c r="D50" s="73"/>
      <c r="E50" s="74"/>
      <c r="F50" s="74"/>
      <c r="G50" s="74"/>
      <c r="H50" s="74"/>
      <c r="I50" s="74"/>
      <c r="J50" s="74"/>
      <c r="K50" s="75"/>
      <c r="L50" s="76"/>
      <c r="M50" s="77"/>
      <c r="N50" s="30"/>
      <c r="O50" s="31"/>
      <c r="P50" s="31"/>
      <c r="Q50" s="31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.75" customHeight="1">
      <c r="A51" s="71"/>
      <c r="B51" s="72"/>
      <c r="C51" s="72"/>
      <c r="D51" s="73"/>
      <c r="E51" s="74"/>
      <c r="F51" s="74"/>
      <c r="G51" s="74"/>
      <c r="H51" s="74"/>
      <c r="I51" s="74"/>
      <c r="J51" s="74"/>
      <c r="K51" s="75"/>
      <c r="L51" s="76"/>
      <c r="M51" s="77"/>
      <c r="N51" s="30"/>
      <c r="O51" s="31"/>
      <c r="P51" s="31"/>
      <c r="Q51" s="31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.75" customHeight="1">
      <c r="A52" s="71"/>
      <c r="B52" s="72"/>
      <c r="C52" s="72"/>
      <c r="D52" s="73"/>
      <c r="E52" s="74"/>
      <c r="F52" s="74"/>
      <c r="G52" s="74"/>
      <c r="H52" s="74"/>
      <c r="I52" s="74"/>
      <c r="J52" s="74"/>
      <c r="K52" s="75"/>
      <c r="L52" s="76"/>
      <c r="M52" s="77"/>
      <c r="N52" s="30"/>
      <c r="O52" s="31"/>
      <c r="P52" s="31"/>
      <c r="Q52" s="31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.75" customHeight="1">
      <c r="A53" s="71"/>
      <c r="B53" s="72"/>
      <c r="C53" s="72"/>
      <c r="D53" s="73"/>
      <c r="E53" s="74"/>
      <c r="F53" s="74"/>
      <c r="G53" s="74"/>
      <c r="H53" s="74"/>
      <c r="I53" s="74"/>
      <c r="J53" s="74"/>
      <c r="K53" s="75"/>
      <c r="L53" s="76"/>
      <c r="M53" s="77"/>
      <c r="N53" s="30"/>
      <c r="O53" s="31"/>
      <c r="P53" s="31"/>
      <c r="Q53" s="31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.75" customHeight="1">
      <c r="A54" s="71"/>
      <c r="B54" s="72"/>
      <c r="C54" s="72"/>
      <c r="D54" s="73"/>
      <c r="E54" s="74"/>
      <c r="F54" s="74"/>
      <c r="G54" s="74"/>
      <c r="H54" s="74"/>
      <c r="I54" s="74"/>
      <c r="J54" s="74"/>
      <c r="K54" s="75"/>
      <c r="L54" s="76"/>
      <c r="M54" s="77"/>
      <c r="N54" s="30"/>
      <c r="O54" s="31"/>
      <c r="P54" s="31"/>
      <c r="Q54" s="31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.75" customHeight="1">
      <c r="A55" s="71"/>
      <c r="B55" s="72"/>
      <c r="C55" s="72"/>
      <c r="D55" s="73"/>
      <c r="E55" s="74"/>
      <c r="F55" s="74"/>
      <c r="G55" s="74"/>
      <c r="H55" s="74"/>
      <c r="I55" s="74"/>
      <c r="J55" s="74"/>
      <c r="K55" s="75"/>
      <c r="L55" s="76"/>
      <c r="M55" s="77"/>
      <c r="N55" s="30"/>
      <c r="O55" s="31"/>
      <c r="P55" s="31"/>
      <c r="Q55" s="31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.75" customHeight="1">
      <c r="A56" s="71"/>
      <c r="B56" s="72"/>
      <c r="C56" s="72"/>
      <c r="D56" s="73"/>
      <c r="E56" s="74"/>
      <c r="F56" s="74"/>
      <c r="G56" s="74"/>
      <c r="H56" s="74"/>
      <c r="I56" s="74"/>
      <c r="J56" s="74"/>
      <c r="K56" s="75"/>
      <c r="L56" s="76"/>
      <c r="M56" s="77"/>
      <c r="N56" s="30"/>
      <c r="O56" s="31"/>
      <c r="P56" s="31"/>
      <c r="Q56" s="31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.75" customHeight="1">
      <c r="A57" s="71"/>
      <c r="B57" s="72"/>
      <c r="C57" s="72"/>
      <c r="D57" s="73"/>
      <c r="E57" s="74"/>
      <c r="F57" s="74"/>
      <c r="G57" s="74"/>
      <c r="H57" s="74"/>
      <c r="I57" s="74"/>
      <c r="J57" s="74"/>
      <c r="K57" s="75"/>
      <c r="L57" s="76"/>
      <c r="M57" s="77"/>
      <c r="N57" s="30"/>
      <c r="O57" s="31"/>
      <c r="P57" s="31"/>
      <c r="Q57" s="31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.75" customHeight="1">
      <c r="A58" s="71"/>
      <c r="B58" s="72"/>
      <c r="C58" s="72"/>
      <c r="D58" s="73"/>
      <c r="E58" s="74"/>
      <c r="F58" s="74"/>
      <c r="G58" s="74"/>
      <c r="H58" s="74"/>
      <c r="I58" s="74"/>
      <c r="J58" s="74"/>
      <c r="K58" s="75"/>
      <c r="L58" s="76"/>
      <c r="M58" s="77"/>
      <c r="N58" s="30"/>
      <c r="O58" s="31"/>
      <c r="P58" s="31"/>
      <c r="Q58" s="31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.75" customHeight="1">
      <c r="A59" s="71"/>
      <c r="B59" s="72"/>
      <c r="C59" s="72"/>
      <c r="D59" s="73"/>
      <c r="E59" s="74"/>
      <c r="F59" s="74"/>
      <c r="G59" s="74"/>
      <c r="H59" s="74"/>
      <c r="I59" s="74"/>
      <c r="J59" s="74"/>
      <c r="K59" s="75"/>
      <c r="L59" s="76"/>
      <c r="M59" s="77"/>
      <c r="N59" s="30"/>
      <c r="O59" s="31"/>
      <c r="P59" s="31"/>
      <c r="Q59" s="31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.75" customHeight="1">
      <c r="A60" s="71"/>
      <c r="B60" s="72"/>
      <c r="C60" s="72"/>
      <c r="D60" s="73"/>
      <c r="E60" s="74"/>
      <c r="F60" s="74"/>
      <c r="G60" s="74"/>
      <c r="H60" s="74"/>
      <c r="I60" s="74"/>
      <c r="J60" s="74"/>
      <c r="K60" s="75"/>
      <c r="L60" s="76"/>
      <c r="M60" s="77"/>
      <c r="N60" s="30"/>
      <c r="O60" s="31"/>
      <c r="P60" s="31"/>
      <c r="Q60" s="31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.75" customHeight="1">
      <c r="A61" s="71"/>
      <c r="B61" s="72"/>
      <c r="C61" s="72"/>
      <c r="D61" s="73"/>
      <c r="E61" s="74"/>
      <c r="F61" s="74"/>
      <c r="G61" s="74"/>
      <c r="H61" s="74"/>
      <c r="I61" s="74"/>
      <c r="J61" s="74"/>
      <c r="K61" s="75"/>
      <c r="L61" s="76"/>
      <c r="M61" s="77"/>
      <c r="N61" s="30"/>
      <c r="O61" s="31"/>
      <c r="P61" s="31"/>
      <c r="Q61" s="31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.75" customHeight="1">
      <c r="A62" s="71"/>
      <c r="B62" s="72"/>
      <c r="C62" s="72"/>
      <c r="D62" s="73"/>
      <c r="E62" s="74"/>
      <c r="F62" s="74"/>
      <c r="G62" s="74"/>
      <c r="H62" s="74"/>
      <c r="I62" s="74"/>
      <c r="J62" s="74"/>
      <c r="K62" s="75"/>
      <c r="L62" s="76"/>
      <c r="M62" s="77"/>
      <c r="N62" s="30"/>
      <c r="O62" s="31"/>
      <c r="P62" s="31"/>
      <c r="Q62" s="31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.75" customHeight="1">
      <c r="A63" s="71"/>
      <c r="B63" s="72"/>
      <c r="C63" s="72"/>
      <c r="D63" s="73"/>
      <c r="E63" s="74"/>
      <c r="F63" s="74"/>
      <c r="G63" s="74"/>
      <c r="H63" s="74"/>
      <c r="I63" s="74"/>
      <c r="J63" s="74"/>
      <c r="K63" s="75"/>
      <c r="L63" s="76"/>
      <c r="M63" s="77"/>
      <c r="N63" s="30"/>
      <c r="O63" s="31"/>
      <c r="P63" s="31"/>
      <c r="Q63" s="31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.75" customHeight="1">
      <c r="A64" s="71"/>
      <c r="B64" s="72"/>
      <c r="C64" s="72"/>
      <c r="D64" s="73"/>
      <c r="E64" s="74"/>
      <c r="F64" s="74"/>
      <c r="G64" s="74"/>
      <c r="H64" s="74"/>
      <c r="I64" s="74"/>
      <c r="J64" s="74"/>
      <c r="K64" s="75"/>
      <c r="L64" s="76"/>
      <c r="M64" s="77"/>
      <c r="N64" s="30"/>
      <c r="O64" s="31"/>
      <c r="P64" s="31"/>
      <c r="Q64" s="31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.75" customHeight="1">
      <c r="A65" s="71"/>
      <c r="B65" s="72"/>
      <c r="C65" s="72"/>
      <c r="D65" s="73"/>
      <c r="E65" s="74"/>
      <c r="F65" s="74"/>
      <c r="G65" s="74"/>
      <c r="H65" s="74"/>
      <c r="I65" s="74"/>
      <c r="J65" s="74"/>
      <c r="K65" s="75"/>
      <c r="L65" s="76"/>
      <c r="M65" s="77"/>
      <c r="N65" s="30"/>
      <c r="O65" s="31"/>
      <c r="P65" s="31"/>
      <c r="Q65" s="31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.75" customHeight="1">
      <c r="A66" s="71"/>
      <c r="B66" s="72"/>
      <c r="C66" s="72"/>
      <c r="D66" s="73"/>
      <c r="E66" s="74"/>
      <c r="F66" s="74"/>
      <c r="G66" s="74"/>
      <c r="H66" s="74"/>
      <c r="I66" s="74"/>
      <c r="J66" s="74"/>
      <c r="K66" s="75"/>
      <c r="L66" s="76"/>
      <c r="M66" s="77"/>
      <c r="N66" s="30"/>
      <c r="O66" s="31"/>
      <c r="P66" s="31"/>
      <c r="Q66" s="31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.75" customHeight="1">
      <c r="A67" s="71"/>
      <c r="B67" s="72"/>
      <c r="C67" s="72"/>
      <c r="D67" s="73"/>
      <c r="E67" s="74"/>
      <c r="F67" s="74"/>
      <c r="G67" s="74"/>
      <c r="H67" s="74"/>
      <c r="I67" s="74"/>
      <c r="J67" s="74"/>
      <c r="K67" s="75"/>
      <c r="L67" s="76"/>
      <c r="M67" s="77"/>
      <c r="N67" s="30"/>
      <c r="O67" s="31"/>
      <c r="P67" s="31"/>
      <c r="Q67" s="31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.75" customHeight="1">
      <c r="A68" s="71"/>
      <c r="B68" s="72"/>
      <c r="C68" s="72"/>
      <c r="D68" s="73"/>
      <c r="E68" s="74"/>
      <c r="F68" s="74"/>
      <c r="G68" s="74"/>
      <c r="H68" s="74"/>
      <c r="I68" s="74"/>
      <c r="J68" s="74"/>
      <c r="K68" s="75"/>
      <c r="L68" s="76"/>
      <c r="M68" s="77"/>
      <c r="N68" s="30"/>
      <c r="O68" s="31"/>
      <c r="P68" s="31"/>
      <c r="Q68" s="31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>
      <c r="A69" s="71"/>
      <c r="B69" s="72"/>
      <c r="C69" s="72"/>
      <c r="D69" s="73"/>
      <c r="E69" s="74"/>
      <c r="F69" s="74"/>
      <c r="G69" s="74"/>
      <c r="H69" s="74"/>
      <c r="I69" s="74"/>
      <c r="J69" s="74"/>
      <c r="K69" s="75"/>
      <c r="L69" s="76"/>
      <c r="M69" s="77"/>
      <c r="N69" s="30"/>
      <c r="O69" s="31"/>
      <c r="P69" s="31"/>
      <c r="Q69" s="31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>
      <c r="A70" s="71"/>
      <c r="B70" s="72"/>
      <c r="C70" s="72"/>
      <c r="D70" s="73"/>
      <c r="E70" s="74"/>
      <c r="F70" s="74"/>
      <c r="G70" s="74"/>
      <c r="H70" s="74"/>
      <c r="I70" s="74"/>
      <c r="J70" s="74"/>
      <c r="K70" s="75"/>
      <c r="L70" s="76"/>
      <c r="M70" s="77"/>
      <c r="N70" s="30"/>
      <c r="O70" s="31"/>
      <c r="P70" s="31"/>
      <c r="Q70" s="31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>
      <c r="A71" s="71"/>
      <c r="B71" s="72"/>
      <c r="C71" s="72"/>
      <c r="D71" s="73"/>
      <c r="E71" s="74"/>
      <c r="F71" s="74"/>
      <c r="G71" s="74"/>
      <c r="H71" s="74"/>
      <c r="I71" s="74"/>
      <c r="J71" s="74"/>
      <c r="K71" s="75"/>
      <c r="L71" s="76"/>
      <c r="M71" s="77"/>
      <c r="N71" s="30"/>
      <c r="O71" s="31"/>
      <c r="P71" s="31"/>
      <c r="Q71" s="31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>
      <c r="A72" s="71"/>
      <c r="B72" s="72"/>
      <c r="C72" s="72"/>
      <c r="D72" s="73"/>
      <c r="E72" s="74"/>
      <c r="F72" s="74"/>
      <c r="G72" s="74"/>
      <c r="H72" s="74"/>
      <c r="I72" s="74"/>
      <c r="J72" s="74"/>
      <c r="K72" s="75"/>
      <c r="L72" s="76"/>
      <c r="M72" s="77"/>
      <c r="N72" s="30"/>
      <c r="O72" s="31"/>
      <c r="P72" s="31"/>
      <c r="Q72" s="31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>
      <c r="A73" s="71"/>
      <c r="B73" s="72"/>
      <c r="C73" s="72"/>
      <c r="D73" s="73"/>
      <c r="E73" s="74"/>
      <c r="F73" s="74"/>
      <c r="G73" s="74"/>
      <c r="H73" s="74"/>
      <c r="I73" s="74"/>
      <c r="J73" s="74"/>
      <c r="K73" s="75"/>
      <c r="L73" s="76"/>
      <c r="M73" s="77"/>
      <c r="N73" s="30"/>
      <c r="O73" s="31"/>
      <c r="P73" s="31"/>
      <c r="Q73" s="31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customHeight="1">
      <c r="A74" s="71"/>
      <c r="B74" s="72"/>
      <c r="C74" s="72"/>
      <c r="D74" s="73"/>
      <c r="E74" s="74"/>
      <c r="F74" s="74"/>
      <c r="G74" s="74"/>
      <c r="H74" s="74"/>
      <c r="I74" s="74"/>
      <c r="J74" s="74"/>
      <c r="K74" s="75"/>
      <c r="L74" s="76"/>
      <c r="M74" s="77"/>
      <c r="N74" s="30"/>
      <c r="O74" s="31"/>
      <c r="P74" s="31"/>
      <c r="Q74" s="31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customHeight="1">
      <c r="A75" s="71"/>
      <c r="B75" s="72"/>
      <c r="C75" s="72"/>
      <c r="D75" s="73"/>
      <c r="E75" s="74"/>
      <c r="F75" s="74"/>
      <c r="G75" s="74"/>
      <c r="H75" s="74"/>
      <c r="I75" s="74"/>
      <c r="J75" s="74"/>
      <c r="K75" s="75"/>
      <c r="L75" s="76"/>
      <c r="M75" s="77"/>
      <c r="N75" s="30"/>
      <c r="O75" s="31"/>
      <c r="P75" s="31"/>
      <c r="Q75" s="31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customHeight="1">
      <c r="A76" s="71"/>
      <c r="B76" s="72"/>
      <c r="C76" s="72"/>
      <c r="D76" s="73"/>
      <c r="E76" s="74"/>
      <c r="F76" s="74"/>
      <c r="G76" s="74"/>
      <c r="H76" s="74"/>
      <c r="I76" s="74"/>
      <c r="J76" s="74"/>
      <c r="K76" s="75"/>
      <c r="L76" s="76"/>
      <c r="M76" s="77"/>
      <c r="N76" s="30"/>
      <c r="O76" s="31"/>
      <c r="P76" s="31"/>
      <c r="Q76" s="31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customHeight="1">
      <c r="A77" s="71"/>
      <c r="B77" s="72"/>
      <c r="C77" s="72"/>
      <c r="D77" s="73"/>
      <c r="E77" s="74"/>
      <c r="F77" s="74"/>
      <c r="G77" s="74"/>
      <c r="H77" s="74"/>
      <c r="I77" s="74"/>
      <c r="J77" s="74"/>
      <c r="K77" s="75"/>
      <c r="L77" s="76"/>
      <c r="M77" s="77"/>
      <c r="N77" s="30"/>
      <c r="O77" s="31"/>
      <c r="P77" s="31"/>
      <c r="Q77" s="31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customHeight="1">
      <c r="A78" s="71"/>
      <c r="B78" s="72"/>
      <c r="C78" s="72"/>
      <c r="D78" s="73"/>
      <c r="E78" s="74"/>
      <c r="F78" s="74"/>
      <c r="G78" s="74"/>
      <c r="H78" s="74"/>
      <c r="I78" s="74"/>
      <c r="J78" s="74"/>
      <c r="K78" s="75"/>
      <c r="L78" s="76"/>
      <c r="M78" s="77"/>
      <c r="N78" s="30"/>
      <c r="O78" s="31"/>
      <c r="P78" s="31"/>
      <c r="Q78" s="31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customHeight="1">
      <c r="A79" s="71"/>
      <c r="B79" s="72"/>
      <c r="C79" s="72"/>
      <c r="D79" s="73"/>
      <c r="E79" s="74"/>
      <c r="F79" s="74"/>
      <c r="G79" s="74"/>
      <c r="H79" s="74"/>
      <c r="I79" s="74"/>
      <c r="J79" s="74"/>
      <c r="K79" s="75"/>
      <c r="L79" s="76"/>
      <c r="M79" s="77"/>
      <c r="N79" s="30"/>
      <c r="O79" s="31"/>
      <c r="P79" s="31"/>
      <c r="Q79" s="31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customHeight="1">
      <c r="A80" s="71"/>
      <c r="B80" s="72"/>
      <c r="C80" s="72"/>
      <c r="D80" s="73"/>
      <c r="E80" s="74"/>
      <c r="F80" s="74"/>
      <c r="G80" s="74"/>
      <c r="H80" s="74"/>
      <c r="I80" s="74"/>
      <c r="J80" s="74"/>
      <c r="K80" s="75"/>
      <c r="L80" s="76"/>
      <c r="M80" s="77"/>
      <c r="N80" s="30"/>
      <c r="O80" s="31"/>
      <c r="P80" s="31"/>
      <c r="Q80" s="31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customHeight="1">
      <c r="A81" s="71"/>
      <c r="B81" s="72"/>
      <c r="C81" s="72"/>
      <c r="D81" s="73"/>
      <c r="E81" s="74"/>
      <c r="F81" s="74"/>
      <c r="G81" s="74"/>
      <c r="H81" s="74"/>
      <c r="I81" s="74"/>
      <c r="J81" s="74"/>
      <c r="K81" s="75"/>
      <c r="L81" s="76"/>
      <c r="M81" s="77"/>
      <c r="N81" s="30"/>
      <c r="O81" s="31"/>
      <c r="P81" s="31"/>
      <c r="Q81" s="31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customHeight="1">
      <c r="A82" s="71"/>
      <c r="B82" s="72"/>
      <c r="C82" s="72"/>
      <c r="D82" s="73"/>
      <c r="E82" s="74"/>
      <c r="F82" s="74"/>
      <c r="G82" s="74"/>
      <c r="H82" s="74"/>
      <c r="I82" s="74"/>
      <c r="J82" s="74"/>
      <c r="K82" s="75"/>
      <c r="L82" s="76"/>
      <c r="M82" s="77"/>
      <c r="N82" s="30"/>
      <c r="O82" s="31"/>
      <c r="P82" s="31"/>
      <c r="Q82" s="31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customHeight="1">
      <c r="A83" s="71"/>
      <c r="B83" s="72"/>
      <c r="C83" s="72"/>
      <c r="D83" s="73"/>
      <c r="E83" s="74"/>
      <c r="F83" s="74"/>
      <c r="G83" s="74"/>
      <c r="H83" s="74"/>
      <c r="I83" s="74"/>
      <c r="J83" s="74"/>
      <c r="K83" s="75"/>
      <c r="L83" s="76"/>
      <c r="M83" s="77"/>
      <c r="N83" s="30"/>
      <c r="O83" s="31"/>
      <c r="P83" s="31"/>
      <c r="Q83" s="31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customHeight="1">
      <c r="A84" s="71"/>
      <c r="B84" s="72"/>
      <c r="C84" s="72"/>
      <c r="D84" s="73"/>
      <c r="E84" s="74"/>
      <c r="F84" s="74"/>
      <c r="G84" s="74"/>
      <c r="H84" s="74"/>
      <c r="I84" s="74"/>
      <c r="J84" s="74"/>
      <c r="K84" s="75"/>
      <c r="L84" s="76"/>
      <c r="M84" s="77"/>
      <c r="N84" s="30"/>
      <c r="O84" s="31"/>
      <c r="P84" s="31"/>
      <c r="Q84" s="31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customHeight="1">
      <c r="A85" s="71"/>
      <c r="B85" s="72"/>
      <c r="C85" s="72"/>
      <c r="D85" s="73"/>
      <c r="E85" s="74"/>
      <c r="F85" s="74"/>
      <c r="G85" s="74"/>
      <c r="H85" s="74"/>
      <c r="I85" s="74"/>
      <c r="J85" s="74"/>
      <c r="K85" s="75"/>
      <c r="L85" s="76"/>
      <c r="M85" s="77"/>
      <c r="N85" s="30"/>
      <c r="O85" s="31"/>
      <c r="P85" s="31"/>
      <c r="Q85" s="31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customHeight="1">
      <c r="A86" s="71"/>
      <c r="B86" s="72"/>
      <c r="C86" s="72"/>
      <c r="D86" s="73"/>
      <c r="E86" s="74"/>
      <c r="F86" s="74"/>
      <c r="G86" s="74"/>
      <c r="H86" s="74"/>
      <c r="I86" s="74"/>
      <c r="J86" s="74"/>
      <c r="K86" s="75"/>
      <c r="L86" s="76"/>
      <c r="M86" s="77"/>
      <c r="N86" s="30"/>
      <c r="O86" s="31"/>
      <c r="P86" s="31"/>
      <c r="Q86" s="31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>
      <c r="A87" s="71"/>
      <c r="B87" s="72"/>
      <c r="C87" s="72"/>
      <c r="D87" s="73"/>
      <c r="E87" s="74"/>
      <c r="F87" s="74"/>
      <c r="G87" s="74"/>
      <c r="H87" s="74"/>
      <c r="I87" s="74"/>
      <c r="J87" s="74"/>
      <c r="K87" s="75"/>
      <c r="L87" s="76"/>
      <c r="M87" s="77"/>
      <c r="N87" s="30"/>
      <c r="O87" s="31"/>
      <c r="P87" s="31"/>
      <c r="Q87" s="31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>
      <c r="A88" s="71"/>
      <c r="B88" s="72"/>
      <c r="C88" s="72"/>
      <c r="D88" s="73"/>
      <c r="E88" s="74"/>
      <c r="F88" s="74"/>
      <c r="G88" s="74"/>
      <c r="H88" s="74"/>
      <c r="I88" s="74"/>
      <c r="J88" s="74"/>
      <c r="K88" s="75"/>
      <c r="L88" s="76"/>
      <c r="M88" s="77"/>
      <c r="N88" s="30"/>
      <c r="O88" s="31"/>
      <c r="P88" s="31"/>
      <c r="Q88" s="31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>
      <c r="A89" s="71"/>
      <c r="B89" s="72"/>
      <c r="C89" s="72"/>
      <c r="D89" s="73"/>
      <c r="E89" s="74"/>
      <c r="F89" s="74"/>
      <c r="G89" s="74"/>
      <c r="H89" s="74"/>
      <c r="I89" s="74"/>
      <c r="J89" s="74"/>
      <c r="K89" s="75"/>
      <c r="L89" s="76"/>
      <c r="M89" s="77"/>
      <c r="N89" s="30"/>
      <c r="O89" s="31"/>
      <c r="P89" s="31"/>
      <c r="Q89" s="31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>
      <c r="A90" s="71"/>
      <c r="B90" s="72"/>
      <c r="C90" s="72"/>
      <c r="D90" s="73"/>
      <c r="E90" s="74"/>
      <c r="F90" s="74"/>
      <c r="G90" s="74"/>
      <c r="H90" s="74"/>
      <c r="I90" s="74"/>
      <c r="J90" s="74"/>
      <c r="K90" s="75"/>
      <c r="L90" s="76"/>
      <c r="M90" s="77"/>
      <c r="N90" s="30"/>
      <c r="O90" s="31"/>
      <c r="P90" s="31"/>
      <c r="Q90" s="31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>
      <c r="A91" s="71"/>
      <c r="B91" s="72"/>
      <c r="C91" s="72"/>
      <c r="D91" s="73"/>
      <c r="E91" s="74"/>
      <c r="F91" s="74"/>
      <c r="G91" s="74"/>
      <c r="H91" s="74"/>
      <c r="I91" s="74"/>
      <c r="J91" s="74"/>
      <c r="K91" s="75"/>
      <c r="L91" s="76"/>
      <c r="M91" s="77"/>
      <c r="N91" s="30"/>
      <c r="O91" s="31"/>
      <c r="P91" s="31"/>
      <c r="Q91" s="31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>
      <c r="A92" s="71"/>
      <c r="B92" s="72"/>
      <c r="C92" s="72"/>
      <c r="D92" s="73"/>
      <c r="E92" s="74"/>
      <c r="F92" s="74"/>
      <c r="G92" s="74"/>
      <c r="H92" s="74"/>
      <c r="I92" s="74"/>
      <c r="J92" s="74"/>
      <c r="K92" s="75"/>
      <c r="L92" s="76"/>
      <c r="M92" s="77"/>
      <c r="N92" s="30"/>
      <c r="O92" s="31"/>
      <c r="P92" s="31"/>
      <c r="Q92" s="31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>
      <c r="A93" s="71"/>
      <c r="B93" s="72"/>
      <c r="C93" s="72"/>
      <c r="D93" s="73"/>
      <c r="E93" s="74"/>
      <c r="F93" s="74"/>
      <c r="G93" s="74"/>
      <c r="H93" s="74"/>
      <c r="I93" s="74"/>
      <c r="J93" s="74"/>
      <c r="K93" s="75"/>
      <c r="L93" s="76"/>
      <c r="M93" s="77"/>
      <c r="N93" s="30"/>
      <c r="O93" s="31"/>
      <c r="P93" s="31"/>
      <c r="Q93" s="31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>
      <c r="A94" s="71"/>
      <c r="B94" s="72"/>
      <c r="C94" s="72"/>
      <c r="D94" s="73"/>
      <c r="E94" s="74"/>
      <c r="F94" s="74"/>
      <c r="G94" s="74"/>
      <c r="H94" s="74"/>
      <c r="I94" s="74"/>
      <c r="J94" s="74"/>
      <c r="K94" s="75"/>
      <c r="L94" s="76"/>
      <c r="M94" s="77"/>
      <c r="N94" s="30"/>
      <c r="O94" s="31"/>
      <c r="P94" s="31"/>
      <c r="Q94" s="31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>
      <c r="A95" s="71"/>
      <c r="B95" s="72"/>
      <c r="C95" s="72"/>
      <c r="D95" s="73"/>
      <c r="E95" s="74"/>
      <c r="F95" s="74"/>
      <c r="G95" s="74"/>
      <c r="H95" s="74"/>
      <c r="I95" s="74"/>
      <c r="J95" s="74"/>
      <c r="K95" s="75"/>
      <c r="L95" s="76"/>
      <c r="M95" s="77"/>
      <c r="N95" s="30"/>
      <c r="O95" s="31"/>
      <c r="P95" s="31"/>
      <c r="Q95" s="31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>
      <c r="A96" s="71"/>
      <c r="B96" s="72"/>
      <c r="C96" s="72"/>
      <c r="D96" s="73"/>
      <c r="E96" s="74"/>
      <c r="F96" s="74"/>
      <c r="G96" s="74"/>
      <c r="H96" s="74"/>
      <c r="I96" s="74"/>
      <c r="J96" s="74"/>
      <c r="K96" s="75"/>
      <c r="L96" s="76"/>
      <c r="M96" s="77"/>
      <c r="N96" s="30"/>
      <c r="O96" s="31"/>
      <c r="P96" s="31"/>
      <c r="Q96" s="31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>
      <c r="A97" s="71"/>
      <c r="B97" s="72"/>
      <c r="C97" s="72"/>
      <c r="D97" s="73"/>
      <c r="E97" s="74"/>
      <c r="F97" s="74"/>
      <c r="G97" s="74"/>
      <c r="H97" s="74"/>
      <c r="I97" s="74"/>
      <c r="J97" s="74"/>
      <c r="K97" s="75"/>
      <c r="L97" s="76"/>
      <c r="M97" s="77"/>
      <c r="N97" s="30"/>
      <c r="O97" s="31"/>
      <c r="P97" s="31"/>
      <c r="Q97" s="31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>
      <c r="A98" s="71"/>
      <c r="B98" s="72"/>
      <c r="C98" s="72"/>
      <c r="D98" s="73"/>
      <c r="E98" s="74"/>
      <c r="F98" s="74"/>
      <c r="G98" s="74"/>
      <c r="H98" s="74"/>
      <c r="I98" s="74"/>
      <c r="J98" s="74"/>
      <c r="K98" s="75"/>
      <c r="L98" s="76"/>
      <c r="M98" s="77"/>
      <c r="N98" s="30"/>
      <c r="O98" s="31"/>
      <c r="P98" s="31"/>
      <c r="Q98" s="31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>
      <c r="A99" s="71"/>
      <c r="B99" s="72"/>
      <c r="C99" s="72"/>
      <c r="D99" s="73"/>
      <c r="E99" s="74"/>
      <c r="F99" s="74"/>
      <c r="G99" s="74"/>
      <c r="H99" s="74"/>
      <c r="I99" s="74"/>
      <c r="J99" s="74"/>
      <c r="K99" s="75"/>
      <c r="L99" s="76"/>
      <c r="M99" s="77"/>
      <c r="N99" s="30"/>
      <c r="O99" s="31"/>
      <c r="P99" s="31"/>
      <c r="Q99" s="31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>
      <c r="A100" s="71"/>
      <c r="B100" s="72"/>
      <c r="C100" s="72"/>
      <c r="D100" s="73"/>
      <c r="E100" s="74"/>
      <c r="F100" s="74"/>
      <c r="G100" s="74"/>
      <c r="H100" s="74"/>
      <c r="I100" s="74"/>
      <c r="J100" s="74"/>
      <c r="K100" s="75"/>
      <c r="L100" s="76"/>
      <c r="M100" s="77"/>
      <c r="N100" s="30"/>
      <c r="O100" s="31"/>
      <c r="P100" s="31"/>
      <c r="Q100" s="31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>
      <c r="A101" s="71"/>
      <c r="B101" s="72"/>
      <c r="C101" s="72"/>
      <c r="D101" s="73"/>
      <c r="E101" s="74"/>
      <c r="F101" s="74"/>
      <c r="G101" s="74"/>
      <c r="H101" s="74"/>
      <c r="I101" s="74"/>
      <c r="J101" s="74"/>
      <c r="K101" s="75"/>
      <c r="L101" s="76"/>
      <c r="M101" s="77"/>
      <c r="N101" s="30"/>
      <c r="O101" s="31"/>
      <c r="P101" s="31"/>
      <c r="Q101" s="31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>
      <c r="A102" s="71"/>
      <c r="B102" s="72"/>
      <c r="C102" s="72"/>
      <c r="D102" s="73"/>
      <c r="E102" s="74"/>
      <c r="F102" s="74"/>
      <c r="G102" s="74"/>
      <c r="H102" s="74"/>
      <c r="I102" s="74"/>
      <c r="J102" s="74"/>
      <c r="K102" s="75"/>
      <c r="L102" s="76"/>
      <c r="M102" s="77"/>
      <c r="N102" s="30"/>
      <c r="O102" s="31"/>
      <c r="P102" s="31"/>
      <c r="Q102" s="31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>
      <c r="A103" s="71"/>
      <c r="B103" s="72"/>
      <c r="C103" s="72"/>
      <c r="D103" s="73"/>
      <c r="E103" s="74"/>
      <c r="F103" s="74"/>
      <c r="G103" s="74"/>
      <c r="H103" s="74"/>
      <c r="I103" s="74"/>
      <c r="J103" s="74"/>
      <c r="K103" s="75"/>
      <c r="L103" s="76"/>
      <c r="M103" s="77"/>
      <c r="N103" s="30"/>
      <c r="O103" s="31"/>
      <c r="P103" s="31"/>
      <c r="Q103" s="31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>
      <c r="A104" s="71"/>
      <c r="B104" s="72"/>
      <c r="C104" s="72"/>
      <c r="D104" s="73"/>
      <c r="E104" s="74"/>
      <c r="F104" s="74"/>
      <c r="G104" s="74"/>
      <c r="H104" s="74"/>
      <c r="I104" s="74"/>
      <c r="J104" s="74"/>
      <c r="K104" s="75"/>
      <c r="L104" s="76"/>
      <c r="M104" s="77"/>
      <c r="N104" s="30"/>
      <c r="O104" s="31"/>
      <c r="P104" s="31"/>
      <c r="Q104" s="31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>
      <c r="A105" s="71"/>
      <c r="B105" s="72"/>
      <c r="C105" s="72"/>
      <c r="D105" s="73"/>
      <c r="E105" s="74"/>
      <c r="F105" s="74"/>
      <c r="G105" s="74"/>
      <c r="H105" s="74"/>
      <c r="I105" s="74"/>
      <c r="J105" s="74"/>
      <c r="K105" s="75"/>
      <c r="L105" s="76"/>
      <c r="M105" s="77"/>
      <c r="N105" s="30"/>
      <c r="O105" s="31"/>
      <c r="P105" s="31"/>
      <c r="Q105" s="31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customHeight="1">
      <c r="A106" s="71"/>
      <c r="B106" s="72"/>
      <c r="C106" s="72"/>
      <c r="D106" s="73"/>
      <c r="E106" s="74"/>
      <c r="F106" s="74"/>
      <c r="G106" s="74"/>
      <c r="H106" s="74"/>
      <c r="I106" s="74"/>
      <c r="J106" s="74"/>
      <c r="K106" s="75"/>
      <c r="L106" s="76"/>
      <c r="M106" s="77"/>
      <c r="N106" s="30"/>
      <c r="O106" s="31"/>
      <c r="P106" s="31"/>
      <c r="Q106" s="31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customHeight="1">
      <c r="A107" s="71"/>
      <c r="B107" s="72"/>
      <c r="C107" s="72"/>
      <c r="D107" s="73"/>
      <c r="E107" s="74"/>
      <c r="F107" s="74"/>
      <c r="G107" s="74"/>
      <c r="H107" s="74"/>
      <c r="I107" s="74"/>
      <c r="J107" s="74"/>
      <c r="K107" s="75"/>
      <c r="L107" s="76"/>
      <c r="M107" s="77"/>
      <c r="N107" s="30"/>
      <c r="O107" s="31"/>
      <c r="P107" s="31"/>
      <c r="Q107" s="31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>
      <c r="A108" s="71"/>
      <c r="B108" s="72"/>
      <c r="C108" s="72"/>
      <c r="D108" s="73"/>
      <c r="E108" s="74"/>
      <c r="F108" s="74"/>
      <c r="G108" s="74"/>
      <c r="H108" s="74"/>
      <c r="I108" s="74"/>
      <c r="J108" s="74"/>
      <c r="K108" s="75"/>
      <c r="L108" s="76"/>
      <c r="M108" s="77"/>
      <c r="N108" s="30"/>
      <c r="O108" s="31"/>
      <c r="P108" s="31"/>
      <c r="Q108" s="31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customHeight="1">
      <c r="A109" s="71"/>
      <c r="B109" s="72"/>
      <c r="C109" s="72"/>
      <c r="D109" s="73"/>
      <c r="E109" s="74"/>
      <c r="F109" s="74"/>
      <c r="G109" s="74"/>
      <c r="H109" s="74"/>
      <c r="I109" s="74"/>
      <c r="J109" s="74"/>
      <c r="K109" s="75"/>
      <c r="L109" s="76"/>
      <c r="M109" s="77"/>
      <c r="N109" s="30"/>
      <c r="O109" s="31"/>
      <c r="P109" s="31"/>
      <c r="Q109" s="31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>
      <c r="A110" s="71"/>
      <c r="B110" s="72"/>
      <c r="C110" s="72"/>
      <c r="D110" s="73"/>
      <c r="E110" s="74"/>
      <c r="F110" s="74"/>
      <c r="G110" s="74"/>
      <c r="H110" s="74"/>
      <c r="I110" s="74"/>
      <c r="J110" s="74"/>
      <c r="K110" s="75"/>
      <c r="L110" s="76"/>
      <c r="M110" s="77"/>
      <c r="N110" s="30"/>
      <c r="O110" s="31"/>
      <c r="P110" s="31"/>
      <c r="Q110" s="31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>
      <c r="A111" s="71"/>
      <c r="B111" s="72"/>
      <c r="C111" s="72"/>
      <c r="D111" s="73"/>
      <c r="E111" s="74"/>
      <c r="F111" s="74"/>
      <c r="G111" s="74"/>
      <c r="H111" s="74"/>
      <c r="I111" s="74"/>
      <c r="J111" s="74"/>
      <c r="K111" s="75"/>
      <c r="L111" s="76"/>
      <c r="M111" s="77"/>
      <c r="N111" s="30"/>
      <c r="O111" s="31"/>
      <c r="P111" s="31"/>
      <c r="Q111" s="31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>
      <c r="A112" s="71"/>
      <c r="B112" s="72"/>
      <c r="C112" s="72"/>
      <c r="D112" s="73"/>
      <c r="E112" s="74"/>
      <c r="F112" s="74"/>
      <c r="G112" s="74"/>
      <c r="H112" s="74"/>
      <c r="I112" s="74"/>
      <c r="J112" s="74"/>
      <c r="K112" s="75"/>
      <c r="L112" s="76"/>
      <c r="M112" s="77"/>
      <c r="N112" s="30"/>
      <c r="O112" s="31"/>
      <c r="P112" s="31"/>
      <c r="Q112" s="31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>
      <c r="A113" s="71"/>
      <c r="B113" s="72"/>
      <c r="C113" s="72"/>
      <c r="D113" s="73"/>
      <c r="E113" s="74"/>
      <c r="F113" s="74"/>
      <c r="G113" s="74"/>
      <c r="H113" s="74"/>
      <c r="I113" s="74"/>
      <c r="J113" s="74"/>
      <c r="K113" s="75"/>
      <c r="L113" s="76"/>
      <c r="M113" s="77"/>
      <c r="N113" s="30"/>
      <c r="O113" s="31"/>
      <c r="P113" s="31"/>
      <c r="Q113" s="31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>
      <c r="A114" s="71"/>
      <c r="B114" s="72"/>
      <c r="C114" s="72"/>
      <c r="D114" s="73"/>
      <c r="E114" s="74"/>
      <c r="F114" s="74"/>
      <c r="G114" s="74"/>
      <c r="H114" s="74"/>
      <c r="I114" s="74"/>
      <c r="J114" s="74"/>
      <c r="K114" s="75"/>
      <c r="L114" s="76"/>
      <c r="M114" s="77"/>
      <c r="N114" s="30"/>
      <c r="O114" s="31"/>
      <c r="P114" s="31"/>
      <c r="Q114" s="31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>
      <c r="A115" s="71"/>
      <c r="B115" s="72"/>
      <c r="C115" s="72"/>
      <c r="D115" s="73"/>
      <c r="E115" s="74"/>
      <c r="F115" s="74"/>
      <c r="G115" s="74"/>
      <c r="H115" s="74"/>
      <c r="I115" s="74"/>
      <c r="J115" s="74"/>
      <c r="K115" s="75"/>
      <c r="L115" s="76"/>
      <c r="M115" s="77"/>
      <c r="N115" s="30"/>
      <c r="O115" s="31"/>
      <c r="P115" s="31"/>
      <c r="Q115" s="31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>
      <c r="A116" s="71"/>
      <c r="B116" s="72"/>
      <c r="C116" s="72"/>
      <c r="D116" s="73"/>
      <c r="E116" s="74"/>
      <c r="F116" s="74"/>
      <c r="G116" s="74"/>
      <c r="H116" s="74"/>
      <c r="I116" s="74"/>
      <c r="J116" s="74"/>
      <c r="K116" s="75"/>
      <c r="L116" s="76"/>
      <c r="M116" s="77"/>
      <c r="N116" s="30"/>
      <c r="O116" s="31"/>
      <c r="P116" s="31"/>
      <c r="Q116" s="31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>
      <c r="A117" s="71"/>
      <c r="B117" s="72"/>
      <c r="C117" s="72"/>
      <c r="D117" s="73"/>
      <c r="E117" s="74"/>
      <c r="F117" s="74"/>
      <c r="G117" s="74"/>
      <c r="H117" s="74"/>
      <c r="I117" s="74"/>
      <c r="J117" s="74"/>
      <c r="K117" s="75"/>
      <c r="L117" s="76"/>
      <c r="M117" s="77"/>
      <c r="N117" s="30"/>
      <c r="O117" s="31"/>
      <c r="P117" s="31"/>
      <c r="Q117" s="31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>
      <c r="A118" s="71"/>
      <c r="B118" s="72"/>
      <c r="C118" s="72"/>
      <c r="D118" s="73"/>
      <c r="E118" s="74"/>
      <c r="F118" s="74"/>
      <c r="G118" s="74"/>
      <c r="H118" s="74"/>
      <c r="I118" s="74"/>
      <c r="J118" s="74"/>
      <c r="K118" s="75"/>
      <c r="L118" s="76"/>
      <c r="M118" s="77"/>
      <c r="N118" s="30"/>
      <c r="O118" s="31"/>
      <c r="P118" s="31"/>
      <c r="Q118" s="31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>
      <c r="A119" s="71"/>
      <c r="B119" s="72"/>
      <c r="C119" s="72"/>
      <c r="D119" s="73"/>
      <c r="E119" s="74"/>
      <c r="F119" s="74"/>
      <c r="G119" s="74"/>
      <c r="H119" s="74"/>
      <c r="I119" s="74"/>
      <c r="J119" s="74"/>
      <c r="K119" s="75"/>
      <c r="L119" s="76"/>
      <c r="M119" s="77"/>
      <c r="N119" s="30"/>
      <c r="O119" s="31"/>
      <c r="P119" s="31"/>
      <c r="Q119" s="31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>
      <c r="A120" s="71"/>
      <c r="B120" s="72"/>
      <c r="C120" s="72"/>
      <c r="D120" s="73"/>
      <c r="E120" s="74"/>
      <c r="F120" s="74"/>
      <c r="G120" s="74"/>
      <c r="H120" s="74"/>
      <c r="I120" s="74"/>
      <c r="J120" s="74"/>
      <c r="K120" s="75"/>
      <c r="L120" s="76"/>
      <c r="M120" s="77"/>
      <c r="N120" s="30"/>
      <c r="O120" s="31"/>
      <c r="P120" s="31"/>
      <c r="Q120" s="31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>
      <c r="A121" s="71"/>
      <c r="B121" s="72"/>
      <c r="C121" s="72"/>
      <c r="D121" s="73"/>
      <c r="E121" s="74"/>
      <c r="F121" s="74"/>
      <c r="G121" s="74"/>
      <c r="H121" s="74"/>
      <c r="I121" s="74"/>
      <c r="J121" s="74"/>
      <c r="K121" s="75"/>
      <c r="L121" s="76"/>
      <c r="M121" s="77"/>
      <c r="N121" s="30"/>
      <c r="O121" s="31"/>
      <c r="P121" s="31"/>
      <c r="Q121" s="31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>
      <c r="A122" s="71"/>
      <c r="B122" s="72"/>
      <c r="C122" s="72"/>
      <c r="D122" s="73"/>
      <c r="E122" s="74"/>
      <c r="F122" s="74"/>
      <c r="G122" s="74"/>
      <c r="H122" s="74"/>
      <c r="I122" s="74"/>
      <c r="J122" s="74"/>
      <c r="K122" s="75"/>
      <c r="L122" s="76"/>
      <c r="M122" s="77"/>
      <c r="N122" s="30"/>
      <c r="O122" s="31"/>
      <c r="P122" s="31"/>
      <c r="Q122" s="31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>
      <c r="A123" s="71"/>
      <c r="B123" s="72"/>
      <c r="C123" s="72"/>
      <c r="D123" s="73"/>
      <c r="E123" s="74"/>
      <c r="F123" s="74"/>
      <c r="G123" s="74"/>
      <c r="H123" s="74"/>
      <c r="I123" s="74"/>
      <c r="J123" s="74"/>
      <c r="K123" s="75"/>
      <c r="L123" s="76"/>
      <c r="M123" s="77"/>
      <c r="N123" s="30"/>
      <c r="O123" s="31"/>
      <c r="P123" s="31"/>
      <c r="Q123" s="31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>
      <c r="A124" s="71"/>
      <c r="B124" s="72"/>
      <c r="C124" s="72"/>
      <c r="D124" s="73"/>
      <c r="E124" s="74"/>
      <c r="F124" s="74"/>
      <c r="G124" s="74"/>
      <c r="H124" s="74"/>
      <c r="I124" s="74"/>
      <c r="J124" s="74"/>
      <c r="K124" s="75"/>
      <c r="L124" s="76"/>
      <c r="M124" s="77"/>
      <c r="N124" s="30"/>
      <c r="O124" s="31"/>
      <c r="P124" s="31"/>
      <c r="Q124" s="31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>
      <c r="A125" s="71"/>
      <c r="B125" s="72"/>
      <c r="C125" s="72"/>
      <c r="D125" s="73"/>
      <c r="E125" s="74"/>
      <c r="F125" s="74"/>
      <c r="G125" s="74"/>
      <c r="H125" s="74"/>
      <c r="I125" s="74"/>
      <c r="J125" s="74"/>
      <c r="K125" s="75"/>
      <c r="L125" s="76"/>
      <c r="M125" s="77"/>
      <c r="N125" s="30"/>
      <c r="O125" s="31"/>
      <c r="P125" s="31"/>
      <c r="Q125" s="31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>
      <c r="A126" s="71"/>
      <c r="B126" s="72"/>
      <c r="C126" s="72"/>
      <c r="D126" s="73"/>
      <c r="E126" s="74"/>
      <c r="F126" s="74"/>
      <c r="G126" s="74"/>
      <c r="H126" s="74"/>
      <c r="I126" s="74"/>
      <c r="J126" s="74"/>
      <c r="K126" s="75"/>
      <c r="L126" s="76"/>
      <c r="M126" s="77"/>
      <c r="N126" s="30"/>
      <c r="O126" s="31"/>
      <c r="P126" s="31"/>
      <c r="Q126" s="31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>
      <c r="A127" s="71"/>
      <c r="B127" s="72"/>
      <c r="C127" s="72"/>
      <c r="D127" s="73"/>
      <c r="E127" s="74"/>
      <c r="F127" s="74"/>
      <c r="G127" s="74"/>
      <c r="H127" s="74"/>
      <c r="I127" s="74"/>
      <c r="J127" s="74"/>
      <c r="K127" s="75"/>
      <c r="L127" s="76"/>
      <c r="M127" s="77"/>
      <c r="N127" s="30"/>
      <c r="O127" s="31"/>
      <c r="P127" s="31"/>
      <c r="Q127" s="31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>
      <c r="A128" s="71"/>
      <c r="B128" s="72"/>
      <c r="C128" s="72"/>
      <c r="D128" s="73"/>
      <c r="E128" s="74"/>
      <c r="F128" s="74"/>
      <c r="G128" s="74"/>
      <c r="H128" s="74"/>
      <c r="I128" s="74"/>
      <c r="J128" s="74"/>
      <c r="K128" s="75"/>
      <c r="L128" s="76"/>
      <c r="M128" s="77"/>
      <c r="N128" s="30"/>
      <c r="O128" s="31"/>
      <c r="P128" s="31"/>
      <c r="Q128" s="31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>
      <c r="A129" s="71"/>
      <c r="B129" s="72"/>
      <c r="C129" s="72"/>
      <c r="D129" s="73"/>
      <c r="E129" s="74"/>
      <c r="F129" s="74"/>
      <c r="G129" s="74"/>
      <c r="H129" s="74"/>
      <c r="I129" s="74"/>
      <c r="J129" s="74"/>
      <c r="K129" s="75"/>
      <c r="L129" s="76"/>
      <c r="M129" s="77"/>
      <c r="N129" s="30"/>
      <c r="O129" s="31"/>
      <c r="P129" s="31"/>
      <c r="Q129" s="31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>
      <c r="A130" s="71"/>
      <c r="B130" s="72"/>
      <c r="C130" s="72"/>
      <c r="D130" s="73"/>
      <c r="E130" s="74"/>
      <c r="F130" s="74"/>
      <c r="G130" s="74"/>
      <c r="H130" s="74"/>
      <c r="I130" s="74"/>
      <c r="J130" s="74"/>
      <c r="K130" s="75"/>
      <c r="L130" s="76"/>
      <c r="M130" s="77"/>
      <c r="N130" s="30"/>
      <c r="O130" s="31"/>
      <c r="P130" s="31"/>
      <c r="Q130" s="31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>
      <c r="A131" s="71"/>
      <c r="B131" s="72"/>
      <c r="C131" s="72"/>
      <c r="D131" s="73"/>
      <c r="E131" s="74"/>
      <c r="F131" s="74"/>
      <c r="G131" s="74"/>
      <c r="H131" s="74"/>
      <c r="I131" s="74"/>
      <c r="J131" s="74"/>
      <c r="K131" s="75"/>
      <c r="L131" s="76"/>
      <c r="M131" s="77"/>
      <c r="N131" s="30"/>
      <c r="O131" s="31"/>
      <c r="P131" s="31"/>
      <c r="Q131" s="31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>
      <c r="A132" s="71"/>
      <c r="B132" s="72"/>
      <c r="C132" s="72"/>
      <c r="D132" s="73"/>
      <c r="E132" s="74"/>
      <c r="F132" s="74"/>
      <c r="G132" s="74"/>
      <c r="H132" s="74"/>
      <c r="I132" s="74"/>
      <c r="J132" s="74"/>
      <c r="K132" s="75"/>
      <c r="L132" s="76"/>
      <c r="M132" s="77"/>
      <c r="N132" s="30"/>
      <c r="O132" s="31"/>
      <c r="P132" s="31"/>
      <c r="Q132" s="31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>
      <c r="A133" s="71"/>
      <c r="B133" s="72"/>
      <c r="C133" s="72"/>
      <c r="D133" s="73"/>
      <c r="E133" s="74"/>
      <c r="F133" s="74"/>
      <c r="G133" s="74"/>
      <c r="H133" s="74"/>
      <c r="I133" s="74"/>
      <c r="J133" s="74"/>
      <c r="K133" s="75"/>
      <c r="L133" s="76"/>
      <c r="M133" s="77"/>
      <c r="N133" s="30"/>
      <c r="O133" s="31"/>
      <c r="P133" s="31"/>
      <c r="Q133" s="31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>
      <c r="A134" s="71"/>
      <c r="B134" s="72"/>
      <c r="C134" s="72"/>
      <c r="D134" s="73"/>
      <c r="E134" s="74"/>
      <c r="F134" s="74"/>
      <c r="G134" s="74"/>
      <c r="H134" s="74"/>
      <c r="I134" s="74"/>
      <c r="J134" s="74"/>
      <c r="K134" s="75"/>
      <c r="L134" s="76"/>
      <c r="M134" s="77"/>
      <c r="N134" s="30"/>
      <c r="O134" s="31"/>
      <c r="P134" s="31"/>
      <c r="Q134" s="31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>
      <c r="A135" s="71"/>
      <c r="B135" s="72"/>
      <c r="C135" s="72"/>
      <c r="D135" s="73"/>
      <c r="E135" s="74"/>
      <c r="F135" s="74"/>
      <c r="G135" s="74"/>
      <c r="H135" s="74"/>
      <c r="I135" s="74"/>
      <c r="J135" s="74"/>
      <c r="K135" s="75"/>
      <c r="L135" s="76"/>
      <c r="M135" s="77"/>
      <c r="N135" s="30"/>
      <c r="O135" s="31"/>
      <c r="P135" s="31"/>
      <c r="Q135" s="31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>
      <c r="A136" s="71"/>
      <c r="B136" s="72"/>
      <c r="C136" s="72"/>
      <c r="D136" s="73"/>
      <c r="E136" s="74"/>
      <c r="F136" s="74"/>
      <c r="G136" s="74"/>
      <c r="H136" s="74"/>
      <c r="I136" s="74"/>
      <c r="J136" s="74"/>
      <c r="K136" s="75"/>
      <c r="L136" s="76"/>
      <c r="M136" s="77"/>
      <c r="N136" s="30"/>
      <c r="O136" s="31"/>
      <c r="P136" s="31"/>
      <c r="Q136" s="31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>
      <c r="A137" s="71"/>
      <c r="B137" s="72"/>
      <c r="C137" s="72"/>
      <c r="D137" s="73"/>
      <c r="E137" s="74"/>
      <c r="F137" s="74"/>
      <c r="G137" s="74"/>
      <c r="H137" s="74"/>
      <c r="I137" s="74"/>
      <c r="J137" s="74"/>
      <c r="K137" s="75"/>
      <c r="L137" s="76"/>
      <c r="M137" s="77"/>
      <c r="N137" s="30"/>
      <c r="O137" s="31"/>
      <c r="P137" s="31"/>
      <c r="Q137" s="31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>
      <c r="A138" s="71"/>
      <c r="B138" s="72"/>
      <c r="C138" s="72"/>
      <c r="D138" s="73"/>
      <c r="E138" s="74"/>
      <c r="F138" s="74"/>
      <c r="G138" s="74"/>
      <c r="H138" s="74"/>
      <c r="I138" s="74"/>
      <c r="J138" s="74"/>
      <c r="K138" s="75"/>
      <c r="L138" s="76"/>
      <c r="M138" s="77"/>
      <c r="N138" s="30"/>
      <c r="O138" s="31"/>
      <c r="P138" s="31"/>
      <c r="Q138" s="31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>
      <c r="A139" s="71"/>
      <c r="B139" s="72"/>
      <c r="C139" s="72"/>
      <c r="D139" s="73"/>
      <c r="E139" s="74"/>
      <c r="F139" s="74"/>
      <c r="G139" s="74"/>
      <c r="H139" s="74"/>
      <c r="I139" s="74"/>
      <c r="J139" s="74"/>
      <c r="K139" s="75"/>
      <c r="L139" s="76"/>
      <c r="M139" s="77"/>
      <c r="N139" s="30"/>
      <c r="O139" s="31"/>
      <c r="P139" s="31"/>
      <c r="Q139" s="31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>
      <c r="A140" s="71"/>
      <c r="B140" s="72"/>
      <c r="C140" s="72"/>
      <c r="D140" s="73"/>
      <c r="E140" s="74"/>
      <c r="F140" s="74"/>
      <c r="G140" s="74"/>
      <c r="H140" s="74"/>
      <c r="I140" s="74"/>
      <c r="J140" s="74"/>
      <c r="K140" s="75"/>
      <c r="L140" s="76"/>
      <c r="M140" s="77"/>
      <c r="N140" s="30"/>
      <c r="O140" s="31"/>
      <c r="P140" s="31"/>
      <c r="Q140" s="31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>
      <c r="A141" s="71"/>
      <c r="B141" s="72"/>
      <c r="C141" s="72"/>
      <c r="D141" s="73"/>
      <c r="E141" s="74"/>
      <c r="F141" s="74"/>
      <c r="G141" s="74"/>
      <c r="H141" s="74"/>
      <c r="I141" s="74"/>
      <c r="J141" s="74"/>
      <c r="K141" s="75"/>
      <c r="L141" s="76"/>
      <c r="M141" s="77"/>
      <c r="N141" s="30"/>
      <c r="O141" s="31"/>
      <c r="P141" s="31"/>
      <c r="Q141" s="31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>
      <c r="A142" s="71"/>
      <c r="B142" s="72"/>
      <c r="C142" s="72"/>
      <c r="D142" s="73"/>
      <c r="E142" s="74"/>
      <c r="F142" s="74"/>
      <c r="G142" s="74"/>
      <c r="H142" s="74"/>
      <c r="I142" s="74"/>
      <c r="J142" s="74"/>
      <c r="K142" s="75"/>
      <c r="L142" s="76"/>
      <c r="M142" s="77"/>
      <c r="N142" s="30"/>
      <c r="O142" s="31"/>
      <c r="P142" s="31"/>
      <c r="Q142" s="31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>
      <c r="A143" s="71"/>
      <c r="B143" s="72"/>
      <c r="C143" s="72"/>
      <c r="D143" s="73"/>
      <c r="E143" s="74"/>
      <c r="F143" s="74"/>
      <c r="G143" s="74"/>
      <c r="H143" s="74"/>
      <c r="I143" s="74"/>
      <c r="J143" s="74"/>
      <c r="K143" s="75"/>
      <c r="L143" s="76"/>
      <c r="M143" s="77"/>
      <c r="N143" s="30"/>
      <c r="O143" s="31"/>
      <c r="P143" s="31"/>
      <c r="Q143" s="31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>
      <c r="A144" s="71"/>
      <c r="B144" s="72"/>
      <c r="C144" s="72"/>
      <c r="D144" s="73"/>
      <c r="E144" s="74"/>
      <c r="F144" s="74"/>
      <c r="G144" s="74"/>
      <c r="H144" s="74"/>
      <c r="I144" s="74"/>
      <c r="J144" s="74"/>
      <c r="K144" s="75"/>
      <c r="L144" s="76"/>
      <c r="M144" s="77"/>
      <c r="N144" s="30"/>
      <c r="O144" s="31"/>
      <c r="P144" s="31"/>
      <c r="Q144" s="31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>
      <c r="A145" s="71"/>
      <c r="B145" s="72"/>
      <c r="C145" s="72"/>
      <c r="D145" s="73"/>
      <c r="E145" s="74"/>
      <c r="F145" s="74"/>
      <c r="G145" s="74"/>
      <c r="H145" s="74"/>
      <c r="I145" s="74"/>
      <c r="J145" s="74"/>
      <c r="K145" s="75"/>
      <c r="L145" s="76"/>
      <c r="M145" s="77"/>
      <c r="N145" s="30"/>
      <c r="O145" s="31"/>
      <c r="P145" s="31"/>
      <c r="Q145" s="31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>
      <c r="A146" s="71"/>
      <c r="B146" s="72"/>
      <c r="C146" s="72"/>
      <c r="D146" s="73"/>
      <c r="E146" s="74"/>
      <c r="F146" s="74"/>
      <c r="G146" s="74"/>
      <c r="H146" s="74"/>
      <c r="I146" s="74"/>
      <c r="J146" s="74"/>
      <c r="K146" s="75"/>
      <c r="L146" s="76"/>
      <c r="M146" s="77"/>
      <c r="N146" s="30"/>
      <c r="O146" s="31"/>
      <c r="P146" s="31"/>
      <c r="Q146" s="31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>
      <c r="A147" s="71"/>
      <c r="B147" s="72"/>
      <c r="C147" s="72"/>
      <c r="D147" s="73"/>
      <c r="E147" s="74"/>
      <c r="F147" s="74"/>
      <c r="G147" s="74"/>
      <c r="H147" s="74"/>
      <c r="I147" s="74"/>
      <c r="J147" s="74"/>
      <c r="K147" s="75"/>
      <c r="L147" s="76"/>
      <c r="M147" s="77"/>
      <c r="N147" s="30"/>
      <c r="O147" s="31"/>
      <c r="P147" s="31"/>
      <c r="Q147" s="31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>
      <c r="A148" s="71"/>
      <c r="B148" s="72"/>
      <c r="C148" s="72"/>
      <c r="D148" s="73"/>
      <c r="E148" s="74"/>
      <c r="F148" s="74"/>
      <c r="G148" s="74"/>
      <c r="H148" s="74"/>
      <c r="I148" s="74"/>
      <c r="J148" s="74"/>
      <c r="K148" s="75"/>
      <c r="L148" s="76"/>
      <c r="M148" s="77"/>
      <c r="N148" s="30"/>
      <c r="O148" s="31"/>
      <c r="P148" s="31"/>
      <c r="Q148" s="31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>
      <c r="A149" s="71"/>
      <c r="B149" s="72"/>
      <c r="C149" s="72"/>
      <c r="D149" s="73"/>
      <c r="E149" s="74"/>
      <c r="F149" s="74"/>
      <c r="G149" s="74"/>
      <c r="H149" s="74"/>
      <c r="I149" s="74"/>
      <c r="J149" s="74"/>
      <c r="K149" s="75"/>
      <c r="L149" s="76"/>
      <c r="M149" s="77"/>
      <c r="N149" s="30"/>
      <c r="O149" s="31"/>
      <c r="P149" s="31"/>
      <c r="Q149" s="31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>
      <c r="A150" s="71"/>
      <c r="B150" s="72"/>
      <c r="C150" s="72"/>
      <c r="D150" s="73"/>
      <c r="E150" s="74"/>
      <c r="F150" s="74"/>
      <c r="G150" s="74"/>
      <c r="H150" s="74"/>
      <c r="I150" s="74"/>
      <c r="J150" s="74"/>
      <c r="K150" s="75"/>
      <c r="L150" s="76"/>
      <c r="M150" s="77"/>
      <c r="N150" s="30"/>
      <c r="O150" s="31"/>
      <c r="P150" s="31"/>
      <c r="Q150" s="31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>
      <c r="A151" s="71"/>
      <c r="B151" s="72"/>
      <c r="C151" s="72"/>
      <c r="D151" s="73"/>
      <c r="E151" s="74"/>
      <c r="F151" s="74"/>
      <c r="G151" s="74"/>
      <c r="H151" s="74"/>
      <c r="I151" s="74"/>
      <c r="J151" s="74"/>
      <c r="K151" s="75"/>
      <c r="L151" s="76"/>
      <c r="M151" s="77"/>
      <c r="N151" s="30"/>
      <c r="O151" s="31"/>
      <c r="P151" s="31"/>
      <c r="Q151" s="31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>
      <c r="A152" s="71"/>
      <c r="B152" s="72"/>
      <c r="C152" s="72"/>
      <c r="D152" s="73"/>
      <c r="E152" s="74"/>
      <c r="F152" s="74"/>
      <c r="G152" s="74"/>
      <c r="H152" s="74"/>
      <c r="I152" s="74"/>
      <c r="J152" s="74"/>
      <c r="K152" s="75"/>
      <c r="L152" s="76"/>
      <c r="M152" s="77"/>
      <c r="N152" s="30"/>
      <c r="O152" s="31"/>
      <c r="P152" s="31"/>
      <c r="Q152" s="31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>
      <c r="A153" s="71"/>
      <c r="B153" s="72"/>
      <c r="C153" s="72"/>
      <c r="D153" s="73"/>
      <c r="E153" s="74"/>
      <c r="F153" s="74"/>
      <c r="G153" s="74"/>
      <c r="H153" s="74"/>
      <c r="I153" s="74"/>
      <c r="J153" s="74"/>
      <c r="K153" s="75"/>
      <c r="L153" s="76"/>
      <c r="M153" s="77"/>
      <c r="N153" s="30"/>
      <c r="O153" s="31"/>
      <c r="P153" s="31"/>
      <c r="Q153" s="31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>
      <c r="A154" s="71"/>
      <c r="B154" s="72"/>
      <c r="C154" s="72"/>
      <c r="D154" s="73"/>
      <c r="E154" s="74"/>
      <c r="F154" s="74"/>
      <c r="G154" s="74"/>
      <c r="H154" s="74"/>
      <c r="I154" s="74"/>
      <c r="J154" s="74"/>
      <c r="K154" s="75"/>
      <c r="L154" s="76"/>
      <c r="M154" s="77"/>
      <c r="N154" s="30"/>
      <c r="O154" s="31"/>
      <c r="P154" s="31"/>
      <c r="Q154" s="31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>
      <c r="A155" s="71"/>
      <c r="B155" s="72"/>
      <c r="C155" s="72"/>
      <c r="D155" s="73"/>
      <c r="E155" s="74"/>
      <c r="F155" s="74"/>
      <c r="G155" s="74"/>
      <c r="H155" s="74"/>
      <c r="I155" s="74"/>
      <c r="J155" s="74"/>
      <c r="K155" s="75"/>
      <c r="L155" s="76"/>
      <c r="M155" s="77"/>
      <c r="N155" s="30"/>
      <c r="O155" s="31"/>
      <c r="P155" s="31"/>
      <c r="Q155" s="31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>
      <c r="A156" s="71"/>
      <c r="B156" s="72"/>
      <c r="C156" s="72"/>
      <c r="D156" s="73"/>
      <c r="E156" s="74"/>
      <c r="F156" s="74"/>
      <c r="G156" s="74"/>
      <c r="H156" s="74"/>
      <c r="I156" s="74"/>
      <c r="J156" s="74"/>
      <c r="K156" s="75"/>
      <c r="L156" s="76"/>
      <c r="M156" s="77"/>
      <c r="N156" s="30"/>
      <c r="O156" s="31"/>
      <c r="P156" s="31"/>
      <c r="Q156" s="31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>
      <c r="A157" s="71"/>
      <c r="B157" s="72"/>
      <c r="C157" s="72"/>
      <c r="D157" s="73"/>
      <c r="E157" s="74"/>
      <c r="F157" s="74"/>
      <c r="G157" s="74"/>
      <c r="H157" s="74"/>
      <c r="I157" s="74"/>
      <c r="J157" s="74"/>
      <c r="K157" s="75"/>
      <c r="L157" s="76"/>
      <c r="M157" s="77"/>
      <c r="N157" s="30"/>
      <c r="O157" s="31"/>
      <c r="P157" s="31"/>
      <c r="Q157" s="31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>
      <c r="A158" s="71"/>
      <c r="B158" s="72"/>
      <c r="C158" s="72"/>
      <c r="D158" s="73"/>
      <c r="E158" s="74"/>
      <c r="F158" s="74"/>
      <c r="G158" s="74"/>
      <c r="H158" s="74"/>
      <c r="I158" s="74"/>
      <c r="J158" s="74"/>
      <c r="K158" s="75"/>
      <c r="L158" s="76"/>
      <c r="M158" s="77"/>
      <c r="N158" s="30"/>
      <c r="O158" s="31"/>
      <c r="P158" s="31"/>
      <c r="Q158" s="31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>
      <c r="A159" s="71"/>
      <c r="B159" s="72"/>
      <c r="C159" s="72"/>
      <c r="D159" s="73"/>
      <c r="E159" s="74"/>
      <c r="F159" s="74"/>
      <c r="G159" s="74"/>
      <c r="H159" s="74"/>
      <c r="I159" s="74"/>
      <c r="J159" s="74"/>
      <c r="K159" s="75"/>
      <c r="L159" s="76"/>
      <c r="M159" s="77"/>
      <c r="N159" s="30"/>
      <c r="O159" s="31"/>
      <c r="P159" s="31"/>
      <c r="Q159" s="31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>
      <c r="A160" s="71"/>
      <c r="B160" s="72"/>
      <c r="C160" s="72"/>
      <c r="D160" s="73"/>
      <c r="E160" s="74"/>
      <c r="F160" s="74"/>
      <c r="G160" s="74"/>
      <c r="H160" s="74"/>
      <c r="I160" s="74"/>
      <c r="J160" s="74"/>
      <c r="K160" s="75"/>
      <c r="L160" s="76"/>
      <c r="M160" s="77"/>
      <c r="N160" s="30"/>
      <c r="O160" s="31"/>
      <c r="P160" s="31"/>
      <c r="Q160" s="31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>
      <c r="A161" s="71"/>
      <c r="B161" s="72"/>
      <c r="C161" s="72"/>
      <c r="D161" s="73"/>
      <c r="E161" s="74"/>
      <c r="F161" s="74"/>
      <c r="G161" s="74"/>
      <c r="H161" s="74"/>
      <c r="I161" s="74"/>
      <c r="J161" s="74"/>
      <c r="K161" s="75"/>
      <c r="L161" s="76"/>
      <c r="M161" s="77"/>
      <c r="N161" s="30"/>
      <c r="O161" s="31"/>
      <c r="P161" s="31"/>
      <c r="Q161" s="31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>
      <c r="A162" s="71"/>
      <c r="B162" s="72"/>
      <c r="C162" s="72"/>
      <c r="D162" s="73"/>
      <c r="E162" s="74"/>
      <c r="F162" s="74"/>
      <c r="G162" s="74"/>
      <c r="H162" s="74"/>
      <c r="I162" s="74"/>
      <c r="J162" s="74"/>
      <c r="K162" s="75"/>
      <c r="L162" s="76"/>
      <c r="M162" s="77"/>
      <c r="N162" s="30"/>
      <c r="O162" s="31"/>
      <c r="P162" s="31"/>
      <c r="Q162" s="31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>
      <c r="A163" s="71"/>
      <c r="B163" s="72"/>
      <c r="C163" s="72"/>
      <c r="D163" s="73"/>
      <c r="E163" s="74"/>
      <c r="F163" s="74"/>
      <c r="G163" s="74"/>
      <c r="H163" s="74"/>
      <c r="I163" s="74"/>
      <c r="J163" s="74"/>
      <c r="K163" s="75"/>
      <c r="L163" s="76"/>
      <c r="M163" s="77"/>
      <c r="N163" s="30"/>
      <c r="O163" s="31"/>
      <c r="P163" s="31"/>
      <c r="Q163" s="31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>
      <c r="A164" s="71"/>
      <c r="B164" s="72"/>
      <c r="C164" s="72"/>
      <c r="D164" s="73"/>
      <c r="E164" s="74"/>
      <c r="F164" s="74"/>
      <c r="G164" s="74"/>
      <c r="H164" s="74"/>
      <c r="I164" s="74"/>
      <c r="J164" s="74"/>
      <c r="K164" s="75"/>
      <c r="L164" s="76"/>
      <c r="M164" s="77"/>
      <c r="N164" s="30"/>
      <c r="O164" s="31"/>
      <c r="P164" s="31"/>
      <c r="Q164" s="31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>
      <c r="A165" s="71"/>
      <c r="B165" s="72"/>
      <c r="C165" s="72"/>
      <c r="D165" s="73"/>
      <c r="E165" s="74"/>
      <c r="F165" s="74"/>
      <c r="G165" s="74"/>
      <c r="H165" s="74"/>
      <c r="I165" s="74"/>
      <c r="J165" s="74"/>
      <c r="K165" s="75"/>
      <c r="L165" s="76"/>
      <c r="M165" s="77"/>
      <c r="N165" s="30"/>
      <c r="O165" s="31"/>
      <c r="P165" s="31"/>
      <c r="Q165" s="31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>
      <c r="A166" s="71"/>
      <c r="B166" s="72"/>
      <c r="C166" s="72"/>
      <c r="D166" s="73"/>
      <c r="E166" s="74"/>
      <c r="F166" s="74"/>
      <c r="G166" s="74"/>
      <c r="H166" s="74"/>
      <c r="I166" s="74"/>
      <c r="J166" s="74"/>
      <c r="K166" s="75"/>
      <c r="L166" s="76"/>
      <c r="M166" s="77"/>
      <c r="N166" s="30"/>
      <c r="O166" s="31"/>
      <c r="P166" s="31"/>
      <c r="Q166" s="31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>
      <c r="A167" s="71"/>
      <c r="B167" s="72"/>
      <c r="C167" s="72"/>
      <c r="D167" s="73"/>
      <c r="E167" s="74"/>
      <c r="F167" s="74"/>
      <c r="G167" s="74"/>
      <c r="H167" s="74"/>
      <c r="I167" s="74"/>
      <c r="J167" s="74"/>
      <c r="K167" s="75"/>
      <c r="L167" s="76"/>
      <c r="M167" s="77"/>
      <c r="N167" s="30"/>
      <c r="O167" s="31"/>
      <c r="P167" s="31"/>
      <c r="Q167" s="31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>
      <c r="A168" s="71"/>
      <c r="B168" s="72"/>
      <c r="C168" s="72"/>
      <c r="D168" s="73"/>
      <c r="E168" s="74"/>
      <c r="F168" s="74"/>
      <c r="G168" s="74"/>
      <c r="H168" s="74"/>
      <c r="I168" s="74"/>
      <c r="J168" s="74"/>
      <c r="K168" s="75"/>
      <c r="L168" s="76"/>
      <c r="M168" s="77"/>
      <c r="N168" s="30"/>
      <c r="O168" s="31"/>
      <c r="P168" s="31"/>
      <c r="Q168" s="31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>
      <c r="A169" s="71"/>
      <c r="B169" s="72"/>
      <c r="C169" s="72"/>
      <c r="D169" s="73"/>
      <c r="E169" s="74"/>
      <c r="F169" s="74"/>
      <c r="G169" s="74"/>
      <c r="H169" s="74"/>
      <c r="I169" s="74"/>
      <c r="J169" s="74"/>
      <c r="K169" s="75"/>
      <c r="L169" s="76"/>
      <c r="M169" s="77"/>
      <c r="N169" s="30"/>
      <c r="O169" s="31"/>
      <c r="P169" s="31"/>
      <c r="Q169" s="31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>
      <c r="A170" s="71"/>
      <c r="B170" s="72"/>
      <c r="C170" s="72"/>
      <c r="D170" s="73"/>
      <c r="E170" s="74"/>
      <c r="F170" s="74"/>
      <c r="G170" s="74"/>
      <c r="H170" s="74"/>
      <c r="I170" s="74"/>
      <c r="J170" s="74"/>
      <c r="K170" s="75"/>
      <c r="L170" s="76"/>
      <c r="M170" s="77"/>
      <c r="N170" s="30"/>
      <c r="O170" s="31"/>
      <c r="P170" s="31"/>
      <c r="Q170" s="31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>
      <c r="A171" s="71"/>
      <c r="B171" s="72"/>
      <c r="C171" s="72"/>
      <c r="D171" s="73"/>
      <c r="E171" s="74"/>
      <c r="F171" s="74"/>
      <c r="G171" s="74"/>
      <c r="H171" s="74"/>
      <c r="I171" s="74"/>
      <c r="J171" s="74"/>
      <c r="K171" s="75"/>
      <c r="L171" s="76"/>
      <c r="M171" s="77"/>
      <c r="N171" s="30"/>
      <c r="O171" s="31"/>
      <c r="P171" s="31"/>
      <c r="Q171" s="31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>
      <c r="A172" s="71"/>
      <c r="B172" s="72"/>
      <c r="C172" s="72"/>
      <c r="D172" s="73"/>
      <c r="E172" s="74"/>
      <c r="F172" s="74"/>
      <c r="G172" s="74"/>
      <c r="H172" s="74"/>
      <c r="I172" s="74"/>
      <c r="J172" s="74"/>
      <c r="K172" s="75"/>
      <c r="L172" s="76"/>
      <c r="M172" s="77"/>
      <c r="N172" s="30"/>
      <c r="O172" s="31"/>
      <c r="P172" s="31"/>
      <c r="Q172" s="31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>
      <c r="A173" s="71"/>
      <c r="B173" s="72"/>
      <c r="C173" s="72"/>
      <c r="D173" s="73"/>
      <c r="E173" s="74"/>
      <c r="F173" s="74"/>
      <c r="G173" s="74"/>
      <c r="H173" s="74"/>
      <c r="I173" s="74"/>
      <c r="J173" s="74"/>
      <c r="K173" s="75"/>
      <c r="L173" s="76"/>
      <c r="M173" s="77"/>
      <c r="N173" s="30"/>
      <c r="O173" s="31"/>
      <c r="P173" s="31"/>
      <c r="Q173" s="31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>
      <c r="A174" s="71"/>
      <c r="B174" s="72"/>
      <c r="C174" s="72"/>
      <c r="D174" s="73"/>
      <c r="E174" s="74"/>
      <c r="F174" s="74"/>
      <c r="G174" s="74"/>
      <c r="H174" s="74"/>
      <c r="I174" s="74"/>
      <c r="J174" s="74"/>
      <c r="K174" s="75"/>
      <c r="L174" s="76"/>
      <c r="M174" s="77"/>
      <c r="N174" s="30"/>
      <c r="O174" s="31"/>
      <c r="P174" s="31"/>
      <c r="Q174" s="31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>
      <c r="A175" s="71"/>
      <c r="B175" s="72"/>
      <c r="C175" s="72"/>
      <c r="D175" s="73"/>
      <c r="E175" s="74"/>
      <c r="F175" s="74"/>
      <c r="G175" s="74"/>
      <c r="H175" s="74"/>
      <c r="I175" s="74"/>
      <c r="J175" s="74"/>
      <c r="K175" s="75"/>
      <c r="L175" s="76"/>
      <c r="M175" s="77"/>
      <c r="N175" s="30"/>
      <c r="O175" s="31"/>
      <c r="P175" s="31"/>
      <c r="Q175" s="31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>
      <c r="A176" s="71"/>
      <c r="B176" s="72"/>
      <c r="C176" s="72"/>
      <c r="D176" s="73"/>
      <c r="E176" s="74"/>
      <c r="F176" s="74"/>
      <c r="G176" s="74"/>
      <c r="H176" s="74"/>
      <c r="I176" s="74"/>
      <c r="J176" s="74"/>
      <c r="K176" s="75"/>
      <c r="L176" s="76"/>
      <c r="M176" s="77"/>
      <c r="N176" s="30"/>
      <c r="O176" s="31"/>
      <c r="P176" s="31"/>
      <c r="Q176" s="31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>
      <c r="A177" s="71"/>
      <c r="B177" s="72"/>
      <c r="C177" s="72"/>
      <c r="D177" s="73"/>
      <c r="E177" s="74"/>
      <c r="F177" s="74"/>
      <c r="G177" s="74"/>
      <c r="H177" s="74"/>
      <c r="I177" s="74"/>
      <c r="J177" s="74"/>
      <c r="K177" s="75"/>
      <c r="L177" s="76"/>
      <c r="M177" s="77"/>
      <c r="N177" s="30"/>
      <c r="O177" s="31"/>
      <c r="P177" s="31"/>
      <c r="Q177" s="31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>
      <c r="A178" s="71"/>
      <c r="B178" s="72"/>
      <c r="C178" s="72"/>
      <c r="D178" s="73"/>
      <c r="E178" s="74"/>
      <c r="F178" s="74"/>
      <c r="G178" s="74"/>
      <c r="H178" s="74"/>
      <c r="I178" s="74"/>
      <c r="J178" s="74"/>
      <c r="K178" s="75"/>
      <c r="L178" s="76"/>
      <c r="M178" s="77"/>
      <c r="N178" s="30"/>
      <c r="O178" s="31"/>
      <c r="P178" s="31"/>
      <c r="Q178" s="31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>
      <c r="A179" s="71"/>
      <c r="B179" s="72"/>
      <c r="C179" s="72"/>
      <c r="D179" s="73"/>
      <c r="E179" s="74"/>
      <c r="F179" s="74"/>
      <c r="G179" s="74"/>
      <c r="H179" s="74"/>
      <c r="I179" s="74"/>
      <c r="J179" s="74"/>
      <c r="K179" s="75"/>
      <c r="L179" s="76"/>
      <c r="M179" s="77"/>
      <c r="N179" s="30"/>
      <c r="O179" s="31"/>
      <c r="P179" s="31"/>
      <c r="Q179" s="31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>
      <c r="A180" s="71"/>
      <c r="B180" s="72"/>
      <c r="C180" s="72"/>
      <c r="D180" s="73"/>
      <c r="E180" s="74"/>
      <c r="F180" s="74"/>
      <c r="G180" s="74"/>
      <c r="H180" s="74"/>
      <c r="I180" s="74"/>
      <c r="J180" s="74"/>
      <c r="K180" s="75"/>
      <c r="L180" s="76"/>
      <c r="M180" s="77"/>
      <c r="N180" s="30"/>
      <c r="O180" s="31"/>
      <c r="P180" s="31"/>
      <c r="Q180" s="31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>
      <c r="A181" s="71"/>
      <c r="B181" s="72"/>
      <c r="C181" s="72"/>
      <c r="D181" s="73"/>
      <c r="E181" s="74"/>
      <c r="F181" s="74"/>
      <c r="G181" s="74"/>
      <c r="H181" s="74"/>
      <c r="I181" s="74"/>
      <c r="J181" s="74"/>
      <c r="K181" s="75"/>
      <c r="L181" s="76"/>
      <c r="M181" s="77"/>
      <c r="N181" s="30"/>
      <c r="O181" s="31"/>
      <c r="P181" s="31"/>
      <c r="Q181" s="31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>
      <c r="A182" s="71"/>
      <c r="B182" s="72"/>
      <c r="C182" s="72"/>
      <c r="D182" s="73"/>
      <c r="E182" s="74"/>
      <c r="F182" s="74"/>
      <c r="G182" s="74"/>
      <c r="H182" s="74"/>
      <c r="I182" s="74"/>
      <c r="J182" s="74"/>
      <c r="K182" s="75"/>
      <c r="L182" s="76"/>
      <c r="M182" s="77"/>
      <c r="N182" s="30"/>
      <c r="O182" s="31"/>
      <c r="P182" s="31"/>
      <c r="Q182" s="31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>
      <c r="A183" s="71"/>
      <c r="B183" s="72"/>
      <c r="C183" s="72"/>
      <c r="D183" s="73"/>
      <c r="E183" s="74"/>
      <c r="F183" s="74"/>
      <c r="G183" s="74"/>
      <c r="H183" s="74"/>
      <c r="I183" s="74"/>
      <c r="J183" s="74"/>
      <c r="K183" s="75"/>
      <c r="L183" s="76"/>
      <c r="M183" s="77"/>
      <c r="N183" s="30"/>
      <c r="O183" s="31"/>
      <c r="P183" s="31"/>
      <c r="Q183" s="31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>
      <c r="A184" s="71"/>
      <c r="B184" s="72"/>
      <c r="C184" s="72"/>
      <c r="D184" s="73"/>
      <c r="E184" s="74"/>
      <c r="F184" s="74"/>
      <c r="G184" s="74"/>
      <c r="H184" s="74"/>
      <c r="I184" s="74"/>
      <c r="J184" s="74"/>
      <c r="K184" s="75"/>
      <c r="L184" s="76"/>
      <c r="M184" s="77"/>
      <c r="N184" s="30"/>
      <c r="O184" s="31"/>
      <c r="P184" s="31"/>
      <c r="Q184" s="31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>
      <c r="A185" s="71"/>
      <c r="B185" s="72"/>
      <c r="C185" s="72"/>
      <c r="D185" s="73"/>
      <c r="E185" s="74"/>
      <c r="F185" s="74"/>
      <c r="G185" s="74"/>
      <c r="H185" s="74"/>
      <c r="I185" s="74"/>
      <c r="J185" s="74"/>
      <c r="K185" s="75"/>
      <c r="L185" s="76"/>
      <c r="M185" s="77"/>
      <c r="N185" s="30"/>
      <c r="O185" s="31"/>
      <c r="P185" s="31"/>
      <c r="Q185" s="31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>
      <c r="A186" s="71"/>
      <c r="B186" s="72"/>
      <c r="C186" s="72"/>
      <c r="D186" s="73"/>
      <c r="E186" s="74"/>
      <c r="F186" s="74"/>
      <c r="G186" s="74"/>
      <c r="H186" s="74"/>
      <c r="I186" s="74"/>
      <c r="J186" s="74"/>
      <c r="K186" s="75"/>
      <c r="L186" s="76"/>
      <c r="M186" s="77"/>
      <c r="N186" s="30"/>
      <c r="O186" s="31"/>
      <c r="P186" s="31"/>
      <c r="Q186" s="31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>
      <c r="A187" s="71"/>
      <c r="B187" s="72"/>
      <c r="C187" s="72"/>
      <c r="D187" s="73"/>
      <c r="E187" s="74"/>
      <c r="F187" s="74"/>
      <c r="G187" s="74"/>
      <c r="H187" s="74"/>
      <c r="I187" s="74"/>
      <c r="J187" s="74"/>
      <c r="K187" s="75"/>
      <c r="L187" s="76"/>
      <c r="M187" s="77"/>
      <c r="N187" s="30"/>
      <c r="O187" s="31"/>
      <c r="P187" s="31"/>
      <c r="Q187" s="31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>
      <c r="A188" s="71"/>
      <c r="B188" s="72"/>
      <c r="C188" s="72"/>
      <c r="D188" s="73"/>
      <c r="E188" s="74"/>
      <c r="F188" s="74"/>
      <c r="G188" s="74"/>
      <c r="H188" s="74"/>
      <c r="I188" s="74"/>
      <c r="J188" s="74"/>
      <c r="K188" s="75"/>
      <c r="L188" s="76"/>
      <c r="M188" s="77"/>
      <c r="N188" s="30"/>
      <c r="O188" s="31"/>
      <c r="P188" s="31"/>
      <c r="Q188" s="31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>
      <c r="A189" s="71"/>
      <c r="B189" s="72"/>
      <c r="C189" s="72"/>
      <c r="D189" s="73"/>
      <c r="E189" s="74"/>
      <c r="F189" s="74"/>
      <c r="G189" s="74"/>
      <c r="H189" s="74"/>
      <c r="I189" s="74"/>
      <c r="J189" s="74"/>
      <c r="K189" s="75"/>
      <c r="L189" s="76"/>
      <c r="M189" s="77"/>
      <c r="N189" s="30"/>
      <c r="O189" s="31"/>
      <c r="P189" s="31"/>
      <c r="Q189" s="31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>
      <c r="A190" s="71"/>
      <c r="B190" s="72"/>
      <c r="C190" s="72"/>
      <c r="D190" s="73"/>
      <c r="E190" s="74"/>
      <c r="F190" s="74"/>
      <c r="G190" s="74"/>
      <c r="H190" s="74"/>
      <c r="I190" s="74"/>
      <c r="J190" s="74"/>
      <c r="K190" s="75"/>
      <c r="L190" s="76"/>
      <c r="M190" s="77"/>
      <c r="N190" s="30"/>
      <c r="O190" s="31"/>
      <c r="P190" s="31"/>
      <c r="Q190" s="31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>
      <c r="A191" s="71"/>
      <c r="B191" s="72"/>
      <c r="C191" s="72"/>
      <c r="D191" s="73"/>
      <c r="E191" s="74"/>
      <c r="F191" s="74"/>
      <c r="G191" s="74"/>
      <c r="H191" s="74"/>
      <c r="I191" s="74"/>
      <c r="J191" s="74"/>
      <c r="K191" s="75"/>
      <c r="L191" s="76"/>
      <c r="M191" s="77"/>
      <c r="N191" s="30"/>
      <c r="O191" s="31"/>
      <c r="P191" s="31"/>
      <c r="Q191" s="31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>
      <c r="A192" s="71"/>
      <c r="B192" s="72"/>
      <c r="C192" s="72"/>
      <c r="D192" s="73"/>
      <c r="E192" s="74"/>
      <c r="F192" s="74"/>
      <c r="G192" s="74"/>
      <c r="H192" s="74"/>
      <c r="I192" s="74"/>
      <c r="J192" s="74"/>
      <c r="K192" s="75"/>
      <c r="L192" s="76"/>
      <c r="M192" s="77"/>
      <c r="N192" s="30"/>
      <c r="O192" s="31"/>
      <c r="P192" s="31"/>
      <c r="Q192" s="31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>
      <c r="A193" s="71"/>
      <c r="B193" s="72"/>
      <c r="C193" s="72"/>
      <c r="D193" s="73"/>
      <c r="E193" s="74"/>
      <c r="F193" s="74"/>
      <c r="G193" s="74"/>
      <c r="H193" s="74"/>
      <c r="I193" s="74"/>
      <c r="J193" s="74"/>
      <c r="K193" s="75"/>
      <c r="L193" s="76"/>
      <c r="M193" s="77"/>
      <c r="N193" s="30"/>
      <c r="O193" s="31"/>
      <c r="P193" s="31"/>
      <c r="Q193" s="31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>
      <c r="A194" s="71"/>
      <c r="B194" s="72"/>
      <c r="C194" s="72"/>
      <c r="D194" s="73"/>
      <c r="E194" s="74"/>
      <c r="F194" s="74"/>
      <c r="G194" s="74"/>
      <c r="H194" s="74"/>
      <c r="I194" s="74"/>
      <c r="J194" s="74"/>
      <c r="K194" s="75"/>
      <c r="L194" s="76"/>
      <c r="M194" s="77"/>
      <c r="N194" s="30"/>
      <c r="O194" s="31"/>
      <c r="P194" s="31"/>
      <c r="Q194" s="31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>
      <c r="A195" s="71"/>
      <c r="B195" s="72"/>
      <c r="C195" s="72"/>
      <c r="D195" s="73"/>
      <c r="E195" s="74"/>
      <c r="F195" s="74"/>
      <c r="G195" s="74"/>
      <c r="H195" s="74"/>
      <c r="I195" s="74"/>
      <c r="J195" s="74"/>
      <c r="K195" s="75"/>
      <c r="L195" s="76"/>
      <c r="M195" s="77"/>
      <c r="N195" s="30"/>
      <c r="O195" s="31"/>
      <c r="P195" s="31"/>
      <c r="Q195" s="31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>
      <c r="A196" s="71"/>
      <c r="B196" s="72"/>
      <c r="C196" s="72"/>
      <c r="D196" s="73"/>
      <c r="E196" s="74"/>
      <c r="F196" s="74"/>
      <c r="G196" s="74"/>
      <c r="H196" s="74"/>
      <c r="I196" s="74"/>
      <c r="J196" s="74"/>
      <c r="K196" s="75"/>
      <c r="L196" s="76"/>
      <c r="M196" s="77"/>
      <c r="N196" s="30"/>
      <c r="O196" s="31"/>
      <c r="P196" s="31"/>
      <c r="Q196" s="31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>
      <c r="A197" s="71"/>
      <c r="B197" s="72"/>
      <c r="C197" s="72"/>
      <c r="D197" s="73"/>
      <c r="E197" s="74"/>
      <c r="F197" s="74"/>
      <c r="G197" s="74"/>
      <c r="H197" s="74"/>
      <c r="I197" s="74"/>
      <c r="J197" s="74"/>
      <c r="K197" s="75"/>
      <c r="L197" s="76"/>
      <c r="M197" s="77"/>
      <c r="N197" s="30"/>
      <c r="O197" s="31"/>
      <c r="P197" s="31"/>
      <c r="Q197" s="31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>
      <c r="A198" s="71"/>
      <c r="B198" s="72"/>
      <c r="C198" s="72"/>
      <c r="D198" s="73"/>
      <c r="E198" s="74"/>
      <c r="F198" s="74"/>
      <c r="G198" s="74"/>
      <c r="H198" s="74"/>
      <c r="I198" s="74"/>
      <c r="J198" s="74"/>
      <c r="K198" s="75"/>
      <c r="L198" s="76"/>
      <c r="M198" s="77"/>
      <c r="N198" s="30"/>
      <c r="O198" s="31"/>
      <c r="P198" s="31"/>
      <c r="Q198" s="31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>
      <c r="A199" s="71"/>
      <c r="B199" s="72"/>
      <c r="C199" s="72"/>
      <c r="D199" s="73"/>
      <c r="E199" s="74"/>
      <c r="F199" s="74"/>
      <c r="G199" s="74"/>
      <c r="H199" s="74"/>
      <c r="I199" s="74"/>
      <c r="J199" s="74"/>
      <c r="K199" s="75"/>
      <c r="L199" s="76"/>
      <c r="M199" s="77"/>
      <c r="N199" s="30"/>
      <c r="O199" s="31"/>
      <c r="P199" s="31"/>
      <c r="Q199" s="31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>
      <c r="A200" s="71"/>
      <c r="B200" s="72"/>
      <c r="C200" s="72"/>
      <c r="D200" s="73"/>
      <c r="E200" s="74"/>
      <c r="F200" s="74"/>
      <c r="G200" s="74"/>
      <c r="H200" s="74"/>
      <c r="I200" s="74"/>
      <c r="J200" s="74"/>
      <c r="K200" s="75"/>
      <c r="L200" s="76"/>
      <c r="M200" s="77"/>
      <c r="N200" s="30"/>
      <c r="O200" s="31"/>
      <c r="P200" s="31"/>
      <c r="Q200" s="31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>
      <c r="A201" s="71"/>
      <c r="B201" s="72"/>
      <c r="C201" s="72"/>
      <c r="D201" s="73"/>
      <c r="E201" s="74"/>
      <c r="F201" s="74"/>
      <c r="G201" s="74"/>
      <c r="H201" s="74"/>
      <c r="I201" s="74"/>
      <c r="J201" s="74"/>
      <c r="K201" s="75"/>
      <c r="L201" s="76"/>
      <c r="M201" s="77"/>
      <c r="N201" s="30"/>
      <c r="O201" s="31"/>
      <c r="P201" s="31"/>
      <c r="Q201" s="31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>
      <c r="A202" s="71"/>
      <c r="B202" s="72"/>
      <c r="C202" s="72"/>
      <c r="D202" s="73"/>
      <c r="E202" s="74"/>
      <c r="F202" s="74"/>
      <c r="G202" s="74"/>
      <c r="H202" s="74"/>
      <c r="I202" s="74"/>
      <c r="J202" s="74"/>
      <c r="K202" s="75"/>
      <c r="L202" s="76"/>
      <c r="M202" s="77"/>
      <c r="N202" s="30"/>
      <c r="O202" s="31"/>
      <c r="P202" s="31"/>
      <c r="Q202" s="31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>
      <c r="A203" s="71"/>
      <c r="B203" s="72"/>
      <c r="C203" s="72"/>
      <c r="D203" s="73"/>
      <c r="E203" s="74"/>
      <c r="F203" s="74"/>
      <c r="G203" s="74"/>
      <c r="H203" s="74"/>
      <c r="I203" s="74"/>
      <c r="J203" s="74"/>
      <c r="K203" s="75"/>
      <c r="L203" s="76"/>
      <c r="M203" s="77"/>
      <c r="N203" s="30"/>
      <c r="O203" s="31"/>
      <c r="P203" s="31"/>
      <c r="Q203" s="31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>
      <c r="A204" s="71"/>
      <c r="B204" s="72"/>
      <c r="C204" s="72"/>
      <c r="D204" s="73"/>
      <c r="E204" s="74"/>
      <c r="F204" s="74"/>
      <c r="G204" s="74"/>
      <c r="H204" s="74"/>
      <c r="I204" s="74"/>
      <c r="J204" s="74"/>
      <c r="K204" s="75"/>
      <c r="L204" s="76"/>
      <c r="M204" s="77"/>
      <c r="N204" s="30"/>
      <c r="O204" s="31"/>
      <c r="P204" s="31"/>
      <c r="Q204" s="31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>
      <c r="A205" s="71"/>
      <c r="B205" s="72"/>
      <c r="C205" s="72"/>
      <c r="D205" s="73"/>
      <c r="E205" s="74"/>
      <c r="F205" s="74"/>
      <c r="G205" s="74"/>
      <c r="H205" s="74"/>
      <c r="I205" s="74"/>
      <c r="J205" s="74"/>
      <c r="K205" s="75"/>
      <c r="L205" s="76"/>
      <c r="M205" s="77"/>
      <c r="N205" s="30"/>
      <c r="O205" s="31"/>
      <c r="P205" s="31"/>
      <c r="Q205" s="31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>
      <c r="A206" s="71"/>
      <c r="B206" s="72"/>
      <c r="C206" s="72"/>
      <c r="D206" s="73"/>
      <c r="E206" s="74"/>
      <c r="F206" s="74"/>
      <c r="G206" s="74"/>
      <c r="H206" s="74"/>
      <c r="I206" s="74"/>
      <c r="J206" s="74"/>
      <c r="K206" s="75"/>
      <c r="L206" s="76"/>
      <c r="M206" s="77"/>
      <c r="N206" s="30"/>
      <c r="O206" s="31"/>
      <c r="P206" s="31"/>
      <c r="Q206" s="31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>
      <c r="A207" s="71"/>
      <c r="B207" s="72"/>
      <c r="C207" s="72"/>
      <c r="D207" s="73"/>
      <c r="E207" s="74"/>
      <c r="F207" s="74"/>
      <c r="G207" s="74"/>
      <c r="H207" s="74"/>
      <c r="I207" s="74"/>
      <c r="J207" s="74"/>
      <c r="K207" s="75"/>
      <c r="L207" s="76"/>
      <c r="M207" s="77"/>
      <c r="N207" s="30"/>
      <c r="O207" s="31"/>
      <c r="P207" s="31"/>
      <c r="Q207" s="31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>
      <c r="A208" s="71"/>
      <c r="B208" s="72"/>
      <c r="C208" s="72"/>
      <c r="D208" s="73"/>
      <c r="E208" s="74"/>
      <c r="F208" s="74"/>
      <c r="G208" s="74"/>
      <c r="H208" s="74"/>
      <c r="I208" s="74"/>
      <c r="J208" s="74"/>
      <c r="K208" s="75"/>
      <c r="L208" s="76"/>
      <c r="M208" s="77"/>
      <c r="N208" s="30"/>
      <c r="O208" s="31"/>
      <c r="P208" s="31"/>
      <c r="Q208" s="31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>
      <c r="A209" s="71"/>
      <c r="B209" s="72"/>
      <c r="C209" s="72"/>
      <c r="D209" s="73"/>
      <c r="E209" s="74"/>
      <c r="F209" s="74"/>
      <c r="G209" s="74"/>
      <c r="H209" s="74"/>
      <c r="I209" s="74"/>
      <c r="J209" s="74"/>
      <c r="K209" s="75"/>
      <c r="L209" s="76"/>
      <c r="M209" s="77"/>
      <c r="N209" s="30"/>
      <c r="O209" s="31"/>
      <c r="P209" s="31"/>
      <c r="Q209" s="31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>
      <c r="A210" s="71"/>
      <c r="B210" s="72"/>
      <c r="C210" s="72"/>
      <c r="D210" s="73"/>
      <c r="E210" s="74"/>
      <c r="F210" s="74"/>
      <c r="G210" s="74"/>
      <c r="H210" s="74"/>
      <c r="I210" s="74"/>
      <c r="J210" s="74"/>
      <c r="K210" s="75"/>
      <c r="L210" s="76"/>
      <c r="M210" s="77"/>
      <c r="N210" s="30"/>
      <c r="O210" s="31"/>
      <c r="P210" s="31"/>
      <c r="Q210" s="31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>
      <c r="A211" s="71"/>
      <c r="B211" s="72"/>
      <c r="C211" s="72"/>
      <c r="D211" s="73"/>
      <c r="E211" s="74"/>
      <c r="F211" s="74"/>
      <c r="G211" s="74"/>
      <c r="H211" s="74"/>
      <c r="I211" s="74"/>
      <c r="J211" s="74"/>
      <c r="K211" s="75"/>
      <c r="L211" s="76"/>
      <c r="M211" s="77"/>
      <c r="N211" s="30"/>
      <c r="O211" s="31"/>
      <c r="P211" s="31"/>
      <c r="Q211" s="31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71"/>
      <c r="B212" s="72"/>
      <c r="C212" s="72"/>
      <c r="D212" s="73"/>
      <c r="E212" s="74"/>
      <c r="F212" s="74"/>
      <c r="G212" s="74"/>
      <c r="H212" s="74"/>
      <c r="I212" s="74"/>
      <c r="J212" s="74"/>
      <c r="K212" s="75"/>
      <c r="L212" s="76"/>
      <c r="M212" s="77"/>
      <c r="N212" s="30"/>
      <c r="O212" s="31"/>
      <c r="P212" s="31"/>
      <c r="Q212" s="31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71"/>
      <c r="B213" s="72"/>
      <c r="C213" s="72"/>
      <c r="D213" s="73"/>
      <c r="E213" s="74"/>
      <c r="F213" s="74"/>
      <c r="G213" s="74"/>
      <c r="H213" s="74"/>
      <c r="I213" s="74"/>
      <c r="J213" s="74"/>
      <c r="K213" s="75"/>
      <c r="L213" s="76"/>
      <c r="M213" s="77"/>
      <c r="N213" s="30"/>
      <c r="O213" s="31"/>
      <c r="P213" s="31"/>
      <c r="Q213" s="31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71"/>
      <c r="B214" s="72"/>
      <c r="C214" s="72"/>
      <c r="D214" s="73"/>
      <c r="E214" s="74"/>
      <c r="F214" s="74"/>
      <c r="G214" s="74"/>
      <c r="H214" s="74"/>
      <c r="I214" s="74"/>
      <c r="J214" s="74"/>
      <c r="K214" s="75"/>
      <c r="L214" s="76"/>
      <c r="M214" s="77"/>
      <c r="N214" s="30"/>
      <c r="O214" s="31"/>
      <c r="P214" s="31"/>
      <c r="Q214" s="31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71"/>
      <c r="B215" s="72"/>
      <c r="C215" s="72"/>
      <c r="D215" s="73"/>
      <c r="E215" s="74"/>
      <c r="F215" s="74"/>
      <c r="G215" s="74"/>
      <c r="H215" s="74"/>
      <c r="I215" s="74"/>
      <c r="J215" s="74"/>
      <c r="K215" s="75"/>
      <c r="L215" s="76"/>
      <c r="M215" s="77"/>
      <c r="N215" s="30"/>
      <c r="O215" s="31"/>
      <c r="P215" s="31"/>
      <c r="Q215" s="31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71"/>
      <c r="B216" s="72"/>
      <c r="C216" s="72"/>
      <c r="D216" s="73"/>
      <c r="E216" s="74"/>
      <c r="F216" s="74"/>
      <c r="G216" s="74"/>
      <c r="H216" s="74"/>
      <c r="I216" s="74"/>
      <c r="J216" s="74"/>
      <c r="K216" s="75"/>
      <c r="L216" s="76"/>
      <c r="M216" s="77"/>
      <c r="N216" s="30"/>
      <c r="O216" s="31"/>
      <c r="P216" s="31"/>
      <c r="Q216" s="31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71"/>
      <c r="B217" s="72"/>
      <c r="C217" s="72"/>
      <c r="D217" s="73"/>
      <c r="E217" s="74"/>
      <c r="F217" s="74"/>
      <c r="G217" s="74"/>
      <c r="H217" s="74"/>
      <c r="I217" s="74"/>
      <c r="J217" s="74"/>
      <c r="K217" s="75"/>
      <c r="L217" s="76"/>
      <c r="M217" s="77"/>
      <c r="N217" s="30"/>
      <c r="O217" s="31"/>
      <c r="P217" s="31"/>
      <c r="Q217" s="31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71"/>
      <c r="B218" s="72"/>
      <c r="C218" s="72"/>
      <c r="D218" s="73"/>
      <c r="E218" s="74"/>
      <c r="F218" s="74"/>
      <c r="G218" s="74"/>
      <c r="H218" s="74"/>
      <c r="I218" s="74"/>
      <c r="J218" s="74"/>
      <c r="K218" s="75"/>
      <c r="L218" s="76"/>
      <c r="M218" s="77"/>
      <c r="N218" s="30"/>
      <c r="O218" s="31"/>
      <c r="P218" s="31"/>
      <c r="Q218" s="31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71"/>
      <c r="B219" s="72"/>
      <c r="C219" s="72"/>
      <c r="D219" s="73"/>
      <c r="E219" s="74"/>
      <c r="F219" s="74"/>
      <c r="G219" s="74"/>
      <c r="H219" s="74"/>
      <c r="I219" s="74"/>
      <c r="J219" s="74"/>
      <c r="K219" s="75"/>
      <c r="L219" s="76"/>
      <c r="M219" s="77"/>
      <c r="N219" s="30"/>
      <c r="O219" s="31"/>
      <c r="P219" s="31"/>
      <c r="Q219" s="31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71"/>
      <c r="B220" s="72"/>
      <c r="C220" s="72"/>
      <c r="D220" s="73"/>
      <c r="E220" s="74"/>
      <c r="F220" s="74"/>
      <c r="G220" s="74"/>
      <c r="H220" s="74"/>
      <c r="I220" s="74"/>
      <c r="J220" s="74"/>
      <c r="K220" s="75"/>
      <c r="L220" s="76"/>
      <c r="M220" s="77"/>
      <c r="N220" s="30"/>
      <c r="O220" s="31"/>
      <c r="P220" s="31"/>
      <c r="Q220" s="31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71"/>
      <c r="B221" s="72"/>
      <c r="C221" s="72"/>
      <c r="D221" s="73"/>
      <c r="E221" s="74"/>
      <c r="F221" s="74"/>
      <c r="G221" s="74"/>
      <c r="H221" s="74"/>
      <c r="I221" s="74"/>
      <c r="J221" s="74"/>
      <c r="K221" s="75"/>
      <c r="L221" s="76"/>
      <c r="M221" s="77"/>
      <c r="N221" s="30"/>
      <c r="O221" s="31"/>
      <c r="P221" s="31"/>
      <c r="Q221" s="31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71"/>
      <c r="B222" s="72"/>
      <c r="C222" s="72"/>
      <c r="D222" s="73"/>
      <c r="E222" s="74"/>
      <c r="F222" s="74"/>
      <c r="G222" s="74"/>
      <c r="H222" s="74"/>
      <c r="I222" s="74"/>
      <c r="J222" s="74"/>
      <c r="K222" s="75"/>
      <c r="L222" s="76"/>
      <c r="M222" s="77"/>
      <c r="N222" s="30"/>
      <c r="O222" s="31"/>
      <c r="P222" s="31"/>
      <c r="Q222" s="31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71"/>
      <c r="B223" s="72"/>
      <c r="C223" s="72"/>
      <c r="D223" s="73"/>
      <c r="E223" s="74"/>
      <c r="F223" s="74"/>
      <c r="G223" s="74"/>
      <c r="H223" s="74"/>
      <c r="I223" s="74"/>
      <c r="J223" s="74"/>
      <c r="K223" s="75"/>
      <c r="L223" s="76"/>
      <c r="M223" s="77"/>
      <c r="N223" s="30"/>
      <c r="O223" s="31"/>
      <c r="P223" s="31"/>
      <c r="Q223" s="31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71"/>
      <c r="B224" s="72"/>
      <c r="C224" s="72"/>
      <c r="D224" s="73"/>
      <c r="E224" s="74"/>
      <c r="F224" s="74"/>
      <c r="G224" s="74"/>
      <c r="H224" s="74"/>
      <c r="I224" s="74"/>
      <c r="J224" s="74"/>
      <c r="K224" s="75"/>
      <c r="L224" s="76"/>
      <c r="M224" s="77"/>
      <c r="N224" s="30"/>
      <c r="O224" s="31"/>
      <c r="P224" s="31"/>
      <c r="Q224" s="31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71"/>
      <c r="B225" s="72"/>
      <c r="C225" s="72"/>
      <c r="D225" s="73"/>
      <c r="E225" s="74"/>
      <c r="F225" s="74"/>
      <c r="G225" s="74"/>
      <c r="H225" s="74"/>
      <c r="I225" s="74"/>
      <c r="J225" s="74"/>
      <c r="K225" s="75"/>
      <c r="L225" s="76"/>
      <c r="M225" s="77"/>
      <c r="N225" s="30"/>
      <c r="O225" s="31"/>
      <c r="P225" s="31"/>
      <c r="Q225" s="31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71"/>
      <c r="B226" s="72"/>
      <c r="C226" s="72"/>
      <c r="D226" s="73"/>
      <c r="E226" s="74"/>
      <c r="F226" s="74"/>
      <c r="G226" s="74"/>
      <c r="H226" s="74"/>
      <c r="I226" s="74"/>
      <c r="J226" s="74"/>
      <c r="K226" s="75"/>
      <c r="L226" s="76"/>
      <c r="M226" s="77"/>
      <c r="N226" s="30"/>
      <c r="O226" s="31"/>
      <c r="P226" s="31"/>
      <c r="Q226" s="31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71"/>
      <c r="B227" s="72"/>
      <c r="C227" s="72"/>
      <c r="D227" s="73"/>
      <c r="E227" s="74"/>
      <c r="F227" s="74"/>
      <c r="G227" s="74"/>
      <c r="H227" s="74"/>
      <c r="I227" s="74"/>
      <c r="J227" s="74"/>
      <c r="K227" s="75"/>
      <c r="L227" s="76"/>
      <c r="M227" s="77"/>
      <c r="N227" s="30"/>
      <c r="O227" s="31"/>
      <c r="P227" s="31"/>
      <c r="Q227" s="31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71"/>
      <c r="B228" s="72"/>
      <c r="C228" s="72"/>
      <c r="D228" s="73"/>
      <c r="E228" s="74"/>
      <c r="F228" s="74"/>
      <c r="G228" s="74"/>
      <c r="H228" s="74"/>
      <c r="I228" s="74"/>
      <c r="J228" s="74"/>
      <c r="K228" s="75"/>
      <c r="L228" s="76"/>
      <c r="M228" s="77"/>
      <c r="N228" s="30"/>
      <c r="O228" s="31"/>
      <c r="P228" s="31"/>
      <c r="Q228" s="31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71"/>
      <c r="B229" s="72"/>
      <c r="C229" s="72"/>
      <c r="D229" s="73"/>
      <c r="E229" s="74"/>
      <c r="F229" s="74"/>
      <c r="G229" s="74"/>
      <c r="H229" s="74"/>
      <c r="I229" s="74"/>
      <c r="J229" s="74"/>
      <c r="K229" s="75"/>
      <c r="L229" s="76"/>
      <c r="M229" s="77"/>
      <c r="N229" s="30"/>
      <c r="O229" s="31"/>
      <c r="P229" s="31"/>
      <c r="Q229" s="31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71"/>
      <c r="B230" s="72"/>
      <c r="C230" s="72"/>
      <c r="D230" s="73"/>
      <c r="E230" s="74"/>
      <c r="F230" s="74"/>
      <c r="G230" s="74"/>
      <c r="H230" s="74"/>
      <c r="I230" s="74"/>
      <c r="J230" s="74"/>
      <c r="K230" s="75"/>
      <c r="L230" s="76"/>
      <c r="M230" s="77"/>
      <c r="N230" s="30"/>
      <c r="O230" s="31"/>
      <c r="P230" s="31"/>
      <c r="Q230" s="31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71"/>
      <c r="B231" s="72"/>
      <c r="C231" s="72"/>
      <c r="D231" s="73"/>
      <c r="E231" s="74"/>
      <c r="F231" s="74"/>
      <c r="G231" s="74"/>
      <c r="H231" s="74"/>
      <c r="I231" s="74"/>
      <c r="J231" s="74"/>
      <c r="K231" s="75"/>
      <c r="L231" s="76"/>
      <c r="M231" s="77"/>
      <c r="N231" s="30"/>
      <c r="O231" s="31"/>
      <c r="P231" s="31"/>
      <c r="Q231" s="31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71"/>
      <c r="B232" s="72"/>
      <c r="C232" s="72"/>
      <c r="D232" s="73"/>
      <c r="E232" s="74"/>
      <c r="F232" s="74"/>
      <c r="G232" s="74"/>
      <c r="H232" s="74"/>
      <c r="I232" s="74"/>
      <c r="J232" s="74"/>
      <c r="K232" s="75"/>
      <c r="L232" s="76"/>
      <c r="M232" s="77"/>
      <c r="N232" s="30"/>
      <c r="O232" s="31"/>
      <c r="P232" s="31"/>
      <c r="Q232" s="31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71"/>
      <c r="B233" s="72"/>
      <c r="C233" s="72"/>
      <c r="D233" s="73"/>
      <c r="E233" s="74"/>
      <c r="F233" s="74"/>
      <c r="G233" s="74"/>
      <c r="H233" s="74"/>
      <c r="I233" s="74"/>
      <c r="J233" s="74"/>
      <c r="K233" s="75"/>
      <c r="L233" s="76"/>
      <c r="M233" s="77"/>
      <c r="N233" s="30"/>
      <c r="O233" s="31"/>
      <c r="P233" s="31"/>
      <c r="Q233" s="31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71"/>
      <c r="B234" s="72"/>
      <c r="C234" s="72"/>
      <c r="D234" s="73"/>
      <c r="E234" s="74"/>
      <c r="F234" s="74"/>
      <c r="G234" s="74"/>
      <c r="H234" s="74"/>
      <c r="I234" s="74"/>
      <c r="J234" s="74"/>
      <c r="K234" s="75"/>
      <c r="L234" s="76"/>
      <c r="M234" s="77"/>
      <c r="N234" s="30"/>
      <c r="O234" s="31"/>
      <c r="P234" s="31"/>
      <c r="Q234" s="31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71"/>
      <c r="B235" s="72"/>
      <c r="C235" s="72"/>
      <c r="D235" s="73"/>
      <c r="E235" s="74"/>
      <c r="F235" s="74"/>
      <c r="G235" s="74"/>
      <c r="H235" s="74"/>
      <c r="I235" s="74"/>
      <c r="J235" s="74"/>
      <c r="K235" s="75"/>
      <c r="L235" s="76"/>
      <c r="M235" s="77"/>
      <c r="N235" s="30"/>
      <c r="O235" s="31"/>
      <c r="P235" s="31"/>
      <c r="Q235" s="31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71"/>
      <c r="B236" s="72"/>
      <c r="C236" s="72"/>
      <c r="D236" s="73"/>
      <c r="E236" s="74"/>
      <c r="F236" s="74"/>
      <c r="G236" s="74"/>
      <c r="H236" s="74"/>
      <c r="I236" s="74"/>
      <c r="J236" s="74"/>
      <c r="K236" s="75"/>
      <c r="L236" s="76"/>
      <c r="M236" s="77"/>
      <c r="N236" s="30"/>
      <c r="O236" s="31"/>
      <c r="P236" s="31"/>
      <c r="Q236" s="31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71"/>
      <c r="B237" s="72"/>
      <c r="C237" s="72"/>
      <c r="D237" s="73"/>
      <c r="E237" s="74"/>
      <c r="F237" s="74"/>
      <c r="G237" s="74"/>
      <c r="H237" s="74"/>
      <c r="I237" s="74"/>
      <c r="J237" s="74"/>
      <c r="K237" s="75"/>
      <c r="L237" s="76"/>
      <c r="M237" s="77"/>
      <c r="N237" s="30"/>
      <c r="O237" s="31"/>
      <c r="P237" s="31"/>
      <c r="Q237" s="31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71"/>
      <c r="B238" s="72"/>
      <c r="C238" s="72"/>
      <c r="D238" s="73"/>
      <c r="E238" s="74"/>
      <c r="F238" s="74"/>
      <c r="G238" s="74"/>
      <c r="H238" s="74"/>
      <c r="I238" s="74"/>
      <c r="J238" s="74"/>
      <c r="K238" s="75"/>
      <c r="L238" s="76"/>
      <c r="M238" s="77"/>
      <c r="N238" s="30"/>
      <c r="O238" s="31"/>
      <c r="P238" s="31"/>
      <c r="Q238" s="31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71"/>
      <c r="B239" s="72"/>
      <c r="C239" s="72"/>
      <c r="D239" s="73"/>
      <c r="E239" s="74"/>
      <c r="F239" s="74"/>
      <c r="G239" s="74"/>
      <c r="H239" s="74"/>
      <c r="I239" s="74"/>
      <c r="J239" s="74"/>
      <c r="K239" s="75"/>
      <c r="L239" s="76"/>
      <c r="M239" s="77"/>
      <c r="N239" s="30"/>
      <c r="O239" s="31"/>
      <c r="P239" s="31"/>
      <c r="Q239" s="31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71"/>
      <c r="B240" s="72"/>
      <c r="C240" s="72"/>
      <c r="D240" s="73"/>
      <c r="E240" s="74"/>
      <c r="F240" s="74"/>
      <c r="G240" s="74"/>
      <c r="H240" s="74"/>
      <c r="I240" s="74"/>
      <c r="J240" s="74"/>
      <c r="K240" s="75"/>
      <c r="L240" s="76"/>
      <c r="M240" s="77"/>
      <c r="N240" s="30"/>
      <c r="O240" s="31"/>
      <c r="P240" s="31"/>
      <c r="Q240" s="31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71"/>
      <c r="B241" s="72"/>
      <c r="C241" s="72"/>
      <c r="D241" s="73"/>
      <c r="E241" s="74"/>
      <c r="F241" s="74"/>
      <c r="G241" s="74"/>
      <c r="H241" s="74"/>
      <c r="I241" s="74"/>
      <c r="J241" s="74"/>
      <c r="K241" s="75"/>
      <c r="L241" s="76"/>
      <c r="M241" s="77"/>
      <c r="N241" s="30"/>
      <c r="O241" s="31"/>
      <c r="P241" s="31"/>
      <c r="Q241" s="31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71"/>
      <c r="B242" s="72"/>
      <c r="C242" s="72"/>
      <c r="D242" s="73"/>
      <c r="E242" s="74"/>
      <c r="F242" s="74"/>
      <c r="G242" s="74"/>
      <c r="H242" s="74"/>
      <c r="I242" s="74"/>
      <c r="J242" s="74"/>
      <c r="K242" s="75"/>
      <c r="L242" s="76"/>
      <c r="M242" s="77"/>
      <c r="N242" s="30"/>
      <c r="O242" s="31"/>
      <c r="P242" s="31"/>
      <c r="Q242" s="31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71"/>
      <c r="B243" s="72"/>
      <c r="C243" s="72"/>
      <c r="D243" s="73"/>
      <c r="E243" s="74"/>
      <c r="F243" s="74"/>
      <c r="G243" s="74"/>
      <c r="H243" s="74"/>
      <c r="I243" s="74"/>
      <c r="J243" s="74"/>
      <c r="K243" s="75"/>
      <c r="L243" s="76"/>
      <c r="M243" s="77"/>
      <c r="N243" s="30"/>
      <c r="O243" s="31"/>
      <c r="P243" s="31"/>
      <c r="Q243" s="31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71"/>
      <c r="B244" s="72"/>
      <c r="C244" s="72"/>
      <c r="D244" s="73"/>
      <c r="E244" s="74"/>
      <c r="F244" s="74"/>
      <c r="G244" s="74"/>
      <c r="H244" s="74"/>
      <c r="I244" s="74"/>
      <c r="J244" s="74"/>
      <c r="K244" s="75"/>
      <c r="L244" s="76"/>
      <c r="M244" s="77"/>
      <c r="N244" s="30"/>
      <c r="O244" s="31"/>
      <c r="P244" s="31"/>
      <c r="Q244" s="31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71"/>
      <c r="B245" s="72"/>
      <c r="C245" s="72"/>
      <c r="D245" s="73"/>
      <c r="E245" s="74"/>
      <c r="F245" s="74"/>
      <c r="G245" s="74"/>
      <c r="H245" s="74"/>
      <c r="I245" s="74"/>
      <c r="J245" s="74"/>
      <c r="K245" s="75"/>
      <c r="L245" s="76"/>
      <c r="M245" s="77"/>
      <c r="N245" s="30"/>
      <c r="O245" s="31"/>
      <c r="P245" s="31"/>
      <c r="Q245" s="31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71"/>
      <c r="B246" s="72"/>
      <c r="C246" s="72"/>
      <c r="D246" s="73"/>
      <c r="E246" s="74"/>
      <c r="F246" s="74"/>
      <c r="G246" s="74"/>
      <c r="H246" s="74"/>
      <c r="I246" s="74"/>
      <c r="J246" s="74"/>
      <c r="K246" s="75"/>
      <c r="L246" s="76"/>
      <c r="M246" s="77"/>
      <c r="N246" s="30"/>
      <c r="O246" s="31"/>
      <c r="P246" s="31"/>
      <c r="Q246" s="31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71"/>
      <c r="B247" s="72"/>
      <c r="C247" s="72"/>
      <c r="D247" s="73"/>
      <c r="E247" s="74"/>
      <c r="F247" s="74"/>
      <c r="G247" s="74"/>
      <c r="H247" s="74"/>
      <c r="I247" s="74"/>
      <c r="J247" s="74"/>
      <c r="K247" s="75"/>
      <c r="L247" s="76"/>
      <c r="M247" s="77"/>
      <c r="N247" s="30"/>
      <c r="O247" s="31"/>
      <c r="P247" s="31"/>
      <c r="Q247" s="31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71"/>
      <c r="B248" s="72"/>
      <c r="C248" s="72"/>
      <c r="D248" s="73"/>
      <c r="E248" s="74"/>
      <c r="F248" s="74"/>
      <c r="G248" s="74"/>
      <c r="H248" s="74"/>
      <c r="I248" s="74"/>
      <c r="J248" s="74"/>
      <c r="K248" s="75"/>
      <c r="L248" s="76"/>
      <c r="M248" s="77"/>
      <c r="N248" s="30"/>
      <c r="O248" s="31"/>
      <c r="P248" s="31"/>
      <c r="Q248" s="31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71"/>
      <c r="B249" s="72"/>
      <c r="C249" s="72"/>
      <c r="D249" s="73"/>
      <c r="E249" s="74"/>
      <c r="F249" s="74"/>
      <c r="G249" s="74"/>
      <c r="H249" s="74"/>
      <c r="I249" s="74"/>
      <c r="J249" s="74"/>
      <c r="K249" s="75"/>
      <c r="L249" s="76"/>
      <c r="M249" s="77"/>
      <c r="N249" s="30"/>
      <c r="O249" s="31"/>
      <c r="P249" s="31"/>
      <c r="Q249" s="31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71"/>
      <c r="B250" s="72"/>
      <c r="C250" s="72"/>
      <c r="D250" s="73"/>
      <c r="E250" s="74"/>
      <c r="F250" s="74"/>
      <c r="G250" s="74"/>
      <c r="H250" s="74"/>
      <c r="I250" s="74"/>
      <c r="J250" s="74"/>
      <c r="K250" s="75"/>
      <c r="L250" s="76"/>
      <c r="M250" s="77"/>
      <c r="N250" s="30"/>
      <c r="O250" s="31"/>
      <c r="P250" s="31"/>
      <c r="Q250" s="31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71"/>
      <c r="B251" s="72"/>
      <c r="C251" s="72"/>
      <c r="D251" s="73"/>
      <c r="E251" s="74"/>
      <c r="F251" s="74"/>
      <c r="G251" s="74"/>
      <c r="H251" s="74"/>
      <c r="I251" s="74"/>
      <c r="J251" s="74"/>
      <c r="K251" s="75"/>
      <c r="L251" s="76"/>
      <c r="M251" s="77"/>
      <c r="N251" s="30"/>
      <c r="O251" s="31"/>
      <c r="P251" s="31"/>
      <c r="Q251" s="31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71"/>
      <c r="B252" s="72"/>
      <c r="C252" s="72"/>
      <c r="D252" s="73"/>
      <c r="E252" s="74"/>
      <c r="F252" s="74"/>
      <c r="G252" s="74"/>
      <c r="H252" s="74"/>
      <c r="I252" s="74"/>
      <c r="J252" s="74"/>
      <c r="K252" s="75"/>
      <c r="L252" s="76"/>
      <c r="M252" s="77"/>
      <c r="N252" s="30"/>
      <c r="O252" s="31"/>
      <c r="P252" s="31"/>
      <c r="Q252" s="31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71"/>
      <c r="B253" s="72"/>
      <c r="C253" s="72"/>
      <c r="D253" s="73"/>
      <c r="E253" s="74"/>
      <c r="F253" s="74"/>
      <c r="G253" s="74"/>
      <c r="H253" s="74"/>
      <c r="I253" s="74"/>
      <c r="J253" s="74"/>
      <c r="K253" s="75"/>
      <c r="L253" s="76"/>
      <c r="M253" s="77"/>
      <c r="N253" s="30"/>
      <c r="O253" s="31"/>
      <c r="P253" s="31"/>
      <c r="Q253" s="31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71"/>
      <c r="B254" s="72"/>
      <c r="C254" s="72"/>
      <c r="D254" s="73"/>
      <c r="E254" s="74"/>
      <c r="F254" s="74"/>
      <c r="G254" s="74"/>
      <c r="H254" s="74"/>
      <c r="I254" s="74"/>
      <c r="J254" s="74"/>
      <c r="K254" s="75"/>
      <c r="L254" s="76"/>
      <c r="M254" s="77"/>
      <c r="N254" s="30"/>
      <c r="O254" s="31"/>
      <c r="P254" s="31"/>
      <c r="Q254" s="31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71"/>
      <c r="B255" s="72"/>
      <c r="C255" s="72"/>
      <c r="D255" s="73"/>
      <c r="E255" s="74"/>
      <c r="F255" s="74"/>
      <c r="G255" s="74"/>
      <c r="H255" s="74"/>
      <c r="I255" s="74"/>
      <c r="J255" s="74"/>
      <c r="K255" s="75"/>
      <c r="L255" s="76"/>
      <c r="M255" s="77"/>
      <c r="N255" s="30"/>
      <c r="O255" s="31"/>
      <c r="P255" s="31"/>
      <c r="Q255" s="31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71"/>
      <c r="B256" s="72"/>
      <c r="C256" s="72"/>
      <c r="D256" s="73"/>
      <c r="E256" s="74"/>
      <c r="F256" s="74"/>
      <c r="G256" s="74"/>
      <c r="H256" s="74"/>
      <c r="I256" s="74"/>
      <c r="J256" s="74"/>
      <c r="K256" s="75"/>
      <c r="L256" s="76"/>
      <c r="M256" s="77"/>
      <c r="N256" s="30"/>
      <c r="O256" s="31"/>
      <c r="P256" s="31"/>
      <c r="Q256" s="31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71"/>
      <c r="B257" s="72"/>
      <c r="C257" s="72"/>
      <c r="D257" s="73"/>
      <c r="E257" s="74"/>
      <c r="F257" s="74"/>
      <c r="G257" s="74"/>
      <c r="H257" s="74"/>
      <c r="I257" s="74"/>
      <c r="J257" s="74"/>
      <c r="K257" s="75"/>
      <c r="L257" s="76"/>
      <c r="M257" s="77"/>
      <c r="N257" s="30"/>
      <c r="O257" s="31"/>
      <c r="P257" s="31"/>
      <c r="Q257" s="31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71"/>
      <c r="B258" s="72"/>
      <c r="C258" s="72"/>
      <c r="D258" s="73"/>
      <c r="E258" s="74"/>
      <c r="F258" s="74"/>
      <c r="G258" s="74"/>
      <c r="H258" s="74"/>
      <c r="I258" s="74"/>
      <c r="J258" s="74"/>
      <c r="K258" s="75"/>
      <c r="L258" s="76"/>
      <c r="M258" s="77"/>
      <c r="N258" s="30"/>
      <c r="O258" s="31"/>
      <c r="P258" s="31"/>
      <c r="Q258" s="31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71"/>
      <c r="B259" s="72"/>
      <c r="C259" s="72"/>
      <c r="D259" s="73"/>
      <c r="E259" s="74"/>
      <c r="F259" s="74"/>
      <c r="G259" s="74"/>
      <c r="H259" s="74"/>
      <c r="I259" s="74"/>
      <c r="J259" s="74"/>
      <c r="K259" s="75"/>
      <c r="L259" s="76"/>
      <c r="M259" s="77"/>
      <c r="N259" s="30"/>
      <c r="O259" s="31"/>
      <c r="P259" s="31"/>
      <c r="Q259" s="31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71"/>
      <c r="B260" s="72"/>
      <c r="C260" s="72"/>
      <c r="D260" s="73"/>
      <c r="E260" s="74"/>
      <c r="F260" s="74"/>
      <c r="G260" s="74"/>
      <c r="H260" s="74"/>
      <c r="I260" s="74"/>
      <c r="J260" s="74"/>
      <c r="K260" s="75"/>
      <c r="L260" s="76"/>
      <c r="M260" s="77"/>
      <c r="N260" s="30"/>
      <c r="O260" s="31"/>
      <c r="P260" s="31"/>
      <c r="Q260" s="31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71"/>
      <c r="B261" s="72"/>
      <c r="C261" s="72"/>
      <c r="D261" s="73"/>
      <c r="E261" s="74"/>
      <c r="F261" s="74"/>
      <c r="G261" s="74"/>
      <c r="H261" s="74"/>
      <c r="I261" s="74"/>
      <c r="J261" s="74"/>
      <c r="K261" s="75"/>
      <c r="L261" s="76"/>
      <c r="M261" s="77"/>
      <c r="N261" s="30"/>
      <c r="O261" s="31"/>
      <c r="P261" s="31"/>
      <c r="Q261" s="31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71"/>
      <c r="B262" s="72"/>
      <c r="C262" s="72"/>
      <c r="D262" s="73"/>
      <c r="E262" s="74"/>
      <c r="F262" s="74"/>
      <c r="G262" s="74"/>
      <c r="H262" s="74"/>
      <c r="I262" s="74"/>
      <c r="J262" s="74"/>
      <c r="K262" s="75"/>
      <c r="L262" s="76"/>
      <c r="M262" s="77"/>
      <c r="N262" s="30"/>
      <c r="O262" s="31"/>
      <c r="P262" s="31"/>
      <c r="Q262" s="31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71"/>
      <c r="B263" s="72"/>
      <c r="C263" s="72"/>
      <c r="D263" s="73"/>
      <c r="E263" s="74"/>
      <c r="F263" s="74"/>
      <c r="G263" s="74"/>
      <c r="H263" s="74"/>
      <c r="I263" s="74"/>
      <c r="J263" s="74"/>
      <c r="K263" s="75"/>
      <c r="L263" s="76"/>
      <c r="M263" s="77"/>
      <c r="N263" s="30"/>
      <c r="O263" s="31"/>
      <c r="P263" s="31"/>
      <c r="Q263" s="31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71"/>
      <c r="B264" s="72"/>
      <c r="C264" s="72"/>
      <c r="D264" s="73"/>
      <c r="E264" s="74"/>
      <c r="F264" s="74"/>
      <c r="G264" s="74"/>
      <c r="H264" s="74"/>
      <c r="I264" s="74"/>
      <c r="J264" s="74"/>
      <c r="K264" s="75"/>
      <c r="L264" s="76"/>
      <c r="M264" s="77"/>
      <c r="N264" s="30"/>
      <c r="O264" s="31"/>
      <c r="P264" s="31"/>
      <c r="Q264" s="31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71"/>
      <c r="B265" s="72"/>
      <c r="C265" s="72"/>
      <c r="D265" s="73"/>
      <c r="E265" s="74"/>
      <c r="F265" s="74"/>
      <c r="G265" s="74"/>
      <c r="H265" s="74"/>
      <c r="I265" s="74"/>
      <c r="J265" s="74"/>
      <c r="K265" s="75"/>
      <c r="L265" s="76"/>
      <c r="M265" s="77"/>
      <c r="N265" s="30"/>
      <c r="O265" s="31"/>
      <c r="P265" s="31"/>
      <c r="Q265" s="31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71"/>
      <c r="B266" s="72"/>
      <c r="C266" s="72"/>
      <c r="D266" s="73"/>
      <c r="E266" s="74"/>
      <c r="F266" s="74"/>
      <c r="G266" s="74"/>
      <c r="H266" s="74"/>
      <c r="I266" s="74"/>
      <c r="J266" s="74"/>
      <c r="K266" s="75"/>
      <c r="L266" s="76"/>
      <c r="M266" s="77"/>
      <c r="N266" s="30"/>
      <c r="O266" s="31"/>
      <c r="P266" s="31"/>
      <c r="Q266" s="31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71"/>
      <c r="B267" s="72"/>
      <c r="C267" s="72"/>
      <c r="D267" s="73"/>
      <c r="E267" s="74"/>
      <c r="F267" s="74"/>
      <c r="G267" s="74"/>
      <c r="H267" s="74"/>
      <c r="I267" s="74"/>
      <c r="J267" s="74"/>
      <c r="K267" s="75"/>
      <c r="L267" s="76"/>
      <c r="M267" s="77"/>
      <c r="N267" s="30"/>
      <c r="O267" s="31"/>
      <c r="P267" s="31"/>
      <c r="Q267" s="31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71"/>
      <c r="B268" s="72"/>
      <c r="C268" s="72"/>
      <c r="D268" s="73"/>
      <c r="E268" s="74"/>
      <c r="F268" s="74"/>
      <c r="G268" s="74"/>
      <c r="H268" s="74"/>
      <c r="I268" s="74"/>
      <c r="J268" s="74"/>
      <c r="K268" s="75"/>
      <c r="L268" s="76"/>
      <c r="M268" s="77"/>
      <c r="N268" s="30"/>
      <c r="O268" s="31"/>
      <c r="P268" s="31"/>
      <c r="Q268" s="31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71"/>
      <c r="B269" s="72"/>
      <c r="C269" s="72"/>
      <c r="D269" s="73"/>
      <c r="E269" s="74"/>
      <c r="F269" s="74"/>
      <c r="G269" s="74"/>
      <c r="H269" s="74"/>
      <c r="I269" s="74"/>
      <c r="J269" s="74"/>
      <c r="K269" s="75"/>
      <c r="L269" s="76"/>
      <c r="M269" s="77"/>
      <c r="N269" s="30"/>
      <c r="O269" s="31"/>
      <c r="P269" s="31"/>
      <c r="Q269" s="31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71"/>
      <c r="B270" s="72"/>
      <c r="C270" s="72"/>
      <c r="D270" s="73"/>
      <c r="E270" s="74"/>
      <c r="F270" s="74"/>
      <c r="G270" s="74"/>
      <c r="H270" s="74"/>
      <c r="I270" s="74"/>
      <c r="J270" s="74"/>
      <c r="K270" s="75"/>
      <c r="L270" s="76"/>
      <c r="M270" s="77"/>
      <c r="N270" s="30"/>
      <c r="O270" s="31"/>
      <c r="P270" s="31"/>
      <c r="Q270" s="31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71"/>
      <c r="B271" s="72"/>
      <c r="C271" s="72"/>
      <c r="D271" s="73"/>
      <c r="E271" s="74"/>
      <c r="F271" s="74"/>
      <c r="G271" s="74"/>
      <c r="H271" s="74"/>
      <c r="I271" s="74"/>
      <c r="J271" s="74"/>
      <c r="K271" s="75"/>
      <c r="L271" s="76"/>
      <c r="M271" s="77"/>
      <c r="N271" s="30"/>
      <c r="O271" s="31"/>
      <c r="P271" s="31"/>
      <c r="Q271" s="31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71"/>
      <c r="B272" s="72"/>
      <c r="C272" s="72"/>
      <c r="D272" s="73"/>
      <c r="E272" s="74"/>
      <c r="F272" s="74"/>
      <c r="G272" s="74"/>
      <c r="H272" s="74"/>
      <c r="I272" s="74"/>
      <c r="J272" s="74"/>
      <c r="K272" s="75"/>
      <c r="L272" s="76"/>
      <c r="M272" s="77"/>
      <c r="N272" s="30"/>
      <c r="O272" s="31"/>
      <c r="P272" s="31"/>
      <c r="Q272" s="31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71"/>
      <c r="B273" s="72"/>
      <c r="C273" s="72"/>
      <c r="D273" s="73"/>
      <c r="E273" s="74"/>
      <c r="F273" s="74"/>
      <c r="G273" s="74"/>
      <c r="H273" s="74"/>
      <c r="I273" s="74"/>
      <c r="J273" s="74"/>
      <c r="K273" s="75"/>
      <c r="L273" s="76"/>
      <c r="M273" s="77"/>
      <c r="N273" s="30"/>
      <c r="O273" s="31"/>
      <c r="P273" s="31"/>
      <c r="Q273" s="31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71"/>
      <c r="B274" s="72"/>
      <c r="C274" s="72"/>
      <c r="D274" s="73"/>
      <c r="E274" s="74"/>
      <c r="F274" s="74"/>
      <c r="G274" s="74"/>
      <c r="H274" s="74"/>
      <c r="I274" s="74"/>
      <c r="J274" s="74"/>
      <c r="K274" s="75"/>
      <c r="L274" s="76"/>
      <c r="M274" s="77"/>
      <c r="N274" s="30"/>
      <c r="O274" s="31"/>
      <c r="P274" s="31"/>
      <c r="Q274" s="31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71"/>
      <c r="B275" s="72"/>
      <c r="C275" s="72"/>
      <c r="D275" s="73"/>
      <c r="E275" s="74"/>
      <c r="F275" s="74"/>
      <c r="G275" s="74"/>
      <c r="H275" s="74"/>
      <c r="I275" s="74"/>
      <c r="J275" s="74"/>
      <c r="K275" s="75"/>
      <c r="L275" s="76"/>
      <c r="M275" s="77"/>
      <c r="N275" s="30"/>
      <c r="O275" s="31"/>
      <c r="P275" s="31"/>
      <c r="Q275" s="31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71"/>
      <c r="B276" s="72"/>
      <c r="C276" s="72"/>
      <c r="D276" s="73"/>
      <c r="E276" s="74"/>
      <c r="F276" s="74"/>
      <c r="G276" s="74"/>
      <c r="H276" s="74"/>
      <c r="I276" s="74"/>
      <c r="J276" s="74"/>
      <c r="K276" s="75"/>
      <c r="L276" s="76"/>
      <c r="M276" s="77"/>
      <c r="N276" s="30"/>
      <c r="O276" s="31"/>
      <c r="P276" s="31"/>
      <c r="Q276" s="31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71"/>
      <c r="B277" s="72"/>
      <c r="C277" s="72"/>
      <c r="D277" s="73"/>
      <c r="E277" s="74"/>
      <c r="F277" s="74"/>
      <c r="G277" s="74"/>
      <c r="H277" s="74"/>
      <c r="I277" s="74"/>
      <c r="J277" s="74"/>
      <c r="K277" s="75"/>
      <c r="L277" s="76"/>
      <c r="M277" s="77"/>
      <c r="N277" s="30"/>
      <c r="O277" s="31"/>
      <c r="P277" s="31"/>
      <c r="Q277" s="31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71"/>
      <c r="B278" s="72"/>
      <c r="C278" s="72"/>
      <c r="D278" s="73"/>
      <c r="E278" s="74"/>
      <c r="F278" s="74"/>
      <c r="G278" s="74"/>
      <c r="H278" s="74"/>
      <c r="I278" s="74"/>
      <c r="J278" s="74"/>
      <c r="K278" s="75"/>
      <c r="L278" s="76"/>
      <c r="M278" s="77"/>
      <c r="N278" s="30"/>
      <c r="O278" s="31"/>
      <c r="P278" s="31"/>
      <c r="Q278" s="31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71"/>
      <c r="B279" s="72"/>
      <c r="C279" s="72"/>
      <c r="D279" s="73"/>
      <c r="E279" s="74"/>
      <c r="F279" s="74"/>
      <c r="G279" s="74"/>
      <c r="H279" s="74"/>
      <c r="I279" s="74"/>
      <c r="J279" s="74"/>
      <c r="K279" s="75"/>
      <c r="L279" s="76"/>
      <c r="M279" s="77"/>
      <c r="N279" s="30"/>
      <c r="O279" s="31"/>
      <c r="P279" s="31"/>
      <c r="Q279" s="31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71"/>
      <c r="B280" s="72"/>
      <c r="C280" s="72"/>
      <c r="D280" s="73"/>
      <c r="E280" s="74"/>
      <c r="F280" s="74"/>
      <c r="G280" s="74"/>
      <c r="H280" s="74"/>
      <c r="I280" s="74"/>
      <c r="J280" s="74"/>
      <c r="K280" s="75"/>
      <c r="L280" s="76"/>
      <c r="M280" s="77"/>
      <c r="N280" s="30"/>
      <c r="O280" s="31"/>
      <c r="P280" s="31"/>
      <c r="Q280" s="31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71"/>
      <c r="B281" s="72"/>
      <c r="C281" s="72"/>
      <c r="D281" s="73"/>
      <c r="E281" s="74"/>
      <c r="F281" s="74"/>
      <c r="G281" s="74"/>
      <c r="H281" s="74"/>
      <c r="I281" s="74"/>
      <c r="J281" s="74"/>
      <c r="K281" s="75"/>
      <c r="L281" s="76"/>
      <c r="M281" s="77"/>
      <c r="N281" s="30"/>
      <c r="O281" s="31"/>
      <c r="P281" s="31"/>
      <c r="Q281" s="31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71"/>
      <c r="B282" s="72"/>
      <c r="C282" s="72"/>
      <c r="D282" s="73"/>
      <c r="E282" s="74"/>
      <c r="F282" s="74"/>
      <c r="G282" s="74"/>
      <c r="H282" s="74"/>
      <c r="I282" s="74"/>
      <c r="J282" s="74"/>
      <c r="K282" s="75"/>
      <c r="L282" s="76"/>
      <c r="M282" s="77"/>
      <c r="N282" s="30"/>
      <c r="O282" s="31"/>
      <c r="P282" s="31"/>
      <c r="Q282" s="31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71"/>
      <c r="B283" s="72"/>
      <c r="C283" s="72"/>
      <c r="D283" s="73"/>
      <c r="E283" s="74"/>
      <c r="F283" s="74"/>
      <c r="G283" s="74"/>
      <c r="H283" s="74"/>
      <c r="I283" s="74"/>
      <c r="J283" s="74"/>
      <c r="K283" s="75"/>
      <c r="L283" s="76"/>
      <c r="M283" s="77"/>
      <c r="N283" s="30"/>
      <c r="O283" s="31"/>
      <c r="P283" s="31"/>
      <c r="Q283" s="31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71"/>
      <c r="B284" s="72"/>
      <c r="C284" s="72"/>
      <c r="D284" s="73"/>
      <c r="E284" s="74"/>
      <c r="F284" s="74"/>
      <c r="G284" s="74"/>
      <c r="H284" s="74"/>
      <c r="I284" s="74"/>
      <c r="J284" s="74"/>
      <c r="K284" s="75"/>
      <c r="L284" s="76"/>
      <c r="M284" s="77"/>
      <c r="N284" s="30"/>
      <c r="O284" s="31"/>
      <c r="P284" s="31"/>
      <c r="Q284" s="31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71"/>
      <c r="B285" s="72"/>
      <c r="C285" s="72"/>
      <c r="D285" s="73"/>
      <c r="E285" s="74"/>
      <c r="F285" s="74"/>
      <c r="G285" s="74"/>
      <c r="H285" s="74"/>
      <c r="I285" s="74"/>
      <c r="J285" s="74"/>
      <c r="K285" s="75"/>
      <c r="L285" s="76"/>
      <c r="M285" s="77"/>
      <c r="N285" s="30"/>
      <c r="O285" s="31"/>
      <c r="P285" s="31"/>
      <c r="Q285" s="31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71"/>
      <c r="B286" s="72"/>
      <c r="C286" s="72"/>
      <c r="D286" s="73"/>
      <c r="E286" s="74"/>
      <c r="F286" s="74"/>
      <c r="G286" s="74"/>
      <c r="H286" s="74"/>
      <c r="I286" s="74"/>
      <c r="J286" s="74"/>
      <c r="K286" s="75"/>
      <c r="L286" s="76"/>
      <c r="M286" s="77"/>
      <c r="N286" s="30"/>
      <c r="O286" s="31"/>
      <c r="P286" s="31"/>
      <c r="Q286" s="31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71"/>
      <c r="B287" s="72"/>
      <c r="C287" s="72"/>
      <c r="D287" s="73"/>
      <c r="E287" s="74"/>
      <c r="F287" s="74"/>
      <c r="G287" s="74"/>
      <c r="H287" s="74"/>
      <c r="I287" s="74"/>
      <c r="J287" s="74"/>
      <c r="K287" s="75"/>
      <c r="L287" s="76"/>
      <c r="M287" s="77"/>
      <c r="N287" s="30"/>
      <c r="O287" s="31"/>
      <c r="P287" s="31"/>
      <c r="Q287" s="31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71"/>
      <c r="B288" s="72"/>
      <c r="C288" s="72"/>
      <c r="D288" s="73"/>
      <c r="E288" s="74"/>
      <c r="F288" s="74"/>
      <c r="G288" s="74"/>
      <c r="H288" s="74"/>
      <c r="I288" s="74"/>
      <c r="J288" s="74"/>
      <c r="K288" s="75"/>
      <c r="L288" s="76"/>
      <c r="M288" s="77"/>
      <c r="N288" s="30"/>
      <c r="O288" s="31"/>
      <c r="P288" s="31"/>
      <c r="Q288" s="31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71"/>
      <c r="B289" s="72"/>
      <c r="C289" s="72"/>
      <c r="D289" s="73"/>
      <c r="E289" s="74"/>
      <c r="F289" s="74"/>
      <c r="G289" s="74"/>
      <c r="H289" s="74"/>
      <c r="I289" s="74"/>
      <c r="J289" s="74"/>
      <c r="K289" s="75"/>
      <c r="L289" s="76"/>
      <c r="M289" s="77"/>
      <c r="N289" s="30"/>
      <c r="O289" s="31"/>
      <c r="P289" s="31"/>
      <c r="Q289" s="31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71"/>
      <c r="B290" s="72"/>
      <c r="C290" s="72"/>
      <c r="D290" s="73"/>
      <c r="E290" s="74"/>
      <c r="F290" s="74"/>
      <c r="G290" s="74"/>
      <c r="H290" s="74"/>
      <c r="I290" s="74"/>
      <c r="J290" s="74"/>
      <c r="K290" s="75"/>
      <c r="L290" s="76"/>
      <c r="M290" s="77"/>
      <c r="N290" s="30"/>
      <c r="O290" s="31"/>
      <c r="P290" s="31"/>
      <c r="Q290" s="31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71"/>
      <c r="B291" s="72"/>
      <c r="C291" s="72"/>
      <c r="D291" s="73"/>
      <c r="E291" s="74"/>
      <c r="F291" s="74"/>
      <c r="G291" s="74"/>
      <c r="H291" s="74"/>
      <c r="I291" s="74"/>
      <c r="J291" s="74"/>
      <c r="K291" s="75"/>
      <c r="L291" s="76"/>
      <c r="M291" s="77"/>
      <c r="N291" s="30"/>
      <c r="O291" s="31"/>
      <c r="P291" s="31"/>
      <c r="Q291" s="31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71"/>
      <c r="B292" s="72"/>
      <c r="C292" s="72"/>
      <c r="D292" s="73"/>
      <c r="E292" s="74"/>
      <c r="F292" s="74"/>
      <c r="G292" s="74"/>
      <c r="H292" s="74"/>
      <c r="I292" s="74"/>
      <c r="J292" s="74"/>
      <c r="K292" s="75"/>
      <c r="L292" s="76"/>
      <c r="M292" s="77"/>
      <c r="N292" s="30"/>
      <c r="O292" s="31"/>
      <c r="P292" s="31"/>
      <c r="Q292" s="31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71"/>
      <c r="B293" s="72"/>
      <c r="C293" s="72"/>
      <c r="D293" s="73"/>
      <c r="E293" s="74"/>
      <c r="F293" s="74"/>
      <c r="G293" s="74"/>
      <c r="H293" s="74"/>
      <c r="I293" s="74"/>
      <c r="J293" s="74"/>
      <c r="K293" s="75"/>
      <c r="L293" s="76"/>
      <c r="M293" s="77"/>
      <c r="N293" s="30"/>
      <c r="O293" s="31"/>
      <c r="P293" s="31"/>
      <c r="Q293" s="31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71"/>
      <c r="B294" s="72"/>
      <c r="C294" s="72"/>
      <c r="D294" s="73"/>
      <c r="E294" s="74"/>
      <c r="F294" s="74"/>
      <c r="G294" s="74"/>
      <c r="H294" s="74"/>
      <c r="I294" s="74"/>
      <c r="J294" s="74"/>
      <c r="K294" s="75"/>
      <c r="L294" s="76"/>
      <c r="M294" s="77"/>
      <c r="N294" s="30"/>
      <c r="O294" s="31"/>
      <c r="P294" s="31"/>
      <c r="Q294" s="31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71"/>
      <c r="B295" s="72"/>
      <c r="C295" s="72"/>
      <c r="D295" s="73"/>
      <c r="E295" s="74"/>
      <c r="F295" s="74"/>
      <c r="G295" s="74"/>
      <c r="H295" s="74"/>
      <c r="I295" s="74"/>
      <c r="J295" s="74"/>
      <c r="K295" s="75"/>
      <c r="L295" s="76"/>
      <c r="M295" s="77"/>
      <c r="N295" s="30"/>
      <c r="O295" s="31"/>
      <c r="P295" s="31"/>
      <c r="Q295" s="31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71"/>
      <c r="B296" s="72"/>
      <c r="C296" s="72"/>
      <c r="D296" s="73"/>
      <c r="E296" s="74"/>
      <c r="F296" s="74"/>
      <c r="G296" s="74"/>
      <c r="H296" s="74"/>
      <c r="I296" s="74"/>
      <c r="J296" s="74"/>
      <c r="K296" s="75"/>
      <c r="L296" s="76"/>
      <c r="M296" s="77"/>
      <c r="N296" s="30"/>
      <c r="O296" s="31"/>
      <c r="P296" s="31"/>
      <c r="Q296" s="31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71"/>
      <c r="B297" s="72"/>
      <c r="C297" s="72"/>
      <c r="D297" s="73"/>
      <c r="E297" s="74"/>
      <c r="F297" s="74"/>
      <c r="G297" s="74"/>
      <c r="H297" s="74"/>
      <c r="I297" s="74"/>
      <c r="J297" s="74"/>
      <c r="K297" s="75"/>
      <c r="L297" s="76"/>
      <c r="M297" s="77"/>
      <c r="N297" s="30"/>
      <c r="O297" s="31"/>
      <c r="P297" s="31"/>
      <c r="Q297" s="31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71"/>
      <c r="B298" s="72"/>
      <c r="C298" s="72"/>
      <c r="D298" s="73"/>
      <c r="E298" s="74"/>
      <c r="F298" s="74"/>
      <c r="G298" s="74"/>
      <c r="H298" s="74"/>
      <c r="I298" s="74"/>
      <c r="J298" s="74"/>
      <c r="K298" s="75"/>
      <c r="L298" s="76"/>
      <c r="M298" s="77"/>
      <c r="N298" s="30"/>
      <c r="O298" s="31"/>
      <c r="P298" s="31"/>
      <c r="Q298" s="31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71"/>
      <c r="B299" s="72"/>
      <c r="C299" s="72"/>
      <c r="D299" s="73"/>
      <c r="E299" s="74"/>
      <c r="F299" s="74"/>
      <c r="G299" s="74"/>
      <c r="H299" s="74"/>
      <c r="I299" s="74"/>
      <c r="J299" s="74"/>
      <c r="K299" s="75"/>
      <c r="L299" s="76"/>
      <c r="M299" s="77"/>
      <c r="N299" s="30"/>
      <c r="O299" s="31"/>
      <c r="P299" s="31"/>
      <c r="Q299" s="31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71"/>
      <c r="B300" s="72"/>
      <c r="C300" s="72"/>
      <c r="D300" s="73"/>
      <c r="E300" s="74"/>
      <c r="F300" s="74"/>
      <c r="G300" s="74"/>
      <c r="H300" s="74"/>
      <c r="I300" s="74"/>
      <c r="J300" s="74"/>
      <c r="K300" s="75"/>
      <c r="L300" s="76"/>
      <c r="M300" s="77"/>
      <c r="N300" s="30"/>
      <c r="O300" s="31"/>
      <c r="P300" s="31"/>
      <c r="Q300" s="31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71"/>
      <c r="B301" s="72"/>
      <c r="C301" s="72"/>
      <c r="D301" s="73"/>
      <c r="E301" s="74"/>
      <c r="F301" s="74"/>
      <c r="G301" s="74"/>
      <c r="H301" s="74"/>
      <c r="I301" s="74"/>
      <c r="J301" s="74"/>
      <c r="K301" s="75"/>
      <c r="L301" s="76"/>
      <c r="M301" s="77"/>
      <c r="N301" s="30"/>
      <c r="O301" s="31"/>
      <c r="P301" s="31"/>
      <c r="Q301" s="31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71"/>
      <c r="B302" s="72"/>
      <c r="C302" s="72"/>
      <c r="D302" s="73"/>
      <c r="E302" s="74"/>
      <c r="F302" s="74"/>
      <c r="G302" s="74"/>
      <c r="H302" s="74"/>
      <c r="I302" s="74"/>
      <c r="J302" s="74"/>
      <c r="K302" s="75"/>
      <c r="L302" s="76"/>
      <c r="M302" s="77"/>
      <c r="N302" s="30"/>
      <c r="O302" s="31"/>
      <c r="P302" s="31"/>
      <c r="Q302" s="31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71"/>
      <c r="B303" s="72"/>
      <c r="C303" s="72"/>
      <c r="D303" s="73"/>
      <c r="E303" s="74"/>
      <c r="F303" s="74"/>
      <c r="G303" s="74"/>
      <c r="H303" s="74"/>
      <c r="I303" s="74"/>
      <c r="J303" s="74"/>
      <c r="K303" s="75"/>
      <c r="L303" s="76"/>
      <c r="M303" s="77"/>
      <c r="N303" s="30"/>
      <c r="O303" s="31"/>
      <c r="P303" s="31"/>
      <c r="Q303" s="31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71"/>
      <c r="B304" s="72"/>
      <c r="C304" s="72"/>
      <c r="D304" s="73"/>
      <c r="E304" s="74"/>
      <c r="F304" s="74"/>
      <c r="G304" s="74"/>
      <c r="H304" s="74"/>
      <c r="I304" s="74"/>
      <c r="J304" s="74"/>
      <c r="K304" s="75"/>
      <c r="L304" s="76"/>
      <c r="M304" s="77"/>
      <c r="N304" s="30"/>
      <c r="O304" s="31"/>
      <c r="P304" s="31"/>
      <c r="Q304" s="31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71"/>
      <c r="B305" s="72"/>
      <c r="C305" s="72"/>
      <c r="D305" s="73"/>
      <c r="E305" s="74"/>
      <c r="F305" s="74"/>
      <c r="G305" s="74"/>
      <c r="H305" s="74"/>
      <c r="I305" s="74"/>
      <c r="J305" s="74"/>
      <c r="K305" s="75"/>
      <c r="L305" s="76"/>
      <c r="M305" s="77"/>
      <c r="N305" s="30"/>
      <c r="O305" s="31"/>
      <c r="P305" s="31"/>
      <c r="Q305" s="31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71"/>
      <c r="B306" s="72"/>
      <c r="C306" s="72"/>
      <c r="D306" s="73"/>
      <c r="E306" s="74"/>
      <c r="F306" s="74"/>
      <c r="G306" s="74"/>
      <c r="H306" s="74"/>
      <c r="I306" s="74"/>
      <c r="J306" s="74"/>
      <c r="K306" s="75"/>
      <c r="L306" s="76"/>
      <c r="M306" s="77"/>
      <c r="N306" s="30"/>
      <c r="O306" s="31"/>
      <c r="P306" s="31"/>
      <c r="Q306" s="31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71"/>
      <c r="B307" s="72"/>
      <c r="C307" s="72"/>
      <c r="D307" s="73"/>
      <c r="E307" s="74"/>
      <c r="F307" s="74"/>
      <c r="G307" s="74"/>
      <c r="H307" s="74"/>
      <c r="I307" s="74"/>
      <c r="J307" s="74"/>
      <c r="K307" s="75"/>
      <c r="L307" s="76"/>
      <c r="M307" s="77"/>
      <c r="N307" s="30"/>
      <c r="O307" s="31"/>
      <c r="P307" s="31"/>
      <c r="Q307" s="31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71"/>
      <c r="B308" s="72"/>
      <c r="C308" s="72"/>
      <c r="D308" s="73"/>
      <c r="E308" s="74"/>
      <c r="F308" s="74"/>
      <c r="G308" s="74"/>
      <c r="H308" s="74"/>
      <c r="I308" s="74"/>
      <c r="J308" s="74"/>
      <c r="K308" s="75"/>
      <c r="L308" s="76"/>
      <c r="M308" s="77"/>
      <c r="N308" s="30"/>
      <c r="O308" s="31"/>
      <c r="P308" s="31"/>
      <c r="Q308" s="31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71"/>
      <c r="B309" s="72"/>
      <c r="C309" s="72"/>
      <c r="D309" s="73"/>
      <c r="E309" s="74"/>
      <c r="F309" s="74"/>
      <c r="G309" s="74"/>
      <c r="H309" s="74"/>
      <c r="I309" s="74"/>
      <c r="J309" s="74"/>
      <c r="K309" s="75"/>
      <c r="L309" s="76"/>
      <c r="M309" s="77"/>
      <c r="N309" s="30"/>
      <c r="O309" s="31"/>
      <c r="P309" s="31"/>
      <c r="Q309" s="31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>
      <c r="A310" s="71"/>
      <c r="B310" s="72"/>
      <c r="C310" s="72"/>
      <c r="D310" s="73"/>
      <c r="E310" s="74"/>
      <c r="F310" s="74"/>
      <c r="G310" s="74"/>
      <c r="H310" s="74"/>
      <c r="I310" s="74"/>
      <c r="J310" s="74"/>
      <c r="K310" s="75"/>
      <c r="L310" s="76"/>
      <c r="M310" s="77"/>
      <c r="N310" s="30"/>
      <c r="O310" s="31"/>
      <c r="P310" s="31"/>
      <c r="Q310" s="31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customHeight="1">
      <c r="A311" s="71"/>
      <c r="B311" s="72"/>
      <c r="C311" s="72"/>
      <c r="D311" s="73"/>
      <c r="E311" s="74"/>
      <c r="F311" s="74"/>
      <c r="G311" s="74"/>
      <c r="H311" s="74"/>
      <c r="I311" s="74"/>
      <c r="J311" s="74"/>
      <c r="K311" s="75"/>
      <c r="L311" s="76"/>
      <c r="M311" s="77"/>
      <c r="N311" s="30"/>
      <c r="O311" s="31"/>
      <c r="P311" s="31"/>
      <c r="Q311" s="31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customHeight="1">
      <c r="A312" s="71"/>
      <c r="B312" s="72"/>
      <c r="C312" s="72"/>
      <c r="D312" s="73"/>
      <c r="E312" s="74"/>
      <c r="F312" s="74"/>
      <c r="G312" s="74"/>
      <c r="H312" s="74"/>
      <c r="I312" s="74"/>
      <c r="J312" s="74"/>
      <c r="K312" s="75"/>
      <c r="L312" s="76"/>
      <c r="M312" s="77"/>
      <c r="N312" s="30"/>
      <c r="O312" s="31"/>
      <c r="P312" s="31"/>
      <c r="Q312" s="31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customHeight="1">
      <c r="A313" s="71"/>
      <c r="B313" s="72"/>
      <c r="C313" s="72"/>
      <c r="D313" s="73"/>
      <c r="E313" s="74"/>
      <c r="F313" s="74"/>
      <c r="G313" s="74"/>
      <c r="H313" s="74"/>
      <c r="I313" s="74"/>
      <c r="J313" s="74"/>
      <c r="K313" s="75"/>
      <c r="L313" s="76"/>
      <c r="M313" s="77"/>
      <c r="N313" s="30"/>
      <c r="O313" s="31"/>
      <c r="P313" s="31"/>
      <c r="Q313" s="31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customHeight="1">
      <c r="A314" s="71"/>
      <c r="B314" s="72"/>
      <c r="C314" s="72"/>
      <c r="D314" s="73"/>
      <c r="E314" s="74"/>
      <c r="F314" s="74"/>
      <c r="G314" s="74"/>
      <c r="H314" s="74"/>
      <c r="I314" s="74"/>
      <c r="J314" s="74"/>
      <c r="K314" s="75"/>
      <c r="L314" s="76"/>
      <c r="M314" s="77"/>
      <c r="N314" s="30"/>
      <c r="O314" s="31"/>
      <c r="P314" s="31"/>
      <c r="Q314" s="31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customHeight="1">
      <c r="A315" s="71"/>
      <c r="B315" s="72"/>
      <c r="C315" s="72"/>
      <c r="D315" s="73"/>
      <c r="E315" s="74"/>
      <c r="F315" s="74"/>
      <c r="G315" s="74"/>
      <c r="H315" s="74"/>
      <c r="I315" s="74"/>
      <c r="J315" s="74"/>
      <c r="K315" s="75"/>
      <c r="L315" s="76"/>
      <c r="M315" s="77"/>
      <c r="N315" s="30"/>
      <c r="O315" s="31"/>
      <c r="P315" s="31"/>
      <c r="Q315" s="31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customHeight="1">
      <c r="A316" s="71"/>
      <c r="B316" s="72"/>
      <c r="C316" s="72"/>
      <c r="D316" s="73"/>
      <c r="E316" s="74"/>
      <c r="F316" s="74"/>
      <c r="G316" s="74"/>
      <c r="H316" s="74"/>
      <c r="I316" s="74"/>
      <c r="J316" s="74"/>
      <c r="K316" s="75"/>
      <c r="L316" s="76"/>
      <c r="M316" s="77"/>
      <c r="N316" s="30"/>
      <c r="O316" s="31"/>
      <c r="P316" s="31"/>
      <c r="Q316" s="31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customHeight="1">
      <c r="A317" s="71"/>
      <c r="B317" s="72"/>
      <c r="C317" s="72"/>
      <c r="D317" s="73"/>
      <c r="E317" s="74"/>
      <c r="F317" s="74"/>
      <c r="G317" s="74"/>
      <c r="H317" s="74"/>
      <c r="I317" s="74"/>
      <c r="J317" s="74"/>
      <c r="K317" s="75"/>
      <c r="L317" s="76"/>
      <c r="M317" s="77"/>
      <c r="N317" s="30"/>
      <c r="O317" s="31"/>
      <c r="P317" s="31"/>
      <c r="Q317" s="31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customHeight="1">
      <c r="A318" s="71"/>
      <c r="B318" s="72"/>
      <c r="C318" s="72"/>
      <c r="D318" s="73"/>
      <c r="E318" s="74"/>
      <c r="F318" s="74"/>
      <c r="G318" s="74"/>
      <c r="H318" s="74"/>
      <c r="I318" s="74"/>
      <c r="J318" s="74"/>
      <c r="K318" s="75"/>
      <c r="L318" s="76"/>
      <c r="M318" s="77"/>
      <c r="N318" s="30"/>
      <c r="O318" s="31"/>
      <c r="P318" s="31"/>
      <c r="Q318" s="31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customHeight="1">
      <c r="A319" s="71"/>
      <c r="B319" s="72"/>
      <c r="C319" s="72"/>
      <c r="D319" s="73"/>
      <c r="E319" s="74"/>
      <c r="F319" s="74"/>
      <c r="G319" s="74"/>
      <c r="H319" s="74"/>
      <c r="I319" s="74"/>
      <c r="J319" s="74"/>
      <c r="K319" s="75"/>
      <c r="L319" s="76"/>
      <c r="M319" s="77"/>
      <c r="N319" s="30"/>
      <c r="O319" s="31"/>
      <c r="P319" s="31"/>
      <c r="Q319" s="31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customHeight="1">
      <c r="A320" s="71"/>
      <c r="B320" s="72"/>
      <c r="C320" s="72"/>
      <c r="D320" s="73"/>
      <c r="E320" s="74"/>
      <c r="F320" s="74"/>
      <c r="G320" s="74"/>
      <c r="H320" s="74"/>
      <c r="I320" s="74"/>
      <c r="J320" s="74"/>
      <c r="K320" s="75"/>
      <c r="L320" s="76"/>
      <c r="M320" s="77"/>
      <c r="N320" s="30"/>
      <c r="O320" s="31"/>
      <c r="P320" s="31"/>
      <c r="Q320" s="31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customHeight="1">
      <c r="A321" s="71"/>
      <c r="B321" s="72"/>
      <c r="C321" s="72"/>
      <c r="D321" s="73"/>
      <c r="E321" s="74"/>
      <c r="F321" s="74"/>
      <c r="G321" s="74"/>
      <c r="H321" s="74"/>
      <c r="I321" s="74"/>
      <c r="J321" s="74"/>
      <c r="K321" s="75"/>
      <c r="L321" s="76"/>
      <c r="M321" s="77"/>
      <c r="N321" s="30"/>
      <c r="O321" s="31"/>
      <c r="P321" s="31"/>
      <c r="Q321" s="31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customHeight="1">
      <c r="A322" s="71"/>
      <c r="B322" s="72"/>
      <c r="C322" s="72"/>
      <c r="D322" s="73"/>
      <c r="E322" s="74"/>
      <c r="F322" s="74"/>
      <c r="G322" s="74"/>
      <c r="H322" s="74"/>
      <c r="I322" s="74"/>
      <c r="J322" s="74"/>
      <c r="K322" s="75"/>
      <c r="L322" s="76"/>
      <c r="M322" s="77"/>
      <c r="N322" s="30"/>
      <c r="O322" s="31"/>
      <c r="P322" s="31"/>
      <c r="Q322" s="31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customHeight="1">
      <c r="A323" s="71"/>
      <c r="B323" s="72"/>
      <c r="C323" s="72"/>
      <c r="D323" s="73"/>
      <c r="E323" s="74"/>
      <c r="F323" s="74"/>
      <c r="G323" s="74"/>
      <c r="H323" s="74"/>
      <c r="I323" s="74"/>
      <c r="J323" s="74"/>
      <c r="K323" s="75"/>
      <c r="L323" s="76"/>
      <c r="M323" s="77"/>
      <c r="N323" s="30"/>
      <c r="O323" s="31"/>
      <c r="P323" s="31"/>
      <c r="Q323" s="31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customHeight="1">
      <c r="A324" s="71"/>
      <c r="B324" s="72"/>
      <c r="C324" s="72"/>
      <c r="D324" s="73"/>
      <c r="E324" s="74"/>
      <c r="F324" s="74"/>
      <c r="G324" s="74"/>
      <c r="H324" s="74"/>
      <c r="I324" s="74"/>
      <c r="J324" s="74"/>
      <c r="K324" s="75"/>
      <c r="L324" s="76"/>
      <c r="M324" s="77"/>
      <c r="N324" s="30"/>
      <c r="O324" s="31"/>
      <c r="P324" s="31"/>
      <c r="Q324" s="31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customHeight="1">
      <c r="A325" s="71"/>
      <c r="B325" s="72"/>
      <c r="C325" s="72"/>
      <c r="D325" s="73"/>
      <c r="E325" s="74"/>
      <c r="F325" s="74"/>
      <c r="G325" s="74"/>
      <c r="H325" s="74"/>
      <c r="I325" s="74"/>
      <c r="J325" s="74"/>
      <c r="K325" s="75"/>
      <c r="L325" s="76"/>
      <c r="M325" s="77"/>
      <c r="N325" s="30"/>
      <c r="O325" s="31"/>
      <c r="P325" s="31"/>
      <c r="Q325" s="31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>
      <c r="A326" s="71"/>
      <c r="B326" s="72"/>
      <c r="C326" s="72"/>
      <c r="D326" s="73"/>
      <c r="E326" s="74"/>
      <c r="F326" s="74"/>
      <c r="G326" s="74"/>
      <c r="H326" s="74"/>
      <c r="I326" s="74"/>
      <c r="J326" s="74"/>
      <c r="K326" s="75"/>
      <c r="L326" s="76"/>
      <c r="M326" s="77"/>
      <c r="N326" s="30"/>
      <c r="O326" s="31"/>
      <c r="P326" s="31"/>
      <c r="Q326" s="31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customHeight="1">
      <c r="A327" s="71"/>
      <c r="B327" s="72"/>
      <c r="C327" s="72"/>
      <c r="D327" s="73"/>
      <c r="E327" s="74"/>
      <c r="F327" s="74"/>
      <c r="G327" s="74"/>
      <c r="H327" s="74"/>
      <c r="I327" s="74"/>
      <c r="J327" s="74"/>
      <c r="K327" s="75"/>
      <c r="L327" s="76"/>
      <c r="M327" s="77"/>
      <c r="N327" s="30"/>
      <c r="O327" s="31"/>
      <c r="P327" s="31"/>
      <c r="Q327" s="31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customHeight="1">
      <c r="A328" s="71"/>
      <c r="B328" s="72"/>
      <c r="C328" s="72"/>
      <c r="D328" s="73"/>
      <c r="E328" s="74"/>
      <c r="F328" s="74"/>
      <c r="G328" s="74"/>
      <c r="H328" s="74"/>
      <c r="I328" s="74"/>
      <c r="J328" s="74"/>
      <c r="K328" s="75"/>
      <c r="L328" s="76"/>
      <c r="M328" s="77"/>
      <c r="N328" s="30"/>
      <c r="O328" s="31"/>
      <c r="P328" s="31"/>
      <c r="Q328" s="31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customHeight="1">
      <c r="A329" s="71"/>
      <c r="B329" s="72"/>
      <c r="C329" s="72"/>
      <c r="D329" s="73"/>
      <c r="E329" s="74"/>
      <c r="F329" s="74"/>
      <c r="G329" s="74"/>
      <c r="H329" s="74"/>
      <c r="I329" s="74"/>
      <c r="J329" s="74"/>
      <c r="K329" s="75"/>
      <c r="L329" s="76"/>
      <c r="M329" s="77"/>
      <c r="N329" s="30"/>
      <c r="O329" s="31"/>
      <c r="P329" s="31"/>
      <c r="Q329" s="31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customHeight="1">
      <c r="A330" s="71"/>
      <c r="B330" s="72"/>
      <c r="C330" s="72"/>
      <c r="D330" s="73"/>
      <c r="E330" s="74"/>
      <c r="F330" s="74"/>
      <c r="G330" s="74"/>
      <c r="H330" s="74"/>
      <c r="I330" s="74"/>
      <c r="J330" s="74"/>
      <c r="K330" s="75"/>
      <c r="L330" s="76"/>
      <c r="M330" s="77"/>
      <c r="N330" s="30"/>
      <c r="O330" s="31"/>
      <c r="P330" s="31"/>
      <c r="Q330" s="31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customHeight="1">
      <c r="A331" s="71"/>
      <c r="B331" s="72"/>
      <c r="C331" s="72"/>
      <c r="D331" s="73"/>
      <c r="E331" s="74"/>
      <c r="F331" s="74"/>
      <c r="G331" s="74"/>
      <c r="H331" s="74"/>
      <c r="I331" s="74"/>
      <c r="J331" s="74"/>
      <c r="K331" s="75"/>
      <c r="L331" s="76"/>
      <c r="M331" s="77"/>
      <c r="N331" s="30"/>
      <c r="O331" s="31"/>
      <c r="P331" s="31"/>
      <c r="Q331" s="31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customHeight="1">
      <c r="A332" s="71"/>
      <c r="B332" s="72"/>
      <c r="C332" s="72"/>
      <c r="D332" s="73"/>
      <c r="E332" s="74"/>
      <c r="F332" s="74"/>
      <c r="G332" s="74"/>
      <c r="H332" s="74"/>
      <c r="I332" s="74"/>
      <c r="J332" s="74"/>
      <c r="K332" s="75"/>
      <c r="L332" s="76"/>
      <c r="M332" s="77"/>
      <c r="N332" s="30"/>
      <c r="O332" s="31"/>
      <c r="P332" s="31"/>
      <c r="Q332" s="31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customHeight="1">
      <c r="A333" s="71"/>
      <c r="B333" s="72"/>
      <c r="C333" s="72"/>
      <c r="D333" s="73"/>
      <c r="E333" s="74"/>
      <c r="F333" s="74"/>
      <c r="G333" s="74"/>
      <c r="H333" s="74"/>
      <c r="I333" s="74"/>
      <c r="J333" s="74"/>
      <c r="K333" s="75"/>
      <c r="L333" s="76"/>
      <c r="M333" s="77"/>
      <c r="N333" s="30"/>
      <c r="O333" s="31"/>
      <c r="P333" s="31"/>
      <c r="Q333" s="31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customHeight="1">
      <c r="A334" s="71"/>
      <c r="B334" s="72"/>
      <c r="C334" s="72"/>
      <c r="D334" s="73"/>
      <c r="E334" s="74"/>
      <c r="F334" s="74"/>
      <c r="G334" s="74"/>
      <c r="H334" s="74"/>
      <c r="I334" s="74"/>
      <c r="J334" s="74"/>
      <c r="K334" s="75"/>
      <c r="L334" s="76"/>
      <c r="M334" s="77"/>
      <c r="N334" s="30"/>
      <c r="O334" s="31"/>
      <c r="P334" s="31"/>
      <c r="Q334" s="31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customHeight="1">
      <c r="A335" s="71"/>
      <c r="B335" s="72"/>
      <c r="C335" s="72"/>
      <c r="D335" s="73"/>
      <c r="E335" s="74"/>
      <c r="F335" s="74"/>
      <c r="G335" s="74"/>
      <c r="H335" s="74"/>
      <c r="I335" s="74"/>
      <c r="J335" s="74"/>
      <c r="K335" s="75"/>
      <c r="L335" s="76"/>
      <c r="M335" s="77"/>
      <c r="N335" s="30"/>
      <c r="O335" s="31"/>
      <c r="P335" s="31"/>
      <c r="Q335" s="31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customHeight="1">
      <c r="A336" s="71"/>
      <c r="B336" s="72"/>
      <c r="C336" s="72"/>
      <c r="D336" s="73"/>
      <c r="E336" s="74"/>
      <c r="F336" s="74"/>
      <c r="G336" s="74"/>
      <c r="H336" s="74"/>
      <c r="I336" s="74"/>
      <c r="J336" s="74"/>
      <c r="K336" s="75"/>
      <c r="L336" s="76"/>
      <c r="M336" s="77"/>
      <c r="N336" s="30"/>
      <c r="O336" s="31"/>
      <c r="P336" s="31"/>
      <c r="Q336" s="31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customHeight="1">
      <c r="A337" s="71"/>
      <c r="B337" s="72"/>
      <c r="C337" s="72"/>
      <c r="D337" s="73"/>
      <c r="E337" s="74"/>
      <c r="F337" s="74"/>
      <c r="G337" s="74"/>
      <c r="H337" s="74"/>
      <c r="I337" s="74"/>
      <c r="J337" s="74"/>
      <c r="K337" s="75"/>
      <c r="L337" s="76"/>
      <c r="M337" s="77"/>
      <c r="N337" s="30"/>
      <c r="O337" s="31"/>
      <c r="P337" s="31"/>
      <c r="Q337" s="31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customHeight="1">
      <c r="A338" s="71"/>
      <c r="B338" s="72"/>
      <c r="C338" s="72"/>
      <c r="D338" s="73"/>
      <c r="E338" s="74"/>
      <c r="F338" s="74"/>
      <c r="G338" s="74"/>
      <c r="H338" s="74"/>
      <c r="I338" s="74"/>
      <c r="J338" s="74"/>
      <c r="K338" s="75"/>
      <c r="L338" s="76"/>
      <c r="M338" s="77"/>
      <c r="N338" s="30"/>
      <c r="O338" s="31"/>
      <c r="P338" s="31"/>
      <c r="Q338" s="31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customHeight="1">
      <c r="A339" s="71"/>
      <c r="B339" s="72"/>
      <c r="C339" s="72"/>
      <c r="D339" s="73"/>
      <c r="E339" s="74"/>
      <c r="F339" s="74"/>
      <c r="G339" s="74"/>
      <c r="H339" s="74"/>
      <c r="I339" s="74"/>
      <c r="J339" s="74"/>
      <c r="K339" s="75"/>
      <c r="L339" s="76"/>
      <c r="M339" s="77"/>
      <c r="N339" s="30"/>
      <c r="O339" s="31"/>
      <c r="P339" s="31"/>
      <c r="Q339" s="31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customHeight="1">
      <c r="A340" s="71"/>
      <c r="B340" s="72"/>
      <c r="C340" s="72"/>
      <c r="D340" s="73"/>
      <c r="E340" s="74"/>
      <c r="F340" s="74"/>
      <c r="G340" s="74"/>
      <c r="H340" s="74"/>
      <c r="I340" s="74"/>
      <c r="J340" s="74"/>
      <c r="K340" s="75"/>
      <c r="L340" s="76"/>
      <c r="M340" s="77"/>
      <c r="N340" s="30"/>
      <c r="O340" s="31"/>
      <c r="P340" s="31"/>
      <c r="Q340" s="31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customHeight="1">
      <c r="A341" s="71"/>
      <c r="B341" s="72"/>
      <c r="C341" s="72"/>
      <c r="D341" s="73"/>
      <c r="E341" s="74"/>
      <c r="F341" s="74"/>
      <c r="G341" s="74"/>
      <c r="H341" s="74"/>
      <c r="I341" s="74"/>
      <c r="J341" s="74"/>
      <c r="K341" s="75"/>
      <c r="L341" s="76"/>
      <c r="M341" s="77"/>
      <c r="N341" s="30"/>
      <c r="O341" s="31"/>
      <c r="P341" s="31"/>
      <c r="Q341" s="31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customHeight="1">
      <c r="A342" s="71"/>
      <c r="B342" s="72"/>
      <c r="C342" s="72"/>
      <c r="D342" s="73"/>
      <c r="E342" s="74"/>
      <c r="F342" s="74"/>
      <c r="G342" s="74"/>
      <c r="H342" s="74"/>
      <c r="I342" s="74"/>
      <c r="J342" s="74"/>
      <c r="K342" s="75"/>
      <c r="L342" s="76"/>
      <c r="M342" s="77"/>
      <c r="N342" s="30"/>
      <c r="O342" s="31"/>
      <c r="P342" s="31"/>
      <c r="Q342" s="31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customHeight="1">
      <c r="A343" s="71"/>
      <c r="B343" s="72"/>
      <c r="C343" s="72"/>
      <c r="D343" s="73"/>
      <c r="E343" s="74"/>
      <c r="F343" s="74"/>
      <c r="G343" s="74"/>
      <c r="H343" s="74"/>
      <c r="I343" s="74"/>
      <c r="J343" s="74"/>
      <c r="K343" s="75"/>
      <c r="L343" s="76"/>
      <c r="M343" s="77"/>
      <c r="N343" s="30"/>
      <c r="O343" s="31"/>
      <c r="P343" s="31"/>
      <c r="Q343" s="31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customHeight="1">
      <c r="A344" s="71"/>
      <c r="B344" s="72"/>
      <c r="C344" s="72"/>
      <c r="D344" s="73"/>
      <c r="E344" s="74"/>
      <c r="F344" s="74"/>
      <c r="G344" s="74"/>
      <c r="H344" s="74"/>
      <c r="I344" s="74"/>
      <c r="J344" s="74"/>
      <c r="K344" s="75"/>
      <c r="L344" s="76"/>
      <c r="M344" s="77"/>
      <c r="N344" s="30"/>
      <c r="O344" s="31"/>
      <c r="P344" s="31"/>
      <c r="Q344" s="31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customHeight="1">
      <c r="A345" s="71"/>
      <c r="B345" s="72"/>
      <c r="C345" s="72"/>
      <c r="D345" s="73"/>
      <c r="E345" s="74"/>
      <c r="F345" s="74"/>
      <c r="G345" s="74"/>
      <c r="H345" s="74"/>
      <c r="I345" s="74"/>
      <c r="J345" s="74"/>
      <c r="K345" s="75"/>
      <c r="L345" s="76"/>
      <c r="M345" s="77"/>
      <c r="N345" s="30"/>
      <c r="O345" s="31"/>
      <c r="P345" s="31"/>
      <c r="Q345" s="31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customHeight="1">
      <c r="A346" s="71"/>
      <c r="B346" s="72"/>
      <c r="C346" s="72"/>
      <c r="D346" s="73"/>
      <c r="E346" s="74"/>
      <c r="F346" s="74"/>
      <c r="G346" s="74"/>
      <c r="H346" s="74"/>
      <c r="I346" s="74"/>
      <c r="J346" s="74"/>
      <c r="K346" s="75"/>
      <c r="L346" s="76"/>
      <c r="M346" s="77"/>
      <c r="N346" s="30"/>
      <c r="O346" s="31"/>
      <c r="P346" s="31"/>
      <c r="Q346" s="31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customHeight="1">
      <c r="A347" s="71"/>
      <c r="B347" s="72"/>
      <c r="C347" s="72"/>
      <c r="D347" s="73"/>
      <c r="E347" s="74"/>
      <c r="F347" s="74"/>
      <c r="G347" s="74"/>
      <c r="H347" s="74"/>
      <c r="I347" s="74"/>
      <c r="J347" s="74"/>
      <c r="K347" s="75"/>
      <c r="L347" s="76"/>
      <c r="M347" s="77"/>
      <c r="N347" s="30"/>
      <c r="O347" s="31"/>
      <c r="P347" s="31"/>
      <c r="Q347" s="31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customHeight="1">
      <c r="A348" s="71"/>
      <c r="B348" s="72"/>
      <c r="C348" s="72"/>
      <c r="D348" s="73"/>
      <c r="E348" s="74"/>
      <c r="F348" s="74"/>
      <c r="G348" s="74"/>
      <c r="H348" s="74"/>
      <c r="I348" s="74"/>
      <c r="J348" s="74"/>
      <c r="K348" s="75"/>
      <c r="L348" s="76"/>
      <c r="M348" s="77"/>
      <c r="N348" s="30"/>
      <c r="O348" s="31"/>
      <c r="P348" s="31"/>
      <c r="Q348" s="31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customHeight="1">
      <c r="A349" s="71"/>
      <c r="B349" s="72"/>
      <c r="C349" s="72"/>
      <c r="D349" s="73"/>
      <c r="E349" s="74"/>
      <c r="F349" s="74"/>
      <c r="G349" s="74"/>
      <c r="H349" s="74"/>
      <c r="I349" s="74"/>
      <c r="J349" s="74"/>
      <c r="K349" s="75"/>
      <c r="L349" s="76"/>
      <c r="M349" s="77"/>
      <c r="N349" s="30"/>
      <c r="O349" s="31"/>
      <c r="P349" s="31"/>
      <c r="Q349" s="31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customHeight="1">
      <c r="A350" s="71"/>
      <c r="B350" s="72"/>
      <c r="C350" s="72"/>
      <c r="D350" s="73"/>
      <c r="E350" s="74"/>
      <c r="F350" s="74"/>
      <c r="G350" s="74"/>
      <c r="H350" s="74"/>
      <c r="I350" s="74"/>
      <c r="J350" s="74"/>
      <c r="K350" s="75"/>
      <c r="L350" s="76"/>
      <c r="M350" s="77"/>
      <c r="N350" s="30"/>
      <c r="O350" s="31"/>
      <c r="P350" s="31"/>
      <c r="Q350" s="31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customHeight="1">
      <c r="A351" s="71"/>
      <c r="B351" s="72"/>
      <c r="C351" s="72"/>
      <c r="D351" s="73"/>
      <c r="E351" s="74"/>
      <c r="F351" s="74"/>
      <c r="G351" s="74"/>
      <c r="H351" s="74"/>
      <c r="I351" s="74"/>
      <c r="J351" s="74"/>
      <c r="K351" s="75"/>
      <c r="L351" s="76"/>
      <c r="M351" s="77"/>
      <c r="N351" s="30"/>
      <c r="O351" s="31"/>
      <c r="P351" s="31"/>
      <c r="Q351" s="31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customHeight="1">
      <c r="A352" s="71"/>
      <c r="B352" s="72"/>
      <c r="C352" s="72"/>
      <c r="D352" s="73"/>
      <c r="E352" s="74"/>
      <c r="F352" s="74"/>
      <c r="G352" s="74"/>
      <c r="H352" s="74"/>
      <c r="I352" s="74"/>
      <c r="J352" s="74"/>
      <c r="K352" s="75"/>
      <c r="L352" s="76"/>
      <c r="M352" s="77"/>
      <c r="N352" s="30"/>
      <c r="O352" s="31"/>
      <c r="P352" s="31"/>
      <c r="Q352" s="31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customHeight="1">
      <c r="A353" s="71"/>
      <c r="B353" s="72"/>
      <c r="C353" s="72"/>
      <c r="D353" s="73"/>
      <c r="E353" s="74"/>
      <c r="F353" s="74"/>
      <c r="G353" s="74"/>
      <c r="H353" s="74"/>
      <c r="I353" s="74"/>
      <c r="J353" s="74"/>
      <c r="K353" s="75"/>
      <c r="L353" s="76"/>
      <c r="M353" s="77"/>
      <c r="N353" s="30"/>
      <c r="O353" s="31"/>
      <c r="P353" s="31"/>
      <c r="Q353" s="31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customHeight="1">
      <c r="A354" s="71"/>
      <c r="B354" s="72"/>
      <c r="C354" s="72"/>
      <c r="D354" s="73"/>
      <c r="E354" s="74"/>
      <c r="F354" s="74"/>
      <c r="G354" s="74"/>
      <c r="H354" s="74"/>
      <c r="I354" s="74"/>
      <c r="J354" s="74"/>
      <c r="K354" s="75"/>
      <c r="L354" s="76"/>
      <c r="M354" s="77"/>
      <c r="N354" s="30"/>
      <c r="O354" s="31"/>
      <c r="P354" s="31"/>
      <c r="Q354" s="31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customHeight="1">
      <c r="A355" s="71"/>
      <c r="B355" s="72"/>
      <c r="C355" s="72"/>
      <c r="D355" s="73"/>
      <c r="E355" s="74"/>
      <c r="F355" s="74"/>
      <c r="G355" s="74"/>
      <c r="H355" s="74"/>
      <c r="I355" s="74"/>
      <c r="J355" s="74"/>
      <c r="K355" s="75"/>
      <c r="L355" s="76"/>
      <c r="M355" s="77"/>
      <c r="N355" s="30"/>
      <c r="O355" s="31"/>
      <c r="P355" s="31"/>
      <c r="Q355" s="31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customHeight="1">
      <c r="A356" s="71"/>
      <c r="B356" s="72"/>
      <c r="C356" s="72"/>
      <c r="D356" s="73"/>
      <c r="E356" s="74"/>
      <c r="F356" s="74"/>
      <c r="G356" s="74"/>
      <c r="H356" s="74"/>
      <c r="I356" s="74"/>
      <c r="J356" s="74"/>
      <c r="K356" s="75"/>
      <c r="L356" s="76"/>
      <c r="M356" s="77"/>
      <c r="N356" s="30"/>
      <c r="O356" s="31"/>
      <c r="P356" s="31"/>
      <c r="Q356" s="31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customHeight="1">
      <c r="A357" s="71"/>
      <c r="B357" s="72"/>
      <c r="C357" s="72"/>
      <c r="D357" s="73"/>
      <c r="E357" s="74"/>
      <c r="F357" s="74"/>
      <c r="G357" s="74"/>
      <c r="H357" s="74"/>
      <c r="I357" s="74"/>
      <c r="J357" s="74"/>
      <c r="K357" s="75"/>
      <c r="L357" s="76"/>
      <c r="M357" s="77"/>
      <c r="N357" s="30"/>
      <c r="O357" s="31"/>
      <c r="P357" s="31"/>
      <c r="Q357" s="31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customHeight="1">
      <c r="A358" s="71"/>
      <c r="B358" s="72"/>
      <c r="C358" s="72"/>
      <c r="D358" s="73"/>
      <c r="E358" s="74"/>
      <c r="F358" s="74"/>
      <c r="G358" s="74"/>
      <c r="H358" s="74"/>
      <c r="I358" s="74"/>
      <c r="J358" s="74"/>
      <c r="K358" s="75"/>
      <c r="L358" s="76"/>
      <c r="M358" s="77"/>
      <c r="N358" s="30"/>
      <c r="O358" s="31"/>
      <c r="P358" s="31"/>
      <c r="Q358" s="31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customHeight="1">
      <c r="A359" s="71"/>
      <c r="B359" s="72"/>
      <c r="C359" s="72"/>
      <c r="D359" s="73"/>
      <c r="E359" s="74"/>
      <c r="F359" s="74"/>
      <c r="G359" s="74"/>
      <c r="H359" s="74"/>
      <c r="I359" s="74"/>
      <c r="J359" s="74"/>
      <c r="K359" s="75"/>
      <c r="L359" s="76"/>
      <c r="M359" s="77"/>
      <c r="N359" s="30"/>
      <c r="O359" s="31"/>
      <c r="P359" s="31"/>
      <c r="Q359" s="31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customHeight="1">
      <c r="A360" s="71"/>
      <c r="B360" s="72"/>
      <c r="C360" s="72"/>
      <c r="D360" s="73"/>
      <c r="E360" s="74"/>
      <c r="F360" s="74"/>
      <c r="G360" s="74"/>
      <c r="H360" s="74"/>
      <c r="I360" s="74"/>
      <c r="J360" s="74"/>
      <c r="K360" s="75"/>
      <c r="L360" s="76"/>
      <c r="M360" s="77"/>
      <c r="N360" s="30"/>
      <c r="O360" s="31"/>
      <c r="P360" s="31"/>
      <c r="Q360" s="31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customHeight="1">
      <c r="A361" s="71"/>
      <c r="B361" s="72"/>
      <c r="C361" s="72"/>
      <c r="D361" s="73"/>
      <c r="E361" s="74"/>
      <c r="F361" s="74"/>
      <c r="G361" s="74"/>
      <c r="H361" s="74"/>
      <c r="I361" s="74"/>
      <c r="J361" s="74"/>
      <c r="K361" s="75"/>
      <c r="L361" s="76"/>
      <c r="M361" s="77"/>
      <c r="N361" s="30"/>
      <c r="O361" s="31"/>
      <c r="P361" s="31"/>
      <c r="Q361" s="31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customHeight="1">
      <c r="A362" s="71"/>
      <c r="B362" s="72"/>
      <c r="C362" s="72"/>
      <c r="D362" s="73"/>
      <c r="E362" s="74"/>
      <c r="F362" s="74"/>
      <c r="G362" s="74"/>
      <c r="H362" s="74"/>
      <c r="I362" s="74"/>
      <c r="J362" s="74"/>
      <c r="K362" s="75"/>
      <c r="L362" s="76"/>
      <c r="M362" s="77"/>
      <c r="N362" s="30"/>
      <c r="O362" s="31"/>
      <c r="P362" s="31"/>
      <c r="Q362" s="31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customHeight="1">
      <c r="A363" s="71"/>
      <c r="B363" s="72"/>
      <c r="C363" s="72"/>
      <c r="D363" s="73"/>
      <c r="E363" s="74"/>
      <c r="F363" s="74"/>
      <c r="G363" s="74"/>
      <c r="H363" s="74"/>
      <c r="I363" s="74"/>
      <c r="J363" s="74"/>
      <c r="K363" s="75"/>
      <c r="L363" s="76"/>
      <c r="M363" s="77"/>
      <c r="N363" s="30"/>
      <c r="O363" s="31"/>
      <c r="P363" s="31"/>
      <c r="Q363" s="31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customHeight="1">
      <c r="A364" s="71"/>
      <c r="B364" s="72"/>
      <c r="C364" s="72"/>
      <c r="D364" s="73"/>
      <c r="E364" s="74"/>
      <c r="F364" s="74"/>
      <c r="G364" s="74"/>
      <c r="H364" s="74"/>
      <c r="I364" s="74"/>
      <c r="J364" s="74"/>
      <c r="K364" s="75"/>
      <c r="L364" s="76"/>
      <c r="M364" s="77"/>
      <c r="N364" s="30"/>
      <c r="O364" s="31"/>
      <c r="P364" s="31"/>
      <c r="Q364" s="31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customHeight="1">
      <c r="A365" s="71"/>
      <c r="B365" s="72"/>
      <c r="C365" s="72"/>
      <c r="D365" s="73"/>
      <c r="E365" s="74"/>
      <c r="F365" s="74"/>
      <c r="G365" s="74"/>
      <c r="H365" s="74"/>
      <c r="I365" s="74"/>
      <c r="J365" s="74"/>
      <c r="K365" s="75"/>
      <c r="L365" s="76"/>
      <c r="M365" s="77"/>
      <c r="N365" s="30"/>
      <c r="O365" s="31"/>
      <c r="P365" s="31"/>
      <c r="Q365" s="31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customHeight="1">
      <c r="A366" s="71"/>
      <c r="B366" s="72"/>
      <c r="C366" s="72"/>
      <c r="D366" s="73"/>
      <c r="E366" s="74"/>
      <c r="F366" s="74"/>
      <c r="G366" s="74"/>
      <c r="H366" s="74"/>
      <c r="I366" s="74"/>
      <c r="J366" s="74"/>
      <c r="K366" s="75"/>
      <c r="L366" s="76"/>
      <c r="M366" s="77"/>
      <c r="N366" s="30"/>
      <c r="O366" s="31"/>
      <c r="P366" s="31"/>
      <c r="Q366" s="31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customHeight="1">
      <c r="A367" s="71"/>
      <c r="B367" s="72"/>
      <c r="C367" s="72"/>
      <c r="D367" s="73"/>
      <c r="E367" s="74"/>
      <c r="F367" s="74"/>
      <c r="G367" s="74"/>
      <c r="H367" s="74"/>
      <c r="I367" s="74"/>
      <c r="J367" s="74"/>
      <c r="K367" s="75"/>
      <c r="L367" s="76"/>
      <c r="M367" s="77"/>
      <c r="N367" s="30"/>
      <c r="O367" s="31"/>
      <c r="P367" s="31"/>
      <c r="Q367" s="31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customHeight="1">
      <c r="A368" s="71"/>
      <c r="B368" s="72"/>
      <c r="C368" s="72"/>
      <c r="D368" s="73"/>
      <c r="E368" s="74"/>
      <c r="F368" s="74"/>
      <c r="G368" s="74"/>
      <c r="H368" s="74"/>
      <c r="I368" s="74"/>
      <c r="J368" s="74"/>
      <c r="K368" s="75"/>
      <c r="L368" s="76"/>
      <c r="M368" s="77"/>
      <c r="N368" s="30"/>
      <c r="O368" s="31"/>
      <c r="P368" s="31"/>
      <c r="Q368" s="31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customHeight="1">
      <c r="A369" s="71"/>
      <c r="B369" s="72"/>
      <c r="C369" s="72"/>
      <c r="D369" s="73"/>
      <c r="E369" s="74"/>
      <c r="F369" s="74"/>
      <c r="G369" s="74"/>
      <c r="H369" s="74"/>
      <c r="I369" s="74"/>
      <c r="J369" s="74"/>
      <c r="K369" s="75"/>
      <c r="L369" s="76"/>
      <c r="M369" s="77"/>
      <c r="N369" s="30"/>
      <c r="O369" s="31"/>
      <c r="P369" s="31"/>
      <c r="Q369" s="31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customHeight="1">
      <c r="A370" s="71"/>
      <c r="B370" s="72"/>
      <c r="C370" s="72"/>
      <c r="D370" s="73"/>
      <c r="E370" s="74"/>
      <c r="F370" s="74"/>
      <c r="G370" s="74"/>
      <c r="H370" s="74"/>
      <c r="I370" s="74"/>
      <c r="J370" s="74"/>
      <c r="K370" s="75"/>
      <c r="L370" s="76"/>
      <c r="M370" s="77"/>
      <c r="N370" s="30"/>
      <c r="O370" s="31"/>
      <c r="P370" s="31"/>
      <c r="Q370" s="31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customHeight="1">
      <c r="A371" s="71"/>
      <c r="B371" s="72"/>
      <c r="C371" s="72"/>
      <c r="D371" s="73"/>
      <c r="E371" s="74"/>
      <c r="F371" s="74"/>
      <c r="G371" s="74"/>
      <c r="H371" s="74"/>
      <c r="I371" s="74"/>
      <c r="J371" s="74"/>
      <c r="K371" s="75"/>
      <c r="L371" s="76"/>
      <c r="M371" s="77"/>
      <c r="N371" s="30"/>
      <c r="O371" s="31"/>
      <c r="P371" s="31"/>
      <c r="Q371" s="31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customHeight="1">
      <c r="A372" s="71"/>
      <c r="B372" s="72"/>
      <c r="C372" s="72"/>
      <c r="D372" s="73"/>
      <c r="E372" s="74"/>
      <c r="F372" s="74"/>
      <c r="G372" s="74"/>
      <c r="H372" s="74"/>
      <c r="I372" s="74"/>
      <c r="J372" s="74"/>
      <c r="K372" s="75"/>
      <c r="L372" s="76"/>
      <c r="M372" s="77"/>
      <c r="N372" s="30"/>
      <c r="O372" s="31"/>
      <c r="P372" s="31"/>
      <c r="Q372" s="31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customHeight="1">
      <c r="A373" s="71"/>
      <c r="B373" s="72"/>
      <c r="C373" s="72"/>
      <c r="D373" s="73"/>
      <c r="E373" s="74"/>
      <c r="F373" s="74"/>
      <c r="G373" s="74"/>
      <c r="H373" s="74"/>
      <c r="I373" s="74"/>
      <c r="J373" s="74"/>
      <c r="K373" s="75"/>
      <c r="L373" s="76"/>
      <c r="M373" s="77"/>
      <c r="N373" s="30"/>
      <c r="O373" s="31"/>
      <c r="P373" s="31"/>
      <c r="Q373" s="31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customHeight="1">
      <c r="A374" s="71"/>
      <c r="B374" s="72"/>
      <c r="C374" s="72"/>
      <c r="D374" s="73"/>
      <c r="E374" s="74"/>
      <c r="F374" s="74"/>
      <c r="G374" s="74"/>
      <c r="H374" s="74"/>
      <c r="I374" s="74"/>
      <c r="J374" s="74"/>
      <c r="K374" s="75"/>
      <c r="L374" s="76"/>
      <c r="M374" s="77"/>
      <c r="N374" s="30"/>
      <c r="O374" s="31"/>
      <c r="P374" s="31"/>
      <c r="Q374" s="31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customHeight="1">
      <c r="A375" s="71"/>
      <c r="B375" s="72"/>
      <c r="C375" s="72"/>
      <c r="D375" s="73"/>
      <c r="E375" s="74"/>
      <c r="F375" s="74"/>
      <c r="G375" s="74"/>
      <c r="H375" s="74"/>
      <c r="I375" s="74"/>
      <c r="J375" s="74"/>
      <c r="K375" s="75"/>
      <c r="L375" s="76"/>
      <c r="M375" s="77"/>
      <c r="N375" s="30"/>
      <c r="O375" s="31"/>
      <c r="P375" s="31"/>
      <c r="Q375" s="31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customHeight="1">
      <c r="A376" s="71"/>
      <c r="B376" s="72"/>
      <c r="C376" s="72"/>
      <c r="D376" s="73"/>
      <c r="E376" s="74"/>
      <c r="F376" s="74"/>
      <c r="G376" s="74"/>
      <c r="H376" s="74"/>
      <c r="I376" s="74"/>
      <c r="J376" s="74"/>
      <c r="K376" s="75"/>
      <c r="L376" s="76"/>
      <c r="M376" s="77"/>
      <c r="N376" s="30"/>
      <c r="O376" s="31"/>
      <c r="P376" s="31"/>
      <c r="Q376" s="31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customHeight="1">
      <c r="A377" s="71"/>
      <c r="B377" s="72"/>
      <c r="C377" s="72"/>
      <c r="D377" s="73"/>
      <c r="E377" s="74"/>
      <c r="F377" s="74"/>
      <c r="G377" s="74"/>
      <c r="H377" s="74"/>
      <c r="I377" s="74"/>
      <c r="J377" s="74"/>
      <c r="K377" s="75"/>
      <c r="L377" s="76"/>
      <c r="M377" s="77"/>
      <c r="N377" s="30"/>
      <c r="O377" s="31"/>
      <c r="P377" s="31"/>
      <c r="Q377" s="31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customHeight="1">
      <c r="A378" s="71"/>
      <c r="B378" s="72"/>
      <c r="C378" s="72"/>
      <c r="D378" s="73"/>
      <c r="E378" s="74"/>
      <c r="F378" s="74"/>
      <c r="G378" s="74"/>
      <c r="H378" s="74"/>
      <c r="I378" s="74"/>
      <c r="J378" s="74"/>
      <c r="K378" s="75"/>
      <c r="L378" s="76"/>
      <c r="M378" s="77"/>
      <c r="N378" s="30"/>
      <c r="O378" s="31"/>
      <c r="P378" s="31"/>
      <c r="Q378" s="31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customHeight="1">
      <c r="A379" s="71"/>
      <c r="B379" s="72"/>
      <c r="C379" s="72"/>
      <c r="D379" s="73"/>
      <c r="E379" s="74"/>
      <c r="F379" s="74"/>
      <c r="G379" s="74"/>
      <c r="H379" s="74"/>
      <c r="I379" s="74"/>
      <c r="J379" s="74"/>
      <c r="K379" s="75"/>
      <c r="L379" s="76"/>
      <c r="M379" s="77"/>
      <c r="N379" s="30"/>
      <c r="O379" s="31"/>
      <c r="P379" s="31"/>
      <c r="Q379" s="31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customHeight="1">
      <c r="A380" s="71"/>
      <c r="B380" s="72"/>
      <c r="C380" s="72"/>
      <c r="D380" s="73"/>
      <c r="E380" s="74"/>
      <c r="F380" s="74"/>
      <c r="G380" s="74"/>
      <c r="H380" s="74"/>
      <c r="I380" s="74"/>
      <c r="J380" s="74"/>
      <c r="K380" s="75"/>
      <c r="L380" s="76"/>
      <c r="M380" s="77"/>
      <c r="N380" s="30"/>
      <c r="O380" s="31"/>
      <c r="P380" s="31"/>
      <c r="Q380" s="31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customHeight="1">
      <c r="A381" s="71"/>
      <c r="B381" s="72"/>
      <c r="C381" s="72"/>
      <c r="D381" s="73"/>
      <c r="E381" s="74"/>
      <c r="F381" s="74"/>
      <c r="G381" s="74"/>
      <c r="H381" s="74"/>
      <c r="I381" s="74"/>
      <c r="J381" s="74"/>
      <c r="K381" s="75"/>
      <c r="L381" s="76"/>
      <c r="M381" s="77"/>
      <c r="N381" s="30"/>
      <c r="O381" s="31"/>
      <c r="P381" s="31"/>
      <c r="Q381" s="31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customHeight="1">
      <c r="A382" s="71"/>
      <c r="B382" s="72"/>
      <c r="C382" s="72"/>
      <c r="D382" s="73"/>
      <c r="E382" s="74"/>
      <c r="F382" s="74"/>
      <c r="G382" s="74"/>
      <c r="H382" s="74"/>
      <c r="I382" s="74"/>
      <c r="J382" s="74"/>
      <c r="K382" s="75"/>
      <c r="L382" s="76"/>
      <c r="M382" s="77"/>
      <c r="N382" s="30"/>
      <c r="O382" s="31"/>
      <c r="P382" s="31"/>
      <c r="Q382" s="31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customHeight="1">
      <c r="A383" s="71"/>
      <c r="B383" s="72"/>
      <c r="C383" s="72"/>
      <c r="D383" s="73"/>
      <c r="E383" s="74"/>
      <c r="F383" s="74"/>
      <c r="G383" s="74"/>
      <c r="H383" s="74"/>
      <c r="I383" s="74"/>
      <c r="J383" s="74"/>
      <c r="K383" s="75"/>
      <c r="L383" s="76"/>
      <c r="M383" s="77"/>
      <c r="N383" s="30"/>
      <c r="O383" s="31"/>
      <c r="P383" s="31"/>
      <c r="Q383" s="31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customHeight="1">
      <c r="A384" s="71"/>
      <c r="B384" s="72"/>
      <c r="C384" s="72"/>
      <c r="D384" s="73"/>
      <c r="E384" s="74"/>
      <c r="F384" s="74"/>
      <c r="G384" s="74"/>
      <c r="H384" s="74"/>
      <c r="I384" s="74"/>
      <c r="J384" s="74"/>
      <c r="K384" s="75"/>
      <c r="L384" s="76"/>
      <c r="M384" s="77"/>
      <c r="N384" s="30"/>
      <c r="O384" s="31"/>
      <c r="P384" s="31"/>
      <c r="Q384" s="31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customHeight="1">
      <c r="A385" s="71"/>
      <c r="B385" s="72"/>
      <c r="C385" s="72"/>
      <c r="D385" s="73"/>
      <c r="E385" s="74"/>
      <c r="F385" s="74"/>
      <c r="G385" s="74"/>
      <c r="H385" s="74"/>
      <c r="I385" s="74"/>
      <c r="J385" s="74"/>
      <c r="K385" s="75"/>
      <c r="L385" s="76"/>
      <c r="M385" s="77"/>
      <c r="N385" s="30"/>
      <c r="O385" s="31"/>
      <c r="P385" s="31"/>
      <c r="Q385" s="31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customHeight="1">
      <c r="A386" s="71"/>
      <c r="B386" s="72"/>
      <c r="C386" s="72"/>
      <c r="D386" s="73"/>
      <c r="E386" s="74"/>
      <c r="F386" s="74"/>
      <c r="G386" s="74"/>
      <c r="H386" s="74"/>
      <c r="I386" s="74"/>
      <c r="J386" s="74"/>
      <c r="K386" s="75"/>
      <c r="L386" s="76"/>
      <c r="M386" s="77"/>
      <c r="N386" s="30"/>
      <c r="O386" s="31"/>
      <c r="P386" s="31"/>
      <c r="Q386" s="31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customHeight="1">
      <c r="A387" s="71"/>
      <c r="B387" s="72"/>
      <c r="C387" s="72"/>
      <c r="D387" s="73"/>
      <c r="E387" s="74"/>
      <c r="F387" s="74"/>
      <c r="G387" s="74"/>
      <c r="H387" s="74"/>
      <c r="I387" s="74"/>
      <c r="J387" s="74"/>
      <c r="K387" s="75"/>
      <c r="L387" s="76"/>
      <c r="M387" s="77"/>
      <c r="N387" s="30"/>
      <c r="O387" s="31"/>
      <c r="P387" s="31"/>
      <c r="Q387" s="31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customHeight="1">
      <c r="A388" s="71"/>
      <c r="B388" s="72"/>
      <c r="C388" s="72"/>
      <c r="D388" s="73"/>
      <c r="E388" s="74"/>
      <c r="F388" s="74"/>
      <c r="G388" s="74"/>
      <c r="H388" s="74"/>
      <c r="I388" s="74"/>
      <c r="J388" s="74"/>
      <c r="K388" s="75"/>
      <c r="L388" s="76"/>
      <c r="M388" s="77"/>
      <c r="N388" s="30"/>
      <c r="O388" s="31"/>
      <c r="P388" s="31"/>
      <c r="Q388" s="31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customHeight="1">
      <c r="A389" s="71"/>
      <c r="B389" s="72"/>
      <c r="C389" s="72"/>
      <c r="D389" s="73"/>
      <c r="E389" s="74"/>
      <c r="F389" s="74"/>
      <c r="G389" s="74"/>
      <c r="H389" s="74"/>
      <c r="I389" s="74"/>
      <c r="J389" s="74"/>
      <c r="K389" s="75"/>
      <c r="L389" s="76"/>
      <c r="M389" s="77"/>
      <c r="N389" s="30"/>
      <c r="O389" s="31"/>
      <c r="P389" s="31"/>
      <c r="Q389" s="31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customHeight="1">
      <c r="A390" s="71"/>
      <c r="B390" s="72"/>
      <c r="C390" s="72"/>
      <c r="D390" s="73"/>
      <c r="E390" s="74"/>
      <c r="F390" s="74"/>
      <c r="G390" s="74"/>
      <c r="H390" s="74"/>
      <c r="I390" s="74"/>
      <c r="J390" s="74"/>
      <c r="K390" s="75"/>
      <c r="L390" s="76"/>
      <c r="M390" s="77"/>
      <c r="N390" s="30"/>
      <c r="O390" s="31"/>
      <c r="P390" s="31"/>
      <c r="Q390" s="31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customHeight="1">
      <c r="A391" s="71"/>
      <c r="B391" s="72"/>
      <c r="C391" s="72"/>
      <c r="D391" s="73"/>
      <c r="E391" s="74"/>
      <c r="F391" s="74"/>
      <c r="G391" s="74"/>
      <c r="H391" s="74"/>
      <c r="I391" s="74"/>
      <c r="J391" s="74"/>
      <c r="K391" s="75"/>
      <c r="L391" s="76"/>
      <c r="M391" s="77"/>
      <c r="N391" s="30"/>
      <c r="O391" s="31"/>
      <c r="P391" s="31"/>
      <c r="Q391" s="31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customHeight="1">
      <c r="A392" s="71"/>
      <c r="B392" s="72"/>
      <c r="C392" s="72"/>
      <c r="D392" s="73"/>
      <c r="E392" s="74"/>
      <c r="F392" s="74"/>
      <c r="G392" s="74"/>
      <c r="H392" s="74"/>
      <c r="I392" s="74"/>
      <c r="J392" s="74"/>
      <c r="K392" s="75"/>
      <c r="L392" s="76"/>
      <c r="M392" s="77"/>
      <c r="N392" s="30"/>
      <c r="O392" s="31"/>
      <c r="P392" s="31"/>
      <c r="Q392" s="31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customHeight="1">
      <c r="A393" s="71"/>
      <c r="B393" s="72"/>
      <c r="C393" s="72"/>
      <c r="D393" s="73"/>
      <c r="E393" s="74"/>
      <c r="F393" s="74"/>
      <c r="G393" s="74"/>
      <c r="H393" s="74"/>
      <c r="I393" s="74"/>
      <c r="J393" s="74"/>
      <c r="K393" s="75"/>
      <c r="L393" s="76"/>
      <c r="M393" s="77"/>
      <c r="N393" s="30"/>
      <c r="O393" s="31"/>
      <c r="P393" s="31"/>
      <c r="Q393" s="31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customHeight="1">
      <c r="A394" s="71"/>
      <c r="B394" s="72"/>
      <c r="C394" s="72"/>
      <c r="D394" s="73"/>
      <c r="E394" s="74"/>
      <c r="F394" s="74"/>
      <c r="G394" s="74"/>
      <c r="H394" s="74"/>
      <c r="I394" s="74"/>
      <c r="J394" s="74"/>
      <c r="K394" s="75"/>
      <c r="L394" s="76"/>
      <c r="M394" s="77"/>
      <c r="N394" s="30"/>
      <c r="O394" s="31"/>
      <c r="P394" s="31"/>
      <c r="Q394" s="31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customHeight="1">
      <c r="A395" s="71"/>
      <c r="B395" s="72"/>
      <c r="C395" s="72"/>
      <c r="D395" s="73"/>
      <c r="E395" s="74"/>
      <c r="F395" s="74"/>
      <c r="G395" s="74"/>
      <c r="H395" s="74"/>
      <c r="I395" s="74"/>
      <c r="J395" s="74"/>
      <c r="K395" s="75"/>
      <c r="L395" s="76"/>
      <c r="M395" s="77"/>
      <c r="N395" s="30"/>
      <c r="O395" s="31"/>
      <c r="P395" s="31"/>
      <c r="Q395" s="31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customHeight="1">
      <c r="A396" s="71"/>
      <c r="B396" s="72"/>
      <c r="C396" s="72"/>
      <c r="D396" s="73"/>
      <c r="E396" s="74"/>
      <c r="F396" s="74"/>
      <c r="G396" s="74"/>
      <c r="H396" s="74"/>
      <c r="I396" s="74"/>
      <c r="J396" s="74"/>
      <c r="K396" s="75"/>
      <c r="L396" s="76"/>
      <c r="M396" s="77"/>
      <c r="N396" s="30"/>
      <c r="O396" s="31"/>
      <c r="P396" s="31"/>
      <c r="Q396" s="31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customHeight="1">
      <c r="A397" s="71"/>
      <c r="B397" s="72"/>
      <c r="C397" s="72"/>
      <c r="D397" s="73"/>
      <c r="E397" s="74"/>
      <c r="F397" s="74"/>
      <c r="G397" s="74"/>
      <c r="H397" s="74"/>
      <c r="I397" s="74"/>
      <c r="J397" s="74"/>
      <c r="K397" s="75"/>
      <c r="L397" s="76"/>
      <c r="M397" s="77"/>
      <c r="N397" s="30"/>
      <c r="O397" s="31"/>
      <c r="P397" s="31"/>
      <c r="Q397" s="31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customHeight="1">
      <c r="A398" s="71"/>
      <c r="B398" s="72"/>
      <c r="C398" s="72"/>
      <c r="D398" s="73"/>
      <c r="E398" s="74"/>
      <c r="F398" s="74"/>
      <c r="G398" s="74"/>
      <c r="H398" s="74"/>
      <c r="I398" s="74"/>
      <c r="J398" s="74"/>
      <c r="K398" s="75"/>
      <c r="L398" s="76"/>
      <c r="M398" s="77"/>
      <c r="N398" s="30"/>
      <c r="O398" s="31"/>
      <c r="P398" s="31"/>
      <c r="Q398" s="31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customHeight="1">
      <c r="A399" s="71"/>
      <c r="B399" s="72"/>
      <c r="C399" s="72"/>
      <c r="D399" s="73"/>
      <c r="E399" s="74"/>
      <c r="F399" s="74"/>
      <c r="G399" s="74"/>
      <c r="H399" s="74"/>
      <c r="I399" s="74"/>
      <c r="J399" s="74"/>
      <c r="K399" s="75"/>
      <c r="L399" s="76"/>
      <c r="M399" s="77"/>
      <c r="N399" s="30"/>
      <c r="O399" s="31"/>
      <c r="P399" s="31"/>
      <c r="Q399" s="31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customHeight="1">
      <c r="A400" s="71"/>
      <c r="B400" s="72"/>
      <c r="C400" s="72"/>
      <c r="D400" s="73"/>
      <c r="E400" s="74"/>
      <c r="F400" s="74"/>
      <c r="G400" s="74"/>
      <c r="H400" s="74"/>
      <c r="I400" s="74"/>
      <c r="J400" s="74"/>
      <c r="K400" s="75"/>
      <c r="L400" s="76"/>
      <c r="M400" s="77"/>
      <c r="N400" s="30"/>
      <c r="O400" s="31"/>
      <c r="P400" s="31"/>
      <c r="Q400" s="31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customHeight="1">
      <c r="A401" s="71"/>
      <c r="B401" s="72"/>
      <c r="C401" s="72"/>
      <c r="D401" s="73"/>
      <c r="E401" s="74"/>
      <c r="F401" s="74"/>
      <c r="G401" s="74"/>
      <c r="H401" s="74"/>
      <c r="I401" s="74"/>
      <c r="J401" s="74"/>
      <c r="K401" s="75"/>
      <c r="L401" s="76"/>
      <c r="M401" s="77"/>
      <c r="N401" s="30"/>
      <c r="O401" s="31"/>
      <c r="P401" s="31"/>
      <c r="Q401" s="31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customHeight="1">
      <c r="A402" s="71"/>
      <c r="B402" s="72"/>
      <c r="C402" s="72"/>
      <c r="D402" s="73"/>
      <c r="E402" s="74"/>
      <c r="F402" s="74"/>
      <c r="G402" s="74"/>
      <c r="H402" s="74"/>
      <c r="I402" s="74"/>
      <c r="J402" s="74"/>
      <c r="K402" s="75"/>
      <c r="L402" s="76"/>
      <c r="M402" s="77"/>
      <c r="N402" s="30"/>
      <c r="O402" s="31"/>
      <c r="P402" s="31"/>
      <c r="Q402" s="31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customHeight="1">
      <c r="A403" s="71"/>
      <c r="B403" s="72"/>
      <c r="C403" s="72"/>
      <c r="D403" s="73"/>
      <c r="E403" s="74"/>
      <c r="F403" s="74"/>
      <c r="G403" s="74"/>
      <c r="H403" s="74"/>
      <c r="I403" s="74"/>
      <c r="J403" s="74"/>
      <c r="K403" s="75"/>
      <c r="L403" s="76"/>
      <c r="M403" s="77"/>
      <c r="N403" s="30"/>
      <c r="O403" s="31"/>
      <c r="P403" s="31"/>
      <c r="Q403" s="31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customHeight="1">
      <c r="A404" s="71"/>
      <c r="B404" s="72"/>
      <c r="C404" s="72"/>
      <c r="D404" s="73"/>
      <c r="E404" s="74"/>
      <c r="F404" s="74"/>
      <c r="G404" s="74"/>
      <c r="H404" s="74"/>
      <c r="I404" s="74"/>
      <c r="J404" s="74"/>
      <c r="K404" s="75"/>
      <c r="L404" s="76"/>
      <c r="M404" s="77"/>
      <c r="N404" s="30"/>
      <c r="O404" s="31"/>
      <c r="P404" s="31"/>
      <c r="Q404" s="31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customHeight="1">
      <c r="A405" s="71"/>
      <c r="B405" s="72"/>
      <c r="C405" s="72"/>
      <c r="D405" s="73"/>
      <c r="E405" s="74"/>
      <c r="F405" s="74"/>
      <c r="G405" s="74"/>
      <c r="H405" s="74"/>
      <c r="I405" s="74"/>
      <c r="J405" s="74"/>
      <c r="K405" s="75"/>
      <c r="L405" s="76"/>
      <c r="M405" s="77"/>
      <c r="N405" s="30"/>
      <c r="O405" s="31"/>
      <c r="P405" s="31"/>
      <c r="Q405" s="31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customHeight="1">
      <c r="A406" s="71"/>
      <c r="B406" s="72"/>
      <c r="C406" s="72"/>
      <c r="D406" s="73"/>
      <c r="E406" s="74"/>
      <c r="F406" s="74"/>
      <c r="G406" s="74"/>
      <c r="H406" s="74"/>
      <c r="I406" s="74"/>
      <c r="J406" s="74"/>
      <c r="K406" s="75"/>
      <c r="L406" s="76"/>
      <c r="M406" s="77"/>
      <c r="N406" s="30"/>
      <c r="O406" s="31"/>
      <c r="P406" s="31"/>
      <c r="Q406" s="31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customHeight="1">
      <c r="A407" s="71"/>
      <c r="B407" s="72"/>
      <c r="C407" s="72"/>
      <c r="D407" s="73"/>
      <c r="E407" s="74"/>
      <c r="F407" s="74"/>
      <c r="G407" s="74"/>
      <c r="H407" s="74"/>
      <c r="I407" s="74"/>
      <c r="J407" s="74"/>
      <c r="K407" s="75"/>
      <c r="L407" s="76"/>
      <c r="M407" s="77"/>
      <c r="N407" s="30"/>
      <c r="O407" s="31"/>
      <c r="P407" s="31"/>
      <c r="Q407" s="31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customHeight="1">
      <c r="A408" s="71"/>
      <c r="B408" s="72"/>
      <c r="C408" s="72"/>
      <c r="D408" s="73"/>
      <c r="E408" s="74"/>
      <c r="F408" s="74"/>
      <c r="G408" s="74"/>
      <c r="H408" s="74"/>
      <c r="I408" s="74"/>
      <c r="J408" s="74"/>
      <c r="K408" s="75"/>
      <c r="L408" s="76"/>
      <c r="M408" s="77"/>
      <c r="N408" s="30"/>
      <c r="O408" s="31"/>
      <c r="P408" s="31"/>
      <c r="Q408" s="31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customHeight="1">
      <c r="A409" s="71"/>
      <c r="B409" s="72"/>
      <c r="C409" s="72"/>
      <c r="D409" s="73"/>
      <c r="E409" s="74"/>
      <c r="F409" s="74"/>
      <c r="G409" s="74"/>
      <c r="H409" s="74"/>
      <c r="I409" s="74"/>
      <c r="J409" s="74"/>
      <c r="K409" s="75"/>
      <c r="L409" s="76"/>
      <c r="M409" s="77"/>
      <c r="N409" s="30"/>
      <c r="O409" s="31"/>
      <c r="P409" s="31"/>
      <c r="Q409" s="31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customHeight="1">
      <c r="A410" s="71"/>
      <c r="B410" s="72"/>
      <c r="C410" s="72"/>
      <c r="D410" s="73"/>
      <c r="E410" s="74"/>
      <c r="F410" s="74"/>
      <c r="G410" s="74"/>
      <c r="H410" s="74"/>
      <c r="I410" s="74"/>
      <c r="J410" s="74"/>
      <c r="K410" s="75"/>
      <c r="L410" s="76"/>
      <c r="M410" s="77"/>
      <c r="N410" s="30"/>
      <c r="O410" s="31"/>
      <c r="P410" s="31"/>
      <c r="Q410" s="31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customHeight="1">
      <c r="A411" s="71"/>
      <c r="B411" s="72"/>
      <c r="C411" s="72"/>
      <c r="D411" s="73"/>
      <c r="E411" s="74"/>
      <c r="F411" s="74"/>
      <c r="G411" s="74"/>
      <c r="H411" s="74"/>
      <c r="I411" s="74"/>
      <c r="J411" s="74"/>
      <c r="K411" s="75"/>
      <c r="L411" s="76"/>
      <c r="M411" s="77"/>
      <c r="N411" s="30"/>
      <c r="O411" s="31"/>
      <c r="P411" s="31"/>
      <c r="Q411" s="31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customHeight="1">
      <c r="A412" s="71"/>
      <c r="B412" s="72"/>
      <c r="C412" s="72"/>
      <c r="D412" s="73"/>
      <c r="E412" s="74"/>
      <c r="F412" s="74"/>
      <c r="G412" s="74"/>
      <c r="H412" s="74"/>
      <c r="I412" s="74"/>
      <c r="J412" s="74"/>
      <c r="K412" s="75"/>
      <c r="L412" s="76"/>
      <c r="M412" s="77"/>
      <c r="N412" s="30"/>
      <c r="O412" s="31"/>
      <c r="P412" s="31"/>
      <c r="Q412" s="31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customHeight="1">
      <c r="A413" s="71"/>
      <c r="B413" s="72"/>
      <c r="C413" s="72"/>
      <c r="D413" s="73"/>
      <c r="E413" s="74"/>
      <c r="F413" s="74"/>
      <c r="G413" s="74"/>
      <c r="H413" s="74"/>
      <c r="I413" s="74"/>
      <c r="J413" s="74"/>
      <c r="K413" s="75"/>
      <c r="L413" s="76"/>
      <c r="M413" s="77"/>
      <c r="N413" s="30"/>
      <c r="O413" s="31"/>
      <c r="P413" s="31"/>
      <c r="Q413" s="31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customHeight="1">
      <c r="A414" s="71"/>
      <c r="B414" s="72"/>
      <c r="C414" s="72"/>
      <c r="D414" s="73"/>
      <c r="E414" s="74"/>
      <c r="F414" s="74"/>
      <c r="G414" s="74"/>
      <c r="H414" s="74"/>
      <c r="I414" s="74"/>
      <c r="J414" s="74"/>
      <c r="K414" s="75"/>
      <c r="L414" s="76"/>
      <c r="M414" s="77"/>
      <c r="N414" s="30"/>
      <c r="O414" s="31"/>
      <c r="P414" s="31"/>
      <c r="Q414" s="31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customHeight="1">
      <c r="A415" s="71"/>
      <c r="B415" s="72"/>
      <c r="C415" s="72"/>
      <c r="D415" s="73"/>
      <c r="E415" s="74"/>
      <c r="F415" s="74"/>
      <c r="G415" s="74"/>
      <c r="H415" s="74"/>
      <c r="I415" s="74"/>
      <c r="J415" s="74"/>
      <c r="K415" s="75"/>
      <c r="L415" s="76"/>
      <c r="M415" s="77"/>
      <c r="N415" s="30"/>
      <c r="O415" s="31"/>
      <c r="P415" s="31"/>
      <c r="Q415" s="31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customHeight="1">
      <c r="A416" s="71"/>
      <c r="B416" s="72"/>
      <c r="C416" s="72"/>
      <c r="D416" s="73"/>
      <c r="E416" s="74"/>
      <c r="F416" s="74"/>
      <c r="G416" s="74"/>
      <c r="H416" s="74"/>
      <c r="I416" s="74"/>
      <c r="J416" s="74"/>
      <c r="K416" s="75"/>
      <c r="L416" s="76"/>
      <c r="M416" s="77"/>
      <c r="N416" s="30"/>
      <c r="O416" s="31"/>
      <c r="P416" s="31"/>
      <c r="Q416" s="31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customHeight="1">
      <c r="A417" s="71"/>
      <c r="B417" s="72"/>
      <c r="C417" s="72"/>
      <c r="D417" s="73"/>
      <c r="E417" s="74"/>
      <c r="F417" s="74"/>
      <c r="G417" s="74"/>
      <c r="H417" s="74"/>
      <c r="I417" s="74"/>
      <c r="J417" s="74"/>
      <c r="K417" s="75"/>
      <c r="L417" s="76"/>
      <c r="M417" s="77"/>
      <c r="N417" s="30"/>
      <c r="O417" s="31"/>
      <c r="P417" s="31"/>
      <c r="Q417" s="31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customHeight="1">
      <c r="A418" s="71"/>
      <c r="B418" s="72"/>
      <c r="C418" s="72"/>
      <c r="D418" s="73"/>
      <c r="E418" s="74"/>
      <c r="F418" s="74"/>
      <c r="G418" s="74"/>
      <c r="H418" s="74"/>
      <c r="I418" s="74"/>
      <c r="J418" s="74"/>
      <c r="K418" s="75"/>
      <c r="L418" s="76"/>
      <c r="M418" s="77"/>
      <c r="N418" s="30"/>
      <c r="O418" s="31"/>
      <c r="P418" s="31"/>
      <c r="Q418" s="31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customHeight="1">
      <c r="A419" s="71"/>
      <c r="B419" s="72"/>
      <c r="C419" s="72"/>
      <c r="D419" s="73"/>
      <c r="E419" s="74"/>
      <c r="F419" s="74"/>
      <c r="G419" s="74"/>
      <c r="H419" s="74"/>
      <c r="I419" s="74"/>
      <c r="J419" s="74"/>
      <c r="K419" s="75"/>
      <c r="L419" s="76"/>
      <c r="M419" s="77"/>
      <c r="N419" s="30"/>
      <c r="O419" s="31"/>
      <c r="P419" s="31"/>
      <c r="Q419" s="31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customHeight="1">
      <c r="A420" s="71"/>
      <c r="B420" s="72"/>
      <c r="C420" s="72"/>
      <c r="D420" s="73"/>
      <c r="E420" s="74"/>
      <c r="F420" s="74"/>
      <c r="G420" s="74"/>
      <c r="H420" s="74"/>
      <c r="I420" s="74"/>
      <c r="J420" s="74"/>
      <c r="K420" s="75"/>
      <c r="L420" s="76"/>
      <c r="M420" s="77"/>
      <c r="N420" s="30"/>
      <c r="O420" s="31"/>
      <c r="P420" s="31"/>
      <c r="Q420" s="31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customHeight="1">
      <c r="A421" s="71"/>
      <c r="B421" s="72"/>
      <c r="C421" s="72"/>
      <c r="D421" s="73"/>
      <c r="E421" s="74"/>
      <c r="F421" s="74"/>
      <c r="G421" s="74"/>
      <c r="H421" s="74"/>
      <c r="I421" s="74"/>
      <c r="J421" s="74"/>
      <c r="K421" s="75"/>
      <c r="L421" s="76"/>
      <c r="M421" s="77"/>
      <c r="N421" s="30"/>
      <c r="O421" s="31"/>
      <c r="P421" s="31"/>
      <c r="Q421" s="31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customHeight="1">
      <c r="A422" s="71"/>
      <c r="B422" s="72"/>
      <c r="C422" s="72"/>
      <c r="D422" s="73"/>
      <c r="E422" s="74"/>
      <c r="F422" s="74"/>
      <c r="G422" s="74"/>
      <c r="H422" s="74"/>
      <c r="I422" s="74"/>
      <c r="J422" s="74"/>
      <c r="K422" s="75"/>
      <c r="L422" s="76"/>
      <c r="M422" s="77"/>
      <c r="N422" s="30"/>
      <c r="O422" s="31"/>
      <c r="P422" s="31"/>
      <c r="Q422" s="31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customHeight="1">
      <c r="A423" s="71"/>
      <c r="B423" s="72"/>
      <c r="C423" s="72"/>
      <c r="D423" s="73"/>
      <c r="E423" s="74"/>
      <c r="F423" s="74"/>
      <c r="G423" s="74"/>
      <c r="H423" s="74"/>
      <c r="I423" s="74"/>
      <c r="J423" s="74"/>
      <c r="K423" s="75"/>
      <c r="L423" s="76"/>
      <c r="M423" s="77"/>
      <c r="N423" s="30"/>
      <c r="O423" s="31"/>
      <c r="P423" s="31"/>
      <c r="Q423" s="31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customHeight="1">
      <c r="A424" s="71"/>
      <c r="B424" s="72"/>
      <c r="C424" s="72"/>
      <c r="D424" s="73"/>
      <c r="E424" s="74"/>
      <c r="F424" s="74"/>
      <c r="G424" s="74"/>
      <c r="H424" s="74"/>
      <c r="I424" s="74"/>
      <c r="J424" s="74"/>
      <c r="K424" s="75"/>
      <c r="L424" s="76"/>
      <c r="M424" s="77"/>
      <c r="N424" s="30"/>
      <c r="O424" s="31"/>
      <c r="P424" s="31"/>
      <c r="Q424" s="31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customHeight="1">
      <c r="A425" s="71"/>
      <c r="B425" s="72"/>
      <c r="C425" s="72"/>
      <c r="D425" s="73"/>
      <c r="E425" s="74"/>
      <c r="F425" s="74"/>
      <c r="G425" s="74"/>
      <c r="H425" s="74"/>
      <c r="I425" s="74"/>
      <c r="J425" s="74"/>
      <c r="K425" s="75"/>
      <c r="L425" s="76"/>
      <c r="M425" s="77"/>
      <c r="N425" s="30"/>
      <c r="O425" s="31"/>
      <c r="P425" s="31"/>
      <c r="Q425" s="31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customHeight="1">
      <c r="A426" s="71"/>
      <c r="B426" s="72"/>
      <c r="C426" s="72"/>
      <c r="D426" s="73"/>
      <c r="E426" s="74"/>
      <c r="F426" s="74"/>
      <c r="G426" s="74"/>
      <c r="H426" s="74"/>
      <c r="I426" s="74"/>
      <c r="J426" s="74"/>
      <c r="K426" s="75"/>
      <c r="L426" s="76"/>
      <c r="M426" s="77"/>
      <c r="N426" s="30"/>
      <c r="O426" s="31"/>
      <c r="P426" s="31"/>
      <c r="Q426" s="31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customHeight="1">
      <c r="A427" s="71"/>
      <c r="B427" s="72"/>
      <c r="C427" s="72"/>
      <c r="D427" s="73"/>
      <c r="E427" s="74"/>
      <c r="F427" s="74"/>
      <c r="G427" s="74"/>
      <c r="H427" s="74"/>
      <c r="I427" s="74"/>
      <c r="J427" s="74"/>
      <c r="K427" s="75"/>
      <c r="L427" s="76"/>
      <c r="M427" s="77"/>
      <c r="N427" s="30"/>
      <c r="O427" s="31"/>
      <c r="P427" s="31"/>
      <c r="Q427" s="31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customHeight="1">
      <c r="A428" s="71"/>
      <c r="B428" s="72"/>
      <c r="C428" s="72"/>
      <c r="D428" s="73"/>
      <c r="E428" s="74"/>
      <c r="F428" s="74"/>
      <c r="G428" s="74"/>
      <c r="H428" s="74"/>
      <c r="I428" s="74"/>
      <c r="J428" s="74"/>
      <c r="K428" s="75"/>
      <c r="L428" s="76"/>
      <c r="M428" s="77"/>
      <c r="N428" s="30"/>
      <c r="O428" s="31"/>
      <c r="P428" s="31"/>
      <c r="Q428" s="31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customHeight="1">
      <c r="A429" s="71"/>
      <c r="B429" s="72"/>
      <c r="C429" s="72"/>
      <c r="D429" s="73"/>
      <c r="E429" s="74"/>
      <c r="F429" s="74"/>
      <c r="G429" s="74"/>
      <c r="H429" s="74"/>
      <c r="I429" s="74"/>
      <c r="J429" s="74"/>
      <c r="K429" s="75"/>
      <c r="L429" s="76"/>
      <c r="M429" s="77"/>
      <c r="N429" s="30"/>
      <c r="O429" s="31"/>
      <c r="P429" s="31"/>
      <c r="Q429" s="31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customHeight="1">
      <c r="A430" s="71"/>
      <c r="B430" s="72"/>
      <c r="C430" s="72"/>
      <c r="D430" s="73"/>
      <c r="E430" s="74"/>
      <c r="F430" s="74"/>
      <c r="G430" s="74"/>
      <c r="H430" s="74"/>
      <c r="I430" s="74"/>
      <c r="J430" s="74"/>
      <c r="K430" s="75"/>
      <c r="L430" s="76"/>
      <c r="M430" s="77"/>
      <c r="N430" s="30"/>
      <c r="O430" s="31"/>
      <c r="P430" s="31"/>
      <c r="Q430" s="31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customHeight="1">
      <c r="A431" s="71"/>
      <c r="B431" s="72"/>
      <c r="C431" s="72"/>
      <c r="D431" s="73"/>
      <c r="E431" s="74"/>
      <c r="F431" s="74"/>
      <c r="G431" s="74"/>
      <c r="H431" s="74"/>
      <c r="I431" s="74"/>
      <c r="J431" s="74"/>
      <c r="K431" s="75"/>
      <c r="L431" s="76"/>
      <c r="M431" s="77"/>
      <c r="N431" s="30"/>
      <c r="O431" s="31"/>
      <c r="P431" s="31"/>
      <c r="Q431" s="31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customHeight="1">
      <c r="A432" s="71"/>
      <c r="B432" s="72"/>
      <c r="C432" s="72"/>
      <c r="D432" s="73"/>
      <c r="E432" s="74"/>
      <c r="F432" s="74"/>
      <c r="G432" s="74"/>
      <c r="H432" s="74"/>
      <c r="I432" s="74"/>
      <c r="J432" s="74"/>
      <c r="K432" s="75"/>
      <c r="L432" s="76"/>
      <c r="M432" s="77"/>
      <c r="N432" s="30"/>
      <c r="O432" s="31"/>
      <c r="P432" s="31"/>
      <c r="Q432" s="31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customHeight="1">
      <c r="A433" s="71"/>
      <c r="B433" s="72"/>
      <c r="C433" s="72"/>
      <c r="D433" s="73"/>
      <c r="E433" s="74"/>
      <c r="F433" s="74"/>
      <c r="G433" s="74"/>
      <c r="H433" s="74"/>
      <c r="I433" s="74"/>
      <c r="J433" s="74"/>
      <c r="K433" s="75"/>
      <c r="L433" s="76"/>
      <c r="M433" s="77"/>
      <c r="N433" s="30"/>
      <c r="O433" s="31"/>
      <c r="P433" s="31"/>
      <c r="Q433" s="31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customHeight="1">
      <c r="A434" s="71"/>
      <c r="B434" s="72"/>
      <c r="C434" s="72"/>
      <c r="D434" s="73"/>
      <c r="E434" s="74"/>
      <c r="F434" s="74"/>
      <c r="G434" s="74"/>
      <c r="H434" s="74"/>
      <c r="I434" s="74"/>
      <c r="J434" s="74"/>
      <c r="K434" s="75"/>
      <c r="L434" s="76"/>
      <c r="M434" s="77"/>
      <c r="N434" s="30"/>
      <c r="O434" s="31"/>
      <c r="P434" s="31"/>
      <c r="Q434" s="31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customHeight="1">
      <c r="A435" s="71"/>
      <c r="B435" s="72"/>
      <c r="C435" s="72"/>
      <c r="D435" s="73"/>
      <c r="E435" s="74"/>
      <c r="F435" s="74"/>
      <c r="G435" s="74"/>
      <c r="H435" s="74"/>
      <c r="I435" s="74"/>
      <c r="J435" s="74"/>
      <c r="K435" s="75"/>
      <c r="L435" s="76"/>
      <c r="M435" s="77"/>
      <c r="N435" s="30"/>
      <c r="O435" s="31"/>
      <c r="P435" s="31"/>
      <c r="Q435" s="31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customHeight="1">
      <c r="A436" s="71"/>
      <c r="B436" s="72"/>
      <c r="C436" s="72"/>
      <c r="D436" s="73"/>
      <c r="E436" s="74"/>
      <c r="F436" s="74"/>
      <c r="G436" s="74"/>
      <c r="H436" s="74"/>
      <c r="I436" s="74"/>
      <c r="J436" s="74"/>
      <c r="K436" s="75"/>
      <c r="L436" s="76"/>
      <c r="M436" s="77"/>
      <c r="N436" s="30"/>
      <c r="O436" s="31"/>
      <c r="P436" s="31"/>
      <c r="Q436" s="31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customHeight="1">
      <c r="A437" s="71"/>
      <c r="B437" s="72"/>
      <c r="C437" s="72"/>
      <c r="D437" s="73"/>
      <c r="E437" s="74"/>
      <c r="F437" s="74"/>
      <c r="G437" s="74"/>
      <c r="H437" s="74"/>
      <c r="I437" s="74"/>
      <c r="J437" s="74"/>
      <c r="K437" s="75"/>
      <c r="L437" s="76"/>
      <c r="M437" s="77"/>
      <c r="N437" s="30"/>
      <c r="O437" s="31"/>
      <c r="P437" s="31"/>
      <c r="Q437" s="31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customHeight="1">
      <c r="A438" s="71"/>
      <c r="B438" s="72"/>
      <c r="C438" s="72"/>
      <c r="D438" s="73"/>
      <c r="E438" s="74"/>
      <c r="F438" s="74"/>
      <c r="G438" s="74"/>
      <c r="H438" s="74"/>
      <c r="I438" s="74"/>
      <c r="J438" s="74"/>
      <c r="K438" s="75"/>
      <c r="L438" s="76"/>
      <c r="M438" s="77"/>
      <c r="N438" s="30"/>
      <c r="O438" s="31"/>
      <c r="P438" s="31"/>
      <c r="Q438" s="31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customHeight="1">
      <c r="A439" s="71"/>
      <c r="B439" s="72"/>
      <c r="C439" s="72"/>
      <c r="D439" s="73"/>
      <c r="E439" s="74"/>
      <c r="F439" s="74"/>
      <c r="G439" s="74"/>
      <c r="H439" s="74"/>
      <c r="I439" s="74"/>
      <c r="J439" s="74"/>
      <c r="K439" s="75"/>
      <c r="L439" s="76"/>
      <c r="M439" s="77"/>
      <c r="N439" s="30"/>
      <c r="O439" s="31"/>
      <c r="P439" s="31"/>
      <c r="Q439" s="31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customHeight="1">
      <c r="A440" s="71"/>
      <c r="B440" s="72"/>
      <c r="C440" s="72"/>
      <c r="D440" s="73"/>
      <c r="E440" s="74"/>
      <c r="F440" s="74"/>
      <c r="G440" s="74"/>
      <c r="H440" s="74"/>
      <c r="I440" s="74"/>
      <c r="J440" s="74"/>
      <c r="K440" s="75"/>
      <c r="L440" s="76"/>
      <c r="M440" s="77"/>
      <c r="N440" s="30"/>
      <c r="O440" s="31"/>
      <c r="P440" s="31"/>
      <c r="Q440" s="31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customHeight="1">
      <c r="A441" s="71"/>
      <c r="B441" s="72"/>
      <c r="C441" s="72"/>
      <c r="D441" s="73"/>
      <c r="E441" s="74"/>
      <c r="F441" s="74"/>
      <c r="G441" s="74"/>
      <c r="H441" s="74"/>
      <c r="I441" s="74"/>
      <c r="J441" s="74"/>
      <c r="K441" s="75"/>
      <c r="L441" s="76"/>
      <c r="M441" s="77"/>
      <c r="N441" s="30"/>
      <c r="O441" s="31"/>
      <c r="P441" s="31"/>
      <c r="Q441" s="31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customHeight="1">
      <c r="A442" s="71"/>
      <c r="B442" s="72"/>
      <c r="C442" s="72"/>
      <c r="D442" s="73"/>
      <c r="E442" s="74"/>
      <c r="F442" s="74"/>
      <c r="G442" s="74"/>
      <c r="H442" s="74"/>
      <c r="I442" s="74"/>
      <c r="J442" s="74"/>
      <c r="K442" s="75"/>
      <c r="L442" s="76"/>
      <c r="M442" s="77"/>
      <c r="N442" s="30"/>
      <c r="O442" s="31"/>
      <c r="P442" s="31"/>
      <c r="Q442" s="31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customHeight="1">
      <c r="A443" s="71"/>
      <c r="B443" s="72"/>
      <c r="C443" s="72"/>
      <c r="D443" s="73"/>
      <c r="E443" s="74"/>
      <c r="F443" s="74"/>
      <c r="G443" s="74"/>
      <c r="H443" s="74"/>
      <c r="I443" s="74"/>
      <c r="J443" s="74"/>
      <c r="K443" s="75"/>
      <c r="L443" s="76"/>
      <c r="M443" s="77"/>
      <c r="N443" s="30"/>
      <c r="O443" s="31"/>
      <c r="P443" s="31"/>
      <c r="Q443" s="31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customHeight="1">
      <c r="A444" s="71"/>
      <c r="B444" s="72"/>
      <c r="C444" s="72"/>
      <c r="D444" s="73"/>
      <c r="E444" s="74"/>
      <c r="F444" s="74"/>
      <c r="G444" s="74"/>
      <c r="H444" s="74"/>
      <c r="I444" s="74"/>
      <c r="J444" s="74"/>
      <c r="K444" s="75"/>
      <c r="L444" s="76"/>
      <c r="M444" s="77"/>
      <c r="N444" s="30"/>
      <c r="O444" s="31"/>
      <c r="P444" s="31"/>
      <c r="Q444" s="31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customHeight="1">
      <c r="A445" s="71"/>
      <c r="B445" s="72"/>
      <c r="C445" s="72"/>
      <c r="D445" s="73"/>
      <c r="E445" s="74"/>
      <c r="F445" s="74"/>
      <c r="G445" s="74"/>
      <c r="H445" s="74"/>
      <c r="I445" s="74"/>
      <c r="J445" s="74"/>
      <c r="K445" s="75"/>
      <c r="L445" s="76"/>
      <c r="M445" s="77"/>
      <c r="N445" s="30"/>
      <c r="O445" s="31"/>
      <c r="P445" s="31"/>
      <c r="Q445" s="31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customHeight="1">
      <c r="A446" s="71"/>
      <c r="B446" s="72"/>
      <c r="C446" s="72"/>
      <c r="D446" s="73"/>
      <c r="E446" s="74"/>
      <c r="F446" s="74"/>
      <c r="G446" s="74"/>
      <c r="H446" s="74"/>
      <c r="I446" s="74"/>
      <c r="J446" s="74"/>
      <c r="K446" s="75"/>
      <c r="L446" s="76"/>
      <c r="M446" s="77"/>
      <c r="N446" s="30"/>
      <c r="O446" s="31"/>
      <c r="P446" s="31"/>
      <c r="Q446" s="31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customHeight="1">
      <c r="A447" s="71"/>
      <c r="B447" s="72"/>
      <c r="C447" s="72"/>
      <c r="D447" s="73"/>
      <c r="E447" s="74"/>
      <c r="F447" s="74"/>
      <c r="G447" s="74"/>
      <c r="H447" s="74"/>
      <c r="I447" s="74"/>
      <c r="J447" s="74"/>
      <c r="K447" s="75"/>
      <c r="L447" s="76"/>
      <c r="M447" s="77"/>
      <c r="N447" s="30"/>
      <c r="O447" s="31"/>
      <c r="P447" s="31"/>
      <c r="Q447" s="31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customHeight="1">
      <c r="A448" s="71"/>
      <c r="B448" s="72"/>
      <c r="C448" s="72"/>
      <c r="D448" s="73"/>
      <c r="E448" s="74"/>
      <c r="F448" s="74"/>
      <c r="G448" s="74"/>
      <c r="H448" s="74"/>
      <c r="I448" s="74"/>
      <c r="J448" s="74"/>
      <c r="K448" s="75"/>
      <c r="L448" s="76"/>
      <c r="M448" s="77"/>
      <c r="N448" s="30"/>
      <c r="O448" s="31"/>
      <c r="P448" s="31"/>
      <c r="Q448" s="31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customHeight="1">
      <c r="A449" s="71"/>
      <c r="B449" s="72"/>
      <c r="C449" s="72"/>
      <c r="D449" s="73"/>
      <c r="E449" s="74"/>
      <c r="F449" s="74"/>
      <c r="G449" s="74"/>
      <c r="H449" s="74"/>
      <c r="I449" s="74"/>
      <c r="J449" s="74"/>
      <c r="K449" s="75"/>
      <c r="L449" s="76"/>
      <c r="M449" s="77"/>
      <c r="N449" s="30"/>
      <c r="O449" s="31"/>
      <c r="P449" s="31"/>
      <c r="Q449" s="31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customHeight="1">
      <c r="A450" s="71"/>
      <c r="B450" s="72"/>
      <c r="C450" s="72"/>
      <c r="D450" s="73"/>
      <c r="E450" s="74"/>
      <c r="F450" s="74"/>
      <c r="G450" s="74"/>
      <c r="H450" s="74"/>
      <c r="I450" s="74"/>
      <c r="J450" s="74"/>
      <c r="K450" s="75"/>
      <c r="L450" s="76"/>
      <c r="M450" s="77"/>
      <c r="N450" s="30"/>
      <c r="O450" s="31"/>
      <c r="P450" s="31"/>
      <c r="Q450" s="31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customHeight="1">
      <c r="A451" s="71"/>
      <c r="B451" s="72"/>
      <c r="C451" s="72"/>
      <c r="D451" s="73"/>
      <c r="E451" s="74"/>
      <c r="F451" s="74"/>
      <c r="G451" s="74"/>
      <c r="H451" s="74"/>
      <c r="I451" s="74"/>
      <c r="J451" s="74"/>
      <c r="K451" s="75"/>
      <c r="L451" s="76"/>
      <c r="M451" s="77"/>
      <c r="N451" s="30"/>
      <c r="O451" s="31"/>
      <c r="P451" s="31"/>
      <c r="Q451" s="31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customHeight="1">
      <c r="A452" s="71"/>
      <c r="B452" s="72"/>
      <c r="C452" s="72"/>
      <c r="D452" s="73"/>
      <c r="E452" s="74"/>
      <c r="F452" s="74"/>
      <c r="G452" s="74"/>
      <c r="H452" s="74"/>
      <c r="I452" s="74"/>
      <c r="J452" s="74"/>
      <c r="K452" s="75"/>
      <c r="L452" s="76"/>
      <c r="M452" s="77"/>
      <c r="N452" s="30"/>
      <c r="O452" s="31"/>
      <c r="P452" s="31"/>
      <c r="Q452" s="31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customHeight="1">
      <c r="A453" s="71"/>
      <c r="B453" s="72"/>
      <c r="C453" s="72"/>
      <c r="D453" s="73"/>
      <c r="E453" s="74"/>
      <c r="F453" s="74"/>
      <c r="G453" s="74"/>
      <c r="H453" s="74"/>
      <c r="I453" s="74"/>
      <c r="J453" s="74"/>
      <c r="K453" s="75"/>
      <c r="L453" s="76"/>
      <c r="M453" s="77"/>
      <c r="N453" s="30"/>
      <c r="O453" s="31"/>
      <c r="P453" s="31"/>
      <c r="Q453" s="31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customHeight="1">
      <c r="A454" s="71"/>
      <c r="B454" s="72"/>
      <c r="C454" s="72"/>
      <c r="D454" s="73"/>
      <c r="E454" s="74"/>
      <c r="F454" s="74"/>
      <c r="G454" s="74"/>
      <c r="H454" s="74"/>
      <c r="I454" s="74"/>
      <c r="J454" s="74"/>
      <c r="K454" s="75"/>
      <c r="L454" s="76"/>
      <c r="M454" s="77"/>
      <c r="N454" s="30"/>
      <c r="O454" s="31"/>
      <c r="P454" s="31"/>
      <c r="Q454" s="31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customHeight="1">
      <c r="A455" s="71"/>
      <c r="B455" s="72"/>
      <c r="C455" s="72"/>
      <c r="D455" s="73"/>
      <c r="E455" s="74"/>
      <c r="F455" s="74"/>
      <c r="G455" s="74"/>
      <c r="H455" s="74"/>
      <c r="I455" s="74"/>
      <c r="J455" s="74"/>
      <c r="K455" s="75"/>
      <c r="L455" s="76"/>
      <c r="M455" s="77"/>
      <c r="N455" s="30"/>
      <c r="O455" s="31"/>
      <c r="P455" s="31"/>
      <c r="Q455" s="31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customHeight="1">
      <c r="A456" s="71"/>
      <c r="B456" s="72"/>
      <c r="C456" s="72"/>
      <c r="D456" s="73"/>
      <c r="E456" s="74"/>
      <c r="F456" s="74"/>
      <c r="G456" s="74"/>
      <c r="H456" s="74"/>
      <c r="I456" s="74"/>
      <c r="J456" s="74"/>
      <c r="K456" s="75"/>
      <c r="L456" s="76"/>
      <c r="M456" s="77"/>
      <c r="N456" s="30"/>
      <c r="O456" s="31"/>
      <c r="P456" s="31"/>
      <c r="Q456" s="31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customHeight="1">
      <c r="A457" s="71"/>
      <c r="B457" s="72"/>
      <c r="C457" s="72"/>
      <c r="D457" s="73"/>
      <c r="E457" s="74"/>
      <c r="F457" s="74"/>
      <c r="G457" s="74"/>
      <c r="H457" s="74"/>
      <c r="I457" s="74"/>
      <c r="J457" s="74"/>
      <c r="K457" s="75"/>
      <c r="L457" s="76"/>
      <c r="M457" s="77"/>
      <c r="N457" s="30"/>
      <c r="O457" s="31"/>
      <c r="P457" s="31"/>
      <c r="Q457" s="31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customHeight="1">
      <c r="A458" s="71"/>
      <c r="B458" s="72"/>
      <c r="C458" s="72"/>
      <c r="D458" s="73"/>
      <c r="E458" s="74"/>
      <c r="F458" s="74"/>
      <c r="G458" s="74"/>
      <c r="H458" s="74"/>
      <c r="I458" s="74"/>
      <c r="J458" s="74"/>
      <c r="K458" s="75"/>
      <c r="L458" s="76"/>
      <c r="M458" s="77"/>
      <c r="N458" s="30"/>
      <c r="O458" s="31"/>
      <c r="P458" s="31"/>
      <c r="Q458" s="31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customHeight="1">
      <c r="A459" s="71"/>
      <c r="B459" s="72"/>
      <c r="C459" s="72"/>
      <c r="D459" s="73"/>
      <c r="E459" s="74"/>
      <c r="F459" s="74"/>
      <c r="G459" s="74"/>
      <c r="H459" s="74"/>
      <c r="I459" s="74"/>
      <c r="J459" s="74"/>
      <c r="K459" s="75"/>
      <c r="L459" s="76"/>
      <c r="M459" s="77"/>
      <c r="N459" s="30"/>
      <c r="O459" s="31"/>
      <c r="P459" s="31"/>
      <c r="Q459" s="31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customHeight="1">
      <c r="A460" s="71"/>
      <c r="B460" s="72"/>
      <c r="C460" s="72"/>
      <c r="D460" s="73"/>
      <c r="E460" s="74"/>
      <c r="F460" s="74"/>
      <c r="G460" s="74"/>
      <c r="H460" s="74"/>
      <c r="I460" s="74"/>
      <c r="J460" s="74"/>
      <c r="K460" s="75"/>
      <c r="L460" s="76"/>
      <c r="M460" s="77"/>
      <c r="N460" s="30"/>
      <c r="O460" s="31"/>
      <c r="P460" s="31"/>
      <c r="Q460" s="31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customHeight="1">
      <c r="A461" s="71"/>
      <c r="B461" s="72"/>
      <c r="C461" s="72"/>
      <c r="D461" s="73"/>
      <c r="E461" s="74"/>
      <c r="F461" s="74"/>
      <c r="G461" s="74"/>
      <c r="H461" s="74"/>
      <c r="I461" s="74"/>
      <c r="J461" s="74"/>
      <c r="K461" s="75"/>
      <c r="L461" s="76"/>
      <c r="M461" s="77"/>
      <c r="N461" s="30"/>
      <c r="O461" s="31"/>
      <c r="P461" s="31"/>
      <c r="Q461" s="31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customHeight="1">
      <c r="A462" s="71"/>
      <c r="B462" s="72"/>
      <c r="C462" s="72"/>
      <c r="D462" s="73"/>
      <c r="E462" s="74"/>
      <c r="F462" s="74"/>
      <c r="G462" s="74"/>
      <c r="H462" s="74"/>
      <c r="I462" s="74"/>
      <c r="J462" s="74"/>
      <c r="K462" s="75"/>
      <c r="L462" s="76"/>
      <c r="M462" s="77"/>
      <c r="N462" s="30"/>
      <c r="O462" s="31"/>
      <c r="P462" s="31"/>
      <c r="Q462" s="31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customHeight="1">
      <c r="A463" s="71"/>
      <c r="B463" s="72"/>
      <c r="C463" s="72"/>
      <c r="D463" s="73"/>
      <c r="E463" s="74"/>
      <c r="F463" s="74"/>
      <c r="G463" s="74"/>
      <c r="H463" s="74"/>
      <c r="I463" s="74"/>
      <c r="J463" s="74"/>
      <c r="K463" s="75"/>
      <c r="L463" s="76"/>
      <c r="M463" s="77"/>
      <c r="N463" s="30"/>
      <c r="O463" s="31"/>
      <c r="P463" s="31"/>
      <c r="Q463" s="31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customHeight="1">
      <c r="A464" s="71"/>
      <c r="B464" s="72"/>
      <c r="C464" s="72"/>
      <c r="D464" s="73"/>
      <c r="E464" s="74"/>
      <c r="F464" s="74"/>
      <c r="G464" s="74"/>
      <c r="H464" s="74"/>
      <c r="I464" s="74"/>
      <c r="J464" s="74"/>
      <c r="K464" s="75"/>
      <c r="L464" s="76"/>
      <c r="M464" s="77"/>
      <c r="N464" s="30"/>
      <c r="O464" s="31"/>
      <c r="P464" s="31"/>
      <c r="Q464" s="31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customHeight="1">
      <c r="A465" s="71"/>
      <c r="B465" s="72"/>
      <c r="C465" s="72"/>
      <c r="D465" s="73"/>
      <c r="E465" s="74"/>
      <c r="F465" s="74"/>
      <c r="G465" s="74"/>
      <c r="H465" s="74"/>
      <c r="I465" s="74"/>
      <c r="J465" s="74"/>
      <c r="K465" s="75"/>
      <c r="L465" s="76"/>
      <c r="M465" s="77"/>
      <c r="N465" s="30"/>
      <c r="O465" s="31"/>
      <c r="P465" s="31"/>
      <c r="Q465" s="31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customHeight="1">
      <c r="A466" s="71"/>
      <c r="B466" s="72"/>
      <c r="C466" s="72"/>
      <c r="D466" s="73"/>
      <c r="E466" s="74"/>
      <c r="F466" s="74"/>
      <c r="G466" s="74"/>
      <c r="H466" s="74"/>
      <c r="I466" s="74"/>
      <c r="J466" s="74"/>
      <c r="K466" s="75"/>
      <c r="L466" s="76"/>
      <c r="M466" s="77"/>
      <c r="N466" s="30"/>
      <c r="O466" s="31"/>
      <c r="P466" s="31"/>
      <c r="Q466" s="31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customHeight="1">
      <c r="A467" s="71"/>
      <c r="B467" s="72"/>
      <c r="C467" s="72"/>
      <c r="D467" s="73"/>
      <c r="E467" s="74"/>
      <c r="F467" s="74"/>
      <c r="G467" s="74"/>
      <c r="H467" s="74"/>
      <c r="I467" s="74"/>
      <c r="J467" s="74"/>
      <c r="K467" s="75"/>
      <c r="L467" s="76"/>
      <c r="M467" s="77"/>
      <c r="N467" s="30"/>
      <c r="O467" s="31"/>
      <c r="P467" s="31"/>
      <c r="Q467" s="31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customHeight="1">
      <c r="A468" s="71"/>
      <c r="B468" s="72"/>
      <c r="C468" s="72"/>
      <c r="D468" s="73"/>
      <c r="E468" s="74"/>
      <c r="F468" s="74"/>
      <c r="G468" s="74"/>
      <c r="H468" s="74"/>
      <c r="I468" s="74"/>
      <c r="J468" s="74"/>
      <c r="K468" s="75"/>
      <c r="L468" s="76"/>
      <c r="M468" s="77"/>
      <c r="N468" s="30"/>
      <c r="O468" s="31"/>
      <c r="P468" s="31"/>
      <c r="Q468" s="31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customHeight="1">
      <c r="A469" s="71"/>
      <c r="B469" s="72"/>
      <c r="C469" s="72"/>
      <c r="D469" s="73"/>
      <c r="E469" s="74"/>
      <c r="F469" s="74"/>
      <c r="G469" s="74"/>
      <c r="H469" s="74"/>
      <c r="I469" s="74"/>
      <c r="J469" s="74"/>
      <c r="K469" s="75"/>
      <c r="L469" s="76"/>
      <c r="M469" s="77"/>
      <c r="N469" s="30"/>
      <c r="O469" s="31"/>
      <c r="P469" s="31"/>
      <c r="Q469" s="31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customHeight="1">
      <c r="A470" s="71"/>
      <c r="B470" s="72"/>
      <c r="C470" s="72"/>
      <c r="D470" s="73"/>
      <c r="E470" s="74"/>
      <c r="F470" s="74"/>
      <c r="G470" s="74"/>
      <c r="H470" s="74"/>
      <c r="I470" s="74"/>
      <c r="J470" s="74"/>
      <c r="K470" s="75"/>
      <c r="L470" s="76"/>
      <c r="M470" s="77"/>
      <c r="N470" s="30"/>
      <c r="O470" s="31"/>
      <c r="P470" s="31"/>
      <c r="Q470" s="31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customHeight="1">
      <c r="A471" s="71"/>
      <c r="B471" s="72"/>
      <c r="C471" s="72"/>
      <c r="D471" s="73"/>
      <c r="E471" s="74"/>
      <c r="F471" s="74"/>
      <c r="G471" s="74"/>
      <c r="H471" s="74"/>
      <c r="I471" s="74"/>
      <c r="J471" s="74"/>
      <c r="K471" s="75"/>
      <c r="L471" s="76"/>
      <c r="M471" s="77"/>
      <c r="N471" s="30"/>
      <c r="O471" s="31"/>
      <c r="P471" s="31"/>
      <c r="Q471" s="31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customHeight="1">
      <c r="A472" s="71"/>
      <c r="B472" s="72"/>
      <c r="C472" s="72"/>
      <c r="D472" s="73"/>
      <c r="E472" s="74"/>
      <c r="F472" s="74"/>
      <c r="G472" s="74"/>
      <c r="H472" s="74"/>
      <c r="I472" s="74"/>
      <c r="J472" s="74"/>
      <c r="K472" s="75"/>
      <c r="L472" s="76"/>
      <c r="M472" s="77"/>
      <c r="N472" s="30"/>
      <c r="O472" s="31"/>
      <c r="P472" s="31"/>
      <c r="Q472" s="31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customHeight="1">
      <c r="A473" s="71"/>
      <c r="B473" s="72"/>
      <c r="C473" s="72"/>
      <c r="D473" s="73"/>
      <c r="E473" s="74"/>
      <c r="F473" s="74"/>
      <c r="G473" s="74"/>
      <c r="H473" s="74"/>
      <c r="I473" s="74"/>
      <c r="J473" s="74"/>
      <c r="K473" s="75"/>
      <c r="L473" s="76"/>
      <c r="M473" s="77"/>
      <c r="N473" s="30"/>
      <c r="O473" s="31"/>
      <c r="P473" s="31"/>
      <c r="Q473" s="31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customHeight="1">
      <c r="A474" s="71"/>
      <c r="B474" s="72"/>
      <c r="C474" s="72"/>
      <c r="D474" s="73"/>
      <c r="E474" s="74"/>
      <c r="F474" s="74"/>
      <c r="G474" s="74"/>
      <c r="H474" s="74"/>
      <c r="I474" s="74"/>
      <c r="J474" s="74"/>
      <c r="K474" s="75"/>
      <c r="L474" s="76"/>
      <c r="M474" s="77"/>
      <c r="N474" s="30"/>
      <c r="O474" s="31"/>
      <c r="P474" s="31"/>
      <c r="Q474" s="31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customHeight="1">
      <c r="A475" s="71"/>
      <c r="B475" s="72"/>
      <c r="C475" s="72"/>
      <c r="D475" s="73"/>
      <c r="E475" s="74"/>
      <c r="F475" s="74"/>
      <c r="G475" s="74"/>
      <c r="H475" s="74"/>
      <c r="I475" s="74"/>
      <c r="J475" s="74"/>
      <c r="K475" s="75"/>
      <c r="L475" s="76"/>
      <c r="M475" s="77"/>
      <c r="N475" s="30"/>
      <c r="O475" s="31"/>
      <c r="P475" s="31"/>
      <c r="Q475" s="31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customHeight="1">
      <c r="A476" s="71"/>
      <c r="B476" s="72"/>
      <c r="C476" s="72"/>
      <c r="D476" s="73"/>
      <c r="E476" s="74"/>
      <c r="F476" s="74"/>
      <c r="G476" s="74"/>
      <c r="H476" s="74"/>
      <c r="I476" s="74"/>
      <c r="J476" s="74"/>
      <c r="K476" s="75"/>
      <c r="L476" s="76"/>
      <c r="M476" s="77"/>
      <c r="N476" s="30"/>
      <c r="O476" s="31"/>
      <c r="P476" s="31"/>
      <c r="Q476" s="31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customHeight="1">
      <c r="A477" s="71"/>
      <c r="B477" s="72"/>
      <c r="C477" s="72"/>
      <c r="D477" s="73"/>
      <c r="E477" s="74"/>
      <c r="F477" s="74"/>
      <c r="G477" s="74"/>
      <c r="H477" s="74"/>
      <c r="I477" s="74"/>
      <c r="J477" s="74"/>
      <c r="K477" s="75"/>
      <c r="L477" s="76"/>
      <c r="M477" s="77"/>
      <c r="N477" s="30"/>
      <c r="O477" s="31"/>
      <c r="P477" s="31"/>
      <c r="Q477" s="31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customHeight="1">
      <c r="A478" s="71"/>
      <c r="B478" s="72"/>
      <c r="C478" s="72"/>
      <c r="D478" s="73"/>
      <c r="E478" s="74"/>
      <c r="F478" s="74"/>
      <c r="G478" s="74"/>
      <c r="H478" s="74"/>
      <c r="I478" s="74"/>
      <c r="J478" s="74"/>
      <c r="K478" s="75"/>
      <c r="L478" s="76"/>
      <c r="M478" s="77"/>
      <c r="N478" s="30"/>
      <c r="O478" s="31"/>
      <c r="P478" s="31"/>
      <c r="Q478" s="31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customHeight="1">
      <c r="A479" s="71"/>
      <c r="B479" s="72"/>
      <c r="C479" s="72"/>
      <c r="D479" s="73"/>
      <c r="E479" s="74"/>
      <c r="F479" s="74"/>
      <c r="G479" s="74"/>
      <c r="H479" s="74"/>
      <c r="I479" s="74"/>
      <c r="J479" s="74"/>
      <c r="K479" s="75"/>
      <c r="L479" s="76"/>
      <c r="M479" s="77"/>
      <c r="N479" s="30"/>
      <c r="O479" s="31"/>
      <c r="P479" s="31"/>
      <c r="Q479" s="31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customHeight="1">
      <c r="A480" s="71"/>
      <c r="B480" s="72"/>
      <c r="C480" s="72"/>
      <c r="D480" s="73"/>
      <c r="E480" s="74"/>
      <c r="F480" s="74"/>
      <c r="G480" s="74"/>
      <c r="H480" s="74"/>
      <c r="I480" s="74"/>
      <c r="J480" s="74"/>
      <c r="K480" s="75"/>
      <c r="L480" s="76"/>
      <c r="M480" s="77"/>
      <c r="N480" s="30"/>
      <c r="O480" s="31"/>
      <c r="P480" s="31"/>
      <c r="Q480" s="31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customHeight="1">
      <c r="A481" s="71"/>
      <c r="B481" s="72"/>
      <c r="C481" s="72"/>
      <c r="D481" s="73"/>
      <c r="E481" s="74"/>
      <c r="F481" s="74"/>
      <c r="G481" s="74"/>
      <c r="H481" s="74"/>
      <c r="I481" s="74"/>
      <c r="J481" s="74"/>
      <c r="K481" s="75"/>
      <c r="L481" s="76"/>
      <c r="M481" s="77"/>
      <c r="N481" s="30"/>
      <c r="O481" s="31"/>
      <c r="P481" s="31"/>
      <c r="Q481" s="31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customHeight="1">
      <c r="A482" s="71"/>
      <c r="B482" s="72"/>
      <c r="C482" s="72"/>
      <c r="D482" s="73"/>
      <c r="E482" s="74"/>
      <c r="F482" s="74"/>
      <c r="G482" s="74"/>
      <c r="H482" s="74"/>
      <c r="I482" s="74"/>
      <c r="J482" s="74"/>
      <c r="K482" s="75"/>
      <c r="L482" s="76"/>
      <c r="M482" s="77"/>
      <c r="N482" s="30"/>
      <c r="O482" s="31"/>
      <c r="P482" s="31"/>
      <c r="Q482" s="31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customHeight="1">
      <c r="A483" s="71"/>
      <c r="B483" s="72"/>
      <c r="C483" s="72"/>
      <c r="D483" s="73"/>
      <c r="E483" s="74"/>
      <c r="F483" s="74"/>
      <c r="G483" s="74"/>
      <c r="H483" s="74"/>
      <c r="I483" s="74"/>
      <c r="J483" s="74"/>
      <c r="K483" s="75"/>
      <c r="L483" s="76"/>
      <c r="M483" s="77"/>
      <c r="N483" s="30"/>
      <c r="O483" s="31"/>
      <c r="P483" s="31"/>
      <c r="Q483" s="31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customHeight="1">
      <c r="A484" s="71"/>
      <c r="B484" s="72"/>
      <c r="C484" s="72"/>
      <c r="D484" s="73"/>
      <c r="E484" s="74"/>
      <c r="F484" s="74"/>
      <c r="G484" s="74"/>
      <c r="H484" s="74"/>
      <c r="I484" s="74"/>
      <c r="J484" s="74"/>
      <c r="K484" s="75"/>
      <c r="L484" s="76"/>
      <c r="M484" s="77"/>
      <c r="N484" s="30"/>
      <c r="O484" s="31"/>
      <c r="P484" s="31"/>
      <c r="Q484" s="31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customHeight="1">
      <c r="A485" s="71"/>
      <c r="B485" s="72"/>
      <c r="C485" s="72"/>
      <c r="D485" s="73"/>
      <c r="E485" s="74"/>
      <c r="F485" s="74"/>
      <c r="G485" s="74"/>
      <c r="H485" s="74"/>
      <c r="I485" s="74"/>
      <c r="J485" s="74"/>
      <c r="K485" s="75"/>
      <c r="L485" s="76"/>
      <c r="M485" s="77"/>
      <c r="N485" s="30"/>
      <c r="O485" s="31"/>
      <c r="P485" s="31"/>
      <c r="Q485" s="31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customHeight="1">
      <c r="A486" s="71"/>
      <c r="B486" s="72"/>
      <c r="C486" s="72"/>
      <c r="D486" s="73"/>
      <c r="E486" s="74"/>
      <c r="F486" s="74"/>
      <c r="G486" s="74"/>
      <c r="H486" s="74"/>
      <c r="I486" s="74"/>
      <c r="J486" s="74"/>
      <c r="K486" s="75"/>
      <c r="L486" s="76"/>
      <c r="M486" s="77"/>
      <c r="N486" s="30"/>
      <c r="O486" s="31"/>
      <c r="P486" s="31"/>
      <c r="Q486" s="31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customHeight="1">
      <c r="A487" s="71"/>
      <c r="B487" s="72"/>
      <c r="C487" s="72"/>
      <c r="D487" s="73"/>
      <c r="E487" s="74"/>
      <c r="F487" s="74"/>
      <c r="G487" s="74"/>
      <c r="H487" s="74"/>
      <c r="I487" s="74"/>
      <c r="J487" s="74"/>
      <c r="K487" s="75"/>
      <c r="L487" s="76"/>
      <c r="M487" s="77"/>
      <c r="N487" s="30"/>
      <c r="O487" s="31"/>
      <c r="P487" s="31"/>
      <c r="Q487" s="31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customHeight="1">
      <c r="A488" s="71"/>
      <c r="B488" s="72"/>
      <c r="C488" s="72"/>
      <c r="D488" s="73"/>
      <c r="E488" s="74"/>
      <c r="F488" s="74"/>
      <c r="G488" s="74"/>
      <c r="H488" s="74"/>
      <c r="I488" s="74"/>
      <c r="J488" s="74"/>
      <c r="K488" s="75"/>
      <c r="L488" s="76"/>
      <c r="M488" s="77"/>
      <c r="N488" s="30"/>
      <c r="O488" s="31"/>
      <c r="P488" s="31"/>
      <c r="Q488" s="31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customHeight="1">
      <c r="A489" s="71"/>
      <c r="B489" s="72"/>
      <c r="C489" s="72"/>
      <c r="D489" s="73"/>
      <c r="E489" s="74"/>
      <c r="F489" s="74"/>
      <c r="G489" s="74"/>
      <c r="H489" s="74"/>
      <c r="I489" s="74"/>
      <c r="J489" s="74"/>
      <c r="K489" s="75"/>
      <c r="L489" s="76"/>
      <c r="M489" s="77"/>
      <c r="N489" s="30"/>
      <c r="O489" s="31"/>
      <c r="P489" s="31"/>
      <c r="Q489" s="31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customHeight="1">
      <c r="A490" s="71"/>
      <c r="B490" s="72"/>
      <c r="C490" s="72"/>
      <c r="D490" s="73"/>
      <c r="E490" s="74"/>
      <c r="F490" s="74"/>
      <c r="G490" s="74"/>
      <c r="H490" s="74"/>
      <c r="I490" s="74"/>
      <c r="J490" s="74"/>
      <c r="K490" s="75"/>
      <c r="L490" s="76"/>
      <c r="M490" s="77"/>
      <c r="N490" s="30"/>
      <c r="O490" s="31"/>
      <c r="P490" s="31"/>
      <c r="Q490" s="31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customHeight="1">
      <c r="A491" s="71"/>
      <c r="B491" s="72"/>
      <c r="C491" s="72"/>
      <c r="D491" s="73"/>
      <c r="E491" s="74"/>
      <c r="F491" s="74"/>
      <c r="G491" s="74"/>
      <c r="H491" s="74"/>
      <c r="I491" s="74"/>
      <c r="J491" s="74"/>
      <c r="K491" s="75"/>
      <c r="L491" s="76"/>
      <c r="M491" s="77"/>
      <c r="N491" s="30"/>
      <c r="O491" s="31"/>
      <c r="P491" s="31"/>
      <c r="Q491" s="31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customHeight="1">
      <c r="A492" s="71"/>
      <c r="B492" s="72"/>
      <c r="C492" s="72"/>
      <c r="D492" s="73"/>
      <c r="E492" s="74"/>
      <c r="F492" s="74"/>
      <c r="G492" s="74"/>
      <c r="H492" s="74"/>
      <c r="I492" s="74"/>
      <c r="J492" s="74"/>
      <c r="K492" s="75"/>
      <c r="L492" s="76"/>
      <c r="M492" s="77"/>
      <c r="N492" s="30"/>
      <c r="O492" s="31"/>
      <c r="P492" s="31"/>
      <c r="Q492" s="31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customHeight="1">
      <c r="A493" s="71"/>
      <c r="B493" s="72"/>
      <c r="C493" s="72"/>
      <c r="D493" s="73"/>
      <c r="E493" s="74"/>
      <c r="F493" s="74"/>
      <c r="G493" s="74"/>
      <c r="H493" s="74"/>
      <c r="I493" s="74"/>
      <c r="J493" s="74"/>
      <c r="K493" s="75"/>
      <c r="L493" s="76"/>
      <c r="M493" s="77"/>
      <c r="N493" s="30"/>
      <c r="O493" s="31"/>
      <c r="P493" s="31"/>
      <c r="Q493" s="31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customHeight="1">
      <c r="A494" s="71"/>
      <c r="B494" s="72"/>
      <c r="C494" s="72"/>
      <c r="D494" s="73"/>
      <c r="E494" s="74"/>
      <c r="F494" s="74"/>
      <c r="G494" s="74"/>
      <c r="H494" s="74"/>
      <c r="I494" s="74"/>
      <c r="J494" s="74"/>
      <c r="K494" s="75"/>
      <c r="L494" s="76"/>
      <c r="M494" s="77"/>
      <c r="N494" s="30"/>
      <c r="O494" s="31"/>
      <c r="P494" s="31"/>
      <c r="Q494" s="31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customHeight="1">
      <c r="A495" s="71"/>
      <c r="B495" s="72"/>
      <c r="C495" s="72"/>
      <c r="D495" s="73"/>
      <c r="E495" s="74"/>
      <c r="F495" s="74"/>
      <c r="G495" s="74"/>
      <c r="H495" s="74"/>
      <c r="I495" s="74"/>
      <c r="J495" s="74"/>
      <c r="K495" s="75"/>
      <c r="L495" s="76"/>
      <c r="M495" s="77"/>
      <c r="N495" s="30"/>
      <c r="O495" s="31"/>
      <c r="P495" s="31"/>
      <c r="Q495" s="31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customHeight="1">
      <c r="A496" s="71"/>
      <c r="B496" s="72"/>
      <c r="C496" s="72"/>
      <c r="D496" s="73"/>
      <c r="E496" s="74"/>
      <c r="F496" s="74"/>
      <c r="G496" s="74"/>
      <c r="H496" s="74"/>
      <c r="I496" s="74"/>
      <c r="J496" s="74"/>
      <c r="K496" s="75"/>
      <c r="L496" s="76"/>
      <c r="M496" s="77"/>
      <c r="N496" s="30"/>
      <c r="O496" s="31"/>
      <c r="P496" s="31"/>
      <c r="Q496" s="31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customHeight="1">
      <c r="A497" s="71"/>
      <c r="B497" s="72"/>
      <c r="C497" s="72"/>
      <c r="D497" s="73"/>
      <c r="E497" s="74"/>
      <c r="F497" s="74"/>
      <c r="G497" s="74"/>
      <c r="H497" s="74"/>
      <c r="I497" s="74"/>
      <c r="J497" s="74"/>
      <c r="K497" s="75"/>
      <c r="L497" s="76"/>
      <c r="M497" s="77"/>
      <c r="N497" s="30"/>
      <c r="O497" s="31"/>
      <c r="P497" s="31"/>
      <c r="Q497" s="31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customHeight="1">
      <c r="A498" s="71"/>
      <c r="B498" s="72"/>
      <c r="C498" s="72"/>
      <c r="D498" s="73"/>
      <c r="E498" s="74"/>
      <c r="F498" s="74"/>
      <c r="G498" s="74"/>
      <c r="H498" s="74"/>
      <c r="I498" s="74"/>
      <c r="J498" s="74"/>
      <c r="K498" s="75"/>
      <c r="L498" s="76"/>
      <c r="M498" s="77"/>
      <c r="N498" s="30"/>
      <c r="O498" s="31"/>
      <c r="P498" s="31"/>
      <c r="Q498" s="31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customHeight="1">
      <c r="A499" s="71"/>
      <c r="B499" s="72"/>
      <c r="C499" s="72"/>
      <c r="D499" s="73"/>
      <c r="E499" s="74"/>
      <c r="F499" s="74"/>
      <c r="G499" s="74"/>
      <c r="H499" s="74"/>
      <c r="I499" s="74"/>
      <c r="J499" s="74"/>
      <c r="K499" s="75"/>
      <c r="L499" s="76"/>
      <c r="M499" s="77"/>
      <c r="N499" s="30"/>
      <c r="O499" s="31"/>
      <c r="P499" s="31"/>
      <c r="Q499" s="31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customHeight="1">
      <c r="A500" s="71"/>
      <c r="B500" s="72"/>
      <c r="C500" s="72"/>
      <c r="D500" s="73"/>
      <c r="E500" s="74"/>
      <c r="F500" s="74"/>
      <c r="G500" s="74"/>
      <c r="H500" s="74"/>
      <c r="I500" s="74"/>
      <c r="J500" s="74"/>
      <c r="K500" s="75"/>
      <c r="L500" s="76"/>
      <c r="M500" s="77"/>
      <c r="N500" s="30"/>
      <c r="O500" s="31"/>
      <c r="P500" s="31"/>
      <c r="Q500" s="31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customHeight="1">
      <c r="A501" s="71"/>
      <c r="B501" s="72"/>
      <c r="C501" s="72"/>
      <c r="D501" s="73"/>
      <c r="E501" s="74"/>
      <c r="F501" s="74"/>
      <c r="G501" s="74"/>
      <c r="H501" s="74"/>
      <c r="I501" s="74"/>
      <c r="J501" s="74"/>
      <c r="K501" s="75"/>
      <c r="L501" s="76"/>
      <c r="M501" s="77"/>
      <c r="N501" s="30"/>
      <c r="O501" s="31"/>
      <c r="P501" s="31"/>
      <c r="Q501" s="31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customHeight="1">
      <c r="A502" s="71"/>
      <c r="B502" s="72"/>
      <c r="C502" s="72"/>
      <c r="D502" s="73"/>
      <c r="E502" s="74"/>
      <c r="F502" s="74"/>
      <c r="G502" s="74"/>
      <c r="H502" s="74"/>
      <c r="I502" s="74"/>
      <c r="J502" s="74"/>
      <c r="K502" s="75"/>
      <c r="L502" s="76"/>
      <c r="M502" s="77"/>
      <c r="N502" s="30"/>
      <c r="O502" s="31"/>
      <c r="P502" s="31"/>
      <c r="Q502" s="31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customHeight="1">
      <c r="A503" s="71"/>
      <c r="B503" s="72"/>
      <c r="C503" s="72"/>
      <c r="D503" s="73"/>
      <c r="E503" s="74"/>
      <c r="F503" s="74"/>
      <c r="G503" s="74"/>
      <c r="H503" s="74"/>
      <c r="I503" s="74"/>
      <c r="J503" s="74"/>
      <c r="K503" s="75"/>
      <c r="L503" s="76"/>
      <c r="M503" s="77"/>
      <c r="N503" s="30"/>
      <c r="O503" s="31"/>
      <c r="P503" s="31"/>
      <c r="Q503" s="31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customHeight="1">
      <c r="A504" s="71"/>
      <c r="B504" s="72"/>
      <c r="C504" s="72"/>
      <c r="D504" s="73"/>
      <c r="E504" s="74"/>
      <c r="F504" s="74"/>
      <c r="G504" s="74"/>
      <c r="H504" s="74"/>
      <c r="I504" s="74"/>
      <c r="J504" s="74"/>
      <c r="K504" s="75"/>
      <c r="L504" s="76"/>
      <c r="M504" s="77"/>
      <c r="N504" s="30"/>
      <c r="O504" s="31"/>
      <c r="P504" s="31"/>
      <c r="Q504" s="31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customHeight="1">
      <c r="A505" s="71"/>
      <c r="B505" s="72"/>
      <c r="C505" s="72"/>
      <c r="D505" s="73"/>
      <c r="E505" s="74"/>
      <c r="F505" s="74"/>
      <c r="G505" s="74"/>
      <c r="H505" s="74"/>
      <c r="I505" s="74"/>
      <c r="J505" s="74"/>
      <c r="K505" s="75"/>
      <c r="L505" s="76"/>
      <c r="M505" s="77"/>
      <c r="N505" s="30"/>
      <c r="O505" s="31"/>
      <c r="P505" s="31"/>
      <c r="Q505" s="31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customHeight="1">
      <c r="A506" s="71"/>
      <c r="B506" s="72"/>
      <c r="C506" s="72"/>
      <c r="D506" s="73"/>
      <c r="E506" s="74"/>
      <c r="F506" s="74"/>
      <c r="G506" s="74"/>
      <c r="H506" s="74"/>
      <c r="I506" s="74"/>
      <c r="J506" s="74"/>
      <c r="K506" s="75"/>
      <c r="L506" s="76"/>
      <c r="M506" s="77"/>
      <c r="N506" s="30"/>
      <c r="O506" s="31"/>
      <c r="P506" s="31"/>
      <c r="Q506" s="31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customHeight="1">
      <c r="A507" s="71"/>
      <c r="B507" s="72"/>
      <c r="C507" s="72"/>
      <c r="D507" s="73"/>
      <c r="E507" s="74"/>
      <c r="F507" s="74"/>
      <c r="G507" s="74"/>
      <c r="H507" s="74"/>
      <c r="I507" s="74"/>
      <c r="J507" s="74"/>
      <c r="K507" s="75"/>
      <c r="L507" s="76"/>
      <c r="M507" s="77"/>
      <c r="N507" s="30"/>
      <c r="O507" s="31"/>
      <c r="P507" s="31"/>
      <c r="Q507" s="31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customHeight="1">
      <c r="A508" s="71"/>
      <c r="B508" s="72"/>
      <c r="C508" s="72"/>
      <c r="D508" s="73"/>
      <c r="E508" s="74"/>
      <c r="F508" s="74"/>
      <c r="G508" s="74"/>
      <c r="H508" s="74"/>
      <c r="I508" s="74"/>
      <c r="J508" s="74"/>
      <c r="K508" s="75"/>
      <c r="L508" s="76"/>
      <c r="M508" s="77"/>
      <c r="N508" s="30"/>
      <c r="O508" s="31"/>
      <c r="P508" s="31"/>
      <c r="Q508" s="31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customHeight="1">
      <c r="A509" s="71"/>
      <c r="B509" s="72"/>
      <c r="C509" s="72"/>
      <c r="D509" s="73"/>
      <c r="E509" s="74"/>
      <c r="F509" s="74"/>
      <c r="G509" s="74"/>
      <c r="H509" s="74"/>
      <c r="I509" s="74"/>
      <c r="J509" s="74"/>
      <c r="K509" s="75"/>
      <c r="L509" s="76"/>
      <c r="M509" s="77"/>
      <c r="N509" s="30"/>
      <c r="O509" s="31"/>
      <c r="P509" s="31"/>
      <c r="Q509" s="31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customHeight="1">
      <c r="A510" s="71"/>
      <c r="B510" s="72"/>
      <c r="C510" s="72"/>
      <c r="D510" s="73"/>
      <c r="E510" s="74"/>
      <c r="F510" s="74"/>
      <c r="G510" s="74"/>
      <c r="H510" s="74"/>
      <c r="I510" s="74"/>
      <c r="J510" s="74"/>
      <c r="K510" s="75"/>
      <c r="L510" s="76"/>
      <c r="M510" s="77"/>
      <c r="N510" s="30"/>
      <c r="O510" s="31"/>
      <c r="P510" s="31"/>
      <c r="Q510" s="31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customHeight="1">
      <c r="A511" s="71"/>
      <c r="B511" s="72"/>
      <c r="C511" s="72"/>
      <c r="D511" s="73"/>
      <c r="E511" s="74"/>
      <c r="F511" s="74"/>
      <c r="G511" s="74"/>
      <c r="H511" s="74"/>
      <c r="I511" s="74"/>
      <c r="J511" s="74"/>
      <c r="K511" s="75"/>
      <c r="L511" s="76"/>
      <c r="M511" s="77"/>
      <c r="N511" s="30"/>
      <c r="O511" s="31"/>
      <c r="P511" s="31"/>
      <c r="Q511" s="31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customHeight="1">
      <c r="A512" s="71"/>
      <c r="B512" s="72"/>
      <c r="C512" s="72"/>
      <c r="D512" s="73"/>
      <c r="E512" s="74"/>
      <c r="F512" s="74"/>
      <c r="G512" s="74"/>
      <c r="H512" s="74"/>
      <c r="I512" s="74"/>
      <c r="J512" s="74"/>
      <c r="K512" s="75"/>
      <c r="L512" s="76"/>
      <c r="M512" s="77"/>
      <c r="N512" s="30"/>
      <c r="O512" s="31"/>
      <c r="P512" s="31"/>
      <c r="Q512" s="31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customHeight="1">
      <c r="A513" s="71"/>
      <c r="B513" s="72"/>
      <c r="C513" s="72"/>
      <c r="D513" s="73"/>
      <c r="E513" s="74"/>
      <c r="F513" s="74"/>
      <c r="G513" s="74"/>
      <c r="H513" s="74"/>
      <c r="I513" s="74"/>
      <c r="J513" s="74"/>
      <c r="K513" s="75"/>
      <c r="L513" s="76"/>
      <c r="M513" s="77"/>
      <c r="N513" s="30"/>
      <c r="O513" s="31"/>
      <c r="P513" s="31"/>
      <c r="Q513" s="31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customHeight="1">
      <c r="A514" s="71"/>
      <c r="B514" s="72"/>
      <c r="C514" s="72"/>
      <c r="D514" s="73"/>
      <c r="E514" s="74"/>
      <c r="F514" s="74"/>
      <c r="G514" s="74"/>
      <c r="H514" s="74"/>
      <c r="I514" s="74"/>
      <c r="J514" s="74"/>
      <c r="K514" s="75"/>
      <c r="L514" s="76"/>
      <c r="M514" s="77"/>
      <c r="N514" s="30"/>
      <c r="O514" s="31"/>
      <c r="P514" s="31"/>
      <c r="Q514" s="31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customHeight="1">
      <c r="A515" s="71"/>
      <c r="B515" s="72"/>
      <c r="C515" s="72"/>
      <c r="D515" s="73"/>
      <c r="E515" s="74"/>
      <c r="F515" s="74"/>
      <c r="G515" s="74"/>
      <c r="H515" s="74"/>
      <c r="I515" s="74"/>
      <c r="J515" s="74"/>
      <c r="K515" s="75"/>
      <c r="L515" s="76"/>
      <c r="M515" s="77"/>
      <c r="N515" s="30"/>
      <c r="O515" s="31"/>
      <c r="P515" s="31"/>
      <c r="Q515" s="31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customHeight="1">
      <c r="A516" s="71"/>
      <c r="B516" s="72"/>
      <c r="C516" s="72"/>
      <c r="D516" s="73"/>
      <c r="E516" s="74"/>
      <c r="F516" s="74"/>
      <c r="G516" s="74"/>
      <c r="H516" s="74"/>
      <c r="I516" s="74"/>
      <c r="J516" s="74"/>
      <c r="K516" s="75"/>
      <c r="L516" s="76"/>
      <c r="M516" s="77"/>
      <c r="N516" s="30"/>
      <c r="O516" s="31"/>
      <c r="P516" s="31"/>
      <c r="Q516" s="31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customHeight="1">
      <c r="A517" s="71"/>
      <c r="B517" s="72"/>
      <c r="C517" s="72"/>
      <c r="D517" s="73"/>
      <c r="E517" s="74"/>
      <c r="F517" s="74"/>
      <c r="G517" s="74"/>
      <c r="H517" s="74"/>
      <c r="I517" s="74"/>
      <c r="J517" s="74"/>
      <c r="K517" s="75"/>
      <c r="L517" s="76"/>
      <c r="M517" s="77"/>
      <c r="N517" s="30"/>
      <c r="O517" s="31"/>
      <c r="P517" s="31"/>
      <c r="Q517" s="31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customHeight="1">
      <c r="A518" s="71"/>
      <c r="B518" s="72"/>
      <c r="C518" s="72"/>
      <c r="D518" s="73"/>
      <c r="E518" s="74"/>
      <c r="F518" s="74"/>
      <c r="G518" s="74"/>
      <c r="H518" s="74"/>
      <c r="I518" s="74"/>
      <c r="J518" s="74"/>
      <c r="K518" s="75"/>
      <c r="L518" s="76"/>
      <c r="M518" s="77"/>
      <c r="N518" s="30"/>
      <c r="O518" s="31"/>
      <c r="P518" s="31"/>
      <c r="Q518" s="31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customHeight="1">
      <c r="A519" s="71"/>
      <c r="B519" s="72"/>
      <c r="C519" s="72"/>
      <c r="D519" s="73"/>
      <c r="E519" s="74"/>
      <c r="F519" s="74"/>
      <c r="G519" s="74"/>
      <c r="H519" s="74"/>
      <c r="I519" s="74"/>
      <c r="J519" s="74"/>
      <c r="K519" s="75"/>
      <c r="L519" s="76"/>
      <c r="M519" s="77"/>
      <c r="N519" s="30"/>
      <c r="O519" s="31"/>
      <c r="P519" s="31"/>
      <c r="Q519" s="31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customHeight="1">
      <c r="A520" s="71"/>
      <c r="B520" s="72"/>
      <c r="C520" s="72"/>
      <c r="D520" s="73"/>
      <c r="E520" s="74"/>
      <c r="F520" s="74"/>
      <c r="G520" s="74"/>
      <c r="H520" s="74"/>
      <c r="I520" s="74"/>
      <c r="J520" s="74"/>
      <c r="K520" s="75"/>
      <c r="L520" s="76"/>
      <c r="M520" s="77"/>
      <c r="N520" s="30"/>
      <c r="O520" s="31"/>
      <c r="P520" s="31"/>
      <c r="Q520" s="31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customHeight="1">
      <c r="A521" s="71"/>
      <c r="B521" s="72"/>
      <c r="C521" s="72"/>
      <c r="D521" s="73"/>
      <c r="E521" s="74"/>
      <c r="F521" s="74"/>
      <c r="G521" s="74"/>
      <c r="H521" s="74"/>
      <c r="I521" s="74"/>
      <c r="J521" s="74"/>
      <c r="K521" s="75"/>
      <c r="L521" s="76"/>
      <c r="M521" s="77"/>
      <c r="N521" s="30"/>
      <c r="O521" s="31"/>
      <c r="P521" s="31"/>
      <c r="Q521" s="31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customHeight="1">
      <c r="A522" s="71"/>
      <c r="B522" s="72"/>
      <c r="C522" s="72"/>
      <c r="D522" s="73"/>
      <c r="E522" s="74"/>
      <c r="F522" s="74"/>
      <c r="G522" s="74"/>
      <c r="H522" s="74"/>
      <c r="I522" s="74"/>
      <c r="J522" s="74"/>
      <c r="K522" s="75"/>
      <c r="L522" s="76"/>
      <c r="M522" s="77"/>
      <c r="N522" s="30"/>
      <c r="O522" s="31"/>
      <c r="P522" s="31"/>
      <c r="Q522" s="31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customHeight="1">
      <c r="A523" s="71"/>
      <c r="B523" s="72"/>
      <c r="C523" s="72"/>
      <c r="D523" s="73"/>
      <c r="E523" s="74"/>
      <c r="F523" s="74"/>
      <c r="G523" s="74"/>
      <c r="H523" s="74"/>
      <c r="I523" s="74"/>
      <c r="J523" s="74"/>
      <c r="K523" s="75"/>
      <c r="L523" s="76"/>
      <c r="M523" s="77"/>
      <c r="N523" s="30"/>
      <c r="O523" s="31"/>
      <c r="P523" s="31"/>
      <c r="Q523" s="31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customHeight="1">
      <c r="A524" s="71"/>
      <c r="B524" s="72"/>
      <c r="C524" s="72"/>
      <c r="D524" s="73"/>
      <c r="E524" s="74"/>
      <c r="F524" s="74"/>
      <c r="G524" s="74"/>
      <c r="H524" s="74"/>
      <c r="I524" s="74"/>
      <c r="J524" s="74"/>
      <c r="K524" s="75"/>
      <c r="L524" s="76"/>
      <c r="M524" s="77"/>
      <c r="N524" s="30"/>
      <c r="O524" s="31"/>
      <c r="P524" s="31"/>
      <c r="Q524" s="31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customHeight="1">
      <c r="A525" s="71"/>
      <c r="B525" s="72"/>
      <c r="C525" s="72"/>
      <c r="D525" s="73"/>
      <c r="E525" s="74"/>
      <c r="F525" s="74"/>
      <c r="G525" s="74"/>
      <c r="H525" s="74"/>
      <c r="I525" s="74"/>
      <c r="J525" s="74"/>
      <c r="K525" s="75"/>
      <c r="L525" s="76"/>
      <c r="M525" s="77"/>
      <c r="N525" s="30"/>
      <c r="O525" s="31"/>
      <c r="P525" s="31"/>
      <c r="Q525" s="31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customHeight="1">
      <c r="A526" s="71"/>
      <c r="B526" s="72"/>
      <c r="C526" s="72"/>
      <c r="D526" s="73"/>
      <c r="E526" s="74"/>
      <c r="F526" s="74"/>
      <c r="G526" s="74"/>
      <c r="H526" s="74"/>
      <c r="I526" s="74"/>
      <c r="J526" s="74"/>
      <c r="K526" s="75"/>
      <c r="L526" s="76"/>
      <c r="M526" s="77"/>
      <c r="N526" s="30"/>
      <c r="O526" s="31"/>
      <c r="P526" s="31"/>
      <c r="Q526" s="31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customHeight="1">
      <c r="A527" s="71"/>
      <c r="B527" s="72"/>
      <c r="C527" s="72"/>
      <c r="D527" s="73"/>
      <c r="E527" s="74"/>
      <c r="F527" s="74"/>
      <c r="G527" s="74"/>
      <c r="H527" s="74"/>
      <c r="I527" s="74"/>
      <c r="J527" s="74"/>
      <c r="K527" s="75"/>
      <c r="L527" s="76"/>
      <c r="M527" s="77"/>
      <c r="N527" s="30"/>
      <c r="O527" s="31"/>
      <c r="P527" s="31"/>
      <c r="Q527" s="31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customHeight="1">
      <c r="A528" s="71"/>
      <c r="B528" s="72"/>
      <c r="C528" s="72"/>
      <c r="D528" s="73"/>
      <c r="E528" s="74"/>
      <c r="F528" s="74"/>
      <c r="G528" s="74"/>
      <c r="H528" s="74"/>
      <c r="I528" s="74"/>
      <c r="J528" s="74"/>
      <c r="K528" s="75"/>
      <c r="L528" s="76"/>
      <c r="M528" s="77"/>
      <c r="N528" s="30"/>
      <c r="O528" s="31"/>
      <c r="P528" s="31"/>
      <c r="Q528" s="31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customHeight="1">
      <c r="A529" s="71"/>
      <c r="B529" s="72"/>
      <c r="C529" s="72"/>
      <c r="D529" s="73"/>
      <c r="E529" s="74"/>
      <c r="F529" s="74"/>
      <c r="G529" s="74"/>
      <c r="H529" s="74"/>
      <c r="I529" s="74"/>
      <c r="J529" s="74"/>
      <c r="K529" s="75"/>
      <c r="L529" s="76"/>
      <c r="M529" s="77"/>
      <c r="N529" s="30"/>
      <c r="O529" s="31"/>
      <c r="P529" s="31"/>
      <c r="Q529" s="31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customHeight="1">
      <c r="A530" s="71"/>
      <c r="B530" s="72"/>
      <c r="C530" s="72"/>
      <c r="D530" s="73"/>
      <c r="E530" s="74"/>
      <c r="F530" s="74"/>
      <c r="G530" s="74"/>
      <c r="H530" s="74"/>
      <c r="I530" s="74"/>
      <c r="J530" s="74"/>
      <c r="K530" s="75"/>
      <c r="L530" s="76"/>
      <c r="M530" s="77"/>
      <c r="N530" s="30"/>
      <c r="O530" s="31"/>
      <c r="P530" s="31"/>
      <c r="Q530" s="31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customHeight="1">
      <c r="A531" s="71"/>
      <c r="B531" s="72"/>
      <c r="C531" s="72"/>
      <c r="D531" s="73"/>
      <c r="E531" s="74"/>
      <c r="F531" s="74"/>
      <c r="G531" s="74"/>
      <c r="H531" s="74"/>
      <c r="I531" s="74"/>
      <c r="J531" s="74"/>
      <c r="K531" s="75"/>
      <c r="L531" s="76"/>
      <c r="M531" s="77"/>
      <c r="N531" s="30"/>
      <c r="O531" s="31"/>
      <c r="P531" s="31"/>
      <c r="Q531" s="31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customHeight="1">
      <c r="A532" s="71"/>
      <c r="B532" s="72"/>
      <c r="C532" s="72"/>
      <c r="D532" s="73"/>
      <c r="E532" s="74"/>
      <c r="F532" s="74"/>
      <c r="G532" s="74"/>
      <c r="H532" s="74"/>
      <c r="I532" s="74"/>
      <c r="J532" s="74"/>
      <c r="K532" s="75"/>
      <c r="L532" s="76"/>
      <c r="M532" s="77"/>
      <c r="N532" s="30"/>
      <c r="O532" s="31"/>
      <c r="P532" s="31"/>
      <c r="Q532" s="31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customHeight="1">
      <c r="A533" s="71"/>
      <c r="B533" s="72"/>
      <c r="C533" s="72"/>
      <c r="D533" s="73"/>
      <c r="E533" s="74"/>
      <c r="F533" s="74"/>
      <c r="G533" s="74"/>
      <c r="H533" s="74"/>
      <c r="I533" s="74"/>
      <c r="J533" s="74"/>
      <c r="K533" s="75"/>
      <c r="L533" s="76"/>
      <c r="M533" s="77"/>
      <c r="N533" s="30"/>
      <c r="O533" s="31"/>
      <c r="P533" s="31"/>
      <c r="Q533" s="31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customHeight="1">
      <c r="A534" s="71"/>
      <c r="B534" s="72"/>
      <c r="C534" s="72"/>
      <c r="D534" s="73"/>
      <c r="E534" s="74"/>
      <c r="F534" s="74"/>
      <c r="G534" s="74"/>
      <c r="H534" s="74"/>
      <c r="I534" s="74"/>
      <c r="J534" s="74"/>
      <c r="K534" s="75"/>
      <c r="L534" s="76"/>
      <c r="M534" s="77"/>
      <c r="N534" s="30"/>
      <c r="O534" s="31"/>
      <c r="P534" s="31"/>
      <c r="Q534" s="31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customHeight="1">
      <c r="A535" s="71"/>
      <c r="B535" s="72"/>
      <c r="C535" s="72"/>
      <c r="D535" s="73"/>
      <c r="E535" s="74"/>
      <c r="F535" s="74"/>
      <c r="G535" s="74"/>
      <c r="H535" s="74"/>
      <c r="I535" s="74"/>
      <c r="J535" s="74"/>
      <c r="K535" s="75"/>
      <c r="L535" s="76"/>
      <c r="M535" s="77"/>
      <c r="N535" s="30"/>
      <c r="O535" s="31"/>
      <c r="P535" s="31"/>
      <c r="Q535" s="31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customHeight="1">
      <c r="A536" s="71"/>
      <c r="B536" s="72"/>
      <c r="C536" s="72"/>
      <c r="D536" s="73"/>
      <c r="E536" s="74"/>
      <c r="F536" s="74"/>
      <c r="G536" s="74"/>
      <c r="H536" s="74"/>
      <c r="I536" s="74"/>
      <c r="J536" s="74"/>
      <c r="K536" s="75"/>
      <c r="L536" s="76"/>
      <c r="M536" s="77"/>
      <c r="N536" s="30"/>
      <c r="O536" s="31"/>
      <c r="P536" s="31"/>
      <c r="Q536" s="31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customHeight="1">
      <c r="A537" s="71"/>
      <c r="B537" s="72"/>
      <c r="C537" s="72"/>
      <c r="D537" s="73"/>
      <c r="E537" s="74"/>
      <c r="F537" s="74"/>
      <c r="G537" s="74"/>
      <c r="H537" s="74"/>
      <c r="I537" s="74"/>
      <c r="J537" s="74"/>
      <c r="K537" s="75"/>
      <c r="L537" s="76"/>
      <c r="M537" s="77"/>
      <c r="N537" s="30"/>
      <c r="O537" s="31"/>
      <c r="P537" s="31"/>
      <c r="Q537" s="31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customHeight="1">
      <c r="A538" s="71"/>
      <c r="B538" s="72"/>
      <c r="C538" s="72"/>
      <c r="D538" s="73"/>
      <c r="E538" s="74"/>
      <c r="F538" s="74"/>
      <c r="G538" s="74"/>
      <c r="H538" s="74"/>
      <c r="I538" s="74"/>
      <c r="J538" s="74"/>
      <c r="K538" s="75"/>
      <c r="L538" s="76"/>
      <c r="M538" s="77"/>
      <c r="N538" s="30"/>
      <c r="O538" s="31"/>
      <c r="P538" s="31"/>
      <c r="Q538" s="31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customHeight="1">
      <c r="A539" s="71"/>
      <c r="B539" s="72"/>
      <c r="C539" s="72"/>
      <c r="D539" s="73"/>
      <c r="E539" s="74"/>
      <c r="F539" s="74"/>
      <c r="G539" s="74"/>
      <c r="H539" s="74"/>
      <c r="I539" s="74"/>
      <c r="J539" s="74"/>
      <c r="K539" s="75"/>
      <c r="L539" s="76"/>
      <c r="M539" s="77"/>
      <c r="N539" s="30"/>
      <c r="O539" s="31"/>
      <c r="P539" s="31"/>
      <c r="Q539" s="31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customHeight="1">
      <c r="A540" s="71"/>
      <c r="B540" s="72"/>
      <c r="C540" s="72"/>
      <c r="D540" s="73"/>
      <c r="E540" s="74"/>
      <c r="F540" s="74"/>
      <c r="G540" s="74"/>
      <c r="H540" s="74"/>
      <c r="I540" s="74"/>
      <c r="J540" s="74"/>
      <c r="K540" s="75"/>
      <c r="L540" s="76"/>
      <c r="M540" s="77"/>
      <c r="N540" s="30"/>
      <c r="O540" s="31"/>
      <c r="P540" s="31"/>
      <c r="Q540" s="31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customHeight="1">
      <c r="A541" s="71"/>
      <c r="B541" s="72"/>
      <c r="C541" s="72"/>
      <c r="D541" s="73"/>
      <c r="E541" s="74"/>
      <c r="F541" s="74"/>
      <c r="G541" s="74"/>
      <c r="H541" s="74"/>
      <c r="I541" s="74"/>
      <c r="J541" s="74"/>
      <c r="K541" s="75"/>
      <c r="L541" s="76"/>
      <c r="M541" s="77"/>
      <c r="N541" s="30"/>
      <c r="O541" s="31"/>
      <c r="P541" s="31"/>
      <c r="Q541" s="31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customHeight="1">
      <c r="A542" s="71"/>
      <c r="B542" s="72"/>
      <c r="C542" s="72"/>
      <c r="D542" s="73"/>
      <c r="E542" s="74"/>
      <c r="F542" s="74"/>
      <c r="G542" s="74"/>
      <c r="H542" s="74"/>
      <c r="I542" s="74"/>
      <c r="J542" s="74"/>
      <c r="K542" s="75"/>
      <c r="L542" s="76"/>
      <c r="M542" s="77"/>
      <c r="N542" s="30"/>
      <c r="O542" s="31"/>
      <c r="P542" s="31"/>
      <c r="Q542" s="31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customHeight="1">
      <c r="A543" s="71"/>
      <c r="B543" s="72"/>
      <c r="C543" s="72"/>
      <c r="D543" s="73"/>
      <c r="E543" s="74"/>
      <c r="F543" s="74"/>
      <c r="G543" s="74"/>
      <c r="H543" s="74"/>
      <c r="I543" s="74"/>
      <c r="J543" s="74"/>
      <c r="K543" s="75"/>
      <c r="L543" s="76"/>
      <c r="M543" s="77"/>
      <c r="N543" s="30"/>
      <c r="O543" s="31"/>
      <c r="P543" s="31"/>
      <c r="Q543" s="31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customHeight="1">
      <c r="A544" s="71"/>
      <c r="B544" s="72"/>
      <c r="C544" s="72"/>
      <c r="D544" s="73"/>
      <c r="E544" s="74"/>
      <c r="F544" s="74"/>
      <c r="G544" s="74"/>
      <c r="H544" s="74"/>
      <c r="I544" s="74"/>
      <c r="J544" s="74"/>
      <c r="K544" s="75"/>
      <c r="L544" s="76"/>
      <c r="M544" s="77"/>
      <c r="N544" s="30"/>
      <c r="O544" s="31"/>
      <c r="P544" s="31"/>
      <c r="Q544" s="31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customHeight="1">
      <c r="A545" s="71"/>
      <c r="B545" s="72"/>
      <c r="C545" s="72"/>
      <c r="D545" s="73"/>
      <c r="E545" s="74"/>
      <c r="F545" s="74"/>
      <c r="G545" s="74"/>
      <c r="H545" s="74"/>
      <c r="I545" s="74"/>
      <c r="J545" s="74"/>
      <c r="K545" s="75"/>
      <c r="L545" s="76"/>
      <c r="M545" s="77"/>
      <c r="N545" s="30"/>
      <c r="O545" s="31"/>
      <c r="P545" s="31"/>
      <c r="Q545" s="31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customHeight="1">
      <c r="A546" s="71"/>
      <c r="B546" s="72"/>
      <c r="C546" s="72"/>
      <c r="D546" s="73"/>
      <c r="E546" s="74"/>
      <c r="F546" s="74"/>
      <c r="G546" s="74"/>
      <c r="H546" s="74"/>
      <c r="I546" s="74"/>
      <c r="J546" s="74"/>
      <c r="K546" s="75"/>
      <c r="L546" s="76"/>
      <c r="M546" s="77"/>
      <c r="N546" s="30"/>
      <c r="O546" s="31"/>
      <c r="P546" s="31"/>
      <c r="Q546" s="31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customHeight="1">
      <c r="A547" s="71"/>
      <c r="B547" s="72"/>
      <c r="C547" s="72"/>
      <c r="D547" s="73"/>
      <c r="E547" s="74"/>
      <c r="F547" s="74"/>
      <c r="G547" s="74"/>
      <c r="H547" s="74"/>
      <c r="I547" s="74"/>
      <c r="J547" s="74"/>
      <c r="K547" s="75"/>
      <c r="L547" s="76"/>
      <c r="M547" s="77"/>
      <c r="N547" s="30"/>
      <c r="O547" s="31"/>
      <c r="P547" s="31"/>
      <c r="Q547" s="31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customHeight="1">
      <c r="A548" s="71"/>
      <c r="B548" s="72"/>
      <c r="C548" s="72"/>
      <c r="D548" s="73"/>
      <c r="E548" s="74"/>
      <c r="F548" s="74"/>
      <c r="G548" s="74"/>
      <c r="H548" s="74"/>
      <c r="I548" s="74"/>
      <c r="J548" s="74"/>
      <c r="K548" s="75"/>
      <c r="L548" s="76"/>
      <c r="M548" s="77"/>
      <c r="N548" s="30"/>
      <c r="O548" s="31"/>
      <c r="P548" s="31"/>
      <c r="Q548" s="31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customHeight="1">
      <c r="A549" s="71"/>
      <c r="B549" s="72"/>
      <c r="C549" s="72"/>
      <c r="D549" s="73"/>
      <c r="E549" s="74"/>
      <c r="F549" s="74"/>
      <c r="G549" s="74"/>
      <c r="H549" s="74"/>
      <c r="I549" s="74"/>
      <c r="J549" s="74"/>
      <c r="K549" s="75"/>
      <c r="L549" s="76"/>
      <c r="M549" s="77"/>
      <c r="N549" s="30"/>
      <c r="O549" s="31"/>
      <c r="P549" s="31"/>
      <c r="Q549" s="31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customHeight="1">
      <c r="A550" s="71"/>
      <c r="B550" s="72"/>
      <c r="C550" s="72"/>
      <c r="D550" s="73"/>
      <c r="E550" s="74"/>
      <c r="F550" s="74"/>
      <c r="G550" s="74"/>
      <c r="H550" s="74"/>
      <c r="I550" s="74"/>
      <c r="J550" s="74"/>
      <c r="K550" s="75"/>
      <c r="L550" s="76"/>
      <c r="M550" s="77"/>
      <c r="N550" s="30"/>
      <c r="O550" s="31"/>
      <c r="P550" s="31"/>
      <c r="Q550" s="31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customHeight="1">
      <c r="A551" s="71"/>
      <c r="B551" s="72"/>
      <c r="C551" s="72"/>
      <c r="D551" s="73"/>
      <c r="E551" s="74"/>
      <c r="F551" s="74"/>
      <c r="G551" s="74"/>
      <c r="H551" s="74"/>
      <c r="I551" s="74"/>
      <c r="J551" s="74"/>
      <c r="K551" s="75"/>
      <c r="L551" s="76"/>
      <c r="M551" s="77"/>
      <c r="N551" s="30"/>
      <c r="O551" s="31"/>
      <c r="P551" s="31"/>
      <c r="Q551" s="31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customHeight="1">
      <c r="A552" s="71"/>
      <c r="B552" s="72"/>
      <c r="C552" s="72"/>
      <c r="D552" s="73"/>
      <c r="E552" s="74"/>
      <c r="F552" s="74"/>
      <c r="G552" s="74"/>
      <c r="H552" s="74"/>
      <c r="I552" s="74"/>
      <c r="J552" s="74"/>
      <c r="K552" s="75"/>
      <c r="L552" s="76"/>
      <c r="M552" s="77"/>
      <c r="N552" s="30"/>
      <c r="O552" s="31"/>
      <c r="P552" s="31"/>
      <c r="Q552" s="31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customHeight="1">
      <c r="A553" s="71"/>
      <c r="B553" s="72"/>
      <c r="C553" s="72"/>
      <c r="D553" s="73"/>
      <c r="E553" s="74"/>
      <c r="F553" s="74"/>
      <c r="G553" s="74"/>
      <c r="H553" s="74"/>
      <c r="I553" s="74"/>
      <c r="J553" s="74"/>
      <c r="K553" s="75"/>
      <c r="L553" s="76"/>
      <c r="M553" s="77"/>
      <c r="N553" s="30"/>
      <c r="O553" s="31"/>
      <c r="P553" s="31"/>
      <c r="Q553" s="31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customHeight="1">
      <c r="A554" s="71"/>
      <c r="B554" s="72"/>
      <c r="C554" s="72"/>
      <c r="D554" s="73"/>
      <c r="E554" s="74"/>
      <c r="F554" s="74"/>
      <c r="G554" s="74"/>
      <c r="H554" s="74"/>
      <c r="I554" s="74"/>
      <c r="J554" s="74"/>
      <c r="K554" s="75"/>
      <c r="L554" s="76"/>
      <c r="M554" s="77"/>
      <c r="N554" s="30"/>
      <c r="O554" s="31"/>
      <c r="P554" s="31"/>
      <c r="Q554" s="31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customHeight="1">
      <c r="A555" s="71"/>
      <c r="B555" s="72"/>
      <c r="C555" s="72"/>
      <c r="D555" s="73"/>
      <c r="E555" s="74"/>
      <c r="F555" s="74"/>
      <c r="G555" s="74"/>
      <c r="H555" s="74"/>
      <c r="I555" s="74"/>
      <c r="J555" s="74"/>
      <c r="K555" s="75"/>
      <c r="L555" s="76"/>
      <c r="M555" s="77"/>
      <c r="N555" s="30"/>
      <c r="O555" s="31"/>
      <c r="P555" s="31"/>
      <c r="Q555" s="31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customHeight="1">
      <c r="A556" s="71"/>
      <c r="B556" s="72"/>
      <c r="C556" s="72"/>
      <c r="D556" s="73"/>
      <c r="E556" s="74"/>
      <c r="F556" s="74"/>
      <c r="G556" s="74"/>
      <c r="H556" s="74"/>
      <c r="I556" s="74"/>
      <c r="J556" s="74"/>
      <c r="K556" s="75"/>
      <c r="L556" s="76"/>
      <c r="M556" s="77"/>
      <c r="N556" s="30"/>
      <c r="O556" s="31"/>
      <c r="P556" s="31"/>
      <c r="Q556" s="31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customHeight="1">
      <c r="A557" s="71"/>
      <c r="B557" s="72"/>
      <c r="C557" s="72"/>
      <c r="D557" s="73"/>
      <c r="E557" s="74"/>
      <c r="F557" s="74"/>
      <c r="G557" s="74"/>
      <c r="H557" s="74"/>
      <c r="I557" s="74"/>
      <c r="J557" s="74"/>
      <c r="K557" s="75"/>
      <c r="L557" s="76"/>
      <c r="M557" s="77"/>
      <c r="N557" s="30"/>
      <c r="O557" s="31"/>
      <c r="P557" s="31"/>
      <c r="Q557" s="31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customHeight="1">
      <c r="A558" s="71"/>
      <c r="B558" s="72"/>
      <c r="C558" s="72"/>
      <c r="D558" s="73"/>
      <c r="E558" s="74"/>
      <c r="F558" s="74"/>
      <c r="G558" s="74"/>
      <c r="H558" s="74"/>
      <c r="I558" s="74"/>
      <c r="J558" s="74"/>
      <c r="K558" s="75"/>
      <c r="L558" s="76"/>
      <c r="M558" s="77"/>
      <c r="N558" s="30"/>
      <c r="O558" s="31"/>
      <c r="P558" s="31"/>
      <c r="Q558" s="31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customHeight="1">
      <c r="A559" s="71"/>
      <c r="B559" s="72"/>
      <c r="C559" s="72"/>
      <c r="D559" s="73"/>
      <c r="E559" s="74"/>
      <c r="F559" s="74"/>
      <c r="G559" s="74"/>
      <c r="H559" s="74"/>
      <c r="I559" s="74"/>
      <c r="J559" s="74"/>
      <c r="K559" s="75"/>
      <c r="L559" s="76"/>
      <c r="M559" s="77"/>
      <c r="N559" s="30"/>
      <c r="O559" s="31"/>
      <c r="P559" s="31"/>
      <c r="Q559" s="31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customHeight="1">
      <c r="A560" s="71"/>
      <c r="B560" s="72"/>
      <c r="C560" s="72"/>
      <c r="D560" s="73"/>
      <c r="E560" s="74"/>
      <c r="F560" s="74"/>
      <c r="G560" s="74"/>
      <c r="H560" s="74"/>
      <c r="I560" s="74"/>
      <c r="J560" s="74"/>
      <c r="K560" s="75"/>
      <c r="L560" s="76"/>
      <c r="M560" s="77"/>
      <c r="N560" s="30"/>
      <c r="O560" s="31"/>
      <c r="P560" s="31"/>
      <c r="Q560" s="31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customHeight="1">
      <c r="A561" s="71"/>
      <c r="B561" s="72"/>
      <c r="C561" s="72"/>
      <c r="D561" s="73"/>
      <c r="E561" s="74"/>
      <c r="F561" s="74"/>
      <c r="G561" s="74"/>
      <c r="H561" s="74"/>
      <c r="I561" s="74"/>
      <c r="J561" s="74"/>
      <c r="K561" s="75"/>
      <c r="L561" s="76"/>
      <c r="M561" s="77"/>
      <c r="N561" s="30"/>
      <c r="O561" s="31"/>
      <c r="P561" s="31"/>
      <c r="Q561" s="31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customHeight="1">
      <c r="A562" s="71"/>
      <c r="B562" s="72"/>
      <c r="C562" s="72"/>
      <c r="D562" s="73"/>
      <c r="E562" s="74"/>
      <c r="F562" s="74"/>
      <c r="G562" s="74"/>
      <c r="H562" s="74"/>
      <c r="I562" s="74"/>
      <c r="J562" s="74"/>
      <c r="K562" s="75"/>
      <c r="L562" s="76"/>
      <c r="M562" s="77"/>
      <c r="N562" s="30"/>
      <c r="O562" s="31"/>
      <c r="P562" s="31"/>
      <c r="Q562" s="31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customHeight="1">
      <c r="A563" s="71"/>
      <c r="B563" s="72"/>
      <c r="C563" s="72"/>
      <c r="D563" s="73"/>
      <c r="E563" s="74"/>
      <c r="F563" s="74"/>
      <c r="G563" s="74"/>
      <c r="H563" s="74"/>
      <c r="I563" s="74"/>
      <c r="J563" s="74"/>
      <c r="K563" s="75"/>
      <c r="L563" s="76"/>
      <c r="M563" s="77"/>
      <c r="N563" s="30"/>
      <c r="O563" s="31"/>
      <c r="P563" s="31"/>
      <c r="Q563" s="31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customHeight="1">
      <c r="A564" s="71"/>
      <c r="B564" s="72"/>
      <c r="C564" s="72"/>
      <c r="D564" s="73"/>
      <c r="E564" s="74"/>
      <c r="F564" s="74"/>
      <c r="G564" s="74"/>
      <c r="H564" s="74"/>
      <c r="I564" s="74"/>
      <c r="J564" s="74"/>
      <c r="K564" s="75"/>
      <c r="L564" s="76"/>
      <c r="M564" s="77"/>
      <c r="N564" s="30"/>
      <c r="O564" s="31"/>
      <c r="P564" s="31"/>
      <c r="Q564" s="31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customHeight="1">
      <c r="A565" s="71"/>
      <c r="B565" s="72"/>
      <c r="C565" s="72"/>
      <c r="D565" s="73"/>
      <c r="E565" s="74"/>
      <c r="F565" s="74"/>
      <c r="G565" s="74"/>
      <c r="H565" s="74"/>
      <c r="I565" s="74"/>
      <c r="J565" s="74"/>
      <c r="K565" s="75"/>
      <c r="L565" s="76"/>
      <c r="M565" s="77"/>
      <c r="N565" s="30"/>
      <c r="O565" s="31"/>
      <c r="P565" s="31"/>
      <c r="Q565" s="31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customHeight="1">
      <c r="A566" s="71"/>
      <c r="B566" s="72"/>
      <c r="C566" s="72"/>
      <c r="D566" s="73"/>
      <c r="E566" s="74"/>
      <c r="F566" s="74"/>
      <c r="G566" s="74"/>
      <c r="H566" s="74"/>
      <c r="I566" s="74"/>
      <c r="J566" s="74"/>
      <c r="K566" s="75"/>
      <c r="L566" s="76"/>
      <c r="M566" s="77"/>
      <c r="N566" s="30"/>
      <c r="O566" s="31"/>
      <c r="P566" s="31"/>
      <c r="Q566" s="31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customHeight="1">
      <c r="A567" s="71"/>
      <c r="B567" s="72"/>
      <c r="C567" s="72"/>
      <c r="D567" s="73"/>
      <c r="E567" s="74"/>
      <c r="F567" s="74"/>
      <c r="G567" s="74"/>
      <c r="H567" s="74"/>
      <c r="I567" s="74"/>
      <c r="J567" s="74"/>
      <c r="K567" s="75"/>
      <c r="L567" s="76"/>
      <c r="M567" s="77"/>
      <c r="N567" s="30"/>
      <c r="O567" s="31"/>
      <c r="P567" s="31"/>
      <c r="Q567" s="31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customHeight="1">
      <c r="A568" s="71"/>
      <c r="B568" s="72"/>
      <c r="C568" s="72"/>
      <c r="D568" s="73"/>
      <c r="E568" s="74"/>
      <c r="F568" s="74"/>
      <c r="G568" s="74"/>
      <c r="H568" s="74"/>
      <c r="I568" s="74"/>
      <c r="J568" s="74"/>
      <c r="K568" s="75"/>
      <c r="L568" s="76"/>
      <c r="M568" s="77"/>
      <c r="N568" s="30"/>
      <c r="O568" s="31"/>
      <c r="P568" s="31"/>
      <c r="Q568" s="31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customHeight="1">
      <c r="A569" s="71"/>
      <c r="B569" s="72"/>
      <c r="C569" s="72"/>
      <c r="D569" s="73"/>
      <c r="E569" s="74"/>
      <c r="F569" s="74"/>
      <c r="G569" s="74"/>
      <c r="H569" s="74"/>
      <c r="I569" s="74"/>
      <c r="J569" s="74"/>
      <c r="K569" s="75"/>
      <c r="L569" s="76"/>
      <c r="M569" s="77"/>
      <c r="N569" s="30"/>
      <c r="O569" s="31"/>
      <c r="P569" s="31"/>
      <c r="Q569" s="31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customHeight="1">
      <c r="A570" s="71"/>
      <c r="B570" s="72"/>
      <c r="C570" s="72"/>
      <c r="D570" s="73"/>
      <c r="E570" s="74"/>
      <c r="F570" s="74"/>
      <c r="G570" s="74"/>
      <c r="H570" s="74"/>
      <c r="I570" s="74"/>
      <c r="J570" s="74"/>
      <c r="K570" s="75"/>
      <c r="L570" s="76"/>
      <c r="M570" s="77"/>
      <c r="N570" s="30"/>
      <c r="O570" s="31"/>
      <c r="P570" s="31"/>
      <c r="Q570" s="31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customHeight="1">
      <c r="A571" s="71"/>
      <c r="B571" s="72"/>
      <c r="C571" s="72"/>
      <c r="D571" s="73"/>
      <c r="E571" s="74"/>
      <c r="F571" s="74"/>
      <c r="G571" s="74"/>
      <c r="H571" s="74"/>
      <c r="I571" s="74"/>
      <c r="J571" s="74"/>
      <c r="K571" s="75"/>
      <c r="L571" s="76"/>
      <c r="M571" s="77"/>
      <c r="N571" s="30"/>
      <c r="O571" s="31"/>
      <c r="P571" s="31"/>
      <c r="Q571" s="31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customHeight="1">
      <c r="A572" s="71"/>
      <c r="B572" s="72"/>
      <c r="C572" s="72"/>
      <c r="D572" s="73"/>
      <c r="E572" s="74"/>
      <c r="F572" s="74"/>
      <c r="G572" s="74"/>
      <c r="H572" s="74"/>
      <c r="I572" s="74"/>
      <c r="J572" s="74"/>
      <c r="K572" s="75"/>
      <c r="L572" s="76"/>
      <c r="M572" s="77"/>
      <c r="N572" s="30"/>
      <c r="O572" s="31"/>
      <c r="P572" s="31"/>
      <c r="Q572" s="31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customHeight="1">
      <c r="A573" s="71"/>
      <c r="B573" s="72"/>
      <c r="C573" s="72"/>
      <c r="D573" s="73"/>
      <c r="E573" s="74"/>
      <c r="F573" s="74"/>
      <c r="G573" s="74"/>
      <c r="H573" s="74"/>
      <c r="I573" s="74"/>
      <c r="J573" s="74"/>
      <c r="K573" s="75"/>
      <c r="L573" s="76"/>
      <c r="M573" s="77"/>
      <c r="N573" s="30"/>
      <c r="O573" s="31"/>
      <c r="P573" s="31"/>
      <c r="Q573" s="31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customHeight="1">
      <c r="A574" s="71"/>
      <c r="B574" s="72"/>
      <c r="C574" s="72"/>
      <c r="D574" s="73"/>
      <c r="E574" s="74"/>
      <c r="F574" s="74"/>
      <c r="G574" s="74"/>
      <c r="H574" s="74"/>
      <c r="I574" s="74"/>
      <c r="J574" s="74"/>
      <c r="K574" s="75"/>
      <c r="L574" s="76"/>
      <c r="M574" s="77"/>
      <c r="N574" s="30"/>
      <c r="O574" s="31"/>
      <c r="P574" s="31"/>
      <c r="Q574" s="31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customHeight="1">
      <c r="A575" s="71"/>
      <c r="B575" s="72"/>
      <c r="C575" s="72"/>
      <c r="D575" s="73"/>
      <c r="E575" s="74"/>
      <c r="F575" s="74"/>
      <c r="G575" s="74"/>
      <c r="H575" s="74"/>
      <c r="I575" s="74"/>
      <c r="J575" s="74"/>
      <c r="K575" s="75"/>
      <c r="L575" s="76"/>
      <c r="M575" s="77"/>
      <c r="N575" s="30"/>
      <c r="O575" s="31"/>
      <c r="P575" s="31"/>
      <c r="Q575" s="31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customHeight="1">
      <c r="A576" s="71"/>
      <c r="B576" s="72"/>
      <c r="C576" s="72"/>
      <c r="D576" s="73"/>
      <c r="E576" s="74"/>
      <c r="F576" s="74"/>
      <c r="G576" s="74"/>
      <c r="H576" s="74"/>
      <c r="I576" s="74"/>
      <c r="J576" s="74"/>
      <c r="K576" s="75"/>
      <c r="L576" s="76"/>
      <c r="M576" s="77"/>
      <c r="N576" s="30"/>
      <c r="O576" s="31"/>
      <c r="P576" s="31"/>
      <c r="Q576" s="31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customHeight="1">
      <c r="A577" s="71"/>
      <c r="B577" s="72"/>
      <c r="C577" s="72"/>
      <c r="D577" s="73"/>
      <c r="E577" s="74"/>
      <c r="F577" s="74"/>
      <c r="G577" s="74"/>
      <c r="H577" s="74"/>
      <c r="I577" s="74"/>
      <c r="J577" s="74"/>
      <c r="K577" s="75"/>
      <c r="L577" s="76"/>
      <c r="M577" s="77"/>
      <c r="N577" s="30"/>
      <c r="O577" s="31"/>
      <c r="P577" s="31"/>
      <c r="Q577" s="31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customHeight="1">
      <c r="A578" s="71"/>
      <c r="B578" s="72"/>
      <c r="C578" s="72"/>
      <c r="D578" s="73"/>
      <c r="E578" s="74"/>
      <c r="F578" s="74"/>
      <c r="G578" s="74"/>
      <c r="H578" s="74"/>
      <c r="I578" s="74"/>
      <c r="J578" s="74"/>
      <c r="K578" s="75"/>
      <c r="L578" s="76"/>
      <c r="M578" s="77"/>
      <c r="N578" s="30"/>
      <c r="O578" s="31"/>
      <c r="P578" s="31"/>
      <c r="Q578" s="31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customHeight="1">
      <c r="A579" s="71"/>
      <c r="B579" s="72"/>
      <c r="C579" s="72"/>
      <c r="D579" s="73"/>
      <c r="E579" s="74"/>
      <c r="F579" s="74"/>
      <c r="G579" s="74"/>
      <c r="H579" s="74"/>
      <c r="I579" s="74"/>
      <c r="J579" s="74"/>
      <c r="K579" s="75"/>
      <c r="L579" s="76"/>
      <c r="M579" s="77"/>
      <c r="N579" s="30"/>
      <c r="O579" s="31"/>
      <c r="P579" s="31"/>
      <c r="Q579" s="31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customHeight="1">
      <c r="A580" s="71"/>
      <c r="B580" s="72"/>
      <c r="C580" s="72"/>
      <c r="D580" s="73"/>
      <c r="E580" s="74"/>
      <c r="F580" s="74"/>
      <c r="G580" s="74"/>
      <c r="H580" s="74"/>
      <c r="I580" s="74"/>
      <c r="J580" s="74"/>
      <c r="K580" s="75"/>
      <c r="L580" s="76"/>
      <c r="M580" s="77"/>
      <c r="N580" s="30"/>
      <c r="O580" s="31"/>
      <c r="P580" s="31"/>
      <c r="Q580" s="31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customHeight="1">
      <c r="A581" s="71"/>
      <c r="B581" s="72"/>
      <c r="C581" s="72"/>
      <c r="D581" s="73"/>
      <c r="E581" s="74"/>
      <c r="F581" s="74"/>
      <c r="G581" s="74"/>
      <c r="H581" s="74"/>
      <c r="I581" s="74"/>
      <c r="J581" s="74"/>
      <c r="K581" s="75"/>
      <c r="L581" s="76"/>
      <c r="M581" s="77"/>
      <c r="N581" s="30"/>
      <c r="O581" s="31"/>
      <c r="P581" s="31"/>
      <c r="Q581" s="31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customHeight="1">
      <c r="A582" s="71"/>
      <c r="B582" s="72"/>
      <c r="C582" s="72"/>
      <c r="D582" s="73"/>
      <c r="E582" s="74"/>
      <c r="F582" s="74"/>
      <c r="G582" s="74"/>
      <c r="H582" s="74"/>
      <c r="I582" s="74"/>
      <c r="J582" s="74"/>
      <c r="K582" s="75"/>
      <c r="L582" s="76"/>
      <c r="M582" s="77"/>
      <c r="N582" s="30"/>
      <c r="O582" s="31"/>
      <c r="P582" s="31"/>
      <c r="Q582" s="31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customHeight="1">
      <c r="A583" s="71"/>
      <c r="B583" s="72"/>
      <c r="C583" s="72"/>
      <c r="D583" s="73"/>
      <c r="E583" s="74"/>
      <c r="F583" s="74"/>
      <c r="G583" s="74"/>
      <c r="H583" s="74"/>
      <c r="I583" s="74"/>
      <c r="J583" s="74"/>
      <c r="K583" s="75"/>
      <c r="L583" s="76"/>
      <c r="M583" s="77"/>
      <c r="N583" s="30"/>
      <c r="O583" s="31"/>
      <c r="P583" s="31"/>
      <c r="Q583" s="31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customHeight="1">
      <c r="A584" s="71"/>
      <c r="B584" s="72"/>
      <c r="C584" s="72"/>
      <c r="D584" s="73"/>
      <c r="E584" s="74"/>
      <c r="F584" s="74"/>
      <c r="G584" s="74"/>
      <c r="H584" s="74"/>
      <c r="I584" s="74"/>
      <c r="J584" s="74"/>
      <c r="K584" s="75"/>
      <c r="L584" s="76"/>
      <c r="M584" s="77"/>
      <c r="N584" s="30"/>
      <c r="O584" s="31"/>
      <c r="P584" s="31"/>
      <c r="Q584" s="31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customHeight="1">
      <c r="A585" s="71"/>
      <c r="B585" s="72"/>
      <c r="C585" s="72"/>
      <c r="D585" s="73"/>
      <c r="E585" s="74"/>
      <c r="F585" s="74"/>
      <c r="G585" s="74"/>
      <c r="H585" s="74"/>
      <c r="I585" s="74"/>
      <c r="J585" s="74"/>
      <c r="K585" s="75"/>
      <c r="L585" s="76"/>
      <c r="M585" s="77"/>
      <c r="N585" s="30"/>
      <c r="O585" s="31"/>
      <c r="P585" s="31"/>
      <c r="Q585" s="31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customHeight="1">
      <c r="A586" s="71"/>
      <c r="B586" s="72"/>
      <c r="C586" s="72"/>
      <c r="D586" s="73"/>
      <c r="E586" s="74"/>
      <c r="F586" s="74"/>
      <c r="G586" s="74"/>
      <c r="H586" s="74"/>
      <c r="I586" s="74"/>
      <c r="J586" s="74"/>
      <c r="K586" s="75"/>
      <c r="L586" s="76"/>
      <c r="M586" s="77"/>
      <c r="N586" s="30"/>
      <c r="O586" s="31"/>
      <c r="P586" s="31"/>
      <c r="Q586" s="31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customHeight="1">
      <c r="A587" s="71"/>
      <c r="B587" s="72"/>
      <c r="C587" s="72"/>
      <c r="D587" s="73"/>
      <c r="E587" s="74"/>
      <c r="F587" s="74"/>
      <c r="G587" s="74"/>
      <c r="H587" s="74"/>
      <c r="I587" s="74"/>
      <c r="J587" s="74"/>
      <c r="K587" s="75"/>
      <c r="L587" s="76"/>
      <c r="M587" s="77"/>
      <c r="N587" s="30"/>
      <c r="O587" s="31"/>
      <c r="P587" s="31"/>
      <c r="Q587" s="31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customHeight="1">
      <c r="A588" s="71"/>
      <c r="B588" s="72"/>
      <c r="C588" s="72"/>
      <c r="D588" s="73"/>
      <c r="E588" s="74"/>
      <c r="F588" s="74"/>
      <c r="G588" s="74"/>
      <c r="H588" s="74"/>
      <c r="I588" s="74"/>
      <c r="J588" s="74"/>
      <c r="K588" s="75"/>
      <c r="L588" s="76"/>
      <c r="M588" s="77"/>
      <c r="N588" s="30"/>
      <c r="O588" s="31"/>
      <c r="P588" s="31"/>
      <c r="Q588" s="31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customHeight="1">
      <c r="A589" s="71"/>
      <c r="B589" s="72"/>
      <c r="C589" s="72"/>
      <c r="D589" s="73"/>
      <c r="E589" s="74"/>
      <c r="F589" s="74"/>
      <c r="G589" s="74"/>
      <c r="H589" s="74"/>
      <c r="I589" s="74"/>
      <c r="J589" s="74"/>
      <c r="K589" s="75"/>
      <c r="L589" s="76"/>
      <c r="M589" s="77"/>
      <c r="N589" s="30"/>
      <c r="O589" s="31"/>
      <c r="P589" s="31"/>
      <c r="Q589" s="31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customHeight="1">
      <c r="A590" s="71"/>
      <c r="B590" s="72"/>
      <c r="C590" s="72"/>
      <c r="D590" s="73"/>
      <c r="E590" s="74"/>
      <c r="F590" s="74"/>
      <c r="G590" s="74"/>
      <c r="H590" s="74"/>
      <c r="I590" s="74"/>
      <c r="J590" s="74"/>
      <c r="K590" s="75"/>
      <c r="L590" s="76"/>
      <c r="M590" s="77"/>
      <c r="N590" s="30"/>
      <c r="O590" s="31"/>
      <c r="P590" s="31"/>
      <c r="Q590" s="31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customHeight="1">
      <c r="A591" s="71"/>
      <c r="B591" s="72"/>
      <c r="C591" s="72"/>
      <c r="D591" s="73"/>
      <c r="E591" s="74"/>
      <c r="F591" s="74"/>
      <c r="G591" s="74"/>
      <c r="H591" s="74"/>
      <c r="I591" s="74"/>
      <c r="J591" s="74"/>
      <c r="K591" s="75"/>
      <c r="L591" s="76"/>
      <c r="M591" s="77"/>
      <c r="N591" s="30"/>
      <c r="O591" s="31"/>
      <c r="P591" s="31"/>
      <c r="Q591" s="31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customHeight="1">
      <c r="A592" s="71"/>
      <c r="B592" s="72"/>
      <c r="C592" s="72"/>
      <c r="D592" s="73"/>
      <c r="E592" s="74"/>
      <c r="F592" s="74"/>
      <c r="G592" s="74"/>
      <c r="H592" s="74"/>
      <c r="I592" s="74"/>
      <c r="J592" s="74"/>
      <c r="K592" s="75"/>
      <c r="L592" s="76"/>
      <c r="M592" s="77"/>
      <c r="N592" s="30"/>
      <c r="O592" s="31"/>
      <c r="P592" s="31"/>
      <c r="Q592" s="31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customHeight="1">
      <c r="A593" s="71"/>
      <c r="B593" s="72"/>
      <c r="C593" s="72"/>
      <c r="D593" s="73"/>
      <c r="E593" s="74"/>
      <c r="F593" s="74"/>
      <c r="G593" s="74"/>
      <c r="H593" s="74"/>
      <c r="I593" s="74"/>
      <c r="J593" s="74"/>
      <c r="K593" s="75"/>
      <c r="L593" s="76"/>
      <c r="M593" s="77"/>
      <c r="N593" s="30"/>
      <c r="O593" s="31"/>
      <c r="P593" s="31"/>
      <c r="Q593" s="31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customHeight="1">
      <c r="A594" s="71"/>
      <c r="B594" s="72"/>
      <c r="C594" s="72"/>
      <c r="D594" s="73"/>
      <c r="E594" s="74"/>
      <c r="F594" s="74"/>
      <c r="G594" s="74"/>
      <c r="H594" s="74"/>
      <c r="I594" s="74"/>
      <c r="J594" s="74"/>
      <c r="K594" s="75"/>
      <c r="L594" s="76"/>
      <c r="M594" s="77"/>
      <c r="N594" s="30"/>
      <c r="O594" s="31"/>
      <c r="P594" s="31"/>
      <c r="Q594" s="31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customHeight="1">
      <c r="A595" s="71"/>
      <c r="B595" s="72"/>
      <c r="C595" s="72"/>
      <c r="D595" s="73"/>
      <c r="E595" s="74"/>
      <c r="F595" s="74"/>
      <c r="G595" s="74"/>
      <c r="H595" s="74"/>
      <c r="I595" s="74"/>
      <c r="J595" s="74"/>
      <c r="K595" s="75"/>
      <c r="L595" s="76"/>
      <c r="M595" s="77"/>
      <c r="N595" s="30"/>
      <c r="O595" s="31"/>
      <c r="P595" s="31"/>
      <c r="Q595" s="31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customHeight="1">
      <c r="A596" s="71"/>
      <c r="B596" s="72"/>
      <c r="C596" s="72"/>
      <c r="D596" s="73"/>
      <c r="E596" s="74"/>
      <c r="F596" s="74"/>
      <c r="G596" s="74"/>
      <c r="H596" s="74"/>
      <c r="I596" s="74"/>
      <c r="J596" s="74"/>
      <c r="K596" s="75"/>
      <c r="L596" s="76"/>
      <c r="M596" s="77"/>
      <c r="N596" s="30"/>
      <c r="O596" s="31"/>
      <c r="P596" s="31"/>
      <c r="Q596" s="31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customHeight="1">
      <c r="A597" s="71"/>
      <c r="B597" s="72"/>
      <c r="C597" s="72"/>
      <c r="D597" s="73"/>
      <c r="E597" s="74"/>
      <c r="F597" s="74"/>
      <c r="G597" s="74"/>
      <c r="H597" s="74"/>
      <c r="I597" s="74"/>
      <c r="J597" s="74"/>
      <c r="K597" s="75"/>
      <c r="L597" s="76"/>
      <c r="M597" s="77"/>
      <c r="N597" s="30"/>
      <c r="O597" s="31"/>
      <c r="P597" s="31"/>
      <c r="Q597" s="31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customHeight="1">
      <c r="A598" s="71"/>
      <c r="B598" s="72"/>
      <c r="C598" s="72"/>
      <c r="D598" s="73"/>
      <c r="E598" s="74"/>
      <c r="F598" s="74"/>
      <c r="G598" s="74"/>
      <c r="H598" s="74"/>
      <c r="I598" s="74"/>
      <c r="J598" s="74"/>
      <c r="K598" s="75"/>
      <c r="L598" s="76"/>
      <c r="M598" s="77"/>
      <c r="N598" s="30"/>
      <c r="O598" s="31"/>
      <c r="P598" s="31"/>
      <c r="Q598" s="31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customHeight="1">
      <c r="A599" s="71"/>
      <c r="B599" s="72"/>
      <c r="C599" s="72"/>
      <c r="D599" s="73"/>
      <c r="E599" s="74"/>
      <c r="F599" s="74"/>
      <c r="G599" s="74"/>
      <c r="H599" s="74"/>
      <c r="I599" s="74"/>
      <c r="J599" s="74"/>
      <c r="K599" s="75"/>
      <c r="L599" s="76"/>
      <c r="M599" s="77"/>
      <c r="N599" s="30"/>
      <c r="O599" s="31"/>
      <c r="P599" s="31"/>
      <c r="Q599" s="31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customHeight="1">
      <c r="A600" s="71"/>
      <c r="B600" s="72"/>
      <c r="C600" s="72"/>
      <c r="D600" s="73"/>
      <c r="E600" s="74"/>
      <c r="F600" s="74"/>
      <c r="G600" s="74"/>
      <c r="H600" s="74"/>
      <c r="I600" s="74"/>
      <c r="J600" s="74"/>
      <c r="K600" s="75"/>
      <c r="L600" s="76"/>
      <c r="M600" s="77"/>
      <c r="N600" s="30"/>
      <c r="O600" s="31"/>
      <c r="P600" s="31"/>
      <c r="Q600" s="31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customHeight="1">
      <c r="A601" s="71"/>
      <c r="B601" s="72"/>
      <c r="C601" s="72"/>
      <c r="D601" s="73"/>
      <c r="E601" s="74"/>
      <c r="F601" s="74"/>
      <c r="G601" s="74"/>
      <c r="H601" s="74"/>
      <c r="I601" s="74"/>
      <c r="J601" s="74"/>
      <c r="K601" s="75"/>
      <c r="L601" s="76"/>
      <c r="M601" s="77"/>
      <c r="N601" s="30"/>
      <c r="O601" s="31"/>
      <c r="P601" s="31"/>
      <c r="Q601" s="31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customHeight="1">
      <c r="A602" s="71"/>
      <c r="B602" s="72"/>
      <c r="C602" s="72"/>
      <c r="D602" s="73"/>
      <c r="E602" s="74"/>
      <c r="F602" s="74"/>
      <c r="G602" s="74"/>
      <c r="H602" s="74"/>
      <c r="I602" s="74"/>
      <c r="J602" s="74"/>
      <c r="K602" s="75"/>
      <c r="L602" s="76"/>
      <c r="M602" s="77"/>
      <c r="N602" s="30"/>
      <c r="O602" s="31"/>
      <c r="P602" s="31"/>
      <c r="Q602" s="31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customHeight="1">
      <c r="A603" s="71"/>
      <c r="B603" s="72"/>
      <c r="C603" s="72"/>
      <c r="D603" s="73"/>
      <c r="E603" s="74"/>
      <c r="F603" s="74"/>
      <c r="G603" s="74"/>
      <c r="H603" s="74"/>
      <c r="I603" s="74"/>
      <c r="J603" s="74"/>
      <c r="K603" s="75"/>
      <c r="L603" s="76"/>
      <c r="M603" s="77"/>
      <c r="N603" s="30"/>
      <c r="O603" s="31"/>
      <c r="P603" s="31"/>
      <c r="Q603" s="31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customHeight="1">
      <c r="A604" s="71"/>
      <c r="B604" s="72"/>
      <c r="C604" s="72"/>
      <c r="D604" s="73"/>
      <c r="E604" s="74"/>
      <c r="F604" s="74"/>
      <c r="G604" s="74"/>
      <c r="H604" s="74"/>
      <c r="I604" s="74"/>
      <c r="J604" s="74"/>
      <c r="K604" s="75"/>
      <c r="L604" s="76"/>
      <c r="M604" s="77"/>
      <c r="N604" s="30"/>
      <c r="O604" s="31"/>
      <c r="P604" s="31"/>
      <c r="Q604" s="31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customHeight="1">
      <c r="A605" s="71"/>
      <c r="B605" s="72"/>
      <c r="C605" s="72"/>
      <c r="D605" s="73"/>
      <c r="E605" s="74"/>
      <c r="F605" s="74"/>
      <c r="G605" s="74"/>
      <c r="H605" s="74"/>
      <c r="I605" s="74"/>
      <c r="J605" s="74"/>
      <c r="K605" s="75"/>
      <c r="L605" s="76"/>
      <c r="M605" s="77"/>
      <c r="N605" s="30"/>
      <c r="O605" s="31"/>
      <c r="P605" s="31"/>
      <c r="Q605" s="31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customHeight="1">
      <c r="A606" s="71"/>
      <c r="B606" s="72"/>
      <c r="C606" s="72"/>
      <c r="D606" s="73"/>
      <c r="E606" s="74"/>
      <c r="F606" s="74"/>
      <c r="G606" s="74"/>
      <c r="H606" s="74"/>
      <c r="I606" s="74"/>
      <c r="J606" s="74"/>
      <c r="K606" s="75"/>
      <c r="L606" s="76"/>
      <c r="M606" s="77"/>
      <c r="N606" s="30"/>
      <c r="O606" s="31"/>
      <c r="P606" s="31"/>
      <c r="Q606" s="31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customHeight="1">
      <c r="A607" s="71"/>
      <c r="B607" s="72"/>
      <c r="C607" s="72"/>
      <c r="D607" s="73"/>
      <c r="E607" s="74"/>
      <c r="F607" s="74"/>
      <c r="G607" s="74"/>
      <c r="H607" s="74"/>
      <c r="I607" s="74"/>
      <c r="J607" s="74"/>
      <c r="K607" s="75"/>
      <c r="L607" s="76"/>
      <c r="M607" s="77"/>
      <c r="N607" s="30"/>
      <c r="O607" s="31"/>
      <c r="P607" s="31"/>
      <c r="Q607" s="31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customHeight="1">
      <c r="A608" s="71"/>
      <c r="B608" s="72"/>
      <c r="C608" s="72"/>
      <c r="D608" s="73"/>
      <c r="E608" s="74"/>
      <c r="F608" s="74"/>
      <c r="G608" s="74"/>
      <c r="H608" s="74"/>
      <c r="I608" s="74"/>
      <c r="J608" s="74"/>
      <c r="K608" s="75"/>
      <c r="L608" s="76"/>
      <c r="M608" s="77"/>
      <c r="N608" s="30"/>
      <c r="O608" s="31"/>
      <c r="P608" s="31"/>
      <c r="Q608" s="31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customHeight="1">
      <c r="A609" s="71"/>
      <c r="B609" s="72"/>
      <c r="C609" s="72"/>
      <c r="D609" s="73"/>
      <c r="E609" s="74"/>
      <c r="F609" s="74"/>
      <c r="G609" s="74"/>
      <c r="H609" s="74"/>
      <c r="I609" s="74"/>
      <c r="J609" s="74"/>
      <c r="K609" s="75"/>
      <c r="L609" s="76"/>
      <c r="M609" s="77"/>
      <c r="N609" s="30"/>
      <c r="O609" s="31"/>
      <c r="P609" s="31"/>
      <c r="Q609" s="31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customHeight="1">
      <c r="A610" s="71"/>
      <c r="B610" s="72"/>
      <c r="C610" s="72"/>
      <c r="D610" s="73"/>
      <c r="E610" s="74"/>
      <c r="F610" s="74"/>
      <c r="G610" s="74"/>
      <c r="H610" s="74"/>
      <c r="I610" s="74"/>
      <c r="J610" s="74"/>
      <c r="K610" s="75"/>
      <c r="L610" s="76"/>
      <c r="M610" s="77"/>
      <c r="N610" s="30"/>
      <c r="O610" s="31"/>
      <c r="P610" s="31"/>
      <c r="Q610" s="31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customHeight="1">
      <c r="A611" s="71"/>
      <c r="B611" s="72"/>
      <c r="C611" s="72"/>
      <c r="D611" s="73"/>
      <c r="E611" s="74"/>
      <c r="F611" s="74"/>
      <c r="G611" s="74"/>
      <c r="H611" s="74"/>
      <c r="I611" s="74"/>
      <c r="J611" s="74"/>
      <c r="K611" s="75"/>
      <c r="L611" s="76"/>
      <c r="M611" s="77"/>
      <c r="N611" s="30"/>
      <c r="O611" s="31"/>
      <c r="P611" s="31"/>
      <c r="Q611" s="31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customHeight="1">
      <c r="A612" s="71"/>
      <c r="B612" s="72"/>
      <c r="C612" s="72"/>
      <c r="D612" s="73"/>
      <c r="E612" s="74"/>
      <c r="F612" s="74"/>
      <c r="G612" s="74"/>
      <c r="H612" s="74"/>
      <c r="I612" s="74"/>
      <c r="J612" s="74"/>
      <c r="K612" s="75"/>
      <c r="L612" s="76"/>
      <c r="M612" s="77"/>
      <c r="N612" s="30"/>
      <c r="O612" s="31"/>
      <c r="P612" s="31"/>
      <c r="Q612" s="31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customHeight="1">
      <c r="A613" s="71"/>
      <c r="B613" s="72"/>
      <c r="C613" s="72"/>
      <c r="D613" s="73"/>
      <c r="E613" s="74"/>
      <c r="F613" s="74"/>
      <c r="G613" s="74"/>
      <c r="H613" s="74"/>
      <c r="I613" s="74"/>
      <c r="J613" s="74"/>
      <c r="K613" s="75"/>
      <c r="L613" s="76"/>
      <c r="M613" s="77"/>
      <c r="N613" s="30"/>
      <c r="O613" s="31"/>
      <c r="P613" s="31"/>
      <c r="Q613" s="31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customHeight="1">
      <c r="A614" s="71"/>
      <c r="B614" s="72"/>
      <c r="C614" s="72"/>
      <c r="D614" s="73"/>
      <c r="E614" s="74"/>
      <c r="F614" s="74"/>
      <c r="G614" s="74"/>
      <c r="H614" s="74"/>
      <c r="I614" s="74"/>
      <c r="J614" s="74"/>
      <c r="K614" s="75"/>
      <c r="L614" s="76"/>
      <c r="M614" s="77"/>
      <c r="N614" s="30"/>
      <c r="O614" s="31"/>
      <c r="P614" s="31"/>
      <c r="Q614" s="31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customHeight="1">
      <c r="A615" s="71"/>
      <c r="B615" s="72"/>
      <c r="C615" s="72"/>
      <c r="D615" s="73"/>
      <c r="E615" s="74"/>
      <c r="F615" s="74"/>
      <c r="G615" s="74"/>
      <c r="H615" s="74"/>
      <c r="I615" s="74"/>
      <c r="J615" s="74"/>
      <c r="K615" s="75"/>
      <c r="L615" s="76"/>
      <c r="M615" s="77"/>
      <c r="N615" s="30"/>
      <c r="O615" s="31"/>
      <c r="P615" s="31"/>
      <c r="Q615" s="31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customHeight="1">
      <c r="A616" s="71"/>
      <c r="B616" s="72"/>
      <c r="C616" s="72"/>
      <c r="D616" s="73"/>
      <c r="E616" s="74"/>
      <c r="F616" s="74"/>
      <c r="G616" s="74"/>
      <c r="H616" s="74"/>
      <c r="I616" s="74"/>
      <c r="J616" s="74"/>
      <c r="K616" s="75"/>
      <c r="L616" s="76"/>
      <c r="M616" s="77"/>
      <c r="N616" s="30"/>
      <c r="O616" s="31"/>
      <c r="P616" s="31"/>
      <c r="Q616" s="31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customHeight="1">
      <c r="A617" s="71"/>
      <c r="B617" s="72"/>
      <c r="C617" s="72"/>
      <c r="D617" s="73"/>
      <c r="E617" s="74"/>
      <c r="F617" s="74"/>
      <c r="G617" s="74"/>
      <c r="H617" s="74"/>
      <c r="I617" s="74"/>
      <c r="J617" s="74"/>
      <c r="K617" s="75"/>
      <c r="L617" s="76"/>
      <c r="M617" s="77"/>
      <c r="N617" s="30"/>
      <c r="O617" s="31"/>
      <c r="P617" s="31"/>
      <c r="Q617" s="31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customHeight="1">
      <c r="A618" s="71"/>
      <c r="B618" s="72"/>
      <c r="C618" s="72"/>
      <c r="D618" s="73"/>
      <c r="E618" s="74"/>
      <c r="F618" s="74"/>
      <c r="G618" s="74"/>
      <c r="H618" s="74"/>
      <c r="I618" s="74"/>
      <c r="J618" s="74"/>
      <c r="K618" s="75"/>
      <c r="L618" s="76"/>
      <c r="M618" s="77"/>
      <c r="N618" s="30"/>
      <c r="O618" s="31"/>
      <c r="P618" s="31"/>
      <c r="Q618" s="31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customHeight="1">
      <c r="A619" s="71"/>
      <c r="B619" s="72"/>
      <c r="C619" s="72"/>
      <c r="D619" s="73"/>
      <c r="E619" s="74"/>
      <c r="F619" s="74"/>
      <c r="G619" s="74"/>
      <c r="H619" s="74"/>
      <c r="I619" s="74"/>
      <c r="J619" s="74"/>
      <c r="K619" s="75"/>
      <c r="L619" s="76"/>
      <c r="M619" s="77"/>
      <c r="N619" s="30"/>
      <c r="O619" s="31"/>
      <c r="P619" s="31"/>
      <c r="Q619" s="31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customHeight="1">
      <c r="A620" s="71"/>
      <c r="B620" s="72"/>
      <c r="C620" s="72"/>
      <c r="D620" s="73"/>
      <c r="E620" s="74"/>
      <c r="F620" s="74"/>
      <c r="G620" s="74"/>
      <c r="H620" s="74"/>
      <c r="I620" s="74"/>
      <c r="J620" s="74"/>
      <c r="K620" s="75"/>
      <c r="L620" s="76"/>
      <c r="M620" s="77"/>
      <c r="N620" s="30"/>
      <c r="O620" s="31"/>
      <c r="P620" s="31"/>
      <c r="Q620" s="31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customHeight="1">
      <c r="A621" s="71"/>
      <c r="B621" s="72"/>
      <c r="C621" s="72"/>
      <c r="D621" s="73"/>
      <c r="E621" s="74"/>
      <c r="F621" s="74"/>
      <c r="G621" s="74"/>
      <c r="H621" s="74"/>
      <c r="I621" s="74"/>
      <c r="J621" s="74"/>
      <c r="K621" s="75"/>
      <c r="L621" s="76"/>
      <c r="M621" s="77"/>
      <c r="N621" s="30"/>
      <c r="O621" s="31"/>
      <c r="P621" s="31"/>
      <c r="Q621" s="31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customHeight="1">
      <c r="A622" s="71"/>
      <c r="B622" s="72"/>
      <c r="C622" s="72"/>
      <c r="D622" s="73"/>
      <c r="E622" s="74"/>
      <c r="F622" s="74"/>
      <c r="G622" s="74"/>
      <c r="H622" s="74"/>
      <c r="I622" s="74"/>
      <c r="J622" s="74"/>
      <c r="K622" s="75"/>
      <c r="L622" s="76"/>
      <c r="M622" s="77"/>
      <c r="N622" s="30"/>
      <c r="O622" s="31"/>
      <c r="P622" s="31"/>
      <c r="Q622" s="31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customHeight="1">
      <c r="A623" s="71"/>
      <c r="B623" s="72"/>
      <c r="C623" s="72"/>
      <c r="D623" s="73"/>
      <c r="E623" s="74"/>
      <c r="F623" s="74"/>
      <c r="G623" s="74"/>
      <c r="H623" s="74"/>
      <c r="I623" s="74"/>
      <c r="J623" s="74"/>
      <c r="K623" s="75"/>
      <c r="L623" s="76"/>
      <c r="M623" s="77"/>
      <c r="N623" s="30"/>
      <c r="O623" s="31"/>
      <c r="P623" s="31"/>
      <c r="Q623" s="31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customHeight="1">
      <c r="A624" s="71"/>
      <c r="B624" s="72"/>
      <c r="C624" s="72"/>
      <c r="D624" s="73"/>
      <c r="E624" s="74"/>
      <c r="F624" s="74"/>
      <c r="G624" s="74"/>
      <c r="H624" s="74"/>
      <c r="I624" s="74"/>
      <c r="J624" s="74"/>
      <c r="K624" s="75"/>
      <c r="L624" s="76"/>
      <c r="M624" s="77"/>
      <c r="N624" s="30"/>
      <c r="O624" s="31"/>
      <c r="P624" s="31"/>
      <c r="Q624" s="31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customHeight="1">
      <c r="A625" s="71"/>
      <c r="B625" s="72"/>
      <c r="C625" s="72"/>
      <c r="D625" s="73"/>
      <c r="E625" s="74"/>
      <c r="F625" s="74"/>
      <c r="G625" s="74"/>
      <c r="H625" s="74"/>
      <c r="I625" s="74"/>
      <c r="J625" s="74"/>
      <c r="K625" s="75"/>
      <c r="L625" s="76"/>
      <c r="M625" s="77"/>
      <c r="N625" s="30"/>
      <c r="O625" s="31"/>
      <c r="P625" s="31"/>
      <c r="Q625" s="31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customHeight="1">
      <c r="A626" s="71"/>
      <c r="B626" s="72"/>
      <c r="C626" s="72"/>
      <c r="D626" s="73"/>
      <c r="E626" s="74"/>
      <c r="F626" s="74"/>
      <c r="G626" s="74"/>
      <c r="H626" s="74"/>
      <c r="I626" s="74"/>
      <c r="J626" s="74"/>
      <c r="K626" s="75"/>
      <c r="L626" s="76"/>
      <c r="M626" s="77"/>
      <c r="N626" s="30"/>
      <c r="O626" s="31"/>
      <c r="P626" s="31"/>
      <c r="Q626" s="31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customHeight="1">
      <c r="A627" s="71"/>
      <c r="B627" s="72"/>
      <c r="C627" s="72"/>
      <c r="D627" s="73"/>
      <c r="E627" s="74"/>
      <c r="F627" s="74"/>
      <c r="G627" s="74"/>
      <c r="H627" s="74"/>
      <c r="I627" s="74"/>
      <c r="J627" s="74"/>
      <c r="K627" s="75"/>
      <c r="L627" s="76"/>
      <c r="M627" s="77"/>
      <c r="N627" s="30"/>
      <c r="O627" s="31"/>
      <c r="P627" s="31"/>
      <c r="Q627" s="31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customHeight="1">
      <c r="A628" s="71"/>
      <c r="B628" s="72"/>
      <c r="C628" s="72"/>
      <c r="D628" s="73"/>
      <c r="E628" s="74"/>
      <c r="F628" s="74"/>
      <c r="G628" s="74"/>
      <c r="H628" s="74"/>
      <c r="I628" s="74"/>
      <c r="J628" s="74"/>
      <c r="K628" s="75"/>
      <c r="L628" s="76"/>
      <c r="M628" s="77"/>
      <c r="N628" s="30"/>
      <c r="O628" s="31"/>
      <c r="P628" s="31"/>
      <c r="Q628" s="31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customHeight="1">
      <c r="A629" s="71"/>
      <c r="B629" s="72"/>
      <c r="C629" s="72"/>
      <c r="D629" s="73"/>
      <c r="E629" s="74"/>
      <c r="F629" s="74"/>
      <c r="G629" s="74"/>
      <c r="H629" s="74"/>
      <c r="I629" s="74"/>
      <c r="J629" s="74"/>
      <c r="K629" s="75"/>
      <c r="L629" s="76"/>
      <c r="M629" s="77"/>
      <c r="N629" s="30"/>
      <c r="O629" s="31"/>
      <c r="P629" s="31"/>
      <c r="Q629" s="31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customHeight="1">
      <c r="A630" s="71"/>
      <c r="B630" s="72"/>
      <c r="C630" s="72"/>
      <c r="D630" s="73"/>
      <c r="E630" s="74"/>
      <c r="F630" s="74"/>
      <c r="G630" s="74"/>
      <c r="H630" s="74"/>
      <c r="I630" s="74"/>
      <c r="J630" s="74"/>
      <c r="K630" s="75"/>
      <c r="L630" s="76"/>
      <c r="M630" s="77"/>
      <c r="N630" s="30"/>
      <c r="O630" s="31"/>
      <c r="P630" s="31"/>
      <c r="Q630" s="31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customHeight="1">
      <c r="A631" s="71"/>
      <c r="B631" s="72"/>
      <c r="C631" s="72"/>
      <c r="D631" s="73"/>
      <c r="E631" s="74"/>
      <c r="F631" s="74"/>
      <c r="G631" s="74"/>
      <c r="H631" s="74"/>
      <c r="I631" s="74"/>
      <c r="J631" s="74"/>
      <c r="K631" s="75"/>
      <c r="L631" s="76"/>
      <c r="M631" s="77"/>
      <c r="N631" s="30"/>
      <c r="O631" s="31"/>
      <c r="P631" s="31"/>
      <c r="Q631" s="31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customHeight="1">
      <c r="A632" s="71"/>
      <c r="B632" s="72"/>
      <c r="C632" s="72"/>
      <c r="D632" s="73"/>
      <c r="E632" s="74"/>
      <c r="F632" s="74"/>
      <c r="G632" s="74"/>
      <c r="H632" s="74"/>
      <c r="I632" s="74"/>
      <c r="J632" s="74"/>
      <c r="K632" s="75"/>
      <c r="L632" s="76"/>
      <c r="M632" s="77"/>
      <c r="N632" s="30"/>
      <c r="O632" s="31"/>
      <c r="P632" s="31"/>
      <c r="Q632" s="31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customHeight="1">
      <c r="A633" s="71"/>
      <c r="B633" s="72"/>
      <c r="C633" s="72"/>
      <c r="D633" s="73"/>
      <c r="E633" s="74"/>
      <c r="F633" s="74"/>
      <c r="G633" s="74"/>
      <c r="H633" s="74"/>
      <c r="I633" s="74"/>
      <c r="J633" s="74"/>
      <c r="K633" s="75"/>
      <c r="L633" s="76"/>
      <c r="M633" s="77"/>
      <c r="N633" s="30"/>
      <c r="O633" s="31"/>
      <c r="P633" s="31"/>
      <c r="Q633" s="31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customHeight="1">
      <c r="A634" s="71"/>
      <c r="B634" s="72"/>
      <c r="C634" s="72"/>
      <c r="D634" s="73"/>
      <c r="E634" s="74"/>
      <c r="F634" s="74"/>
      <c r="G634" s="74"/>
      <c r="H634" s="74"/>
      <c r="I634" s="74"/>
      <c r="J634" s="74"/>
      <c r="K634" s="75"/>
      <c r="L634" s="76"/>
      <c r="M634" s="77"/>
      <c r="N634" s="30"/>
      <c r="O634" s="31"/>
      <c r="P634" s="31"/>
      <c r="Q634" s="31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customHeight="1">
      <c r="A635" s="71"/>
      <c r="B635" s="72"/>
      <c r="C635" s="72"/>
      <c r="D635" s="73"/>
      <c r="E635" s="74"/>
      <c r="F635" s="74"/>
      <c r="G635" s="74"/>
      <c r="H635" s="74"/>
      <c r="I635" s="74"/>
      <c r="J635" s="74"/>
      <c r="K635" s="75"/>
      <c r="L635" s="76"/>
      <c r="M635" s="77"/>
      <c r="N635" s="30"/>
      <c r="O635" s="31"/>
      <c r="P635" s="31"/>
      <c r="Q635" s="31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customHeight="1">
      <c r="A636" s="71"/>
      <c r="B636" s="72"/>
      <c r="C636" s="72"/>
      <c r="D636" s="73"/>
      <c r="E636" s="74"/>
      <c r="F636" s="74"/>
      <c r="G636" s="74"/>
      <c r="H636" s="74"/>
      <c r="I636" s="74"/>
      <c r="J636" s="74"/>
      <c r="K636" s="75"/>
      <c r="L636" s="76"/>
      <c r="M636" s="77"/>
      <c r="N636" s="30"/>
      <c r="O636" s="31"/>
      <c r="P636" s="31"/>
      <c r="Q636" s="31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customHeight="1">
      <c r="A637" s="71"/>
      <c r="B637" s="72"/>
      <c r="C637" s="72"/>
      <c r="D637" s="73"/>
      <c r="E637" s="74"/>
      <c r="F637" s="74"/>
      <c r="G637" s="74"/>
      <c r="H637" s="74"/>
      <c r="I637" s="74"/>
      <c r="J637" s="74"/>
      <c r="K637" s="75"/>
      <c r="L637" s="76"/>
      <c r="M637" s="77"/>
      <c r="N637" s="30"/>
      <c r="O637" s="31"/>
      <c r="P637" s="31"/>
      <c r="Q637" s="31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customHeight="1">
      <c r="A638" s="71"/>
      <c r="B638" s="72"/>
      <c r="C638" s="72"/>
      <c r="D638" s="73"/>
      <c r="E638" s="74"/>
      <c r="F638" s="74"/>
      <c r="G638" s="74"/>
      <c r="H638" s="74"/>
      <c r="I638" s="74"/>
      <c r="J638" s="74"/>
      <c r="K638" s="75"/>
      <c r="L638" s="76"/>
      <c r="M638" s="77"/>
      <c r="N638" s="30"/>
      <c r="O638" s="31"/>
      <c r="P638" s="31"/>
      <c r="Q638" s="31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customHeight="1">
      <c r="A639" s="71"/>
      <c r="B639" s="72"/>
      <c r="C639" s="72"/>
      <c r="D639" s="73"/>
      <c r="E639" s="74"/>
      <c r="F639" s="74"/>
      <c r="G639" s="74"/>
      <c r="H639" s="74"/>
      <c r="I639" s="74"/>
      <c r="J639" s="74"/>
      <c r="K639" s="75"/>
      <c r="L639" s="76"/>
      <c r="M639" s="77"/>
      <c r="N639" s="30"/>
      <c r="O639" s="31"/>
      <c r="P639" s="31"/>
      <c r="Q639" s="31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customHeight="1">
      <c r="A640" s="71"/>
      <c r="B640" s="72"/>
      <c r="C640" s="72"/>
      <c r="D640" s="73"/>
      <c r="E640" s="74"/>
      <c r="F640" s="74"/>
      <c r="G640" s="74"/>
      <c r="H640" s="74"/>
      <c r="I640" s="74"/>
      <c r="J640" s="74"/>
      <c r="K640" s="75"/>
      <c r="L640" s="76"/>
      <c r="M640" s="77"/>
      <c r="N640" s="30"/>
      <c r="O640" s="31"/>
      <c r="P640" s="31"/>
      <c r="Q640" s="31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customHeight="1">
      <c r="A641" s="71"/>
      <c r="B641" s="72"/>
      <c r="C641" s="72"/>
      <c r="D641" s="73"/>
      <c r="E641" s="74"/>
      <c r="F641" s="74"/>
      <c r="G641" s="74"/>
      <c r="H641" s="74"/>
      <c r="I641" s="74"/>
      <c r="J641" s="74"/>
      <c r="K641" s="75"/>
      <c r="L641" s="76"/>
      <c r="M641" s="77"/>
      <c r="N641" s="30"/>
      <c r="O641" s="31"/>
      <c r="P641" s="31"/>
      <c r="Q641" s="31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customHeight="1">
      <c r="A642" s="71"/>
      <c r="B642" s="72"/>
      <c r="C642" s="72"/>
      <c r="D642" s="73"/>
      <c r="E642" s="74"/>
      <c r="F642" s="74"/>
      <c r="G642" s="74"/>
      <c r="H642" s="74"/>
      <c r="I642" s="74"/>
      <c r="J642" s="74"/>
      <c r="K642" s="75"/>
      <c r="L642" s="76"/>
      <c r="M642" s="77"/>
      <c r="N642" s="30"/>
      <c r="O642" s="31"/>
      <c r="P642" s="31"/>
      <c r="Q642" s="31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customHeight="1">
      <c r="A643" s="71"/>
      <c r="B643" s="72"/>
      <c r="C643" s="72"/>
      <c r="D643" s="73"/>
      <c r="E643" s="74"/>
      <c r="F643" s="74"/>
      <c r="G643" s="74"/>
      <c r="H643" s="74"/>
      <c r="I643" s="74"/>
      <c r="J643" s="74"/>
      <c r="K643" s="75"/>
      <c r="L643" s="76"/>
      <c r="M643" s="77"/>
      <c r="N643" s="30"/>
      <c r="O643" s="31"/>
      <c r="P643" s="31"/>
      <c r="Q643" s="31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customHeight="1">
      <c r="A644" s="71"/>
      <c r="B644" s="72"/>
      <c r="C644" s="72"/>
      <c r="D644" s="73"/>
      <c r="E644" s="74"/>
      <c r="F644" s="74"/>
      <c r="G644" s="74"/>
      <c r="H644" s="74"/>
      <c r="I644" s="74"/>
      <c r="J644" s="74"/>
      <c r="K644" s="75"/>
      <c r="L644" s="76"/>
      <c r="M644" s="77"/>
      <c r="N644" s="30"/>
      <c r="O644" s="31"/>
      <c r="P644" s="31"/>
      <c r="Q644" s="31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customHeight="1">
      <c r="A645" s="71"/>
      <c r="B645" s="72"/>
      <c r="C645" s="72"/>
      <c r="D645" s="73"/>
      <c r="E645" s="74"/>
      <c r="F645" s="74"/>
      <c r="G645" s="74"/>
      <c r="H645" s="74"/>
      <c r="I645" s="74"/>
      <c r="J645" s="74"/>
      <c r="K645" s="75"/>
      <c r="L645" s="76"/>
      <c r="M645" s="77"/>
      <c r="N645" s="30"/>
      <c r="O645" s="31"/>
      <c r="P645" s="31"/>
      <c r="Q645" s="31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customHeight="1">
      <c r="A646" s="71"/>
      <c r="B646" s="72"/>
      <c r="C646" s="72"/>
      <c r="D646" s="73"/>
      <c r="E646" s="74"/>
      <c r="F646" s="74"/>
      <c r="G646" s="74"/>
      <c r="H646" s="74"/>
      <c r="I646" s="74"/>
      <c r="J646" s="74"/>
      <c r="K646" s="75"/>
      <c r="L646" s="76"/>
      <c r="M646" s="77"/>
      <c r="N646" s="30"/>
      <c r="O646" s="31"/>
      <c r="P646" s="31"/>
      <c r="Q646" s="31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customHeight="1">
      <c r="A647" s="71"/>
      <c r="B647" s="72"/>
      <c r="C647" s="72"/>
      <c r="D647" s="73"/>
      <c r="E647" s="74"/>
      <c r="F647" s="74"/>
      <c r="G647" s="74"/>
      <c r="H647" s="74"/>
      <c r="I647" s="74"/>
      <c r="J647" s="74"/>
      <c r="K647" s="75"/>
      <c r="L647" s="76"/>
      <c r="M647" s="77"/>
      <c r="N647" s="30"/>
      <c r="O647" s="31"/>
      <c r="P647" s="31"/>
      <c r="Q647" s="31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customHeight="1">
      <c r="A648" s="71"/>
      <c r="B648" s="72"/>
      <c r="C648" s="72"/>
      <c r="D648" s="73"/>
      <c r="E648" s="74"/>
      <c r="F648" s="74"/>
      <c r="G648" s="74"/>
      <c r="H648" s="74"/>
      <c r="I648" s="74"/>
      <c r="J648" s="74"/>
      <c r="K648" s="75"/>
      <c r="L648" s="76"/>
      <c r="M648" s="77"/>
      <c r="N648" s="30"/>
      <c r="O648" s="31"/>
      <c r="P648" s="31"/>
      <c r="Q648" s="31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customHeight="1">
      <c r="A649" s="71"/>
      <c r="B649" s="72"/>
      <c r="C649" s="72"/>
      <c r="D649" s="73"/>
      <c r="E649" s="74"/>
      <c r="F649" s="74"/>
      <c r="G649" s="74"/>
      <c r="H649" s="74"/>
      <c r="I649" s="74"/>
      <c r="J649" s="74"/>
      <c r="K649" s="75"/>
      <c r="L649" s="76"/>
      <c r="M649" s="77"/>
      <c r="N649" s="30"/>
      <c r="O649" s="31"/>
      <c r="P649" s="31"/>
      <c r="Q649" s="31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customHeight="1">
      <c r="A650" s="71"/>
      <c r="B650" s="72"/>
      <c r="C650" s="72"/>
      <c r="D650" s="73"/>
      <c r="E650" s="74"/>
      <c r="F650" s="74"/>
      <c r="G650" s="74"/>
      <c r="H650" s="74"/>
      <c r="I650" s="74"/>
      <c r="J650" s="74"/>
      <c r="K650" s="75"/>
      <c r="L650" s="76"/>
      <c r="M650" s="77"/>
      <c r="N650" s="30"/>
      <c r="O650" s="31"/>
      <c r="P650" s="31"/>
      <c r="Q650" s="31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customHeight="1">
      <c r="A651" s="71"/>
      <c r="B651" s="72"/>
      <c r="C651" s="72"/>
      <c r="D651" s="73"/>
      <c r="E651" s="74"/>
      <c r="F651" s="74"/>
      <c r="G651" s="74"/>
      <c r="H651" s="74"/>
      <c r="I651" s="74"/>
      <c r="J651" s="74"/>
      <c r="K651" s="75"/>
      <c r="L651" s="76"/>
      <c r="M651" s="77"/>
      <c r="N651" s="30"/>
      <c r="O651" s="31"/>
      <c r="P651" s="31"/>
      <c r="Q651" s="31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customHeight="1">
      <c r="A652" s="71"/>
      <c r="B652" s="72"/>
      <c r="C652" s="72"/>
      <c r="D652" s="73"/>
      <c r="E652" s="74"/>
      <c r="F652" s="74"/>
      <c r="G652" s="74"/>
      <c r="H652" s="74"/>
      <c r="I652" s="74"/>
      <c r="J652" s="74"/>
      <c r="K652" s="75"/>
      <c r="L652" s="76"/>
      <c r="M652" s="77"/>
      <c r="N652" s="30"/>
      <c r="O652" s="31"/>
      <c r="P652" s="31"/>
      <c r="Q652" s="31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customHeight="1">
      <c r="A653" s="71"/>
      <c r="B653" s="72"/>
      <c r="C653" s="72"/>
      <c r="D653" s="73"/>
      <c r="E653" s="74"/>
      <c r="F653" s="74"/>
      <c r="G653" s="74"/>
      <c r="H653" s="74"/>
      <c r="I653" s="74"/>
      <c r="J653" s="74"/>
      <c r="K653" s="75"/>
      <c r="L653" s="76"/>
      <c r="M653" s="77"/>
      <c r="N653" s="30"/>
      <c r="O653" s="31"/>
      <c r="P653" s="31"/>
      <c r="Q653" s="31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customHeight="1">
      <c r="A654" s="71"/>
      <c r="B654" s="72"/>
      <c r="C654" s="72"/>
      <c r="D654" s="73"/>
      <c r="E654" s="74"/>
      <c r="F654" s="74"/>
      <c r="G654" s="74"/>
      <c r="H654" s="74"/>
      <c r="I654" s="74"/>
      <c r="J654" s="74"/>
      <c r="K654" s="75"/>
      <c r="L654" s="76"/>
      <c r="M654" s="77"/>
      <c r="N654" s="30"/>
      <c r="O654" s="31"/>
      <c r="P654" s="31"/>
      <c r="Q654" s="31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customHeight="1">
      <c r="A655" s="71"/>
      <c r="B655" s="72"/>
      <c r="C655" s="72"/>
      <c r="D655" s="73"/>
      <c r="E655" s="74"/>
      <c r="F655" s="74"/>
      <c r="G655" s="74"/>
      <c r="H655" s="74"/>
      <c r="I655" s="74"/>
      <c r="J655" s="74"/>
      <c r="K655" s="75"/>
      <c r="L655" s="76"/>
      <c r="M655" s="77"/>
      <c r="N655" s="30"/>
      <c r="O655" s="31"/>
      <c r="P655" s="31"/>
      <c r="Q655" s="31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customHeight="1">
      <c r="A656" s="71"/>
      <c r="B656" s="72"/>
      <c r="C656" s="72"/>
      <c r="D656" s="73"/>
      <c r="E656" s="74"/>
      <c r="F656" s="74"/>
      <c r="G656" s="74"/>
      <c r="H656" s="74"/>
      <c r="I656" s="74"/>
      <c r="J656" s="74"/>
      <c r="K656" s="75"/>
      <c r="L656" s="76"/>
      <c r="M656" s="77"/>
      <c r="N656" s="30"/>
      <c r="O656" s="31"/>
      <c r="P656" s="31"/>
      <c r="Q656" s="31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customHeight="1">
      <c r="A657" s="71"/>
      <c r="B657" s="72"/>
      <c r="C657" s="72"/>
      <c r="D657" s="73"/>
      <c r="E657" s="74"/>
      <c r="F657" s="74"/>
      <c r="G657" s="74"/>
      <c r="H657" s="74"/>
      <c r="I657" s="74"/>
      <c r="J657" s="74"/>
      <c r="K657" s="75"/>
      <c r="L657" s="76"/>
      <c r="M657" s="77"/>
      <c r="N657" s="30"/>
      <c r="O657" s="31"/>
      <c r="P657" s="31"/>
      <c r="Q657" s="31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customHeight="1">
      <c r="A658" s="71"/>
      <c r="B658" s="72"/>
      <c r="C658" s="72"/>
      <c r="D658" s="73"/>
      <c r="E658" s="74"/>
      <c r="F658" s="74"/>
      <c r="G658" s="74"/>
      <c r="H658" s="74"/>
      <c r="I658" s="74"/>
      <c r="J658" s="74"/>
      <c r="K658" s="75"/>
      <c r="L658" s="76"/>
      <c r="M658" s="77"/>
      <c r="N658" s="30"/>
      <c r="O658" s="31"/>
      <c r="P658" s="31"/>
      <c r="Q658" s="31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customHeight="1">
      <c r="A659" s="71"/>
      <c r="B659" s="72"/>
      <c r="C659" s="72"/>
      <c r="D659" s="73"/>
      <c r="E659" s="74"/>
      <c r="F659" s="74"/>
      <c r="G659" s="74"/>
      <c r="H659" s="74"/>
      <c r="I659" s="74"/>
      <c r="J659" s="74"/>
      <c r="K659" s="75"/>
      <c r="L659" s="76"/>
      <c r="M659" s="77"/>
      <c r="N659" s="30"/>
      <c r="O659" s="31"/>
      <c r="P659" s="31"/>
      <c r="Q659" s="31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customHeight="1">
      <c r="A660" s="71"/>
      <c r="B660" s="72"/>
      <c r="C660" s="72"/>
      <c r="D660" s="73"/>
      <c r="E660" s="74"/>
      <c r="F660" s="74"/>
      <c r="G660" s="74"/>
      <c r="H660" s="74"/>
      <c r="I660" s="74"/>
      <c r="J660" s="74"/>
      <c r="K660" s="75"/>
      <c r="L660" s="76"/>
      <c r="M660" s="77"/>
      <c r="N660" s="30"/>
      <c r="O660" s="31"/>
      <c r="P660" s="31"/>
      <c r="Q660" s="31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customHeight="1">
      <c r="A661" s="71"/>
      <c r="B661" s="72"/>
      <c r="C661" s="72"/>
      <c r="D661" s="73"/>
      <c r="E661" s="74"/>
      <c r="F661" s="74"/>
      <c r="G661" s="74"/>
      <c r="H661" s="74"/>
      <c r="I661" s="74"/>
      <c r="J661" s="74"/>
      <c r="K661" s="75"/>
      <c r="L661" s="76"/>
      <c r="M661" s="77"/>
      <c r="N661" s="30"/>
      <c r="O661" s="31"/>
      <c r="P661" s="31"/>
      <c r="Q661" s="31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customHeight="1">
      <c r="A662" s="71"/>
      <c r="B662" s="72"/>
      <c r="C662" s="72"/>
      <c r="D662" s="73"/>
      <c r="E662" s="74"/>
      <c r="F662" s="74"/>
      <c r="G662" s="74"/>
      <c r="H662" s="74"/>
      <c r="I662" s="74"/>
      <c r="J662" s="74"/>
      <c r="K662" s="75"/>
      <c r="L662" s="76"/>
      <c r="M662" s="77"/>
      <c r="N662" s="30"/>
      <c r="O662" s="31"/>
      <c r="P662" s="31"/>
      <c r="Q662" s="31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customHeight="1">
      <c r="A663" s="71"/>
      <c r="B663" s="72"/>
      <c r="C663" s="72"/>
      <c r="D663" s="73"/>
      <c r="E663" s="74"/>
      <c r="F663" s="74"/>
      <c r="G663" s="74"/>
      <c r="H663" s="74"/>
      <c r="I663" s="74"/>
      <c r="J663" s="74"/>
      <c r="K663" s="75"/>
      <c r="L663" s="76"/>
      <c r="M663" s="77"/>
      <c r="N663" s="30"/>
      <c r="O663" s="31"/>
      <c r="P663" s="31"/>
      <c r="Q663" s="31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customHeight="1">
      <c r="A664" s="71"/>
      <c r="B664" s="72"/>
      <c r="C664" s="72"/>
      <c r="D664" s="73"/>
      <c r="E664" s="74"/>
      <c r="F664" s="74"/>
      <c r="G664" s="74"/>
      <c r="H664" s="74"/>
      <c r="I664" s="74"/>
      <c r="J664" s="74"/>
      <c r="K664" s="75"/>
      <c r="L664" s="76"/>
      <c r="M664" s="77"/>
      <c r="N664" s="30"/>
      <c r="O664" s="31"/>
      <c r="P664" s="31"/>
      <c r="Q664" s="31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customHeight="1">
      <c r="A665" s="71"/>
      <c r="B665" s="72"/>
      <c r="C665" s="72"/>
      <c r="D665" s="73"/>
      <c r="E665" s="74"/>
      <c r="F665" s="74"/>
      <c r="G665" s="74"/>
      <c r="H665" s="74"/>
      <c r="I665" s="74"/>
      <c r="J665" s="74"/>
      <c r="K665" s="75"/>
      <c r="L665" s="76"/>
      <c r="M665" s="77"/>
      <c r="N665" s="30"/>
      <c r="O665" s="31"/>
      <c r="P665" s="31"/>
      <c r="Q665" s="31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customHeight="1">
      <c r="A666" s="71"/>
      <c r="B666" s="72"/>
      <c r="C666" s="72"/>
      <c r="D666" s="73"/>
      <c r="E666" s="74"/>
      <c r="F666" s="74"/>
      <c r="G666" s="74"/>
      <c r="H666" s="74"/>
      <c r="I666" s="74"/>
      <c r="J666" s="74"/>
      <c r="K666" s="75"/>
      <c r="L666" s="76"/>
      <c r="M666" s="77"/>
      <c r="N666" s="30"/>
      <c r="O666" s="31"/>
      <c r="P666" s="31"/>
      <c r="Q666" s="31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customHeight="1">
      <c r="A667" s="71"/>
      <c r="B667" s="72"/>
      <c r="C667" s="72"/>
      <c r="D667" s="73"/>
      <c r="E667" s="74"/>
      <c r="F667" s="74"/>
      <c r="G667" s="74"/>
      <c r="H667" s="74"/>
      <c r="I667" s="74"/>
      <c r="J667" s="74"/>
      <c r="K667" s="75"/>
      <c r="L667" s="76"/>
      <c r="M667" s="77"/>
      <c r="N667" s="30"/>
      <c r="O667" s="31"/>
      <c r="P667" s="31"/>
      <c r="Q667" s="31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customHeight="1">
      <c r="A668" s="71"/>
      <c r="B668" s="72"/>
      <c r="C668" s="72"/>
      <c r="D668" s="73"/>
      <c r="E668" s="74"/>
      <c r="F668" s="74"/>
      <c r="G668" s="74"/>
      <c r="H668" s="74"/>
      <c r="I668" s="74"/>
      <c r="J668" s="74"/>
      <c r="K668" s="75"/>
      <c r="L668" s="76"/>
      <c r="M668" s="77"/>
      <c r="N668" s="30"/>
      <c r="O668" s="31"/>
      <c r="P668" s="31"/>
      <c r="Q668" s="31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customHeight="1">
      <c r="A669" s="71"/>
      <c r="B669" s="72"/>
      <c r="C669" s="72"/>
      <c r="D669" s="73"/>
      <c r="E669" s="74"/>
      <c r="F669" s="74"/>
      <c r="G669" s="74"/>
      <c r="H669" s="74"/>
      <c r="I669" s="74"/>
      <c r="J669" s="74"/>
      <c r="K669" s="75"/>
      <c r="L669" s="76"/>
      <c r="M669" s="77"/>
      <c r="N669" s="30"/>
      <c r="O669" s="31"/>
      <c r="P669" s="31"/>
      <c r="Q669" s="31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customHeight="1">
      <c r="A670" s="71"/>
      <c r="B670" s="72"/>
      <c r="C670" s="72"/>
      <c r="D670" s="73"/>
      <c r="E670" s="74"/>
      <c r="F670" s="74"/>
      <c r="G670" s="74"/>
      <c r="H670" s="74"/>
      <c r="I670" s="74"/>
      <c r="J670" s="74"/>
      <c r="K670" s="75"/>
      <c r="L670" s="76"/>
      <c r="M670" s="77"/>
      <c r="N670" s="30"/>
      <c r="O670" s="31"/>
      <c r="P670" s="31"/>
      <c r="Q670" s="31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customHeight="1">
      <c r="A671" s="71"/>
      <c r="B671" s="72"/>
      <c r="C671" s="72"/>
      <c r="D671" s="73"/>
      <c r="E671" s="74"/>
      <c r="F671" s="74"/>
      <c r="G671" s="74"/>
      <c r="H671" s="74"/>
      <c r="I671" s="74"/>
      <c r="J671" s="74"/>
      <c r="K671" s="75"/>
      <c r="L671" s="76"/>
      <c r="M671" s="77"/>
      <c r="N671" s="30"/>
      <c r="O671" s="31"/>
      <c r="P671" s="31"/>
      <c r="Q671" s="31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customHeight="1">
      <c r="A672" s="71"/>
      <c r="B672" s="72"/>
      <c r="C672" s="72"/>
      <c r="D672" s="73"/>
      <c r="E672" s="74"/>
      <c r="F672" s="74"/>
      <c r="G672" s="74"/>
      <c r="H672" s="74"/>
      <c r="I672" s="74"/>
      <c r="J672" s="74"/>
      <c r="K672" s="75"/>
      <c r="L672" s="76"/>
      <c r="M672" s="77"/>
      <c r="N672" s="30"/>
      <c r="O672" s="31"/>
      <c r="P672" s="31"/>
      <c r="Q672" s="31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customHeight="1">
      <c r="A673" s="71"/>
      <c r="B673" s="72"/>
      <c r="C673" s="72"/>
      <c r="D673" s="73"/>
      <c r="E673" s="74"/>
      <c r="F673" s="74"/>
      <c r="G673" s="74"/>
      <c r="H673" s="74"/>
      <c r="I673" s="74"/>
      <c r="J673" s="74"/>
      <c r="K673" s="75"/>
      <c r="L673" s="76"/>
      <c r="M673" s="77"/>
      <c r="N673" s="30"/>
      <c r="O673" s="31"/>
      <c r="P673" s="31"/>
      <c r="Q673" s="31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customHeight="1">
      <c r="A674" s="71"/>
      <c r="B674" s="72"/>
      <c r="C674" s="72"/>
      <c r="D674" s="73"/>
      <c r="E674" s="74"/>
      <c r="F674" s="74"/>
      <c r="G674" s="74"/>
      <c r="H674" s="74"/>
      <c r="I674" s="74"/>
      <c r="J674" s="74"/>
      <c r="K674" s="75"/>
      <c r="L674" s="76"/>
      <c r="M674" s="77"/>
      <c r="N674" s="30"/>
      <c r="O674" s="31"/>
      <c r="P674" s="31"/>
      <c r="Q674" s="31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customHeight="1">
      <c r="A675" s="71"/>
      <c r="B675" s="72"/>
      <c r="C675" s="72"/>
      <c r="D675" s="73"/>
      <c r="E675" s="74"/>
      <c r="F675" s="74"/>
      <c r="G675" s="74"/>
      <c r="H675" s="74"/>
      <c r="I675" s="74"/>
      <c r="J675" s="74"/>
      <c r="K675" s="75"/>
      <c r="L675" s="76"/>
      <c r="M675" s="77"/>
      <c r="N675" s="30"/>
      <c r="O675" s="31"/>
      <c r="P675" s="31"/>
      <c r="Q675" s="31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customHeight="1">
      <c r="A676" s="71"/>
      <c r="B676" s="72"/>
      <c r="C676" s="72"/>
      <c r="D676" s="73"/>
      <c r="E676" s="74"/>
      <c r="F676" s="74"/>
      <c r="G676" s="74"/>
      <c r="H676" s="74"/>
      <c r="I676" s="74"/>
      <c r="J676" s="74"/>
      <c r="K676" s="75"/>
      <c r="L676" s="76"/>
      <c r="M676" s="77"/>
      <c r="N676" s="30"/>
      <c r="O676" s="31"/>
      <c r="P676" s="31"/>
      <c r="Q676" s="31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customHeight="1">
      <c r="A677" s="71"/>
      <c r="B677" s="72"/>
      <c r="C677" s="72"/>
      <c r="D677" s="73"/>
      <c r="E677" s="74"/>
      <c r="F677" s="74"/>
      <c r="G677" s="74"/>
      <c r="H677" s="74"/>
      <c r="I677" s="74"/>
      <c r="J677" s="74"/>
      <c r="K677" s="75"/>
      <c r="L677" s="76"/>
      <c r="M677" s="77"/>
      <c r="N677" s="30"/>
      <c r="O677" s="31"/>
      <c r="P677" s="31"/>
      <c r="Q677" s="31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customHeight="1">
      <c r="A678" s="71"/>
      <c r="B678" s="72"/>
      <c r="C678" s="72"/>
      <c r="D678" s="73"/>
      <c r="E678" s="74"/>
      <c r="F678" s="74"/>
      <c r="G678" s="74"/>
      <c r="H678" s="74"/>
      <c r="I678" s="74"/>
      <c r="J678" s="74"/>
      <c r="K678" s="75"/>
      <c r="L678" s="76"/>
      <c r="M678" s="77"/>
      <c r="N678" s="30"/>
      <c r="O678" s="31"/>
      <c r="P678" s="31"/>
      <c r="Q678" s="31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customHeight="1">
      <c r="A679" s="71"/>
      <c r="B679" s="72"/>
      <c r="C679" s="72"/>
      <c r="D679" s="73"/>
      <c r="E679" s="74"/>
      <c r="F679" s="74"/>
      <c r="G679" s="74"/>
      <c r="H679" s="74"/>
      <c r="I679" s="74"/>
      <c r="J679" s="74"/>
      <c r="K679" s="75"/>
      <c r="L679" s="76"/>
      <c r="M679" s="77"/>
      <c r="N679" s="30"/>
      <c r="O679" s="31"/>
      <c r="P679" s="31"/>
      <c r="Q679" s="31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customHeight="1">
      <c r="A680" s="71"/>
      <c r="B680" s="72"/>
      <c r="C680" s="72"/>
      <c r="D680" s="73"/>
      <c r="E680" s="74"/>
      <c r="F680" s="74"/>
      <c r="G680" s="74"/>
      <c r="H680" s="74"/>
      <c r="I680" s="74"/>
      <c r="J680" s="74"/>
      <c r="K680" s="75"/>
      <c r="L680" s="76"/>
      <c r="M680" s="77"/>
      <c r="N680" s="30"/>
      <c r="O680" s="31"/>
      <c r="P680" s="31"/>
      <c r="Q680" s="31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customHeight="1">
      <c r="A681" s="71"/>
      <c r="B681" s="72"/>
      <c r="C681" s="72"/>
      <c r="D681" s="73"/>
      <c r="E681" s="74"/>
      <c r="F681" s="74"/>
      <c r="G681" s="74"/>
      <c r="H681" s="74"/>
      <c r="I681" s="74"/>
      <c r="J681" s="74"/>
      <c r="K681" s="75"/>
      <c r="L681" s="76"/>
      <c r="M681" s="77"/>
      <c r="N681" s="30"/>
      <c r="O681" s="31"/>
      <c r="P681" s="31"/>
      <c r="Q681" s="31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customHeight="1">
      <c r="A682" s="71"/>
      <c r="B682" s="72"/>
      <c r="C682" s="72"/>
      <c r="D682" s="73"/>
      <c r="E682" s="74"/>
      <c r="F682" s="74"/>
      <c r="G682" s="74"/>
      <c r="H682" s="74"/>
      <c r="I682" s="74"/>
      <c r="J682" s="74"/>
      <c r="K682" s="75"/>
      <c r="L682" s="76"/>
      <c r="M682" s="77"/>
      <c r="N682" s="30"/>
      <c r="O682" s="31"/>
      <c r="P682" s="31"/>
      <c r="Q682" s="31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customHeight="1">
      <c r="A683" s="71"/>
      <c r="B683" s="72"/>
      <c r="C683" s="72"/>
      <c r="D683" s="73"/>
      <c r="E683" s="74"/>
      <c r="F683" s="74"/>
      <c r="G683" s="74"/>
      <c r="H683" s="74"/>
      <c r="I683" s="74"/>
      <c r="J683" s="74"/>
      <c r="K683" s="75"/>
      <c r="L683" s="76"/>
      <c r="M683" s="77"/>
      <c r="N683" s="30"/>
      <c r="O683" s="31"/>
      <c r="P683" s="31"/>
      <c r="Q683" s="31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customHeight="1">
      <c r="A684" s="71"/>
      <c r="B684" s="72"/>
      <c r="C684" s="72"/>
      <c r="D684" s="73"/>
      <c r="E684" s="74"/>
      <c r="F684" s="74"/>
      <c r="G684" s="74"/>
      <c r="H684" s="74"/>
      <c r="I684" s="74"/>
      <c r="J684" s="74"/>
      <c r="K684" s="75"/>
      <c r="L684" s="76"/>
      <c r="M684" s="77"/>
      <c r="N684" s="30"/>
      <c r="O684" s="31"/>
      <c r="P684" s="31"/>
      <c r="Q684" s="31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customHeight="1">
      <c r="A685" s="71"/>
      <c r="B685" s="72"/>
      <c r="C685" s="72"/>
      <c r="D685" s="73"/>
      <c r="E685" s="74"/>
      <c r="F685" s="74"/>
      <c r="G685" s="74"/>
      <c r="H685" s="74"/>
      <c r="I685" s="74"/>
      <c r="J685" s="74"/>
      <c r="K685" s="75"/>
      <c r="L685" s="76"/>
      <c r="M685" s="77"/>
      <c r="N685" s="30"/>
      <c r="O685" s="31"/>
      <c r="P685" s="31"/>
      <c r="Q685" s="31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customHeight="1">
      <c r="A686" s="71"/>
      <c r="B686" s="72"/>
      <c r="C686" s="72"/>
      <c r="D686" s="73"/>
      <c r="E686" s="74"/>
      <c r="F686" s="74"/>
      <c r="G686" s="74"/>
      <c r="H686" s="74"/>
      <c r="I686" s="74"/>
      <c r="J686" s="74"/>
      <c r="K686" s="75"/>
      <c r="L686" s="76"/>
      <c r="M686" s="77"/>
      <c r="N686" s="30"/>
      <c r="O686" s="31"/>
      <c r="P686" s="31"/>
      <c r="Q686" s="31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customHeight="1">
      <c r="A687" s="71"/>
      <c r="B687" s="72"/>
      <c r="C687" s="72"/>
      <c r="D687" s="73"/>
      <c r="E687" s="74"/>
      <c r="F687" s="74"/>
      <c r="G687" s="74"/>
      <c r="H687" s="74"/>
      <c r="I687" s="74"/>
      <c r="J687" s="74"/>
      <c r="K687" s="75"/>
      <c r="L687" s="76"/>
      <c r="M687" s="77"/>
      <c r="N687" s="30"/>
      <c r="O687" s="31"/>
      <c r="P687" s="31"/>
      <c r="Q687" s="31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customHeight="1">
      <c r="A688" s="71"/>
      <c r="B688" s="72"/>
      <c r="C688" s="72"/>
      <c r="D688" s="73"/>
      <c r="E688" s="74"/>
      <c r="F688" s="74"/>
      <c r="G688" s="74"/>
      <c r="H688" s="74"/>
      <c r="I688" s="74"/>
      <c r="J688" s="74"/>
      <c r="K688" s="75"/>
      <c r="L688" s="76"/>
      <c r="M688" s="77"/>
      <c r="N688" s="30"/>
      <c r="O688" s="31"/>
      <c r="P688" s="31"/>
      <c r="Q688" s="31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customHeight="1">
      <c r="A689" s="71"/>
      <c r="B689" s="72"/>
      <c r="C689" s="72"/>
      <c r="D689" s="73"/>
      <c r="E689" s="74"/>
      <c r="F689" s="74"/>
      <c r="G689" s="74"/>
      <c r="H689" s="74"/>
      <c r="I689" s="74"/>
      <c r="J689" s="74"/>
      <c r="K689" s="75"/>
      <c r="L689" s="76"/>
      <c r="M689" s="77"/>
      <c r="N689" s="30"/>
      <c r="O689" s="31"/>
      <c r="P689" s="31"/>
      <c r="Q689" s="31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customHeight="1">
      <c r="A690" s="71"/>
      <c r="B690" s="72"/>
      <c r="C690" s="72"/>
      <c r="D690" s="73"/>
      <c r="E690" s="74"/>
      <c r="F690" s="74"/>
      <c r="G690" s="74"/>
      <c r="H690" s="74"/>
      <c r="I690" s="74"/>
      <c r="J690" s="74"/>
      <c r="K690" s="75"/>
      <c r="L690" s="76"/>
      <c r="M690" s="77"/>
      <c r="N690" s="30"/>
      <c r="O690" s="31"/>
      <c r="P690" s="31"/>
      <c r="Q690" s="31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customHeight="1">
      <c r="A691" s="71"/>
      <c r="B691" s="72"/>
      <c r="C691" s="72"/>
      <c r="D691" s="73"/>
      <c r="E691" s="74"/>
      <c r="F691" s="74"/>
      <c r="G691" s="74"/>
      <c r="H691" s="74"/>
      <c r="I691" s="74"/>
      <c r="J691" s="74"/>
      <c r="K691" s="75"/>
      <c r="L691" s="76"/>
      <c r="M691" s="77"/>
      <c r="N691" s="30"/>
      <c r="O691" s="31"/>
      <c r="P691" s="31"/>
      <c r="Q691" s="31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customHeight="1">
      <c r="A692" s="71"/>
      <c r="B692" s="72"/>
      <c r="C692" s="72"/>
      <c r="D692" s="73"/>
      <c r="E692" s="74"/>
      <c r="F692" s="74"/>
      <c r="G692" s="74"/>
      <c r="H692" s="74"/>
      <c r="I692" s="74"/>
      <c r="J692" s="74"/>
      <c r="K692" s="75"/>
      <c r="L692" s="76"/>
      <c r="M692" s="77"/>
      <c r="N692" s="30"/>
      <c r="O692" s="31"/>
      <c r="P692" s="31"/>
      <c r="Q692" s="31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customHeight="1">
      <c r="A693" s="71"/>
      <c r="B693" s="72"/>
      <c r="C693" s="72"/>
      <c r="D693" s="73"/>
      <c r="E693" s="74"/>
      <c r="F693" s="74"/>
      <c r="G693" s="74"/>
      <c r="H693" s="74"/>
      <c r="I693" s="74"/>
      <c r="J693" s="74"/>
      <c r="K693" s="75"/>
      <c r="L693" s="76"/>
      <c r="M693" s="77"/>
      <c r="N693" s="30"/>
      <c r="O693" s="31"/>
      <c r="P693" s="31"/>
      <c r="Q693" s="31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customHeight="1">
      <c r="A694" s="71"/>
      <c r="B694" s="72"/>
      <c r="C694" s="72"/>
      <c r="D694" s="73"/>
      <c r="E694" s="74"/>
      <c r="F694" s="74"/>
      <c r="G694" s="74"/>
      <c r="H694" s="74"/>
      <c r="I694" s="74"/>
      <c r="J694" s="74"/>
      <c r="K694" s="75"/>
      <c r="L694" s="76"/>
      <c r="M694" s="77"/>
      <c r="N694" s="30"/>
      <c r="O694" s="31"/>
      <c r="P694" s="31"/>
      <c r="Q694" s="31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customHeight="1">
      <c r="A695" s="71"/>
      <c r="B695" s="72"/>
      <c r="C695" s="72"/>
      <c r="D695" s="73"/>
      <c r="E695" s="74"/>
      <c r="F695" s="74"/>
      <c r="G695" s="74"/>
      <c r="H695" s="74"/>
      <c r="I695" s="74"/>
      <c r="J695" s="74"/>
      <c r="K695" s="75"/>
      <c r="L695" s="76"/>
      <c r="M695" s="77"/>
      <c r="N695" s="30"/>
      <c r="O695" s="31"/>
      <c r="P695" s="31"/>
      <c r="Q695" s="31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customHeight="1">
      <c r="A696" s="71"/>
      <c r="B696" s="72"/>
      <c r="C696" s="72"/>
      <c r="D696" s="73"/>
      <c r="E696" s="74"/>
      <c r="F696" s="74"/>
      <c r="G696" s="74"/>
      <c r="H696" s="74"/>
      <c r="I696" s="74"/>
      <c r="J696" s="74"/>
      <c r="K696" s="75"/>
      <c r="L696" s="76"/>
      <c r="M696" s="77"/>
      <c r="N696" s="30"/>
      <c r="O696" s="31"/>
      <c r="P696" s="31"/>
      <c r="Q696" s="31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customHeight="1">
      <c r="A697" s="71"/>
      <c r="B697" s="72"/>
      <c r="C697" s="72"/>
      <c r="D697" s="73"/>
      <c r="E697" s="74"/>
      <c r="F697" s="74"/>
      <c r="G697" s="74"/>
      <c r="H697" s="74"/>
      <c r="I697" s="74"/>
      <c r="J697" s="74"/>
      <c r="K697" s="75"/>
      <c r="L697" s="76"/>
      <c r="M697" s="77"/>
      <c r="N697" s="30"/>
      <c r="O697" s="31"/>
      <c r="P697" s="31"/>
      <c r="Q697" s="31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customHeight="1">
      <c r="A698" s="71"/>
      <c r="B698" s="72"/>
      <c r="C698" s="72"/>
      <c r="D698" s="73"/>
      <c r="E698" s="74"/>
      <c r="F698" s="74"/>
      <c r="G698" s="74"/>
      <c r="H698" s="74"/>
      <c r="I698" s="74"/>
      <c r="J698" s="74"/>
      <c r="K698" s="75"/>
      <c r="L698" s="76"/>
      <c r="M698" s="77"/>
      <c r="N698" s="30"/>
      <c r="O698" s="31"/>
      <c r="P698" s="31"/>
      <c r="Q698" s="31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customHeight="1">
      <c r="A699" s="71"/>
      <c r="B699" s="72"/>
      <c r="C699" s="72"/>
      <c r="D699" s="73"/>
      <c r="E699" s="74"/>
      <c r="F699" s="74"/>
      <c r="G699" s="74"/>
      <c r="H699" s="74"/>
      <c r="I699" s="74"/>
      <c r="J699" s="74"/>
      <c r="K699" s="75"/>
      <c r="L699" s="76"/>
      <c r="M699" s="77"/>
      <c r="N699" s="30"/>
      <c r="O699" s="31"/>
      <c r="P699" s="31"/>
      <c r="Q699" s="31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customHeight="1">
      <c r="A700" s="71"/>
      <c r="B700" s="72"/>
      <c r="C700" s="72"/>
      <c r="D700" s="73"/>
      <c r="E700" s="74"/>
      <c r="F700" s="74"/>
      <c r="G700" s="74"/>
      <c r="H700" s="74"/>
      <c r="I700" s="74"/>
      <c r="J700" s="74"/>
      <c r="K700" s="75"/>
      <c r="L700" s="76"/>
      <c r="M700" s="77"/>
      <c r="N700" s="30"/>
      <c r="O700" s="31"/>
      <c r="P700" s="31"/>
      <c r="Q700" s="31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customHeight="1">
      <c r="A701" s="71"/>
      <c r="B701" s="72"/>
      <c r="C701" s="72"/>
      <c r="D701" s="73"/>
      <c r="E701" s="74"/>
      <c r="F701" s="74"/>
      <c r="G701" s="74"/>
      <c r="H701" s="74"/>
      <c r="I701" s="74"/>
      <c r="J701" s="74"/>
      <c r="K701" s="75"/>
      <c r="L701" s="76"/>
      <c r="M701" s="77"/>
      <c r="N701" s="30"/>
      <c r="O701" s="31"/>
      <c r="P701" s="31"/>
      <c r="Q701" s="31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customHeight="1">
      <c r="A702" s="71"/>
      <c r="B702" s="72"/>
      <c r="C702" s="72"/>
      <c r="D702" s="73"/>
      <c r="E702" s="74"/>
      <c r="F702" s="74"/>
      <c r="G702" s="74"/>
      <c r="H702" s="74"/>
      <c r="I702" s="74"/>
      <c r="J702" s="74"/>
      <c r="K702" s="75"/>
      <c r="L702" s="76"/>
      <c r="M702" s="77"/>
      <c r="N702" s="30"/>
      <c r="O702" s="31"/>
      <c r="P702" s="31"/>
      <c r="Q702" s="31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customHeight="1">
      <c r="A703" s="71"/>
      <c r="B703" s="72"/>
      <c r="C703" s="72"/>
      <c r="D703" s="73"/>
      <c r="E703" s="74"/>
      <c r="F703" s="74"/>
      <c r="G703" s="74"/>
      <c r="H703" s="74"/>
      <c r="I703" s="74"/>
      <c r="J703" s="74"/>
      <c r="K703" s="75"/>
      <c r="L703" s="76"/>
      <c r="M703" s="77"/>
      <c r="N703" s="30"/>
      <c r="O703" s="31"/>
      <c r="P703" s="31"/>
      <c r="Q703" s="31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customHeight="1">
      <c r="A704" s="71"/>
      <c r="B704" s="72"/>
      <c r="C704" s="72"/>
      <c r="D704" s="73"/>
      <c r="E704" s="74"/>
      <c r="F704" s="74"/>
      <c r="G704" s="74"/>
      <c r="H704" s="74"/>
      <c r="I704" s="74"/>
      <c r="J704" s="74"/>
      <c r="K704" s="75"/>
      <c r="L704" s="76"/>
      <c r="M704" s="77"/>
      <c r="N704" s="30"/>
      <c r="O704" s="31"/>
      <c r="P704" s="31"/>
      <c r="Q704" s="31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customHeight="1">
      <c r="A705" s="71"/>
      <c r="B705" s="72"/>
      <c r="C705" s="72"/>
      <c r="D705" s="73"/>
      <c r="E705" s="74"/>
      <c r="F705" s="74"/>
      <c r="G705" s="74"/>
      <c r="H705" s="74"/>
      <c r="I705" s="74"/>
      <c r="J705" s="74"/>
      <c r="K705" s="75"/>
      <c r="L705" s="76"/>
      <c r="M705" s="77"/>
      <c r="N705" s="30"/>
      <c r="O705" s="31"/>
      <c r="P705" s="31"/>
      <c r="Q705" s="31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customHeight="1">
      <c r="A706" s="71"/>
      <c r="B706" s="72"/>
      <c r="C706" s="72"/>
      <c r="D706" s="73"/>
      <c r="E706" s="74"/>
      <c r="F706" s="74"/>
      <c r="G706" s="74"/>
      <c r="H706" s="74"/>
      <c r="I706" s="74"/>
      <c r="J706" s="74"/>
      <c r="K706" s="75"/>
      <c r="L706" s="76"/>
      <c r="M706" s="77"/>
      <c r="N706" s="30"/>
      <c r="O706" s="31"/>
      <c r="P706" s="31"/>
      <c r="Q706" s="31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customHeight="1">
      <c r="A707" s="71"/>
      <c r="B707" s="72"/>
      <c r="C707" s="72"/>
      <c r="D707" s="73"/>
      <c r="E707" s="74"/>
      <c r="F707" s="74"/>
      <c r="G707" s="74"/>
      <c r="H707" s="74"/>
      <c r="I707" s="74"/>
      <c r="J707" s="74"/>
      <c r="K707" s="75"/>
      <c r="L707" s="76"/>
      <c r="M707" s="77"/>
      <c r="N707" s="30"/>
      <c r="O707" s="31"/>
      <c r="P707" s="31"/>
      <c r="Q707" s="31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customHeight="1">
      <c r="A708" s="71"/>
      <c r="B708" s="72"/>
      <c r="C708" s="72"/>
      <c r="D708" s="73"/>
      <c r="E708" s="74"/>
      <c r="F708" s="74"/>
      <c r="G708" s="74"/>
      <c r="H708" s="74"/>
      <c r="I708" s="74"/>
      <c r="J708" s="74"/>
      <c r="K708" s="75"/>
      <c r="L708" s="76"/>
      <c r="M708" s="77"/>
      <c r="N708" s="30"/>
      <c r="O708" s="31"/>
      <c r="P708" s="31"/>
      <c r="Q708" s="31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customHeight="1">
      <c r="A709" s="71"/>
      <c r="B709" s="72"/>
      <c r="C709" s="72"/>
      <c r="D709" s="73"/>
      <c r="E709" s="74"/>
      <c r="F709" s="74"/>
      <c r="G709" s="74"/>
      <c r="H709" s="74"/>
      <c r="I709" s="74"/>
      <c r="J709" s="74"/>
      <c r="K709" s="75"/>
      <c r="L709" s="76"/>
      <c r="M709" s="77"/>
      <c r="N709" s="30"/>
      <c r="O709" s="31"/>
      <c r="P709" s="31"/>
      <c r="Q709" s="31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customHeight="1">
      <c r="A710" s="71"/>
      <c r="B710" s="72"/>
      <c r="C710" s="72"/>
      <c r="D710" s="73"/>
      <c r="E710" s="74"/>
      <c r="F710" s="74"/>
      <c r="G710" s="74"/>
      <c r="H710" s="74"/>
      <c r="I710" s="74"/>
      <c r="J710" s="74"/>
      <c r="K710" s="75"/>
      <c r="L710" s="76"/>
      <c r="M710" s="77"/>
      <c r="N710" s="30"/>
      <c r="O710" s="31"/>
      <c r="P710" s="31"/>
      <c r="Q710" s="31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customHeight="1">
      <c r="A711" s="71"/>
      <c r="B711" s="72"/>
      <c r="C711" s="72"/>
      <c r="D711" s="73"/>
      <c r="E711" s="74"/>
      <c r="F711" s="74"/>
      <c r="G711" s="74"/>
      <c r="H711" s="74"/>
      <c r="I711" s="74"/>
      <c r="J711" s="74"/>
      <c r="K711" s="75"/>
      <c r="L711" s="76"/>
      <c r="M711" s="77"/>
      <c r="N711" s="30"/>
      <c r="O711" s="31"/>
      <c r="P711" s="31"/>
      <c r="Q711" s="31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customHeight="1">
      <c r="A712" s="71"/>
      <c r="B712" s="72"/>
      <c r="C712" s="72"/>
      <c r="D712" s="73"/>
      <c r="E712" s="74"/>
      <c r="F712" s="74"/>
      <c r="G712" s="74"/>
      <c r="H712" s="74"/>
      <c r="I712" s="74"/>
      <c r="J712" s="74"/>
      <c r="K712" s="75"/>
      <c r="L712" s="76"/>
      <c r="M712" s="77"/>
      <c r="N712" s="30"/>
      <c r="O712" s="31"/>
      <c r="P712" s="31"/>
      <c r="Q712" s="31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customHeight="1">
      <c r="A713" s="71"/>
      <c r="B713" s="72"/>
      <c r="C713" s="72"/>
      <c r="D713" s="73"/>
      <c r="E713" s="74"/>
      <c r="F713" s="74"/>
      <c r="G713" s="74"/>
      <c r="H713" s="74"/>
      <c r="I713" s="74"/>
      <c r="J713" s="74"/>
      <c r="K713" s="75"/>
      <c r="L713" s="76"/>
      <c r="M713" s="77"/>
      <c r="N713" s="30"/>
      <c r="O713" s="31"/>
      <c r="P713" s="31"/>
      <c r="Q713" s="31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customHeight="1">
      <c r="A714" s="71"/>
      <c r="B714" s="72"/>
      <c r="C714" s="72"/>
      <c r="D714" s="73"/>
      <c r="E714" s="74"/>
      <c r="F714" s="74"/>
      <c r="G714" s="74"/>
      <c r="H714" s="74"/>
      <c r="I714" s="74"/>
      <c r="J714" s="74"/>
      <c r="K714" s="75"/>
      <c r="L714" s="76"/>
      <c r="M714" s="77"/>
      <c r="N714" s="30"/>
      <c r="O714" s="31"/>
      <c r="P714" s="31"/>
      <c r="Q714" s="31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customHeight="1">
      <c r="A715" s="71"/>
      <c r="B715" s="72"/>
      <c r="C715" s="72"/>
      <c r="D715" s="73"/>
      <c r="E715" s="74"/>
      <c r="F715" s="74"/>
      <c r="G715" s="74"/>
      <c r="H715" s="74"/>
      <c r="I715" s="74"/>
      <c r="J715" s="74"/>
      <c r="K715" s="75"/>
      <c r="L715" s="76"/>
      <c r="M715" s="77"/>
      <c r="N715" s="30"/>
      <c r="O715" s="31"/>
      <c r="P715" s="31"/>
      <c r="Q715" s="31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customHeight="1">
      <c r="A716" s="71"/>
      <c r="B716" s="72"/>
      <c r="C716" s="72"/>
      <c r="D716" s="73"/>
      <c r="E716" s="74"/>
      <c r="F716" s="74"/>
      <c r="G716" s="74"/>
      <c r="H716" s="74"/>
      <c r="I716" s="74"/>
      <c r="J716" s="74"/>
      <c r="K716" s="75"/>
      <c r="L716" s="76"/>
      <c r="M716" s="77"/>
      <c r="N716" s="30"/>
      <c r="O716" s="31"/>
      <c r="P716" s="31"/>
      <c r="Q716" s="31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customHeight="1">
      <c r="A717" s="71"/>
      <c r="B717" s="72"/>
      <c r="C717" s="72"/>
      <c r="D717" s="73"/>
      <c r="E717" s="74"/>
      <c r="F717" s="74"/>
      <c r="G717" s="74"/>
      <c r="H717" s="74"/>
      <c r="I717" s="74"/>
      <c r="J717" s="74"/>
      <c r="K717" s="75"/>
      <c r="L717" s="76"/>
      <c r="M717" s="77"/>
      <c r="N717" s="30"/>
      <c r="O717" s="31"/>
      <c r="P717" s="31"/>
      <c r="Q717" s="31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customHeight="1">
      <c r="A718" s="71"/>
      <c r="B718" s="72"/>
      <c r="C718" s="72"/>
      <c r="D718" s="73"/>
      <c r="E718" s="74"/>
      <c r="F718" s="74"/>
      <c r="G718" s="74"/>
      <c r="H718" s="74"/>
      <c r="I718" s="74"/>
      <c r="J718" s="74"/>
      <c r="K718" s="75"/>
      <c r="L718" s="76"/>
      <c r="M718" s="77"/>
      <c r="N718" s="30"/>
      <c r="O718" s="31"/>
      <c r="P718" s="31"/>
      <c r="Q718" s="31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customHeight="1">
      <c r="A719" s="71"/>
      <c r="B719" s="72"/>
      <c r="C719" s="72"/>
      <c r="D719" s="73"/>
      <c r="E719" s="74"/>
      <c r="F719" s="74"/>
      <c r="G719" s="74"/>
      <c r="H719" s="74"/>
      <c r="I719" s="74"/>
      <c r="J719" s="74"/>
      <c r="K719" s="75"/>
      <c r="L719" s="76"/>
      <c r="M719" s="77"/>
      <c r="N719" s="30"/>
      <c r="O719" s="31"/>
      <c r="P719" s="31"/>
      <c r="Q719" s="31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customHeight="1">
      <c r="A720" s="71"/>
      <c r="B720" s="72"/>
      <c r="C720" s="72"/>
      <c r="D720" s="73"/>
      <c r="E720" s="74"/>
      <c r="F720" s="74"/>
      <c r="G720" s="74"/>
      <c r="H720" s="74"/>
      <c r="I720" s="74"/>
      <c r="J720" s="74"/>
      <c r="K720" s="75"/>
      <c r="L720" s="76"/>
      <c r="M720" s="77"/>
      <c r="N720" s="30"/>
      <c r="O720" s="31"/>
      <c r="P720" s="31"/>
      <c r="Q720" s="31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customHeight="1">
      <c r="A721" s="71"/>
      <c r="B721" s="72"/>
      <c r="C721" s="72"/>
      <c r="D721" s="73"/>
      <c r="E721" s="74"/>
      <c r="F721" s="74"/>
      <c r="G721" s="74"/>
      <c r="H721" s="74"/>
      <c r="I721" s="74"/>
      <c r="J721" s="74"/>
      <c r="K721" s="75"/>
      <c r="L721" s="76"/>
      <c r="M721" s="77"/>
      <c r="N721" s="30"/>
      <c r="O721" s="31"/>
      <c r="P721" s="31"/>
      <c r="Q721" s="31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customHeight="1">
      <c r="A722" s="71"/>
      <c r="B722" s="72"/>
      <c r="C722" s="72"/>
      <c r="D722" s="73"/>
      <c r="E722" s="74"/>
      <c r="F722" s="74"/>
      <c r="G722" s="74"/>
      <c r="H722" s="74"/>
      <c r="I722" s="74"/>
      <c r="J722" s="74"/>
      <c r="K722" s="75"/>
      <c r="L722" s="76"/>
      <c r="M722" s="77"/>
      <c r="N722" s="30"/>
      <c r="O722" s="31"/>
      <c r="P722" s="31"/>
      <c r="Q722" s="31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customHeight="1">
      <c r="A723" s="71"/>
      <c r="B723" s="72"/>
      <c r="C723" s="72"/>
      <c r="D723" s="73"/>
      <c r="E723" s="74"/>
      <c r="F723" s="74"/>
      <c r="G723" s="74"/>
      <c r="H723" s="74"/>
      <c r="I723" s="74"/>
      <c r="J723" s="74"/>
      <c r="K723" s="75"/>
      <c r="L723" s="76"/>
      <c r="M723" s="77"/>
      <c r="N723" s="30"/>
      <c r="O723" s="31"/>
      <c r="P723" s="31"/>
      <c r="Q723" s="31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customHeight="1">
      <c r="A724" s="71"/>
      <c r="B724" s="72"/>
      <c r="C724" s="72"/>
      <c r="D724" s="73"/>
      <c r="E724" s="74"/>
      <c r="F724" s="74"/>
      <c r="G724" s="74"/>
      <c r="H724" s="74"/>
      <c r="I724" s="74"/>
      <c r="J724" s="74"/>
      <c r="K724" s="75"/>
      <c r="L724" s="76"/>
      <c r="M724" s="77"/>
      <c r="N724" s="30"/>
      <c r="O724" s="31"/>
      <c r="P724" s="31"/>
      <c r="Q724" s="31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customHeight="1">
      <c r="A725" s="71"/>
      <c r="B725" s="72"/>
      <c r="C725" s="72"/>
      <c r="D725" s="73"/>
      <c r="E725" s="74"/>
      <c r="F725" s="74"/>
      <c r="G725" s="74"/>
      <c r="H725" s="74"/>
      <c r="I725" s="74"/>
      <c r="J725" s="74"/>
      <c r="K725" s="75"/>
      <c r="L725" s="76"/>
      <c r="M725" s="77"/>
      <c r="N725" s="30"/>
      <c r="O725" s="31"/>
      <c r="P725" s="31"/>
      <c r="Q725" s="31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customHeight="1">
      <c r="A726" s="71"/>
      <c r="B726" s="72"/>
      <c r="C726" s="72"/>
      <c r="D726" s="73"/>
      <c r="E726" s="74"/>
      <c r="F726" s="74"/>
      <c r="G726" s="74"/>
      <c r="H726" s="74"/>
      <c r="I726" s="74"/>
      <c r="J726" s="74"/>
      <c r="K726" s="75"/>
      <c r="L726" s="76"/>
      <c r="M726" s="77"/>
      <c r="N726" s="30"/>
      <c r="O726" s="31"/>
      <c r="P726" s="31"/>
      <c r="Q726" s="31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customHeight="1">
      <c r="A727" s="71"/>
      <c r="B727" s="72"/>
      <c r="C727" s="72"/>
      <c r="D727" s="73"/>
      <c r="E727" s="74"/>
      <c r="F727" s="74"/>
      <c r="G727" s="74"/>
      <c r="H727" s="74"/>
      <c r="I727" s="74"/>
      <c r="J727" s="74"/>
      <c r="K727" s="75"/>
      <c r="L727" s="76"/>
      <c r="M727" s="77"/>
      <c r="N727" s="30"/>
      <c r="O727" s="31"/>
      <c r="P727" s="31"/>
      <c r="Q727" s="31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customHeight="1">
      <c r="A728" s="71"/>
      <c r="B728" s="72"/>
      <c r="C728" s="72"/>
      <c r="D728" s="73"/>
      <c r="E728" s="74"/>
      <c r="F728" s="74"/>
      <c r="G728" s="74"/>
      <c r="H728" s="74"/>
      <c r="I728" s="74"/>
      <c r="J728" s="74"/>
      <c r="K728" s="75"/>
      <c r="L728" s="76"/>
      <c r="M728" s="77"/>
      <c r="N728" s="30"/>
      <c r="O728" s="31"/>
      <c r="P728" s="31"/>
      <c r="Q728" s="31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customHeight="1">
      <c r="A729" s="71"/>
      <c r="B729" s="72"/>
      <c r="C729" s="72"/>
      <c r="D729" s="73"/>
      <c r="E729" s="74"/>
      <c r="F729" s="74"/>
      <c r="G729" s="74"/>
      <c r="H729" s="74"/>
      <c r="I729" s="74"/>
      <c r="J729" s="74"/>
      <c r="K729" s="75"/>
      <c r="L729" s="76"/>
      <c r="M729" s="77"/>
      <c r="N729" s="30"/>
      <c r="O729" s="31"/>
      <c r="P729" s="31"/>
      <c r="Q729" s="31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customHeight="1">
      <c r="A730" s="71"/>
      <c r="B730" s="72"/>
      <c r="C730" s="72"/>
      <c r="D730" s="73"/>
      <c r="E730" s="74"/>
      <c r="F730" s="74"/>
      <c r="G730" s="74"/>
      <c r="H730" s="74"/>
      <c r="I730" s="74"/>
      <c r="J730" s="74"/>
      <c r="K730" s="75"/>
      <c r="L730" s="76"/>
      <c r="M730" s="77"/>
      <c r="N730" s="30"/>
      <c r="O730" s="31"/>
      <c r="P730" s="31"/>
      <c r="Q730" s="31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customHeight="1">
      <c r="A731" s="71"/>
      <c r="B731" s="72"/>
      <c r="C731" s="72"/>
      <c r="D731" s="73"/>
      <c r="E731" s="74"/>
      <c r="F731" s="74"/>
      <c r="G731" s="74"/>
      <c r="H731" s="74"/>
      <c r="I731" s="74"/>
      <c r="J731" s="74"/>
      <c r="K731" s="75"/>
      <c r="L731" s="76"/>
      <c r="M731" s="77"/>
      <c r="N731" s="30"/>
      <c r="O731" s="31"/>
      <c r="P731" s="31"/>
      <c r="Q731" s="31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customHeight="1">
      <c r="A732" s="71"/>
      <c r="B732" s="72"/>
      <c r="C732" s="72"/>
      <c r="D732" s="73"/>
      <c r="E732" s="74"/>
      <c r="F732" s="74"/>
      <c r="G732" s="74"/>
      <c r="H732" s="74"/>
      <c r="I732" s="74"/>
      <c r="J732" s="74"/>
      <c r="K732" s="75"/>
      <c r="L732" s="76"/>
      <c r="M732" s="77"/>
      <c r="N732" s="30"/>
      <c r="O732" s="31"/>
      <c r="P732" s="31"/>
      <c r="Q732" s="31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customHeight="1">
      <c r="A733" s="71"/>
      <c r="B733" s="72"/>
      <c r="C733" s="72"/>
      <c r="D733" s="73"/>
      <c r="E733" s="74"/>
      <c r="F733" s="74"/>
      <c r="G733" s="74"/>
      <c r="H733" s="74"/>
      <c r="I733" s="74"/>
      <c r="J733" s="74"/>
      <c r="K733" s="75"/>
      <c r="L733" s="76"/>
      <c r="M733" s="77"/>
      <c r="N733" s="30"/>
      <c r="O733" s="31"/>
      <c r="P733" s="31"/>
      <c r="Q733" s="31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customHeight="1">
      <c r="A734" s="71"/>
      <c r="B734" s="72"/>
      <c r="C734" s="72"/>
      <c r="D734" s="73"/>
      <c r="E734" s="74"/>
      <c r="F734" s="74"/>
      <c r="G734" s="74"/>
      <c r="H734" s="74"/>
      <c r="I734" s="74"/>
      <c r="J734" s="74"/>
      <c r="K734" s="75"/>
      <c r="L734" s="76"/>
      <c r="M734" s="77"/>
      <c r="N734" s="30"/>
      <c r="O734" s="31"/>
      <c r="P734" s="31"/>
      <c r="Q734" s="31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customHeight="1">
      <c r="A735" s="71"/>
      <c r="B735" s="72"/>
      <c r="C735" s="72"/>
      <c r="D735" s="73"/>
      <c r="E735" s="74"/>
      <c r="F735" s="74"/>
      <c r="G735" s="74"/>
      <c r="H735" s="74"/>
      <c r="I735" s="74"/>
      <c r="J735" s="74"/>
      <c r="K735" s="75"/>
      <c r="L735" s="76"/>
      <c r="M735" s="77"/>
      <c r="N735" s="30"/>
      <c r="O735" s="31"/>
      <c r="P735" s="31"/>
      <c r="Q735" s="31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customHeight="1">
      <c r="A736" s="71"/>
      <c r="B736" s="72"/>
      <c r="C736" s="72"/>
      <c r="D736" s="73"/>
      <c r="E736" s="74"/>
      <c r="F736" s="74"/>
      <c r="G736" s="74"/>
      <c r="H736" s="74"/>
      <c r="I736" s="74"/>
      <c r="J736" s="74"/>
      <c r="K736" s="75"/>
      <c r="L736" s="76"/>
      <c r="M736" s="77"/>
      <c r="N736" s="30"/>
      <c r="O736" s="31"/>
      <c r="P736" s="31"/>
      <c r="Q736" s="31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customHeight="1">
      <c r="A737" s="71"/>
      <c r="B737" s="72"/>
      <c r="C737" s="72"/>
      <c r="D737" s="73"/>
      <c r="E737" s="74"/>
      <c r="F737" s="74"/>
      <c r="G737" s="74"/>
      <c r="H737" s="74"/>
      <c r="I737" s="74"/>
      <c r="J737" s="74"/>
      <c r="K737" s="75"/>
      <c r="L737" s="76"/>
      <c r="M737" s="77"/>
      <c r="N737" s="30"/>
      <c r="O737" s="31"/>
      <c r="P737" s="31"/>
      <c r="Q737" s="31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customHeight="1">
      <c r="A738" s="71"/>
      <c r="B738" s="72"/>
      <c r="C738" s="72"/>
      <c r="D738" s="73"/>
      <c r="E738" s="74"/>
      <c r="F738" s="74"/>
      <c r="G738" s="74"/>
      <c r="H738" s="74"/>
      <c r="I738" s="74"/>
      <c r="J738" s="74"/>
      <c r="K738" s="75"/>
      <c r="L738" s="76"/>
      <c r="M738" s="77"/>
      <c r="N738" s="30"/>
      <c r="O738" s="31"/>
      <c r="P738" s="31"/>
      <c r="Q738" s="31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customHeight="1">
      <c r="A739" s="71"/>
      <c r="B739" s="72"/>
      <c r="C739" s="72"/>
      <c r="D739" s="73"/>
      <c r="E739" s="74"/>
      <c r="F739" s="74"/>
      <c r="G739" s="74"/>
      <c r="H739" s="74"/>
      <c r="I739" s="74"/>
      <c r="J739" s="74"/>
      <c r="K739" s="75"/>
      <c r="L739" s="76"/>
      <c r="M739" s="77"/>
      <c r="N739" s="30"/>
      <c r="O739" s="31"/>
      <c r="P739" s="31"/>
      <c r="Q739" s="31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customHeight="1">
      <c r="A740" s="71"/>
      <c r="B740" s="72"/>
      <c r="C740" s="72"/>
      <c r="D740" s="73"/>
      <c r="E740" s="74"/>
      <c r="F740" s="74"/>
      <c r="G740" s="74"/>
      <c r="H740" s="74"/>
      <c r="I740" s="74"/>
      <c r="J740" s="74"/>
      <c r="K740" s="75"/>
      <c r="L740" s="76"/>
      <c r="M740" s="77"/>
      <c r="N740" s="30"/>
      <c r="O740" s="31"/>
      <c r="P740" s="31"/>
      <c r="Q740" s="31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customHeight="1">
      <c r="A741" s="71"/>
      <c r="B741" s="72"/>
      <c r="C741" s="72"/>
      <c r="D741" s="73"/>
      <c r="E741" s="74"/>
      <c r="F741" s="74"/>
      <c r="G741" s="74"/>
      <c r="H741" s="74"/>
      <c r="I741" s="74"/>
      <c r="J741" s="74"/>
      <c r="K741" s="75"/>
      <c r="L741" s="76"/>
      <c r="M741" s="77"/>
      <c r="N741" s="30"/>
      <c r="O741" s="31"/>
      <c r="P741" s="31"/>
      <c r="Q741" s="31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customHeight="1">
      <c r="A742" s="71"/>
      <c r="B742" s="72"/>
      <c r="C742" s="72"/>
      <c r="D742" s="73"/>
      <c r="E742" s="74"/>
      <c r="F742" s="74"/>
      <c r="G742" s="74"/>
      <c r="H742" s="74"/>
      <c r="I742" s="74"/>
      <c r="J742" s="74"/>
      <c r="K742" s="75"/>
      <c r="L742" s="76"/>
      <c r="M742" s="77"/>
      <c r="N742" s="30"/>
      <c r="O742" s="31"/>
      <c r="P742" s="31"/>
      <c r="Q742" s="31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customHeight="1">
      <c r="A743" s="71"/>
      <c r="B743" s="72"/>
      <c r="C743" s="72"/>
      <c r="D743" s="73"/>
      <c r="E743" s="74"/>
      <c r="F743" s="74"/>
      <c r="G743" s="74"/>
      <c r="H743" s="74"/>
      <c r="I743" s="74"/>
      <c r="J743" s="74"/>
      <c r="K743" s="75"/>
      <c r="L743" s="76"/>
      <c r="M743" s="77"/>
      <c r="N743" s="30"/>
      <c r="O743" s="31"/>
      <c r="P743" s="31"/>
      <c r="Q743" s="31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customHeight="1">
      <c r="A744" s="71"/>
      <c r="B744" s="72"/>
      <c r="C744" s="72"/>
      <c r="D744" s="73"/>
      <c r="E744" s="74"/>
      <c r="F744" s="74"/>
      <c r="G744" s="74"/>
      <c r="H744" s="74"/>
      <c r="I744" s="74"/>
      <c r="J744" s="74"/>
      <c r="K744" s="75"/>
      <c r="L744" s="76"/>
      <c r="M744" s="77"/>
      <c r="N744" s="30"/>
      <c r="O744" s="31"/>
      <c r="P744" s="31"/>
      <c r="Q744" s="31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customHeight="1">
      <c r="A745" s="71"/>
      <c r="B745" s="72"/>
      <c r="C745" s="72"/>
      <c r="D745" s="73"/>
      <c r="E745" s="74"/>
      <c r="F745" s="74"/>
      <c r="G745" s="74"/>
      <c r="H745" s="74"/>
      <c r="I745" s="74"/>
      <c r="J745" s="74"/>
      <c r="K745" s="75"/>
      <c r="L745" s="76"/>
      <c r="M745" s="77"/>
      <c r="N745" s="30"/>
      <c r="O745" s="31"/>
      <c r="P745" s="31"/>
      <c r="Q745" s="31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customHeight="1">
      <c r="A746" s="71"/>
      <c r="B746" s="72"/>
      <c r="C746" s="72"/>
      <c r="D746" s="73"/>
      <c r="E746" s="74"/>
      <c r="F746" s="74"/>
      <c r="G746" s="74"/>
      <c r="H746" s="74"/>
      <c r="I746" s="74"/>
      <c r="J746" s="74"/>
      <c r="K746" s="75"/>
      <c r="L746" s="76"/>
      <c r="M746" s="77"/>
      <c r="N746" s="30"/>
      <c r="O746" s="31"/>
      <c r="P746" s="31"/>
      <c r="Q746" s="31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customHeight="1">
      <c r="A747" s="71"/>
      <c r="B747" s="72"/>
      <c r="C747" s="72"/>
      <c r="D747" s="73"/>
      <c r="E747" s="74"/>
      <c r="F747" s="74"/>
      <c r="G747" s="74"/>
      <c r="H747" s="74"/>
      <c r="I747" s="74"/>
      <c r="J747" s="74"/>
      <c r="K747" s="75"/>
      <c r="L747" s="76"/>
      <c r="M747" s="77"/>
      <c r="N747" s="30"/>
      <c r="O747" s="31"/>
      <c r="P747" s="31"/>
      <c r="Q747" s="31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customHeight="1">
      <c r="A748" s="71"/>
      <c r="B748" s="72"/>
      <c r="C748" s="72"/>
      <c r="D748" s="73"/>
      <c r="E748" s="74"/>
      <c r="F748" s="74"/>
      <c r="G748" s="74"/>
      <c r="H748" s="74"/>
      <c r="I748" s="74"/>
      <c r="J748" s="74"/>
      <c r="K748" s="75"/>
      <c r="L748" s="76"/>
      <c r="M748" s="77"/>
      <c r="N748" s="30"/>
      <c r="O748" s="31"/>
      <c r="P748" s="31"/>
      <c r="Q748" s="31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customHeight="1">
      <c r="A749" s="71"/>
      <c r="B749" s="72"/>
      <c r="C749" s="72"/>
      <c r="D749" s="73"/>
      <c r="E749" s="74"/>
      <c r="F749" s="74"/>
      <c r="G749" s="74"/>
      <c r="H749" s="74"/>
      <c r="I749" s="74"/>
      <c r="J749" s="74"/>
      <c r="K749" s="75"/>
      <c r="L749" s="76"/>
      <c r="M749" s="77"/>
      <c r="N749" s="30"/>
      <c r="O749" s="31"/>
      <c r="P749" s="31"/>
      <c r="Q749" s="31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customHeight="1">
      <c r="A750" s="71"/>
      <c r="B750" s="72"/>
      <c r="C750" s="72"/>
      <c r="D750" s="73"/>
      <c r="E750" s="74"/>
      <c r="F750" s="74"/>
      <c r="G750" s="74"/>
      <c r="H750" s="74"/>
      <c r="I750" s="74"/>
      <c r="J750" s="74"/>
      <c r="K750" s="75"/>
      <c r="L750" s="76"/>
      <c r="M750" s="77"/>
      <c r="N750" s="30"/>
      <c r="O750" s="31"/>
      <c r="P750" s="31"/>
      <c r="Q750" s="31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customHeight="1">
      <c r="A751" s="71"/>
      <c r="B751" s="72"/>
      <c r="C751" s="72"/>
      <c r="D751" s="73"/>
      <c r="E751" s="74"/>
      <c r="F751" s="74"/>
      <c r="G751" s="74"/>
      <c r="H751" s="74"/>
      <c r="I751" s="74"/>
      <c r="J751" s="74"/>
      <c r="K751" s="75"/>
      <c r="L751" s="76"/>
      <c r="M751" s="77"/>
      <c r="N751" s="30"/>
      <c r="O751" s="31"/>
      <c r="P751" s="31"/>
      <c r="Q751" s="31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customHeight="1">
      <c r="A752" s="71"/>
      <c r="B752" s="72"/>
      <c r="C752" s="72"/>
      <c r="D752" s="73"/>
      <c r="E752" s="74"/>
      <c r="F752" s="74"/>
      <c r="G752" s="74"/>
      <c r="H752" s="74"/>
      <c r="I752" s="74"/>
      <c r="J752" s="74"/>
      <c r="K752" s="75"/>
      <c r="L752" s="76"/>
      <c r="M752" s="77"/>
      <c r="N752" s="30"/>
      <c r="O752" s="31"/>
      <c r="P752" s="31"/>
      <c r="Q752" s="31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customHeight="1">
      <c r="A753" s="71"/>
      <c r="B753" s="72"/>
      <c r="C753" s="72"/>
      <c r="D753" s="73"/>
      <c r="E753" s="74"/>
      <c r="F753" s="74"/>
      <c r="G753" s="74"/>
      <c r="H753" s="74"/>
      <c r="I753" s="74"/>
      <c r="J753" s="74"/>
      <c r="K753" s="75"/>
      <c r="L753" s="76"/>
      <c r="M753" s="77"/>
      <c r="N753" s="30"/>
      <c r="O753" s="31"/>
      <c r="P753" s="31"/>
      <c r="Q753" s="31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customHeight="1">
      <c r="A754" s="71"/>
      <c r="B754" s="72"/>
      <c r="C754" s="72"/>
      <c r="D754" s="73"/>
      <c r="E754" s="74"/>
      <c r="F754" s="74"/>
      <c r="G754" s="74"/>
      <c r="H754" s="74"/>
      <c r="I754" s="74"/>
      <c r="J754" s="74"/>
      <c r="K754" s="75"/>
      <c r="L754" s="76"/>
      <c r="M754" s="77"/>
      <c r="N754" s="30"/>
      <c r="O754" s="31"/>
      <c r="P754" s="31"/>
      <c r="Q754" s="31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customHeight="1">
      <c r="A755" s="71"/>
      <c r="B755" s="72"/>
      <c r="C755" s="72"/>
      <c r="D755" s="73"/>
      <c r="E755" s="74"/>
      <c r="F755" s="74"/>
      <c r="G755" s="74"/>
      <c r="H755" s="74"/>
      <c r="I755" s="74"/>
      <c r="J755" s="74"/>
      <c r="K755" s="75"/>
      <c r="L755" s="76"/>
      <c r="M755" s="77"/>
      <c r="N755" s="30"/>
      <c r="O755" s="31"/>
      <c r="P755" s="31"/>
      <c r="Q755" s="31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customHeight="1">
      <c r="A756" s="71"/>
      <c r="B756" s="72"/>
      <c r="C756" s="72"/>
      <c r="D756" s="73"/>
      <c r="E756" s="74"/>
      <c r="F756" s="74"/>
      <c r="G756" s="74"/>
      <c r="H756" s="74"/>
      <c r="I756" s="74"/>
      <c r="J756" s="74"/>
      <c r="K756" s="75"/>
      <c r="L756" s="76"/>
      <c r="M756" s="77"/>
      <c r="N756" s="30"/>
      <c r="O756" s="31"/>
      <c r="P756" s="31"/>
      <c r="Q756" s="31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customHeight="1">
      <c r="A757" s="71"/>
      <c r="B757" s="72"/>
      <c r="C757" s="72"/>
      <c r="D757" s="73"/>
      <c r="E757" s="74"/>
      <c r="F757" s="74"/>
      <c r="G757" s="74"/>
      <c r="H757" s="74"/>
      <c r="I757" s="74"/>
      <c r="J757" s="74"/>
      <c r="K757" s="75"/>
      <c r="L757" s="76"/>
      <c r="M757" s="77"/>
      <c r="N757" s="30"/>
      <c r="O757" s="31"/>
      <c r="P757" s="31"/>
      <c r="Q757" s="31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customHeight="1">
      <c r="A758" s="71"/>
      <c r="B758" s="72"/>
      <c r="C758" s="72"/>
      <c r="D758" s="73"/>
      <c r="E758" s="74"/>
      <c r="F758" s="74"/>
      <c r="G758" s="74"/>
      <c r="H758" s="74"/>
      <c r="I758" s="74"/>
      <c r="J758" s="74"/>
      <c r="K758" s="75"/>
      <c r="L758" s="76"/>
      <c r="M758" s="77"/>
      <c r="N758" s="30"/>
      <c r="O758" s="31"/>
      <c r="P758" s="31"/>
      <c r="Q758" s="31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customHeight="1">
      <c r="A759" s="71"/>
      <c r="B759" s="72"/>
      <c r="C759" s="72"/>
      <c r="D759" s="73"/>
      <c r="E759" s="74"/>
      <c r="F759" s="74"/>
      <c r="G759" s="74"/>
      <c r="H759" s="74"/>
      <c r="I759" s="74"/>
      <c r="J759" s="74"/>
      <c r="K759" s="75"/>
      <c r="L759" s="76"/>
      <c r="M759" s="77"/>
      <c r="N759" s="30"/>
      <c r="O759" s="31"/>
      <c r="P759" s="31"/>
      <c r="Q759" s="31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customHeight="1">
      <c r="A760" s="71"/>
      <c r="B760" s="72"/>
      <c r="C760" s="72"/>
      <c r="D760" s="73"/>
      <c r="E760" s="74"/>
      <c r="F760" s="74"/>
      <c r="G760" s="74"/>
      <c r="H760" s="74"/>
      <c r="I760" s="74"/>
      <c r="J760" s="74"/>
      <c r="K760" s="75"/>
      <c r="L760" s="76"/>
      <c r="M760" s="77"/>
      <c r="N760" s="30"/>
      <c r="O760" s="31"/>
      <c r="P760" s="31"/>
      <c r="Q760" s="31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customHeight="1">
      <c r="A761" s="71"/>
      <c r="B761" s="72"/>
      <c r="C761" s="72"/>
      <c r="D761" s="73"/>
      <c r="E761" s="74"/>
      <c r="F761" s="74"/>
      <c r="G761" s="74"/>
      <c r="H761" s="74"/>
      <c r="I761" s="74"/>
      <c r="J761" s="74"/>
      <c r="K761" s="75"/>
      <c r="L761" s="76"/>
      <c r="M761" s="77"/>
      <c r="N761" s="30"/>
      <c r="O761" s="31"/>
      <c r="P761" s="31"/>
      <c r="Q761" s="31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customHeight="1">
      <c r="A762" s="71"/>
      <c r="B762" s="72"/>
      <c r="C762" s="72"/>
      <c r="D762" s="73"/>
      <c r="E762" s="74"/>
      <c r="F762" s="74"/>
      <c r="G762" s="74"/>
      <c r="H762" s="74"/>
      <c r="I762" s="74"/>
      <c r="J762" s="74"/>
      <c r="K762" s="75"/>
      <c r="L762" s="76"/>
      <c r="M762" s="77"/>
      <c r="N762" s="30"/>
      <c r="O762" s="31"/>
      <c r="P762" s="31"/>
      <c r="Q762" s="31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customHeight="1">
      <c r="A763" s="71"/>
      <c r="B763" s="72"/>
      <c r="C763" s="72"/>
      <c r="D763" s="73"/>
      <c r="E763" s="74"/>
      <c r="F763" s="74"/>
      <c r="G763" s="74"/>
      <c r="H763" s="74"/>
      <c r="I763" s="74"/>
      <c r="J763" s="74"/>
      <c r="K763" s="75"/>
      <c r="L763" s="76"/>
      <c r="M763" s="77"/>
      <c r="N763" s="30"/>
      <c r="O763" s="31"/>
      <c r="P763" s="31"/>
      <c r="Q763" s="31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customHeight="1">
      <c r="A764" s="71"/>
      <c r="B764" s="72"/>
      <c r="C764" s="72"/>
      <c r="D764" s="73"/>
      <c r="E764" s="74"/>
      <c r="F764" s="74"/>
      <c r="G764" s="74"/>
      <c r="H764" s="74"/>
      <c r="I764" s="74"/>
      <c r="J764" s="74"/>
      <c r="K764" s="75"/>
      <c r="L764" s="76"/>
      <c r="M764" s="77"/>
      <c r="N764" s="30"/>
      <c r="O764" s="31"/>
      <c r="P764" s="31"/>
      <c r="Q764" s="31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customHeight="1">
      <c r="A765" s="71"/>
      <c r="B765" s="72"/>
      <c r="C765" s="72"/>
      <c r="D765" s="73"/>
      <c r="E765" s="74"/>
      <c r="F765" s="74"/>
      <c r="G765" s="74"/>
      <c r="H765" s="74"/>
      <c r="I765" s="74"/>
      <c r="J765" s="74"/>
      <c r="K765" s="75"/>
      <c r="L765" s="76"/>
      <c r="M765" s="77"/>
      <c r="N765" s="30"/>
      <c r="O765" s="31"/>
      <c r="P765" s="31"/>
      <c r="Q765" s="31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customHeight="1">
      <c r="A766" s="71"/>
      <c r="B766" s="72"/>
      <c r="C766" s="72"/>
      <c r="D766" s="73"/>
      <c r="E766" s="74"/>
      <c r="F766" s="74"/>
      <c r="G766" s="74"/>
      <c r="H766" s="74"/>
      <c r="I766" s="74"/>
      <c r="J766" s="74"/>
      <c r="K766" s="75"/>
      <c r="L766" s="76"/>
      <c r="M766" s="77"/>
      <c r="N766" s="30"/>
      <c r="O766" s="31"/>
      <c r="P766" s="31"/>
      <c r="Q766" s="31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customHeight="1">
      <c r="A767" s="71"/>
      <c r="B767" s="72"/>
      <c r="C767" s="72"/>
      <c r="D767" s="73"/>
      <c r="E767" s="74"/>
      <c r="F767" s="74"/>
      <c r="G767" s="74"/>
      <c r="H767" s="74"/>
      <c r="I767" s="74"/>
      <c r="J767" s="74"/>
      <c r="K767" s="75"/>
      <c r="L767" s="76"/>
      <c r="M767" s="77"/>
      <c r="N767" s="30"/>
      <c r="O767" s="31"/>
      <c r="P767" s="31"/>
      <c r="Q767" s="31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customHeight="1">
      <c r="A768" s="71"/>
      <c r="B768" s="72"/>
      <c r="C768" s="72"/>
      <c r="D768" s="73"/>
      <c r="E768" s="74"/>
      <c r="F768" s="74"/>
      <c r="G768" s="74"/>
      <c r="H768" s="74"/>
      <c r="I768" s="74"/>
      <c r="J768" s="74"/>
      <c r="K768" s="75"/>
      <c r="L768" s="76"/>
      <c r="M768" s="77"/>
      <c r="N768" s="30"/>
      <c r="O768" s="31"/>
      <c r="P768" s="31"/>
      <c r="Q768" s="31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customHeight="1">
      <c r="A769" s="71"/>
      <c r="B769" s="72"/>
      <c r="C769" s="72"/>
      <c r="D769" s="73"/>
      <c r="E769" s="74"/>
      <c r="F769" s="74"/>
      <c r="G769" s="74"/>
      <c r="H769" s="74"/>
      <c r="I769" s="74"/>
      <c r="J769" s="74"/>
      <c r="K769" s="75"/>
      <c r="L769" s="76"/>
      <c r="M769" s="77"/>
      <c r="N769" s="30"/>
      <c r="O769" s="31"/>
      <c r="P769" s="31"/>
      <c r="Q769" s="31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customHeight="1">
      <c r="A770" s="71"/>
      <c r="B770" s="72"/>
      <c r="C770" s="72"/>
      <c r="D770" s="73"/>
      <c r="E770" s="74"/>
      <c r="F770" s="74"/>
      <c r="G770" s="74"/>
      <c r="H770" s="74"/>
      <c r="I770" s="74"/>
      <c r="J770" s="74"/>
      <c r="K770" s="75"/>
      <c r="L770" s="76"/>
      <c r="M770" s="77"/>
      <c r="N770" s="30"/>
      <c r="O770" s="31"/>
      <c r="P770" s="31"/>
      <c r="Q770" s="31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customHeight="1">
      <c r="A771" s="71"/>
      <c r="B771" s="72"/>
      <c r="C771" s="72"/>
      <c r="D771" s="73"/>
      <c r="E771" s="74"/>
      <c r="F771" s="74"/>
      <c r="G771" s="74"/>
      <c r="H771" s="74"/>
      <c r="I771" s="74"/>
      <c r="J771" s="74"/>
      <c r="K771" s="75"/>
      <c r="L771" s="76"/>
      <c r="M771" s="77"/>
      <c r="N771" s="30"/>
      <c r="O771" s="31"/>
      <c r="P771" s="31"/>
      <c r="Q771" s="31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customHeight="1">
      <c r="A772" s="71"/>
      <c r="B772" s="72"/>
      <c r="C772" s="72"/>
      <c r="D772" s="73"/>
      <c r="E772" s="74"/>
      <c r="F772" s="74"/>
      <c r="G772" s="74"/>
      <c r="H772" s="74"/>
      <c r="I772" s="74"/>
      <c r="J772" s="74"/>
      <c r="K772" s="75"/>
      <c r="L772" s="76"/>
      <c r="M772" s="77"/>
      <c r="N772" s="30"/>
      <c r="O772" s="31"/>
      <c r="P772" s="31"/>
      <c r="Q772" s="31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customHeight="1">
      <c r="A773" s="71"/>
      <c r="B773" s="72"/>
      <c r="C773" s="72"/>
      <c r="D773" s="73"/>
      <c r="E773" s="74"/>
      <c r="F773" s="74"/>
      <c r="G773" s="74"/>
      <c r="H773" s="74"/>
      <c r="I773" s="74"/>
      <c r="J773" s="74"/>
      <c r="K773" s="75"/>
      <c r="L773" s="76"/>
      <c r="M773" s="77"/>
      <c r="N773" s="30"/>
      <c r="O773" s="31"/>
      <c r="P773" s="31"/>
      <c r="Q773" s="31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customHeight="1">
      <c r="A774" s="71"/>
      <c r="B774" s="72"/>
      <c r="C774" s="72"/>
      <c r="D774" s="73"/>
      <c r="E774" s="74"/>
      <c r="F774" s="74"/>
      <c r="G774" s="74"/>
      <c r="H774" s="74"/>
      <c r="I774" s="74"/>
      <c r="J774" s="74"/>
      <c r="K774" s="75"/>
      <c r="L774" s="76"/>
      <c r="M774" s="77"/>
      <c r="N774" s="30"/>
      <c r="O774" s="31"/>
      <c r="P774" s="31"/>
      <c r="Q774" s="31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customHeight="1">
      <c r="A775" s="71"/>
      <c r="B775" s="72"/>
      <c r="C775" s="72"/>
      <c r="D775" s="73"/>
      <c r="E775" s="74"/>
      <c r="F775" s="74"/>
      <c r="G775" s="74"/>
      <c r="H775" s="74"/>
      <c r="I775" s="74"/>
      <c r="J775" s="74"/>
      <c r="K775" s="75"/>
      <c r="L775" s="76"/>
      <c r="M775" s="77"/>
      <c r="N775" s="30"/>
      <c r="O775" s="31"/>
      <c r="P775" s="31"/>
      <c r="Q775" s="31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customHeight="1">
      <c r="A776" s="71"/>
      <c r="B776" s="72"/>
      <c r="C776" s="72"/>
      <c r="D776" s="73"/>
      <c r="E776" s="74"/>
      <c r="F776" s="74"/>
      <c r="G776" s="74"/>
      <c r="H776" s="74"/>
      <c r="I776" s="74"/>
      <c r="J776" s="74"/>
      <c r="K776" s="75"/>
      <c r="L776" s="76"/>
      <c r="M776" s="77"/>
      <c r="N776" s="30"/>
      <c r="O776" s="31"/>
      <c r="P776" s="31"/>
      <c r="Q776" s="31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customHeight="1">
      <c r="A777" s="71"/>
      <c r="B777" s="72"/>
      <c r="C777" s="72"/>
      <c r="D777" s="73"/>
      <c r="E777" s="74"/>
      <c r="F777" s="74"/>
      <c r="G777" s="74"/>
      <c r="H777" s="74"/>
      <c r="I777" s="74"/>
      <c r="J777" s="74"/>
      <c r="K777" s="75"/>
      <c r="L777" s="76"/>
      <c r="M777" s="77"/>
      <c r="N777" s="30"/>
      <c r="O777" s="31"/>
      <c r="P777" s="31"/>
      <c r="Q777" s="31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customHeight="1">
      <c r="A778" s="71"/>
      <c r="B778" s="72"/>
      <c r="C778" s="72"/>
      <c r="D778" s="73"/>
      <c r="E778" s="74"/>
      <c r="F778" s="74"/>
      <c r="G778" s="74"/>
      <c r="H778" s="74"/>
      <c r="I778" s="74"/>
      <c r="J778" s="74"/>
      <c r="K778" s="75"/>
      <c r="L778" s="76"/>
      <c r="M778" s="77"/>
      <c r="N778" s="30"/>
      <c r="O778" s="31"/>
      <c r="P778" s="31"/>
      <c r="Q778" s="31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customHeight="1">
      <c r="A779" s="71"/>
      <c r="B779" s="72"/>
      <c r="C779" s="72"/>
      <c r="D779" s="73"/>
      <c r="E779" s="74"/>
      <c r="F779" s="74"/>
      <c r="G779" s="74"/>
      <c r="H779" s="74"/>
      <c r="I779" s="74"/>
      <c r="J779" s="74"/>
      <c r="K779" s="75"/>
      <c r="L779" s="76"/>
      <c r="M779" s="77"/>
      <c r="N779" s="30"/>
      <c r="O779" s="31"/>
      <c r="P779" s="31"/>
      <c r="Q779" s="31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customHeight="1">
      <c r="A780" s="71"/>
      <c r="B780" s="72"/>
      <c r="C780" s="72"/>
      <c r="D780" s="73"/>
      <c r="E780" s="74"/>
      <c r="F780" s="74"/>
      <c r="G780" s="74"/>
      <c r="H780" s="74"/>
      <c r="I780" s="74"/>
      <c r="J780" s="74"/>
      <c r="K780" s="75"/>
      <c r="L780" s="76"/>
      <c r="M780" s="77"/>
      <c r="N780" s="30"/>
      <c r="O780" s="31"/>
      <c r="P780" s="31"/>
      <c r="Q780" s="31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customHeight="1">
      <c r="A781" s="71"/>
      <c r="B781" s="72"/>
      <c r="C781" s="72"/>
      <c r="D781" s="73"/>
      <c r="E781" s="74"/>
      <c r="F781" s="74"/>
      <c r="G781" s="74"/>
      <c r="H781" s="74"/>
      <c r="I781" s="74"/>
      <c r="J781" s="74"/>
      <c r="K781" s="75"/>
      <c r="L781" s="76"/>
      <c r="M781" s="77"/>
      <c r="N781" s="30"/>
      <c r="O781" s="31"/>
      <c r="P781" s="31"/>
      <c r="Q781" s="31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customHeight="1">
      <c r="A782" s="71"/>
      <c r="B782" s="72"/>
      <c r="C782" s="72"/>
      <c r="D782" s="73"/>
      <c r="E782" s="74"/>
      <c r="F782" s="74"/>
      <c r="G782" s="74"/>
      <c r="H782" s="74"/>
      <c r="I782" s="74"/>
      <c r="J782" s="74"/>
      <c r="K782" s="75"/>
      <c r="L782" s="76"/>
      <c r="M782" s="77"/>
      <c r="N782" s="30"/>
      <c r="O782" s="31"/>
      <c r="P782" s="31"/>
      <c r="Q782" s="31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customHeight="1">
      <c r="A783" s="71"/>
      <c r="B783" s="72"/>
      <c r="C783" s="72"/>
      <c r="D783" s="73"/>
      <c r="E783" s="74"/>
      <c r="F783" s="74"/>
      <c r="G783" s="74"/>
      <c r="H783" s="74"/>
      <c r="I783" s="74"/>
      <c r="J783" s="74"/>
      <c r="K783" s="75"/>
      <c r="L783" s="76"/>
      <c r="M783" s="77"/>
      <c r="N783" s="30"/>
      <c r="O783" s="31"/>
      <c r="P783" s="31"/>
      <c r="Q783" s="31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customHeight="1">
      <c r="A784" s="71"/>
      <c r="B784" s="72"/>
      <c r="C784" s="72"/>
      <c r="D784" s="73"/>
      <c r="E784" s="74"/>
      <c r="F784" s="74"/>
      <c r="G784" s="74"/>
      <c r="H784" s="74"/>
      <c r="I784" s="74"/>
      <c r="J784" s="74"/>
      <c r="K784" s="75"/>
      <c r="L784" s="76"/>
      <c r="M784" s="77"/>
      <c r="N784" s="30"/>
      <c r="O784" s="31"/>
      <c r="P784" s="31"/>
      <c r="Q784" s="31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customHeight="1">
      <c r="A785" s="71"/>
      <c r="B785" s="72"/>
      <c r="C785" s="72"/>
      <c r="D785" s="73"/>
      <c r="E785" s="74"/>
      <c r="F785" s="74"/>
      <c r="G785" s="74"/>
      <c r="H785" s="74"/>
      <c r="I785" s="74"/>
      <c r="J785" s="74"/>
      <c r="K785" s="75"/>
      <c r="L785" s="76"/>
      <c r="M785" s="77"/>
      <c r="N785" s="30"/>
      <c r="O785" s="31"/>
      <c r="P785" s="31"/>
      <c r="Q785" s="31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customHeight="1">
      <c r="A786" s="71"/>
      <c r="B786" s="72"/>
      <c r="C786" s="72"/>
      <c r="D786" s="73"/>
      <c r="E786" s="74"/>
      <c r="F786" s="74"/>
      <c r="G786" s="74"/>
      <c r="H786" s="74"/>
      <c r="I786" s="74"/>
      <c r="J786" s="74"/>
      <c r="K786" s="75"/>
      <c r="L786" s="76"/>
      <c r="M786" s="77"/>
      <c r="N786" s="30"/>
      <c r="O786" s="31"/>
      <c r="P786" s="31"/>
      <c r="Q786" s="31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customHeight="1">
      <c r="A787" s="71"/>
      <c r="B787" s="72"/>
      <c r="C787" s="72"/>
      <c r="D787" s="73"/>
      <c r="E787" s="74"/>
      <c r="F787" s="74"/>
      <c r="G787" s="74"/>
      <c r="H787" s="74"/>
      <c r="I787" s="74"/>
      <c r="J787" s="74"/>
      <c r="K787" s="75"/>
      <c r="L787" s="76"/>
      <c r="M787" s="77"/>
      <c r="N787" s="30"/>
      <c r="O787" s="31"/>
      <c r="P787" s="31"/>
      <c r="Q787" s="31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customHeight="1">
      <c r="A788" s="71"/>
      <c r="B788" s="72"/>
      <c r="C788" s="72"/>
      <c r="D788" s="73"/>
      <c r="E788" s="74"/>
      <c r="F788" s="74"/>
      <c r="G788" s="74"/>
      <c r="H788" s="74"/>
      <c r="I788" s="74"/>
      <c r="J788" s="74"/>
      <c r="K788" s="75"/>
      <c r="L788" s="76"/>
      <c r="M788" s="77"/>
      <c r="N788" s="30"/>
      <c r="O788" s="31"/>
      <c r="P788" s="31"/>
      <c r="Q788" s="31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customHeight="1">
      <c r="A789" s="71"/>
      <c r="B789" s="72"/>
      <c r="C789" s="72"/>
      <c r="D789" s="73"/>
      <c r="E789" s="74"/>
      <c r="F789" s="74"/>
      <c r="G789" s="74"/>
      <c r="H789" s="74"/>
      <c r="I789" s="74"/>
      <c r="J789" s="74"/>
      <c r="K789" s="75"/>
      <c r="L789" s="76"/>
      <c r="M789" s="77"/>
      <c r="N789" s="30"/>
      <c r="O789" s="31"/>
      <c r="P789" s="31"/>
      <c r="Q789" s="31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customHeight="1">
      <c r="A790" s="71"/>
      <c r="B790" s="72"/>
      <c r="C790" s="72"/>
      <c r="D790" s="73"/>
      <c r="E790" s="74"/>
      <c r="F790" s="74"/>
      <c r="G790" s="74"/>
      <c r="H790" s="74"/>
      <c r="I790" s="74"/>
      <c r="J790" s="74"/>
      <c r="K790" s="75"/>
      <c r="L790" s="76"/>
      <c r="M790" s="77"/>
      <c r="N790" s="30"/>
      <c r="O790" s="31"/>
      <c r="P790" s="31"/>
      <c r="Q790" s="31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customHeight="1">
      <c r="A791" s="71"/>
      <c r="B791" s="72"/>
      <c r="C791" s="72"/>
      <c r="D791" s="73"/>
      <c r="E791" s="74"/>
      <c r="F791" s="74"/>
      <c r="G791" s="74"/>
      <c r="H791" s="74"/>
      <c r="I791" s="74"/>
      <c r="J791" s="74"/>
      <c r="K791" s="75"/>
      <c r="L791" s="76"/>
      <c r="M791" s="77"/>
      <c r="N791" s="30"/>
      <c r="O791" s="31"/>
      <c r="P791" s="31"/>
      <c r="Q791" s="31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customHeight="1">
      <c r="A792" s="71"/>
      <c r="B792" s="72"/>
      <c r="C792" s="72"/>
      <c r="D792" s="73"/>
      <c r="E792" s="74"/>
      <c r="F792" s="74"/>
      <c r="G792" s="74"/>
      <c r="H792" s="74"/>
      <c r="I792" s="74"/>
      <c r="J792" s="74"/>
      <c r="K792" s="75"/>
      <c r="L792" s="76"/>
      <c r="M792" s="77"/>
      <c r="N792" s="30"/>
      <c r="O792" s="31"/>
      <c r="P792" s="31"/>
      <c r="Q792" s="31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customHeight="1">
      <c r="A793" s="71"/>
      <c r="B793" s="72"/>
      <c r="C793" s="72"/>
      <c r="D793" s="73"/>
      <c r="E793" s="74"/>
      <c r="F793" s="74"/>
      <c r="G793" s="74"/>
      <c r="H793" s="74"/>
      <c r="I793" s="74"/>
      <c r="J793" s="74"/>
      <c r="K793" s="75"/>
      <c r="L793" s="76"/>
      <c r="M793" s="77"/>
      <c r="N793" s="30"/>
      <c r="O793" s="31"/>
      <c r="P793" s="31"/>
      <c r="Q793" s="31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customHeight="1">
      <c r="A794" s="71"/>
      <c r="B794" s="72"/>
      <c r="C794" s="72"/>
      <c r="D794" s="73"/>
      <c r="E794" s="74"/>
      <c r="F794" s="74"/>
      <c r="G794" s="74"/>
      <c r="H794" s="74"/>
      <c r="I794" s="74"/>
      <c r="J794" s="74"/>
      <c r="K794" s="75"/>
      <c r="L794" s="76"/>
      <c r="M794" s="77"/>
      <c r="N794" s="30"/>
      <c r="O794" s="31"/>
      <c r="P794" s="31"/>
      <c r="Q794" s="31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customHeight="1">
      <c r="A795" s="71"/>
      <c r="B795" s="72"/>
      <c r="C795" s="72"/>
      <c r="D795" s="73"/>
      <c r="E795" s="74"/>
      <c r="F795" s="74"/>
      <c r="G795" s="74"/>
      <c r="H795" s="74"/>
      <c r="I795" s="74"/>
      <c r="J795" s="74"/>
      <c r="K795" s="75"/>
      <c r="L795" s="76"/>
      <c r="M795" s="77"/>
      <c r="N795" s="30"/>
      <c r="O795" s="31"/>
      <c r="P795" s="31"/>
      <c r="Q795" s="31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customHeight="1">
      <c r="A796" s="71"/>
      <c r="B796" s="72"/>
      <c r="C796" s="72"/>
      <c r="D796" s="73"/>
      <c r="E796" s="74"/>
      <c r="F796" s="74"/>
      <c r="G796" s="74"/>
      <c r="H796" s="74"/>
      <c r="I796" s="74"/>
      <c r="J796" s="74"/>
      <c r="K796" s="75"/>
      <c r="L796" s="76"/>
      <c r="M796" s="77"/>
      <c r="N796" s="30"/>
      <c r="O796" s="31"/>
      <c r="P796" s="31"/>
      <c r="Q796" s="31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customHeight="1">
      <c r="A797" s="71"/>
      <c r="B797" s="72"/>
      <c r="C797" s="72"/>
      <c r="D797" s="73"/>
      <c r="E797" s="74"/>
      <c r="F797" s="74"/>
      <c r="G797" s="74"/>
      <c r="H797" s="74"/>
      <c r="I797" s="74"/>
      <c r="J797" s="74"/>
      <c r="K797" s="75"/>
      <c r="L797" s="76"/>
      <c r="M797" s="77"/>
      <c r="N797" s="30"/>
      <c r="O797" s="31"/>
      <c r="P797" s="31"/>
      <c r="Q797" s="31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customHeight="1">
      <c r="A798" s="71"/>
      <c r="B798" s="72"/>
      <c r="C798" s="72"/>
      <c r="D798" s="73"/>
      <c r="E798" s="74"/>
      <c r="F798" s="74"/>
      <c r="G798" s="74"/>
      <c r="H798" s="74"/>
      <c r="I798" s="74"/>
      <c r="J798" s="74"/>
      <c r="K798" s="75"/>
      <c r="L798" s="76"/>
      <c r="M798" s="77"/>
      <c r="N798" s="30"/>
      <c r="O798" s="31"/>
      <c r="P798" s="31"/>
      <c r="Q798" s="31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customHeight="1">
      <c r="A799" s="71"/>
      <c r="B799" s="72"/>
      <c r="C799" s="72"/>
      <c r="D799" s="73"/>
      <c r="E799" s="74"/>
      <c r="F799" s="74"/>
      <c r="G799" s="74"/>
      <c r="H799" s="74"/>
      <c r="I799" s="74"/>
      <c r="J799" s="74"/>
      <c r="K799" s="75"/>
      <c r="L799" s="76"/>
      <c r="M799" s="77"/>
      <c r="N799" s="30"/>
      <c r="O799" s="31"/>
      <c r="P799" s="31"/>
      <c r="Q799" s="31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customHeight="1">
      <c r="A800" s="71"/>
      <c r="B800" s="72"/>
      <c r="C800" s="72"/>
      <c r="D800" s="73"/>
      <c r="E800" s="74"/>
      <c r="F800" s="74"/>
      <c r="G800" s="74"/>
      <c r="H800" s="74"/>
      <c r="I800" s="74"/>
      <c r="J800" s="74"/>
      <c r="K800" s="75"/>
      <c r="L800" s="76"/>
      <c r="M800" s="77"/>
      <c r="N800" s="30"/>
      <c r="O800" s="31"/>
      <c r="P800" s="31"/>
      <c r="Q800" s="31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customHeight="1">
      <c r="A801" s="71"/>
      <c r="B801" s="72"/>
      <c r="C801" s="72"/>
      <c r="D801" s="73"/>
      <c r="E801" s="74"/>
      <c r="F801" s="74"/>
      <c r="G801" s="74"/>
      <c r="H801" s="74"/>
      <c r="I801" s="74"/>
      <c r="J801" s="74"/>
      <c r="K801" s="75"/>
      <c r="L801" s="76"/>
      <c r="M801" s="77"/>
      <c r="N801" s="30"/>
      <c r="O801" s="31"/>
      <c r="P801" s="31"/>
      <c r="Q801" s="31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customHeight="1">
      <c r="A802" s="71"/>
      <c r="B802" s="72"/>
      <c r="C802" s="72"/>
      <c r="D802" s="73"/>
      <c r="E802" s="74"/>
      <c r="F802" s="74"/>
      <c r="G802" s="74"/>
      <c r="H802" s="74"/>
      <c r="I802" s="74"/>
      <c r="J802" s="74"/>
      <c r="K802" s="75"/>
      <c r="L802" s="76"/>
      <c r="M802" s="77"/>
      <c r="N802" s="30"/>
      <c r="O802" s="31"/>
      <c r="P802" s="31"/>
      <c r="Q802" s="31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customHeight="1">
      <c r="A803" s="71"/>
      <c r="B803" s="72"/>
      <c r="C803" s="72"/>
      <c r="D803" s="73"/>
      <c r="E803" s="74"/>
      <c r="F803" s="74"/>
      <c r="G803" s="74"/>
      <c r="H803" s="74"/>
      <c r="I803" s="74"/>
      <c r="J803" s="74"/>
      <c r="K803" s="75"/>
      <c r="L803" s="76"/>
      <c r="M803" s="77"/>
      <c r="N803" s="30"/>
      <c r="O803" s="31"/>
      <c r="P803" s="31"/>
      <c r="Q803" s="31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customHeight="1">
      <c r="A804" s="71"/>
      <c r="B804" s="72"/>
      <c r="C804" s="72"/>
      <c r="D804" s="73"/>
      <c r="E804" s="74"/>
      <c r="F804" s="74"/>
      <c r="G804" s="74"/>
      <c r="H804" s="74"/>
      <c r="I804" s="74"/>
      <c r="J804" s="74"/>
      <c r="K804" s="75"/>
      <c r="L804" s="76"/>
      <c r="M804" s="77"/>
      <c r="N804" s="30"/>
      <c r="O804" s="31"/>
      <c r="P804" s="31"/>
      <c r="Q804" s="31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customHeight="1">
      <c r="A805" s="71"/>
      <c r="B805" s="72"/>
      <c r="C805" s="72"/>
      <c r="D805" s="73"/>
      <c r="E805" s="74"/>
      <c r="F805" s="74"/>
      <c r="G805" s="74"/>
      <c r="H805" s="74"/>
      <c r="I805" s="74"/>
      <c r="J805" s="74"/>
      <c r="K805" s="75"/>
      <c r="L805" s="76"/>
      <c r="M805" s="77"/>
      <c r="N805" s="30"/>
      <c r="O805" s="31"/>
      <c r="P805" s="31"/>
      <c r="Q805" s="31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customHeight="1">
      <c r="A806" s="71"/>
      <c r="B806" s="72"/>
      <c r="C806" s="72"/>
      <c r="D806" s="73"/>
      <c r="E806" s="74"/>
      <c r="F806" s="74"/>
      <c r="G806" s="74"/>
      <c r="H806" s="74"/>
      <c r="I806" s="74"/>
      <c r="J806" s="74"/>
      <c r="K806" s="75"/>
      <c r="L806" s="76"/>
      <c r="M806" s="77"/>
      <c r="N806" s="30"/>
      <c r="O806" s="31"/>
      <c r="P806" s="31"/>
      <c r="Q806" s="31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customHeight="1">
      <c r="A807" s="71"/>
      <c r="B807" s="72"/>
      <c r="C807" s="72"/>
      <c r="D807" s="73"/>
      <c r="E807" s="74"/>
      <c r="F807" s="74"/>
      <c r="G807" s="74"/>
      <c r="H807" s="74"/>
      <c r="I807" s="74"/>
      <c r="J807" s="74"/>
      <c r="K807" s="75"/>
      <c r="L807" s="76"/>
      <c r="M807" s="77"/>
      <c r="N807" s="30"/>
      <c r="O807" s="31"/>
      <c r="P807" s="31"/>
      <c r="Q807" s="31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customHeight="1">
      <c r="A808" s="71"/>
      <c r="B808" s="72"/>
      <c r="C808" s="72"/>
      <c r="D808" s="73"/>
      <c r="E808" s="74"/>
      <c r="F808" s="74"/>
      <c r="G808" s="74"/>
      <c r="H808" s="74"/>
      <c r="I808" s="74"/>
      <c r="J808" s="74"/>
      <c r="K808" s="75"/>
      <c r="L808" s="76"/>
      <c r="M808" s="77"/>
      <c r="N808" s="30"/>
      <c r="O808" s="31"/>
      <c r="P808" s="31"/>
      <c r="Q808" s="31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customHeight="1">
      <c r="A809" s="71"/>
      <c r="B809" s="72"/>
      <c r="C809" s="72"/>
      <c r="D809" s="73"/>
      <c r="E809" s="74"/>
      <c r="F809" s="74"/>
      <c r="G809" s="74"/>
      <c r="H809" s="74"/>
      <c r="I809" s="74"/>
      <c r="J809" s="74"/>
      <c r="K809" s="75"/>
      <c r="L809" s="76"/>
      <c r="M809" s="77"/>
      <c r="N809" s="30"/>
      <c r="O809" s="31"/>
      <c r="P809" s="31"/>
      <c r="Q809" s="31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customHeight="1">
      <c r="A810" s="71"/>
      <c r="B810" s="72"/>
      <c r="C810" s="72"/>
      <c r="D810" s="73"/>
      <c r="E810" s="74"/>
      <c r="F810" s="74"/>
      <c r="G810" s="74"/>
      <c r="H810" s="74"/>
      <c r="I810" s="74"/>
      <c r="J810" s="74"/>
      <c r="K810" s="75"/>
      <c r="L810" s="76"/>
      <c r="M810" s="77"/>
      <c r="N810" s="30"/>
      <c r="O810" s="31"/>
      <c r="P810" s="31"/>
      <c r="Q810" s="31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customHeight="1">
      <c r="A811" s="71"/>
      <c r="B811" s="72"/>
      <c r="C811" s="72"/>
      <c r="D811" s="73"/>
      <c r="E811" s="74"/>
      <c r="F811" s="74"/>
      <c r="G811" s="74"/>
      <c r="H811" s="74"/>
      <c r="I811" s="74"/>
      <c r="J811" s="74"/>
      <c r="K811" s="75"/>
      <c r="L811" s="76"/>
      <c r="M811" s="77"/>
      <c r="N811" s="30"/>
      <c r="O811" s="31"/>
      <c r="P811" s="31"/>
      <c r="Q811" s="31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customHeight="1">
      <c r="A812" s="71"/>
      <c r="B812" s="72"/>
      <c r="C812" s="72"/>
      <c r="D812" s="73"/>
      <c r="E812" s="74"/>
      <c r="F812" s="74"/>
      <c r="G812" s="74"/>
      <c r="H812" s="74"/>
      <c r="I812" s="74"/>
      <c r="J812" s="74"/>
      <c r="K812" s="75"/>
      <c r="L812" s="76"/>
      <c r="M812" s="77"/>
      <c r="N812" s="30"/>
      <c r="O812" s="31"/>
      <c r="P812" s="31"/>
      <c r="Q812" s="31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customHeight="1">
      <c r="A813" s="71"/>
      <c r="B813" s="72"/>
      <c r="C813" s="72"/>
      <c r="D813" s="73"/>
      <c r="E813" s="74"/>
      <c r="F813" s="74"/>
      <c r="G813" s="74"/>
      <c r="H813" s="74"/>
      <c r="I813" s="74"/>
      <c r="J813" s="74"/>
      <c r="K813" s="75"/>
      <c r="L813" s="76"/>
      <c r="M813" s="77"/>
      <c r="N813" s="30"/>
      <c r="O813" s="31"/>
      <c r="P813" s="31"/>
      <c r="Q813" s="31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customHeight="1">
      <c r="A814" s="71"/>
      <c r="B814" s="72"/>
      <c r="C814" s="72"/>
      <c r="D814" s="73"/>
      <c r="E814" s="74"/>
      <c r="F814" s="74"/>
      <c r="G814" s="74"/>
      <c r="H814" s="74"/>
      <c r="I814" s="74"/>
      <c r="J814" s="74"/>
      <c r="K814" s="75"/>
      <c r="L814" s="76"/>
      <c r="M814" s="77"/>
      <c r="N814" s="30"/>
      <c r="O814" s="31"/>
      <c r="P814" s="31"/>
      <c r="Q814" s="31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customHeight="1">
      <c r="A815" s="71"/>
      <c r="B815" s="72"/>
      <c r="C815" s="72"/>
      <c r="D815" s="73"/>
      <c r="E815" s="74"/>
      <c r="F815" s="74"/>
      <c r="G815" s="74"/>
      <c r="H815" s="74"/>
      <c r="I815" s="74"/>
      <c r="J815" s="74"/>
      <c r="K815" s="75"/>
      <c r="L815" s="76"/>
      <c r="M815" s="77"/>
      <c r="N815" s="30"/>
      <c r="O815" s="31"/>
      <c r="P815" s="31"/>
      <c r="Q815" s="31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customHeight="1">
      <c r="A816" s="71"/>
      <c r="B816" s="72"/>
      <c r="C816" s="72"/>
      <c r="D816" s="73"/>
      <c r="E816" s="74"/>
      <c r="F816" s="74"/>
      <c r="G816" s="74"/>
      <c r="H816" s="74"/>
      <c r="I816" s="74"/>
      <c r="J816" s="74"/>
      <c r="K816" s="75"/>
      <c r="L816" s="76"/>
      <c r="M816" s="77"/>
      <c r="N816" s="30"/>
      <c r="O816" s="31"/>
      <c r="P816" s="31"/>
      <c r="Q816" s="31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customHeight="1">
      <c r="A817" s="71"/>
      <c r="B817" s="72"/>
      <c r="C817" s="72"/>
      <c r="D817" s="73"/>
      <c r="E817" s="74"/>
      <c r="F817" s="74"/>
      <c r="G817" s="74"/>
      <c r="H817" s="74"/>
      <c r="I817" s="74"/>
      <c r="J817" s="74"/>
      <c r="K817" s="75"/>
      <c r="L817" s="76"/>
      <c r="M817" s="77"/>
      <c r="N817" s="30"/>
      <c r="O817" s="31"/>
      <c r="P817" s="31"/>
      <c r="Q817" s="31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customHeight="1">
      <c r="A818" s="71"/>
      <c r="B818" s="72"/>
      <c r="C818" s="72"/>
      <c r="D818" s="73"/>
      <c r="E818" s="74"/>
      <c r="F818" s="74"/>
      <c r="G818" s="74"/>
      <c r="H818" s="74"/>
      <c r="I818" s="74"/>
      <c r="J818" s="74"/>
      <c r="K818" s="75"/>
      <c r="L818" s="76"/>
      <c r="M818" s="77"/>
      <c r="N818" s="30"/>
      <c r="O818" s="31"/>
      <c r="P818" s="31"/>
      <c r="Q818" s="31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customHeight="1">
      <c r="A819" s="71"/>
      <c r="B819" s="72"/>
      <c r="C819" s="72"/>
      <c r="D819" s="73"/>
      <c r="E819" s="74"/>
      <c r="F819" s="74"/>
      <c r="G819" s="74"/>
      <c r="H819" s="74"/>
      <c r="I819" s="74"/>
      <c r="J819" s="74"/>
      <c r="K819" s="75"/>
      <c r="L819" s="76"/>
      <c r="M819" s="77"/>
      <c r="N819" s="30"/>
      <c r="O819" s="31"/>
      <c r="P819" s="31"/>
      <c r="Q819" s="31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customHeight="1">
      <c r="A820" s="71"/>
      <c r="B820" s="72"/>
      <c r="C820" s="72"/>
      <c r="D820" s="73"/>
      <c r="E820" s="74"/>
      <c r="F820" s="74"/>
      <c r="G820" s="74"/>
      <c r="H820" s="74"/>
      <c r="I820" s="74"/>
      <c r="J820" s="74"/>
      <c r="K820" s="75"/>
      <c r="L820" s="76"/>
      <c r="M820" s="77"/>
      <c r="N820" s="30"/>
      <c r="O820" s="31"/>
      <c r="P820" s="31"/>
      <c r="Q820" s="31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customHeight="1">
      <c r="A821" s="71"/>
      <c r="B821" s="72"/>
      <c r="C821" s="72"/>
      <c r="D821" s="73"/>
      <c r="E821" s="74"/>
      <c r="F821" s="74"/>
      <c r="G821" s="74"/>
      <c r="H821" s="74"/>
      <c r="I821" s="74"/>
      <c r="J821" s="74"/>
      <c r="K821" s="75"/>
      <c r="L821" s="76"/>
      <c r="M821" s="77"/>
      <c r="N821" s="30"/>
      <c r="O821" s="31"/>
      <c r="P821" s="31"/>
      <c r="Q821" s="31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customHeight="1">
      <c r="A822" s="71"/>
      <c r="B822" s="72"/>
      <c r="C822" s="72"/>
      <c r="D822" s="73"/>
      <c r="E822" s="74"/>
      <c r="F822" s="74"/>
      <c r="G822" s="74"/>
      <c r="H822" s="74"/>
      <c r="I822" s="74"/>
      <c r="J822" s="74"/>
      <c r="K822" s="75"/>
      <c r="L822" s="76"/>
      <c r="M822" s="77"/>
      <c r="N822" s="30"/>
      <c r="O822" s="31"/>
      <c r="P822" s="31"/>
      <c r="Q822" s="31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customHeight="1">
      <c r="A823" s="71"/>
      <c r="B823" s="72"/>
      <c r="C823" s="72"/>
      <c r="D823" s="73"/>
      <c r="E823" s="74"/>
      <c r="F823" s="74"/>
      <c r="G823" s="74"/>
      <c r="H823" s="74"/>
      <c r="I823" s="74"/>
      <c r="J823" s="74"/>
      <c r="K823" s="75"/>
      <c r="L823" s="76"/>
      <c r="M823" s="77"/>
      <c r="N823" s="30"/>
      <c r="O823" s="31"/>
      <c r="P823" s="31"/>
      <c r="Q823" s="31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customHeight="1">
      <c r="A824" s="71"/>
      <c r="B824" s="72"/>
      <c r="C824" s="72"/>
      <c r="D824" s="73"/>
      <c r="E824" s="74"/>
      <c r="F824" s="74"/>
      <c r="G824" s="74"/>
      <c r="H824" s="74"/>
      <c r="I824" s="74"/>
      <c r="J824" s="74"/>
      <c r="K824" s="75"/>
      <c r="L824" s="76"/>
      <c r="M824" s="77"/>
      <c r="N824" s="30"/>
      <c r="O824" s="31"/>
      <c r="P824" s="31"/>
      <c r="Q824" s="31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customHeight="1">
      <c r="A825" s="71"/>
      <c r="B825" s="72"/>
      <c r="C825" s="72"/>
      <c r="D825" s="73"/>
      <c r="E825" s="74"/>
      <c r="F825" s="74"/>
      <c r="G825" s="74"/>
      <c r="H825" s="74"/>
      <c r="I825" s="74"/>
      <c r="J825" s="74"/>
      <c r="K825" s="75"/>
      <c r="L825" s="76"/>
      <c r="M825" s="77"/>
      <c r="N825" s="30"/>
      <c r="O825" s="31"/>
      <c r="P825" s="31"/>
      <c r="Q825" s="31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customHeight="1">
      <c r="A826" s="71"/>
      <c r="B826" s="72"/>
      <c r="C826" s="72"/>
      <c r="D826" s="73"/>
      <c r="E826" s="74"/>
      <c r="F826" s="74"/>
      <c r="G826" s="74"/>
      <c r="H826" s="74"/>
      <c r="I826" s="74"/>
      <c r="J826" s="74"/>
      <c r="K826" s="75"/>
      <c r="L826" s="76"/>
      <c r="M826" s="77"/>
      <c r="N826" s="30"/>
      <c r="O826" s="31"/>
      <c r="P826" s="31"/>
      <c r="Q826" s="31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customHeight="1">
      <c r="A827" s="71"/>
      <c r="B827" s="72"/>
      <c r="C827" s="72"/>
      <c r="D827" s="73"/>
      <c r="E827" s="74"/>
      <c r="F827" s="74"/>
      <c r="G827" s="74"/>
      <c r="H827" s="74"/>
      <c r="I827" s="74"/>
      <c r="J827" s="74"/>
      <c r="K827" s="75"/>
      <c r="L827" s="76"/>
      <c r="M827" s="77"/>
      <c r="N827" s="30"/>
      <c r="O827" s="31"/>
      <c r="P827" s="31"/>
      <c r="Q827" s="31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customHeight="1">
      <c r="A828" s="71"/>
      <c r="B828" s="72"/>
      <c r="C828" s="72"/>
      <c r="D828" s="73"/>
      <c r="E828" s="74"/>
      <c r="F828" s="74"/>
      <c r="G828" s="74"/>
      <c r="H828" s="74"/>
      <c r="I828" s="74"/>
      <c r="J828" s="74"/>
      <c r="K828" s="75"/>
      <c r="L828" s="76"/>
      <c r="M828" s="77"/>
      <c r="N828" s="30"/>
      <c r="O828" s="31"/>
      <c r="P828" s="31"/>
      <c r="Q828" s="31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customHeight="1">
      <c r="A829" s="71"/>
      <c r="B829" s="72"/>
      <c r="C829" s="72"/>
      <c r="D829" s="73"/>
      <c r="E829" s="74"/>
      <c r="F829" s="74"/>
      <c r="G829" s="74"/>
      <c r="H829" s="74"/>
      <c r="I829" s="74"/>
      <c r="J829" s="74"/>
      <c r="K829" s="75"/>
      <c r="L829" s="76"/>
      <c r="M829" s="77"/>
      <c r="N829" s="30"/>
      <c r="O829" s="31"/>
      <c r="P829" s="31"/>
      <c r="Q829" s="31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customHeight="1">
      <c r="A830" s="71"/>
      <c r="B830" s="72"/>
      <c r="C830" s="72"/>
      <c r="D830" s="73"/>
      <c r="E830" s="74"/>
      <c r="F830" s="74"/>
      <c r="G830" s="74"/>
      <c r="H830" s="74"/>
      <c r="I830" s="74"/>
      <c r="J830" s="74"/>
      <c r="K830" s="75"/>
      <c r="L830" s="76"/>
      <c r="M830" s="77"/>
      <c r="N830" s="30"/>
      <c r="O830" s="31"/>
      <c r="P830" s="31"/>
      <c r="Q830" s="31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customHeight="1">
      <c r="A831" s="71"/>
      <c r="B831" s="72"/>
      <c r="C831" s="72"/>
      <c r="D831" s="73"/>
      <c r="E831" s="74"/>
      <c r="F831" s="74"/>
      <c r="G831" s="74"/>
      <c r="H831" s="74"/>
      <c r="I831" s="74"/>
      <c r="J831" s="74"/>
      <c r="K831" s="75"/>
      <c r="L831" s="76"/>
      <c r="M831" s="77"/>
      <c r="N831" s="30"/>
      <c r="O831" s="31"/>
      <c r="P831" s="31"/>
      <c r="Q831" s="31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customHeight="1">
      <c r="A832" s="71"/>
      <c r="B832" s="72"/>
      <c r="C832" s="72"/>
      <c r="D832" s="73"/>
      <c r="E832" s="74"/>
      <c r="F832" s="74"/>
      <c r="G832" s="74"/>
      <c r="H832" s="74"/>
      <c r="I832" s="74"/>
      <c r="J832" s="74"/>
      <c r="K832" s="75"/>
      <c r="L832" s="76"/>
      <c r="M832" s="77"/>
      <c r="N832" s="30"/>
      <c r="O832" s="31"/>
      <c r="P832" s="31"/>
      <c r="Q832" s="31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customHeight="1">
      <c r="A833" s="71"/>
      <c r="B833" s="72"/>
      <c r="C833" s="72"/>
      <c r="D833" s="73"/>
      <c r="E833" s="74"/>
      <c r="F833" s="74"/>
      <c r="G833" s="74"/>
      <c r="H833" s="74"/>
      <c r="I833" s="74"/>
      <c r="J833" s="74"/>
      <c r="K833" s="75"/>
      <c r="L833" s="76"/>
      <c r="M833" s="77"/>
      <c r="N833" s="30"/>
      <c r="O833" s="31"/>
      <c r="P833" s="31"/>
      <c r="Q833" s="31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customHeight="1">
      <c r="A834" s="71"/>
      <c r="B834" s="72"/>
      <c r="C834" s="72"/>
      <c r="D834" s="73"/>
      <c r="E834" s="74"/>
      <c r="F834" s="74"/>
      <c r="G834" s="74"/>
      <c r="H834" s="74"/>
      <c r="I834" s="74"/>
      <c r="J834" s="74"/>
      <c r="K834" s="75"/>
      <c r="L834" s="76"/>
      <c r="M834" s="77"/>
      <c r="N834" s="30"/>
      <c r="O834" s="31"/>
      <c r="P834" s="31"/>
      <c r="Q834" s="31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customHeight="1">
      <c r="A835" s="71"/>
      <c r="B835" s="72"/>
      <c r="C835" s="72"/>
      <c r="D835" s="73"/>
      <c r="E835" s="74"/>
      <c r="F835" s="74"/>
      <c r="G835" s="74"/>
      <c r="H835" s="74"/>
      <c r="I835" s="74"/>
      <c r="J835" s="74"/>
      <c r="K835" s="75"/>
      <c r="L835" s="76"/>
      <c r="M835" s="77"/>
      <c r="N835" s="30"/>
      <c r="O835" s="31"/>
      <c r="P835" s="31"/>
      <c r="Q835" s="31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customHeight="1">
      <c r="A836" s="71"/>
      <c r="B836" s="72"/>
      <c r="C836" s="72"/>
      <c r="D836" s="73"/>
      <c r="E836" s="74"/>
      <c r="F836" s="74"/>
      <c r="G836" s="74"/>
      <c r="H836" s="74"/>
      <c r="I836" s="74"/>
      <c r="J836" s="74"/>
      <c r="K836" s="75"/>
      <c r="L836" s="76"/>
      <c r="M836" s="77"/>
      <c r="N836" s="30"/>
      <c r="O836" s="31"/>
      <c r="P836" s="31"/>
      <c r="Q836" s="31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customHeight="1">
      <c r="A837" s="71"/>
      <c r="B837" s="72"/>
      <c r="C837" s="72"/>
      <c r="D837" s="73"/>
      <c r="E837" s="74"/>
      <c r="F837" s="74"/>
      <c r="G837" s="74"/>
      <c r="H837" s="74"/>
      <c r="I837" s="74"/>
      <c r="J837" s="74"/>
      <c r="K837" s="75"/>
      <c r="L837" s="76"/>
      <c r="M837" s="77"/>
      <c r="N837" s="30"/>
      <c r="O837" s="31"/>
      <c r="P837" s="31"/>
      <c r="Q837" s="31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customHeight="1">
      <c r="A838" s="71"/>
      <c r="B838" s="72"/>
      <c r="C838" s="72"/>
      <c r="D838" s="73"/>
      <c r="E838" s="74"/>
      <c r="F838" s="74"/>
      <c r="G838" s="74"/>
      <c r="H838" s="74"/>
      <c r="I838" s="74"/>
      <c r="J838" s="74"/>
      <c r="K838" s="75"/>
      <c r="L838" s="76"/>
      <c r="M838" s="77"/>
      <c r="N838" s="30"/>
      <c r="O838" s="31"/>
      <c r="P838" s="31"/>
      <c r="Q838" s="31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customHeight="1">
      <c r="A839" s="71"/>
      <c r="B839" s="72"/>
      <c r="C839" s="72"/>
      <c r="D839" s="73"/>
      <c r="E839" s="74"/>
      <c r="F839" s="74"/>
      <c r="G839" s="74"/>
      <c r="H839" s="74"/>
      <c r="I839" s="74"/>
      <c r="J839" s="74"/>
      <c r="K839" s="75"/>
      <c r="L839" s="76"/>
      <c r="M839" s="77"/>
      <c r="N839" s="30"/>
      <c r="O839" s="31"/>
      <c r="P839" s="31"/>
      <c r="Q839" s="31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customHeight="1">
      <c r="A840" s="71"/>
      <c r="B840" s="72"/>
      <c r="C840" s="72"/>
      <c r="D840" s="73"/>
      <c r="E840" s="74"/>
      <c r="F840" s="74"/>
      <c r="G840" s="74"/>
      <c r="H840" s="74"/>
      <c r="I840" s="74"/>
      <c r="J840" s="74"/>
      <c r="K840" s="75"/>
      <c r="L840" s="76"/>
      <c r="M840" s="77"/>
      <c r="N840" s="30"/>
      <c r="O840" s="31"/>
      <c r="P840" s="31"/>
      <c r="Q840" s="31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customHeight="1">
      <c r="A841" s="71"/>
      <c r="B841" s="72"/>
      <c r="C841" s="72"/>
      <c r="D841" s="73"/>
      <c r="E841" s="74"/>
      <c r="F841" s="74"/>
      <c r="G841" s="74"/>
      <c r="H841" s="74"/>
      <c r="I841" s="74"/>
      <c r="J841" s="74"/>
      <c r="K841" s="75"/>
      <c r="L841" s="76"/>
      <c r="M841" s="77"/>
      <c r="N841" s="30"/>
      <c r="O841" s="31"/>
      <c r="P841" s="31"/>
      <c r="Q841" s="31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customHeight="1">
      <c r="A842" s="71"/>
      <c r="B842" s="72"/>
      <c r="C842" s="72"/>
      <c r="D842" s="73"/>
      <c r="E842" s="74"/>
      <c r="F842" s="74"/>
      <c r="G842" s="74"/>
      <c r="H842" s="74"/>
      <c r="I842" s="74"/>
      <c r="J842" s="74"/>
      <c r="K842" s="75"/>
      <c r="L842" s="76"/>
      <c r="M842" s="77"/>
      <c r="N842" s="30"/>
      <c r="O842" s="31"/>
      <c r="P842" s="31"/>
      <c r="Q842" s="31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customHeight="1">
      <c r="A843" s="71"/>
      <c r="B843" s="72"/>
      <c r="C843" s="72"/>
      <c r="D843" s="73"/>
      <c r="E843" s="74"/>
      <c r="F843" s="74"/>
      <c r="G843" s="74"/>
      <c r="H843" s="74"/>
      <c r="I843" s="74"/>
      <c r="J843" s="74"/>
      <c r="K843" s="75"/>
      <c r="L843" s="76"/>
      <c r="M843" s="77"/>
      <c r="N843" s="30"/>
      <c r="O843" s="31"/>
      <c r="P843" s="31"/>
      <c r="Q843" s="31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customHeight="1">
      <c r="A844" s="71"/>
      <c r="B844" s="72"/>
      <c r="C844" s="72"/>
      <c r="D844" s="73"/>
      <c r="E844" s="74"/>
      <c r="F844" s="74"/>
      <c r="G844" s="74"/>
      <c r="H844" s="74"/>
      <c r="I844" s="74"/>
      <c r="J844" s="74"/>
      <c r="K844" s="75"/>
      <c r="L844" s="76"/>
      <c r="M844" s="77"/>
      <c r="N844" s="30"/>
      <c r="O844" s="31"/>
      <c r="P844" s="31"/>
      <c r="Q844" s="31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customHeight="1">
      <c r="A845" s="71"/>
      <c r="B845" s="72"/>
      <c r="C845" s="72"/>
      <c r="D845" s="73"/>
      <c r="E845" s="74"/>
      <c r="F845" s="74"/>
      <c r="G845" s="74"/>
      <c r="H845" s="74"/>
      <c r="I845" s="74"/>
      <c r="J845" s="74"/>
      <c r="K845" s="75"/>
      <c r="L845" s="76"/>
      <c r="M845" s="77"/>
      <c r="N845" s="30"/>
      <c r="O845" s="31"/>
      <c r="P845" s="31"/>
      <c r="Q845" s="31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customHeight="1">
      <c r="A846" s="71"/>
      <c r="B846" s="72"/>
      <c r="C846" s="72"/>
      <c r="D846" s="73"/>
      <c r="E846" s="74"/>
      <c r="F846" s="74"/>
      <c r="G846" s="74"/>
      <c r="H846" s="74"/>
      <c r="I846" s="74"/>
      <c r="J846" s="74"/>
      <c r="K846" s="75"/>
      <c r="L846" s="76"/>
      <c r="M846" s="77"/>
      <c r="N846" s="30"/>
      <c r="O846" s="31"/>
      <c r="P846" s="31"/>
      <c r="Q846" s="31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customHeight="1">
      <c r="A847" s="71"/>
      <c r="B847" s="72"/>
      <c r="C847" s="72"/>
      <c r="D847" s="73"/>
      <c r="E847" s="74"/>
      <c r="F847" s="74"/>
      <c r="G847" s="74"/>
      <c r="H847" s="74"/>
      <c r="I847" s="74"/>
      <c r="J847" s="74"/>
      <c r="K847" s="75"/>
      <c r="L847" s="76"/>
      <c r="M847" s="77"/>
      <c r="N847" s="30"/>
      <c r="O847" s="31"/>
      <c r="P847" s="31"/>
      <c r="Q847" s="31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customHeight="1">
      <c r="A848" s="71"/>
      <c r="B848" s="72"/>
      <c r="C848" s="72"/>
      <c r="D848" s="73"/>
      <c r="E848" s="74"/>
      <c r="F848" s="74"/>
      <c r="G848" s="74"/>
      <c r="H848" s="74"/>
      <c r="I848" s="74"/>
      <c r="J848" s="74"/>
      <c r="K848" s="75"/>
      <c r="L848" s="76"/>
      <c r="M848" s="77"/>
      <c r="N848" s="30"/>
      <c r="O848" s="31"/>
      <c r="P848" s="31"/>
      <c r="Q848" s="31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customHeight="1">
      <c r="A849" s="71"/>
      <c r="B849" s="72"/>
      <c r="C849" s="72"/>
      <c r="D849" s="73"/>
      <c r="E849" s="74"/>
      <c r="F849" s="74"/>
      <c r="G849" s="74"/>
      <c r="H849" s="74"/>
      <c r="I849" s="74"/>
      <c r="J849" s="74"/>
      <c r="K849" s="75"/>
      <c r="L849" s="76"/>
      <c r="M849" s="77"/>
      <c r="N849" s="30"/>
      <c r="O849" s="31"/>
      <c r="P849" s="31"/>
      <c r="Q849" s="31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customHeight="1">
      <c r="A850" s="71"/>
      <c r="B850" s="72"/>
      <c r="C850" s="72"/>
      <c r="D850" s="73"/>
      <c r="E850" s="74"/>
      <c r="F850" s="74"/>
      <c r="G850" s="74"/>
      <c r="H850" s="74"/>
      <c r="I850" s="74"/>
      <c r="J850" s="74"/>
      <c r="K850" s="75"/>
      <c r="L850" s="76"/>
      <c r="M850" s="77"/>
      <c r="N850" s="30"/>
      <c r="O850" s="31"/>
      <c r="P850" s="31"/>
      <c r="Q850" s="31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customHeight="1">
      <c r="A851" s="71"/>
      <c r="B851" s="72"/>
      <c r="C851" s="72"/>
      <c r="D851" s="73"/>
      <c r="E851" s="74"/>
      <c r="F851" s="74"/>
      <c r="G851" s="74"/>
      <c r="H851" s="74"/>
      <c r="I851" s="74"/>
      <c r="J851" s="74"/>
      <c r="K851" s="75"/>
      <c r="L851" s="76"/>
      <c r="M851" s="77"/>
      <c r="N851" s="30"/>
      <c r="O851" s="31"/>
      <c r="P851" s="31"/>
      <c r="Q851" s="31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customHeight="1">
      <c r="A852" s="71"/>
      <c r="B852" s="72"/>
      <c r="C852" s="72"/>
      <c r="D852" s="73"/>
      <c r="E852" s="74"/>
      <c r="F852" s="74"/>
      <c r="G852" s="74"/>
      <c r="H852" s="74"/>
      <c r="I852" s="74"/>
      <c r="J852" s="74"/>
      <c r="K852" s="75"/>
      <c r="L852" s="76"/>
      <c r="M852" s="77"/>
      <c r="N852" s="30"/>
      <c r="O852" s="31"/>
      <c r="P852" s="31"/>
      <c r="Q852" s="31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customHeight="1">
      <c r="A853" s="71"/>
      <c r="B853" s="72"/>
      <c r="C853" s="72"/>
      <c r="D853" s="73"/>
      <c r="E853" s="74"/>
      <c r="F853" s="74"/>
      <c r="G853" s="74"/>
      <c r="H853" s="74"/>
      <c r="I853" s="74"/>
      <c r="J853" s="74"/>
      <c r="K853" s="75"/>
      <c r="L853" s="76"/>
      <c r="M853" s="77"/>
      <c r="N853" s="30"/>
      <c r="O853" s="31"/>
      <c r="P853" s="31"/>
      <c r="Q853" s="31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customHeight="1">
      <c r="A854" s="71"/>
      <c r="B854" s="72"/>
      <c r="C854" s="72"/>
      <c r="D854" s="73"/>
      <c r="E854" s="74"/>
      <c r="F854" s="74"/>
      <c r="G854" s="74"/>
      <c r="H854" s="74"/>
      <c r="I854" s="74"/>
      <c r="J854" s="74"/>
      <c r="K854" s="75"/>
      <c r="L854" s="76"/>
      <c r="M854" s="77"/>
      <c r="N854" s="30"/>
      <c r="O854" s="31"/>
      <c r="P854" s="31"/>
      <c r="Q854" s="31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customHeight="1">
      <c r="A855" s="71"/>
      <c r="B855" s="72"/>
      <c r="C855" s="72"/>
      <c r="D855" s="73"/>
      <c r="E855" s="74"/>
      <c r="F855" s="74"/>
      <c r="G855" s="74"/>
      <c r="H855" s="74"/>
      <c r="I855" s="74"/>
      <c r="J855" s="74"/>
      <c r="K855" s="75"/>
      <c r="L855" s="76"/>
      <c r="M855" s="77"/>
      <c r="N855" s="30"/>
      <c r="O855" s="31"/>
      <c r="P855" s="31"/>
      <c r="Q855" s="31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customHeight="1">
      <c r="A856" s="71"/>
      <c r="B856" s="72"/>
      <c r="C856" s="72"/>
      <c r="D856" s="73"/>
      <c r="E856" s="74"/>
      <c r="F856" s="74"/>
      <c r="G856" s="74"/>
      <c r="H856" s="74"/>
      <c r="I856" s="74"/>
      <c r="J856" s="74"/>
      <c r="K856" s="75"/>
      <c r="L856" s="76"/>
      <c r="M856" s="77"/>
      <c r="N856" s="30"/>
      <c r="O856" s="31"/>
      <c r="P856" s="31"/>
      <c r="Q856" s="31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customHeight="1">
      <c r="A857" s="71"/>
      <c r="B857" s="72"/>
      <c r="C857" s="72"/>
      <c r="D857" s="73"/>
      <c r="E857" s="74"/>
      <c r="F857" s="74"/>
      <c r="G857" s="74"/>
      <c r="H857" s="74"/>
      <c r="I857" s="74"/>
      <c r="J857" s="74"/>
      <c r="K857" s="75"/>
      <c r="L857" s="76"/>
      <c r="M857" s="77"/>
      <c r="N857" s="30"/>
      <c r="O857" s="31"/>
      <c r="P857" s="31"/>
      <c r="Q857" s="31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customHeight="1">
      <c r="A858" s="71"/>
      <c r="B858" s="72"/>
      <c r="C858" s="72"/>
      <c r="D858" s="73"/>
      <c r="E858" s="74"/>
      <c r="F858" s="74"/>
      <c r="G858" s="74"/>
      <c r="H858" s="74"/>
      <c r="I858" s="74"/>
      <c r="J858" s="74"/>
      <c r="K858" s="75"/>
      <c r="L858" s="76"/>
      <c r="M858" s="77"/>
      <c r="N858" s="30"/>
      <c r="O858" s="31"/>
      <c r="P858" s="31"/>
      <c r="Q858" s="31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customHeight="1">
      <c r="A859" s="71"/>
      <c r="B859" s="72"/>
      <c r="C859" s="72"/>
      <c r="D859" s="73"/>
      <c r="E859" s="74"/>
      <c r="F859" s="74"/>
      <c r="G859" s="74"/>
      <c r="H859" s="74"/>
      <c r="I859" s="74"/>
      <c r="J859" s="74"/>
      <c r="K859" s="75"/>
      <c r="L859" s="76"/>
      <c r="M859" s="77"/>
      <c r="N859" s="30"/>
      <c r="O859" s="31"/>
      <c r="P859" s="31"/>
      <c r="Q859" s="31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customHeight="1">
      <c r="A860" s="71"/>
      <c r="B860" s="72"/>
      <c r="C860" s="72"/>
      <c r="D860" s="73"/>
      <c r="E860" s="74"/>
      <c r="F860" s="74"/>
      <c r="G860" s="74"/>
      <c r="H860" s="74"/>
      <c r="I860" s="74"/>
      <c r="J860" s="74"/>
      <c r="K860" s="75"/>
      <c r="L860" s="76"/>
      <c r="M860" s="77"/>
      <c r="N860" s="30"/>
      <c r="O860" s="31"/>
      <c r="P860" s="31"/>
      <c r="Q860" s="31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customHeight="1">
      <c r="A861" s="71"/>
      <c r="B861" s="72"/>
      <c r="C861" s="72"/>
      <c r="D861" s="73"/>
      <c r="E861" s="74"/>
      <c r="F861" s="74"/>
      <c r="G861" s="74"/>
      <c r="H861" s="74"/>
      <c r="I861" s="74"/>
      <c r="J861" s="74"/>
      <c r="K861" s="75"/>
      <c r="L861" s="76"/>
      <c r="M861" s="77"/>
      <c r="N861" s="30"/>
      <c r="O861" s="31"/>
      <c r="P861" s="31"/>
      <c r="Q861" s="31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customHeight="1">
      <c r="A862" s="71"/>
      <c r="B862" s="72"/>
      <c r="C862" s="72"/>
      <c r="D862" s="73"/>
      <c r="E862" s="74"/>
      <c r="F862" s="74"/>
      <c r="G862" s="74"/>
      <c r="H862" s="74"/>
      <c r="I862" s="74"/>
      <c r="J862" s="74"/>
      <c r="K862" s="75"/>
      <c r="L862" s="76"/>
      <c r="M862" s="77"/>
      <c r="N862" s="30"/>
      <c r="O862" s="31"/>
      <c r="P862" s="31"/>
      <c r="Q862" s="31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customHeight="1">
      <c r="A863" s="71"/>
      <c r="B863" s="72"/>
      <c r="C863" s="72"/>
      <c r="D863" s="73"/>
      <c r="E863" s="74"/>
      <c r="F863" s="74"/>
      <c r="G863" s="74"/>
      <c r="H863" s="74"/>
      <c r="I863" s="74"/>
      <c r="J863" s="74"/>
      <c r="K863" s="75"/>
      <c r="L863" s="76"/>
      <c r="M863" s="77"/>
      <c r="N863" s="30"/>
      <c r="O863" s="31"/>
      <c r="P863" s="31"/>
      <c r="Q863" s="31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customHeight="1">
      <c r="A864" s="71"/>
      <c r="B864" s="72"/>
      <c r="C864" s="72"/>
      <c r="D864" s="73"/>
      <c r="E864" s="74"/>
      <c r="F864" s="74"/>
      <c r="G864" s="74"/>
      <c r="H864" s="74"/>
      <c r="I864" s="74"/>
      <c r="J864" s="74"/>
      <c r="K864" s="75"/>
      <c r="L864" s="76"/>
      <c r="M864" s="77"/>
      <c r="N864" s="30"/>
      <c r="O864" s="31"/>
      <c r="P864" s="31"/>
      <c r="Q864" s="31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customHeight="1">
      <c r="A865" s="71"/>
      <c r="B865" s="72"/>
      <c r="C865" s="72"/>
      <c r="D865" s="73"/>
      <c r="E865" s="74"/>
      <c r="F865" s="74"/>
      <c r="G865" s="74"/>
      <c r="H865" s="74"/>
      <c r="I865" s="74"/>
      <c r="J865" s="74"/>
      <c r="K865" s="75"/>
      <c r="L865" s="76"/>
      <c r="M865" s="77"/>
      <c r="N865" s="30"/>
      <c r="O865" s="31"/>
      <c r="P865" s="31"/>
      <c r="Q865" s="31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customHeight="1">
      <c r="A866" s="71"/>
      <c r="B866" s="72"/>
      <c r="C866" s="72"/>
      <c r="D866" s="73"/>
      <c r="E866" s="74"/>
      <c r="F866" s="74"/>
      <c r="G866" s="74"/>
      <c r="H866" s="74"/>
      <c r="I866" s="74"/>
      <c r="J866" s="74"/>
      <c r="K866" s="75"/>
      <c r="L866" s="76"/>
      <c r="M866" s="77"/>
      <c r="N866" s="30"/>
      <c r="O866" s="31"/>
      <c r="P866" s="31"/>
      <c r="Q866" s="31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customHeight="1">
      <c r="A867" s="71"/>
      <c r="B867" s="72"/>
      <c r="C867" s="72"/>
      <c r="D867" s="73"/>
      <c r="E867" s="74"/>
      <c r="F867" s="74"/>
      <c r="G867" s="74"/>
      <c r="H867" s="74"/>
      <c r="I867" s="74"/>
      <c r="J867" s="74"/>
      <c r="K867" s="75"/>
      <c r="L867" s="76"/>
      <c r="M867" s="77"/>
      <c r="N867" s="30"/>
      <c r="O867" s="31"/>
      <c r="P867" s="31"/>
      <c r="Q867" s="31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customHeight="1">
      <c r="A868" s="71"/>
      <c r="B868" s="72"/>
      <c r="C868" s="72"/>
      <c r="D868" s="73"/>
      <c r="E868" s="74"/>
      <c r="F868" s="74"/>
      <c r="G868" s="74"/>
      <c r="H868" s="74"/>
      <c r="I868" s="74"/>
      <c r="J868" s="74"/>
      <c r="K868" s="75"/>
      <c r="L868" s="76"/>
      <c r="M868" s="77"/>
      <c r="N868" s="30"/>
      <c r="O868" s="31"/>
      <c r="P868" s="31"/>
      <c r="Q868" s="31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customHeight="1">
      <c r="A869" s="71"/>
      <c r="B869" s="72"/>
      <c r="C869" s="72"/>
      <c r="D869" s="73"/>
      <c r="E869" s="74"/>
      <c r="F869" s="74"/>
      <c r="G869" s="74"/>
      <c r="H869" s="74"/>
      <c r="I869" s="74"/>
      <c r="J869" s="74"/>
      <c r="K869" s="75"/>
      <c r="L869" s="76"/>
      <c r="M869" s="77"/>
      <c r="N869" s="30"/>
      <c r="O869" s="31"/>
      <c r="P869" s="31"/>
      <c r="Q869" s="31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customHeight="1">
      <c r="A870" s="71"/>
      <c r="B870" s="72"/>
      <c r="C870" s="72"/>
      <c r="D870" s="73"/>
      <c r="E870" s="74"/>
      <c r="F870" s="74"/>
      <c r="G870" s="74"/>
      <c r="H870" s="74"/>
      <c r="I870" s="74"/>
      <c r="J870" s="74"/>
      <c r="K870" s="75"/>
      <c r="L870" s="76"/>
      <c r="M870" s="77"/>
      <c r="N870" s="30"/>
      <c r="O870" s="31"/>
      <c r="P870" s="31"/>
      <c r="Q870" s="31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customHeight="1">
      <c r="A871" s="71"/>
      <c r="B871" s="72"/>
      <c r="C871" s="72"/>
      <c r="D871" s="73"/>
      <c r="E871" s="74"/>
      <c r="F871" s="74"/>
      <c r="G871" s="74"/>
      <c r="H871" s="74"/>
      <c r="I871" s="74"/>
      <c r="J871" s="74"/>
      <c r="K871" s="75"/>
      <c r="L871" s="76"/>
      <c r="M871" s="77"/>
      <c r="N871" s="30"/>
      <c r="O871" s="31"/>
      <c r="P871" s="31"/>
      <c r="Q871" s="31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customHeight="1">
      <c r="A872" s="71"/>
      <c r="B872" s="72"/>
      <c r="C872" s="72"/>
      <c r="D872" s="73"/>
      <c r="E872" s="74"/>
      <c r="F872" s="74"/>
      <c r="G872" s="74"/>
      <c r="H872" s="74"/>
      <c r="I872" s="74"/>
      <c r="J872" s="74"/>
      <c r="K872" s="75"/>
      <c r="L872" s="76"/>
      <c r="M872" s="77"/>
      <c r="N872" s="30"/>
      <c r="O872" s="31"/>
      <c r="P872" s="31"/>
      <c r="Q872" s="31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customHeight="1">
      <c r="A873" s="71"/>
      <c r="B873" s="72"/>
      <c r="C873" s="72"/>
      <c r="D873" s="73"/>
      <c r="E873" s="74"/>
      <c r="F873" s="74"/>
      <c r="G873" s="74"/>
      <c r="H873" s="74"/>
      <c r="I873" s="74"/>
      <c r="J873" s="74"/>
      <c r="K873" s="75"/>
      <c r="L873" s="76"/>
      <c r="M873" s="77"/>
      <c r="N873" s="30"/>
      <c r="O873" s="31"/>
      <c r="P873" s="31"/>
      <c r="Q873" s="31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customHeight="1">
      <c r="A874" s="71"/>
      <c r="B874" s="72"/>
      <c r="C874" s="72"/>
      <c r="D874" s="73"/>
      <c r="E874" s="74"/>
      <c r="F874" s="74"/>
      <c r="G874" s="74"/>
      <c r="H874" s="74"/>
      <c r="I874" s="74"/>
      <c r="J874" s="74"/>
      <c r="K874" s="75"/>
      <c r="L874" s="76"/>
      <c r="M874" s="77"/>
      <c r="N874" s="30"/>
      <c r="O874" s="31"/>
      <c r="P874" s="31"/>
      <c r="Q874" s="31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customHeight="1">
      <c r="A875" s="71"/>
      <c r="B875" s="72"/>
      <c r="C875" s="72"/>
      <c r="D875" s="73"/>
      <c r="E875" s="74"/>
      <c r="F875" s="74"/>
      <c r="G875" s="74"/>
      <c r="H875" s="74"/>
      <c r="I875" s="74"/>
      <c r="J875" s="74"/>
      <c r="K875" s="75"/>
      <c r="L875" s="76"/>
      <c r="M875" s="77"/>
      <c r="N875" s="30"/>
      <c r="O875" s="31"/>
      <c r="P875" s="31"/>
      <c r="Q875" s="31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customHeight="1">
      <c r="A876" s="71"/>
      <c r="B876" s="72"/>
      <c r="C876" s="72"/>
      <c r="D876" s="73"/>
      <c r="E876" s="74"/>
      <c r="F876" s="74"/>
      <c r="G876" s="74"/>
      <c r="H876" s="74"/>
      <c r="I876" s="74"/>
      <c r="J876" s="74"/>
      <c r="K876" s="75"/>
      <c r="L876" s="76"/>
      <c r="M876" s="77"/>
      <c r="N876" s="30"/>
      <c r="O876" s="31"/>
      <c r="P876" s="31"/>
      <c r="Q876" s="31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customHeight="1">
      <c r="A877" s="71"/>
      <c r="B877" s="72"/>
      <c r="C877" s="72"/>
      <c r="D877" s="73"/>
      <c r="E877" s="74"/>
      <c r="F877" s="74"/>
      <c r="G877" s="74"/>
      <c r="H877" s="74"/>
      <c r="I877" s="74"/>
      <c r="J877" s="74"/>
      <c r="K877" s="75"/>
      <c r="L877" s="76"/>
      <c r="M877" s="77"/>
      <c r="N877" s="30"/>
      <c r="O877" s="31"/>
      <c r="P877" s="31"/>
      <c r="Q877" s="31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customHeight="1">
      <c r="A878" s="71"/>
      <c r="B878" s="72"/>
      <c r="C878" s="72"/>
      <c r="D878" s="73"/>
      <c r="E878" s="74"/>
      <c r="F878" s="74"/>
      <c r="G878" s="74"/>
      <c r="H878" s="74"/>
      <c r="I878" s="74"/>
      <c r="J878" s="74"/>
      <c r="K878" s="75"/>
      <c r="L878" s="76"/>
      <c r="M878" s="77"/>
      <c r="N878" s="30"/>
      <c r="O878" s="31"/>
      <c r="P878" s="31"/>
      <c r="Q878" s="31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customHeight="1">
      <c r="A879" s="71"/>
      <c r="B879" s="72"/>
      <c r="C879" s="72"/>
      <c r="D879" s="73"/>
      <c r="E879" s="74"/>
      <c r="F879" s="74"/>
      <c r="G879" s="74"/>
      <c r="H879" s="74"/>
      <c r="I879" s="74"/>
      <c r="J879" s="74"/>
      <c r="K879" s="75"/>
      <c r="L879" s="76"/>
      <c r="M879" s="77"/>
      <c r="N879" s="30"/>
      <c r="O879" s="31"/>
      <c r="P879" s="31"/>
      <c r="Q879" s="31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customHeight="1">
      <c r="A880" s="71"/>
      <c r="B880" s="72"/>
      <c r="C880" s="72"/>
      <c r="D880" s="73"/>
      <c r="E880" s="74"/>
      <c r="F880" s="74"/>
      <c r="G880" s="74"/>
      <c r="H880" s="74"/>
      <c r="I880" s="74"/>
      <c r="J880" s="74"/>
      <c r="K880" s="75"/>
      <c r="L880" s="76"/>
      <c r="M880" s="77"/>
      <c r="N880" s="30"/>
      <c r="O880" s="31"/>
      <c r="P880" s="31"/>
      <c r="Q880" s="31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customHeight="1">
      <c r="A881" s="71"/>
      <c r="B881" s="72"/>
      <c r="C881" s="72"/>
      <c r="D881" s="73"/>
      <c r="E881" s="74"/>
      <c r="F881" s="74"/>
      <c r="G881" s="74"/>
      <c r="H881" s="74"/>
      <c r="I881" s="74"/>
      <c r="J881" s="74"/>
      <c r="K881" s="75"/>
      <c r="L881" s="76"/>
      <c r="M881" s="77"/>
      <c r="N881" s="30"/>
      <c r="O881" s="31"/>
      <c r="P881" s="31"/>
      <c r="Q881" s="31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customHeight="1">
      <c r="A882" s="71"/>
      <c r="B882" s="72"/>
      <c r="C882" s="72"/>
      <c r="D882" s="73"/>
      <c r="E882" s="74"/>
      <c r="F882" s="74"/>
      <c r="G882" s="74"/>
      <c r="H882" s="74"/>
      <c r="I882" s="74"/>
      <c r="J882" s="74"/>
      <c r="K882" s="75"/>
      <c r="L882" s="76"/>
      <c r="M882" s="77"/>
      <c r="N882" s="30"/>
      <c r="O882" s="31"/>
      <c r="P882" s="31"/>
      <c r="Q882" s="31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customHeight="1">
      <c r="A883" s="71"/>
      <c r="B883" s="72"/>
      <c r="C883" s="72"/>
      <c r="D883" s="73"/>
      <c r="E883" s="74"/>
      <c r="F883" s="74"/>
      <c r="G883" s="74"/>
      <c r="H883" s="74"/>
      <c r="I883" s="74"/>
      <c r="J883" s="74"/>
      <c r="K883" s="75"/>
      <c r="L883" s="76"/>
      <c r="M883" s="77"/>
      <c r="N883" s="30"/>
      <c r="O883" s="31"/>
      <c r="P883" s="31"/>
      <c r="Q883" s="31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customHeight="1">
      <c r="A884" s="71"/>
      <c r="B884" s="72"/>
      <c r="C884" s="72"/>
      <c r="D884" s="73"/>
      <c r="E884" s="74"/>
      <c r="F884" s="74"/>
      <c r="G884" s="74"/>
      <c r="H884" s="74"/>
      <c r="I884" s="74"/>
      <c r="J884" s="74"/>
      <c r="K884" s="75"/>
      <c r="L884" s="76"/>
      <c r="M884" s="77"/>
      <c r="N884" s="30"/>
      <c r="O884" s="31"/>
      <c r="P884" s="31"/>
      <c r="Q884" s="31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customHeight="1">
      <c r="A885" s="71"/>
      <c r="B885" s="72"/>
      <c r="C885" s="72"/>
      <c r="D885" s="73"/>
      <c r="E885" s="74"/>
      <c r="F885" s="74"/>
      <c r="G885" s="74"/>
      <c r="H885" s="74"/>
      <c r="I885" s="74"/>
      <c r="J885" s="74"/>
      <c r="K885" s="75"/>
      <c r="L885" s="76"/>
      <c r="M885" s="77"/>
      <c r="N885" s="30"/>
      <c r="O885" s="31"/>
      <c r="P885" s="31"/>
      <c r="Q885" s="31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customHeight="1">
      <c r="A886" s="71"/>
      <c r="B886" s="72"/>
      <c r="C886" s="72"/>
      <c r="D886" s="73"/>
      <c r="E886" s="74"/>
      <c r="F886" s="74"/>
      <c r="G886" s="74"/>
      <c r="H886" s="74"/>
      <c r="I886" s="74"/>
      <c r="J886" s="74"/>
      <c r="K886" s="75"/>
      <c r="L886" s="76"/>
      <c r="M886" s="77"/>
      <c r="N886" s="30"/>
      <c r="O886" s="31"/>
      <c r="P886" s="31"/>
      <c r="Q886" s="31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customHeight="1">
      <c r="A887" s="71"/>
      <c r="B887" s="72"/>
      <c r="C887" s="72"/>
      <c r="D887" s="73"/>
      <c r="E887" s="74"/>
      <c r="F887" s="74"/>
      <c r="G887" s="74"/>
      <c r="H887" s="74"/>
      <c r="I887" s="74"/>
      <c r="J887" s="74"/>
      <c r="K887" s="75"/>
      <c r="L887" s="76"/>
      <c r="M887" s="77"/>
      <c r="N887" s="30"/>
      <c r="O887" s="31"/>
      <c r="P887" s="31"/>
      <c r="Q887" s="31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customHeight="1">
      <c r="A888" s="71"/>
      <c r="B888" s="72"/>
      <c r="C888" s="72"/>
      <c r="D888" s="73"/>
      <c r="E888" s="74"/>
      <c r="F888" s="74"/>
      <c r="G888" s="74"/>
      <c r="H888" s="74"/>
      <c r="I888" s="74"/>
      <c r="J888" s="74"/>
      <c r="K888" s="75"/>
      <c r="L888" s="76"/>
      <c r="M888" s="77"/>
      <c r="N888" s="30"/>
      <c r="O888" s="31"/>
      <c r="P888" s="31"/>
      <c r="Q888" s="31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customHeight="1">
      <c r="A889" s="71"/>
      <c r="B889" s="72"/>
      <c r="C889" s="72"/>
      <c r="D889" s="73"/>
      <c r="E889" s="74"/>
      <c r="F889" s="74"/>
      <c r="G889" s="74"/>
      <c r="H889" s="74"/>
      <c r="I889" s="74"/>
      <c r="J889" s="74"/>
      <c r="K889" s="75"/>
      <c r="L889" s="76"/>
      <c r="M889" s="77"/>
      <c r="N889" s="30"/>
      <c r="O889" s="31"/>
      <c r="P889" s="31"/>
      <c r="Q889" s="31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customHeight="1">
      <c r="A890" s="71"/>
      <c r="B890" s="72"/>
      <c r="C890" s="72"/>
      <c r="D890" s="73"/>
      <c r="E890" s="74"/>
      <c r="F890" s="74"/>
      <c r="G890" s="74"/>
      <c r="H890" s="74"/>
      <c r="I890" s="74"/>
      <c r="J890" s="74"/>
      <c r="K890" s="75"/>
      <c r="L890" s="76"/>
      <c r="M890" s="77"/>
      <c r="N890" s="30"/>
      <c r="O890" s="31"/>
      <c r="P890" s="31"/>
      <c r="Q890" s="31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customHeight="1">
      <c r="A891" s="71"/>
      <c r="B891" s="72"/>
      <c r="C891" s="72"/>
      <c r="D891" s="73"/>
      <c r="E891" s="74"/>
      <c r="F891" s="74"/>
      <c r="G891" s="74"/>
      <c r="H891" s="74"/>
      <c r="I891" s="74"/>
      <c r="J891" s="74"/>
      <c r="K891" s="75"/>
      <c r="L891" s="76"/>
      <c r="M891" s="77"/>
      <c r="N891" s="30"/>
      <c r="O891" s="31"/>
      <c r="P891" s="31"/>
      <c r="Q891" s="31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customHeight="1">
      <c r="A892" s="71"/>
      <c r="B892" s="72"/>
      <c r="C892" s="72"/>
      <c r="D892" s="73"/>
      <c r="E892" s="74"/>
      <c r="F892" s="74"/>
      <c r="G892" s="74"/>
      <c r="H892" s="74"/>
      <c r="I892" s="74"/>
      <c r="J892" s="74"/>
      <c r="K892" s="75"/>
      <c r="L892" s="76"/>
      <c r="M892" s="77"/>
      <c r="N892" s="30"/>
      <c r="O892" s="31"/>
      <c r="P892" s="31"/>
      <c r="Q892" s="31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customHeight="1">
      <c r="A893" s="71"/>
      <c r="B893" s="72"/>
      <c r="C893" s="72"/>
      <c r="D893" s="73"/>
      <c r="E893" s="74"/>
      <c r="F893" s="74"/>
      <c r="G893" s="74"/>
      <c r="H893" s="74"/>
      <c r="I893" s="74"/>
      <c r="J893" s="74"/>
      <c r="K893" s="75"/>
      <c r="L893" s="76"/>
      <c r="M893" s="77"/>
      <c r="N893" s="30"/>
      <c r="O893" s="31"/>
      <c r="P893" s="31"/>
      <c r="Q893" s="31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customHeight="1">
      <c r="A894" s="71"/>
      <c r="B894" s="72"/>
      <c r="C894" s="72"/>
      <c r="D894" s="73"/>
      <c r="E894" s="74"/>
      <c r="F894" s="74"/>
      <c r="G894" s="74"/>
      <c r="H894" s="74"/>
      <c r="I894" s="74"/>
      <c r="J894" s="74"/>
      <c r="K894" s="75"/>
      <c r="L894" s="76"/>
      <c r="M894" s="77"/>
      <c r="N894" s="30"/>
      <c r="O894" s="31"/>
      <c r="P894" s="31"/>
      <c r="Q894" s="31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customHeight="1">
      <c r="A895" s="71"/>
      <c r="B895" s="72"/>
      <c r="C895" s="72"/>
      <c r="D895" s="73"/>
      <c r="E895" s="74"/>
      <c r="F895" s="74"/>
      <c r="G895" s="74"/>
      <c r="H895" s="74"/>
      <c r="I895" s="74"/>
      <c r="J895" s="74"/>
      <c r="K895" s="75"/>
      <c r="L895" s="76"/>
      <c r="M895" s="77"/>
      <c r="N895" s="30"/>
      <c r="O895" s="31"/>
      <c r="P895" s="31"/>
      <c r="Q895" s="31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customHeight="1">
      <c r="A896" s="71"/>
      <c r="B896" s="72"/>
      <c r="C896" s="72"/>
      <c r="D896" s="73"/>
      <c r="E896" s="74"/>
      <c r="F896" s="74"/>
      <c r="G896" s="74"/>
      <c r="H896" s="74"/>
      <c r="I896" s="74"/>
      <c r="J896" s="74"/>
      <c r="K896" s="75"/>
      <c r="L896" s="76"/>
      <c r="M896" s="77"/>
      <c r="N896" s="30"/>
      <c r="O896" s="31"/>
      <c r="P896" s="31"/>
      <c r="Q896" s="31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customHeight="1">
      <c r="A897" s="71"/>
      <c r="B897" s="72"/>
      <c r="C897" s="72"/>
      <c r="D897" s="73"/>
      <c r="E897" s="74"/>
      <c r="F897" s="74"/>
      <c r="G897" s="74"/>
      <c r="H897" s="74"/>
      <c r="I897" s="74"/>
      <c r="J897" s="74"/>
      <c r="K897" s="75"/>
      <c r="L897" s="76"/>
      <c r="M897" s="77"/>
      <c r="N897" s="30"/>
      <c r="O897" s="31"/>
      <c r="P897" s="31"/>
      <c r="Q897" s="31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customHeight="1">
      <c r="A898" s="71"/>
      <c r="B898" s="72"/>
      <c r="C898" s="72"/>
      <c r="D898" s="73"/>
      <c r="E898" s="74"/>
      <c r="F898" s="74"/>
      <c r="G898" s="74"/>
      <c r="H898" s="74"/>
      <c r="I898" s="74"/>
      <c r="J898" s="74"/>
      <c r="K898" s="75"/>
      <c r="L898" s="76"/>
      <c r="M898" s="77"/>
      <c r="N898" s="30"/>
      <c r="O898" s="31"/>
      <c r="P898" s="31"/>
      <c r="Q898" s="31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customHeight="1">
      <c r="A899" s="71"/>
      <c r="B899" s="72"/>
      <c r="C899" s="72"/>
      <c r="D899" s="73"/>
      <c r="E899" s="74"/>
      <c r="F899" s="74"/>
      <c r="G899" s="74"/>
      <c r="H899" s="74"/>
      <c r="I899" s="74"/>
      <c r="J899" s="74"/>
      <c r="K899" s="75"/>
      <c r="L899" s="76"/>
      <c r="M899" s="77"/>
      <c r="N899" s="30"/>
      <c r="O899" s="31"/>
      <c r="P899" s="31"/>
      <c r="Q899" s="31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customHeight="1">
      <c r="A900" s="71"/>
      <c r="B900" s="72"/>
      <c r="C900" s="72"/>
      <c r="D900" s="73"/>
      <c r="E900" s="74"/>
      <c r="F900" s="74"/>
      <c r="G900" s="74"/>
      <c r="H900" s="74"/>
      <c r="I900" s="74"/>
      <c r="J900" s="74"/>
      <c r="K900" s="75"/>
      <c r="L900" s="76"/>
      <c r="M900" s="77"/>
      <c r="N900" s="30"/>
      <c r="O900" s="31"/>
      <c r="P900" s="31"/>
      <c r="Q900" s="31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customHeight="1">
      <c r="A901" s="71"/>
      <c r="B901" s="72"/>
      <c r="C901" s="72"/>
      <c r="D901" s="73"/>
      <c r="E901" s="74"/>
      <c r="F901" s="74"/>
      <c r="G901" s="74"/>
      <c r="H901" s="74"/>
      <c r="I901" s="74"/>
      <c r="J901" s="74"/>
      <c r="K901" s="75"/>
      <c r="L901" s="76"/>
      <c r="M901" s="77"/>
      <c r="N901" s="30"/>
      <c r="O901" s="31"/>
      <c r="P901" s="31"/>
      <c r="Q901" s="31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customHeight="1">
      <c r="A902" s="71"/>
      <c r="B902" s="72"/>
      <c r="C902" s="72"/>
      <c r="D902" s="73"/>
      <c r="E902" s="74"/>
      <c r="F902" s="74"/>
      <c r="G902" s="74"/>
      <c r="H902" s="74"/>
      <c r="I902" s="74"/>
      <c r="J902" s="74"/>
      <c r="K902" s="75"/>
      <c r="L902" s="76"/>
      <c r="M902" s="77"/>
      <c r="N902" s="30"/>
      <c r="O902" s="31"/>
      <c r="P902" s="31"/>
      <c r="Q902" s="31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customHeight="1">
      <c r="A903" s="71"/>
      <c r="B903" s="72"/>
      <c r="C903" s="72"/>
      <c r="D903" s="73"/>
      <c r="E903" s="74"/>
      <c r="F903" s="74"/>
      <c r="G903" s="74"/>
      <c r="H903" s="74"/>
      <c r="I903" s="74"/>
      <c r="J903" s="74"/>
      <c r="K903" s="75"/>
      <c r="L903" s="76"/>
      <c r="M903" s="77"/>
      <c r="N903" s="30"/>
      <c r="O903" s="31"/>
      <c r="P903" s="31"/>
      <c r="Q903" s="31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customHeight="1">
      <c r="A904" s="71"/>
      <c r="B904" s="72"/>
      <c r="C904" s="72"/>
      <c r="D904" s="73"/>
      <c r="E904" s="74"/>
      <c r="F904" s="74"/>
      <c r="G904" s="74"/>
      <c r="H904" s="74"/>
      <c r="I904" s="74"/>
      <c r="J904" s="74"/>
      <c r="K904" s="75"/>
      <c r="L904" s="76"/>
      <c r="M904" s="77"/>
      <c r="N904" s="30"/>
      <c r="O904" s="31"/>
      <c r="P904" s="31"/>
      <c r="Q904" s="31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customHeight="1">
      <c r="A905" s="71"/>
      <c r="B905" s="72"/>
      <c r="C905" s="72"/>
      <c r="D905" s="73"/>
      <c r="E905" s="74"/>
      <c r="F905" s="74"/>
      <c r="G905" s="74"/>
      <c r="H905" s="74"/>
      <c r="I905" s="74"/>
      <c r="J905" s="74"/>
      <c r="K905" s="75"/>
      <c r="L905" s="76"/>
      <c r="M905" s="77"/>
      <c r="N905" s="30"/>
      <c r="O905" s="31"/>
      <c r="P905" s="31"/>
      <c r="Q905" s="31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customHeight="1">
      <c r="A906" s="71"/>
      <c r="B906" s="72"/>
      <c r="C906" s="72"/>
      <c r="D906" s="73"/>
      <c r="E906" s="74"/>
      <c r="F906" s="74"/>
      <c r="G906" s="74"/>
      <c r="H906" s="74"/>
      <c r="I906" s="74"/>
      <c r="J906" s="74"/>
      <c r="K906" s="75"/>
      <c r="L906" s="76"/>
      <c r="M906" s="77"/>
      <c r="N906" s="30"/>
      <c r="O906" s="31"/>
      <c r="P906" s="31"/>
      <c r="Q906" s="31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customHeight="1">
      <c r="A907" s="71"/>
      <c r="B907" s="72"/>
      <c r="C907" s="72"/>
      <c r="D907" s="73"/>
      <c r="E907" s="74"/>
      <c r="F907" s="74"/>
      <c r="G907" s="74"/>
      <c r="H907" s="74"/>
      <c r="I907" s="74"/>
      <c r="J907" s="74"/>
      <c r="K907" s="75"/>
      <c r="L907" s="76"/>
      <c r="M907" s="77"/>
      <c r="N907" s="30"/>
      <c r="O907" s="31"/>
      <c r="P907" s="31"/>
      <c r="Q907" s="31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customHeight="1">
      <c r="A908" s="71"/>
      <c r="B908" s="72"/>
      <c r="C908" s="72"/>
      <c r="D908" s="73"/>
      <c r="E908" s="74"/>
      <c r="F908" s="74"/>
      <c r="G908" s="74"/>
      <c r="H908" s="74"/>
      <c r="I908" s="74"/>
      <c r="J908" s="74"/>
      <c r="K908" s="75"/>
      <c r="L908" s="76"/>
      <c r="M908" s="77"/>
      <c r="N908" s="30"/>
      <c r="O908" s="31"/>
      <c r="P908" s="31"/>
      <c r="Q908" s="31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customHeight="1">
      <c r="A909" s="71"/>
      <c r="B909" s="72"/>
      <c r="C909" s="72"/>
      <c r="D909" s="73"/>
      <c r="E909" s="74"/>
      <c r="F909" s="74"/>
      <c r="G909" s="74"/>
      <c r="H909" s="74"/>
      <c r="I909" s="74"/>
      <c r="J909" s="74"/>
      <c r="K909" s="75"/>
      <c r="L909" s="76"/>
      <c r="M909" s="77"/>
      <c r="N909" s="30"/>
      <c r="O909" s="31"/>
      <c r="P909" s="31"/>
      <c r="Q909" s="31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customHeight="1">
      <c r="A910" s="71"/>
      <c r="B910" s="72"/>
      <c r="C910" s="72"/>
      <c r="D910" s="73"/>
      <c r="E910" s="74"/>
      <c r="F910" s="74"/>
      <c r="G910" s="74"/>
      <c r="H910" s="74"/>
      <c r="I910" s="74"/>
      <c r="J910" s="74"/>
      <c r="K910" s="75"/>
      <c r="L910" s="76"/>
      <c r="M910" s="77"/>
      <c r="N910" s="30"/>
      <c r="O910" s="31"/>
      <c r="P910" s="31"/>
      <c r="Q910" s="31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customHeight="1">
      <c r="A911" s="71"/>
      <c r="B911" s="72"/>
      <c r="C911" s="72"/>
      <c r="D911" s="73"/>
      <c r="E911" s="74"/>
      <c r="F911" s="74"/>
      <c r="G911" s="74"/>
      <c r="H911" s="74"/>
      <c r="I911" s="74"/>
      <c r="J911" s="74"/>
      <c r="K911" s="75"/>
      <c r="L911" s="76"/>
      <c r="M911" s="77"/>
      <c r="N911" s="30"/>
      <c r="O911" s="31"/>
      <c r="P911" s="31"/>
      <c r="Q911" s="31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customHeight="1">
      <c r="A912" s="71"/>
      <c r="B912" s="72"/>
      <c r="C912" s="72"/>
      <c r="D912" s="73"/>
      <c r="E912" s="74"/>
      <c r="F912" s="74"/>
      <c r="G912" s="74"/>
      <c r="H912" s="74"/>
      <c r="I912" s="74"/>
      <c r="J912" s="74"/>
      <c r="K912" s="75"/>
      <c r="L912" s="76"/>
      <c r="M912" s="77"/>
      <c r="N912" s="30"/>
      <c r="O912" s="31"/>
      <c r="P912" s="31"/>
      <c r="Q912" s="31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customHeight="1">
      <c r="A913" s="71"/>
      <c r="B913" s="72"/>
      <c r="C913" s="72"/>
      <c r="D913" s="73"/>
      <c r="E913" s="74"/>
      <c r="F913" s="74"/>
      <c r="G913" s="74"/>
      <c r="H913" s="74"/>
      <c r="I913" s="74"/>
      <c r="J913" s="74"/>
      <c r="K913" s="75"/>
      <c r="L913" s="76"/>
      <c r="M913" s="77"/>
      <c r="N913" s="30"/>
      <c r="O913" s="31"/>
      <c r="P913" s="31"/>
      <c r="Q913" s="31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customHeight="1">
      <c r="A914" s="71"/>
      <c r="B914" s="72"/>
      <c r="C914" s="72"/>
      <c r="D914" s="73"/>
      <c r="E914" s="74"/>
      <c r="F914" s="74"/>
      <c r="G914" s="74"/>
      <c r="H914" s="74"/>
      <c r="I914" s="74"/>
      <c r="J914" s="74"/>
      <c r="K914" s="75"/>
      <c r="L914" s="76"/>
      <c r="M914" s="77"/>
      <c r="N914" s="30"/>
      <c r="O914" s="31"/>
      <c r="P914" s="31"/>
      <c r="Q914" s="31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customHeight="1">
      <c r="A915" s="71"/>
      <c r="B915" s="72"/>
      <c r="C915" s="72"/>
      <c r="D915" s="73"/>
      <c r="E915" s="74"/>
      <c r="F915" s="74"/>
      <c r="G915" s="74"/>
      <c r="H915" s="74"/>
      <c r="I915" s="74"/>
      <c r="J915" s="74"/>
      <c r="K915" s="75"/>
      <c r="L915" s="76"/>
      <c r="M915" s="77"/>
      <c r="N915" s="30"/>
      <c r="O915" s="31"/>
      <c r="P915" s="31"/>
      <c r="Q915" s="31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customHeight="1">
      <c r="A916" s="71"/>
      <c r="B916" s="72"/>
      <c r="C916" s="72"/>
      <c r="D916" s="73"/>
      <c r="E916" s="74"/>
      <c r="F916" s="74"/>
      <c r="G916" s="74"/>
      <c r="H916" s="74"/>
      <c r="I916" s="74"/>
      <c r="J916" s="74"/>
      <c r="K916" s="75"/>
      <c r="L916" s="76"/>
      <c r="M916" s="77"/>
      <c r="N916" s="30"/>
      <c r="O916" s="31"/>
      <c r="P916" s="31"/>
      <c r="Q916" s="31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customHeight="1">
      <c r="A917" s="71"/>
      <c r="B917" s="72"/>
      <c r="C917" s="72"/>
      <c r="D917" s="73"/>
      <c r="E917" s="74"/>
      <c r="F917" s="74"/>
      <c r="G917" s="74"/>
      <c r="H917" s="74"/>
      <c r="I917" s="74"/>
      <c r="J917" s="74"/>
      <c r="K917" s="75"/>
      <c r="L917" s="76"/>
      <c r="M917" s="77"/>
      <c r="N917" s="30"/>
      <c r="O917" s="31"/>
      <c r="P917" s="31"/>
      <c r="Q917" s="31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customHeight="1">
      <c r="A918" s="71"/>
      <c r="B918" s="72"/>
      <c r="C918" s="72"/>
      <c r="D918" s="73"/>
      <c r="E918" s="74"/>
      <c r="F918" s="74"/>
      <c r="G918" s="74"/>
      <c r="H918" s="74"/>
      <c r="I918" s="74"/>
      <c r="J918" s="74"/>
      <c r="K918" s="75"/>
      <c r="L918" s="76"/>
      <c r="M918" s="77"/>
      <c r="N918" s="30"/>
      <c r="O918" s="31"/>
      <c r="P918" s="31"/>
      <c r="Q918" s="31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customHeight="1">
      <c r="A919" s="71"/>
      <c r="B919" s="72"/>
      <c r="C919" s="72"/>
      <c r="D919" s="73"/>
      <c r="E919" s="74"/>
      <c r="F919" s="74"/>
      <c r="G919" s="74"/>
      <c r="H919" s="74"/>
      <c r="I919" s="74"/>
      <c r="J919" s="74"/>
      <c r="K919" s="75"/>
      <c r="L919" s="76"/>
      <c r="M919" s="77"/>
      <c r="N919" s="30"/>
      <c r="O919" s="31"/>
      <c r="P919" s="31"/>
      <c r="Q919" s="31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customHeight="1">
      <c r="A920" s="71"/>
      <c r="B920" s="72"/>
      <c r="C920" s="72"/>
      <c r="D920" s="73"/>
      <c r="E920" s="74"/>
      <c r="F920" s="74"/>
      <c r="G920" s="74"/>
      <c r="H920" s="74"/>
      <c r="I920" s="74"/>
      <c r="J920" s="74"/>
      <c r="K920" s="75"/>
      <c r="L920" s="76"/>
      <c r="M920" s="77"/>
      <c r="N920" s="30"/>
      <c r="O920" s="31"/>
      <c r="P920" s="31"/>
      <c r="Q920" s="31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customHeight="1">
      <c r="A921" s="71"/>
      <c r="B921" s="72"/>
      <c r="C921" s="72"/>
      <c r="D921" s="73"/>
      <c r="E921" s="74"/>
      <c r="F921" s="74"/>
      <c r="G921" s="74"/>
      <c r="H921" s="74"/>
      <c r="I921" s="74"/>
      <c r="J921" s="74"/>
      <c r="K921" s="75"/>
      <c r="L921" s="76"/>
      <c r="M921" s="77"/>
      <c r="N921" s="30"/>
      <c r="O921" s="31"/>
      <c r="P921" s="31"/>
      <c r="Q921" s="31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customHeight="1">
      <c r="A922" s="71"/>
      <c r="B922" s="72"/>
      <c r="C922" s="72"/>
      <c r="D922" s="73"/>
      <c r="E922" s="74"/>
      <c r="F922" s="74"/>
      <c r="G922" s="74"/>
      <c r="H922" s="74"/>
      <c r="I922" s="74"/>
      <c r="J922" s="74"/>
      <c r="K922" s="75"/>
      <c r="L922" s="76"/>
      <c r="M922" s="77"/>
      <c r="N922" s="30"/>
      <c r="O922" s="31"/>
      <c r="P922" s="31"/>
      <c r="Q922" s="31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customHeight="1">
      <c r="A923" s="71"/>
      <c r="B923" s="72"/>
      <c r="C923" s="72"/>
      <c r="D923" s="73"/>
      <c r="E923" s="74"/>
      <c r="F923" s="74"/>
      <c r="G923" s="74"/>
      <c r="H923" s="74"/>
      <c r="I923" s="74"/>
      <c r="J923" s="74"/>
      <c r="K923" s="75"/>
      <c r="L923" s="76"/>
      <c r="M923" s="77"/>
      <c r="N923" s="30"/>
      <c r="O923" s="31"/>
      <c r="P923" s="31"/>
      <c r="Q923" s="31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customHeight="1">
      <c r="A924" s="71"/>
      <c r="B924" s="72"/>
      <c r="C924" s="72"/>
      <c r="D924" s="73"/>
      <c r="E924" s="74"/>
      <c r="F924" s="74"/>
      <c r="G924" s="74"/>
      <c r="H924" s="74"/>
      <c r="I924" s="74"/>
      <c r="J924" s="74"/>
      <c r="K924" s="75"/>
      <c r="L924" s="76"/>
      <c r="M924" s="77"/>
      <c r="N924" s="30"/>
      <c r="O924" s="31"/>
      <c r="P924" s="31"/>
      <c r="Q924" s="31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customHeight="1">
      <c r="A925" s="71"/>
      <c r="B925" s="72"/>
      <c r="C925" s="72"/>
      <c r="D925" s="73"/>
      <c r="E925" s="74"/>
      <c r="F925" s="74"/>
      <c r="G925" s="74"/>
      <c r="H925" s="74"/>
      <c r="I925" s="74"/>
      <c r="J925" s="74"/>
      <c r="K925" s="75"/>
      <c r="L925" s="76"/>
      <c r="M925" s="77"/>
      <c r="N925" s="30"/>
      <c r="O925" s="31"/>
      <c r="P925" s="31"/>
      <c r="Q925" s="31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customHeight="1">
      <c r="A926" s="71"/>
      <c r="B926" s="72"/>
      <c r="C926" s="72"/>
      <c r="D926" s="73"/>
      <c r="E926" s="74"/>
      <c r="F926" s="74"/>
      <c r="G926" s="74"/>
      <c r="H926" s="74"/>
      <c r="I926" s="74"/>
      <c r="J926" s="74"/>
      <c r="K926" s="75"/>
      <c r="L926" s="76"/>
      <c r="M926" s="77"/>
      <c r="N926" s="30"/>
      <c r="O926" s="31"/>
      <c r="P926" s="31"/>
      <c r="Q926" s="31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customHeight="1">
      <c r="A927" s="71"/>
      <c r="B927" s="72"/>
      <c r="C927" s="72"/>
      <c r="D927" s="73"/>
      <c r="E927" s="74"/>
      <c r="F927" s="74"/>
      <c r="G927" s="74"/>
      <c r="H927" s="74"/>
      <c r="I927" s="74"/>
      <c r="J927" s="74"/>
      <c r="K927" s="75"/>
      <c r="L927" s="76"/>
      <c r="M927" s="77"/>
      <c r="N927" s="30"/>
      <c r="O927" s="31"/>
      <c r="P927" s="31"/>
      <c r="Q927" s="31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customHeight="1">
      <c r="A928" s="71"/>
      <c r="B928" s="72"/>
      <c r="C928" s="72"/>
      <c r="D928" s="73"/>
      <c r="E928" s="74"/>
      <c r="F928" s="74"/>
      <c r="G928" s="74"/>
      <c r="H928" s="74"/>
      <c r="I928" s="74"/>
      <c r="J928" s="74"/>
      <c r="K928" s="75"/>
      <c r="L928" s="76"/>
      <c r="M928" s="77"/>
      <c r="N928" s="30"/>
      <c r="O928" s="31"/>
      <c r="P928" s="31"/>
      <c r="Q928" s="31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customHeight="1">
      <c r="A929" s="71"/>
      <c r="B929" s="72"/>
      <c r="C929" s="72"/>
      <c r="D929" s="73"/>
      <c r="E929" s="74"/>
      <c r="F929" s="74"/>
      <c r="G929" s="74"/>
      <c r="H929" s="74"/>
      <c r="I929" s="74"/>
      <c r="J929" s="74"/>
      <c r="K929" s="75"/>
      <c r="L929" s="76"/>
      <c r="M929" s="77"/>
      <c r="N929" s="30"/>
      <c r="O929" s="31"/>
      <c r="P929" s="31"/>
      <c r="Q929" s="31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customHeight="1">
      <c r="A930" s="71"/>
      <c r="B930" s="72"/>
      <c r="C930" s="72"/>
      <c r="D930" s="73"/>
      <c r="E930" s="74"/>
      <c r="F930" s="74"/>
      <c r="G930" s="74"/>
      <c r="H930" s="74"/>
      <c r="I930" s="74"/>
      <c r="J930" s="74"/>
      <c r="K930" s="75"/>
      <c r="L930" s="76"/>
      <c r="M930" s="77"/>
      <c r="N930" s="30"/>
      <c r="O930" s="31"/>
      <c r="P930" s="31"/>
      <c r="Q930" s="31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customHeight="1">
      <c r="A931" s="71"/>
      <c r="B931" s="72"/>
      <c r="C931" s="72"/>
      <c r="D931" s="73"/>
      <c r="E931" s="74"/>
      <c r="F931" s="74"/>
      <c r="G931" s="74"/>
      <c r="H931" s="74"/>
      <c r="I931" s="74"/>
      <c r="J931" s="74"/>
      <c r="K931" s="75"/>
      <c r="L931" s="76"/>
      <c r="M931" s="77"/>
      <c r="N931" s="30"/>
      <c r="O931" s="31"/>
      <c r="P931" s="31"/>
      <c r="Q931" s="31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customHeight="1">
      <c r="A932" s="71"/>
      <c r="B932" s="72"/>
      <c r="C932" s="72"/>
      <c r="D932" s="73"/>
      <c r="E932" s="74"/>
      <c r="F932" s="74"/>
      <c r="G932" s="74"/>
      <c r="H932" s="74"/>
      <c r="I932" s="74"/>
      <c r="J932" s="74"/>
      <c r="K932" s="75"/>
      <c r="L932" s="76"/>
      <c r="M932" s="77"/>
      <c r="N932" s="30"/>
      <c r="O932" s="31"/>
      <c r="P932" s="31"/>
      <c r="Q932" s="31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customHeight="1">
      <c r="A933" s="71"/>
      <c r="B933" s="72"/>
      <c r="C933" s="72"/>
      <c r="D933" s="73"/>
      <c r="E933" s="74"/>
      <c r="F933" s="74"/>
      <c r="G933" s="74"/>
      <c r="H933" s="74"/>
      <c r="I933" s="74"/>
      <c r="J933" s="74"/>
      <c r="K933" s="75"/>
      <c r="L933" s="76"/>
      <c r="M933" s="77"/>
      <c r="N933" s="30"/>
      <c r="O933" s="31"/>
      <c r="P933" s="31"/>
      <c r="Q933" s="31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customHeight="1">
      <c r="A934" s="71"/>
      <c r="B934" s="72"/>
      <c r="C934" s="72"/>
      <c r="D934" s="73"/>
      <c r="E934" s="74"/>
      <c r="F934" s="74"/>
      <c r="G934" s="74"/>
      <c r="H934" s="74"/>
      <c r="I934" s="74"/>
      <c r="J934" s="74"/>
      <c r="K934" s="75"/>
      <c r="L934" s="76"/>
      <c r="M934" s="77"/>
      <c r="N934" s="30"/>
      <c r="O934" s="31"/>
      <c r="P934" s="31"/>
      <c r="Q934" s="31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customHeight="1">
      <c r="A935" s="71"/>
      <c r="B935" s="72"/>
      <c r="C935" s="72"/>
      <c r="D935" s="73"/>
      <c r="E935" s="74"/>
      <c r="F935" s="74"/>
      <c r="G935" s="74"/>
      <c r="H935" s="74"/>
      <c r="I935" s="74"/>
      <c r="J935" s="74"/>
      <c r="K935" s="75"/>
      <c r="L935" s="76"/>
      <c r="M935" s="77"/>
      <c r="N935" s="30"/>
      <c r="O935" s="31"/>
      <c r="P935" s="31"/>
      <c r="Q935" s="31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customHeight="1">
      <c r="A936" s="71"/>
      <c r="B936" s="72"/>
      <c r="C936" s="72"/>
      <c r="D936" s="73"/>
      <c r="E936" s="74"/>
      <c r="F936" s="74"/>
      <c r="G936" s="74"/>
      <c r="H936" s="74"/>
      <c r="I936" s="74"/>
      <c r="J936" s="74"/>
      <c r="K936" s="75"/>
      <c r="L936" s="76"/>
      <c r="M936" s="77"/>
      <c r="N936" s="30"/>
      <c r="O936" s="31"/>
      <c r="P936" s="31"/>
      <c r="Q936" s="31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customHeight="1">
      <c r="A937" s="71"/>
      <c r="B937" s="72"/>
      <c r="C937" s="72"/>
      <c r="D937" s="73"/>
      <c r="E937" s="74"/>
      <c r="F937" s="74"/>
      <c r="G937" s="74"/>
      <c r="H937" s="74"/>
      <c r="I937" s="74"/>
      <c r="J937" s="74"/>
      <c r="K937" s="75"/>
      <c r="L937" s="76"/>
      <c r="M937" s="77"/>
      <c r="N937" s="30"/>
      <c r="O937" s="31"/>
      <c r="P937" s="31"/>
      <c r="Q937" s="31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customHeight="1">
      <c r="A938" s="71"/>
      <c r="B938" s="72"/>
      <c r="C938" s="72"/>
      <c r="D938" s="73"/>
      <c r="E938" s="74"/>
      <c r="F938" s="74"/>
      <c r="G938" s="74"/>
      <c r="H938" s="74"/>
      <c r="I938" s="74"/>
      <c r="J938" s="74"/>
      <c r="K938" s="75"/>
      <c r="L938" s="76"/>
      <c r="M938" s="77"/>
      <c r="N938" s="30"/>
      <c r="O938" s="31"/>
      <c r="P938" s="31"/>
      <c r="Q938" s="31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customHeight="1">
      <c r="A939" s="71"/>
      <c r="B939" s="72"/>
      <c r="C939" s="72"/>
      <c r="D939" s="73"/>
      <c r="E939" s="74"/>
      <c r="F939" s="74"/>
      <c r="G939" s="74"/>
      <c r="H939" s="74"/>
      <c r="I939" s="74"/>
      <c r="J939" s="74"/>
      <c r="K939" s="75"/>
      <c r="L939" s="76"/>
      <c r="M939" s="77"/>
      <c r="N939" s="30"/>
      <c r="O939" s="31"/>
      <c r="P939" s="31"/>
      <c r="Q939" s="31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customHeight="1">
      <c r="A940" s="71"/>
      <c r="B940" s="72"/>
      <c r="C940" s="72"/>
      <c r="D940" s="73"/>
      <c r="E940" s="74"/>
      <c r="F940" s="74"/>
      <c r="G940" s="74"/>
      <c r="H940" s="74"/>
      <c r="I940" s="74"/>
      <c r="J940" s="74"/>
      <c r="K940" s="75"/>
      <c r="L940" s="76"/>
      <c r="M940" s="77"/>
      <c r="N940" s="30"/>
      <c r="O940" s="31"/>
      <c r="P940" s="31"/>
      <c r="Q940" s="31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customHeight="1">
      <c r="A941" s="71"/>
      <c r="B941" s="72"/>
      <c r="C941" s="72"/>
      <c r="D941" s="73"/>
      <c r="E941" s="74"/>
      <c r="F941" s="74"/>
      <c r="G941" s="74"/>
      <c r="H941" s="74"/>
      <c r="I941" s="74"/>
      <c r="J941" s="74"/>
      <c r="K941" s="75"/>
      <c r="L941" s="76"/>
      <c r="M941" s="77"/>
      <c r="N941" s="30"/>
      <c r="O941" s="31"/>
      <c r="P941" s="31"/>
      <c r="Q941" s="31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customHeight="1">
      <c r="A942" s="71"/>
      <c r="B942" s="72"/>
      <c r="C942" s="72"/>
      <c r="D942" s="73"/>
      <c r="E942" s="74"/>
      <c r="F942" s="74"/>
      <c r="G942" s="74"/>
      <c r="H942" s="74"/>
      <c r="I942" s="74"/>
      <c r="J942" s="74"/>
      <c r="K942" s="75"/>
      <c r="L942" s="76"/>
      <c r="M942" s="77"/>
      <c r="N942" s="30"/>
      <c r="O942" s="31"/>
      <c r="P942" s="31"/>
      <c r="Q942" s="31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customHeight="1">
      <c r="A943" s="71"/>
      <c r="B943" s="72"/>
      <c r="C943" s="72"/>
      <c r="D943" s="73"/>
      <c r="E943" s="74"/>
      <c r="F943" s="74"/>
      <c r="G943" s="74"/>
      <c r="H943" s="74"/>
      <c r="I943" s="74"/>
      <c r="J943" s="74"/>
      <c r="K943" s="75"/>
      <c r="L943" s="76"/>
      <c r="M943" s="77"/>
      <c r="N943" s="30"/>
      <c r="O943" s="31"/>
      <c r="P943" s="31"/>
      <c r="Q943" s="31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customHeight="1">
      <c r="A944" s="71"/>
      <c r="B944" s="72"/>
      <c r="C944" s="72"/>
      <c r="D944" s="73"/>
      <c r="E944" s="74"/>
      <c r="F944" s="74"/>
      <c r="G944" s="74"/>
      <c r="H944" s="74"/>
      <c r="I944" s="74"/>
      <c r="J944" s="74"/>
      <c r="K944" s="75"/>
      <c r="L944" s="76"/>
      <c r="M944" s="77"/>
      <c r="N944" s="30"/>
      <c r="O944" s="31"/>
      <c r="P944" s="31"/>
      <c r="Q944" s="31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customHeight="1">
      <c r="A945" s="71"/>
      <c r="B945" s="72"/>
      <c r="C945" s="72"/>
      <c r="D945" s="73"/>
      <c r="E945" s="74"/>
      <c r="F945" s="74"/>
      <c r="G945" s="74"/>
      <c r="H945" s="74"/>
      <c r="I945" s="74"/>
      <c r="J945" s="74"/>
      <c r="K945" s="75"/>
      <c r="L945" s="76"/>
      <c r="M945" s="77"/>
      <c r="N945" s="30"/>
      <c r="O945" s="31"/>
      <c r="P945" s="31"/>
      <c r="Q945" s="31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customHeight="1">
      <c r="A946" s="71"/>
      <c r="B946" s="72"/>
      <c r="C946" s="72"/>
      <c r="D946" s="73"/>
      <c r="E946" s="74"/>
      <c r="F946" s="74"/>
      <c r="G946" s="74"/>
      <c r="H946" s="74"/>
      <c r="I946" s="74"/>
      <c r="J946" s="74"/>
      <c r="K946" s="75"/>
      <c r="L946" s="76"/>
      <c r="M946" s="77"/>
      <c r="N946" s="30"/>
      <c r="O946" s="31"/>
      <c r="P946" s="31"/>
      <c r="Q946" s="31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customHeight="1">
      <c r="A947" s="71"/>
      <c r="B947" s="72"/>
      <c r="C947" s="72"/>
      <c r="D947" s="73"/>
      <c r="E947" s="74"/>
      <c r="F947" s="74"/>
      <c r="G947" s="74"/>
      <c r="H947" s="74"/>
      <c r="I947" s="74"/>
      <c r="J947" s="74"/>
      <c r="K947" s="75"/>
      <c r="L947" s="76"/>
      <c r="M947" s="77"/>
      <c r="N947" s="30"/>
      <c r="O947" s="31"/>
      <c r="P947" s="31"/>
      <c r="Q947" s="31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customHeight="1">
      <c r="A948" s="71"/>
      <c r="B948" s="72"/>
      <c r="C948" s="72"/>
      <c r="D948" s="73"/>
      <c r="E948" s="74"/>
      <c r="F948" s="74"/>
      <c r="G948" s="74"/>
      <c r="H948" s="74"/>
      <c r="I948" s="74"/>
      <c r="J948" s="74"/>
      <c r="K948" s="75"/>
      <c r="L948" s="76"/>
      <c r="M948" s="77"/>
      <c r="N948" s="30"/>
      <c r="O948" s="31"/>
      <c r="P948" s="31"/>
      <c r="Q948" s="31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customHeight="1">
      <c r="A949" s="71"/>
      <c r="B949" s="72"/>
      <c r="C949" s="72"/>
      <c r="D949" s="73"/>
      <c r="E949" s="74"/>
      <c r="F949" s="74"/>
      <c r="G949" s="74"/>
      <c r="H949" s="74"/>
      <c r="I949" s="74"/>
      <c r="J949" s="74"/>
      <c r="K949" s="75"/>
      <c r="L949" s="76"/>
      <c r="M949" s="77"/>
      <c r="N949" s="30"/>
      <c r="O949" s="31"/>
      <c r="P949" s="31"/>
      <c r="Q949" s="31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customHeight="1">
      <c r="A950" s="71"/>
      <c r="B950" s="72"/>
      <c r="C950" s="72"/>
      <c r="D950" s="73"/>
      <c r="E950" s="74"/>
      <c r="F950" s="74"/>
      <c r="G950" s="74"/>
      <c r="H950" s="74"/>
      <c r="I950" s="74"/>
      <c r="J950" s="74"/>
      <c r="K950" s="75"/>
      <c r="L950" s="76"/>
      <c r="M950" s="77"/>
      <c r="N950" s="30"/>
      <c r="O950" s="31"/>
      <c r="P950" s="31"/>
      <c r="Q950" s="31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customHeight="1">
      <c r="A951" s="71"/>
      <c r="B951" s="72"/>
      <c r="C951" s="72"/>
      <c r="D951" s="73"/>
      <c r="E951" s="74"/>
      <c r="F951" s="74"/>
      <c r="G951" s="74"/>
      <c r="H951" s="74"/>
      <c r="I951" s="74"/>
      <c r="J951" s="74"/>
      <c r="K951" s="75"/>
      <c r="L951" s="76"/>
      <c r="M951" s="77"/>
      <c r="N951" s="30"/>
      <c r="O951" s="31"/>
      <c r="P951" s="31"/>
      <c r="Q951" s="31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customHeight="1">
      <c r="A952" s="71"/>
      <c r="B952" s="72"/>
      <c r="C952" s="72"/>
      <c r="D952" s="73"/>
      <c r="E952" s="74"/>
      <c r="F952" s="74"/>
      <c r="G952" s="74"/>
      <c r="H952" s="74"/>
      <c r="I952" s="74"/>
      <c r="J952" s="74"/>
      <c r="K952" s="75"/>
      <c r="L952" s="76"/>
      <c r="M952" s="77"/>
      <c r="N952" s="30"/>
      <c r="O952" s="31"/>
      <c r="P952" s="31"/>
      <c r="Q952" s="31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customHeight="1">
      <c r="A953" s="71"/>
      <c r="B953" s="72"/>
      <c r="C953" s="72"/>
      <c r="D953" s="73"/>
      <c r="E953" s="74"/>
      <c r="F953" s="74"/>
      <c r="G953" s="74"/>
      <c r="H953" s="74"/>
      <c r="I953" s="74"/>
      <c r="J953" s="74"/>
      <c r="K953" s="75"/>
      <c r="L953" s="76"/>
      <c r="M953" s="77"/>
      <c r="N953" s="30"/>
      <c r="O953" s="31"/>
      <c r="P953" s="31"/>
      <c r="Q953" s="31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customHeight="1">
      <c r="A954" s="71"/>
      <c r="B954" s="72"/>
      <c r="C954" s="72"/>
      <c r="D954" s="73"/>
      <c r="E954" s="74"/>
      <c r="F954" s="74"/>
      <c r="G954" s="74"/>
      <c r="H954" s="74"/>
      <c r="I954" s="74"/>
      <c r="J954" s="74"/>
      <c r="K954" s="75"/>
      <c r="L954" s="76"/>
      <c r="M954" s="77"/>
      <c r="N954" s="30"/>
      <c r="O954" s="31"/>
      <c r="P954" s="31"/>
      <c r="Q954" s="31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customHeight="1">
      <c r="A955" s="71"/>
      <c r="B955" s="72"/>
      <c r="C955" s="72"/>
      <c r="D955" s="73"/>
      <c r="E955" s="74"/>
      <c r="F955" s="74"/>
      <c r="G955" s="74"/>
      <c r="H955" s="74"/>
      <c r="I955" s="74"/>
      <c r="J955" s="74"/>
      <c r="K955" s="75"/>
      <c r="L955" s="76"/>
      <c r="M955" s="77"/>
      <c r="N955" s="30"/>
      <c r="O955" s="31"/>
      <c r="P955" s="31"/>
      <c r="Q955" s="31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customHeight="1">
      <c r="A956" s="71"/>
      <c r="B956" s="72"/>
      <c r="C956" s="72"/>
      <c r="D956" s="73"/>
      <c r="E956" s="74"/>
      <c r="F956" s="74"/>
      <c r="G956" s="74"/>
      <c r="H956" s="74"/>
      <c r="I956" s="74"/>
      <c r="J956" s="74"/>
      <c r="K956" s="75"/>
      <c r="L956" s="76"/>
      <c r="M956" s="77"/>
      <c r="N956" s="30"/>
      <c r="O956" s="31"/>
      <c r="P956" s="31"/>
      <c r="Q956" s="31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customHeight="1">
      <c r="A957" s="71"/>
      <c r="B957" s="72"/>
      <c r="C957" s="72"/>
      <c r="D957" s="73"/>
      <c r="E957" s="74"/>
      <c r="F957" s="74"/>
      <c r="G957" s="74"/>
      <c r="H957" s="74"/>
      <c r="I957" s="74"/>
      <c r="J957" s="74"/>
      <c r="K957" s="75"/>
      <c r="L957" s="76"/>
      <c r="M957" s="77"/>
      <c r="N957" s="30"/>
      <c r="O957" s="31"/>
      <c r="P957" s="31"/>
      <c r="Q957" s="31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customHeight="1">
      <c r="A958" s="71"/>
      <c r="B958" s="72"/>
      <c r="C958" s="72"/>
      <c r="D958" s="73"/>
      <c r="E958" s="74"/>
      <c r="F958" s="74"/>
      <c r="G958" s="74"/>
      <c r="H958" s="74"/>
      <c r="I958" s="74"/>
      <c r="J958" s="74"/>
      <c r="K958" s="75"/>
      <c r="L958" s="76"/>
      <c r="M958" s="77"/>
      <c r="N958" s="30"/>
      <c r="O958" s="31"/>
      <c r="P958" s="31"/>
      <c r="Q958" s="31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customHeight="1">
      <c r="A959" s="71"/>
      <c r="B959" s="72"/>
      <c r="C959" s="72"/>
      <c r="D959" s="73"/>
      <c r="E959" s="74"/>
      <c r="F959" s="74"/>
      <c r="G959" s="74"/>
      <c r="H959" s="74"/>
      <c r="I959" s="74"/>
      <c r="J959" s="74"/>
      <c r="K959" s="75"/>
      <c r="L959" s="76"/>
      <c r="M959" s="77"/>
      <c r="N959" s="30"/>
      <c r="O959" s="31"/>
      <c r="P959" s="31"/>
      <c r="Q959" s="31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customHeight="1">
      <c r="A960" s="71"/>
      <c r="B960" s="72"/>
      <c r="C960" s="72"/>
      <c r="D960" s="73"/>
      <c r="E960" s="74"/>
      <c r="F960" s="74"/>
      <c r="G960" s="74"/>
      <c r="H960" s="74"/>
      <c r="I960" s="74"/>
      <c r="J960" s="74"/>
      <c r="K960" s="75"/>
      <c r="L960" s="76"/>
      <c r="M960" s="77"/>
      <c r="N960" s="30"/>
      <c r="O960" s="31"/>
      <c r="P960" s="31"/>
      <c r="Q960" s="31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.75" customHeight="1">
      <c r="A961" s="71"/>
      <c r="B961" s="72"/>
      <c r="C961" s="72"/>
      <c r="D961" s="73"/>
      <c r="E961" s="74"/>
      <c r="F961" s="74"/>
      <c r="G961" s="74"/>
      <c r="H961" s="74"/>
      <c r="I961" s="74"/>
      <c r="J961" s="74"/>
      <c r="K961" s="75"/>
      <c r="L961" s="76"/>
      <c r="M961" s="77"/>
      <c r="N961" s="30"/>
      <c r="O961" s="31"/>
      <c r="P961" s="31"/>
      <c r="Q961" s="31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.75" customHeight="1">
      <c r="A962" s="71"/>
      <c r="B962" s="72"/>
      <c r="C962" s="72"/>
      <c r="D962" s="73"/>
      <c r="E962" s="74"/>
      <c r="F962" s="74"/>
      <c r="G962" s="74"/>
      <c r="H962" s="74"/>
      <c r="I962" s="74"/>
      <c r="J962" s="74"/>
      <c r="K962" s="75"/>
      <c r="L962" s="76"/>
      <c r="M962" s="77"/>
      <c r="N962" s="30"/>
      <c r="O962" s="31"/>
      <c r="P962" s="31"/>
      <c r="Q962" s="31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.75" customHeight="1">
      <c r="A963" s="71"/>
      <c r="B963" s="72"/>
      <c r="C963" s="72"/>
      <c r="D963" s="73"/>
      <c r="E963" s="74"/>
      <c r="F963" s="74"/>
      <c r="G963" s="74"/>
      <c r="H963" s="74"/>
      <c r="I963" s="74"/>
      <c r="J963" s="74"/>
      <c r="K963" s="75"/>
      <c r="L963" s="76"/>
      <c r="M963" s="77"/>
      <c r="N963" s="30"/>
      <c r="O963" s="31"/>
      <c r="P963" s="31"/>
      <c r="Q963" s="31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.75" customHeight="1">
      <c r="A964" s="71"/>
      <c r="B964" s="72"/>
      <c r="C964" s="72"/>
      <c r="D964" s="73"/>
      <c r="E964" s="74"/>
      <c r="F964" s="74"/>
      <c r="G964" s="74"/>
      <c r="H964" s="74"/>
      <c r="I964" s="74"/>
      <c r="J964" s="74"/>
      <c r="K964" s="75"/>
      <c r="L964" s="76"/>
      <c r="M964" s="77"/>
      <c r="N964" s="30"/>
      <c r="O964" s="31"/>
      <c r="P964" s="31"/>
      <c r="Q964" s="31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.75" customHeight="1">
      <c r="A965" s="71"/>
      <c r="B965" s="72"/>
      <c r="C965" s="72"/>
      <c r="D965" s="73"/>
      <c r="E965" s="74"/>
      <c r="F965" s="74"/>
      <c r="G965" s="74"/>
      <c r="H965" s="74"/>
      <c r="I965" s="74"/>
      <c r="J965" s="74"/>
      <c r="K965" s="75"/>
      <c r="L965" s="76"/>
      <c r="M965" s="77"/>
      <c r="N965" s="30"/>
      <c r="O965" s="31"/>
      <c r="P965" s="31"/>
      <c r="Q965" s="31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.75" customHeight="1">
      <c r="A966" s="71"/>
      <c r="B966" s="72"/>
      <c r="C966" s="72"/>
      <c r="D966" s="73"/>
      <c r="E966" s="74"/>
      <c r="F966" s="74"/>
      <c r="G966" s="74"/>
      <c r="H966" s="74"/>
      <c r="I966" s="74"/>
      <c r="J966" s="74"/>
      <c r="K966" s="75"/>
      <c r="L966" s="76"/>
      <c r="M966" s="77"/>
      <c r="N966" s="30"/>
      <c r="O966" s="31"/>
      <c r="P966" s="31"/>
      <c r="Q966" s="31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.75" customHeight="1">
      <c r="A967" s="71"/>
      <c r="B967" s="72"/>
      <c r="C967" s="72"/>
      <c r="D967" s="73"/>
      <c r="E967" s="74"/>
      <c r="F967" s="74"/>
      <c r="G967" s="74"/>
      <c r="H967" s="74"/>
      <c r="I967" s="74"/>
      <c r="J967" s="74"/>
      <c r="K967" s="75"/>
      <c r="L967" s="76"/>
      <c r="M967" s="77"/>
      <c r="N967" s="30"/>
      <c r="O967" s="31"/>
      <c r="P967" s="31"/>
      <c r="Q967" s="31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.75" customHeight="1">
      <c r="A968" s="71"/>
      <c r="B968" s="72"/>
      <c r="C968" s="72"/>
      <c r="D968" s="73"/>
      <c r="E968" s="74"/>
      <c r="F968" s="74"/>
      <c r="G968" s="74"/>
      <c r="H968" s="74"/>
      <c r="I968" s="74"/>
      <c r="J968" s="74"/>
      <c r="K968" s="75"/>
      <c r="L968" s="76"/>
      <c r="M968" s="77"/>
      <c r="N968" s="30"/>
      <c r="O968" s="31"/>
      <c r="P968" s="31"/>
      <c r="Q968" s="31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.75" customHeight="1">
      <c r="A969" s="71"/>
      <c r="B969" s="72"/>
      <c r="C969" s="72"/>
      <c r="D969" s="73"/>
      <c r="E969" s="74"/>
      <c r="F969" s="74"/>
      <c r="G969" s="74"/>
      <c r="H969" s="74"/>
      <c r="I969" s="74"/>
      <c r="J969" s="74"/>
      <c r="K969" s="75"/>
      <c r="L969" s="76"/>
      <c r="M969" s="77"/>
      <c r="N969" s="30"/>
      <c r="O969" s="31"/>
      <c r="P969" s="31"/>
      <c r="Q969" s="31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.75" customHeight="1">
      <c r="A970" s="71"/>
      <c r="B970" s="72"/>
      <c r="C970" s="72"/>
      <c r="D970" s="73"/>
      <c r="E970" s="74"/>
      <c r="F970" s="74"/>
      <c r="G970" s="74"/>
      <c r="H970" s="74"/>
      <c r="I970" s="74"/>
      <c r="J970" s="74"/>
      <c r="K970" s="75"/>
      <c r="L970" s="76"/>
      <c r="M970" s="77"/>
      <c r="N970" s="30"/>
      <c r="O970" s="31"/>
      <c r="P970" s="31"/>
      <c r="Q970" s="31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.75" customHeight="1">
      <c r="A971" s="71"/>
      <c r="B971" s="72"/>
      <c r="C971" s="72"/>
      <c r="D971" s="73"/>
      <c r="E971" s="74"/>
      <c r="F971" s="74"/>
      <c r="G971" s="74"/>
      <c r="H971" s="74"/>
      <c r="I971" s="74"/>
      <c r="J971" s="74"/>
      <c r="K971" s="75"/>
      <c r="L971" s="76"/>
      <c r="M971" s="77"/>
      <c r="N971" s="30"/>
      <c r="O971" s="31"/>
      <c r="P971" s="31"/>
      <c r="Q971" s="31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.75" customHeight="1">
      <c r="A972" s="71"/>
      <c r="B972" s="72"/>
      <c r="C972" s="72"/>
      <c r="D972" s="73"/>
      <c r="E972" s="74"/>
      <c r="F972" s="74"/>
      <c r="G972" s="74"/>
      <c r="H972" s="74"/>
      <c r="I972" s="74"/>
      <c r="J972" s="74"/>
      <c r="K972" s="75"/>
      <c r="L972" s="76"/>
      <c r="M972" s="77"/>
      <c r="N972" s="30"/>
      <c r="O972" s="31"/>
      <c r="P972" s="31"/>
      <c r="Q972" s="31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.75" customHeight="1">
      <c r="A973" s="71"/>
      <c r="B973" s="72"/>
      <c r="C973" s="72"/>
      <c r="D973" s="73"/>
      <c r="E973" s="74"/>
      <c r="F973" s="74"/>
      <c r="G973" s="74"/>
      <c r="H973" s="74"/>
      <c r="I973" s="74"/>
      <c r="J973" s="74"/>
      <c r="K973" s="75"/>
      <c r="L973" s="76"/>
      <c r="M973" s="77"/>
      <c r="N973" s="30"/>
      <c r="O973" s="31"/>
      <c r="P973" s="31"/>
      <c r="Q973" s="31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.75" customHeight="1">
      <c r="A974" s="71"/>
      <c r="B974" s="72"/>
      <c r="C974" s="72"/>
      <c r="D974" s="73"/>
      <c r="E974" s="74"/>
      <c r="F974" s="74"/>
      <c r="G974" s="74"/>
      <c r="H974" s="74"/>
      <c r="I974" s="74"/>
      <c r="J974" s="74"/>
      <c r="K974" s="75"/>
      <c r="L974" s="76"/>
      <c r="M974" s="77"/>
      <c r="N974" s="30"/>
      <c r="O974" s="31"/>
      <c r="P974" s="31"/>
      <c r="Q974" s="31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.75" customHeight="1">
      <c r="A975" s="71"/>
      <c r="B975" s="72"/>
      <c r="C975" s="72"/>
      <c r="D975" s="73"/>
      <c r="E975" s="74"/>
      <c r="F975" s="74"/>
      <c r="G975" s="74"/>
      <c r="H975" s="74"/>
      <c r="I975" s="74"/>
      <c r="J975" s="74"/>
      <c r="K975" s="75"/>
      <c r="L975" s="76"/>
      <c r="M975" s="77"/>
      <c r="N975" s="30"/>
      <c r="O975" s="31"/>
      <c r="P975" s="31"/>
      <c r="Q975" s="31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.75" customHeight="1">
      <c r="A976" s="71"/>
      <c r="B976" s="72"/>
      <c r="C976" s="72"/>
      <c r="D976" s="73"/>
      <c r="E976" s="74"/>
      <c r="F976" s="74"/>
      <c r="G976" s="74"/>
      <c r="H976" s="74"/>
      <c r="I976" s="74"/>
      <c r="J976" s="74"/>
      <c r="K976" s="75"/>
      <c r="L976" s="76"/>
      <c r="M976" s="77"/>
      <c r="N976" s="30"/>
      <c r="O976" s="31"/>
      <c r="P976" s="31"/>
      <c r="Q976" s="31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.75" customHeight="1">
      <c r="A977" s="71"/>
      <c r="B977" s="72"/>
      <c r="C977" s="72"/>
      <c r="D977" s="73"/>
      <c r="E977" s="74"/>
      <c r="F977" s="74"/>
      <c r="G977" s="74"/>
      <c r="H977" s="74"/>
      <c r="I977" s="74"/>
      <c r="J977" s="74"/>
      <c r="K977" s="75"/>
      <c r="L977" s="76"/>
      <c r="M977" s="77"/>
      <c r="N977" s="30"/>
      <c r="O977" s="31"/>
      <c r="P977" s="31"/>
      <c r="Q977" s="31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.75" customHeight="1">
      <c r="A978" s="71"/>
      <c r="B978" s="72"/>
      <c r="C978" s="72"/>
      <c r="D978" s="73"/>
      <c r="E978" s="74"/>
      <c r="F978" s="74"/>
      <c r="G978" s="74"/>
      <c r="H978" s="74"/>
      <c r="I978" s="74"/>
      <c r="J978" s="74"/>
      <c r="K978" s="75"/>
      <c r="L978" s="76"/>
      <c r="M978" s="77"/>
      <c r="N978" s="30"/>
      <c r="O978" s="31"/>
      <c r="P978" s="31"/>
      <c r="Q978" s="31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.75" customHeight="1">
      <c r="A979" s="71"/>
      <c r="B979" s="72"/>
      <c r="C979" s="72"/>
      <c r="D979" s="73"/>
      <c r="E979" s="74"/>
      <c r="F979" s="74"/>
      <c r="G979" s="74"/>
      <c r="H979" s="74"/>
      <c r="I979" s="74"/>
      <c r="J979" s="74"/>
      <c r="K979" s="75"/>
      <c r="L979" s="76"/>
      <c r="M979" s="77"/>
      <c r="N979" s="30"/>
      <c r="O979" s="31"/>
      <c r="P979" s="31"/>
      <c r="Q979" s="31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.75" customHeight="1">
      <c r="A980" s="71"/>
      <c r="B980" s="72"/>
      <c r="C980" s="72"/>
      <c r="D980" s="73"/>
      <c r="E980" s="74"/>
      <c r="F980" s="74"/>
      <c r="G980" s="74"/>
      <c r="H980" s="74"/>
      <c r="I980" s="74"/>
      <c r="J980" s="74"/>
      <c r="K980" s="75"/>
      <c r="L980" s="76"/>
      <c r="M980" s="77"/>
      <c r="N980" s="30"/>
      <c r="O980" s="31"/>
      <c r="P980" s="31"/>
      <c r="Q980" s="31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.75" customHeight="1">
      <c r="A981" s="71"/>
      <c r="B981" s="72"/>
      <c r="C981" s="72"/>
      <c r="D981" s="73"/>
      <c r="E981" s="74"/>
      <c r="F981" s="74"/>
      <c r="G981" s="74"/>
      <c r="H981" s="74"/>
      <c r="I981" s="74"/>
      <c r="J981" s="74"/>
      <c r="K981" s="75"/>
      <c r="L981" s="76"/>
      <c r="M981" s="77"/>
      <c r="N981" s="30"/>
      <c r="O981" s="31"/>
      <c r="P981" s="31"/>
      <c r="Q981" s="31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.75" customHeight="1">
      <c r="A982" s="71"/>
      <c r="B982" s="72"/>
      <c r="C982" s="72"/>
      <c r="D982" s="73"/>
      <c r="E982" s="74"/>
      <c r="F982" s="74"/>
      <c r="G982" s="74"/>
      <c r="H982" s="74"/>
      <c r="I982" s="74"/>
      <c r="J982" s="74"/>
      <c r="K982" s="75"/>
      <c r="L982" s="76"/>
      <c r="M982" s="77"/>
      <c r="N982" s="30"/>
      <c r="O982" s="31"/>
      <c r="P982" s="31"/>
      <c r="Q982" s="31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.75" customHeight="1">
      <c r="A983" s="71"/>
      <c r="B983" s="72"/>
      <c r="C983" s="72"/>
      <c r="D983" s="73"/>
      <c r="E983" s="74"/>
      <c r="F983" s="74"/>
      <c r="G983" s="74"/>
      <c r="H983" s="74"/>
      <c r="I983" s="74"/>
      <c r="J983" s="74"/>
      <c r="K983" s="75"/>
      <c r="L983" s="76"/>
      <c r="M983" s="77"/>
      <c r="N983" s="30"/>
      <c r="O983" s="31"/>
      <c r="P983" s="31"/>
      <c r="Q983" s="31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.75" customHeight="1">
      <c r="A984" s="71"/>
      <c r="B984" s="72"/>
      <c r="C984" s="72"/>
      <c r="D984" s="73"/>
      <c r="E984" s="74"/>
      <c r="F984" s="74"/>
      <c r="G984" s="74"/>
      <c r="H984" s="74"/>
      <c r="I984" s="74"/>
      <c r="J984" s="74"/>
      <c r="K984" s="75"/>
      <c r="L984" s="76"/>
      <c r="M984" s="77"/>
      <c r="N984" s="30"/>
      <c r="O984" s="31"/>
      <c r="P984" s="31"/>
      <c r="Q984" s="31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.75" customHeight="1">
      <c r="A985" s="71"/>
      <c r="B985" s="72"/>
      <c r="C985" s="72"/>
      <c r="D985" s="73"/>
      <c r="E985" s="74"/>
      <c r="F985" s="74"/>
      <c r="G985" s="74"/>
      <c r="H985" s="74"/>
      <c r="I985" s="74"/>
      <c r="J985" s="74"/>
      <c r="K985" s="75"/>
      <c r="L985" s="76"/>
      <c r="M985" s="77"/>
      <c r="N985" s="30"/>
      <c r="O985" s="31"/>
      <c r="P985" s="31"/>
      <c r="Q985" s="31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.75" customHeight="1">
      <c r="A986" s="71"/>
      <c r="B986" s="72"/>
      <c r="C986" s="72"/>
      <c r="D986" s="73"/>
      <c r="E986" s="74"/>
      <c r="F986" s="74"/>
      <c r="G986" s="74"/>
      <c r="H986" s="74"/>
      <c r="I986" s="74"/>
      <c r="J986" s="74"/>
      <c r="K986" s="75"/>
      <c r="L986" s="76"/>
      <c r="M986" s="77"/>
      <c r="N986" s="30"/>
      <c r="O986" s="31"/>
      <c r="P986" s="31"/>
      <c r="Q986" s="31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.75" customHeight="1">
      <c r="A987" s="71"/>
      <c r="B987" s="72"/>
      <c r="C987" s="72"/>
      <c r="D987" s="73"/>
      <c r="E987" s="74"/>
      <c r="F987" s="74"/>
      <c r="G987" s="74"/>
      <c r="H987" s="74"/>
      <c r="I987" s="74"/>
      <c r="J987" s="74"/>
      <c r="K987" s="75"/>
      <c r="L987" s="76"/>
      <c r="M987" s="77"/>
      <c r="N987" s="30"/>
      <c r="O987" s="31"/>
      <c r="P987" s="31"/>
      <c r="Q987" s="31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.75" customHeight="1">
      <c r="A988" s="71"/>
      <c r="B988" s="72"/>
      <c r="C988" s="72"/>
      <c r="D988" s="73"/>
      <c r="E988" s="74"/>
      <c r="F988" s="74"/>
      <c r="G988" s="74"/>
      <c r="H988" s="74"/>
      <c r="I988" s="74"/>
      <c r="J988" s="74"/>
      <c r="K988" s="75"/>
      <c r="L988" s="76"/>
      <c r="M988" s="77"/>
      <c r="N988" s="30"/>
      <c r="O988" s="31"/>
      <c r="P988" s="31"/>
      <c r="Q988" s="31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.75" customHeight="1">
      <c r="A989" s="71"/>
      <c r="B989" s="72"/>
      <c r="C989" s="72"/>
      <c r="D989" s="73"/>
      <c r="E989" s="74"/>
      <c r="F989" s="74"/>
      <c r="G989" s="74"/>
      <c r="H989" s="74"/>
      <c r="I989" s="74"/>
      <c r="J989" s="74"/>
      <c r="K989" s="75"/>
      <c r="L989" s="76"/>
      <c r="M989" s="77"/>
      <c r="N989" s="30"/>
      <c r="O989" s="31"/>
      <c r="P989" s="31"/>
      <c r="Q989" s="31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.75" customHeight="1">
      <c r="A990" s="71"/>
      <c r="B990" s="72"/>
      <c r="C990" s="72"/>
      <c r="D990" s="73"/>
      <c r="E990" s="74"/>
      <c r="F990" s="74"/>
      <c r="G990" s="74"/>
      <c r="H990" s="74"/>
      <c r="I990" s="74"/>
      <c r="J990" s="74"/>
      <c r="K990" s="75"/>
      <c r="L990" s="76"/>
      <c r="M990" s="77"/>
      <c r="N990" s="30"/>
      <c r="O990" s="31"/>
      <c r="P990" s="31"/>
      <c r="Q990" s="31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.75" customHeight="1">
      <c r="A991" s="71"/>
      <c r="B991" s="72"/>
      <c r="C991" s="72"/>
      <c r="D991" s="73"/>
      <c r="E991" s="74"/>
      <c r="F991" s="74"/>
      <c r="G991" s="74"/>
      <c r="H991" s="74"/>
      <c r="I991" s="74"/>
      <c r="J991" s="74"/>
      <c r="K991" s="75"/>
      <c r="L991" s="76"/>
      <c r="M991" s="77"/>
      <c r="N991" s="30"/>
      <c r="O991" s="31"/>
      <c r="P991" s="31"/>
      <c r="Q991" s="31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.75" customHeight="1">
      <c r="A992" s="71"/>
      <c r="B992" s="72"/>
      <c r="C992" s="72"/>
      <c r="D992" s="73"/>
      <c r="E992" s="74"/>
      <c r="F992" s="74"/>
      <c r="G992" s="74"/>
      <c r="H992" s="74"/>
      <c r="I992" s="74"/>
      <c r="J992" s="74"/>
      <c r="K992" s="75"/>
      <c r="L992" s="76"/>
      <c r="M992" s="77"/>
      <c r="N992" s="30"/>
      <c r="O992" s="31"/>
      <c r="P992" s="31"/>
      <c r="Q992" s="31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.75" customHeight="1">
      <c r="A993" s="71"/>
      <c r="B993" s="72"/>
      <c r="C993" s="72"/>
      <c r="D993" s="73"/>
      <c r="E993" s="74"/>
      <c r="F993" s="74"/>
      <c r="G993" s="74"/>
      <c r="H993" s="74"/>
      <c r="I993" s="74"/>
      <c r="J993" s="74"/>
      <c r="K993" s="75"/>
      <c r="L993" s="76"/>
      <c r="M993" s="77"/>
      <c r="N993" s="30"/>
      <c r="O993" s="31"/>
      <c r="P993" s="31"/>
      <c r="Q993" s="31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.75" customHeight="1">
      <c r="A994" s="71"/>
      <c r="B994" s="72"/>
      <c r="C994" s="72"/>
      <c r="D994" s="73"/>
      <c r="E994" s="74"/>
      <c r="F994" s="74"/>
      <c r="G994" s="74"/>
      <c r="H994" s="74"/>
      <c r="I994" s="74"/>
      <c r="J994" s="74"/>
      <c r="K994" s="75"/>
      <c r="L994" s="76"/>
      <c r="M994" s="77"/>
      <c r="N994" s="30"/>
      <c r="O994" s="31"/>
      <c r="P994" s="31"/>
      <c r="Q994" s="31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.75" customHeight="1">
      <c r="A995" s="71"/>
      <c r="B995" s="72"/>
      <c r="C995" s="72"/>
      <c r="D995" s="73"/>
      <c r="E995" s="74"/>
      <c r="F995" s="74"/>
      <c r="G995" s="74"/>
      <c r="H995" s="74"/>
      <c r="I995" s="74"/>
      <c r="J995" s="74"/>
      <c r="K995" s="75"/>
      <c r="L995" s="76"/>
      <c r="M995" s="77"/>
      <c r="N995" s="30"/>
      <c r="O995" s="31"/>
      <c r="P995" s="31"/>
      <c r="Q995" s="31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.75" customHeight="1">
      <c r="A996" s="71"/>
      <c r="B996" s="72"/>
      <c r="C996" s="72"/>
      <c r="D996" s="73"/>
      <c r="E996" s="74"/>
      <c r="F996" s="74"/>
      <c r="G996" s="74"/>
      <c r="H996" s="74"/>
      <c r="I996" s="74"/>
      <c r="J996" s="74"/>
      <c r="K996" s="75"/>
      <c r="L996" s="76"/>
      <c r="M996" s="77"/>
      <c r="N996" s="30"/>
      <c r="O996" s="31"/>
      <c r="P996" s="31"/>
      <c r="Q996" s="31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.75" customHeight="1">
      <c r="A997" s="71"/>
      <c r="B997" s="72"/>
      <c r="C997" s="72"/>
      <c r="D997" s="73"/>
      <c r="E997" s="74"/>
      <c r="F997" s="74"/>
      <c r="G997" s="74"/>
      <c r="H997" s="74"/>
      <c r="I997" s="74"/>
      <c r="J997" s="74"/>
      <c r="K997" s="75"/>
      <c r="L997" s="76"/>
      <c r="M997" s="77"/>
      <c r="N997" s="30"/>
      <c r="O997" s="31"/>
      <c r="P997" s="31"/>
      <c r="Q997" s="31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.75" customHeight="1">
      <c r="A998" s="71"/>
      <c r="B998" s="72"/>
      <c r="C998" s="72"/>
      <c r="D998" s="73"/>
      <c r="E998" s="74"/>
      <c r="F998" s="74"/>
      <c r="G998" s="74"/>
      <c r="H998" s="74"/>
      <c r="I998" s="74"/>
      <c r="J998" s="74"/>
      <c r="K998" s="75"/>
      <c r="L998" s="76"/>
      <c r="M998" s="77"/>
      <c r="N998" s="30"/>
      <c r="O998" s="31"/>
      <c r="P998" s="31"/>
      <c r="Q998" s="31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.75" customHeight="1">
      <c r="A999" s="71"/>
      <c r="B999" s="72"/>
      <c r="C999" s="72"/>
      <c r="D999" s="73"/>
      <c r="E999" s="74"/>
      <c r="F999" s="74"/>
      <c r="G999" s="74"/>
      <c r="H999" s="74"/>
      <c r="I999" s="74"/>
      <c r="J999" s="74"/>
      <c r="K999" s="75"/>
      <c r="L999" s="76"/>
      <c r="M999" s="77"/>
      <c r="N999" s="30"/>
      <c r="O999" s="31"/>
      <c r="P999" s="31"/>
      <c r="Q999" s="31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.75" customHeight="1">
      <c r="A1000" s="71"/>
      <c r="B1000" s="72"/>
      <c r="C1000" s="72"/>
      <c r="D1000" s="73"/>
      <c r="E1000" s="74"/>
      <c r="F1000" s="74"/>
      <c r="G1000" s="74"/>
      <c r="H1000" s="74"/>
      <c r="I1000" s="74"/>
      <c r="J1000" s="74"/>
      <c r="K1000" s="75"/>
      <c r="L1000" s="76"/>
      <c r="M1000" s="77"/>
      <c r="N1000" s="30"/>
      <c r="O1000" s="31"/>
      <c r="P1000" s="31"/>
      <c r="Q1000" s="31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10.21875" customWidth="1"/>
    <col min="2" max="2" width="45.77734375" customWidth="1"/>
    <col min="3" max="3" width="15.44140625" customWidth="1"/>
    <col min="4" max="4" width="6.21875" customWidth="1"/>
    <col min="5" max="7" width="12.44140625" customWidth="1"/>
    <col min="8" max="26" width="8.77734375" customWidth="1"/>
  </cols>
  <sheetData>
    <row r="1" spans="1:7" ht="69.75" customHeight="1">
      <c r="A1" s="211"/>
      <c r="B1" s="210"/>
      <c r="C1" s="210"/>
      <c r="D1" s="210"/>
      <c r="E1" s="210"/>
      <c r="F1" s="210"/>
      <c r="G1" s="210"/>
    </row>
    <row r="2" spans="1:7" ht="9.75" customHeight="1">
      <c r="A2" s="1"/>
      <c r="B2" s="1"/>
      <c r="C2" s="1"/>
      <c r="D2" s="1"/>
      <c r="E2" s="231"/>
      <c r="F2" s="210"/>
      <c r="G2" s="210"/>
    </row>
    <row r="3" spans="1:7" ht="19.5" customHeight="1">
      <c r="A3" s="232" t="s">
        <v>288</v>
      </c>
      <c r="B3" s="197"/>
      <c r="C3" s="197"/>
      <c r="D3" s="197"/>
      <c r="E3" s="197"/>
      <c r="F3" s="197"/>
      <c r="G3" s="198"/>
    </row>
    <row r="4" spans="1:7" ht="15" customHeight="1">
      <c r="A4" s="233" t="s">
        <v>289</v>
      </c>
      <c r="B4" s="198"/>
      <c r="C4" s="78" t="s">
        <v>4</v>
      </c>
      <c r="D4" s="78" t="s">
        <v>290</v>
      </c>
      <c r="E4" s="78" t="s">
        <v>291</v>
      </c>
      <c r="F4" s="78" t="s">
        <v>292</v>
      </c>
      <c r="G4" s="78" t="s">
        <v>293</v>
      </c>
    </row>
    <row r="5" spans="1:7" ht="28.5" customHeight="1">
      <c r="A5" s="79" t="s">
        <v>294</v>
      </c>
      <c r="B5" s="80" t="s">
        <v>295</v>
      </c>
      <c r="C5" s="79" t="s">
        <v>14</v>
      </c>
      <c r="D5" s="79" t="s">
        <v>15</v>
      </c>
      <c r="E5" s="81">
        <v>0.99470252000000003</v>
      </c>
      <c r="F5" s="82">
        <v>390</v>
      </c>
      <c r="G5" s="82">
        <v>387.93</v>
      </c>
    </row>
    <row r="6" spans="1:7" ht="15" customHeight="1">
      <c r="A6" s="79" t="s">
        <v>296</v>
      </c>
      <c r="B6" s="80" t="s">
        <v>297</v>
      </c>
      <c r="C6" s="79" t="s">
        <v>14</v>
      </c>
      <c r="D6" s="79" t="s">
        <v>298</v>
      </c>
      <c r="E6" s="81">
        <v>1.1240129999999999E-2</v>
      </c>
      <c r="F6" s="82">
        <v>37.729999999999997</v>
      </c>
      <c r="G6" s="82">
        <v>0.42</v>
      </c>
    </row>
    <row r="7" spans="1:7" ht="15" customHeight="1">
      <c r="A7" s="79" t="s">
        <v>299</v>
      </c>
      <c r="B7" s="80" t="s">
        <v>300</v>
      </c>
      <c r="C7" s="79" t="s">
        <v>14</v>
      </c>
      <c r="D7" s="79" t="s">
        <v>298</v>
      </c>
      <c r="E7" s="81">
        <v>1.3130060000000001E-2</v>
      </c>
      <c r="F7" s="82">
        <v>20.22</v>
      </c>
      <c r="G7" s="82">
        <v>0.26</v>
      </c>
    </row>
    <row r="8" spans="1:7" ht="21" customHeight="1">
      <c r="A8" s="79" t="s">
        <v>301</v>
      </c>
      <c r="B8" s="80" t="s">
        <v>302</v>
      </c>
      <c r="C8" s="79" t="s">
        <v>14</v>
      </c>
      <c r="D8" s="79" t="s">
        <v>19</v>
      </c>
      <c r="E8" s="81">
        <v>3.19130409</v>
      </c>
      <c r="F8" s="82">
        <v>5.27</v>
      </c>
      <c r="G8" s="82">
        <v>16.809999999999999</v>
      </c>
    </row>
    <row r="9" spans="1:7" ht="15" customHeight="1">
      <c r="A9" s="1"/>
      <c r="B9" s="1"/>
      <c r="C9" s="1"/>
      <c r="D9" s="1"/>
      <c r="E9" s="234" t="s">
        <v>303</v>
      </c>
      <c r="F9" s="198"/>
      <c r="G9" s="83">
        <v>405.42</v>
      </c>
    </row>
    <row r="10" spans="1:7" ht="15" customHeight="1">
      <c r="A10" s="233" t="s">
        <v>304</v>
      </c>
      <c r="B10" s="198"/>
      <c r="C10" s="78" t="s">
        <v>4</v>
      </c>
      <c r="D10" s="78" t="s">
        <v>290</v>
      </c>
      <c r="E10" s="78" t="s">
        <v>291</v>
      </c>
      <c r="F10" s="78" t="s">
        <v>292</v>
      </c>
      <c r="G10" s="78" t="s">
        <v>293</v>
      </c>
    </row>
    <row r="11" spans="1:7" ht="21" customHeight="1">
      <c r="A11" s="79" t="s">
        <v>305</v>
      </c>
      <c r="B11" s="80" t="s">
        <v>306</v>
      </c>
      <c r="C11" s="79" t="s">
        <v>14</v>
      </c>
      <c r="D11" s="79" t="s">
        <v>307</v>
      </c>
      <c r="E11" s="81">
        <v>0.37092456000000001</v>
      </c>
      <c r="F11" s="82">
        <v>24.68</v>
      </c>
      <c r="G11" s="82">
        <v>9.15</v>
      </c>
    </row>
    <row r="12" spans="1:7" ht="15" customHeight="1">
      <c r="A12" s="79" t="s">
        <v>308</v>
      </c>
      <c r="B12" s="80" t="s">
        <v>309</v>
      </c>
      <c r="C12" s="79" t="s">
        <v>14</v>
      </c>
      <c r="D12" s="79" t="s">
        <v>307</v>
      </c>
      <c r="E12" s="81">
        <v>1.1126742199999999</v>
      </c>
      <c r="F12" s="82">
        <v>19.97</v>
      </c>
      <c r="G12" s="82">
        <v>22.22</v>
      </c>
    </row>
    <row r="13" spans="1:7" ht="18" customHeight="1">
      <c r="A13" s="1"/>
      <c r="B13" s="1"/>
      <c r="C13" s="1"/>
      <c r="D13" s="1"/>
      <c r="E13" s="234" t="s">
        <v>310</v>
      </c>
      <c r="F13" s="198"/>
      <c r="G13" s="83">
        <v>31.37</v>
      </c>
    </row>
    <row r="14" spans="1:7" ht="15" customHeight="1">
      <c r="A14" s="233" t="s">
        <v>311</v>
      </c>
      <c r="B14" s="198"/>
      <c r="C14" s="78" t="s">
        <v>4</v>
      </c>
      <c r="D14" s="78" t="s">
        <v>290</v>
      </c>
      <c r="E14" s="78" t="s">
        <v>291</v>
      </c>
      <c r="F14" s="78" t="s">
        <v>292</v>
      </c>
      <c r="G14" s="78" t="s">
        <v>293</v>
      </c>
    </row>
    <row r="15" spans="1:7" ht="21" customHeight="1">
      <c r="A15" s="79" t="s">
        <v>312</v>
      </c>
      <c r="B15" s="80" t="s">
        <v>313</v>
      </c>
      <c r="C15" s="79" t="s">
        <v>14</v>
      </c>
      <c r="D15" s="79" t="s">
        <v>15</v>
      </c>
      <c r="E15" s="81">
        <v>0.49735125000000002</v>
      </c>
      <c r="F15" s="82">
        <v>22.41</v>
      </c>
      <c r="G15" s="82">
        <v>11.14</v>
      </c>
    </row>
    <row r="16" spans="1:7" ht="15" customHeight="1">
      <c r="A16" s="1"/>
      <c r="B16" s="1"/>
      <c r="C16" s="1"/>
      <c r="D16" s="1"/>
      <c r="E16" s="234" t="s">
        <v>314</v>
      </c>
      <c r="F16" s="198"/>
      <c r="G16" s="83">
        <v>11.14</v>
      </c>
    </row>
    <row r="17" spans="1:7" ht="15" customHeight="1">
      <c r="A17" s="1"/>
      <c r="B17" s="1"/>
      <c r="C17" s="1"/>
      <c r="D17" s="1"/>
      <c r="E17" s="230" t="s">
        <v>315</v>
      </c>
      <c r="F17" s="198"/>
      <c r="G17" s="4">
        <v>447.93</v>
      </c>
    </row>
    <row r="18" spans="1:7" ht="9.75" customHeight="1">
      <c r="A18" s="1"/>
      <c r="B18" s="1"/>
      <c r="C18" s="1"/>
      <c r="D18" s="1"/>
      <c r="E18" s="231"/>
      <c r="F18" s="210"/>
      <c r="G18" s="210"/>
    </row>
    <row r="19" spans="1:7" ht="19.5" customHeight="1">
      <c r="A19" s="232" t="s">
        <v>316</v>
      </c>
      <c r="B19" s="197"/>
      <c r="C19" s="197"/>
      <c r="D19" s="197"/>
      <c r="E19" s="197"/>
      <c r="F19" s="197"/>
      <c r="G19" s="198"/>
    </row>
    <row r="20" spans="1:7" ht="15" customHeight="1">
      <c r="A20" s="233" t="s">
        <v>317</v>
      </c>
      <c r="B20" s="198"/>
      <c r="C20" s="78" t="s">
        <v>4</v>
      </c>
      <c r="D20" s="78" t="s">
        <v>290</v>
      </c>
      <c r="E20" s="78" t="s">
        <v>291</v>
      </c>
      <c r="F20" s="78" t="s">
        <v>292</v>
      </c>
      <c r="G20" s="78" t="s">
        <v>293</v>
      </c>
    </row>
    <row r="21" spans="1:7" ht="28.5" customHeight="1">
      <c r="A21" s="79" t="s">
        <v>318</v>
      </c>
      <c r="B21" s="80" t="s">
        <v>319</v>
      </c>
      <c r="C21" s="79" t="s">
        <v>14</v>
      </c>
      <c r="D21" s="79" t="s">
        <v>320</v>
      </c>
      <c r="E21" s="81">
        <v>2.7600880000000001E-2</v>
      </c>
      <c r="F21" s="82">
        <v>23.62</v>
      </c>
      <c r="G21" s="82">
        <v>0.65</v>
      </c>
    </row>
    <row r="22" spans="1:7" ht="28.5" customHeight="1">
      <c r="A22" s="79" t="s">
        <v>321</v>
      </c>
      <c r="B22" s="80" t="s">
        <v>322</v>
      </c>
      <c r="C22" s="79" t="s">
        <v>14</v>
      </c>
      <c r="D22" s="79" t="s">
        <v>323</v>
      </c>
      <c r="E22" s="81">
        <v>6.9002200000000003E-3</v>
      </c>
      <c r="F22" s="82">
        <v>24.59</v>
      </c>
      <c r="G22" s="82">
        <v>0.16</v>
      </c>
    </row>
    <row r="23" spans="1:7" ht="18" customHeight="1">
      <c r="A23" s="1"/>
      <c r="B23" s="1"/>
      <c r="C23" s="1"/>
      <c r="D23" s="1"/>
      <c r="E23" s="234" t="s">
        <v>324</v>
      </c>
      <c r="F23" s="198"/>
      <c r="G23" s="83">
        <v>0.81</v>
      </c>
    </row>
    <row r="24" spans="1:7" ht="15" customHeight="1">
      <c r="A24" s="233" t="s">
        <v>289</v>
      </c>
      <c r="B24" s="198"/>
      <c r="C24" s="78" t="s">
        <v>4</v>
      </c>
      <c r="D24" s="78" t="s">
        <v>290</v>
      </c>
      <c r="E24" s="78" t="s">
        <v>291</v>
      </c>
      <c r="F24" s="78" t="s">
        <v>292</v>
      </c>
      <c r="G24" s="78" t="s">
        <v>293</v>
      </c>
    </row>
    <row r="25" spans="1:7" ht="28.5" customHeight="1">
      <c r="A25" s="79" t="s">
        <v>325</v>
      </c>
      <c r="B25" s="80" t="s">
        <v>326</v>
      </c>
      <c r="C25" s="79" t="s">
        <v>14</v>
      </c>
      <c r="D25" s="79" t="s">
        <v>19</v>
      </c>
      <c r="E25" s="81">
        <v>0.40662013000000002</v>
      </c>
      <c r="F25" s="82">
        <v>22.73</v>
      </c>
      <c r="G25" s="82">
        <v>9.24</v>
      </c>
    </row>
    <row r="26" spans="1:7" ht="15" customHeight="1">
      <c r="A26" s="79" t="s">
        <v>327</v>
      </c>
      <c r="B26" s="80" t="s">
        <v>328</v>
      </c>
      <c r="C26" s="79" t="s">
        <v>14</v>
      </c>
      <c r="D26" s="79" t="s">
        <v>298</v>
      </c>
      <c r="E26" s="81">
        <v>0.10941778000000001</v>
      </c>
      <c r="F26" s="82">
        <v>19.829999999999998</v>
      </c>
      <c r="G26" s="82">
        <v>2.16</v>
      </c>
    </row>
    <row r="27" spans="1:7" ht="28.5" customHeight="1">
      <c r="A27" s="79" t="s">
        <v>329</v>
      </c>
      <c r="B27" s="80" t="s">
        <v>330</v>
      </c>
      <c r="C27" s="79" t="s">
        <v>14</v>
      </c>
      <c r="D27" s="79" t="s">
        <v>19</v>
      </c>
      <c r="E27" s="81">
        <v>0.73388774000000001</v>
      </c>
      <c r="F27" s="82">
        <v>6.32</v>
      </c>
      <c r="G27" s="82">
        <v>4.63</v>
      </c>
    </row>
    <row r="28" spans="1:7" ht="21" customHeight="1">
      <c r="A28" s="79" t="s">
        <v>331</v>
      </c>
      <c r="B28" s="80" t="s">
        <v>332</v>
      </c>
      <c r="C28" s="79" t="s">
        <v>14</v>
      </c>
      <c r="D28" s="79" t="s">
        <v>19</v>
      </c>
      <c r="E28" s="81">
        <v>0.54216017999999999</v>
      </c>
      <c r="F28" s="82">
        <v>11.74</v>
      </c>
      <c r="G28" s="82">
        <v>6.36</v>
      </c>
    </row>
    <row r="29" spans="1:7" ht="15" customHeight="1">
      <c r="A29" s="79" t="s">
        <v>333</v>
      </c>
      <c r="B29" s="80" t="s">
        <v>334</v>
      </c>
      <c r="C29" s="79" t="s">
        <v>14</v>
      </c>
      <c r="D29" s="79" t="s">
        <v>335</v>
      </c>
      <c r="E29" s="81">
        <v>2.5235090000000002E-2</v>
      </c>
      <c r="F29" s="82">
        <v>30.26</v>
      </c>
      <c r="G29" s="82">
        <v>0.76</v>
      </c>
    </row>
    <row r="30" spans="1:7" ht="15" customHeight="1">
      <c r="A30" s="1"/>
      <c r="B30" s="1"/>
      <c r="C30" s="1"/>
      <c r="D30" s="1"/>
      <c r="E30" s="234" t="s">
        <v>303</v>
      </c>
      <c r="F30" s="198"/>
      <c r="G30" s="83">
        <v>23.15</v>
      </c>
    </row>
    <row r="31" spans="1:7" ht="15" customHeight="1">
      <c r="A31" s="233" t="s">
        <v>304</v>
      </c>
      <c r="B31" s="198"/>
      <c r="C31" s="78" t="s">
        <v>4</v>
      </c>
      <c r="D31" s="78" t="s">
        <v>290</v>
      </c>
      <c r="E31" s="78" t="s">
        <v>291</v>
      </c>
      <c r="F31" s="78" t="s">
        <v>292</v>
      </c>
      <c r="G31" s="78" t="s">
        <v>293</v>
      </c>
    </row>
    <row r="32" spans="1:7" ht="21" customHeight="1">
      <c r="A32" s="79" t="s">
        <v>336</v>
      </c>
      <c r="B32" s="80" t="s">
        <v>337</v>
      </c>
      <c r="C32" s="79" t="s">
        <v>14</v>
      </c>
      <c r="D32" s="79" t="s">
        <v>307</v>
      </c>
      <c r="E32" s="81">
        <v>0.71436997000000002</v>
      </c>
      <c r="F32" s="82">
        <v>20.68</v>
      </c>
      <c r="G32" s="82">
        <v>14.77</v>
      </c>
    </row>
    <row r="33" spans="1:7" ht="21" customHeight="1">
      <c r="A33" s="79" t="s">
        <v>305</v>
      </c>
      <c r="B33" s="80" t="s">
        <v>306</v>
      </c>
      <c r="C33" s="79" t="s">
        <v>14</v>
      </c>
      <c r="D33" s="79" t="s">
        <v>307</v>
      </c>
      <c r="E33" s="81">
        <v>0.71436997000000002</v>
      </c>
      <c r="F33" s="82">
        <v>24.68</v>
      </c>
      <c r="G33" s="82">
        <v>17.63</v>
      </c>
    </row>
    <row r="34" spans="1:7" ht="18" customHeight="1">
      <c r="A34" s="1"/>
      <c r="B34" s="1"/>
      <c r="C34" s="1"/>
      <c r="D34" s="1"/>
      <c r="E34" s="234" t="s">
        <v>310</v>
      </c>
      <c r="F34" s="198"/>
      <c r="G34" s="83">
        <v>32.4</v>
      </c>
    </row>
    <row r="35" spans="1:7" ht="15" customHeight="1">
      <c r="A35" s="233" t="s">
        <v>311</v>
      </c>
      <c r="B35" s="198"/>
      <c r="C35" s="78" t="s">
        <v>4</v>
      </c>
      <c r="D35" s="78" t="s">
        <v>290</v>
      </c>
      <c r="E35" s="78" t="s">
        <v>291</v>
      </c>
      <c r="F35" s="78" t="s">
        <v>292</v>
      </c>
      <c r="G35" s="78" t="s">
        <v>293</v>
      </c>
    </row>
    <row r="36" spans="1:7" ht="28.5" customHeight="1">
      <c r="A36" s="79" t="s">
        <v>338</v>
      </c>
      <c r="B36" s="80" t="s">
        <v>339</v>
      </c>
      <c r="C36" s="79" t="s">
        <v>14</v>
      </c>
      <c r="D36" s="79" t="s">
        <v>23</v>
      </c>
      <c r="E36" s="81">
        <v>3.9429799999999996E-3</v>
      </c>
      <c r="F36" s="82">
        <v>437.61</v>
      </c>
      <c r="G36" s="82">
        <v>1.72</v>
      </c>
    </row>
    <row r="37" spans="1:7" ht="15" customHeight="1">
      <c r="A37" s="1"/>
      <c r="B37" s="1"/>
      <c r="C37" s="1"/>
      <c r="D37" s="1"/>
      <c r="E37" s="234" t="s">
        <v>314</v>
      </c>
      <c r="F37" s="198"/>
      <c r="G37" s="83">
        <v>1.72</v>
      </c>
    </row>
    <row r="38" spans="1:7" ht="15" customHeight="1">
      <c r="A38" s="1"/>
      <c r="B38" s="1"/>
      <c r="C38" s="1"/>
      <c r="D38" s="1"/>
      <c r="E38" s="230" t="s">
        <v>315</v>
      </c>
      <c r="F38" s="198"/>
      <c r="G38" s="4">
        <v>58.08</v>
      </c>
    </row>
    <row r="39" spans="1:7" ht="9.75" customHeight="1">
      <c r="A39" s="1"/>
      <c r="B39" s="1"/>
      <c r="C39" s="1"/>
      <c r="D39" s="1"/>
      <c r="E39" s="231"/>
      <c r="F39" s="210"/>
      <c r="G39" s="210"/>
    </row>
    <row r="40" spans="1:7" ht="19.5" customHeight="1">
      <c r="A40" s="232" t="s">
        <v>340</v>
      </c>
      <c r="B40" s="197"/>
      <c r="C40" s="197"/>
      <c r="D40" s="197"/>
      <c r="E40" s="197"/>
      <c r="F40" s="197"/>
      <c r="G40" s="198"/>
    </row>
    <row r="41" spans="1:7" ht="15" customHeight="1">
      <c r="A41" s="233" t="s">
        <v>317</v>
      </c>
      <c r="B41" s="198"/>
      <c r="C41" s="78" t="s">
        <v>4</v>
      </c>
      <c r="D41" s="78" t="s">
        <v>290</v>
      </c>
      <c r="E41" s="78" t="s">
        <v>291</v>
      </c>
      <c r="F41" s="78" t="s">
        <v>292</v>
      </c>
      <c r="G41" s="78" t="s">
        <v>293</v>
      </c>
    </row>
    <row r="42" spans="1:7" ht="28.5" customHeight="1">
      <c r="A42" s="79" t="s">
        <v>341</v>
      </c>
      <c r="B42" s="80" t="s">
        <v>342</v>
      </c>
      <c r="C42" s="79" t="s">
        <v>14</v>
      </c>
      <c r="D42" s="79" t="s">
        <v>320</v>
      </c>
      <c r="E42" s="81">
        <v>0.85917673000000006</v>
      </c>
      <c r="F42" s="82">
        <v>8.73</v>
      </c>
      <c r="G42" s="82">
        <v>7.5</v>
      </c>
    </row>
    <row r="43" spans="1:7" ht="28.5" customHeight="1">
      <c r="A43" s="79" t="s">
        <v>343</v>
      </c>
      <c r="B43" s="80" t="s">
        <v>344</v>
      </c>
      <c r="C43" s="79" t="s">
        <v>14</v>
      </c>
      <c r="D43" s="79" t="s">
        <v>323</v>
      </c>
      <c r="E43" s="81">
        <v>1.12381927</v>
      </c>
      <c r="F43" s="82">
        <v>31.4</v>
      </c>
      <c r="G43" s="82">
        <v>35.28</v>
      </c>
    </row>
    <row r="44" spans="1:7" ht="21" customHeight="1">
      <c r="A44" s="79" t="s">
        <v>345</v>
      </c>
      <c r="B44" s="80" t="s">
        <v>346</v>
      </c>
      <c r="C44" s="79" t="s">
        <v>14</v>
      </c>
      <c r="D44" s="79" t="s">
        <v>320</v>
      </c>
      <c r="E44" s="81">
        <v>0.85917673000000006</v>
      </c>
      <c r="F44" s="82">
        <v>18.03</v>
      </c>
      <c r="G44" s="82">
        <v>15.49</v>
      </c>
    </row>
    <row r="45" spans="1:7" ht="21" customHeight="1">
      <c r="A45" s="79" t="s">
        <v>347</v>
      </c>
      <c r="B45" s="80" t="s">
        <v>348</v>
      </c>
      <c r="C45" s="79" t="s">
        <v>14</v>
      </c>
      <c r="D45" s="79" t="s">
        <v>323</v>
      </c>
      <c r="E45" s="81">
        <v>1.1239968300000001</v>
      </c>
      <c r="F45" s="82">
        <v>20.16</v>
      </c>
      <c r="G45" s="82">
        <v>22.65</v>
      </c>
    </row>
    <row r="46" spans="1:7" ht="18" customHeight="1">
      <c r="A46" s="1"/>
      <c r="B46" s="1"/>
      <c r="C46" s="1"/>
      <c r="D46" s="1"/>
      <c r="E46" s="234" t="s">
        <v>324</v>
      </c>
      <c r="F46" s="198"/>
      <c r="G46" s="83">
        <v>80.92</v>
      </c>
    </row>
    <row r="47" spans="1:7" ht="15" customHeight="1">
      <c r="A47" s="233" t="s">
        <v>304</v>
      </c>
      <c r="B47" s="198"/>
      <c r="C47" s="78" t="s">
        <v>4</v>
      </c>
      <c r="D47" s="78" t="s">
        <v>290</v>
      </c>
      <c r="E47" s="78" t="s">
        <v>291</v>
      </c>
      <c r="F47" s="78" t="s">
        <v>292</v>
      </c>
      <c r="G47" s="78" t="s">
        <v>293</v>
      </c>
    </row>
    <row r="48" spans="1:7" ht="15" customHeight="1">
      <c r="A48" s="79" t="s">
        <v>349</v>
      </c>
      <c r="B48" s="80" t="s">
        <v>350</v>
      </c>
      <c r="C48" s="79" t="s">
        <v>14</v>
      </c>
      <c r="D48" s="79" t="s">
        <v>307</v>
      </c>
      <c r="E48" s="81">
        <v>7.1342790000000003E-2</v>
      </c>
      <c r="F48" s="82">
        <v>25.37</v>
      </c>
      <c r="G48" s="82">
        <v>1.8</v>
      </c>
    </row>
    <row r="49" spans="1:7" ht="15" customHeight="1">
      <c r="A49" s="79" t="s">
        <v>308</v>
      </c>
      <c r="B49" s="80" t="s">
        <v>309</v>
      </c>
      <c r="C49" s="79" t="s">
        <v>14</v>
      </c>
      <c r="D49" s="79" t="s">
        <v>307</v>
      </c>
      <c r="E49" s="81">
        <v>0.44258224000000002</v>
      </c>
      <c r="F49" s="82">
        <v>19.97</v>
      </c>
      <c r="G49" s="82">
        <v>8.83</v>
      </c>
    </row>
    <row r="50" spans="1:7" ht="18" customHeight="1">
      <c r="A50" s="1"/>
      <c r="B50" s="1"/>
      <c r="C50" s="1"/>
      <c r="D50" s="1"/>
      <c r="E50" s="234" t="s">
        <v>310</v>
      </c>
      <c r="F50" s="198"/>
      <c r="G50" s="83">
        <v>10.63</v>
      </c>
    </row>
    <row r="51" spans="1:7" ht="15" customHeight="1">
      <c r="A51" s="1"/>
      <c r="B51" s="1"/>
      <c r="C51" s="1"/>
      <c r="D51" s="1"/>
      <c r="E51" s="230" t="s">
        <v>315</v>
      </c>
      <c r="F51" s="198"/>
      <c r="G51" s="4">
        <v>91.55</v>
      </c>
    </row>
    <row r="52" spans="1:7" ht="9.75" customHeight="1">
      <c r="A52" s="1"/>
      <c r="B52" s="1"/>
      <c r="C52" s="1"/>
      <c r="D52" s="1"/>
      <c r="E52" s="231"/>
      <c r="F52" s="210"/>
      <c r="G52" s="210"/>
    </row>
    <row r="53" spans="1:7" ht="19.5" customHeight="1">
      <c r="A53" s="232" t="s">
        <v>351</v>
      </c>
      <c r="B53" s="197"/>
      <c r="C53" s="197"/>
      <c r="D53" s="197"/>
      <c r="E53" s="197"/>
      <c r="F53" s="197"/>
      <c r="G53" s="198"/>
    </row>
    <row r="54" spans="1:7" ht="15" customHeight="1">
      <c r="A54" s="233" t="s">
        <v>304</v>
      </c>
      <c r="B54" s="198"/>
      <c r="C54" s="78" t="s">
        <v>4</v>
      </c>
      <c r="D54" s="78" t="s">
        <v>290</v>
      </c>
      <c r="E54" s="78" t="s">
        <v>291</v>
      </c>
      <c r="F54" s="78" t="s">
        <v>292</v>
      </c>
      <c r="G54" s="78" t="s">
        <v>293</v>
      </c>
    </row>
    <row r="55" spans="1:7" ht="15" customHeight="1">
      <c r="A55" s="79" t="s">
        <v>308</v>
      </c>
      <c r="B55" s="80" t="s">
        <v>309</v>
      </c>
      <c r="C55" s="79" t="s">
        <v>14</v>
      </c>
      <c r="D55" s="79" t="s">
        <v>307</v>
      </c>
      <c r="E55" s="81">
        <v>3.5097646500000002</v>
      </c>
      <c r="F55" s="82">
        <v>19.97</v>
      </c>
      <c r="G55" s="82">
        <v>70.09</v>
      </c>
    </row>
    <row r="56" spans="1:7" ht="18" customHeight="1">
      <c r="A56" s="1"/>
      <c r="B56" s="1"/>
      <c r="C56" s="1"/>
      <c r="D56" s="1"/>
      <c r="E56" s="234" t="s">
        <v>310</v>
      </c>
      <c r="F56" s="198"/>
      <c r="G56" s="83">
        <v>70.09</v>
      </c>
    </row>
    <row r="57" spans="1:7" ht="15" customHeight="1">
      <c r="A57" s="1"/>
      <c r="B57" s="1"/>
      <c r="C57" s="1"/>
      <c r="D57" s="1"/>
      <c r="E57" s="230" t="s">
        <v>315</v>
      </c>
      <c r="F57" s="198"/>
      <c r="G57" s="4">
        <v>70.09</v>
      </c>
    </row>
    <row r="58" spans="1:7" ht="9.75" customHeight="1">
      <c r="A58" s="1"/>
      <c r="B58" s="1"/>
      <c r="C58" s="1"/>
      <c r="D58" s="1"/>
      <c r="E58" s="231"/>
      <c r="F58" s="210"/>
      <c r="G58" s="210"/>
    </row>
    <row r="59" spans="1:7" ht="19.5" customHeight="1">
      <c r="A59" s="232" t="s">
        <v>352</v>
      </c>
      <c r="B59" s="197"/>
      <c r="C59" s="197"/>
      <c r="D59" s="197"/>
      <c r="E59" s="197"/>
      <c r="F59" s="197"/>
      <c r="G59" s="198"/>
    </row>
    <row r="60" spans="1:7" ht="15" customHeight="1">
      <c r="A60" s="233" t="s">
        <v>304</v>
      </c>
      <c r="B60" s="198"/>
      <c r="C60" s="78" t="s">
        <v>4</v>
      </c>
      <c r="D60" s="78" t="s">
        <v>290</v>
      </c>
      <c r="E60" s="78" t="s">
        <v>291</v>
      </c>
      <c r="F60" s="78" t="s">
        <v>292</v>
      </c>
      <c r="G60" s="78" t="s">
        <v>293</v>
      </c>
    </row>
    <row r="61" spans="1:7" ht="15" customHeight="1">
      <c r="A61" s="79" t="s">
        <v>308</v>
      </c>
      <c r="B61" s="80" t="s">
        <v>309</v>
      </c>
      <c r="C61" s="79" t="s">
        <v>14</v>
      </c>
      <c r="D61" s="79" t="s">
        <v>307</v>
      </c>
      <c r="E61" s="81">
        <v>0.11249634999999999</v>
      </c>
      <c r="F61" s="82">
        <v>19.97</v>
      </c>
      <c r="G61" s="82">
        <v>2.2400000000000002</v>
      </c>
    </row>
    <row r="62" spans="1:7" ht="15" customHeight="1">
      <c r="A62" s="79" t="s">
        <v>353</v>
      </c>
      <c r="B62" s="80" t="s">
        <v>354</v>
      </c>
      <c r="C62" s="79" t="s">
        <v>14</v>
      </c>
      <c r="D62" s="79" t="s">
        <v>307</v>
      </c>
      <c r="E62" s="81">
        <v>3.98079E-2</v>
      </c>
      <c r="F62" s="82">
        <v>24.44</v>
      </c>
      <c r="G62" s="82">
        <v>0.97</v>
      </c>
    </row>
    <row r="63" spans="1:7" ht="18" customHeight="1">
      <c r="A63" s="1"/>
      <c r="B63" s="1"/>
      <c r="C63" s="1"/>
      <c r="D63" s="1"/>
      <c r="E63" s="234" t="s">
        <v>310</v>
      </c>
      <c r="F63" s="198"/>
      <c r="G63" s="83">
        <v>3.21</v>
      </c>
    </row>
    <row r="64" spans="1:7" ht="15" customHeight="1">
      <c r="A64" s="1"/>
      <c r="B64" s="1"/>
      <c r="C64" s="1"/>
      <c r="D64" s="1"/>
      <c r="E64" s="230" t="s">
        <v>315</v>
      </c>
      <c r="F64" s="198"/>
      <c r="G64" s="4">
        <v>3.21</v>
      </c>
    </row>
    <row r="65" spans="1:7" ht="9.75" customHeight="1">
      <c r="A65" s="1"/>
      <c r="B65" s="1"/>
      <c r="C65" s="1"/>
      <c r="D65" s="1"/>
      <c r="E65" s="231"/>
      <c r="F65" s="210"/>
      <c r="G65" s="210"/>
    </row>
    <row r="66" spans="1:7" ht="19.5" customHeight="1">
      <c r="A66" s="232" t="s">
        <v>355</v>
      </c>
      <c r="B66" s="197"/>
      <c r="C66" s="197"/>
      <c r="D66" s="197"/>
      <c r="E66" s="197"/>
      <c r="F66" s="197"/>
      <c r="G66" s="198"/>
    </row>
    <row r="67" spans="1:7" ht="15" customHeight="1">
      <c r="A67" s="233" t="s">
        <v>289</v>
      </c>
      <c r="B67" s="198"/>
      <c r="C67" s="78" t="s">
        <v>4</v>
      </c>
      <c r="D67" s="78" t="s">
        <v>290</v>
      </c>
      <c r="E67" s="78" t="s">
        <v>291</v>
      </c>
      <c r="F67" s="78" t="s">
        <v>292</v>
      </c>
      <c r="G67" s="78" t="s">
        <v>293</v>
      </c>
    </row>
    <row r="68" spans="1:7" ht="21" customHeight="1">
      <c r="A68" s="79" t="s">
        <v>356</v>
      </c>
      <c r="B68" s="80" t="s">
        <v>357</v>
      </c>
      <c r="C68" s="79" t="s">
        <v>14</v>
      </c>
      <c r="D68" s="79" t="s">
        <v>64</v>
      </c>
      <c r="E68" s="81">
        <v>13.6</v>
      </c>
      <c r="F68" s="82">
        <v>2.93</v>
      </c>
      <c r="G68" s="82">
        <v>39.840000000000003</v>
      </c>
    </row>
    <row r="69" spans="1:7" ht="15" customHeight="1">
      <c r="A69" s="79" t="s">
        <v>358</v>
      </c>
      <c r="B69" s="80" t="s">
        <v>359</v>
      </c>
      <c r="C69" s="79" t="s">
        <v>14</v>
      </c>
      <c r="D69" s="79" t="s">
        <v>360</v>
      </c>
      <c r="E69" s="81">
        <v>5.0000000000000001E-3</v>
      </c>
      <c r="F69" s="82">
        <v>42.74</v>
      </c>
      <c r="G69" s="82">
        <v>0.21</v>
      </c>
    </row>
    <row r="70" spans="1:7" ht="28.5" customHeight="1">
      <c r="A70" s="79" t="s">
        <v>361</v>
      </c>
      <c r="B70" s="80" t="s">
        <v>362</v>
      </c>
      <c r="C70" s="79" t="s">
        <v>14</v>
      </c>
      <c r="D70" s="79" t="s">
        <v>19</v>
      </c>
      <c r="E70" s="81">
        <v>0.42</v>
      </c>
      <c r="F70" s="82">
        <v>2.2799999999999998</v>
      </c>
      <c r="G70" s="82">
        <v>0.95</v>
      </c>
    </row>
    <row r="71" spans="1:7" ht="15" customHeight="1">
      <c r="A71" s="1"/>
      <c r="B71" s="1"/>
      <c r="C71" s="1"/>
      <c r="D71" s="1"/>
      <c r="E71" s="234" t="s">
        <v>303</v>
      </c>
      <c r="F71" s="198"/>
      <c r="G71" s="83">
        <v>41</v>
      </c>
    </row>
    <row r="72" spans="1:7" ht="15" customHeight="1">
      <c r="A72" s="233" t="s">
        <v>304</v>
      </c>
      <c r="B72" s="198"/>
      <c r="C72" s="78" t="s">
        <v>4</v>
      </c>
      <c r="D72" s="78" t="s">
        <v>290</v>
      </c>
      <c r="E72" s="78" t="s">
        <v>291</v>
      </c>
      <c r="F72" s="78" t="s">
        <v>292</v>
      </c>
      <c r="G72" s="78" t="s">
        <v>293</v>
      </c>
    </row>
    <row r="73" spans="1:7" ht="15" customHeight="1">
      <c r="A73" s="79" t="s">
        <v>349</v>
      </c>
      <c r="B73" s="80" t="s">
        <v>350</v>
      </c>
      <c r="C73" s="79" t="s">
        <v>14</v>
      </c>
      <c r="D73" s="79" t="s">
        <v>307</v>
      </c>
      <c r="E73" s="81">
        <v>0.71343495999999995</v>
      </c>
      <c r="F73" s="82">
        <v>25.37</v>
      </c>
      <c r="G73" s="82">
        <v>18.09</v>
      </c>
    </row>
    <row r="74" spans="1:7" ht="15" customHeight="1">
      <c r="A74" s="79" t="s">
        <v>308</v>
      </c>
      <c r="B74" s="80" t="s">
        <v>309</v>
      </c>
      <c r="C74" s="79" t="s">
        <v>14</v>
      </c>
      <c r="D74" s="79" t="s">
        <v>307</v>
      </c>
      <c r="E74" s="81">
        <v>0.35641381</v>
      </c>
      <c r="F74" s="82">
        <v>19.97</v>
      </c>
      <c r="G74" s="82">
        <v>7.11</v>
      </c>
    </row>
    <row r="75" spans="1:7" ht="18" customHeight="1">
      <c r="A75" s="1"/>
      <c r="B75" s="1"/>
      <c r="C75" s="1"/>
      <c r="D75" s="1"/>
      <c r="E75" s="234" t="s">
        <v>310</v>
      </c>
      <c r="F75" s="198"/>
      <c r="G75" s="83">
        <v>25.2</v>
      </c>
    </row>
    <row r="76" spans="1:7" ht="15" customHeight="1">
      <c r="A76" s="233" t="s">
        <v>311</v>
      </c>
      <c r="B76" s="198"/>
      <c r="C76" s="78" t="s">
        <v>4</v>
      </c>
      <c r="D76" s="78" t="s">
        <v>290</v>
      </c>
      <c r="E76" s="78" t="s">
        <v>291</v>
      </c>
      <c r="F76" s="78" t="s">
        <v>292</v>
      </c>
      <c r="G76" s="78" t="s">
        <v>293</v>
      </c>
    </row>
    <row r="77" spans="1:7" ht="37.5" customHeight="1">
      <c r="A77" s="79" t="s">
        <v>363</v>
      </c>
      <c r="B77" s="80" t="s">
        <v>364</v>
      </c>
      <c r="C77" s="79" t="s">
        <v>14</v>
      </c>
      <c r="D77" s="79" t="s">
        <v>23</v>
      </c>
      <c r="E77" s="81">
        <v>8.4925E-3</v>
      </c>
      <c r="F77" s="82">
        <v>676.74</v>
      </c>
      <c r="G77" s="82">
        <v>5.74</v>
      </c>
    </row>
    <row r="78" spans="1:7" ht="15" customHeight="1">
      <c r="A78" s="1"/>
      <c r="B78" s="1"/>
      <c r="C78" s="1"/>
      <c r="D78" s="1"/>
      <c r="E78" s="234" t="s">
        <v>314</v>
      </c>
      <c r="F78" s="198"/>
      <c r="G78" s="83">
        <v>5.74</v>
      </c>
    </row>
    <row r="79" spans="1:7" ht="15" customHeight="1">
      <c r="A79" s="1"/>
      <c r="B79" s="1"/>
      <c r="C79" s="1"/>
      <c r="D79" s="1"/>
      <c r="E79" s="230" t="s">
        <v>315</v>
      </c>
      <c r="F79" s="198"/>
      <c r="G79" s="4">
        <v>71.94</v>
      </c>
    </row>
    <row r="80" spans="1:7" ht="9.75" customHeight="1">
      <c r="A80" s="1"/>
      <c r="B80" s="1"/>
      <c r="C80" s="1"/>
      <c r="D80" s="1"/>
      <c r="E80" s="231"/>
      <c r="F80" s="210"/>
      <c r="G80" s="210"/>
    </row>
    <row r="81" spans="1:7" ht="19.5" customHeight="1">
      <c r="A81" s="232" t="s">
        <v>365</v>
      </c>
      <c r="B81" s="197"/>
      <c r="C81" s="197"/>
      <c r="D81" s="197"/>
      <c r="E81" s="197"/>
      <c r="F81" s="197"/>
      <c r="G81" s="198"/>
    </row>
    <row r="82" spans="1:7" ht="15" customHeight="1">
      <c r="A82" s="233" t="s">
        <v>289</v>
      </c>
      <c r="B82" s="198"/>
      <c r="C82" s="78" t="s">
        <v>4</v>
      </c>
      <c r="D82" s="78" t="s">
        <v>290</v>
      </c>
      <c r="E82" s="78" t="s">
        <v>291</v>
      </c>
      <c r="F82" s="78" t="s">
        <v>292</v>
      </c>
      <c r="G82" s="78" t="s">
        <v>293</v>
      </c>
    </row>
    <row r="83" spans="1:7" ht="21" customHeight="1">
      <c r="A83" s="79" t="s">
        <v>366</v>
      </c>
      <c r="B83" s="80" t="s">
        <v>367</v>
      </c>
      <c r="C83" s="79" t="s">
        <v>14</v>
      </c>
      <c r="D83" s="79" t="s">
        <v>15</v>
      </c>
      <c r="E83" s="81">
        <v>1.0269999999999999</v>
      </c>
      <c r="F83" s="82">
        <v>62.6</v>
      </c>
      <c r="G83" s="82">
        <v>64.290000000000006</v>
      </c>
    </row>
    <row r="84" spans="1:7" ht="21" customHeight="1">
      <c r="A84" s="79" t="s">
        <v>368</v>
      </c>
      <c r="B84" s="80" t="s">
        <v>369</v>
      </c>
      <c r="C84" s="79" t="s">
        <v>14</v>
      </c>
      <c r="D84" s="79" t="s">
        <v>298</v>
      </c>
      <c r="E84" s="81">
        <v>0.01</v>
      </c>
      <c r="F84" s="82">
        <v>3</v>
      </c>
      <c r="G84" s="82">
        <v>0.03</v>
      </c>
    </row>
    <row r="85" spans="1:7" ht="15" customHeight="1">
      <c r="A85" s="1"/>
      <c r="B85" s="1"/>
      <c r="C85" s="1"/>
      <c r="D85" s="1"/>
      <c r="E85" s="234" t="s">
        <v>303</v>
      </c>
      <c r="F85" s="198"/>
      <c r="G85" s="83">
        <v>64.319999999999993</v>
      </c>
    </row>
    <row r="86" spans="1:7" ht="15" customHeight="1">
      <c r="A86" s="233" t="s">
        <v>304</v>
      </c>
      <c r="B86" s="198"/>
      <c r="C86" s="78" t="s">
        <v>4</v>
      </c>
      <c r="D86" s="78" t="s">
        <v>290</v>
      </c>
      <c r="E86" s="78" t="s">
        <v>291</v>
      </c>
      <c r="F86" s="78" t="s">
        <v>292</v>
      </c>
      <c r="G86" s="78" t="s">
        <v>293</v>
      </c>
    </row>
    <row r="87" spans="1:7" ht="15" customHeight="1">
      <c r="A87" s="79" t="s">
        <v>349</v>
      </c>
      <c r="B87" s="80" t="s">
        <v>350</v>
      </c>
      <c r="C87" s="79" t="s">
        <v>14</v>
      </c>
      <c r="D87" s="79" t="s">
        <v>307</v>
      </c>
      <c r="E87" s="81">
        <v>0.55296345000000002</v>
      </c>
      <c r="F87" s="82">
        <v>25.37</v>
      </c>
      <c r="G87" s="82">
        <v>14.02</v>
      </c>
    </row>
    <row r="88" spans="1:7" ht="15" customHeight="1">
      <c r="A88" s="79" t="s">
        <v>308</v>
      </c>
      <c r="B88" s="80" t="s">
        <v>309</v>
      </c>
      <c r="C88" s="79" t="s">
        <v>14</v>
      </c>
      <c r="D88" s="79" t="s">
        <v>307</v>
      </c>
      <c r="E88" s="81">
        <v>0.27666602000000001</v>
      </c>
      <c r="F88" s="82">
        <v>19.97</v>
      </c>
      <c r="G88" s="82">
        <v>5.52</v>
      </c>
    </row>
    <row r="89" spans="1:7" ht="18" customHeight="1">
      <c r="A89" s="1"/>
      <c r="B89" s="1"/>
      <c r="C89" s="1"/>
      <c r="D89" s="1"/>
      <c r="E89" s="234" t="s">
        <v>310</v>
      </c>
      <c r="F89" s="198"/>
      <c r="G89" s="83">
        <v>19.54</v>
      </c>
    </row>
    <row r="90" spans="1:7" ht="15" customHeight="1">
      <c r="A90" s="1"/>
      <c r="B90" s="1"/>
      <c r="C90" s="1"/>
      <c r="D90" s="1"/>
      <c r="E90" s="230" t="s">
        <v>315</v>
      </c>
      <c r="F90" s="198"/>
      <c r="G90" s="4">
        <v>83.86</v>
      </c>
    </row>
    <row r="91" spans="1:7" ht="9.75" customHeight="1">
      <c r="A91" s="1"/>
      <c r="B91" s="1"/>
      <c r="C91" s="1"/>
      <c r="D91" s="1"/>
      <c r="E91" s="231"/>
      <c r="F91" s="210"/>
      <c r="G91" s="210"/>
    </row>
    <row r="92" spans="1:7" ht="19.5" customHeight="1">
      <c r="A92" s="232" t="s">
        <v>370</v>
      </c>
      <c r="B92" s="197"/>
      <c r="C92" s="197"/>
      <c r="D92" s="197"/>
      <c r="E92" s="197"/>
      <c r="F92" s="197"/>
      <c r="G92" s="198"/>
    </row>
    <row r="93" spans="1:7" ht="15" customHeight="1">
      <c r="A93" s="233" t="s">
        <v>289</v>
      </c>
      <c r="B93" s="198"/>
      <c r="C93" s="78" t="s">
        <v>4</v>
      </c>
      <c r="D93" s="78" t="s">
        <v>290</v>
      </c>
      <c r="E93" s="78" t="s">
        <v>291</v>
      </c>
      <c r="F93" s="78" t="s">
        <v>292</v>
      </c>
      <c r="G93" s="78" t="s">
        <v>293</v>
      </c>
    </row>
    <row r="94" spans="1:7" ht="21" customHeight="1">
      <c r="A94" s="79" t="s">
        <v>371</v>
      </c>
      <c r="B94" s="80" t="s">
        <v>372</v>
      </c>
      <c r="C94" s="79" t="s">
        <v>14</v>
      </c>
      <c r="D94" s="79" t="s">
        <v>335</v>
      </c>
      <c r="E94" s="81">
        <v>8.9999999999999993E-3</v>
      </c>
      <c r="F94" s="82">
        <v>8.41</v>
      </c>
      <c r="G94" s="82">
        <v>7.0000000000000007E-2</v>
      </c>
    </row>
    <row r="95" spans="1:7" ht="28.5" customHeight="1">
      <c r="A95" s="79" t="s">
        <v>373</v>
      </c>
      <c r="B95" s="80" t="s">
        <v>374</v>
      </c>
      <c r="C95" s="79" t="s">
        <v>14</v>
      </c>
      <c r="D95" s="79" t="s">
        <v>64</v>
      </c>
      <c r="E95" s="81">
        <v>6</v>
      </c>
      <c r="F95" s="82">
        <v>0.21</v>
      </c>
      <c r="G95" s="82">
        <v>1.26</v>
      </c>
    </row>
    <row r="96" spans="1:7" ht="21" customHeight="1">
      <c r="A96" s="79" t="s">
        <v>375</v>
      </c>
      <c r="B96" s="80" t="s">
        <v>376</v>
      </c>
      <c r="C96" s="79" t="s">
        <v>14</v>
      </c>
      <c r="D96" s="79" t="s">
        <v>19</v>
      </c>
      <c r="E96" s="81">
        <v>0.20300000000000001</v>
      </c>
      <c r="F96" s="82">
        <v>10.39</v>
      </c>
      <c r="G96" s="82">
        <v>2.1</v>
      </c>
    </row>
    <row r="97" spans="1:7" ht="15" customHeight="1">
      <c r="A97" s="1"/>
      <c r="B97" s="1"/>
      <c r="C97" s="1"/>
      <c r="D97" s="1"/>
      <c r="E97" s="234" t="s">
        <v>303</v>
      </c>
      <c r="F97" s="198"/>
      <c r="G97" s="83">
        <v>3.43</v>
      </c>
    </row>
    <row r="98" spans="1:7" ht="15" customHeight="1">
      <c r="A98" s="233" t="s">
        <v>304</v>
      </c>
      <c r="B98" s="198"/>
      <c r="C98" s="78" t="s">
        <v>4</v>
      </c>
      <c r="D98" s="78" t="s">
        <v>290</v>
      </c>
      <c r="E98" s="78" t="s">
        <v>291</v>
      </c>
      <c r="F98" s="78" t="s">
        <v>292</v>
      </c>
      <c r="G98" s="78" t="s">
        <v>293</v>
      </c>
    </row>
    <row r="99" spans="1:7" ht="15" customHeight="1">
      <c r="A99" s="79" t="s">
        <v>349</v>
      </c>
      <c r="B99" s="80" t="s">
        <v>350</v>
      </c>
      <c r="C99" s="79" t="s">
        <v>14</v>
      </c>
      <c r="D99" s="79" t="s">
        <v>307</v>
      </c>
      <c r="E99" s="81">
        <v>0.49663252000000002</v>
      </c>
      <c r="F99" s="82">
        <v>25.37</v>
      </c>
      <c r="G99" s="82">
        <v>12.59</v>
      </c>
    </row>
    <row r="100" spans="1:7" ht="15" customHeight="1">
      <c r="A100" s="79" t="s">
        <v>308</v>
      </c>
      <c r="B100" s="80" t="s">
        <v>309</v>
      </c>
      <c r="C100" s="79" t="s">
        <v>14</v>
      </c>
      <c r="D100" s="79" t="s">
        <v>307</v>
      </c>
      <c r="E100" s="81">
        <v>0.2488119</v>
      </c>
      <c r="F100" s="82">
        <v>19.97</v>
      </c>
      <c r="G100" s="82">
        <v>4.96</v>
      </c>
    </row>
    <row r="101" spans="1:7" ht="18" customHeight="1">
      <c r="A101" s="1"/>
      <c r="B101" s="1"/>
      <c r="C101" s="1"/>
      <c r="D101" s="1"/>
      <c r="E101" s="234" t="s">
        <v>310</v>
      </c>
      <c r="F101" s="198"/>
      <c r="G101" s="83">
        <v>17.55</v>
      </c>
    </row>
    <row r="102" spans="1:7" ht="15" customHeight="1">
      <c r="A102" s="233" t="s">
        <v>311</v>
      </c>
      <c r="B102" s="198"/>
      <c r="C102" s="78" t="s">
        <v>4</v>
      </c>
      <c r="D102" s="78" t="s">
        <v>290</v>
      </c>
      <c r="E102" s="78" t="s">
        <v>291</v>
      </c>
      <c r="F102" s="78" t="s">
        <v>292</v>
      </c>
      <c r="G102" s="78" t="s">
        <v>293</v>
      </c>
    </row>
    <row r="103" spans="1:7" ht="28.5" customHeight="1">
      <c r="A103" s="79" t="s">
        <v>377</v>
      </c>
      <c r="B103" s="80" t="s">
        <v>378</v>
      </c>
      <c r="C103" s="79" t="s">
        <v>14</v>
      </c>
      <c r="D103" s="79" t="s">
        <v>23</v>
      </c>
      <c r="E103" s="81">
        <v>3.1721029999999997E-2</v>
      </c>
      <c r="F103" s="82">
        <v>447.93</v>
      </c>
      <c r="G103" s="82">
        <v>14.2</v>
      </c>
    </row>
    <row r="104" spans="1:7" ht="21" customHeight="1">
      <c r="A104" s="79" t="s">
        <v>379</v>
      </c>
      <c r="B104" s="80" t="s">
        <v>380</v>
      </c>
      <c r="C104" s="79" t="s">
        <v>14</v>
      </c>
      <c r="D104" s="79" t="s">
        <v>298</v>
      </c>
      <c r="E104" s="81">
        <v>0.78214134000000002</v>
      </c>
      <c r="F104" s="82">
        <v>10.29</v>
      </c>
      <c r="G104" s="82">
        <v>8.0399999999999991</v>
      </c>
    </row>
    <row r="105" spans="1:7" ht="21" customHeight="1">
      <c r="A105" s="79" t="s">
        <v>381</v>
      </c>
      <c r="B105" s="80" t="s">
        <v>382</v>
      </c>
      <c r="C105" s="79" t="s">
        <v>14</v>
      </c>
      <c r="D105" s="79" t="s">
        <v>15</v>
      </c>
      <c r="E105" s="81">
        <v>0.10309337</v>
      </c>
      <c r="F105" s="82">
        <v>154.41999999999999</v>
      </c>
      <c r="G105" s="82">
        <v>15.91</v>
      </c>
    </row>
    <row r="106" spans="1:7" ht="15" customHeight="1">
      <c r="A106" s="1"/>
      <c r="B106" s="1"/>
      <c r="C106" s="1"/>
      <c r="D106" s="1"/>
      <c r="E106" s="234" t="s">
        <v>314</v>
      </c>
      <c r="F106" s="198"/>
      <c r="G106" s="83">
        <v>38.15</v>
      </c>
    </row>
    <row r="107" spans="1:7" ht="15" customHeight="1">
      <c r="A107" s="1"/>
      <c r="B107" s="1"/>
      <c r="C107" s="1"/>
      <c r="D107" s="1"/>
      <c r="E107" s="230" t="s">
        <v>315</v>
      </c>
      <c r="F107" s="198"/>
      <c r="G107" s="4">
        <v>59.13</v>
      </c>
    </row>
    <row r="108" spans="1:7" ht="9.75" customHeight="1">
      <c r="A108" s="1"/>
      <c r="B108" s="1"/>
      <c r="C108" s="1"/>
      <c r="D108" s="1"/>
      <c r="E108" s="231"/>
      <c r="F108" s="210"/>
      <c r="G108" s="210"/>
    </row>
    <row r="109" spans="1:7" ht="19.5" customHeight="1">
      <c r="A109" s="232" t="s">
        <v>383</v>
      </c>
      <c r="B109" s="197"/>
      <c r="C109" s="197"/>
      <c r="D109" s="197"/>
      <c r="E109" s="197"/>
      <c r="F109" s="197"/>
      <c r="G109" s="198"/>
    </row>
    <row r="110" spans="1:7" ht="15" customHeight="1">
      <c r="A110" s="233" t="s">
        <v>317</v>
      </c>
      <c r="B110" s="198"/>
      <c r="C110" s="78" t="s">
        <v>4</v>
      </c>
      <c r="D110" s="78" t="s">
        <v>290</v>
      </c>
      <c r="E110" s="78" t="s">
        <v>291</v>
      </c>
      <c r="F110" s="78" t="s">
        <v>292</v>
      </c>
      <c r="G110" s="78" t="s">
        <v>293</v>
      </c>
    </row>
    <row r="111" spans="1:7" ht="28.5" customHeight="1">
      <c r="A111" s="79" t="s">
        <v>384</v>
      </c>
      <c r="B111" s="80" t="s">
        <v>385</v>
      </c>
      <c r="C111" s="79" t="s">
        <v>14</v>
      </c>
      <c r="D111" s="79" t="s">
        <v>320</v>
      </c>
      <c r="E111" s="81">
        <v>5.0429689999999999E-2</v>
      </c>
      <c r="F111" s="82">
        <v>20.57</v>
      </c>
      <c r="G111" s="82">
        <v>1.03</v>
      </c>
    </row>
    <row r="112" spans="1:7" ht="28.5" customHeight="1">
      <c r="A112" s="79" t="s">
        <v>386</v>
      </c>
      <c r="B112" s="80" t="s">
        <v>387</v>
      </c>
      <c r="C112" s="79" t="s">
        <v>14</v>
      </c>
      <c r="D112" s="79" t="s">
        <v>323</v>
      </c>
      <c r="E112" s="81">
        <v>3.6356279999999998E-2</v>
      </c>
      <c r="F112" s="82">
        <v>21.36</v>
      </c>
      <c r="G112" s="82">
        <v>0.77</v>
      </c>
    </row>
    <row r="113" spans="1:7" ht="18" customHeight="1">
      <c r="A113" s="1"/>
      <c r="B113" s="1"/>
      <c r="C113" s="1"/>
      <c r="D113" s="1"/>
      <c r="E113" s="234" t="s">
        <v>324</v>
      </c>
      <c r="F113" s="198"/>
      <c r="G113" s="83">
        <v>1.8</v>
      </c>
    </row>
    <row r="114" spans="1:7" ht="15" customHeight="1">
      <c r="A114" s="233" t="s">
        <v>289</v>
      </c>
      <c r="B114" s="198"/>
      <c r="C114" s="78" t="s">
        <v>4</v>
      </c>
      <c r="D114" s="78" t="s">
        <v>290</v>
      </c>
      <c r="E114" s="78" t="s">
        <v>291</v>
      </c>
      <c r="F114" s="78" t="s">
        <v>292</v>
      </c>
      <c r="G114" s="78" t="s">
        <v>293</v>
      </c>
    </row>
    <row r="115" spans="1:7" ht="37.5" customHeight="1">
      <c r="A115" s="79" t="s">
        <v>388</v>
      </c>
      <c r="B115" s="80" t="s">
        <v>389</v>
      </c>
      <c r="C115" s="79" t="s">
        <v>14</v>
      </c>
      <c r="D115" s="79" t="s">
        <v>390</v>
      </c>
      <c r="E115" s="81">
        <v>2.75E-2</v>
      </c>
      <c r="F115" s="82">
        <v>936</v>
      </c>
      <c r="G115" s="82">
        <v>25.74</v>
      </c>
    </row>
    <row r="116" spans="1:7" ht="15" customHeight="1">
      <c r="A116" s="1"/>
      <c r="B116" s="1"/>
      <c r="C116" s="1"/>
      <c r="D116" s="1"/>
      <c r="E116" s="234" t="s">
        <v>303</v>
      </c>
      <c r="F116" s="198"/>
      <c r="G116" s="83">
        <v>25.74</v>
      </c>
    </row>
    <row r="117" spans="1:7" ht="15" customHeight="1">
      <c r="A117" s="233" t="s">
        <v>304</v>
      </c>
      <c r="B117" s="198"/>
      <c r="C117" s="78" t="s">
        <v>4</v>
      </c>
      <c r="D117" s="78" t="s">
        <v>290</v>
      </c>
      <c r="E117" s="78" t="s">
        <v>291</v>
      </c>
      <c r="F117" s="78" t="s">
        <v>292</v>
      </c>
      <c r="G117" s="78" t="s">
        <v>293</v>
      </c>
    </row>
    <row r="118" spans="1:7" ht="15" customHeight="1">
      <c r="A118" s="79" t="s">
        <v>308</v>
      </c>
      <c r="B118" s="80" t="s">
        <v>309</v>
      </c>
      <c r="C118" s="79" t="s">
        <v>14</v>
      </c>
      <c r="D118" s="79" t="s">
        <v>307</v>
      </c>
      <c r="E118" s="81">
        <v>0.38944976999999997</v>
      </c>
      <c r="F118" s="82">
        <v>19.97</v>
      </c>
      <c r="G118" s="82">
        <v>7.77</v>
      </c>
    </row>
    <row r="119" spans="1:7" ht="15" customHeight="1">
      <c r="A119" s="79" t="s">
        <v>353</v>
      </c>
      <c r="B119" s="80" t="s">
        <v>354</v>
      </c>
      <c r="C119" s="79" t="s">
        <v>14</v>
      </c>
      <c r="D119" s="79" t="s">
        <v>307</v>
      </c>
      <c r="E119" s="81">
        <v>0.12957434000000001</v>
      </c>
      <c r="F119" s="82">
        <v>24.44</v>
      </c>
      <c r="G119" s="82">
        <v>3.16</v>
      </c>
    </row>
    <row r="120" spans="1:7" ht="18" customHeight="1">
      <c r="A120" s="1"/>
      <c r="B120" s="1"/>
      <c r="C120" s="1"/>
      <c r="D120" s="1"/>
      <c r="E120" s="234" t="s">
        <v>310</v>
      </c>
      <c r="F120" s="198"/>
      <c r="G120" s="83">
        <v>10.93</v>
      </c>
    </row>
    <row r="121" spans="1:7" ht="15" customHeight="1">
      <c r="A121" s="1"/>
      <c r="B121" s="1"/>
      <c r="C121" s="1"/>
      <c r="D121" s="1"/>
      <c r="E121" s="230" t="s">
        <v>315</v>
      </c>
      <c r="F121" s="198"/>
      <c r="G121" s="4">
        <v>38.47</v>
      </c>
    </row>
    <row r="122" spans="1:7" ht="9.75" customHeight="1">
      <c r="A122" s="1"/>
      <c r="B122" s="1"/>
      <c r="C122" s="1"/>
      <c r="D122" s="1"/>
      <c r="E122" s="231"/>
      <c r="F122" s="210"/>
      <c r="G122" s="210"/>
    </row>
    <row r="123" spans="1:7" ht="19.5" customHeight="1">
      <c r="A123" s="232" t="s">
        <v>391</v>
      </c>
      <c r="B123" s="197"/>
      <c r="C123" s="197"/>
      <c r="D123" s="197"/>
      <c r="E123" s="197"/>
      <c r="F123" s="197"/>
      <c r="G123" s="198"/>
    </row>
    <row r="124" spans="1:7" ht="15" customHeight="1">
      <c r="A124" s="233" t="s">
        <v>289</v>
      </c>
      <c r="B124" s="198"/>
      <c r="C124" s="78" t="s">
        <v>4</v>
      </c>
      <c r="D124" s="78" t="s">
        <v>290</v>
      </c>
      <c r="E124" s="78" t="s">
        <v>291</v>
      </c>
      <c r="F124" s="78" t="s">
        <v>292</v>
      </c>
      <c r="G124" s="78" t="s">
        <v>293</v>
      </c>
    </row>
    <row r="125" spans="1:7" ht="21" customHeight="1">
      <c r="A125" s="79" t="s">
        <v>392</v>
      </c>
      <c r="B125" s="80" t="s">
        <v>393</v>
      </c>
      <c r="C125" s="79" t="s">
        <v>14</v>
      </c>
      <c r="D125" s="79" t="s">
        <v>360</v>
      </c>
      <c r="E125" s="81">
        <v>2.1999999999999999E-2</v>
      </c>
      <c r="F125" s="82">
        <v>46.85</v>
      </c>
      <c r="G125" s="82">
        <v>1.03</v>
      </c>
    </row>
    <row r="126" spans="1:7" ht="28.5" customHeight="1">
      <c r="A126" s="79" t="s">
        <v>394</v>
      </c>
      <c r="B126" s="80" t="s">
        <v>395</v>
      </c>
      <c r="C126" s="79" t="s">
        <v>14</v>
      </c>
      <c r="D126" s="79" t="s">
        <v>64</v>
      </c>
      <c r="E126" s="81">
        <v>0.184005</v>
      </c>
      <c r="F126" s="82">
        <v>1.5</v>
      </c>
      <c r="G126" s="82">
        <v>0.28000000000000003</v>
      </c>
    </row>
    <row r="127" spans="1:7" ht="28.5" customHeight="1">
      <c r="A127" s="79" t="s">
        <v>396</v>
      </c>
      <c r="B127" s="80" t="s">
        <v>397</v>
      </c>
      <c r="C127" s="79" t="s">
        <v>14</v>
      </c>
      <c r="D127" s="79" t="s">
        <v>19</v>
      </c>
      <c r="E127" s="81">
        <v>0.53205000000000002</v>
      </c>
      <c r="F127" s="82">
        <v>4</v>
      </c>
      <c r="G127" s="82">
        <v>2.13</v>
      </c>
    </row>
    <row r="128" spans="1:7" ht="15" customHeight="1">
      <c r="A128" s="1"/>
      <c r="B128" s="1"/>
      <c r="C128" s="1"/>
      <c r="D128" s="1"/>
      <c r="E128" s="234" t="s">
        <v>303</v>
      </c>
      <c r="F128" s="198"/>
      <c r="G128" s="83">
        <v>3.44</v>
      </c>
    </row>
    <row r="129" spans="1:7" ht="15" customHeight="1">
      <c r="A129" s="233" t="s">
        <v>304</v>
      </c>
      <c r="B129" s="198"/>
      <c r="C129" s="78" t="s">
        <v>4</v>
      </c>
      <c r="D129" s="78" t="s">
        <v>290</v>
      </c>
      <c r="E129" s="78" t="s">
        <v>291</v>
      </c>
      <c r="F129" s="78" t="s">
        <v>292</v>
      </c>
      <c r="G129" s="78" t="s">
        <v>293</v>
      </c>
    </row>
    <row r="130" spans="1:7" ht="21" customHeight="1">
      <c r="A130" s="79" t="s">
        <v>398</v>
      </c>
      <c r="B130" s="80" t="s">
        <v>399</v>
      </c>
      <c r="C130" s="79" t="s">
        <v>14</v>
      </c>
      <c r="D130" s="79" t="s">
        <v>307</v>
      </c>
      <c r="E130" s="81">
        <v>0.14563507000000001</v>
      </c>
      <c r="F130" s="82">
        <v>18.829999999999998</v>
      </c>
      <c r="G130" s="82">
        <v>2.74</v>
      </c>
    </row>
    <row r="131" spans="1:7" ht="18" customHeight="1">
      <c r="A131" s="1"/>
      <c r="B131" s="1"/>
      <c r="C131" s="1"/>
      <c r="D131" s="1"/>
      <c r="E131" s="234" t="s">
        <v>310</v>
      </c>
      <c r="F131" s="198"/>
      <c r="G131" s="83">
        <v>2.74</v>
      </c>
    </row>
    <row r="132" spans="1:7" ht="15" customHeight="1">
      <c r="A132" s="1"/>
      <c r="B132" s="1"/>
      <c r="C132" s="1"/>
      <c r="D132" s="1"/>
      <c r="E132" s="230" t="s">
        <v>315</v>
      </c>
      <c r="F132" s="198"/>
      <c r="G132" s="4">
        <v>6.18</v>
      </c>
    </row>
    <row r="133" spans="1:7" ht="9.75" customHeight="1">
      <c r="A133" s="1"/>
      <c r="B133" s="1"/>
      <c r="C133" s="1"/>
      <c r="D133" s="1"/>
      <c r="E133" s="231"/>
      <c r="F133" s="210"/>
      <c r="G133" s="210"/>
    </row>
    <row r="134" spans="1:7" ht="19.5" customHeight="1">
      <c r="A134" s="232" t="s">
        <v>400</v>
      </c>
      <c r="B134" s="197"/>
      <c r="C134" s="197"/>
      <c r="D134" s="197"/>
      <c r="E134" s="197"/>
      <c r="F134" s="197"/>
      <c r="G134" s="198"/>
    </row>
    <row r="135" spans="1:7" ht="15" customHeight="1">
      <c r="A135" s="233" t="s">
        <v>317</v>
      </c>
      <c r="B135" s="198"/>
      <c r="C135" s="78" t="s">
        <v>4</v>
      </c>
      <c r="D135" s="78" t="s">
        <v>290</v>
      </c>
      <c r="E135" s="78" t="s">
        <v>291</v>
      </c>
      <c r="F135" s="78" t="s">
        <v>292</v>
      </c>
      <c r="G135" s="78" t="s">
        <v>293</v>
      </c>
    </row>
    <row r="136" spans="1:7" ht="28.5" customHeight="1">
      <c r="A136" s="79" t="s">
        <v>384</v>
      </c>
      <c r="B136" s="80" t="s">
        <v>385</v>
      </c>
      <c r="C136" s="79" t="s">
        <v>14</v>
      </c>
      <c r="D136" s="79" t="s">
        <v>320</v>
      </c>
      <c r="E136" s="81">
        <v>6.54917E-3</v>
      </c>
      <c r="F136" s="82">
        <v>20.57</v>
      </c>
      <c r="G136" s="82">
        <v>0.13</v>
      </c>
    </row>
    <row r="137" spans="1:7" ht="28.5" customHeight="1">
      <c r="A137" s="79" t="s">
        <v>386</v>
      </c>
      <c r="B137" s="80" t="s">
        <v>387</v>
      </c>
      <c r="C137" s="79" t="s">
        <v>14</v>
      </c>
      <c r="D137" s="79" t="s">
        <v>323</v>
      </c>
      <c r="E137" s="81">
        <v>4.6919400000000003E-3</v>
      </c>
      <c r="F137" s="82">
        <v>21.36</v>
      </c>
      <c r="G137" s="82">
        <v>0.1</v>
      </c>
    </row>
    <row r="138" spans="1:7" ht="18" customHeight="1">
      <c r="A138" s="1"/>
      <c r="B138" s="1"/>
      <c r="C138" s="1"/>
      <c r="D138" s="1"/>
      <c r="E138" s="234" t="s">
        <v>324</v>
      </c>
      <c r="F138" s="198"/>
      <c r="G138" s="83">
        <v>0.23</v>
      </c>
    </row>
    <row r="139" spans="1:7" ht="15" customHeight="1">
      <c r="A139" s="233" t="s">
        <v>289</v>
      </c>
      <c r="B139" s="198"/>
      <c r="C139" s="78" t="s">
        <v>4</v>
      </c>
      <c r="D139" s="78" t="s">
        <v>290</v>
      </c>
      <c r="E139" s="78" t="s">
        <v>291</v>
      </c>
      <c r="F139" s="78" t="s">
        <v>292</v>
      </c>
      <c r="G139" s="78" t="s">
        <v>293</v>
      </c>
    </row>
    <row r="140" spans="1:7" ht="37.5" customHeight="1">
      <c r="A140" s="79" t="s">
        <v>401</v>
      </c>
      <c r="B140" s="80" t="s">
        <v>402</v>
      </c>
      <c r="C140" s="79" t="s">
        <v>14</v>
      </c>
      <c r="D140" s="79" t="s">
        <v>64</v>
      </c>
      <c r="E140" s="81">
        <v>3.55</v>
      </c>
      <c r="F140" s="82">
        <v>1.05</v>
      </c>
      <c r="G140" s="82">
        <v>3.72</v>
      </c>
    </row>
    <row r="141" spans="1:7" ht="15" customHeight="1">
      <c r="A141" s="1"/>
      <c r="B141" s="1"/>
      <c r="C141" s="1"/>
      <c r="D141" s="1"/>
      <c r="E141" s="234" t="s">
        <v>303</v>
      </c>
      <c r="F141" s="198"/>
      <c r="G141" s="83">
        <v>3.72</v>
      </c>
    </row>
    <row r="142" spans="1:7" ht="15" customHeight="1">
      <c r="A142" s="233" t="s">
        <v>304</v>
      </c>
      <c r="B142" s="198"/>
      <c r="C142" s="78" t="s">
        <v>4</v>
      </c>
      <c r="D142" s="78" t="s">
        <v>290</v>
      </c>
      <c r="E142" s="78" t="s">
        <v>291</v>
      </c>
      <c r="F142" s="78" t="s">
        <v>292</v>
      </c>
      <c r="G142" s="78" t="s">
        <v>293</v>
      </c>
    </row>
    <row r="143" spans="1:7" ht="15" customHeight="1">
      <c r="A143" s="79" t="s">
        <v>308</v>
      </c>
      <c r="B143" s="80" t="s">
        <v>309</v>
      </c>
      <c r="C143" s="79" t="s">
        <v>14</v>
      </c>
      <c r="D143" s="79" t="s">
        <v>307</v>
      </c>
      <c r="E143" s="81">
        <v>0.21309264</v>
      </c>
      <c r="F143" s="82">
        <v>19.97</v>
      </c>
      <c r="G143" s="82">
        <v>4.25</v>
      </c>
    </row>
    <row r="144" spans="1:7" ht="15" customHeight="1">
      <c r="A144" s="79" t="s">
        <v>353</v>
      </c>
      <c r="B144" s="80" t="s">
        <v>354</v>
      </c>
      <c r="C144" s="79" t="s">
        <v>14</v>
      </c>
      <c r="D144" s="79" t="s">
        <v>307</v>
      </c>
      <c r="E144" s="81">
        <v>0.13000606000000001</v>
      </c>
      <c r="F144" s="82">
        <v>24.44</v>
      </c>
      <c r="G144" s="82">
        <v>3.17</v>
      </c>
    </row>
    <row r="145" spans="1:7" ht="18" customHeight="1">
      <c r="A145" s="1"/>
      <c r="B145" s="1"/>
      <c r="C145" s="1"/>
      <c r="D145" s="1"/>
      <c r="E145" s="234" t="s">
        <v>310</v>
      </c>
      <c r="F145" s="198"/>
      <c r="G145" s="83">
        <v>7.42</v>
      </c>
    </row>
    <row r="146" spans="1:7" ht="15" customHeight="1">
      <c r="A146" s="1"/>
      <c r="B146" s="1"/>
      <c r="C146" s="1"/>
      <c r="D146" s="1"/>
      <c r="E146" s="230" t="s">
        <v>315</v>
      </c>
      <c r="F146" s="198"/>
      <c r="G146" s="4">
        <v>11.37</v>
      </c>
    </row>
    <row r="147" spans="1:7" ht="9.75" customHeight="1">
      <c r="A147" s="1"/>
      <c r="B147" s="1"/>
      <c r="C147" s="1"/>
      <c r="D147" s="1"/>
      <c r="E147" s="231"/>
      <c r="F147" s="210"/>
      <c r="G147" s="210"/>
    </row>
    <row r="148" spans="1:7" ht="19.5" customHeight="1">
      <c r="A148" s="232" t="s">
        <v>403</v>
      </c>
      <c r="B148" s="197"/>
      <c r="C148" s="197"/>
      <c r="D148" s="197"/>
      <c r="E148" s="197"/>
      <c r="F148" s="197"/>
      <c r="G148" s="198"/>
    </row>
    <row r="149" spans="1:7" ht="15" customHeight="1">
      <c r="A149" s="233" t="s">
        <v>289</v>
      </c>
      <c r="B149" s="198"/>
      <c r="C149" s="78" t="s">
        <v>4</v>
      </c>
      <c r="D149" s="78" t="s">
        <v>290</v>
      </c>
      <c r="E149" s="78" t="s">
        <v>291</v>
      </c>
      <c r="F149" s="78" t="s">
        <v>292</v>
      </c>
      <c r="G149" s="78" t="s">
        <v>293</v>
      </c>
    </row>
    <row r="150" spans="1:7" ht="28.5" customHeight="1">
      <c r="A150" s="79" t="s">
        <v>404</v>
      </c>
      <c r="B150" s="80" t="s">
        <v>405</v>
      </c>
      <c r="C150" s="79" t="s">
        <v>14</v>
      </c>
      <c r="D150" s="79" t="s">
        <v>298</v>
      </c>
      <c r="E150" s="81">
        <v>3.4615</v>
      </c>
      <c r="F150" s="82">
        <v>4.0199999999999996</v>
      </c>
      <c r="G150" s="82">
        <v>13.91</v>
      </c>
    </row>
    <row r="151" spans="1:7" ht="15" customHeight="1">
      <c r="A151" s="1"/>
      <c r="B151" s="1"/>
      <c r="C151" s="1"/>
      <c r="D151" s="1"/>
      <c r="E151" s="234" t="s">
        <v>303</v>
      </c>
      <c r="F151" s="198"/>
      <c r="G151" s="83">
        <v>13.91</v>
      </c>
    </row>
    <row r="152" spans="1:7" ht="15" customHeight="1">
      <c r="A152" s="233" t="s">
        <v>304</v>
      </c>
      <c r="B152" s="198"/>
      <c r="C152" s="78" t="s">
        <v>4</v>
      </c>
      <c r="D152" s="78" t="s">
        <v>290</v>
      </c>
      <c r="E152" s="78" t="s">
        <v>291</v>
      </c>
      <c r="F152" s="78" t="s">
        <v>292</v>
      </c>
      <c r="G152" s="78" t="s">
        <v>293</v>
      </c>
    </row>
    <row r="153" spans="1:7" ht="21" customHeight="1">
      <c r="A153" s="79" t="s">
        <v>406</v>
      </c>
      <c r="B153" s="80" t="s">
        <v>407</v>
      </c>
      <c r="C153" s="79" t="s">
        <v>14</v>
      </c>
      <c r="D153" s="79" t="s">
        <v>307</v>
      </c>
      <c r="E153" s="81">
        <v>0.13288633</v>
      </c>
      <c r="F153" s="82">
        <v>20.83</v>
      </c>
      <c r="G153" s="82">
        <v>2.76</v>
      </c>
    </row>
    <row r="154" spans="1:7" ht="15" customHeight="1">
      <c r="A154" s="79" t="s">
        <v>408</v>
      </c>
      <c r="B154" s="80" t="s">
        <v>409</v>
      </c>
      <c r="C154" s="79" t="s">
        <v>14</v>
      </c>
      <c r="D154" s="79" t="s">
        <v>307</v>
      </c>
      <c r="E154" s="81">
        <v>0.58881331999999997</v>
      </c>
      <c r="F154" s="82">
        <v>25.37</v>
      </c>
      <c r="G154" s="82">
        <v>14.93</v>
      </c>
    </row>
    <row r="155" spans="1:7" ht="18" customHeight="1">
      <c r="A155" s="1"/>
      <c r="B155" s="1"/>
      <c r="C155" s="1"/>
      <c r="D155" s="1"/>
      <c r="E155" s="234" t="s">
        <v>310</v>
      </c>
      <c r="F155" s="198"/>
      <c r="G155" s="83">
        <v>17.690000000000001</v>
      </c>
    </row>
    <row r="156" spans="1:7" ht="15" customHeight="1">
      <c r="A156" s="1"/>
      <c r="B156" s="1"/>
      <c r="C156" s="1"/>
      <c r="D156" s="1"/>
      <c r="E156" s="230" t="s">
        <v>315</v>
      </c>
      <c r="F156" s="198"/>
      <c r="G156" s="4">
        <v>31.6</v>
      </c>
    </row>
    <row r="157" spans="1:7" ht="9.75" customHeight="1">
      <c r="A157" s="1"/>
      <c r="B157" s="1"/>
      <c r="C157" s="1"/>
      <c r="D157" s="1"/>
      <c r="E157" s="231"/>
      <c r="F157" s="210"/>
      <c r="G157" s="210"/>
    </row>
    <row r="158" spans="1:7" ht="19.5" customHeight="1">
      <c r="A158" s="232" t="s">
        <v>410</v>
      </c>
      <c r="B158" s="197"/>
      <c r="C158" s="197"/>
      <c r="D158" s="197"/>
      <c r="E158" s="197"/>
      <c r="F158" s="197"/>
      <c r="G158" s="198"/>
    </row>
    <row r="159" spans="1:7" ht="15" customHeight="1">
      <c r="A159" s="233" t="s">
        <v>289</v>
      </c>
      <c r="B159" s="198"/>
      <c r="C159" s="78" t="s">
        <v>4</v>
      </c>
      <c r="D159" s="78" t="s">
        <v>290</v>
      </c>
      <c r="E159" s="78" t="s">
        <v>291</v>
      </c>
      <c r="F159" s="78" t="s">
        <v>292</v>
      </c>
      <c r="G159" s="78" t="s">
        <v>293</v>
      </c>
    </row>
    <row r="160" spans="1:7" ht="21" customHeight="1">
      <c r="A160" s="79" t="s">
        <v>411</v>
      </c>
      <c r="B160" s="80" t="s">
        <v>412</v>
      </c>
      <c r="C160" s="79" t="s">
        <v>14</v>
      </c>
      <c r="D160" s="79" t="s">
        <v>15</v>
      </c>
      <c r="E160" s="81">
        <v>1.04</v>
      </c>
      <c r="F160" s="82">
        <v>2.36</v>
      </c>
      <c r="G160" s="82">
        <v>2.4500000000000002</v>
      </c>
    </row>
    <row r="161" spans="1:7" ht="15" customHeight="1">
      <c r="A161" s="1"/>
      <c r="B161" s="1"/>
      <c r="C161" s="1"/>
      <c r="D161" s="1"/>
      <c r="E161" s="234" t="s">
        <v>303</v>
      </c>
      <c r="F161" s="198"/>
      <c r="G161" s="83">
        <v>2.4500000000000002</v>
      </c>
    </row>
    <row r="162" spans="1:7" ht="15" customHeight="1">
      <c r="A162" s="233" t="s">
        <v>304</v>
      </c>
      <c r="B162" s="198"/>
      <c r="C162" s="78" t="s">
        <v>4</v>
      </c>
      <c r="D162" s="78" t="s">
        <v>290</v>
      </c>
      <c r="E162" s="78" t="s">
        <v>291</v>
      </c>
      <c r="F162" s="78" t="s">
        <v>292</v>
      </c>
      <c r="G162" s="78" t="s">
        <v>293</v>
      </c>
    </row>
    <row r="163" spans="1:7" ht="15" customHeight="1">
      <c r="A163" s="79" t="s">
        <v>349</v>
      </c>
      <c r="B163" s="80" t="s">
        <v>350</v>
      </c>
      <c r="C163" s="79" t="s">
        <v>14</v>
      </c>
      <c r="D163" s="79" t="s">
        <v>307</v>
      </c>
      <c r="E163" s="81">
        <v>0.44793574000000003</v>
      </c>
      <c r="F163" s="82">
        <v>25.37</v>
      </c>
      <c r="G163" s="82">
        <v>11.36</v>
      </c>
    </row>
    <row r="164" spans="1:7" ht="15" customHeight="1">
      <c r="A164" s="79" t="s">
        <v>308</v>
      </c>
      <c r="B164" s="80" t="s">
        <v>309</v>
      </c>
      <c r="C164" s="79" t="s">
        <v>14</v>
      </c>
      <c r="D164" s="79" t="s">
        <v>307</v>
      </c>
      <c r="E164" s="81">
        <v>0.10100995</v>
      </c>
      <c r="F164" s="82">
        <v>19.97</v>
      </c>
      <c r="G164" s="82">
        <v>2.0099999999999998</v>
      </c>
    </row>
    <row r="165" spans="1:7" ht="18" customHeight="1">
      <c r="A165" s="1"/>
      <c r="B165" s="1"/>
      <c r="C165" s="1"/>
      <c r="D165" s="1"/>
      <c r="E165" s="234" t="s">
        <v>310</v>
      </c>
      <c r="F165" s="198"/>
      <c r="G165" s="83">
        <v>13.37</v>
      </c>
    </row>
    <row r="166" spans="1:7" ht="15" customHeight="1">
      <c r="A166" s="233" t="s">
        <v>311</v>
      </c>
      <c r="B166" s="198"/>
      <c r="C166" s="78" t="s">
        <v>4</v>
      </c>
      <c r="D166" s="78" t="s">
        <v>290</v>
      </c>
      <c r="E166" s="78" t="s">
        <v>291</v>
      </c>
      <c r="F166" s="78" t="s">
        <v>292</v>
      </c>
      <c r="G166" s="78" t="s">
        <v>293</v>
      </c>
    </row>
    <row r="167" spans="1:7" ht="28.5" customHeight="1">
      <c r="A167" s="79" t="s">
        <v>413</v>
      </c>
      <c r="B167" s="80" t="s">
        <v>414</v>
      </c>
      <c r="C167" s="79" t="s">
        <v>14</v>
      </c>
      <c r="D167" s="79" t="s">
        <v>23</v>
      </c>
      <c r="E167" s="81">
        <v>2.4660629999999999E-2</v>
      </c>
      <c r="F167" s="82">
        <v>774.32</v>
      </c>
      <c r="G167" s="82">
        <v>19.09</v>
      </c>
    </row>
    <row r="168" spans="1:7" ht="15" customHeight="1">
      <c r="A168" s="1"/>
      <c r="B168" s="1"/>
      <c r="C168" s="1"/>
      <c r="D168" s="1"/>
      <c r="E168" s="234" t="s">
        <v>314</v>
      </c>
      <c r="F168" s="198"/>
      <c r="G168" s="83">
        <v>19.09</v>
      </c>
    </row>
    <row r="169" spans="1:7" ht="15" customHeight="1">
      <c r="A169" s="1"/>
      <c r="B169" s="1"/>
      <c r="C169" s="1"/>
      <c r="D169" s="1"/>
      <c r="E169" s="230" t="s">
        <v>315</v>
      </c>
      <c r="F169" s="198"/>
      <c r="G169" s="4">
        <v>34.909999999999997</v>
      </c>
    </row>
    <row r="170" spans="1:7" ht="9.75" customHeight="1">
      <c r="A170" s="1"/>
      <c r="B170" s="1"/>
      <c r="C170" s="1"/>
      <c r="D170" s="1"/>
      <c r="E170" s="231"/>
      <c r="F170" s="210"/>
      <c r="G170" s="210"/>
    </row>
    <row r="171" spans="1:7" ht="27" customHeight="1">
      <c r="A171" s="232" t="s">
        <v>415</v>
      </c>
      <c r="B171" s="197"/>
      <c r="C171" s="197"/>
      <c r="D171" s="197"/>
      <c r="E171" s="197"/>
      <c r="F171" s="197"/>
      <c r="G171" s="198"/>
    </row>
    <row r="172" spans="1:7" ht="15" customHeight="1">
      <c r="A172" s="233" t="s">
        <v>311</v>
      </c>
      <c r="B172" s="198"/>
      <c r="C172" s="78" t="s">
        <v>4</v>
      </c>
      <c r="D172" s="78" t="s">
        <v>290</v>
      </c>
      <c r="E172" s="78" t="s">
        <v>291</v>
      </c>
      <c r="F172" s="78" t="s">
        <v>292</v>
      </c>
      <c r="G172" s="78" t="s">
        <v>293</v>
      </c>
    </row>
    <row r="173" spans="1:7" ht="28.5" customHeight="1">
      <c r="A173" s="79" t="s">
        <v>416</v>
      </c>
      <c r="B173" s="80" t="s">
        <v>417</v>
      </c>
      <c r="C173" s="79" t="s">
        <v>14</v>
      </c>
      <c r="D173" s="79" t="s">
        <v>19</v>
      </c>
      <c r="E173" s="81">
        <v>9.9194550199999991</v>
      </c>
      <c r="F173" s="82">
        <v>7.32</v>
      </c>
      <c r="G173" s="82">
        <v>72.61</v>
      </c>
    </row>
    <row r="174" spans="1:7" ht="28.5" customHeight="1">
      <c r="A174" s="79" t="s">
        <v>418</v>
      </c>
      <c r="B174" s="80" t="s">
        <v>419</v>
      </c>
      <c r="C174" s="79" t="s">
        <v>14</v>
      </c>
      <c r="D174" s="79" t="s">
        <v>64</v>
      </c>
      <c r="E174" s="81">
        <v>0.99180889000000005</v>
      </c>
      <c r="F174" s="82">
        <v>301.43</v>
      </c>
      <c r="G174" s="82">
        <v>298.95999999999998</v>
      </c>
    </row>
    <row r="175" spans="1:7" ht="37.5" customHeight="1">
      <c r="A175" s="79" t="s">
        <v>420</v>
      </c>
      <c r="B175" s="80" t="s">
        <v>421</v>
      </c>
      <c r="C175" s="79" t="s">
        <v>14</v>
      </c>
      <c r="D175" s="79" t="s">
        <v>64</v>
      </c>
      <c r="E175" s="81">
        <v>0.99180889000000005</v>
      </c>
      <c r="F175" s="82">
        <v>94.31</v>
      </c>
      <c r="G175" s="82">
        <v>93.53</v>
      </c>
    </row>
    <row r="176" spans="1:7" ht="37.5" customHeight="1">
      <c r="A176" s="79" t="s">
        <v>422</v>
      </c>
      <c r="B176" s="80" t="s">
        <v>423</v>
      </c>
      <c r="C176" s="79" t="s">
        <v>14</v>
      </c>
      <c r="D176" s="79" t="s">
        <v>64</v>
      </c>
      <c r="E176" s="81">
        <v>0.99180889000000005</v>
      </c>
      <c r="F176" s="82">
        <v>362.45</v>
      </c>
      <c r="G176" s="82">
        <v>359.48</v>
      </c>
    </row>
    <row r="177" spans="1:7" ht="15" customHeight="1">
      <c r="A177" s="1"/>
      <c r="B177" s="1"/>
      <c r="C177" s="1"/>
      <c r="D177" s="1"/>
      <c r="E177" s="234" t="s">
        <v>314</v>
      </c>
      <c r="F177" s="198"/>
      <c r="G177" s="83">
        <v>824.58</v>
      </c>
    </row>
    <row r="178" spans="1:7" ht="15" customHeight="1">
      <c r="A178" s="1"/>
      <c r="B178" s="1"/>
      <c r="C178" s="1"/>
      <c r="D178" s="1"/>
      <c r="E178" s="230" t="s">
        <v>315</v>
      </c>
      <c r="F178" s="198"/>
      <c r="G178" s="4">
        <v>824.58</v>
      </c>
    </row>
    <row r="179" spans="1:7" ht="9.75" customHeight="1">
      <c r="A179" s="1"/>
      <c r="B179" s="1"/>
      <c r="C179" s="1"/>
      <c r="D179" s="1"/>
      <c r="E179" s="231"/>
      <c r="F179" s="210"/>
      <c r="G179" s="210"/>
    </row>
    <row r="180" spans="1:7" ht="19.5" customHeight="1">
      <c r="A180" s="232" t="s">
        <v>424</v>
      </c>
      <c r="B180" s="197"/>
      <c r="C180" s="197"/>
      <c r="D180" s="197"/>
      <c r="E180" s="197"/>
      <c r="F180" s="197"/>
      <c r="G180" s="198"/>
    </row>
    <row r="181" spans="1:7" ht="15" customHeight="1">
      <c r="A181" s="233" t="s">
        <v>289</v>
      </c>
      <c r="B181" s="198"/>
      <c r="C181" s="78" t="s">
        <v>4</v>
      </c>
      <c r="D181" s="78" t="s">
        <v>290</v>
      </c>
      <c r="E181" s="78" t="s">
        <v>291</v>
      </c>
      <c r="F181" s="78" t="s">
        <v>292</v>
      </c>
      <c r="G181" s="78" t="s">
        <v>293</v>
      </c>
    </row>
    <row r="182" spans="1:7" ht="21" customHeight="1">
      <c r="A182" s="79" t="s">
        <v>425</v>
      </c>
      <c r="B182" s="80" t="s">
        <v>426</v>
      </c>
      <c r="C182" s="79" t="s">
        <v>427</v>
      </c>
      <c r="D182" s="79" t="s">
        <v>5</v>
      </c>
      <c r="E182" s="81">
        <v>1</v>
      </c>
      <c r="F182" s="82">
        <v>81.459999999999994</v>
      </c>
      <c r="G182" s="82">
        <v>81.459999999999994</v>
      </c>
    </row>
    <row r="183" spans="1:7" ht="15" customHeight="1">
      <c r="A183" s="1"/>
      <c r="B183" s="1"/>
      <c r="C183" s="1"/>
      <c r="D183" s="1"/>
      <c r="E183" s="234" t="s">
        <v>303</v>
      </c>
      <c r="F183" s="198"/>
      <c r="G183" s="83">
        <v>81.459999999999994</v>
      </c>
    </row>
    <row r="184" spans="1:7" ht="15" customHeight="1">
      <c r="A184" s="233" t="s">
        <v>304</v>
      </c>
      <c r="B184" s="198"/>
      <c r="C184" s="78" t="s">
        <v>4</v>
      </c>
      <c r="D184" s="78" t="s">
        <v>290</v>
      </c>
      <c r="E184" s="78" t="s">
        <v>291</v>
      </c>
      <c r="F184" s="78" t="s">
        <v>292</v>
      </c>
      <c r="G184" s="78" t="s">
        <v>293</v>
      </c>
    </row>
    <row r="185" spans="1:7" ht="21" customHeight="1">
      <c r="A185" s="79" t="s">
        <v>428</v>
      </c>
      <c r="B185" s="80" t="s">
        <v>429</v>
      </c>
      <c r="C185" s="79" t="s">
        <v>14</v>
      </c>
      <c r="D185" s="79" t="s">
        <v>307</v>
      </c>
      <c r="E185" s="81">
        <v>0.14638013999999999</v>
      </c>
      <c r="F185" s="82">
        <v>21.2</v>
      </c>
      <c r="G185" s="82">
        <v>3.1</v>
      </c>
    </row>
    <row r="186" spans="1:7" ht="15" customHeight="1">
      <c r="A186" s="79" t="s">
        <v>430</v>
      </c>
      <c r="B186" s="80" t="s">
        <v>431</v>
      </c>
      <c r="C186" s="79" t="s">
        <v>14</v>
      </c>
      <c r="D186" s="79" t="s">
        <v>307</v>
      </c>
      <c r="E186" s="81">
        <v>0.47167587999999999</v>
      </c>
      <c r="F186" s="82">
        <v>25.62</v>
      </c>
      <c r="G186" s="82">
        <v>12.08</v>
      </c>
    </row>
    <row r="187" spans="1:7" ht="18" customHeight="1">
      <c r="A187" s="1"/>
      <c r="B187" s="1"/>
      <c r="C187" s="1"/>
      <c r="D187" s="1"/>
      <c r="E187" s="234" t="s">
        <v>310</v>
      </c>
      <c r="F187" s="198"/>
      <c r="G187" s="83">
        <v>15.18</v>
      </c>
    </row>
    <row r="188" spans="1:7" ht="15" customHeight="1">
      <c r="A188" s="1"/>
      <c r="B188" s="1"/>
      <c r="C188" s="1"/>
      <c r="D188" s="1"/>
      <c r="E188" s="230" t="s">
        <v>315</v>
      </c>
      <c r="F188" s="198"/>
      <c r="G188" s="4">
        <v>96.64</v>
      </c>
    </row>
    <row r="189" spans="1:7" ht="9.75" customHeight="1">
      <c r="A189" s="1"/>
      <c r="B189" s="1"/>
      <c r="C189" s="1"/>
      <c r="D189" s="1"/>
      <c r="E189" s="231"/>
      <c r="F189" s="210"/>
      <c r="G189" s="210"/>
    </row>
    <row r="190" spans="1:7" ht="19.5" customHeight="1">
      <c r="A190" s="232" t="s">
        <v>432</v>
      </c>
      <c r="B190" s="197"/>
      <c r="C190" s="197"/>
      <c r="D190" s="197"/>
      <c r="E190" s="197"/>
      <c r="F190" s="197"/>
      <c r="G190" s="198"/>
    </row>
    <row r="191" spans="1:7" ht="15" customHeight="1">
      <c r="A191" s="233" t="s">
        <v>311</v>
      </c>
      <c r="B191" s="198"/>
      <c r="C191" s="78" t="s">
        <v>4</v>
      </c>
      <c r="D191" s="78" t="s">
        <v>290</v>
      </c>
      <c r="E191" s="78" t="s">
        <v>291</v>
      </c>
      <c r="F191" s="78" t="s">
        <v>292</v>
      </c>
      <c r="G191" s="78" t="s">
        <v>293</v>
      </c>
    </row>
    <row r="192" spans="1:7" ht="28.5" customHeight="1">
      <c r="A192" s="79" t="s">
        <v>433</v>
      </c>
      <c r="B192" s="80" t="s">
        <v>434</v>
      </c>
      <c r="C192" s="79" t="s">
        <v>14</v>
      </c>
      <c r="D192" s="79" t="s">
        <v>64</v>
      </c>
      <c r="E192" s="81">
        <v>0.98409692000000004</v>
      </c>
      <c r="F192" s="82">
        <v>16.68</v>
      </c>
      <c r="G192" s="82">
        <v>16.41</v>
      </c>
    </row>
    <row r="193" spans="1:7" ht="28.5" customHeight="1">
      <c r="A193" s="79" t="s">
        <v>435</v>
      </c>
      <c r="B193" s="80" t="s">
        <v>436</v>
      </c>
      <c r="C193" s="79" t="s">
        <v>14</v>
      </c>
      <c r="D193" s="79" t="s">
        <v>64</v>
      </c>
      <c r="E193" s="81">
        <v>0.98409692000000004</v>
      </c>
      <c r="F193" s="82">
        <v>9.73</v>
      </c>
      <c r="G193" s="82">
        <v>9.57</v>
      </c>
    </row>
    <row r="194" spans="1:7" ht="15" customHeight="1">
      <c r="A194" s="1"/>
      <c r="B194" s="1"/>
      <c r="C194" s="1"/>
      <c r="D194" s="1"/>
      <c r="E194" s="234" t="s">
        <v>314</v>
      </c>
      <c r="F194" s="198"/>
      <c r="G194" s="83">
        <v>25.98</v>
      </c>
    </row>
    <row r="195" spans="1:7" ht="15" customHeight="1">
      <c r="A195" s="1"/>
      <c r="B195" s="1"/>
      <c r="C195" s="1"/>
      <c r="D195" s="1"/>
      <c r="E195" s="230" t="s">
        <v>315</v>
      </c>
      <c r="F195" s="198"/>
      <c r="G195" s="4">
        <v>25.98</v>
      </c>
    </row>
    <row r="196" spans="1:7" ht="9.75" customHeight="1">
      <c r="A196" s="1"/>
      <c r="B196" s="1"/>
      <c r="C196" s="1"/>
      <c r="D196" s="1"/>
      <c r="E196" s="231"/>
      <c r="F196" s="210"/>
      <c r="G196" s="210"/>
    </row>
    <row r="197" spans="1:7" ht="19.5" customHeight="1">
      <c r="A197" s="232" t="s">
        <v>437</v>
      </c>
      <c r="B197" s="197"/>
      <c r="C197" s="197"/>
      <c r="D197" s="197"/>
      <c r="E197" s="197"/>
      <c r="F197" s="197"/>
      <c r="G197" s="198"/>
    </row>
    <row r="198" spans="1:7" ht="15" customHeight="1">
      <c r="A198" s="233" t="s">
        <v>289</v>
      </c>
      <c r="B198" s="198"/>
      <c r="C198" s="78" t="s">
        <v>4</v>
      </c>
      <c r="D198" s="78" t="s">
        <v>290</v>
      </c>
      <c r="E198" s="78" t="s">
        <v>291</v>
      </c>
      <c r="F198" s="78" t="s">
        <v>292</v>
      </c>
      <c r="G198" s="78" t="s">
        <v>293</v>
      </c>
    </row>
    <row r="199" spans="1:7" ht="21" customHeight="1">
      <c r="A199" s="79" t="s">
        <v>438</v>
      </c>
      <c r="B199" s="80" t="s">
        <v>439</v>
      </c>
      <c r="C199" s="79" t="s">
        <v>14</v>
      </c>
      <c r="D199" s="79" t="s">
        <v>64</v>
      </c>
      <c r="E199" s="81">
        <v>1</v>
      </c>
      <c r="F199" s="82">
        <v>2.91</v>
      </c>
      <c r="G199" s="82">
        <v>2.91</v>
      </c>
    </row>
    <row r="200" spans="1:7" ht="21" customHeight="1">
      <c r="A200" s="79" t="s">
        <v>440</v>
      </c>
      <c r="B200" s="80" t="s">
        <v>441</v>
      </c>
      <c r="C200" s="79" t="s">
        <v>14</v>
      </c>
      <c r="D200" s="79" t="s">
        <v>19</v>
      </c>
      <c r="E200" s="81">
        <v>6</v>
      </c>
      <c r="F200" s="82">
        <v>4.63</v>
      </c>
      <c r="G200" s="82">
        <v>27.78</v>
      </c>
    </row>
    <row r="201" spans="1:7" ht="21" customHeight="1">
      <c r="A201" s="79" t="s">
        <v>442</v>
      </c>
      <c r="B201" s="80" t="s">
        <v>443</v>
      </c>
      <c r="C201" s="79" t="s">
        <v>14</v>
      </c>
      <c r="D201" s="79" t="s">
        <v>19</v>
      </c>
      <c r="E201" s="81">
        <v>12</v>
      </c>
      <c r="F201" s="82">
        <v>2.76</v>
      </c>
      <c r="G201" s="82">
        <v>33.119999999999997</v>
      </c>
    </row>
    <row r="202" spans="1:7" ht="21" customHeight="1">
      <c r="A202" s="79" t="s">
        <v>444</v>
      </c>
      <c r="B202" s="80" t="s">
        <v>445</v>
      </c>
      <c r="C202" s="79" t="s">
        <v>427</v>
      </c>
      <c r="D202" s="79" t="s">
        <v>15</v>
      </c>
      <c r="E202" s="81">
        <v>0.15</v>
      </c>
      <c r="F202" s="82">
        <v>8.7799999999999994</v>
      </c>
      <c r="G202" s="82">
        <v>1.32</v>
      </c>
    </row>
    <row r="203" spans="1:7" ht="15" customHeight="1">
      <c r="A203" s="1"/>
      <c r="B203" s="1"/>
      <c r="C203" s="1"/>
      <c r="D203" s="1"/>
      <c r="E203" s="234" t="s">
        <v>303</v>
      </c>
      <c r="F203" s="198"/>
      <c r="G203" s="83">
        <v>65.13</v>
      </c>
    </row>
    <row r="204" spans="1:7" ht="15" customHeight="1">
      <c r="A204" s="233" t="s">
        <v>304</v>
      </c>
      <c r="B204" s="198"/>
      <c r="C204" s="78" t="s">
        <v>4</v>
      </c>
      <c r="D204" s="78" t="s">
        <v>290</v>
      </c>
      <c r="E204" s="78" t="s">
        <v>291</v>
      </c>
      <c r="F204" s="78" t="s">
        <v>292</v>
      </c>
      <c r="G204" s="78" t="s">
        <v>293</v>
      </c>
    </row>
    <row r="205" spans="1:7" ht="15" customHeight="1">
      <c r="A205" s="79" t="s">
        <v>430</v>
      </c>
      <c r="B205" s="80" t="s">
        <v>431</v>
      </c>
      <c r="C205" s="79" t="s">
        <v>14</v>
      </c>
      <c r="D205" s="79" t="s">
        <v>307</v>
      </c>
      <c r="E205" s="81">
        <v>4.8747803999999997</v>
      </c>
      <c r="F205" s="82">
        <v>25.62</v>
      </c>
      <c r="G205" s="82">
        <v>124.89</v>
      </c>
    </row>
    <row r="206" spans="1:7" ht="15" customHeight="1">
      <c r="A206" s="79" t="s">
        <v>308</v>
      </c>
      <c r="B206" s="80" t="s">
        <v>309</v>
      </c>
      <c r="C206" s="79" t="s">
        <v>14</v>
      </c>
      <c r="D206" s="79" t="s">
        <v>307</v>
      </c>
      <c r="E206" s="81">
        <v>5.8497364799999998</v>
      </c>
      <c r="F206" s="82">
        <v>19.97</v>
      </c>
      <c r="G206" s="82">
        <v>116.82</v>
      </c>
    </row>
    <row r="207" spans="1:7" ht="18" customHeight="1">
      <c r="A207" s="1"/>
      <c r="B207" s="1"/>
      <c r="C207" s="1"/>
      <c r="D207" s="1"/>
      <c r="E207" s="234" t="s">
        <v>310</v>
      </c>
      <c r="F207" s="198"/>
      <c r="G207" s="83">
        <v>241.71</v>
      </c>
    </row>
    <row r="208" spans="1:7" ht="15" customHeight="1">
      <c r="A208" s="1"/>
      <c r="B208" s="1"/>
      <c r="C208" s="1"/>
      <c r="D208" s="1"/>
      <c r="E208" s="230" t="s">
        <v>315</v>
      </c>
      <c r="F208" s="198"/>
      <c r="G208" s="4">
        <v>306.83999999999997</v>
      </c>
    </row>
    <row r="209" spans="1:7" ht="9.75" customHeight="1">
      <c r="A209" s="1"/>
      <c r="B209" s="1"/>
      <c r="C209" s="1"/>
      <c r="D209" s="1"/>
      <c r="E209" s="231"/>
      <c r="F209" s="210"/>
      <c r="G209" s="210"/>
    </row>
    <row r="210" spans="1:7" ht="19.5" customHeight="1">
      <c r="A210" s="232" t="s">
        <v>446</v>
      </c>
      <c r="B210" s="197"/>
      <c r="C210" s="197"/>
      <c r="D210" s="197"/>
      <c r="E210" s="197"/>
      <c r="F210" s="197"/>
      <c r="G210" s="198"/>
    </row>
    <row r="211" spans="1:7" ht="15" customHeight="1">
      <c r="A211" s="233" t="s">
        <v>289</v>
      </c>
      <c r="B211" s="198"/>
      <c r="C211" s="78" t="s">
        <v>4</v>
      </c>
      <c r="D211" s="78" t="s">
        <v>290</v>
      </c>
      <c r="E211" s="78" t="s">
        <v>291</v>
      </c>
      <c r="F211" s="78" t="s">
        <v>292</v>
      </c>
      <c r="G211" s="78" t="s">
        <v>293</v>
      </c>
    </row>
    <row r="212" spans="1:7" ht="21" customHeight="1">
      <c r="A212" s="79" t="s">
        <v>447</v>
      </c>
      <c r="B212" s="80" t="s">
        <v>448</v>
      </c>
      <c r="C212" s="79" t="s">
        <v>14</v>
      </c>
      <c r="D212" s="79" t="s">
        <v>335</v>
      </c>
      <c r="E212" s="81">
        <v>0.21</v>
      </c>
      <c r="F212" s="82">
        <v>17.18</v>
      </c>
      <c r="G212" s="82">
        <v>3.6</v>
      </c>
    </row>
    <row r="213" spans="1:7" ht="15" customHeight="1">
      <c r="A213" s="79" t="s">
        <v>449</v>
      </c>
      <c r="B213" s="80" t="s">
        <v>450</v>
      </c>
      <c r="C213" s="79" t="s">
        <v>14</v>
      </c>
      <c r="D213" s="79" t="s">
        <v>298</v>
      </c>
      <c r="E213" s="81">
        <v>0.5</v>
      </c>
      <c r="F213" s="82">
        <v>0.68</v>
      </c>
      <c r="G213" s="82">
        <v>0.34</v>
      </c>
    </row>
    <row r="214" spans="1:7" ht="15" customHeight="1">
      <c r="A214" s="1"/>
      <c r="B214" s="1"/>
      <c r="C214" s="1"/>
      <c r="D214" s="1"/>
      <c r="E214" s="234" t="s">
        <v>303</v>
      </c>
      <c r="F214" s="198"/>
      <c r="G214" s="83">
        <v>3.94</v>
      </c>
    </row>
    <row r="215" spans="1:7" ht="15" customHeight="1">
      <c r="A215" s="233" t="s">
        <v>304</v>
      </c>
      <c r="B215" s="198"/>
      <c r="C215" s="78" t="s">
        <v>4</v>
      </c>
      <c r="D215" s="78" t="s">
        <v>290</v>
      </c>
      <c r="E215" s="78" t="s">
        <v>291</v>
      </c>
      <c r="F215" s="78" t="s">
        <v>292</v>
      </c>
      <c r="G215" s="78" t="s">
        <v>293</v>
      </c>
    </row>
    <row r="216" spans="1:7" ht="15" customHeight="1">
      <c r="A216" s="79" t="s">
        <v>349</v>
      </c>
      <c r="B216" s="80" t="s">
        <v>350</v>
      </c>
      <c r="C216" s="79" t="s">
        <v>14</v>
      </c>
      <c r="D216" s="79" t="s">
        <v>307</v>
      </c>
      <c r="E216" s="81">
        <v>0.21134913</v>
      </c>
      <c r="F216" s="82">
        <v>25.37</v>
      </c>
      <c r="G216" s="82">
        <v>5.36</v>
      </c>
    </row>
    <row r="217" spans="1:7" ht="15" customHeight="1">
      <c r="A217" s="79" t="s">
        <v>308</v>
      </c>
      <c r="B217" s="80" t="s">
        <v>309</v>
      </c>
      <c r="C217" s="79" t="s">
        <v>14</v>
      </c>
      <c r="D217" s="79" t="s">
        <v>307</v>
      </c>
      <c r="E217" s="81">
        <v>0.10587164</v>
      </c>
      <c r="F217" s="82">
        <v>19.97</v>
      </c>
      <c r="G217" s="82">
        <v>2.11</v>
      </c>
    </row>
    <row r="218" spans="1:7" ht="18" customHeight="1">
      <c r="A218" s="1"/>
      <c r="B218" s="1"/>
      <c r="C218" s="1"/>
      <c r="D218" s="1"/>
      <c r="E218" s="234" t="s">
        <v>310</v>
      </c>
      <c r="F218" s="198"/>
      <c r="G218" s="83">
        <v>7.47</v>
      </c>
    </row>
    <row r="219" spans="1:7" ht="15" customHeight="1">
      <c r="A219" s="233" t="s">
        <v>311</v>
      </c>
      <c r="B219" s="198"/>
      <c r="C219" s="78" t="s">
        <v>4</v>
      </c>
      <c r="D219" s="78" t="s">
        <v>290</v>
      </c>
      <c r="E219" s="78" t="s">
        <v>291</v>
      </c>
      <c r="F219" s="78" t="s">
        <v>292</v>
      </c>
      <c r="G219" s="78" t="s">
        <v>293</v>
      </c>
    </row>
    <row r="220" spans="1:7" ht="28.5" customHeight="1">
      <c r="A220" s="79" t="s">
        <v>451</v>
      </c>
      <c r="B220" s="80" t="s">
        <v>452</v>
      </c>
      <c r="C220" s="79" t="s">
        <v>14</v>
      </c>
      <c r="D220" s="79" t="s">
        <v>23</v>
      </c>
      <c r="E220" s="81">
        <v>3.067309E-2</v>
      </c>
      <c r="F220" s="82">
        <v>700.28</v>
      </c>
      <c r="G220" s="82">
        <v>21.47</v>
      </c>
    </row>
    <row r="221" spans="1:7" ht="15" customHeight="1">
      <c r="A221" s="1"/>
      <c r="B221" s="1"/>
      <c r="C221" s="1"/>
      <c r="D221" s="1"/>
      <c r="E221" s="234" t="s">
        <v>314</v>
      </c>
      <c r="F221" s="198"/>
      <c r="G221" s="83">
        <v>21.47</v>
      </c>
    </row>
    <row r="222" spans="1:7" ht="15" customHeight="1">
      <c r="A222" s="1"/>
      <c r="B222" s="1"/>
      <c r="C222" s="1"/>
      <c r="D222" s="1"/>
      <c r="E222" s="230" t="s">
        <v>315</v>
      </c>
      <c r="F222" s="198"/>
      <c r="G222" s="4">
        <v>32.880000000000003</v>
      </c>
    </row>
    <row r="223" spans="1:7" ht="9.75" customHeight="1">
      <c r="A223" s="1"/>
      <c r="B223" s="1"/>
      <c r="C223" s="1"/>
      <c r="D223" s="1"/>
      <c r="E223" s="231"/>
      <c r="F223" s="210"/>
      <c r="G223" s="210"/>
    </row>
    <row r="224" spans="1:7" ht="19.5" customHeight="1">
      <c r="A224" s="232" t="s">
        <v>453</v>
      </c>
      <c r="B224" s="197"/>
      <c r="C224" s="197"/>
      <c r="D224" s="197"/>
      <c r="E224" s="197"/>
      <c r="F224" s="197"/>
      <c r="G224" s="198"/>
    </row>
    <row r="225" spans="1:7" ht="15" customHeight="1">
      <c r="A225" s="233" t="s">
        <v>289</v>
      </c>
      <c r="B225" s="198"/>
      <c r="C225" s="78" t="s">
        <v>4</v>
      </c>
      <c r="D225" s="78" t="s">
        <v>290</v>
      </c>
      <c r="E225" s="78" t="s">
        <v>291</v>
      </c>
      <c r="F225" s="78" t="s">
        <v>292</v>
      </c>
      <c r="G225" s="78" t="s">
        <v>293</v>
      </c>
    </row>
    <row r="226" spans="1:7" ht="15" customHeight="1">
      <c r="A226" s="79" t="s">
        <v>454</v>
      </c>
      <c r="B226" s="80" t="s">
        <v>455</v>
      </c>
      <c r="C226" s="79" t="s">
        <v>14</v>
      </c>
      <c r="D226" s="79" t="s">
        <v>298</v>
      </c>
      <c r="E226" s="81">
        <v>9.1300000000000008</v>
      </c>
      <c r="F226" s="82">
        <v>2.52</v>
      </c>
      <c r="G226" s="82">
        <v>23</v>
      </c>
    </row>
    <row r="227" spans="1:7" ht="28.5" customHeight="1">
      <c r="A227" s="79" t="s">
        <v>456</v>
      </c>
      <c r="B227" s="80" t="s">
        <v>457</v>
      </c>
      <c r="C227" s="79" t="s">
        <v>14</v>
      </c>
      <c r="D227" s="79" t="s">
        <v>15</v>
      </c>
      <c r="E227" s="81">
        <v>1.1544000000000001</v>
      </c>
      <c r="F227" s="82">
        <v>79.900000000000006</v>
      </c>
      <c r="G227" s="82">
        <v>92.23</v>
      </c>
    </row>
    <row r="228" spans="1:7" ht="15" customHeight="1">
      <c r="A228" s="79" t="s">
        <v>458</v>
      </c>
      <c r="B228" s="80" t="s">
        <v>459</v>
      </c>
      <c r="C228" s="79" t="s">
        <v>14</v>
      </c>
      <c r="D228" s="79" t="s">
        <v>298</v>
      </c>
      <c r="E228" s="81">
        <v>0.106</v>
      </c>
      <c r="F228" s="82">
        <v>4.8099999999999996</v>
      </c>
      <c r="G228" s="82">
        <v>0.5</v>
      </c>
    </row>
    <row r="229" spans="1:7" ht="15" customHeight="1">
      <c r="A229" s="1"/>
      <c r="B229" s="1"/>
      <c r="C229" s="1"/>
      <c r="D229" s="1"/>
      <c r="E229" s="234" t="s">
        <v>303</v>
      </c>
      <c r="F229" s="198"/>
      <c r="G229" s="83">
        <v>115.73</v>
      </c>
    </row>
    <row r="230" spans="1:7" ht="15" customHeight="1">
      <c r="A230" s="233" t="s">
        <v>304</v>
      </c>
      <c r="B230" s="198"/>
      <c r="C230" s="78" t="s">
        <v>4</v>
      </c>
      <c r="D230" s="78" t="s">
        <v>290</v>
      </c>
      <c r="E230" s="78" t="s">
        <v>291</v>
      </c>
      <c r="F230" s="78" t="s">
        <v>292</v>
      </c>
      <c r="G230" s="78" t="s">
        <v>293</v>
      </c>
    </row>
    <row r="231" spans="1:7" ht="21" customHeight="1">
      <c r="A231" s="79" t="s">
        <v>460</v>
      </c>
      <c r="B231" s="80" t="s">
        <v>461</v>
      </c>
      <c r="C231" s="79" t="s">
        <v>14</v>
      </c>
      <c r="D231" s="79" t="s">
        <v>307</v>
      </c>
      <c r="E231" s="81">
        <v>1.1700136699999999</v>
      </c>
      <c r="F231" s="82">
        <v>25.22</v>
      </c>
      <c r="G231" s="82">
        <v>29.5</v>
      </c>
    </row>
    <row r="232" spans="1:7" ht="15" customHeight="1">
      <c r="A232" s="79" t="s">
        <v>308</v>
      </c>
      <c r="B232" s="80" t="s">
        <v>309</v>
      </c>
      <c r="C232" s="79" t="s">
        <v>14</v>
      </c>
      <c r="D232" s="79" t="s">
        <v>307</v>
      </c>
      <c r="E232" s="81">
        <v>0.25395743999999998</v>
      </c>
      <c r="F232" s="82">
        <v>19.97</v>
      </c>
      <c r="G232" s="82">
        <v>5.07</v>
      </c>
    </row>
    <row r="233" spans="1:7" ht="18" customHeight="1">
      <c r="A233" s="1"/>
      <c r="B233" s="1"/>
      <c r="C233" s="1"/>
      <c r="D233" s="1"/>
      <c r="E233" s="234" t="s">
        <v>310</v>
      </c>
      <c r="F233" s="198"/>
      <c r="G233" s="83">
        <v>34.57</v>
      </c>
    </row>
    <row r="234" spans="1:7" ht="15" customHeight="1">
      <c r="A234" s="1"/>
      <c r="B234" s="1"/>
      <c r="C234" s="1"/>
      <c r="D234" s="1"/>
      <c r="E234" s="230" t="s">
        <v>315</v>
      </c>
      <c r="F234" s="198"/>
      <c r="G234" s="4">
        <v>150.30000000000001</v>
      </c>
    </row>
    <row r="235" spans="1:7" ht="9.75" customHeight="1">
      <c r="A235" s="1"/>
      <c r="B235" s="1"/>
      <c r="C235" s="1"/>
      <c r="D235" s="1"/>
      <c r="E235" s="231"/>
      <c r="F235" s="210"/>
      <c r="G235" s="210"/>
    </row>
    <row r="236" spans="1:7" ht="27" customHeight="1">
      <c r="A236" s="232" t="s">
        <v>462</v>
      </c>
      <c r="B236" s="197"/>
      <c r="C236" s="197"/>
      <c r="D236" s="197"/>
      <c r="E236" s="197"/>
      <c r="F236" s="197"/>
      <c r="G236" s="198"/>
    </row>
    <row r="237" spans="1:7" ht="15" customHeight="1">
      <c r="A237" s="233" t="s">
        <v>317</v>
      </c>
      <c r="B237" s="198"/>
      <c r="C237" s="78" t="s">
        <v>4</v>
      </c>
      <c r="D237" s="78" t="s">
        <v>290</v>
      </c>
      <c r="E237" s="78" t="s">
        <v>291</v>
      </c>
      <c r="F237" s="78" t="s">
        <v>292</v>
      </c>
      <c r="G237" s="78" t="s">
        <v>293</v>
      </c>
    </row>
    <row r="238" spans="1:7" ht="37.5" customHeight="1">
      <c r="A238" s="79" t="s">
        <v>463</v>
      </c>
      <c r="B238" s="80" t="s">
        <v>464</v>
      </c>
      <c r="C238" s="79" t="s">
        <v>14</v>
      </c>
      <c r="D238" s="79" t="s">
        <v>320</v>
      </c>
      <c r="E238" s="81">
        <v>7.4134489999999997E-2</v>
      </c>
      <c r="F238" s="82">
        <v>1.49</v>
      </c>
      <c r="G238" s="82">
        <v>0.11</v>
      </c>
    </row>
    <row r="239" spans="1:7" ht="37.5" customHeight="1">
      <c r="A239" s="79" t="s">
        <v>465</v>
      </c>
      <c r="B239" s="80" t="s">
        <v>466</v>
      </c>
      <c r="C239" s="79" t="s">
        <v>14</v>
      </c>
      <c r="D239" s="79" t="s">
        <v>323</v>
      </c>
      <c r="E239" s="81">
        <v>2.4809169999999998E-2</v>
      </c>
      <c r="F239" s="82">
        <v>4.49</v>
      </c>
      <c r="G239" s="82">
        <v>0.11</v>
      </c>
    </row>
    <row r="240" spans="1:7" ht="28.5" customHeight="1">
      <c r="A240" s="79" t="s">
        <v>467</v>
      </c>
      <c r="B240" s="80" t="s">
        <v>468</v>
      </c>
      <c r="C240" s="79" t="s">
        <v>14</v>
      </c>
      <c r="D240" s="79" t="s">
        <v>320</v>
      </c>
      <c r="E240" s="81">
        <v>0.21136632</v>
      </c>
      <c r="F240" s="82">
        <v>0.54</v>
      </c>
      <c r="G240" s="82">
        <v>0.11</v>
      </c>
    </row>
    <row r="241" spans="1:7" ht="28.5" customHeight="1">
      <c r="A241" s="79" t="s">
        <v>469</v>
      </c>
      <c r="B241" s="80" t="s">
        <v>470</v>
      </c>
      <c r="C241" s="79" t="s">
        <v>14</v>
      </c>
      <c r="D241" s="79" t="s">
        <v>323</v>
      </c>
      <c r="E241" s="81">
        <v>8.8199529999999998E-2</v>
      </c>
      <c r="F241" s="82">
        <v>2.58</v>
      </c>
      <c r="G241" s="82">
        <v>0.22</v>
      </c>
    </row>
    <row r="242" spans="1:7" ht="18" customHeight="1">
      <c r="A242" s="1"/>
      <c r="B242" s="1"/>
      <c r="C242" s="1"/>
      <c r="D242" s="1"/>
      <c r="E242" s="234" t="s">
        <v>324</v>
      </c>
      <c r="F242" s="198"/>
      <c r="G242" s="83">
        <v>0.55000000000000004</v>
      </c>
    </row>
    <row r="243" spans="1:7" ht="15" customHeight="1">
      <c r="A243" s="233" t="s">
        <v>289</v>
      </c>
      <c r="B243" s="198"/>
      <c r="C243" s="78" t="s">
        <v>4</v>
      </c>
      <c r="D243" s="78" t="s">
        <v>290</v>
      </c>
      <c r="E243" s="78" t="s">
        <v>291</v>
      </c>
      <c r="F243" s="78" t="s">
        <v>292</v>
      </c>
      <c r="G243" s="78" t="s">
        <v>293</v>
      </c>
    </row>
    <row r="244" spans="1:7" ht="15" customHeight="1">
      <c r="A244" s="79" t="s">
        <v>471</v>
      </c>
      <c r="B244" s="80" t="s">
        <v>472</v>
      </c>
      <c r="C244" s="79" t="s">
        <v>14</v>
      </c>
      <c r="D244" s="79" t="s">
        <v>335</v>
      </c>
      <c r="E244" s="81">
        <v>1.2500000000000001E-2</v>
      </c>
      <c r="F244" s="82">
        <v>20.350000000000001</v>
      </c>
      <c r="G244" s="82">
        <v>0.25</v>
      </c>
    </row>
    <row r="245" spans="1:7" ht="21" customHeight="1">
      <c r="A245" s="79" t="s">
        <v>473</v>
      </c>
      <c r="B245" s="80" t="s">
        <v>474</v>
      </c>
      <c r="C245" s="79" t="s">
        <v>14</v>
      </c>
      <c r="D245" s="79" t="s">
        <v>298</v>
      </c>
      <c r="E245" s="81">
        <v>10</v>
      </c>
      <c r="F245" s="82">
        <v>3.64</v>
      </c>
      <c r="G245" s="82">
        <v>36.4</v>
      </c>
    </row>
    <row r="246" spans="1:7" ht="28.5" customHeight="1">
      <c r="A246" s="79" t="s">
        <v>475</v>
      </c>
      <c r="B246" s="80" t="s">
        <v>476</v>
      </c>
      <c r="C246" s="79" t="s">
        <v>14</v>
      </c>
      <c r="D246" s="79" t="s">
        <v>298</v>
      </c>
      <c r="E246" s="81">
        <v>20</v>
      </c>
      <c r="F246" s="82">
        <v>0.61</v>
      </c>
      <c r="G246" s="82">
        <v>12.2</v>
      </c>
    </row>
    <row r="247" spans="1:7" ht="21" customHeight="1">
      <c r="A247" s="79" t="s">
        <v>477</v>
      </c>
      <c r="B247" s="80" t="s">
        <v>478</v>
      </c>
      <c r="C247" s="79" t="s">
        <v>14</v>
      </c>
      <c r="D247" s="79" t="s">
        <v>19</v>
      </c>
      <c r="E247" s="81">
        <v>1.67</v>
      </c>
      <c r="F247" s="82">
        <v>1.26</v>
      </c>
      <c r="G247" s="82">
        <v>2.1</v>
      </c>
    </row>
    <row r="248" spans="1:7" ht="15" customHeight="1">
      <c r="A248" s="79" t="s">
        <v>479</v>
      </c>
      <c r="B248" s="80" t="s">
        <v>480</v>
      </c>
      <c r="C248" s="79" t="s">
        <v>14</v>
      </c>
      <c r="D248" s="79" t="s">
        <v>335</v>
      </c>
      <c r="E248" s="81">
        <v>0.04</v>
      </c>
      <c r="F248" s="82">
        <v>9.17</v>
      </c>
      <c r="G248" s="82">
        <v>0.36</v>
      </c>
    </row>
    <row r="249" spans="1:7" ht="15" customHeight="1">
      <c r="A249" s="1"/>
      <c r="B249" s="1"/>
      <c r="C249" s="1"/>
      <c r="D249" s="1"/>
      <c r="E249" s="234" t="s">
        <v>303</v>
      </c>
      <c r="F249" s="198"/>
      <c r="G249" s="83">
        <v>51.31</v>
      </c>
    </row>
    <row r="250" spans="1:7" ht="15" customHeight="1">
      <c r="A250" s="233" t="s">
        <v>304</v>
      </c>
      <c r="B250" s="198"/>
      <c r="C250" s="78" t="s">
        <v>4</v>
      </c>
      <c r="D250" s="78" t="s">
        <v>290</v>
      </c>
      <c r="E250" s="78" t="s">
        <v>291</v>
      </c>
      <c r="F250" s="78" t="s">
        <v>292</v>
      </c>
      <c r="G250" s="78" t="s">
        <v>293</v>
      </c>
    </row>
    <row r="251" spans="1:7" ht="21" customHeight="1">
      <c r="A251" s="79" t="s">
        <v>481</v>
      </c>
      <c r="B251" s="80" t="s">
        <v>482</v>
      </c>
      <c r="C251" s="79" t="s">
        <v>14</v>
      </c>
      <c r="D251" s="79" t="s">
        <v>307</v>
      </c>
      <c r="E251" s="81">
        <v>1.06971876</v>
      </c>
      <c r="F251" s="82">
        <v>25.22</v>
      </c>
      <c r="G251" s="82">
        <v>26.97</v>
      </c>
    </row>
    <row r="252" spans="1:7" ht="15" customHeight="1">
      <c r="A252" s="79" t="s">
        <v>308</v>
      </c>
      <c r="B252" s="80" t="s">
        <v>309</v>
      </c>
      <c r="C252" s="79" t="s">
        <v>14</v>
      </c>
      <c r="D252" s="79" t="s">
        <v>307</v>
      </c>
      <c r="E252" s="81">
        <v>0.48563464000000001</v>
      </c>
      <c r="F252" s="82">
        <v>19.97</v>
      </c>
      <c r="G252" s="82">
        <v>9.69</v>
      </c>
    </row>
    <row r="253" spans="1:7" ht="18" customHeight="1">
      <c r="A253" s="1"/>
      <c r="B253" s="1"/>
      <c r="C253" s="1"/>
      <c r="D253" s="1"/>
      <c r="E253" s="234" t="s">
        <v>310</v>
      </c>
      <c r="F253" s="198"/>
      <c r="G253" s="83">
        <v>36.659999999999997</v>
      </c>
    </row>
    <row r="254" spans="1:7" ht="15" customHeight="1">
      <c r="A254" s="1"/>
      <c r="B254" s="1"/>
      <c r="C254" s="1"/>
      <c r="D254" s="1"/>
      <c r="E254" s="230" t="s">
        <v>315</v>
      </c>
      <c r="F254" s="198"/>
      <c r="G254" s="4">
        <v>88.52</v>
      </c>
    </row>
    <row r="255" spans="1:7" ht="9.75" customHeight="1">
      <c r="A255" s="1"/>
      <c r="B255" s="1"/>
      <c r="C255" s="1"/>
      <c r="D255" s="1"/>
      <c r="E255" s="231"/>
      <c r="F255" s="210"/>
      <c r="G255" s="210"/>
    </row>
    <row r="256" spans="1:7" ht="19.5" customHeight="1">
      <c r="A256" s="232" t="s">
        <v>483</v>
      </c>
      <c r="B256" s="197"/>
      <c r="C256" s="197"/>
      <c r="D256" s="197"/>
      <c r="E256" s="197"/>
      <c r="F256" s="197"/>
      <c r="G256" s="198"/>
    </row>
    <row r="257" spans="1:7" ht="15" customHeight="1">
      <c r="A257" s="233" t="s">
        <v>317</v>
      </c>
      <c r="B257" s="198"/>
      <c r="C257" s="78" t="s">
        <v>4</v>
      </c>
      <c r="D257" s="78" t="s">
        <v>290</v>
      </c>
      <c r="E257" s="78" t="s">
        <v>291</v>
      </c>
      <c r="F257" s="78" t="s">
        <v>292</v>
      </c>
      <c r="G257" s="78" t="s">
        <v>293</v>
      </c>
    </row>
    <row r="258" spans="1:7" ht="37.5" customHeight="1">
      <c r="A258" s="79" t="s">
        <v>484</v>
      </c>
      <c r="B258" s="80" t="s">
        <v>485</v>
      </c>
      <c r="C258" s="79" t="s">
        <v>14</v>
      </c>
      <c r="D258" s="79" t="s">
        <v>320</v>
      </c>
      <c r="E258" s="81">
        <v>4.9966169999999997E-2</v>
      </c>
      <c r="F258" s="82">
        <v>8.77</v>
      </c>
      <c r="G258" s="82">
        <v>0.43</v>
      </c>
    </row>
    <row r="259" spans="1:7" ht="37.5" customHeight="1">
      <c r="A259" s="79" t="s">
        <v>486</v>
      </c>
      <c r="B259" s="80" t="s">
        <v>487</v>
      </c>
      <c r="C259" s="79" t="s">
        <v>14</v>
      </c>
      <c r="D259" s="79" t="s">
        <v>323</v>
      </c>
      <c r="E259" s="81">
        <v>1.1849600000000001E-3</v>
      </c>
      <c r="F259" s="82">
        <v>31.48</v>
      </c>
      <c r="G259" s="82">
        <v>0.03</v>
      </c>
    </row>
    <row r="260" spans="1:7" ht="18" customHeight="1">
      <c r="A260" s="1"/>
      <c r="B260" s="1"/>
      <c r="C260" s="1"/>
      <c r="D260" s="1"/>
      <c r="E260" s="234" t="s">
        <v>324</v>
      </c>
      <c r="F260" s="198"/>
      <c r="G260" s="83">
        <v>0.46</v>
      </c>
    </row>
    <row r="261" spans="1:7" ht="15" customHeight="1">
      <c r="A261" s="233" t="s">
        <v>304</v>
      </c>
      <c r="B261" s="198"/>
      <c r="C261" s="78" t="s">
        <v>4</v>
      </c>
      <c r="D261" s="78" t="s">
        <v>290</v>
      </c>
      <c r="E261" s="78" t="s">
        <v>291</v>
      </c>
      <c r="F261" s="78" t="s">
        <v>292</v>
      </c>
      <c r="G261" s="78" t="s">
        <v>293</v>
      </c>
    </row>
    <row r="262" spans="1:7" ht="15" customHeight="1">
      <c r="A262" s="79" t="s">
        <v>349</v>
      </c>
      <c r="B262" s="80" t="s">
        <v>350</v>
      </c>
      <c r="C262" s="79" t="s">
        <v>14</v>
      </c>
      <c r="D262" s="79" t="s">
        <v>307</v>
      </c>
      <c r="E262" s="81">
        <v>5.1151139999999998E-2</v>
      </c>
      <c r="F262" s="82">
        <v>25.37</v>
      </c>
      <c r="G262" s="82">
        <v>1.29</v>
      </c>
    </row>
    <row r="263" spans="1:7" ht="15" customHeight="1">
      <c r="A263" s="79" t="s">
        <v>308</v>
      </c>
      <c r="B263" s="80" t="s">
        <v>309</v>
      </c>
      <c r="C263" s="79" t="s">
        <v>14</v>
      </c>
      <c r="D263" s="79" t="s">
        <v>307</v>
      </c>
      <c r="E263" s="81">
        <v>1.9156989999999999E-2</v>
      </c>
      <c r="F263" s="82">
        <v>19.97</v>
      </c>
      <c r="G263" s="82">
        <v>0.38</v>
      </c>
    </row>
    <row r="264" spans="1:7" ht="18" customHeight="1">
      <c r="A264" s="1"/>
      <c r="B264" s="1"/>
      <c r="C264" s="1"/>
      <c r="D264" s="1"/>
      <c r="E264" s="234" t="s">
        <v>310</v>
      </c>
      <c r="F264" s="198"/>
      <c r="G264" s="83">
        <v>1.67</v>
      </c>
    </row>
    <row r="265" spans="1:7" ht="15" customHeight="1">
      <c r="A265" s="233" t="s">
        <v>311</v>
      </c>
      <c r="B265" s="198"/>
      <c r="C265" s="78" t="s">
        <v>4</v>
      </c>
      <c r="D265" s="78" t="s">
        <v>290</v>
      </c>
      <c r="E265" s="78" t="s">
        <v>291</v>
      </c>
      <c r="F265" s="78" t="s">
        <v>292</v>
      </c>
      <c r="G265" s="78" t="s">
        <v>293</v>
      </c>
    </row>
    <row r="266" spans="1:7" ht="28.5" customHeight="1">
      <c r="A266" s="79" t="s">
        <v>488</v>
      </c>
      <c r="B266" s="80" t="s">
        <v>489</v>
      </c>
      <c r="C266" s="79" t="s">
        <v>14</v>
      </c>
      <c r="D266" s="79" t="s">
        <v>23</v>
      </c>
      <c r="E266" s="81">
        <v>4.1473899999999999E-3</v>
      </c>
      <c r="F266" s="82">
        <v>628.13</v>
      </c>
      <c r="G266" s="82">
        <v>2.6</v>
      </c>
    </row>
    <row r="267" spans="1:7" ht="15" customHeight="1">
      <c r="A267" s="1"/>
      <c r="B267" s="1"/>
      <c r="C267" s="1"/>
      <c r="D267" s="1"/>
      <c r="E267" s="234" t="s">
        <v>314</v>
      </c>
      <c r="F267" s="198"/>
      <c r="G267" s="83">
        <v>2.6</v>
      </c>
    </row>
    <row r="268" spans="1:7" ht="15" customHeight="1">
      <c r="A268" s="1"/>
      <c r="B268" s="1"/>
      <c r="C268" s="1"/>
      <c r="D268" s="1"/>
      <c r="E268" s="230" t="s">
        <v>315</v>
      </c>
      <c r="F268" s="198"/>
      <c r="G268" s="4">
        <v>4.7300000000000004</v>
      </c>
    </row>
    <row r="269" spans="1:7" ht="9.75" customHeight="1">
      <c r="A269" s="1"/>
      <c r="B269" s="1"/>
      <c r="C269" s="1"/>
      <c r="D269" s="1"/>
      <c r="E269" s="231"/>
      <c r="F269" s="210"/>
      <c r="G269" s="210"/>
    </row>
    <row r="270" spans="1:7" ht="19.5" customHeight="1">
      <c r="A270" s="232" t="s">
        <v>490</v>
      </c>
      <c r="B270" s="197"/>
      <c r="C270" s="197"/>
      <c r="D270" s="197"/>
      <c r="E270" s="197"/>
      <c r="F270" s="197"/>
      <c r="G270" s="198"/>
    </row>
    <row r="271" spans="1:7" ht="15" customHeight="1">
      <c r="A271" s="233" t="s">
        <v>304</v>
      </c>
      <c r="B271" s="198"/>
      <c r="C271" s="78" t="s">
        <v>4</v>
      </c>
      <c r="D271" s="78" t="s">
        <v>290</v>
      </c>
      <c r="E271" s="78" t="s">
        <v>291</v>
      </c>
      <c r="F271" s="78" t="s">
        <v>292</v>
      </c>
      <c r="G271" s="78" t="s">
        <v>293</v>
      </c>
    </row>
    <row r="272" spans="1:7" ht="15" customHeight="1">
      <c r="A272" s="79" t="s">
        <v>349</v>
      </c>
      <c r="B272" s="80" t="s">
        <v>350</v>
      </c>
      <c r="C272" s="79" t="s">
        <v>14</v>
      </c>
      <c r="D272" s="79" t="s">
        <v>307</v>
      </c>
      <c r="E272" s="81">
        <v>0.54312044999999998</v>
      </c>
      <c r="F272" s="82">
        <v>25.37</v>
      </c>
      <c r="G272" s="82">
        <v>13.77</v>
      </c>
    </row>
    <row r="273" spans="1:7" ht="15" customHeight="1">
      <c r="A273" s="79" t="s">
        <v>308</v>
      </c>
      <c r="B273" s="80" t="s">
        <v>309</v>
      </c>
      <c r="C273" s="79" t="s">
        <v>14</v>
      </c>
      <c r="D273" s="79" t="s">
        <v>307</v>
      </c>
      <c r="E273" s="81">
        <v>0.27136314</v>
      </c>
      <c r="F273" s="82">
        <v>19.97</v>
      </c>
      <c r="G273" s="82">
        <v>5.41</v>
      </c>
    </row>
    <row r="274" spans="1:7" ht="18" customHeight="1">
      <c r="A274" s="1"/>
      <c r="B274" s="1"/>
      <c r="C274" s="1"/>
      <c r="D274" s="1"/>
      <c r="E274" s="234" t="s">
        <v>310</v>
      </c>
      <c r="F274" s="198"/>
      <c r="G274" s="83">
        <v>19.18</v>
      </c>
    </row>
    <row r="275" spans="1:7" ht="15" customHeight="1">
      <c r="A275" s="233" t="s">
        <v>311</v>
      </c>
      <c r="B275" s="198"/>
      <c r="C275" s="78" t="s">
        <v>4</v>
      </c>
      <c r="D275" s="78" t="s">
        <v>290</v>
      </c>
      <c r="E275" s="78" t="s">
        <v>291</v>
      </c>
      <c r="F275" s="78" t="s">
        <v>292</v>
      </c>
      <c r="G275" s="78" t="s">
        <v>293</v>
      </c>
    </row>
    <row r="276" spans="1:7" ht="37.5" customHeight="1">
      <c r="A276" s="79" t="s">
        <v>363</v>
      </c>
      <c r="B276" s="80" t="s">
        <v>364</v>
      </c>
      <c r="C276" s="79" t="s">
        <v>14</v>
      </c>
      <c r="D276" s="79" t="s">
        <v>23</v>
      </c>
      <c r="E276" s="81">
        <v>2.992179E-2</v>
      </c>
      <c r="F276" s="82">
        <v>676.74</v>
      </c>
      <c r="G276" s="82">
        <v>20.239999999999998</v>
      </c>
    </row>
    <row r="277" spans="1:7" ht="15" customHeight="1">
      <c r="A277" s="1"/>
      <c r="B277" s="1"/>
      <c r="C277" s="1"/>
      <c r="D277" s="1"/>
      <c r="E277" s="234" t="s">
        <v>314</v>
      </c>
      <c r="F277" s="198"/>
      <c r="G277" s="83">
        <v>20.239999999999998</v>
      </c>
    </row>
    <row r="278" spans="1:7" ht="15" customHeight="1">
      <c r="A278" s="1"/>
      <c r="B278" s="1"/>
      <c r="C278" s="1"/>
      <c r="D278" s="1"/>
      <c r="E278" s="230" t="s">
        <v>315</v>
      </c>
      <c r="F278" s="198"/>
      <c r="G278" s="4">
        <v>39.42</v>
      </c>
    </row>
    <row r="279" spans="1:7" ht="9.75" customHeight="1">
      <c r="A279" s="1"/>
      <c r="B279" s="1"/>
      <c r="C279" s="1"/>
      <c r="D279" s="1"/>
      <c r="E279" s="231"/>
      <c r="F279" s="210"/>
      <c r="G279" s="210"/>
    </row>
    <row r="280" spans="1:7" ht="19.5" customHeight="1">
      <c r="A280" s="232" t="s">
        <v>491</v>
      </c>
      <c r="B280" s="197"/>
      <c r="C280" s="197"/>
      <c r="D280" s="197"/>
      <c r="E280" s="197"/>
      <c r="F280" s="197"/>
      <c r="G280" s="198"/>
    </row>
    <row r="281" spans="1:7" ht="15" customHeight="1">
      <c r="A281" s="233" t="s">
        <v>289</v>
      </c>
      <c r="B281" s="198"/>
      <c r="C281" s="78" t="s">
        <v>4</v>
      </c>
      <c r="D281" s="78" t="s">
        <v>290</v>
      </c>
      <c r="E281" s="78" t="s">
        <v>291</v>
      </c>
      <c r="F281" s="78" t="s">
        <v>292</v>
      </c>
      <c r="G281" s="78" t="s">
        <v>293</v>
      </c>
    </row>
    <row r="282" spans="1:7" ht="15" customHeight="1">
      <c r="A282" s="79" t="s">
        <v>492</v>
      </c>
      <c r="B282" s="80" t="s">
        <v>493</v>
      </c>
      <c r="C282" s="79" t="s">
        <v>14</v>
      </c>
      <c r="D282" s="79" t="s">
        <v>298</v>
      </c>
      <c r="E282" s="81">
        <v>6.85</v>
      </c>
      <c r="F282" s="82">
        <v>0.82</v>
      </c>
      <c r="G282" s="82">
        <v>5.61</v>
      </c>
    </row>
    <row r="283" spans="1:7" ht="15" customHeight="1">
      <c r="A283" s="79" t="s">
        <v>458</v>
      </c>
      <c r="B283" s="80" t="s">
        <v>459</v>
      </c>
      <c r="C283" s="79" t="s">
        <v>14</v>
      </c>
      <c r="D283" s="79" t="s">
        <v>298</v>
      </c>
      <c r="E283" s="81">
        <v>0.14099999999999999</v>
      </c>
      <c r="F283" s="82">
        <v>4.8099999999999996</v>
      </c>
      <c r="G283" s="82">
        <v>0.67</v>
      </c>
    </row>
    <row r="284" spans="1:7" ht="21" customHeight="1">
      <c r="A284" s="79" t="s">
        <v>494</v>
      </c>
      <c r="B284" s="80" t="s">
        <v>495</v>
      </c>
      <c r="C284" s="79" t="s">
        <v>14</v>
      </c>
      <c r="D284" s="79" t="s">
        <v>15</v>
      </c>
      <c r="E284" s="81">
        <v>1.0764</v>
      </c>
      <c r="F284" s="82">
        <v>63.97</v>
      </c>
      <c r="G284" s="82">
        <v>68.849999999999994</v>
      </c>
    </row>
    <row r="285" spans="1:7" ht="15" customHeight="1">
      <c r="A285" s="1"/>
      <c r="B285" s="1"/>
      <c r="C285" s="1"/>
      <c r="D285" s="1"/>
      <c r="E285" s="234" t="s">
        <v>303</v>
      </c>
      <c r="F285" s="198"/>
      <c r="G285" s="83">
        <v>75.13</v>
      </c>
    </row>
    <row r="286" spans="1:7" ht="15" customHeight="1">
      <c r="A286" s="233" t="s">
        <v>304</v>
      </c>
      <c r="B286" s="198"/>
      <c r="C286" s="78" t="s">
        <v>4</v>
      </c>
      <c r="D286" s="78" t="s">
        <v>290</v>
      </c>
      <c r="E286" s="78" t="s">
        <v>291</v>
      </c>
      <c r="F286" s="78" t="s">
        <v>292</v>
      </c>
      <c r="G286" s="78" t="s">
        <v>293</v>
      </c>
    </row>
    <row r="287" spans="1:7" ht="21" customHeight="1">
      <c r="A287" s="79" t="s">
        <v>460</v>
      </c>
      <c r="B287" s="80" t="s">
        <v>461</v>
      </c>
      <c r="C287" s="79" t="s">
        <v>14</v>
      </c>
      <c r="D287" s="79" t="s">
        <v>307</v>
      </c>
      <c r="E287" s="81">
        <v>0.75720228000000001</v>
      </c>
      <c r="F287" s="82">
        <v>25.22</v>
      </c>
      <c r="G287" s="82">
        <v>19.09</v>
      </c>
    </row>
    <row r="288" spans="1:7" ht="15" customHeight="1">
      <c r="A288" s="79" t="s">
        <v>308</v>
      </c>
      <c r="B288" s="80" t="s">
        <v>309</v>
      </c>
      <c r="C288" s="79" t="s">
        <v>14</v>
      </c>
      <c r="D288" s="79" t="s">
        <v>307</v>
      </c>
      <c r="E288" s="81">
        <v>0.32725198</v>
      </c>
      <c r="F288" s="82">
        <v>19.97</v>
      </c>
      <c r="G288" s="82">
        <v>6.53</v>
      </c>
    </row>
    <row r="289" spans="1:7" ht="18" customHeight="1">
      <c r="A289" s="1"/>
      <c r="B289" s="1"/>
      <c r="C289" s="1"/>
      <c r="D289" s="1"/>
      <c r="E289" s="234" t="s">
        <v>310</v>
      </c>
      <c r="F289" s="198"/>
      <c r="G289" s="83">
        <v>25.62</v>
      </c>
    </row>
    <row r="290" spans="1:7" ht="15" customHeight="1">
      <c r="A290" s="1"/>
      <c r="B290" s="1"/>
      <c r="C290" s="1"/>
      <c r="D290" s="1"/>
      <c r="E290" s="230" t="s">
        <v>315</v>
      </c>
      <c r="F290" s="198"/>
      <c r="G290" s="4">
        <v>100.75</v>
      </c>
    </row>
    <row r="291" spans="1:7" ht="9.75" customHeight="1">
      <c r="A291" s="1"/>
      <c r="B291" s="1"/>
      <c r="C291" s="1"/>
      <c r="D291" s="1"/>
      <c r="E291" s="231"/>
      <c r="F291" s="210"/>
      <c r="G291" s="210"/>
    </row>
    <row r="292" spans="1:7" ht="19.5" customHeight="1">
      <c r="A292" s="232" t="s">
        <v>496</v>
      </c>
      <c r="B292" s="197"/>
      <c r="C292" s="197"/>
      <c r="D292" s="197"/>
      <c r="E292" s="197"/>
      <c r="F292" s="197"/>
      <c r="G292" s="198"/>
    </row>
    <row r="293" spans="1:7" ht="15" customHeight="1">
      <c r="A293" s="233" t="s">
        <v>289</v>
      </c>
      <c r="B293" s="198"/>
      <c r="C293" s="78" t="s">
        <v>4</v>
      </c>
      <c r="D293" s="78" t="s">
        <v>290</v>
      </c>
      <c r="E293" s="78" t="s">
        <v>291</v>
      </c>
      <c r="F293" s="78" t="s">
        <v>292</v>
      </c>
      <c r="G293" s="78" t="s">
        <v>293</v>
      </c>
    </row>
    <row r="294" spans="1:7" ht="15" customHeight="1">
      <c r="A294" s="79" t="s">
        <v>479</v>
      </c>
      <c r="B294" s="80" t="s">
        <v>480</v>
      </c>
      <c r="C294" s="79" t="s">
        <v>14</v>
      </c>
      <c r="D294" s="79" t="s">
        <v>335</v>
      </c>
      <c r="E294" s="81">
        <v>0.1666</v>
      </c>
      <c r="F294" s="82">
        <v>9.17</v>
      </c>
      <c r="G294" s="82">
        <v>1.52</v>
      </c>
    </row>
    <row r="295" spans="1:7" ht="15" customHeight="1">
      <c r="A295" s="1"/>
      <c r="B295" s="1"/>
      <c r="C295" s="1"/>
      <c r="D295" s="1"/>
      <c r="E295" s="234" t="s">
        <v>303</v>
      </c>
      <c r="F295" s="198"/>
      <c r="G295" s="83">
        <v>1.52</v>
      </c>
    </row>
    <row r="296" spans="1:7" ht="15" customHeight="1">
      <c r="A296" s="233" t="s">
        <v>304</v>
      </c>
      <c r="B296" s="198"/>
      <c r="C296" s="78" t="s">
        <v>4</v>
      </c>
      <c r="D296" s="78" t="s">
        <v>290</v>
      </c>
      <c r="E296" s="78" t="s">
        <v>291</v>
      </c>
      <c r="F296" s="78" t="s">
        <v>292</v>
      </c>
      <c r="G296" s="78" t="s">
        <v>293</v>
      </c>
    </row>
    <row r="297" spans="1:7" ht="15" customHeight="1">
      <c r="A297" s="79" t="s">
        <v>497</v>
      </c>
      <c r="B297" s="80" t="s">
        <v>498</v>
      </c>
      <c r="C297" s="79" t="s">
        <v>14</v>
      </c>
      <c r="D297" s="79" t="s">
        <v>307</v>
      </c>
      <c r="E297" s="81">
        <v>6.5326759999999998E-2</v>
      </c>
      <c r="F297" s="82">
        <v>26.45</v>
      </c>
      <c r="G297" s="82">
        <v>1.72</v>
      </c>
    </row>
    <row r="298" spans="1:7" ht="15" customHeight="1">
      <c r="A298" s="79" t="s">
        <v>308</v>
      </c>
      <c r="B298" s="80" t="s">
        <v>309</v>
      </c>
      <c r="C298" s="79" t="s">
        <v>14</v>
      </c>
      <c r="D298" s="79" t="s">
        <v>307</v>
      </c>
      <c r="E298" s="81">
        <v>2.1901609999999998E-2</v>
      </c>
      <c r="F298" s="82">
        <v>19.97</v>
      </c>
      <c r="G298" s="82">
        <v>0.43</v>
      </c>
    </row>
    <row r="299" spans="1:7" ht="18" customHeight="1">
      <c r="A299" s="1"/>
      <c r="B299" s="1"/>
      <c r="C299" s="1"/>
      <c r="D299" s="1"/>
      <c r="E299" s="234" t="s">
        <v>310</v>
      </c>
      <c r="F299" s="198"/>
      <c r="G299" s="83">
        <v>2.15</v>
      </c>
    </row>
    <row r="300" spans="1:7" ht="15" customHeight="1">
      <c r="A300" s="1"/>
      <c r="B300" s="1"/>
      <c r="C300" s="1"/>
      <c r="D300" s="1"/>
      <c r="E300" s="230" t="s">
        <v>315</v>
      </c>
      <c r="F300" s="198"/>
      <c r="G300" s="4">
        <v>3.67</v>
      </c>
    </row>
    <row r="301" spans="1:7" ht="9.75" customHeight="1">
      <c r="A301" s="1"/>
      <c r="B301" s="1"/>
      <c r="C301" s="1"/>
      <c r="D301" s="1"/>
      <c r="E301" s="231"/>
      <c r="F301" s="210"/>
      <c r="G301" s="210"/>
    </row>
    <row r="302" spans="1:7" ht="19.5" customHeight="1">
      <c r="A302" s="232" t="s">
        <v>499</v>
      </c>
      <c r="B302" s="197"/>
      <c r="C302" s="197"/>
      <c r="D302" s="197"/>
      <c r="E302" s="197"/>
      <c r="F302" s="197"/>
      <c r="G302" s="198"/>
    </row>
    <row r="303" spans="1:7" ht="15" customHeight="1">
      <c r="A303" s="233" t="s">
        <v>289</v>
      </c>
      <c r="B303" s="198"/>
      <c r="C303" s="78" t="s">
        <v>4</v>
      </c>
      <c r="D303" s="78" t="s">
        <v>290</v>
      </c>
      <c r="E303" s="78" t="s">
        <v>291</v>
      </c>
      <c r="F303" s="78" t="s">
        <v>292</v>
      </c>
      <c r="G303" s="78" t="s">
        <v>293</v>
      </c>
    </row>
    <row r="304" spans="1:7" ht="21" customHeight="1">
      <c r="A304" s="79" t="s">
        <v>500</v>
      </c>
      <c r="B304" s="80" t="s">
        <v>501</v>
      </c>
      <c r="C304" s="79" t="s">
        <v>14</v>
      </c>
      <c r="D304" s="79" t="s">
        <v>64</v>
      </c>
      <c r="E304" s="81">
        <v>8.0199999999999994E-2</v>
      </c>
      <c r="F304" s="82">
        <v>0.75</v>
      </c>
      <c r="G304" s="82">
        <v>0.06</v>
      </c>
    </row>
    <row r="305" spans="1:7" ht="21" customHeight="1">
      <c r="A305" s="79" t="s">
        <v>502</v>
      </c>
      <c r="B305" s="80" t="s">
        <v>503</v>
      </c>
      <c r="C305" s="79" t="s">
        <v>14</v>
      </c>
      <c r="D305" s="79" t="s">
        <v>298</v>
      </c>
      <c r="E305" s="81">
        <v>1.3389</v>
      </c>
      <c r="F305" s="82">
        <v>2.2400000000000002</v>
      </c>
      <c r="G305" s="82">
        <v>2.99</v>
      </c>
    </row>
    <row r="306" spans="1:7" ht="15" customHeight="1">
      <c r="A306" s="1"/>
      <c r="B306" s="1"/>
      <c r="C306" s="1"/>
      <c r="D306" s="1"/>
      <c r="E306" s="234" t="s">
        <v>303</v>
      </c>
      <c r="F306" s="198"/>
      <c r="G306" s="83">
        <v>3.05</v>
      </c>
    </row>
    <row r="307" spans="1:7" ht="15" customHeight="1">
      <c r="A307" s="233" t="s">
        <v>304</v>
      </c>
      <c r="B307" s="198"/>
      <c r="C307" s="78" t="s">
        <v>4</v>
      </c>
      <c r="D307" s="78" t="s">
        <v>290</v>
      </c>
      <c r="E307" s="78" t="s">
        <v>291</v>
      </c>
      <c r="F307" s="78" t="s">
        <v>292</v>
      </c>
      <c r="G307" s="78" t="s">
        <v>293</v>
      </c>
    </row>
    <row r="308" spans="1:7" ht="15" customHeight="1">
      <c r="A308" s="79" t="s">
        <v>497</v>
      </c>
      <c r="B308" s="80" t="s">
        <v>498</v>
      </c>
      <c r="C308" s="79" t="s">
        <v>14</v>
      </c>
      <c r="D308" s="79" t="s">
        <v>307</v>
      </c>
      <c r="E308" s="81">
        <v>0.35195215000000002</v>
      </c>
      <c r="F308" s="82">
        <v>26.45</v>
      </c>
      <c r="G308" s="82">
        <v>9.3000000000000007</v>
      </c>
    </row>
    <row r="309" spans="1:7" ht="15" customHeight="1">
      <c r="A309" s="79" t="s">
        <v>308</v>
      </c>
      <c r="B309" s="80" t="s">
        <v>309</v>
      </c>
      <c r="C309" s="79" t="s">
        <v>14</v>
      </c>
      <c r="D309" s="79" t="s">
        <v>307</v>
      </c>
      <c r="E309" s="81">
        <v>0.11741087</v>
      </c>
      <c r="F309" s="82">
        <v>19.97</v>
      </c>
      <c r="G309" s="82">
        <v>2.34</v>
      </c>
    </row>
    <row r="310" spans="1:7" ht="18" customHeight="1">
      <c r="A310" s="1"/>
      <c r="B310" s="1"/>
      <c r="C310" s="1"/>
      <c r="D310" s="1"/>
      <c r="E310" s="234" t="s">
        <v>310</v>
      </c>
      <c r="F310" s="198"/>
      <c r="G310" s="83">
        <v>11.64</v>
      </c>
    </row>
    <row r="311" spans="1:7" ht="15" customHeight="1">
      <c r="A311" s="1"/>
      <c r="B311" s="1"/>
      <c r="C311" s="1"/>
      <c r="D311" s="1"/>
      <c r="E311" s="230" t="s">
        <v>315</v>
      </c>
      <c r="F311" s="198"/>
      <c r="G311" s="4">
        <v>14.69</v>
      </c>
    </row>
    <row r="312" spans="1:7" ht="9.75" customHeight="1">
      <c r="A312" s="1"/>
      <c r="B312" s="1"/>
      <c r="C312" s="1"/>
      <c r="D312" s="1"/>
      <c r="E312" s="231"/>
      <c r="F312" s="210"/>
      <c r="G312" s="210"/>
    </row>
    <row r="313" spans="1:7" ht="19.5" customHeight="1">
      <c r="A313" s="232" t="s">
        <v>504</v>
      </c>
      <c r="B313" s="197"/>
      <c r="C313" s="197"/>
      <c r="D313" s="197"/>
      <c r="E313" s="197"/>
      <c r="F313" s="197"/>
      <c r="G313" s="198"/>
    </row>
    <row r="314" spans="1:7" ht="15" customHeight="1">
      <c r="A314" s="233" t="s">
        <v>289</v>
      </c>
      <c r="B314" s="198"/>
      <c r="C314" s="78" t="s">
        <v>4</v>
      </c>
      <c r="D314" s="78" t="s">
        <v>290</v>
      </c>
      <c r="E314" s="78" t="s">
        <v>291</v>
      </c>
      <c r="F314" s="78" t="s">
        <v>292</v>
      </c>
      <c r="G314" s="78" t="s">
        <v>293</v>
      </c>
    </row>
    <row r="315" spans="1:7" ht="15" customHeight="1">
      <c r="A315" s="79" t="s">
        <v>333</v>
      </c>
      <c r="B315" s="80" t="s">
        <v>334</v>
      </c>
      <c r="C315" s="79" t="s">
        <v>14</v>
      </c>
      <c r="D315" s="79" t="s">
        <v>335</v>
      </c>
      <c r="E315" s="81">
        <v>0.22850000000000001</v>
      </c>
      <c r="F315" s="82">
        <v>30.26</v>
      </c>
      <c r="G315" s="82">
        <v>6.91</v>
      </c>
    </row>
    <row r="316" spans="1:7" ht="15" customHeight="1">
      <c r="A316" s="1"/>
      <c r="B316" s="1"/>
      <c r="C316" s="1"/>
      <c r="D316" s="1"/>
      <c r="E316" s="234" t="s">
        <v>303</v>
      </c>
      <c r="F316" s="198"/>
      <c r="G316" s="83">
        <v>6.91</v>
      </c>
    </row>
    <row r="317" spans="1:7" ht="15" customHeight="1">
      <c r="A317" s="233" t="s">
        <v>304</v>
      </c>
      <c r="B317" s="198"/>
      <c r="C317" s="78" t="s">
        <v>4</v>
      </c>
      <c r="D317" s="78" t="s">
        <v>290</v>
      </c>
      <c r="E317" s="78" t="s">
        <v>291</v>
      </c>
      <c r="F317" s="78" t="s">
        <v>292</v>
      </c>
      <c r="G317" s="78" t="s">
        <v>293</v>
      </c>
    </row>
    <row r="318" spans="1:7" ht="15" customHeight="1">
      <c r="A318" s="79" t="s">
        <v>497</v>
      </c>
      <c r="B318" s="80" t="s">
        <v>498</v>
      </c>
      <c r="C318" s="79" t="s">
        <v>14</v>
      </c>
      <c r="D318" s="79" t="s">
        <v>307</v>
      </c>
      <c r="E318" s="81">
        <v>0.15953949000000001</v>
      </c>
      <c r="F318" s="82">
        <v>26.45</v>
      </c>
      <c r="G318" s="82">
        <v>4.21</v>
      </c>
    </row>
    <row r="319" spans="1:7" ht="15" customHeight="1">
      <c r="A319" s="79" t="s">
        <v>308</v>
      </c>
      <c r="B319" s="80" t="s">
        <v>309</v>
      </c>
      <c r="C319" s="79" t="s">
        <v>14</v>
      </c>
      <c r="D319" s="79" t="s">
        <v>307</v>
      </c>
      <c r="E319" s="81">
        <v>5.2837780000000001E-2</v>
      </c>
      <c r="F319" s="82">
        <v>19.97</v>
      </c>
      <c r="G319" s="82">
        <v>1.05</v>
      </c>
    </row>
    <row r="320" spans="1:7" ht="18" customHeight="1">
      <c r="A320" s="1"/>
      <c r="B320" s="1"/>
      <c r="C320" s="1"/>
      <c r="D320" s="1"/>
      <c r="E320" s="234" t="s">
        <v>310</v>
      </c>
      <c r="F320" s="198"/>
      <c r="G320" s="83">
        <v>5.26</v>
      </c>
    </row>
    <row r="321" spans="1:7" ht="15" customHeight="1">
      <c r="A321" s="1"/>
      <c r="B321" s="1"/>
      <c r="C321" s="1"/>
      <c r="D321" s="1"/>
      <c r="E321" s="230" t="s">
        <v>315</v>
      </c>
      <c r="F321" s="198"/>
      <c r="G321" s="4">
        <v>12.17</v>
      </c>
    </row>
    <row r="322" spans="1:7" ht="9.75" customHeight="1">
      <c r="A322" s="1"/>
      <c r="B322" s="1"/>
      <c r="C322" s="1"/>
      <c r="D322" s="1"/>
      <c r="E322" s="231"/>
      <c r="F322" s="210"/>
      <c r="G322" s="210"/>
    </row>
    <row r="323" spans="1:7" ht="19.5" customHeight="1">
      <c r="A323" s="232" t="s">
        <v>505</v>
      </c>
      <c r="B323" s="197"/>
      <c r="C323" s="197"/>
      <c r="D323" s="197"/>
      <c r="E323" s="197"/>
      <c r="F323" s="197"/>
      <c r="G323" s="198"/>
    </row>
    <row r="324" spans="1:7" ht="15" customHeight="1">
      <c r="A324" s="233" t="s">
        <v>289</v>
      </c>
      <c r="B324" s="198"/>
      <c r="C324" s="78" t="s">
        <v>4</v>
      </c>
      <c r="D324" s="78" t="s">
        <v>290</v>
      </c>
      <c r="E324" s="78" t="s">
        <v>291</v>
      </c>
      <c r="F324" s="78" t="s">
        <v>292</v>
      </c>
      <c r="G324" s="78" t="s">
        <v>293</v>
      </c>
    </row>
    <row r="325" spans="1:7" ht="15" customHeight="1">
      <c r="A325" s="79" t="s">
        <v>333</v>
      </c>
      <c r="B325" s="80" t="s">
        <v>334</v>
      </c>
      <c r="C325" s="79" t="s">
        <v>14</v>
      </c>
      <c r="D325" s="79" t="s">
        <v>335</v>
      </c>
      <c r="E325" s="81">
        <v>0.22850000000000001</v>
      </c>
      <c r="F325" s="82">
        <v>30.26</v>
      </c>
      <c r="G325" s="82">
        <v>6.91</v>
      </c>
    </row>
    <row r="326" spans="1:7" ht="15" customHeight="1">
      <c r="A326" s="1"/>
      <c r="B326" s="1"/>
      <c r="C326" s="1"/>
      <c r="D326" s="1"/>
      <c r="E326" s="234" t="s">
        <v>303</v>
      </c>
      <c r="F326" s="198"/>
      <c r="G326" s="83">
        <v>6.91</v>
      </c>
    </row>
    <row r="327" spans="1:7" ht="15" customHeight="1">
      <c r="A327" s="233" t="s">
        <v>304</v>
      </c>
      <c r="B327" s="198"/>
      <c r="C327" s="78" t="s">
        <v>4</v>
      </c>
      <c r="D327" s="78" t="s">
        <v>290</v>
      </c>
      <c r="E327" s="78" t="s">
        <v>291</v>
      </c>
      <c r="F327" s="78" t="s">
        <v>292</v>
      </c>
      <c r="G327" s="78" t="s">
        <v>293</v>
      </c>
    </row>
    <row r="328" spans="1:7" ht="15" customHeight="1">
      <c r="A328" s="79" t="s">
        <v>497</v>
      </c>
      <c r="B328" s="80" t="s">
        <v>498</v>
      </c>
      <c r="C328" s="79" t="s">
        <v>14</v>
      </c>
      <c r="D328" s="79" t="s">
        <v>307</v>
      </c>
      <c r="E328" s="81">
        <v>0.22180512999999999</v>
      </c>
      <c r="F328" s="82">
        <v>26.45</v>
      </c>
      <c r="G328" s="82">
        <v>5.86</v>
      </c>
    </row>
    <row r="329" spans="1:7" ht="15" customHeight="1">
      <c r="A329" s="79" t="s">
        <v>308</v>
      </c>
      <c r="B329" s="80" t="s">
        <v>309</v>
      </c>
      <c r="C329" s="79" t="s">
        <v>14</v>
      </c>
      <c r="D329" s="79" t="s">
        <v>307</v>
      </c>
      <c r="E329" s="81">
        <v>7.3967610000000003E-2</v>
      </c>
      <c r="F329" s="82">
        <v>19.97</v>
      </c>
      <c r="G329" s="82">
        <v>1.47</v>
      </c>
    </row>
    <row r="330" spans="1:7" ht="18" customHeight="1">
      <c r="A330" s="1"/>
      <c r="B330" s="1"/>
      <c r="C330" s="1"/>
      <c r="D330" s="1"/>
      <c r="E330" s="234" t="s">
        <v>310</v>
      </c>
      <c r="F330" s="198"/>
      <c r="G330" s="83">
        <v>7.33</v>
      </c>
    </row>
    <row r="331" spans="1:7" ht="15" customHeight="1">
      <c r="A331" s="1"/>
      <c r="B331" s="1"/>
      <c r="C331" s="1"/>
      <c r="D331" s="1"/>
      <c r="E331" s="230" t="s">
        <v>315</v>
      </c>
      <c r="F331" s="198"/>
      <c r="G331" s="4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</mergeCells>
  <pageMargins left="0.5" right="0.5" top="0.5" bottom="0.5" header="0" footer="0"/>
  <pageSetup paperSize="9" scale="8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4140625" defaultRowHeight="15" customHeight="1"/>
  <cols>
    <col min="1" max="1" width="9.21875" customWidth="1"/>
    <col min="2" max="2" width="34.77734375" customWidth="1"/>
    <col min="3" max="3" width="13.77734375" customWidth="1"/>
    <col min="4" max="6" width="11.77734375" customWidth="1"/>
    <col min="7" max="7" width="12.21875" customWidth="1"/>
    <col min="8" max="8" width="9.77734375" customWidth="1"/>
    <col min="9" max="26" width="8.77734375" customWidth="1"/>
  </cols>
  <sheetData>
    <row r="1" spans="1:8" ht="69.75" customHeight="1">
      <c r="A1" s="235"/>
      <c r="B1" s="223"/>
      <c r="C1" s="223"/>
      <c r="D1" s="223"/>
      <c r="E1" s="223"/>
      <c r="F1" s="223"/>
      <c r="G1" s="223"/>
      <c r="H1" s="1"/>
    </row>
    <row r="2" spans="1:8" ht="15.75" customHeight="1">
      <c r="A2" s="84" t="s">
        <v>1</v>
      </c>
      <c r="B2" s="84" t="s">
        <v>3</v>
      </c>
      <c r="C2" s="84" t="s">
        <v>506</v>
      </c>
      <c r="D2" s="84" t="s">
        <v>507</v>
      </c>
      <c r="E2" s="84" t="s">
        <v>508</v>
      </c>
      <c r="F2" s="84" t="s">
        <v>509</v>
      </c>
      <c r="G2" s="85" t="s">
        <v>510</v>
      </c>
      <c r="H2" s="1"/>
    </row>
    <row r="3" spans="1:8" ht="12" customHeight="1">
      <c r="A3" s="236" t="s">
        <v>9</v>
      </c>
      <c r="B3" s="237" t="s">
        <v>10</v>
      </c>
      <c r="C3" s="238">
        <v>7571.29</v>
      </c>
      <c r="D3" s="86">
        <v>1</v>
      </c>
      <c r="E3" s="87"/>
      <c r="F3" s="87"/>
      <c r="G3" s="88">
        <v>1</v>
      </c>
      <c r="H3" s="1"/>
    </row>
    <row r="4" spans="1:8" ht="12.75" customHeight="1">
      <c r="A4" s="192"/>
      <c r="B4" s="192"/>
      <c r="C4" s="192"/>
      <c r="D4" s="89">
        <v>7571.29</v>
      </c>
      <c r="E4" s="90"/>
      <c r="F4" s="90"/>
      <c r="G4" s="91">
        <v>7571.29</v>
      </c>
      <c r="H4" s="1"/>
    </row>
    <row r="5" spans="1:8" ht="12" customHeight="1">
      <c r="A5" s="236" t="s">
        <v>31</v>
      </c>
      <c r="B5" s="237" t="s">
        <v>32</v>
      </c>
      <c r="C5" s="238">
        <v>10522.33</v>
      </c>
      <c r="D5" s="86">
        <v>1</v>
      </c>
      <c r="E5" s="87"/>
      <c r="F5" s="87"/>
      <c r="G5" s="88">
        <v>1</v>
      </c>
      <c r="H5" s="1"/>
    </row>
    <row r="6" spans="1:8" ht="12.75" customHeight="1">
      <c r="A6" s="192"/>
      <c r="B6" s="192"/>
      <c r="C6" s="192"/>
      <c r="D6" s="89">
        <v>10522.33</v>
      </c>
      <c r="E6" s="90"/>
      <c r="F6" s="90"/>
      <c r="G6" s="91">
        <v>10522.33</v>
      </c>
      <c r="H6" s="1"/>
    </row>
    <row r="7" spans="1:8" ht="12" customHeight="1">
      <c r="A7" s="236" t="s">
        <v>42</v>
      </c>
      <c r="B7" s="237" t="s">
        <v>43</v>
      </c>
      <c r="C7" s="238">
        <v>11488.43</v>
      </c>
      <c r="D7" s="86">
        <v>1</v>
      </c>
      <c r="E7" s="87"/>
      <c r="F7" s="87"/>
      <c r="G7" s="88">
        <v>1</v>
      </c>
      <c r="H7" s="1"/>
    </row>
    <row r="8" spans="1:8" ht="12.75" customHeight="1">
      <c r="A8" s="192"/>
      <c r="B8" s="192"/>
      <c r="C8" s="192"/>
      <c r="D8" s="89">
        <v>11488.43</v>
      </c>
      <c r="E8" s="90"/>
      <c r="F8" s="90"/>
      <c r="G8" s="91">
        <v>11488.43</v>
      </c>
      <c r="H8" s="1"/>
    </row>
    <row r="9" spans="1:8" ht="12" customHeight="1">
      <c r="A9" s="236" t="s">
        <v>59</v>
      </c>
      <c r="B9" s="237" t="s">
        <v>60</v>
      </c>
      <c r="C9" s="238">
        <v>2980.11</v>
      </c>
      <c r="D9" s="87"/>
      <c r="E9" s="86">
        <v>1</v>
      </c>
      <c r="F9" s="87"/>
      <c r="G9" s="88">
        <v>1</v>
      </c>
      <c r="H9" s="1"/>
    </row>
    <row r="10" spans="1:8" ht="12.75" customHeight="1">
      <c r="A10" s="192"/>
      <c r="B10" s="192"/>
      <c r="C10" s="192"/>
      <c r="D10" s="90"/>
      <c r="E10" s="89">
        <v>2980.11</v>
      </c>
      <c r="F10" s="90"/>
      <c r="G10" s="91">
        <v>2980.11</v>
      </c>
      <c r="H10" s="1"/>
    </row>
    <row r="11" spans="1:8" ht="12" customHeight="1">
      <c r="A11" s="236" t="s">
        <v>65</v>
      </c>
      <c r="B11" s="237" t="s">
        <v>66</v>
      </c>
      <c r="C11" s="238">
        <v>3147.13</v>
      </c>
      <c r="D11" s="87"/>
      <c r="E11" s="86">
        <v>1</v>
      </c>
      <c r="F11" s="87"/>
      <c r="G11" s="88">
        <v>1</v>
      </c>
      <c r="H11" s="1"/>
    </row>
    <row r="12" spans="1:8" ht="12.75" customHeight="1">
      <c r="A12" s="192"/>
      <c r="B12" s="192"/>
      <c r="C12" s="192"/>
      <c r="D12" s="90"/>
      <c r="E12" s="89">
        <v>3147.13</v>
      </c>
      <c r="F12" s="90"/>
      <c r="G12" s="91">
        <v>3147.13</v>
      </c>
      <c r="H12" s="1"/>
    </row>
    <row r="13" spans="1:8" ht="12" customHeight="1">
      <c r="A13" s="236" t="s">
        <v>76</v>
      </c>
      <c r="B13" s="237" t="s">
        <v>77</v>
      </c>
      <c r="C13" s="238">
        <v>45980.53</v>
      </c>
      <c r="D13" s="87"/>
      <c r="E13" s="86">
        <v>1</v>
      </c>
      <c r="F13" s="87"/>
      <c r="G13" s="88">
        <v>1</v>
      </c>
      <c r="H13" s="1"/>
    </row>
    <row r="14" spans="1:8" ht="12.75" customHeight="1">
      <c r="A14" s="192"/>
      <c r="B14" s="192"/>
      <c r="C14" s="192"/>
      <c r="D14" s="90"/>
      <c r="E14" s="89">
        <v>45980.53</v>
      </c>
      <c r="F14" s="90"/>
      <c r="G14" s="91">
        <v>45980.53</v>
      </c>
      <c r="H14" s="1"/>
    </row>
    <row r="15" spans="1:8" ht="12" customHeight="1">
      <c r="A15" s="236" t="s">
        <v>87</v>
      </c>
      <c r="B15" s="237" t="s">
        <v>88</v>
      </c>
      <c r="C15" s="238">
        <v>2750.12</v>
      </c>
      <c r="D15" s="87"/>
      <c r="E15" s="87"/>
      <c r="F15" s="86">
        <v>1</v>
      </c>
      <c r="G15" s="88">
        <v>1</v>
      </c>
      <c r="H15" s="1"/>
    </row>
    <row r="16" spans="1:8" ht="12.75" customHeight="1">
      <c r="A16" s="192"/>
      <c r="B16" s="192"/>
      <c r="C16" s="192"/>
      <c r="D16" s="90"/>
      <c r="E16" s="90"/>
      <c r="F16" s="89">
        <v>2750.12</v>
      </c>
      <c r="G16" s="91">
        <v>2750.12</v>
      </c>
      <c r="H16" s="1"/>
    </row>
    <row r="17" spans="1:8" ht="12" customHeight="1">
      <c r="A17" s="236" t="s">
        <v>98</v>
      </c>
      <c r="B17" s="237" t="s">
        <v>99</v>
      </c>
      <c r="C17" s="238">
        <v>14897.97</v>
      </c>
      <c r="D17" s="87"/>
      <c r="E17" s="87"/>
      <c r="F17" s="86">
        <v>1</v>
      </c>
      <c r="G17" s="88">
        <v>1</v>
      </c>
      <c r="H17" s="1"/>
    </row>
    <row r="18" spans="1:8" ht="12.75" customHeight="1">
      <c r="A18" s="192"/>
      <c r="B18" s="192"/>
      <c r="C18" s="192"/>
      <c r="D18" s="90"/>
      <c r="E18" s="90"/>
      <c r="F18" s="89">
        <v>14897.97</v>
      </c>
      <c r="G18" s="91">
        <v>14897.97</v>
      </c>
      <c r="H18" s="1"/>
    </row>
    <row r="19" spans="1:8" ht="12" customHeight="1">
      <c r="A19" s="236" t="s">
        <v>112</v>
      </c>
      <c r="B19" s="237" t="s">
        <v>113</v>
      </c>
      <c r="C19" s="238">
        <v>11593.36</v>
      </c>
      <c r="D19" s="87"/>
      <c r="E19" s="87"/>
      <c r="F19" s="86">
        <v>1</v>
      </c>
      <c r="G19" s="88">
        <v>1</v>
      </c>
      <c r="H19" s="1"/>
    </row>
    <row r="20" spans="1:8" ht="12.75" customHeight="1">
      <c r="A20" s="192"/>
      <c r="B20" s="192"/>
      <c r="C20" s="192"/>
      <c r="D20" s="90"/>
      <c r="E20" s="90"/>
      <c r="F20" s="89">
        <v>11593.36</v>
      </c>
      <c r="G20" s="91">
        <v>11593.36</v>
      </c>
      <c r="H20" s="1"/>
    </row>
    <row r="21" spans="1:8" ht="12" customHeight="1">
      <c r="A21" s="92"/>
      <c r="B21" s="93"/>
      <c r="C21" s="239">
        <v>110931.27</v>
      </c>
      <c r="D21" s="94">
        <v>29582.05</v>
      </c>
      <c r="E21" s="94">
        <v>52107.77</v>
      </c>
      <c r="F21" s="94">
        <v>29241.45</v>
      </c>
      <c r="G21" s="240">
        <v>110931.27</v>
      </c>
      <c r="H21" s="1"/>
    </row>
    <row r="22" spans="1:8" ht="12.75" customHeight="1">
      <c r="A22" s="95"/>
      <c r="B22" s="96"/>
      <c r="C22" s="190"/>
      <c r="D22" s="89">
        <v>29582.05</v>
      </c>
      <c r="E22" s="89">
        <v>81689.820000000007</v>
      </c>
      <c r="F22" s="89">
        <v>110931.27</v>
      </c>
      <c r="G22" s="192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A1:G1"/>
    <mergeCell ref="A3:A4"/>
    <mergeCell ref="B3:B4"/>
    <mergeCell ref="C3:C4"/>
    <mergeCell ref="A5:A6"/>
    <mergeCell ref="B5:B6"/>
    <mergeCell ref="C5:C6"/>
  </mergeCells>
  <pageMargins left="0.5" right="0.5" top="0.5" bottom="0.5" header="0" footer="0"/>
  <pageSetup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4140625" defaultRowHeight="15" customHeight="1"/>
  <cols>
    <col min="1" max="1" width="9.21875" customWidth="1"/>
    <col min="2" max="2" width="60.21875" customWidth="1"/>
    <col min="3" max="3" width="8.21875" customWidth="1"/>
    <col min="4" max="4" width="37.44140625" customWidth="1"/>
    <col min="5" max="26" width="8.77734375" customWidth="1"/>
  </cols>
  <sheetData>
    <row r="1" spans="1:4" ht="14.4">
      <c r="A1" s="241" t="s">
        <v>511</v>
      </c>
      <c r="B1" s="197"/>
      <c r="C1" s="198"/>
      <c r="D1" s="1"/>
    </row>
    <row r="2" spans="1:4" ht="12" customHeight="1">
      <c r="A2" s="97"/>
      <c r="B2" s="98" t="s">
        <v>0</v>
      </c>
      <c r="C2" s="98"/>
      <c r="D2" s="99"/>
    </row>
    <row r="3" spans="1:4" ht="15" customHeight="1">
      <c r="A3" s="100" t="s">
        <v>512</v>
      </c>
      <c r="B3" s="100" t="s">
        <v>3</v>
      </c>
      <c r="C3" s="100" t="s">
        <v>513</v>
      </c>
      <c r="D3" s="1"/>
    </row>
    <row r="4" spans="1:4" ht="12.75" customHeight="1">
      <c r="A4" s="97"/>
      <c r="B4" s="101" t="s">
        <v>514</v>
      </c>
      <c r="C4" s="97"/>
      <c r="D4" s="1"/>
    </row>
    <row r="5" spans="1:4" ht="12.75" customHeight="1">
      <c r="A5" s="102" t="s">
        <v>515</v>
      </c>
      <c r="B5" s="103" t="s">
        <v>516</v>
      </c>
      <c r="C5" s="104">
        <v>0.8</v>
      </c>
      <c r="D5" s="1"/>
    </row>
    <row r="6" spans="1:4" ht="12.75" customHeight="1">
      <c r="A6" s="102" t="s">
        <v>335</v>
      </c>
      <c r="B6" s="103" t="s">
        <v>517</v>
      </c>
      <c r="C6" s="104">
        <v>6.6</v>
      </c>
      <c r="D6" s="1"/>
    </row>
    <row r="7" spans="1:4" ht="15" customHeight="1">
      <c r="A7" s="97"/>
      <c r="B7" s="105" t="s">
        <v>293</v>
      </c>
      <c r="C7" s="106">
        <v>7.3999999999999995</v>
      </c>
      <c r="D7" s="1"/>
    </row>
    <row r="8" spans="1:4" ht="12.75" customHeight="1">
      <c r="A8" s="97"/>
      <c r="B8" s="101" t="s">
        <v>518</v>
      </c>
      <c r="C8" s="97"/>
      <c r="D8" s="1"/>
    </row>
    <row r="9" spans="1:4" ht="12.75" customHeight="1">
      <c r="A9" s="102" t="s">
        <v>519</v>
      </c>
      <c r="B9" s="103" t="s">
        <v>520</v>
      </c>
      <c r="C9" s="104">
        <v>3</v>
      </c>
      <c r="D9" s="1"/>
    </row>
    <row r="10" spans="1:4" ht="12.75" customHeight="1">
      <c r="A10" s="102" t="s">
        <v>521</v>
      </c>
      <c r="B10" s="103" t="s">
        <v>522</v>
      </c>
      <c r="C10" s="104">
        <v>1.23</v>
      </c>
      <c r="D10" s="1"/>
    </row>
    <row r="11" spans="1:4" ht="12.75" customHeight="1">
      <c r="A11" s="102" t="s">
        <v>523</v>
      </c>
      <c r="B11" s="103" t="s">
        <v>524</v>
      </c>
      <c r="C11" s="104">
        <v>0.97</v>
      </c>
      <c r="D11" s="1"/>
    </row>
    <row r="12" spans="1:4" ht="15" customHeight="1">
      <c r="A12" s="97"/>
      <c r="B12" s="105" t="s">
        <v>293</v>
      </c>
      <c r="C12" s="106">
        <v>5.2</v>
      </c>
      <c r="D12" s="1"/>
    </row>
    <row r="13" spans="1:4" ht="12.75" customHeight="1">
      <c r="A13" s="107" t="s">
        <v>525</v>
      </c>
      <c r="B13" s="101" t="s">
        <v>526</v>
      </c>
      <c r="C13" s="97"/>
      <c r="D13" s="1"/>
    </row>
    <row r="14" spans="1:4" ht="12.75" customHeight="1">
      <c r="A14" s="102"/>
      <c r="B14" s="103" t="s">
        <v>527</v>
      </c>
      <c r="C14" s="104">
        <v>6.15</v>
      </c>
      <c r="D14" s="1"/>
    </row>
    <row r="15" spans="1:4" ht="15" customHeight="1">
      <c r="A15" s="97"/>
      <c r="B15" s="105" t="s">
        <v>293</v>
      </c>
      <c r="C15" s="106">
        <v>6.15</v>
      </c>
      <c r="D15" s="1"/>
    </row>
    <row r="16" spans="1:4" ht="25.5" customHeight="1">
      <c r="A16" s="97"/>
      <c r="B16" s="242" t="s">
        <v>528</v>
      </c>
      <c r="C16" s="198"/>
      <c r="D16" s="1"/>
    </row>
    <row r="17" spans="1:4" ht="43.5" customHeight="1">
      <c r="A17" s="97"/>
      <c r="B17" s="243"/>
      <c r="C17" s="198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4140625" defaultRowHeight="15" customHeight="1"/>
  <cols>
    <col min="1" max="1" width="9.21875" customWidth="1"/>
    <col min="2" max="2" width="68.77734375" customWidth="1"/>
    <col min="3" max="3" width="8.77734375" customWidth="1"/>
    <col min="4" max="4" width="2.44140625" customWidth="1"/>
    <col min="5" max="5" width="7.77734375" customWidth="1"/>
    <col min="6" max="6" width="3.77734375" customWidth="1"/>
    <col min="7" max="7" width="14.44140625" customWidth="1"/>
    <col min="8" max="26" width="8.77734375" customWidth="1"/>
  </cols>
  <sheetData>
    <row r="1" spans="1:7" ht="14.4">
      <c r="A1" s="241" t="s">
        <v>529</v>
      </c>
      <c r="B1" s="197"/>
      <c r="C1" s="197"/>
      <c r="D1" s="197"/>
      <c r="E1" s="197"/>
      <c r="F1" s="198"/>
      <c r="G1" s="1"/>
    </row>
    <row r="2" spans="1:7" ht="12" customHeight="1">
      <c r="A2" s="97"/>
      <c r="B2" s="246" t="s">
        <v>0</v>
      </c>
      <c r="C2" s="197"/>
      <c r="D2" s="197"/>
      <c r="E2" s="198"/>
      <c r="F2" s="97"/>
      <c r="G2" s="1"/>
    </row>
    <row r="3" spans="1:7" ht="15" customHeight="1">
      <c r="A3" s="100" t="s">
        <v>512</v>
      </c>
      <c r="B3" s="100" t="s">
        <v>3</v>
      </c>
      <c r="C3" s="248" t="s">
        <v>530</v>
      </c>
      <c r="D3" s="198"/>
      <c r="E3" s="248" t="s">
        <v>531</v>
      </c>
      <c r="F3" s="198"/>
      <c r="G3" s="1"/>
    </row>
    <row r="4" spans="1:7" ht="12" customHeight="1">
      <c r="A4" s="97"/>
      <c r="B4" s="246" t="s">
        <v>0</v>
      </c>
      <c r="C4" s="198"/>
      <c r="D4" s="97"/>
      <c r="E4" s="97"/>
      <c r="F4" s="97"/>
      <c r="G4" s="1"/>
    </row>
    <row r="5" spans="1:7" ht="12.75" customHeight="1">
      <c r="A5" s="107" t="s">
        <v>532</v>
      </c>
      <c r="B5" s="101" t="s">
        <v>533</v>
      </c>
      <c r="C5" s="97"/>
      <c r="D5" s="97"/>
      <c r="E5" s="97"/>
      <c r="F5" s="97"/>
      <c r="G5" s="1"/>
    </row>
    <row r="6" spans="1:7" ht="12.75" customHeight="1">
      <c r="A6" s="102" t="s">
        <v>534</v>
      </c>
      <c r="B6" s="103" t="s">
        <v>535</v>
      </c>
      <c r="C6" s="244">
        <v>20</v>
      </c>
      <c r="D6" s="198"/>
      <c r="E6" s="249">
        <v>20</v>
      </c>
      <c r="F6" s="198"/>
      <c r="G6" s="1"/>
    </row>
    <row r="7" spans="1:7" ht="12.75" customHeight="1">
      <c r="A7" s="102" t="s">
        <v>536</v>
      </c>
      <c r="B7" s="103" t="s">
        <v>537</v>
      </c>
      <c r="C7" s="244">
        <v>1.5</v>
      </c>
      <c r="D7" s="198"/>
      <c r="E7" s="249">
        <v>1.5</v>
      </c>
      <c r="F7" s="198"/>
      <c r="G7" s="1"/>
    </row>
    <row r="8" spans="1:7" ht="12.75" customHeight="1">
      <c r="A8" s="102" t="s">
        <v>538</v>
      </c>
      <c r="B8" s="103" t="s">
        <v>539</v>
      </c>
      <c r="C8" s="244">
        <v>1</v>
      </c>
      <c r="D8" s="198"/>
      <c r="E8" s="249">
        <v>1</v>
      </c>
      <c r="F8" s="198"/>
      <c r="G8" s="1"/>
    </row>
    <row r="9" spans="1:7" ht="12.75" customHeight="1">
      <c r="A9" s="102" t="s">
        <v>540</v>
      </c>
      <c r="B9" s="103" t="s">
        <v>541</v>
      </c>
      <c r="C9" s="244">
        <v>0.2</v>
      </c>
      <c r="D9" s="198"/>
      <c r="E9" s="249">
        <v>0.2</v>
      </c>
      <c r="F9" s="198"/>
      <c r="G9" s="1"/>
    </row>
    <row r="10" spans="1:7" ht="12.75" customHeight="1">
      <c r="A10" s="102" t="s">
        <v>542</v>
      </c>
      <c r="B10" s="103" t="s">
        <v>543</v>
      </c>
      <c r="C10" s="244">
        <v>0.6</v>
      </c>
      <c r="D10" s="198"/>
      <c r="E10" s="249">
        <v>0.6</v>
      </c>
      <c r="F10" s="198"/>
      <c r="G10" s="1"/>
    </row>
    <row r="11" spans="1:7" ht="12.75" customHeight="1">
      <c r="A11" s="102" t="s">
        <v>544</v>
      </c>
      <c r="B11" s="103" t="s">
        <v>545</v>
      </c>
      <c r="C11" s="244">
        <v>2.5</v>
      </c>
      <c r="D11" s="198"/>
      <c r="E11" s="249">
        <v>2.5</v>
      </c>
      <c r="F11" s="198"/>
      <c r="G11" s="1"/>
    </row>
    <row r="12" spans="1:7" ht="12.75" customHeight="1">
      <c r="A12" s="102" t="s">
        <v>546</v>
      </c>
      <c r="B12" s="103" t="s">
        <v>547</v>
      </c>
      <c r="C12" s="244">
        <v>3</v>
      </c>
      <c r="D12" s="198"/>
      <c r="E12" s="249">
        <v>3</v>
      </c>
      <c r="F12" s="198"/>
      <c r="G12" s="1"/>
    </row>
    <row r="13" spans="1:7" ht="12.75" customHeight="1">
      <c r="A13" s="102" t="s">
        <v>548</v>
      </c>
      <c r="B13" s="103" t="s">
        <v>549</v>
      </c>
      <c r="C13" s="244">
        <v>8</v>
      </c>
      <c r="D13" s="198"/>
      <c r="E13" s="249">
        <v>8</v>
      </c>
      <c r="F13" s="198"/>
      <c r="G13" s="1"/>
    </row>
    <row r="14" spans="1:7" ht="12.75" customHeight="1">
      <c r="A14" s="102" t="s">
        <v>550</v>
      </c>
      <c r="B14" s="103" t="s">
        <v>551</v>
      </c>
      <c r="C14" s="244">
        <v>0</v>
      </c>
      <c r="D14" s="198"/>
      <c r="E14" s="249">
        <v>0</v>
      </c>
      <c r="F14" s="198"/>
      <c r="G14" s="1"/>
    </row>
    <row r="15" spans="1:7" ht="15" customHeight="1">
      <c r="A15" s="97"/>
      <c r="B15" s="105" t="s">
        <v>293</v>
      </c>
      <c r="C15" s="245">
        <v>36.799999999999997</v>
      </c>
      <c r="D15" s="198"/>
      <c r="E15" s="245">
        <v>36.799999999999997</v>
      </c>
      <c r="F15" s="198"/>
      <c r="G15" s="1"/>
    </row>
    <row r="16" spans="1:7" ht="12" customHeight="1">
      <c r="A16" s="97"/>
      <c r="B16" s="246" t="s">
        <v>0</v>
      </c>
      <c r="C16" s="198"/>
      <c r="D16" s="97"/>
      <c r="E16" s="97"/>
      <c r="F16" s="97"/>
      <c r="G16" s="1"/>
    </row>
    <row r="17" spans="1:7" ht="12.75" customHeight="1">
      <c r="A17" s="107" t="s">
        <v>552</v>
      </c>
      <c r="B17" s="101" t="s">
        <v>553</v>
      </c>
      <c r="C17" s="97"/>
      <c r="D17" s="97"/>
      <c r="E17" s="97"/>
      <c r="F17" s="97"/>
      <c r="G17" s="1"/>
    </row>
    <row r="18" spans="1:7" ht="12.75" customHeight="1">
      <c r="A18" s="102" t="s">
        <v>554</v>
      </c>
      <c r="B18" s="103" t="s">
        <v>555</v>
      </c>
      <c r="C18" s="244">
        <v>18.03</v>
      </c>
      <c r="D18" s="198"/>
      <c r="E18" s="249">
        <v>0</v>
      </c>
      <c r="F18" s="198"/>
      <c r="G18" s="1"/>
    </row>
    <row r="19" spans="1:7" ht="12.75" customHeight="1">
      <c r="A19" s="102" t="s">
        <v>556</v>
      </c>
      <c r="B19" s="103" t="s">
        <v>557</v>
      </c>
      <c r="C19" s="244">
        <v>4.3099999999999996</v>
      </c>
      <c r="D19" s="198"/>
      <c r="E19" s="249">
        <v>0</v>
      </c>
      <c r="F19" s="198"/>
      <c r="G19" s="1"/>
    </row>
    <row r="20" spans="1:7" ht="12.75" customHeight="1">
      <c r="A20" s="102" t="s">
        <v>558</v>
      </c>
      <c r="B20" s="103" t="s">
        <v>559</v>
      </c>
      <c r="C20" s="244">
        <v>0.85</v>
      </c>
      <c r="D20" s="198"/>
      <c r="E20" s="249">
        <v>0.64</v>
      </c>
      <c r="F20" s="198"/>
      <c r="G20" s="1"/>
    </row>
    <row r="21" spans="1:7" ht="12.75" customHeight="1">
      <c r="A21" s="102" t="s">
        <v>560</v>
      </c>
      <c r="B21" s="103" t="s">
        <v>561</v>
      </c>
      <c r="C21" s="244">
        <v>11.06</v>
      </c>
      <c r="D21" s="198"/>
      <c r="E21" s="249">
        <v>8.33</v>
      </c>
      <c r="F21" s="198"/>
      <c r="G21" s="1"/>
    </row>
    <row r="22" spans="1:7" ht="12.75" customHeight="1">
      <c r="A22" s="102" t="s">
        <v>562</v>
      </c>
      <c r="B22" s="103" t="s">
        <v>563</v>
      </c>
      <c r="C22" s="244">
        <v>0.06</v>
      </c>
      <c r="D22" s="198"/>
      <c r="E22" s="249">
        <v>0.04</v>
      </c>
      <c r="F22" s="198"/>
      <c r="G22" s="1"/>
    </row>
    <row r="23" spans="1:7" ht="12.75" customHeight="1">
      <c r="A23" s="102" t="s">
        <v>564</v>
      </c>
      <c r="B23" s="103" t="s">
        <v>565</v>
      </c>
      <c r="C23" s="244">
        <v>0.74</v>
      </c>
      <c r="D23" s="198"/>
      <c r="E23" s="249">
        <v>0.56000000000000005</v>
      </c>
      <c r="F23" s="198"/>
      <c r="G23" s="1"/>
    </row>
    <row r="24" spans="1:7" ht="12.75" customHeight="1">
      <c r="A24" s="102" t="s">
        <v>566</v>
      </c>
      <c r="B24" s="103" t="s">
        <v>567</v>
      </c>
      <c r="C24" s="244">
        <v>2.06</v>
      </c>
      <c r="D24" s="198"/>
      <c r="E24" s="249">
        <v>0</v>
      </c>
      <c r="F24" s="198"/>
      <c r="G24" s="1"/>
    </row>
    <row r="25" spans="1:7" ht="12.75" customHeight="1">
      <c r="A25" s="102" t="s">
        <v>568</v>
      </c>
      <c r="B25" s="103" t="s">
        <v>569</v>
      </c>
      <c r="C25" s="244">
        <v>0.1</v>
      </c>
      <c r="D25" s="198"/>
      <c r="E25" s="249">
        <v>0.08</v>
      </c>
      <c r="F25" s="198"/>
      <c r="G25" s="1"/>
    </row>
    <row r="26" spans="1:7" ht="12.75" customHeight="1">
      <c r="A26" s="102" t="s">
        <v>570</v>
      </c>
      <c r="B26" s="103" t="s">
        <v>571</v>
      </c>
      <c r="C26" s="244">
        <v>11.29</v>
      </c>
      <c r="D26" s="198"/>
      <c r="E26" s="249">
        <v>8.51</v>
      </c>
      <c r="F26" s="198"/>
      <c r="G26" s="1"/>
    </row>
    <row r="27" spans="1:7" ht="12.75" customHeight="1">
      <c r="A27" s="102" t="s">
        <v>572</v>
      </c>
      <c r="B27" s="103" t="s">
        <v>573</v>
      </c>
      <c r="C27" s="244">
        <v>0.04</v>
      </c>
      <c r="D27" s="198"/>
      <c r="E27" s="249">
        <v>0.03</v>
      </c>
      <c r="F27" s="198"/>
      <c r="G27" s="1"/>
    </row>
    <row r="28" spans="1:7" ht="15" customHeight="1">
      <c r="A28" s="97"/>
      <c r="B28" s="105" t="s">
        <v>293</v>
      </c>
      <c r="C28" s="245">
        <v>48.540000000000006</v>
      </c>
      <c r="D28" s="198"/>
      <c r="E28" s="245">
        <v>18.190000000000001</v>
      </c>
      <c r="F28" s="198"/>
      <c r="G28" s="1"/>
    </row>
    <row r="29" spans="1:7" ht="12" customHeight="1">
      <c r="A29" s="97"/>
      <c r="B29" s="246" t="s">
        <v>0</v>
      </c>
      <c r="C29" s="198"/>
      <c r="D29" s="97"/>
      <c r="E29" s="97"/>
      <c r="F29" s="97"/>
      <c r="G29" s="1"/>
    </row>
    <row r="30" spans="1:7" ht="12.75" customHeight="1">
      <c r="A30" s="107" t="s">
        <v>574</v>
      </c>
      <c r="B30" s="101" t="s">
        <v>575</v>
      </c>
      <c r="C30" s="97"/>
      <c r="D30" s="97"/>
      <c r="E30" s="97"/>
      <c r="F30" s="97"/>
      <c r="G30" s="1"/>
    </row>
    <row r="31" spans="1:7" ht="12.75" customHeight="1">
      <c r="A31" s="102" t="s">
        <v>576</v>
      </c>
      <c r="B31" s="103" t="s">
        <v>577</v>
      </c>
      <c r="C31" s="244">
        <v>4.57</v>
      </c>
      <c r="D31" s="198"/>
      <c r="E31" s="249">
        <v>3.45</v>
      </c>
      <c r="F31" s="198"/>
      <c r="G31" s="1"/>
    </row>
    <row r="32" spans="1:7" ht="12.75" customHeight="1">
      <c r="A32" s="102" t="s">
        <v>578</v>
      </c>
      <c r="B32" s="103" t="s">
        <v>579</v>
      </c>
      <c r="C32" s="244">
        <v>0.11</v>
      </c>
      <c r="D32" s="198"/>
      <c r="E32" s="249">
        <v>0.08</v>
      </c>
      <c r="F32" s="198"/>
      <c r="G32" s="1"/>
    </row>
    <row r="33" spans="1:7" ht="12.75" customHeight="1">
      <c r="A33" s="102" t="s">
        <v>580</v>
      </c>
      <c r="B33" s="103" t="s">
        <v>581</v>
      </c>
      <c r="C33" s="244">
        <v>3.31</v>
      </c>
      <c r="D33" s="198"/>
      <c r="E33" s="249">
        <v>2.5</v>
      </c>
      <c r="F33" s="198"/>
      <c r="G33" s="1"/>
    </row>
    <row r="34" spans="1:7" ht="12.75" customHeight="1">
      <c r="A34" s="102" t="s">
        <v>582</v>
      </c>
      <c r="B34" s="103" t="s">
        <v>583</v>
      </c>
      <c r="C34" s="244">
        <v>2.61</v>
      </c>
      <c r="D34" s="198"/>
      <c r="E34" s="249">
        <v>1.96</v>
      </c>
      <c r="F34" s="198"/>
      <c r="G34" s="1"/>
    </row>
    <row r="35" spans="1:7" ht="12.75" customHeight="1">
      <c r="A35" s="102" t="s">
        <v>584</v>
      </c>
      <c r="B35" s="103" t="s">
        <v>585</v>
      </c>
      <c r="C35" s="244">
        <v>0.38</v>
      </c>
      <c r="D35" s="198"/>
      <c r="E35" s="249">
        <v>0.28999999999999998</v>
      </c>
      <c r="F35" s="198"/>
      <c r="G35" s="1"/>
    </row>
    <row r="36" spans="1:7" ht="15" customHeight="1">
      <c r="A36" s="97"/>
      <c r="B36" s="105" t="s">
        <v>293</v>
      </c>
      <c r="C36" s="245">
        <v>10.98</v>
      </c>
      <c r="D36" s="198"/>
      <c r="E36" s="245">
        <v>8.2799999999999994</v>
      </c>
      <c r="F36" s="198"/>
      <c r="G36" s="1"/>
    </row>
    <row r="37" spans="1:7" ht="12" customHeight="1">
      <c r="A37" s="97"/>
      <c r="B37" s="246" t="s">
        <v>0</v>
      </c>
      <c r="C37" s="198"/>
      <c r="D37" s="97"/>
      <c r="E37" s="97"/>
      <c r="F37" s="97"/>
      <c r="G37" s="1"/>
    </row>
    <row r="38" spans="1:7" ht="12.75" customHeight="1">
      <c r="A38" s="107" t="s">
        <v>586</v>
      </c>
      <c r="B38" s="101" t="s">
        <v>587</v>
      </c>
      <c r="C38" s="97"/>
      <c r="D38" s="97"/>
      <c r="E38" s="97"/>
      <c r="F38" s="97"/>
      <c r="G38" s="1"/>
    </row>
    <row r="39" spans="1:7" ht="12.75" customHeight="1">
      <c r="A39" s="102" t="s">
        <v>588</v>
      </c>
      <c r="B39" s="103" t="s">
        <v>589</v>
      </c>
      <c r="C39" s="244">
        <v>17.86</v>
      </c>
      <c r="D39" s="198"/>
      <c r="E39" s="249">
        <v>6.69</v>
      </c>
      <c r="F39" s="198"/>
      <c r="G39" s="1"/>
    </row>
    <row r="40" spans="1:7" ht="18" customHeight="1">
      <c r="A40" s="102" t="s">
        <v>590</v>
      </c>
      <c r="B40" s="103" t="s">
        <v>591</v>
      </c>
      <c r="C40" s="244">
        <v>0.41</v>
      </c>
      <c r="D40" s="198"/>
      <c r="E40" s="249">
        <v>0.31</v>
      </c>
      <c r="F40" s="198"/>
      <c r="G40" s="1"/>
    </row>
    <row r="41" spans="1:7" ht="15" customHeight="1">
      <c r="A41" s="97"/>
      <c r="B41" s="105" t="s">
        <v>293</v>
      </c>
      <c r="C41" s="245">
        <v>18.27</v>
      </c>
      <c r="D41" s="198"/>
      <c r="E41" s="245">
        <v>7</v>
      </c>
      <c r="F41" s="198"/>
      <c r="G41" s="1"/>
    </row>
    <row r="42" spans="1:7" ht="15" customHeight="1">
      <c r="A42" s="97"/>
      <c r="B42" s="246" t="s">
        <v>0</v>
      </c>
      <c r="C42" s="197"/>
      <c r="D42" s="198"/>
      <c r="E42" s="97"/>
      <c r="F42" s="97"/>
      <c r="G42" s="1"/>
    </row>
    <row r="43" spans="1:7" ht="19.5" customHeight="1">
      <c r="A43" s="97"/>
      <c r="B43" s="108" t="s">
        <v>592</v>
      </c>
      <c r="C43" s="247">
        <v>114.59</v>
      </c>
      <c r="D43" s="198"/>
      <c r="E43" s="247">
        <v>70.27</v>
      </c>
      <c r="F43" s="198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  <mergeCell ref="E25:F25"/>
    <mergeCell ref="E26:F26"/>
    <mergeCell ref="E36:F36"/>
    <mergeCell ref="E39:F39"/>
    <mergeCell ref="E40:F40"/>
    <mergeCell ref="C22:D22"/>
    <mergeCell ref="C23:D23"/>
    <mergeCell ref="C24:D24"/>
    <mergeCell ref="E20:F20"/>
    <mergeCell ref="E21:F21"/>
    <mergeCell ref="E22:F22"/>
    <mergeCell ref="E23:F23"/>
    <mergeCell ref="E24:F24"/>
    <mergeCell ref="E19:F19"/>
    <mergeCell ref="C18:D18"/>
    <mergeCell ref="C19:D19"/>
    <mergeCell ref="C20:D20"/>
    <mergeCell ref="C21:D21"/>
    <mergeCell ref="E12:F12"/>
    <mergeCell ref="E13:F13"/>
    <mergeCell ref="E14:F14"/>
    <mergeCell ref="E15:F15"/>
    <mergeCell ref="E18:F18"/>
    <mergeCell ref="C12:D12"/>
    <mergeCell ref="C13:D13"/>
    <mergeCell ref="C14:D14"/>
    <mergeCell ref="C15:D15"/>
    <mergeCell ref="B16:C16"/>
    <mergeCell ref="C9:D9"/>
    <mergeCell ref="E9:F9"/>
    <mergeCell ref="E10:F10"/>
    <mergeCell ref="C10:D10"/>
    <mergeCell ref="C11:D11"/>
    <mergeCell ref="E11:F11"/>
    <mergeCell ref="C6:D6"/>
    <mergeCell ref="E6:F6"/>
    <mergeCell ref="C7:D7"/>
    <mergeCell ref="E7:F7"/>
    <mergeCell ref="C8:D8"/>
    <mergeCell ref="E8:F8"/>
    <mergeCell ref="A1:F1"/>
    <mergeCell ref="B2:E2"/>
    <mergeCell ref="C3:D3"/>
    <mergeCell ref="E3:F3"/>
    <mergeCell ref="B4:C4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C25:D25"/>
    <mergeCell ref="C26:D26"/>
    <mergeCell ref="C27:D27"/>
    <mergeCell ref="C28:D28"/>
    <mergeCell ref="B29:C29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7</vt:i4>
      </vt:variant>
    </vt:vector>
  </HeadingPairs>
  <TitlesOfParts>
    <vt:vector size="16" baseType="lpstr">
      <vt:lpstr>Planilha Supressão</vt:lpstr>
      <vt:lpstr>Reprogramado</vt:lpstr>
      <vt:lpstr>Memorial de Calculo</vt:lpstr>
      <vt:lpstr>PLANILHA ORCAMENTARIA</vt:lpstr>
      <vt:lpstr>Comparativo</vt:lpstr>
      <vt:lpstr>COMPOSICOES</vt:lpstr>
      <vt:lpstr>CRONOGRAMA</vt:lpstr>
      <vt:lpstr>BDI</vt:lpstr>
      <vt:lpstr>ENCARGOS SOCIAIS</vt:lpstr>
      <vt:lpstr>'Planilha Supressão'!Area_de_impressao</vt:lpstr>
      <vt:lpstr>JR_PAGE_ANCHOR_0_1</vt:lpstr>
      <vt:lpstr>JR_PAGE_ANCHOR_2_1</vt:lpstr>
      <vt:lpstr>JR_PAGE_ANCHOR_3_1</vt:lpstr>
      <vt:lpstr>JR_PAGE_ANCHOR_4_1</vt:lpstr>
      <vt:lpstr>JR_PAGE_ANCHOR_5_1</vt:lpstr>
      <vt:lpstr>'Planilha Supressão'!Titulos_de_impressao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Kilber</dc:creator>
  <cp:lastModifiedBy>DOUGLAS WESLEY</cp:lastModifiedBy>
  <cp:lastPrinted>2025-09-01T15:31:27Z</cp:lastPrinted>
  <dcterms:created xsi:type="dcterms:W3CDTF">2025-09-01T13:45:33Z</dcterms:created>
  <dcterms:modified xsi:type="dcterms:W3CDTF">2025-11-28T21:13:28Z</dcterms:modified>
</cp:coreProperties>
</file>