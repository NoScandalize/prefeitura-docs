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02-creche-dnocs-tp400012023-geo00012023\creche-dnocs-geral\READEQUACAO\"/>
    </mc:Choice>
  </mc:AlternateContent>
  <xr:revisionPtr revIDLastSave="0" documentId="8_{F27B6FCB-E956-4764-BB86-1D83AFF32061}" xr6:coauthVersionLast="47" xr6:coauthVersionMax="47" xr10:uidLastSave="{00000000-0000-0000-0000-000000000000}"/>
  <bookViews>
    <workbookView xWindow="-108" yWindow="-108" windowWidth="23256" windowHeight="12456" xr2:uid="{C2ADED10-09F2-4BA0-967C-DB37F87B982F}"/>
  </bookViews>
  <sheets>
    <sheet name="Planilha1" sheetId="1" r:id="rId1"/>
  </sheets>
  <definedNames>
    <definedName name="_xlnm.Print_Area" localSheetId="0">Planilha1!$D$8:$M$17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1" l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9" i="1"/>
  <c r="M9" i="1" s="1"/>
  <c r="M17" i="1" l="1"/>
</calcChain>
</file>

<file path=xl/sharedStrings.xml><?xml version="1.0" encoding="utf-8"?>
<sst xmlns="http://schemas.openxmlformats.org/spreadsheetml/2006/main" count="43" uniqueCount="37">
  <si>
    <t>ITEM</t>
  </si>
  <si>
    <t>16.3</t>
  </si>
  <si>
    <t>87878</t>
  </si>
  <si>
    <t>CHAPISCO APLICADO EM ALVENARIAS E ESTRUTURAS DE CONCRETO INTERNAS, COM COLHER DE PEDREIRO. ARGAMASSA TRAÇO 1:3 COM PREPARO MANUAL. AF_06/2014</t>
  </si>
  <si>
    <t>M2</t>
  </si>
  <si>
    <t>CÓDIGO</t>
  </si>
  <si>
    <t>DESCRIÇÃO</t>
  </si>
  <si>
    <t>UNID</t>
  </si>
  <si>
    <t>16.6</t>
  </si>
  <si>
    <t>90406</t>
  </si>
  <si>
    <t>MASSA ÚNICA, PARA RECEBIMENTO DE PINTURA, EM ARGAMASSA TRAÇO 1:2:8, PREPARO MECÂNICO COM BETONEIRA 400L, APLICADA MANUALMENTE EM TETO, ESPESSURA DE 20MM, COM EXECUÇÃO DE TALISCAS. AF_03/2015</t>
  </si>
  <si>
    <t>17.1</t>
  </si>
  <si>
    <t>98560</t>
  </si>
  <si>
    <t>IMPERMEABILIZAÇÃO DE PISO COM ARGAMASSA DE CIMENTO E AREIA, COM ADITIVO IMPERMEABILIZANTE, E = 2CM. AF_06/2018</t>
  </si>
  <si>
    <t>17.2</t>
  </si>
  <si>
    <t>101750</t>
  </si>
  <si>
    <t>PISO CIMENTADO, TRAÇO 1:3 (CIMENTO E AREIA), ACABAMENTO RÚSTICO, ESPESSURA 4,0 CM, PREPARO MECÂNICO DA ARGAMASSA. AF_09/2020</t>
  </si>
  <si>
    <t>17.3</t>
  </si>
  <si>
    <t>S02187</t>
  </si>
  <si>
    <t>Polimento de piso de alta resistência (existente)</t>
  </si>
  <si>
    <t>m2</t>
  </si>
  <si>
    <t>17.5</t>
  </si>
  <si>
    <t>95241</t>
  </si>
  <si>
    <t>LASTRO DE CONCRETO MAGRO, APLICADO EM PISOS, LAJES SOBRE SOLO OU RADIERS, ESPESSURA DE 5 CM. AF_07/2016</t>
  </si>
  <si>
    <t>17.6</t>
  </si>
  <si>
    <t>100323</t>
  </si>
  <si>
    <t>LASTRO COM MATERIAL GRANULAR (AREIA MÉDIA), APLICADO EM PISOS OU LAJES SOBRE SOLO, ESPESSURA DE *10 CM*. AF_07/2019</t>
  </si>
  <si>
    <t>M3</t>
  </si>
  <si>
    <t>17.8</t>
  </si>
  <si>
    <t>CERAMICA 43X43CM, PEI-4, ARIELLE, REF. 42145 LINHA RIVIERA, COR BRANCA OU SIMILAR</t>
  </si>
  <si>
    <t>% PAGO</t>
  </si>
  <si>
    <t>VALOR PAGO SUPRIMIDO</t>
  </si>
  <si>
    <t>QTD LICITADA</t>
  </si>
  <si>
    <t>QTD PAGA SUPRIMIDA</t>
  </si>
  <si>
    <t>QTD SUPRIMIDA</t>
  </si>
  <si>
    <t>VALOR UNITÁRIO</t>
  </si>
  <si>
    <t>TOTAL PAGO SUPRIMIDO: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</si>
</sst>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2" fontId="5" fillId="3" borderId="1" xfId="0" applyNumberFormat="1" applyFont="1" applyFill="1" applyBorder="1" applyAlignment="1">
      <alignment horizontal="right" vertical="center"/>
    </xf>
    <xf numFmtId="10" fontId="5" fillId="3" borderId="1" xfId="2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right" vertical="center"/>
    </xf>
    <xf numFmtId="10" fontId="5" fillId="5" borderId="1" xfId="2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right" vertical="center"/>
    </xf>
    <xf numFmtId="44" fontId="5" fillId="5" borderId="1" xfId="1" applyFont="1" applyFill="1" applyBorder="1" applyAlignment="1">
      <alignment horizontal="right" vertical="center"/>
    </xf>
    <xf numFmtId="44" fontId="5" fillId="3" borderId="1" xfId="1" applyNumberFormat="1" applyFont="1" applyFill="1" applyBorder="1" applyAlignment="1">
      <alignment horizontal="center" vertical="center"/>
    </xf>
    <xf numFmtId="44" fontId="5" fillId="5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right" vertical="center" wrapText="1"/>
    </xf>
    <xf numFmtId="44" fontId="6" fillId="2" borderId="2" xfId="0" applyNumberFormat="1" applyFont="1" applyFill="1" applyBorder="1"/>
    <xf numFmtId="0" fontId="6" fillId="4" borderId="1" xfId="0" applyFont="1" applyFill="1" applyBorder="1" applyAlignment="1">
      <alignment horizontal="right" vertical="center"/>
    </xf>
    <xf numFmtId="0" fontId="0" fillId="5" borderId="0" xfId="0" applyFill="1"/>
    <xf numFmtId="0" fontId="5" fillId="5" borderId="0" xfId="0" applyFont="1" applyFill="1" applyBorder="1"/>
    <xf numFmtId="0" fontId="0" fillId="5" borderId="0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7F5B-08EB-4128-AFB7-D41357B029E0}">
  <sheetPr>
    <pageSetUpPr fitToPage="1"/>
  </sheetPr>
  <dimension ref="A2:N21"/>
  <sheetViews>
    <sheetView tabSelected="1" view="pageBreakPreview" topLeftCell="A5" zoomScale="60" zoomScaleNormal="85" workbookViewId="0">
      <selection activeCell="P13" sqref="P13"/>
    </sheetView>
  </sheetViews>
  <sheetFormatPr defaultRowHeight="14.4" x14ac:dyDescent="0.3"/>
  <cols>
    <col min="6" max="6" width="48.77734375" customWidth="1"/>
    <col min="8" max="8" width="17.44140625" customWidth="1"/>
    <col min="9" max="9" width="13.5546875" customWidth="1"/>
    <col min="10" max="10" width="14.77734375" customWidth="1"/>
    <col min="11" max="11" width="13.5546875" customWidth="1"/>
    <col min="12" max="12" width="12.77734375" customWidth="1"/>
    <col min="13" max="13" width="20.109375" customWidth="1"/>
  </cols>
  <sheetData>
    <row r="2" spans="1:14" x14ac:dyDescent="0.3">
      <c r="F2" s="1"/>
    </row>
    <row r="5" spans="1:14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3">
      <c r="A7" s="20"/>
      <c r="B7" s="20"/>
      <c r="C7" s="20"/>
      <c r="D7" s="22"/>
      <c r="E7" s="22"/>
      <c r="F7" s="22"/>
      <c r="G7" s="22"/>
      <c r="H7" s="22"/>
      <c r="I7" s="20"/>
      <c r="J7" s="20"/>
      <c r="K7" s="20"/>
      <c r="L7" s="23"/>
      <c r="M7" s="20"/>
      <c r="N7" s="20"/>
    </row>
    <row r="8" spans="1:14" ht="45" customHeight="1" x14ac:dyDescent="0.3">
      <c r="A8" s="20"/>
      <c r="B8" s="20"/>
      <c r="C8" s="20"/>
      <c r="D8" s="4" t="s">
        <v>0</v>
      </c>
      <c r="E8" s="4" t="s">
        <v>5</v>
      </c>
      <c r="F8" s="4" t="s">
        <v>6</v>
      </c>
      <c r="G8" s="4" t="s">
        <v>7</v>
      </c>
      <c r="H8" s="4" t="s">
        <v>32</v>
      </c>
      <c r="I8" s="11" t="s">
        <v>34</v>
      </c>
      <c r="J8" s="4" t="s">
        <v>30</v>
      </c>
      <c r="K8" s="11" t="s">
        <v>33</v>
      </c>
      <c r="L8" s="11" t="s">
        <v>35</v>
      </c>
      <c r="M8" s="11" t="s">
        <v>31</v>
      </c>
      <c r="N8" s="20"/>
    </row>
    <row r="9" spans="1:14" ht="48" customHeight="1" x14ac:dyDescent="0.3">
      <c r="A9" s="20"/>
      <c r="B9" s="20"/>
      <c r="C9" s="20"/>
      <c r="D9" s="12" t="s">
        <v>1</v>
      </c>
      <c r="E9" s="13" t="s">
        <v>2</v>
      </c>
      <c r="F9" s="12" t="s">
        <v>3</v>
      </c>
      <c r="G9" s="13" t="s">
        <v>4</v>
      </c>
      <c r="H9" s="14">
        <v>394</v>
      </c>
      <c r="I9" s="2">
        <v>262.10000000000002</v>
      </c>
      <c r="J9" s="3">
        <v>1</v>
      </c>
      <c r="K9" s="2">
        <f>I9*J9</f>
        <v>262.10000000000002</v>
      </c>
      <c r="L9" s="7">
        <v>4.57</v>
      </c>
      <c r="M9" s="9">
        <f>K9*L9</f>
        <v>1197.7970000000003</v>
      </c>
      <c r="N9" s="20"/>
    </row>
    <row r="10" spans="1:14" ht="60" x14ac:dyDescent="0.3">
      <c r="A10" s="20"/>
      <c r="B10" s="20"/>
      <c r="C10" s="20"/>
      <c r="D10" s="15" t="s">
        <v>8</v>
      </c>
      <c r="E10" s="16" t="s">
        <v>9</v>
      </c>
      <c r="F10" s="15" t="s">
        <v>10</v>
      </c>
      <c r="G10" s="16" t="s">
        <v>4</v>
      </c>
      <c r="H10" s="17">
        <v>394</v>
      </c>
      <c r="I10" s="5">
        <v>394</v>
      </c>
      <c r="J10" s="6">
        <v>1</v>
      </c>
      <c r="K10" s="5">
        <f>I10*J10</f>
        <v>394</v>
      </c>
      <c r="L10" s="8">
        <v>45.3</v>
      </c>
      <c r="M10" s="10">
        <f>K10*L10</f>
        <v>17848.199999999997</v>
      </c>
      <c r="N10" s="20"/>
    </row>
    <row r="11" spans="1:14" ht="36" x14ac:dyDescent="0.3">
      <c r="A11" s="20"/>
      <c r="B11" s="20"/>
      <c r="C11" s="20"/>
      <c r="D11" s="12" t="s">
        <v>11</v>
      </c>
      <c r="E11" s="13" t="s">
        <v>12</v>
      </c>
      <c r="F11" s="12" t="s">
        <v>13</v>
      </c>
      <c r="G11" s="13" t="s">
        <v>4</v>
      </c>
      <c r="H11" s="14">
        <v>413.25</v>
      </c>
      <c r="I11" s="2">
        <v>25.03</v>
      </c>
      <c r="J11" s="3">
        <v>1</v>
      </c>
      <c r="K11" s="2">
        <f>I11*J11</f>
        <v>25.03</v>
      </c>
      <c r="L11" s="7">
        <v>47.97</v>
      </c>
      <c r="M11" s="9">
        <f>K11*L11</f>
        <v>1200.6891000000001</v>
      </c>
      <c r="N11" s="20"/>
    </row>
    <row r="12" spans="1:14" ht="36" x14ac:dyDescent="0.3">
      <c r="A12" s="20"/>
      <c r="B12" s="20"/>
      <c r="C12" s="20"/>
      <c r="D12" s="15" t="s">
        <v>14</v>
      </c>
      <c r="E12" s="16" t="s">
        <v>15</v>
      </c>
      <c r="F12" s="15" t="s">
        <v>16</v>
      </c>
      <c r="G12" s="16" t="s">
        <v>4</v>
      </c>
      <c r="H12" s="17">
        <v>413.25</v>
      </c>
      <c r="I12" s="5">
        <v>413.25</v>
      </c>
      <c r="J12" s="6">
        <v>1</v>
      </c>
      <c r="K12" s="5">
        <f>I12*J12</f>
        <v>413.25</v>
      </c>
      <c r="L12" s="8">
        <v>53.43</v>
      </c>
      <c r="M12" s="10">
        <f>K12*L12</f>
        <v>22079.947499999998</v>
      </c>
      <c r="N12" s="20"/>
    </row>
    <row r="13" spans="1:14" ht="21" customHeight="1" x14ac:dyDescent="0.3">
      <c r="A13" s="20"/>
      <c r="B13" s="20"/>
      <c r="C13" s="20"/>
      <c r="D13" s="12" t="s">
        <v>17</v>
      </c>
      <c r="E13" s="13" t="s">
        <v>18</v>
      </c>
      <c r="F13" s="12" t="s">
        <v>19</v>
      </c>
      <c r="G13" s="13" t="s">
        <v>20</v>
      </c>
      <c r="H13" s="14">
        <v>413.25</v>
      </c>
      <c r="I13" s="2">
        <v>413.25</v>
      </c>
      <c r="J13" s="3">
        <v>0.63494252873563217</v>
      </c>
      <c r="K13" s="2">
        <f>I13*J13</f>
        <v>262.39</v>
      </c>
      <c r="L13" s="7">
        <v>25.68</v>
      </c>
      <c r="M13" s="9">
        <f>K13*L13</f>
        <v>6738.1751999999997</v>
      </c>
      <c r="N13" s="20"/>
    </row>
    <row r="14" spans="1:14" ht="36" x14ac:dyDescent="0.3">
      <c r="A14" s="20"/>
      <c r="B14" s="20"/>
      <c r="C14" s="20"/>
      <c r="D14" s="15" t="s">
        <v>21</v>
      </c>
      <c r="E14" s="16" t="s">
        <v>22</v>
      </c>
      <c r="F14" s="15" t="s">
        <v>23</v>
      </c>
      <c r="G14" s="16" t="s">
        <v>4</v>
      </c>
      <c r="H14" s="17">
        <v>85.92</v>
      </c>
      <c r="I14" s="5">
        <v>85.92</v>
      </c>
      <c r="J14" s="6">
        <v>1</v>
      </c>
      <c r="K14" s="5">
        <f>I14*J14</f>
        <v>85.92</v>
      </c>
      <c r="L14" s="8">
        <v>32.659999999999997</v>
      </c>
      <c r="M14" s="10">
        <f>K14*L14</f>
        <v>2806.1471999999999</v>
      </c>
      <c r="N14" s="20"/>
    </row>
    <row r="15" spans="1:14" ht="36" x14ac:dyDescent="0.3">
      <c r="A15" s="20"/>
      <c r="B15" s="20"/>
      <c r="C15" s="20"/>
      <c r="D15" s="12" t="s">
        <v>24</v>
      </c>
      <c r="E15" s="13" t="s">
        <v>25</v>
      </c>
      <c r="F15" s="12" t="s">
        <v>26</v>
      </c>
      <c r="G15" s="13" t="s">
        <v>27</v>
      </c>
      <c r="H15" s="14">
        <v>4.37</v>
      </c>
      <c r="I15" s="2">
        <v>4.37</v>
      </c>
      <c r="J15" s="3">
        <v>1</v>
      </c>
      <c r="K15" s="2">
        <f>I15*J15</f>
        <v>4.37</v>
      </c>
      <c r="L15" s="7">
        <v>179.86</v>
      </c>
      <c r="M15" s="9">
        <f>K15*L15</f>
        <v>785.98820000000012</v>
      </c>
      <c r="N15" s="20"/>
    </row>
    <row r="16" spans="1:14" ht="24" x14ac:dyDescent="0.3">
      <c r="A16" s="20"/>
      <c r="B16" s="20"/>
      <c r="C16" s="20"/>
      <c r="D16" s="15" t="s">
        <v>28</v>
      </c>
      <c r="E16" s="16" t="s">
        <v>18</v>
      </c>
      <c r="F16" s="15" t="s">
        <v>29</v>
      </c>
      <c r="G16" s="16" t="s">
        <v>20</v>
      </c>
      <c r="H16" s="17">
        <v>104.27</v>
      </c>
      <c r="I16" s="5">
        <v>104.27</v>
      </c>
      <c r="J16" s="6">
        <v>1</v>
      </c>
      <c r="K16" s="5">
        <f>I16*J16</f>
        <v>104.27</v>
      </c>
      <c r="L16" s="8">
        <v>25.68</v>
      </c>
      <c r="M16" s="10">
        <f>K16*L16</f>
        <v>2677.6535999999996</v>
      </c>
      <c r="N16" s="20"/>
    </row>
    <row r="17" spans="1:14" x14ac:dyDescent="0.3">
      <c r="A17" s="20"/>
      <c r="B17" s="20"/>
      <c r="C17" s="20"/>
      <c r="D17" s="20"/>
      <c r="E17" s="20"/>
      <c r="F17" s="20"/>
      <c r="G17" s="20"/>
      <c r="H17" s="20"/>
      <c r="I17" s="21"/>
      <c r="J17" s="21"/>
      <c r="K17" s="19" t="s">
        <v>36</v>
      </c>
      <c r="L17" s="19"/>
      <c r="M17" s="18">
        <f>SUM(M9:M16)</f>
        <v>55334.597799999989</v>
      </c>
      <c r="N17" s="20"/>
    </row>
    <row r="18" spans="1:14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1:14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</sheetData>
  <mergeCells count="1">
    <mergeCell ref="K17:L1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81" orientation="landscape" r:id="rId1"/>
  <headerFooter>
    <oddHeader>&amp;C&amp;"Times New Roman,Negrito"&amp;14ANEXO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cp:lastPrinted>2026-05-07T13:34:03Z</cp:lastPrinted>
  <dcterms:created xsi:type="dcterms:W3CDTF">2026-05-07T12:28:53Z</dcterms:created>
  <dcterms:modified xsi:type="dcterms:W3CDTF">2026-05-07T13:35:18Z</dcterms:modified>
</cp:coreProperties>
</file>