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yara\OneDrive\02.J.A Engenharia\04.Obras\Coremas.PB - TP 40001_2023 (Creche)\Diversos\Pedido 3 Aditivo de Valor\"/>
    </mc:Choice>
  </mc:AlternateContent>
  <xr:revisionPtr revIDLastSave="0" documentId="13_ncr:1_{193CA753-D2D6-49B4-B2F5-FA2D024772FF}" xr6:coauthVersionLast="47" xr6:coauthVersionMax="47" xr10:uidLastSave="{00000000-0000-0000-0000-000000000000}"/>
  <bookViews>
    <workbookView xWindow="-120" yWindow="-120" windowWidth="20730" windowHeight="11160" tabRatio="567" activeTab="1" xr2:uid="{00000000-000D-0000-FFFF-FFFF00000000}"/>
  </bookViews>
  <sheets>
    <sheet name="REPROGRAMAÇÃO" sheetId="3" r:id="rId1"/>
    <sheet name="MEMORIAL" sheetId="6" r:id="rId2"/>
  </sheets>
  <definedNames>
    <definedName name="_xlnm.Print_Area" localSheetId="1">MEMORIAL!$A$1:$AJ$1560</definedName>
    <definedName name="_xlnm.Print_Area" localSheetId="0">REPROGRAMAÇÃO!$A$1:$X$360</definedName>
    <definedName name="JR_PAGE_ANCHOR_0_1" localSheetId="1">MEMORIAL!$A$5</definedName>
    <definedName name="JR_PAGE_ANCHOR_0_1" localSheetId="0">REPROGRAMAÇÃO!$A$5</definedName>
    <definedName name="JR_PAGE_ANCHOR_0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31" i="6" l="1"/>
  <c r="S87" i="3"/>
  <c r="AJ436" i="6"/>
  <c r="T83" i="3"/>
  <c r="T84" i="3"/>
  <c r="T85" i="3"/>
  <c r="T86" i="3"/>
  <c r="T82" i="3"/>
  <c r="AJ10" i="6"/>
  <c r="AJ9" i="6"/>
  <c r="V12" i="3"/>
  <c r="U9" i="3"/>
  <c r="D1453" i="6"/>
  <c r="D1460" i="6"/>
  <c r="D1459" i="6"/>
  <c r="D1458" i="6"/>
  <c r="AJ1415" i="6"/>
  <c r="AJ1413" i="6"/>
  <c r="AJ1414" i="6"/>
  <c r="AJ1412" i="6"/>
  <c r="AJ1116" i="6"/>
  <c r="AJ1115" i="6"/>
  <c r="AJ1114" i="6"/>
  <c r="AJ1113" i="6"/>
  <c r="AJ1112" i="6"/>
  <c r="AJ1111" i="6"/>
  <c r="AJ1110" i="6"/>
  <c r="AJ1109" i="6"/>
  <c r="AJ1108" i="6"/>
  <c r="AJ1107" i="6"/>
  <c r="AJ1106" i="6"/>
  <c r="AJ1105" i="6"/>
  <c r="AJ1104" i="6"/>
  <c r="AJ1103" i="6"/>
  <c r="AJ1102" i="6"/>
  <c r="AJ1101" i="6"/>
  <c r="AJ1100" i="6"/>
  <c r="AJ1099" i="6"/>
  <c r="AJ1098" i="6"/>
  <c r="AJ1097" i="6"/>
  <c r="AJ1096" i="6"/>
  <c r="AJ1095" i="6"/>
  <c r="AJ1094" i="6"/>
  <c r="AJ1093" i="6"/>
  <c r="AJ1092" i="6"/>
  <c r="AJ1011" i="6"/>
  <c r="AJ1010" i="6"/>
  <c r="AJ1009" i="6"/>
  <c r="AJ1008" i="6"/>
  <c r="AJ1007" i="6"/>
  <c r="AJ1006" i="6"/>
  <c r="AJ1005" i="6"/>
  <c r="AJ1004" i="6"/>
  <c r="AJ1003" i="6"/>
  <c r="AJ1002" i="6"/>
  <c r="AJ1001" i="6"/>
  <c r="AJ1000" i="6"/>
  <c r="AJ999" i="6"/>
  <c r="AJ998" i="6"/>
  <c r="AJ997" i="6"/>
  <c r="AJ996" i="6"/>
  <c r="AJ995" i="6"/>
  <c r="AJ994" i="6"/>
  <c r="AJ993" i="6"/>
  <c r="AJ992" i="6"/>
  <c r="AJ991" i="6"/>
  <c r="AJ990" i="6"/>
  <c r="AJ989" i="6"/>
  <c r="AJ988" i="6"/>
  <c r="AJ987" i="6"/>
  <c r="W37" i="3"/>
  <c r="AJ443" i="6"/>
  <c r="AJ442" i="6"/>
  <c r="AJ441" i="6"/>
  <c r="AJ440" i="6"/>
  <c r="AJ439" i="6"/>
  <c r="AJ487" i="6"/>
  <c r="AJ488" i="6"/>
  <c r="AJ489" i="6"/>
  <c r="AJ486" i="6"/>
  <c r="AJ483" i="6"/>
  <c r="AJ480" i="6"/>
  <c r="AJ481" i="6"/>
  <c r="AJ482" i="6"/>
  <c r="AJ479" i="6"/>
  <c r="G94" i="3"/>
  <c r="AJ447" i="6"/>
  <c r="AJ448" i="6" s="1"/>
  <c r="S91" i="3" s="1"/>
  <c r="G93" i="3"/>
  <c r="H93" i="3" l="1"/>
  <c r="U87" i="3"/>
  <c r="AJ1117" i="6"/>
  <c r="T131" i="3" s="1"/>
  <c r="AJ1012" i="6"/>
  <c r="T129" i="3" s="1"/>
  <c r="AJ444" i="6"/>
  <c r="S89" i="3" s="1"/>
  <c r="AJ484" i="6"/>
  <c r="S93" i="3" s="1"/>
  <c r="V93" i="3" s="1"/>
  <c r="AJ490" i="6"/>
  <c r="S94" i="3" s="1"/>
  <c r="U93" i="3" l="1"/>
  <c r="U94" i="3" l="1"/>
  <c r="W93" i="3"/>
  <c r="H94" i="3"/>
  <c r="W94" i="3" s="1"/>
  <c r="G122" i="3"/>
  <c r="H122" i="3" s="1"/>
  <c r="W122" i="3" s="1"/>
  <c r="G121" i="3"/>
  <c r="AJ959" i="6"/>
  <c r="AJ960" i="6" s="1"/>
  <c r="S122" i="3" s="1"/>
  <c r="V117" i="3"/>
  <c r="AJ771" i="6"/>
  <c r="AJ772" i="6"/>
  <c r="AJ773" i="6"/>
  <c r="AJ774" i="6"/>
  <c r="AJ775" i="6"/>
  <c r="AJ776" i="6"/>
  <c r="AJ777" i="6"/>
  <c r="AJ778" i="6"/>
  <c r="AJ779" i="6"/>
  <c r="AJ780" i="6"/>
  <c r="AJ781" i="6"/>
  <c r="AJ782" i="6"/>
  <c r="AJ783" i="6"/>
  <c r="AJ784" i="6"/>
  <c r="AJ785" i="6"/>
  <c r="AJ786" i="6"/>
  <c r="AJ787" i="6"/>
  <c r="AJ788" i="6"/>
  <c r="AJ789" i="6"/>
  <c r="AJ790" i="6"/>
  <c r="AJ791" i="6"/>
  <c r="AJ792" i="6"/>
  <c r="AJ793" i="6"/>
  <c r="AJ794" i="6"/>
  <c r="AJ795" i="6"/>
  <c r="AJ796" i="6"/>
  <c r="AJ770" i="6"/>
  <c r="AJ759" i="6"/>
  <c r="AJ760" i="6"/>
  <c r="AJ761" i="6"/>
  <c r="AJ762" i="6"/>
  <c r="AJ758" i="6"/>
  <c r="AJ748" i="6"/>
  <c r="AJ749" i="6"/>
  <c r="AJ750" i="6"/>
  <c r="AJ751" i="6"/>
  <c r="AJ752" i="6"/>
  <c r="AJ753" i="6"/>
  <c r="AJ754" i="6"/>
  <c r="AJ747" i="6"/>
  <c r="AJ727" i="6"/>
  <c r="AJ728" i="6"/>
  <c r="AJ729" i="6"/>
  <c r="AJ730" i="6"/>
  <c r="AJ731" i="6"/>
  <c r="AJ732" i="6"/>
  <c r="AJ733" i="6"/>
  <c r="AJ734" i="6"/>
  <c r="AJ735" i="6"/>
  <c r="AJ736" i="6"/>
  <c r="AJ737" i="6"/>
  <c r="AJ738" i="6"/>
  <c r="AJ739" i="6"/>
  <c r="AJ740" i="6"/>
  <c r="AJ741" i="6"/>
  <c r="AJ742" i="6"/>
  <c r="AJ743" i="6"/>
  <c r="AJ744" i="6"/>
  <c r="AJ726" i="6"/>
  <c r="AJ653" i="6"/>
  <c r="AJ658" i="6"/>
  <c r="AJ654" i="6"/>
  <c r="AJ655" i="6"/>
  <c r="AJ656" i="6"/>
  <c r="AJ657" i="6"/>
  <c r="AJ659" i="6"/>
  <c r="AJ660" i="6"/>
  <c r="AJ419" i="6"/>
  <c r="AJ407" i="6"/>
  <c r="AJ365" i="6"/>
  <c r="AJ366" i="6"/>
  <c r="AJ367" i="6"/>
  <c r="AJ368" i="6"/>
  <c r="AJ369" i="6"/>
  <c r="AJ370" i="6"/>
  <c r="AJ371" i="6"/>
  <c r="AJ372" i="6"/>
  <c r="AJ373" i="6"/>
  <c r="AJ364" i="6"/>
  <c r="AJ395" i="6"/>
  <c r="AJ352" i="6"/>
  <c r="AJ348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2" i="6"/>
  <c r="AJ283" i="6"/>
  <c r="AJ284" i="6"/>
  <c r="AJ285" i="6"/>
  <c r="AJ286" i="6"/>
  <c r="AJ287" i="6"/>
  <c r="AJ288" i="6"/>
  <c r="AJ290" i="6"/>
  <c r="AJ292" i="6"/>
  <c r="AJ293" i="6"/>
  <c r="AJ294" i="6"/>
  <c r="AJ296" i="6"/>
  <c r="AJ297" i="6"/>
  <c r="AJ299" i="6"/>
  <c r="AJ300" i="6"/>
  <c r="AJ249" i="6"/>
  <c r="AJ117" i="6"/>
  <c r="AJ116" i="6"/>
  <c r="AJ108" i="6"/>
  <c r="AJ99" i="6"/>
  <c r="AJ80" i="6"/>
  <c r="AJ26" i="6"/>
  <c r="AJ17" i="6"/>
  <c r="AJ1526" i="6"/>
  <c r="AJ1520" i="6"/>
  <c r="AJ1515" i="6"/>
  <c r="AJ1509" i="6"/>
  <c r="AJ414" i="6"/>
  <c r="H1486" i="6"/>
  <c r="AJ1486" i="6" s="1"/>
  <c r="H1481" i="6"/>
  <c r="AJ1481" i="6" s="1"/>
  <c r="AJ1476" i="6"/>
  <c r="AJ1470" i="6"/>
  <c r="AJ1471" i="6"/>
  <c r="AJ1466" i="6"/>
  <c r="J1460" i="6"/>
  <c r="H1460" i="6"/>
  <c r="D1455" i="6"/>
  <c r="AJ1455" i="6" s="1"/>
  <c r="AJ1450" i="6"/>
  <c r="AJ1445" i="6"/>
  <c r="AJ1444" i="6"/>
  <c r="AJ1440" i="6"/>
  <c r="H1434" i="6"/>
  <c r="L1434" i="6" s="1"/>
  <c r="AJ1434" i="6" s="1"/>
  <c r="AJ1429" i="6"/>
  <c r="AJ1424" i="6"/>
  <c r="AJ1407" i="6"/>
  <c r="AJ1417" i="6"/>
  <c r="AJ1418" i="6"/>
  <c r="AJ1419" i="6"/>
  <c r="D1408" i="6"/>
  <c r="AJ1408" i="6" s="1"/>
  <c r="G101" i="3"/>
  <c r="AJ1525" i="6"/>
  <c r="AJ1524" i="6"/>
  <c r="W325" i="3"/>
  <c r="W324" i="3" s="1"/>
  <c r="AH1519" i="6"/>
  <c r="AJ1519" i="6" s="1"/>
  <c r="AH1518" i="6"/>
  <c r="AJ1518" i="6" s="1"/>
  <c r="AH1514" i="6"/>
  <c r="AJ1514" i="6" s="1"/>
  <c r="AH1513" i="6"/>
  <c r="AJ1513" i="6" s="1"/>
  <c r="AH1508" i="6"/>
  <c r="AJ1508" i="6" s="1"/>
  <c r="AH1507" i="6"/>
  <c r="AJ1507" i="6" s="1"/>
  <c r="U319" i="3"/>
  <c r="W320" i="3"/>
  <c r="W319" i="3" s="1"/>
  <c r="U321" i="3"/>
  <c r="W322" i="3"/>
  <c r="W321" i="3" s="1"/>
  <c r="W323" i="3"/>
  <c r="AJ1503" i="6"/>
  <c r="AJ1502" i="6"/>
  <c r="AJ1499" i="6"/>
  <c r="AJ1498" i="6"/>
  <c r="AJ1495" i="6"/>
  <c r="AJ1494" i="6"/>
  <c r="AJ1491" i="6"/>
  <c r="AJ1490" i="6"/>
  <c r="H1485" i="6"/>
  <c r="AJ1485" i="6" s="1"/>
  <c r="H1484" i="6"/>
  <c r="AJ1484" i="6" s="1"/>
  <c r="H1480" i="6"/>
  <c r="AJ1480" i="6" s="1"/>
  <c r="H1479" i="6"/>
  <c r="AJ1479" i="6" s="1"/>
  <c r="AJ1465" i="6"/>
  <c r="AJ1464" i="6"/>
  <c r="AJ1475" i="6"/>
  <c r="AJ1474" i="6"/>
  <c r="AJ1469" i="6"/>
  <c r="H1433" i="6"/>
  <c r="L1433" i="6" s="1"/>
  <c r="N1433" i="6"/>
  <c r="AJ1428" i="6"/>
  <c r="AJ1423" i="6"/>
  <c r="AJ1422" i="6"/>
  <c r="J1458" i="6"/>
  <c r="J1459" i="6"/>
  <c r="D1454" i="6"/>
  <c r="H1459" i="6" s="1"/>
  <c r="H1458" i="6"/>
  <c r="AJ1449" i="6"/>
  <c r="AJ1448" i="6"/>
  <c r="AJ1443" i="6"/>
  <c r="AJ1439" i="6"/>
  <c r="AJ1438" i="6"/>
  <c r="N1432" i="6"/>
  <c r="H1432" i="6"/>
  <c r="L1432" i="6" s="1"/>
  <c r="AJ1427" i="6"/>
  <c r="AJ1404" i="6"/>
  <c r="AJ1406" i="6"/>
  <c r="AJ1405" i="6"/>
  <c r="W298" i="3"/>
  <c r="W299" i="3"/>
  <c r="W300" i="3"/>
  <c r="W301" i="3"/>
  <c r="W303" i="3"/>
  <c r="W304" i="3"/>
  <c r="W305" i="3"/>
  <c r="W306" i="3"/>
  <c r="W307" i="3"/>
  <c r="W309" i="3"/>
  <c r="W310" i="3"/>
  <c r="W311" i="3"/>
  <c r="W312" i="3"/>
  <c r="W313" i="3"/>
  <c r="W315" i="3"/>
  <c r="W316" i="3"/>
  <c r="W317" i="3"/>
  <c r="W318" i="3"/>
  <c r="V286" i="3"/>
  <c r="W295" i="3"/>
  <c r="W294" i="3" s="1"/>
  <c r="V94" i="3" l="1"/>
  <c r="X93" i="3"/>
  <c r="X94" i="3"/>
  <c r="V122" i="3"/>
  <c r="U122" i="3"/>
  <c r="X122" i="3" s="1"/>
  <c r="AJ1521" i="6"/>
  <c r="S323" i="3" s="1"/>
  <c r="AJ1527" i="6"/>
  <c r="S325" i="3" s="1"/>
  <c r="V325" i="3" s="1"/>
  <c r="V324" i="3" s="1"/>
  <c r="AJ763" i="6"/>
  <c r="AJ661" i="6"/>
  <c r="AJ755" i="6"/>
  <c r="AJ374" i="6"/>
  <c r="AJ1510" i="6"/>
  <c r="S320" i="3" s="1"/>
  <c r="U320" i="3" s="1"/>
  <c r="X320" i="3" s="1"/>
  <c r="X319" i="3" s="1"/>
  <c r="AJ1516" i="6"/>
  <c r="S322" i="3" s="1"/>
  <c r="U322" i="3" s="1"/>
  <c r="X322" i="3" s="1"/>
  <c r="AJ1477" i="6"/>
  <c r="S311" i="3" s="1"/>
  <c r="U311" i="3" s="1"/>
  <c r="X311" i="3" s="1"/>
  <c r="L1460" i="6"/>
  <c r="AJ1460" i="6" s="1"/>
  <c r="AJ1487" i="6"/>
  <c r="S313" i="3" s="1"/>
  <c r="U313" i="3" s="1"/>
  <c r="X313" i="3" s="1"/>
  <c r="AJ1467" i="6"/>
  <c r="S309" i="3" s="1"/>
  <c r="U309" i="3" s="1"/>
  <c r="X309" i="3" s="1"/>
  <c r="AJ1482" i="6"/>
  <c r="S312" i="3" s="1"/>
  <c r="V312" i="3" s="1"/>
  <c r="AJ1472" i="6"/>
  <c r="S310" i="3" s="1"/>
  <c r="V310" i="3" s="1"/>
  <c r="AJ1451" i="6"/>
  <c r="S305" i="3" s="1"/>
  <c r="V305" i="3" s="1"/>
  <c r="AJ1446" i="6"/>
  <c r="S304" i="3" s="1"/>
  <c r="U304" i="3" s="1"/>
  <c r="X304" i="3" s="1"/>
  <c r="AJ1454" i="6"/>
  <c r="AJ1441" i="6"/>
  <c r="S303" i="3" s="1"/>
  <c r="U303" i="3" s="1"/>
  <c r="X303" i="3" s="1"/>
  <c r="AJ1433" i="6"/>
  <c r="AJ1430" i="6"/>
  <c r="S300" i="3" s="1"/>
  <c r="V300" i="3" s="1"/>
  <c r="AJ1425" i="6"/>
  <c r="S299" i="3" s="1"/>
  <c r="V299" i="3" s="1"/>
  <c r="AJ1420" i="6"/>
  <c r="S298" i="3" s="1"/>
  <c r="U298" i="3" s="1"/>
  <c r="X298" i="3" s="1"/>
  <c r="S297" i="3"/>
  <c r="V297" i="3" s="1"/>
  <c r="AJ1409" i="6"/>
  <c r="S295" i="3" s="1"/>
  <c r="AJ1504" i="6"/>
  <c r="S318" i="3" s="1"/>
  <c r="U318" i="3" s="1"/>
  <c r="X318" i="3" s="1"/>
  <c r="AJ1500" i="6"/>
  <c r="S317" i="3" s="1"/>
  <c r="U317" i="3" s="1"/>
  <c r="X317" i="3" s="1"/>
  <c r="W308" i="3"/>
  <c r="W314" i="3"/>
  <c r="W302" i="3"/>
  <c r="AJ1492" i="6"/>
  <c r="S315" i="3" s="1"/>
  <c r="V315" i="3" s="1"/>
  <c r="AJ1496" i="6"/>
  <c r="S316" i="3" s="1"/>
  <c r="U316" i="3" s="1"/>
  <c r="X316" i="3" s="1"/>
  <c r="AJ1432" i="6"/>
  <c r="L1459" i="6"/>
  <c r="AJ1459" i="6" s="1"/>
  <c r="L1458" i="6"/>
  <c r="AJ1458" i="6" s="1"/>
  <c r="AJ1453" i="6"/>
  <c r="V323" i="3" l="1"/>
  <c r="U323" i="3"/>
  <c r="X323" i="3" s="1"/>
  <c r="X321" i="3" s="1"/>
  <c r="AJ1461" i="6"/>
  <c r="S307" i="3" s="1"/>
  <c r="V307" i="3" s="1"/>
  <c r="AJ1456" i="6"/>
  <c r="S306" i="3" s="1"/>
  <c r="V306" i="3" s="1"/>
  <c r="AJ1435" i="6"/>
  <c r="S301" i="3" s="1"/>
  <c r="U301" i="3" s="1"/>
  <c r="X301" i="3" s="1"/>
  <c r="U325" i="3"/>
  <c r="X325" i="3" s="1"/>
  <c r="X324" i="3" s="1"/>
  <c r="V322" i="3"/>
  <c r="V320" i="3"/>
  <c r="V319" i="3" s="1"/>
  <c r="V318" i="3"/>
  <c r="V317" i="3"/>
  <c r="U315" i="3"/>
  <c r="X315" i="3" s="1"/>
  <c r="X314" i="3" s="1"/>
  <c r="V316" i="3"/>
  <c r="U312" i="3"/>
  <c r="X312" i="3" s="1"/>
  <c r="V313" i="3"/>
  <c r="V311" i="3"/>
  <c r="V309" i="3"/>
  <c r="U310" i="3"/>
  <c r="X310" i="3" s="1"/>
  <c r="U299" i="3"/>
  <c r="X299" i="3" s="1"/>
  <c r="U300" i="3"/>
  <c r="X300" i="3" s="1"/>
  <c r="V298" i="3"/>
  <c r="U305" i="3"/>
  <c r="X305" i="3" s="1"/>
  <c r="U297" i="3"/>
  <c r="V303" i="3"/>
  <c r="V304" i="3"/>
  <c r="V295" i="3"/>
  <c r="V294" i="3" s="1"/>
  <c r="U295" i="3"/>
  <c r="X295" i="3" s="1"/>
  <c r="X294" i="3" s="1"/>
  <c r="V321" i="3" l="1"/>
  <c r="X308" i="3"/>
  <c r="V314" i="3"/>
  <c r="V302" i="3"/>
  <c r="V308" i="3"/>
  <c r="U307" i="3"/>
  <c r="X307" i="3" s="1"/>
  <c r="V301" i="3"/>
  <c r="V296" i="3" s="1"/>
  <c r="U306" i="3"/>
  <c r="X306" i="3" s="1"/>
  <c r="L302" i="3"/>
  <c r="K302" i="3"/>
  <c r="L298" i="3"/>
  <c r="K298" i="3"/>
  <c r="W297" i="3"/>
  <c r="W296" i="3" s="1"/>
  <c r="W293" i="3" s="1"/>
  <c r="X297" i="3"/>
  <c r="X296" i="3" s="1"/>
  <c r="L297" i="3"/>
  <c r="K297" i="3"/>
  <c r="L295" i="3"/>
  <c r="K295" i="3"/>
  <c r="D298" i="6"/>
  <c r="AJ298" i="6" s="1"/>
  <c r="D295" i="6"/>
  <c r="AJ295" i="6" s="1"/>
  <c r="D291" i="6"/>
  <c r="AJ291" i="6" s="1"/>
  <c r="D289" i="6"/>
  <c r="AJ289" i="6" s="1"/>
  <c r="D281" i="6"/>
  <c r="AJ281" i="6" s="1"/>
  <c r="AH195" i="6"/>
  <c r="AJ195" i="6" s="1"/>
  <c r="AH246" i="6"/>
  <c r="AJ246" i="6" s="1"/>
  <c r="AH240" i="6"/>
  <c r="AJ240" i="6" s="1"/>
  <c r="AH241" i="6"/>
  <c r="AH242" i="6"/>
  <c r="AJ242" i="6" s="1"/>
  <c r="AH243" i="6"/>
  <c r="AJ243" i="6" s="1"/>
  <c r="AH244" i="6"/>
  <c r="AH245" i="6"/>
  <c r="AJ245" i="6" s="1"/>
  <c r="AH223" i="6"/>
  <c r="AJ223" i="6" s="1"/>
  <c r="AH224" i="6"/>
  <c r="AJ224" i="6" s="1"/>
  <c r="AH225" i="6"/>
  <c r="AJ225" i="6" s="1"/>
  <c r="AH226" i="6"/>
  <c r="AJ226" i="6" s="1"/>
  <c r="AH227" i="6"/>
  <c r="AH228" i="6"/>
  <c r="AJ228" i="6" s="1"/>
  <c r="AH229" i="6"/>
  <c r="AJ229" i="6" s="1"/>
  <c r="AH230" i="6"/>
  <c r="AJ230" i="6" s="1"/>
  <c r="AH231" i="6"/>
  <c r="AJ231" i="6" s="1"/>
  <c r="AH232" i="6"/>
  <c r="AJ232" i="6" s="1"/>
  <c r="AH233" i="6"/>
  <c r="AJ233" i="6" s="1"/>
  <c r="AH234" i="6"/>
  <c r="AJ234" i="6" s="1"/>
  <c r="AH235" i="6"/>
  <c r="AH236" i="6"/>
  <c r="AJ236" i="6" s="1"/>
  <c r="AH237" i="6"/>
  <c r="AH238" i="6"/>
  <c r="AJ238" i="6" s="1"/>
  <c r="AH239" i="6"/>
  <c r="AJ239" i="6" s="1"/>
  <c r="AH213" i="6"/>
  <c r="AJ213" i="6" s="1"/>
  <c r="AH214" i="6"/>
  <c r="AJ214" i="6" s="1"/>
  <c r="AH215" i="6"/>
  <c r="AJ215" i="6" s="1"/>
  <c r="AH216" i="6"/>
  <c r="AJ216" i="6" s="1"/>
  <c r="AH217" i="6"/>
  <c r="AJ217" i="6" s="1"/>
  <c r="AH218" i="6"/>
  <c r="AJ218" i="6" s="1"/>
  <c r="AH219" i="6"/>
  <c r="AJ219" i="6" s="1"/>
  <c r="AH220" i="6"/>
  <c r="AJ220" i="6" s="1"/>
  <c r="AH221" i="6"/>
  <c r="AJ221" i="6" s="1"/>
  <c r="AH222" i="6"/>
  <c r="AJ222" i="6" s="1"/>
  <c r="AH196" i="6"/>
  <c r="AJ196" i="6" s="1"/>
  <c r="AH197" i="6"/>
  <c r="AJ197" i="6" s="1"/>
  <c r="AH198" i="6"/>
  <c r="AJ198" i="6" s="1"/>
  <c r="AH199" i="6"/>
  <c r="AJ199" i="6" s="1"/>
  <c r="AH200" i="6"/>
  <c r="AJ200" i="6" s="1"/>
  <c r="AH201" i="6"/>
  <c r="AJ201" i="6" s="1"/>
  <c r="AH202" i="6"/>
  <c r="AJ202" i="6" s="1"/>
  <c r="AH203" i="6"/>
  <c r="AJ203" i="6" s="1"/>
  <c r="AH204" i="6"/>
  <c r="AJ204" i="6" s="1"/>
  <c r="AH205" i="6"/>
  <c r="AJ205" i="6" s="1"/>
  <c r="AH206" i="6"/>
  <c r="AJ206" i="6" s="1"/>
  <c r="AH207" i="6"/>
  <c r="AJ207" i="6" s="1"/>
  <c r="AH208" i="6"/>
  <c r="AJ208" i="6" s="1"/>
  <c r="AH209" i="6"/>
  <c r="AJ209" i="6" s="1"/>
  <c r="AH210" i="6"/>
  <c r="AJ210" i="6" s="1"/>
  <c r="AH211" i="6"/>
  <c r="AJ211" i="6" s="1"/>
  <c r="AH212" i="6"/>
  <c r="AJ212" i="6" s="1"/>
  <c r="D244" i="6"/>
  <c r="D241" i="6"/>
  <c r="D237" i="6"/>
  <c r="D235" i="6"/>
  <c r="D227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4" i="6"/>
  <c r="AJ175" i="6"/>
  <c r="AJ176" i="6"/>
  <c r="AJ177" i="6"/>
  <c r="AJ178" i="6"/>
  <c r="AJ179" i="6"/>
  <c r="AJ180" i="6"/>
  <c r="AJ182" i="6"/>
  <c r="AJ184" i="6"/>
  <c r="AJ185" i="6"/>
  <c r="AJ186" i="6"/>
  <c r="AJ188" i="6"/>
  <c r="AJ189" i="6"/>
  <c r="AJ191" i="6"/>
  <c r="AJ192" i="6"/>
  <c r="D190" i="6"/>
  <c r="AJ190" i="6" s="1"/>
  <c r="D187" i="6"/>
  <c r="AJ187" i="6" s="1"/>
  <c r="D183" i="6"/>
  <c r="AJ183" i="6" s="1"/>
  <c r="D181" i="6"/>
  <c r="AJ181" i="6" s="1"/>
  <c r="D173" i="6"/>
  <c r="AJ173" i="6" s="1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09" i="6"/>
  <c r="AJ110" i="6"/>
  <c r="AJ111" i="6"/>
  <c r="AJ112" i="6"/>
  <c r="AJ113" i="6"/>
  <c r="AJ114" i="6"/>
  <c r="AJ105" i="6"/>
  <c r="AJ104" i="6"/>
  <c r="AJ103" i="6"/>
  <c r="AJ102" i="6"/>
  <c r="AJ101" i="6"/>
  <c r="AJ100" i="6"/>
  <c r="AJ81" i="6"/>
  <c r="AJ82" i="6"/>
  <c r="AJ83" i="6"/>
  <c r="AJ84" i="6"/>
  <c r="AJ85" i="6"/>
  <c r="AJ19" i="6"/>
  <c r="AJ77" i="6"/>
  <c r="AJ64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9" i="6"/>
  <c r="AJ60" i="6"/>
  <c r="AJ61" i="6"/>
  <c r="AJ62" i="6"/>
  <c r="AJ63" i="6"/>
  <c r="AJ65" i="6"/>
  <c r="AJ67" i="6"/>
  <c r="AJ69" i="6"/>
  <c r="AJ70" i="6"/>
  <c r="AJ71" i="6"/>
  <c r="AJ73" i="6"/>
  <c r="AJ74" i="6"/>
  <c r="AJ76" i="6"/>
  <c r="AJ18" i="6"/>
  <c r="AJ20" i="6"/>
  <c r="AJ21" i="6"/>
  <c r="AJ22" i="6"/>
  <c r="AJ23" i="6"/>
  <c r="D75" i="6"/>
  <c r="AJ75" i="6" s="1"/>
  <c r="D72" i="6"/>
  <c r="AJ72" i="6" s="1"/>
  <c r="D68" i="6"/>
  <c r="AJ68" i="6" s="1"/>
  <c r="D66" i="6"/>
  <c r="AJ66" i="6" s="1"/>
  <c r="D58" i="6"/>
  <c r="AJ58" i="6" s="1"/>
  <c r="U99" i="3"/>
  <c r="H648" i="6"/>
  <c r="AJ648" i="6" s="1"/>
  <c r="H647" i="6"/>
  <c r="AJ647" i="6" s="1"/>
  <c r="H646" i="6"/>
  <c r="AJ646" i="6" s="1"/>
  <c r="H645" i="6"/>
  <c r="AJ645" i="6" s="1"/>
  <c r="H644" i="6"/>
  <c r="AJ644" i="6" s="1"/>
  <c r="H641" i="6"/>
  <c r="AJ641" i="6" s="1"/>
  <c r="H640" i="6"/>
  <c r="AJ640" i="6" s="1"/>
  <c r="H639" i="6"/>
  <c r="AJ639" i="6" s="1"/>
  <c r="H637" i="6"/>
  <c r="AJ637" i="6" s="1"/>
  <c r="H636" i="6"/>
  <c r="AJ636" i="6" s="1"/>
  <c r="H635" i="6"/>
  <c r="AJ635" i="6" s="1"/>
  <c r="H632" i="6"/>
  <c r="AJ632" i="6" s="1"/>
  <c r="H631" i="6"/>
  <c r="AJ631" i="6" s="1"/>
  <c r="H629" i="6"/>
  <c r="AJ629" i="6" s="1"/>
  <c r="H626" i="6"/>
  <c r="AJ626" i="6" s="1"/>
  <c r="H625" i="6"/>
  <c r="AJ625" i="6" s="1"/>
  <c r="H624" i="6"/>
  <c r="AJ624" i="6" s="1"/>
  <c r="H623" i="6"/>
  <c r="AJ623" i="6" s="1"/>
  <c r="H621" i="6"/>
  <c r="AJ621" i="6" s="1"/>
  <c r="H620" i="6"/>
  <c r="AJ620" i="6" s="1"/>
  <c r="AJ613" i="6"/>
  <c r="AJ612" i="6"/>
  <c r="AJ611" i="6"/>
  <c r="AJ610" i="6"/>
  <c r="AJ609" i="6"/>
  <c r="AJ608" i="6"/>
  <c r="AJ607" i="6"/>
  <c r="AJ604" i="6"/>
  <c r="AJ603" i="6"/>
  <c r="AJ602" i="6"/>
  <c r="AJ601" i="6"/>
  <c r="AJ600" i="6"/>
  <c r="AJ599" i="6"/>
  <c r="AJ598" i="6"/>
  <c r="AJ597" i="6"/>
  <c r="AJ596" i="6"/>
  <c r="AJ595" i="6"/>
  <c r="AJ594" i="6"/>
  <c r="AJ593" i="6"/>
  <c r="AJ592" i="6"/>
  <c r="AJ591" i="6"/>
  <c r="AJ590" i="6"/>
  <c r="AJ589" i="6"/>
  <c r="AJ588" i="6"/>
  <c r="AJ587" i="6"/>
  <c r="AJ586" i="6"/>
  <c r="AJ585" i="6"/>
  <c r="AJ584" i="6"/>
  <c r="AJ583" i="6"/>
  <c r="AJ582" i="6"/>
  <c r="AJ581" i="6"/>
  <c r="AJ580" i="6"/>
  <c r="AJ579" i="6"/>
  <c r="AJ578" i="6"/>
  <c r="AJ577" i="6"/>
  <c r="AJ576" i="6"/>
  <c r="AJ575" i="6"/>
  <c r="AJ664" i="6"/>
  <c r="AJ666" i="6"/>
  <c r="AJ667" i="6"/>
  <c r="AJ668" i="6"/>
  <c r="AJ669" i="6"/>
  <c r="AJ670" i="6"/>
  <c r="AJ674" i="6"/>
  <c r="AJ675" i="6"/>
  <c r="AJ676" i="6"/>
  <c r="AJ677" i="6"/>
  <c r="AJ678" i="6"/>
  <c r="AJ679" i="6"/>
  <c r="AJ680" i="6"/>
  <c r="AJ681" i="6"/>
  <c r="AJ682" i="6"/>
  <c r="AJ683" i="6"/>
  <c r="AJ684" i="6"/>
  <c r="AJ685" i="6"/>
  <c r="AJ686" i="6"/>
  <c r="AJ687" i="6"/>
  <c r="AJ688" i="6"/>
  <c r="AJ689" i="6"/>
  <c r="AJ690" i="6"/>
  <c r="AJ691" i="6"/>
  <c r="AJ696" i="6"/>
  <c r="AJ698" i="6"/>
  <c r="AJ701" i="6"/>
  <c r="AJ703" i="6"/>
  <c r="AJ706" i="6"/>
  <c r="AJ707" i="6"/>
  <c r="AJ708" i="6"/>
  <c r="AJ709" i="6"/>
  <c r="AJ710" i="6"/>
  <c r="AJ712" i="6"/>
  <c r="AJ715" i="6"/>
  <c r="AJ716" i="6"/>
  <c r="AJ717" i="6"/>
  <c r="AJ718" i="6"/>
  <c r="AJ719" i="6"/>
  <c r="AJ547" i="6"/>
  <c r="H569" i="6"/>
  <c r="AJ569" i="6" s="1"/>
  <c r="H568" i="6"/>
  <c r="AJ568" i="6" s="1"/>
  <c r="H567" i="6"/>
  <c r="AJ567" i="6" s="1"/>
  <c r="H566" i="6"/>
  <c r="AJ566" i="6" s="1"/>
  <c r="H565" i="6"/>
  <c r="AJ565" i="6" s="1"/>
  <c r="H563" i="6"/>
  <c r="AJ563" i="6" s="1"/>
  <c r="H562" i="6"/>
  <c r="AJ562" i="6" s="1"/>
  <c r="AJ558" i="6"/>
  <c r="AJ557" i="6"/>
  <c r="AJ556" i="6"/>
  <c r="AJ555" i="6"/>
  <c r="AJ554" i="6"/>
  <c r="AJ553" i="6"/>
  <c r="AJ552" i="6"/>
  <c r="AJ551" i="6"/>
  <c r="AJ550" i="6"/>
  <c r="AJ549" i="6"/>
  <c r="AJ548" i="6"/>
  <c r="H542" i="6"/>
  <c r="AJ542" i="6" s="1"/>
  <c r="H541" i="6"/>
  <c r="AJ541" i="6" s="1"/>
  <c r="H540" i="6"/>
  <c r="AJ540" i="6" s="1"/>
  <c r="H539" i="6"/>
  <c r="AJ539" i="6" s="1"/>
  <c r="H538" i="6"/>
  <c r="AJ538" i="6" s="1"/>
  <c r="H536" i="6"/>
  <c r="AJ536" i="6" s="1"/>
  <c r="H535" i="6"/>
  <c r="AJ535" i="6" s="1"/>
  <c r="H533" i="6"/>
  <c r="AJ533" i="6" s="1"/>
  <c r="H532" i="6"/>
  <c r="AJ532" i="6" s="1"/>
  <c r="H531" i="6"/>
  <c r="AJ531" i="6" s="1"/>
  <c r="H530" i="6"/>
  <c r="AJ530" i="6" s="1"/>
  <c r="AJ526" i="6"/>
  <c r="AJ525" i="6"/>
  <c r="AJ524" i="6"/>
  <c r="AJ523" i="6"/>
  <c r="AJ522" i="6"/>
  <c r="AJ521" i="6"/>
  <c r="AJ520" i="6"/>
  <c r="AJ519" i="6"/>
  <c r="AJ518" i="6"/>
  <c r="AJ517" i="6"/>
  <c r="AJ516" i="6"/>
  <c r="AJ515" i="6"/>
  <c r="AJ514" i="6"/>
  <c r="AJ513" i="6"/>
  <c r="AJ512" i="6"/>
  <c r="AJ511" i="6"/>
  <c r="AJ510" i="6"/>
  <c r="AJ509" i="6"/>
  <c r="AJ508" i="6"/>
  <c r="AJ507" i="6"/>
  <c r="AJ506" i="6"/>
  <c r="AJ505" i="6"/>
  <c r="AJ504" i="6"/>
  <c r="AJ503" i="6"/>
  <c r="AJ502" i="6"/>
  <c r="AJ501" i="6"/>
  <c r="AJ500" i="6"/>
  <c r="AJ499" i="6"/>
  <c r="AJ498" i="6"/>
  <c r="AJ497" i="6"/>
  <c r="AJ397" i="6"/>
  <c r="AJ396" i="6"/>
  <c r="H390" i="6"/>
  <c r="AJ390" i="6" s="1"/>
  <c r="H389" i="6"/>
  <c r="AJ389" i="6" s="1"/>
  <c r="H388" i="6"/>
  <c r="AJ388" i="6" s="1"/>
  <c r="H387" i="6"/>
  <c r="AJ387" i="6" s="1"/>
  <c r="H386" i="6"/>
  <c r="AJ386" i="6" s="1"/>
  <c r="H384" i="6"/>
  <c r="AJ384" i="6" s="1"/>
  <c r="H383" i="6"/>
  <c r="AJ383" i="6" s="1"/>
  <c r="H381" i="6"/>
  <c r="AJ381" i="6" s="1"/>
  <c r="H380" i="6"/>
  <c r="AJ380" i="6" s="1"/>
  <c r="H379" i="6"/>
  <c r="AJ379" i="6" s="1"/>
  <c r="H378" i="6"/>
  <c r="AJ378" i="6" s="1"/>
  <c r="H377" i="6"/>
  <c r="AJ377" i="6" s="1"/>
  <c r="AJ361" i="6"/>
  <c r="AJ360" i="6"/>
  <c r="AJ359" i="6"/>
  <c r="AJ358" i="6"/>
  <c r="J357" i="6"/>
  <c r="AJ357" i="6" s="1"/>
  <c r="H356" i="6"/>
  <c r="F356" i="6"/>
  <c r="H355" i="6"/>
  <c r="F355" i="6"/>
  <c r="AJ354" i="6"/>
  <c r="H353" i="6"/>
  <c r="AJ353" i="6" s="1"/>
  <c r="AJ349" i="6"/>
  <c r="AJ347" i="6"/>
  <c r="AJ346" i="6"/>
  <c r="AJ345" i="6"/>
  <c r="AJ344" i="6"/>
  <c r="AJ343" i="6"/>
  <c r="AJ342" i="6"/>
  <c r="AJ341" i="6"/>
  <c r="AJ340" i="6"/>
  <c r="X302" i="3" l="1"/>
  <c r="X293" i="3" s="1"/>
  <c r="V293" i="3"/>
  <c r="AJ301" i="6"/>
  <c r="AJ543" i="6"/>
  <c r="AJ350" i="6"/>
  <c r="AJ527" i="6"/>
  <c r="AJ391" i="6"/>
  <c r="AJ570" i="6"/>
  <c r="AJ559" i="6"/>
  <c r="Q298" i="3"/>
  <c r="R298" i="3" s="1"/>
  <c r="Q295" i="3"/>
  <c r="R295" i="3" s="1"/>
  <c r="Q302" i="3"/>
  <c r="R302" i="3" s="1"/>
  <c r="Q297" i="3"/>
  <c r="R297" i="3" s="1"/>
  <c r="AJ244" i="6"/>
  <c r="AJ241" i="6"/>
  <c r="AJ235" i="6"/>
  <c r="AJ227" i="6"/>
  <c r="AJ237" i="6"/>
  <c r="AJ193" i="6"/>
  <c r="S30" i="3" s="1"/>
  <c r="AJ130" i="6"/>
  <c r="AJ115" i="6"/>
  <c r="AJ106" i="6"/>
  <c r="AJ78" i="6"/>
  <c r="AJ86" i="6"/>
  <c r="AJ24" i="6"/>
  <c r="AJ615" i="6"/>
  <c r="AJ605" i="6"/>
  <c r="AJ649" i="6"/>
  <c r="AJ671" i="6"/>
  <c r="AJ720" i="6"/>
  <c r="AJ692" i="6"/>
  <c r="AJ356" i="6"/>
  <c r="AJ398" i="6"/>
  <c r="S71" i="3" s="1"/>
  <c r="AJ355" i="6"/>
  <c r="AJ571" i="6" l="1"/>
  <c r="S100" i="3" s="1"/>
  <c r="U100" i="3" s="1"/>
  <c r="AJ544" i="6"/>
  <c r="T101" i="3" s="1"/>
  <c r="AJ362" i="6"/>
  <c r="AJ392" i="6" s="1"/>
  <c r="S69" i="3" s="1"/>
  <c r="AJ87" i="6"/>
  <c r="S15" i="3" s="1"/>
  <c r="AJ247" i="6"/>
  <c r="AJ131" i="6"/>
  <c r="AJ616" i="6"/>
  <c r="AJ650" i="6" s="1"/>
  <c r="S102" i="3" s="1"/>
  <c r="AJ721" i="6"/>
  <c r="AJ672" i="6"/>
  <c r="AJ722" i="6" l="1"/>
  <c r="S103" i="3" s="1"/>
  <c r="U12" i="3" l="1"/>
  <c r="X12" i="3" s="1"/>
  <c r="W12" i="3"/>
  <c r="T110" i="3"/>
  <c r="T97" i="3"/>
  <c r="T111" i="3"/>
  <c r="U192" i="3"/>
  <c r="AJ1249" i="6"/>
  <c r="AJ1248" i="6"/>
  <c r="AJ1247" i="6"/>
  <c r="AJ1130" i="6"/>
  <c r="AJ1129" i="6"/>
  <c r="AJ1128" i="6"/>
  <c r="AJ1037" i="6"/>
  <c r="AJ1038" i="6"/>
  <c r="AJ1039" i="6"/>
  <c r="AJ953" i="6"/>
  <c r="AJ954" i="6"/>
  <c r="AJ955" i="6"/>
  <c r="AJ956" i="6"/>
  <c r="AJ952" i="6"/>
  <c r="U82" i="3"/>
  <c r="X82" i="3" s="1"/>
  <c r="AJ404" i="6"/>
  <c r="AH95" i="6"/>
  <c r="AH92" i="6"/>
  <c r="AJ92" i="6" s="1"/>
  <c r="L94" i="6"/>
  <c r="F94" i="6"/>
  <c r="H93" i="6"/>
  <c r="F93" i="6"/>
  <c r="F95" i="6"/>
  <c r="G18" i="3"/>
  <c r="H18" i="3" s="1"/>
  <c r="W18" i="3" s="1"/>
  <c r="T70" i="3"/>
  <c r="T10" i="3"/>
  <c r="U10" i="3" s="1"/>
  <c r="AJ957" i="6" l="1"/>
  <c r="AJ405" i="6"/>
  <c r="AJ94" i="6"/>
  <c r="AJ95" i="6"/>
  <c r="AJ93" i="6"/>
  <c r="AJ96" i="6" l="1"/>
  <c r="S18" i="3" s="1"/>
  <c r="U18" i="3" l="1"/>
  <c r="X18" i="3" s="1"/>
  <c r="V18" i="3"/>
  <c r="H121" i="3"/>
  <c r="W121" i="3" s="1"/>
  <c r="S121" i="3" l="1"/>
  <c r="T63" i="3"/>
  <c r="T64" i="3"/>
  <c r="T65" i="3"/>
  <c r="AJ1087" i="6"/>
  <c r="AJ1086" i="6"/>
  <c r="AJ1085" i="6"/>
  <c r="AJ1084" i="6"/>
  <c r="AJ1083" i="6"/>
  <c r="AJ1080" i="6"/>
  <c r="AJ1078" i="6"/>
  <c r="AJ1077" i="6"/>
  <c r="AJ1076" i="6"/>
  <c r="AJ1075" i="6"/>
  <c r="AJ1074" i="6"/>
  <c r="AJ1071" i="6"/>
  <c r="AJ1069" i="6"/>
  <c r="AJ1066" i="6"/>
  <c r="AJ1064" i="6"/>
  <c r="AJ1059" i="6"/>
  <c r="AJ1058" i="6"/>
  <c r="AJ1057" i="6"/>
  <c r="AJ1056" i="6"/>
  <c r="AJ1055" i="6"/>
  <c r="AJ1054" i="6"/>
  <c r="AJ1053" i="6"/>
  <c r="AJ1052" i="6"/>
  <c r="AJ1051" i="6"/>
  <c r="AJ1050" i="6"/>
  <c r="AJ1049" i="6"/>
  <c r="AJ1048" i="6"/>
  <c r="AJ1047" i="6"/>
  <c r="AJ1046" i="6"/>
  <c r="AJ1045" i="6"/>
  <c r="AJ1044" i="6"/>
  <c r="AJ1043" i="6"/>
  <c r="AJ1042" i="6"/>
  <c r="AJ1036" i="6"/>
  <c r="AJ1035" i="6"/>
  <c r="AJ1034" i="6"/>
  <c r="AJ1030" i="6"/>
  <c r="AJ1029" i="6"/>
  <c r="AJ1028" i="6"/>
  <c r="AJ1027" i="6"/>
  <c r="AJ1026" i="6"/>
  <c r="AJ1024" i="6"/>
  <c r="AJ1020" i="6"/>
  <c r="AJ1019" i="6"/>
  <c r="AJ1018" i="6"/>
  <c r="AJ1017" i="6"/>
  <c r="AJ1016" i="6"/>
  <c r="AJ1015" i="6"/>
  <c r="AJ413" i="6"/>
  <c r="AJ412" i="6"/>
  <c r="AJ411" i="6"/>
  <c r="AJ983" i="6"/>
  <c r="AJ982" i="6"/>
  <c r="AJ981" i="6"/>
  <c r="AJ980" i="6"/>
  <c r="AJ979" i="6"/>
  <c r="AJ977" i="6"/>
  <c r="AJ973" i="6"/>
  <c r="AJ972" i="6"/>
  <c r="AJ971" i="6"/>
  <c r="AJ970" i="6"/>
  <c r="AJ969" i="6"/>
  <c r="AJ968" i="6"/>
  <c r="AJ1245" i="6"/>
  <c r="AJ1246" i="6"/>
  <c r="AJ1244" i="6"/>
  <c r="G137" i="3"/>
  <c r="H137" i="3" s="1"/>
  <c r="W137" i="3" s="1"/>
  <c r="G136" i="3"/>
  <c r="H136" i="3" s="1"/>
  <c r="G135" i="3"/>
  <c r="H135" i="3" s="1"/>
  <c r="T134" i="3"/>
  <c r="T135" i="3"/>
  <c r="T136" i="3"/>
  <c r="AJ1240" i="6"/>
  <c r="AJ1239" i="6"/>
  <c r="AJ1238" i="6"/>
  <c r="AJ1237" i="6"/>
  <c r="AJ1236" i="6"/>
  <c r="AJ1233" i="6"/>
  <c r="AJ1231" i="6"/>
  <c r="AJ1230" i="6"/>
  <c r="AJ1229" i="6"/>
  <c r="AJ1228" i="6"/>
  <c r="AJ1227" i="6"/>
  <c r="AJ1224" i="6"/>
  <c r="AJ1222" i="6"/>
  <c r="AJ1219" i="6"/>
  <c r="AJ1217" i="6"/>
  <c r="AJ1212" i="6"/>
  <c r="AJ1211" i="6"/>
  <c r="AJ1210" i="6"/>
  <c r="AJ1209" i="6"/>
  <c r="AJ1208" i="6"/>
  <c r="AJ1207" i="6"/>
  <c r="AJ1206" i="6"/>
  <c r="AJ1205" i="6"/>
  <c r="AJ1204" i="6"/>
  <c r="AJ1203" i="6"/>
  <c r="AJ1202" i="6"/>
  <c r="AJ1201" i="6"/>
  <c r="AJ1200" i="6"/>
  <c r="AJ1199" i="6"/>
  <c r="AJ1198" i="6"/>
  <c r="AJ1197" i="6"/>
  <c r="AJ1196" i="6"/>
  <c r="AJ1195" i="6"/>
  <c r="AJ1187" i="6"/>
  <c r="AJ1188" i="6"/>
  <c r="AJ1189" i="6"/>
  <c r="AJ1190" i="6"/>
  <c r="AJ1186" i="6"/>
  <c r="AJ1178" i="6"/>
  <c r="AJ1179" i="6"/>
  <c r="AJ1180" i="6"/>
  <c r="AJ1181" i="6"/>
  <c r="AJ1183" i="6"/>
  <c r="AJ1177" i="6"/>
  <c r="AJ1174" i="6"/>
  <c r="AJ1172" i="6"/>
  <c r="AJ1169" i="6"/>
  <c r="AJ1167" i="6"/>
  <c r="AJ1146" i="6"/>
  <c r="AJ1147" i="6"/>
  <c r="AJ1148" i="6"/>
  <c r="AJ1149" i="6"/>
  <c r="AJ1150" i="6"/>
  <c r="AJ1151" i="6"/>
  <c r="AJ1152" i="6"/>
  <c r="AJ1153" i="6"/>
  <c r="AJ1154" i="6"/>
  <c r="AJ1155" i="6"/>
  <c r="AJ1156" i="6"/>
  <c r="AJ1157" i="6"/>
  <c r="AJ1158" i="6"/>
  <c r="AJ1159" i="6"/>
  <c r="AJ1160" i="6"/>
  <c r="AJ1161" i="6"/>
  <c r="AJ1162" i="6"/>
  <c r="AJ1145" i="6"/>
  <c r="AJ1136" i="6"/>
  <c r="AJ1137" i="6"/>
  <c r="AJ1138" i="6"/>
  <c r="AJ1139" i="6"/>
  <c r="AJ1140" i="6"/>
  <c r="AJ1134" i="6"/>
  <c r="AJ1123" i="6"/>
  <c r="AJ1124" i="6"/>
  <c r="AJ1125" i="6"/>
  <c r="AJ1126" i="6"/>
  <c r="AJ1127" i="6"/>
  <c r="AJ1122" i="6"/>
  <c r="G134" i="3"/>
  <c r="H134" i="3" s="1"/>
  <c r="T133" i="3"/>
  <c r="T132" i="3"/>
  <c r="T124" i="3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52" i="6"/>
  <c r="G92" i="3"/>
  <c r="H92" i="3" s="1"/>
  <c r="W92" i="3" s="1"/>
  <c r="U121" i="3" l="1"/>
  <c r="X121" i="3" s="1"/>
  <c r="V121" i="3"/>
  <c r="AJ1163" i="6"/>
  <c r="AJ1250" i="6"/>
  <c r="S137" i="3" s="1"/>
  <c r="AJ1131" i="6"/>
  <c r="AJ1040" i="6"/>
  <c r="AJ477" i="6"/>
  <c r="W134" i="3"/>
  <c r="AJ1060" i="6"/>
  <c r="AJ1088" i="6"/>
  <c r="AJ1031" i="6"/>
  <c r="AJ1021" i="6"/>
  <c r="AJ984" i="6"/>
  <c r="AJ974" i="6"/>
  <c r="W136" i="3"/>
  <c r="W135" i="3"/>
  <c r="AJ1213" i="6"/>
  <c r="AJ1241" i="6"/>
  <c r="AJ1191" i="6"/>
  <c r="AJ1141" i="6"/>
  <c r="S92" i="3" l="1"/>
  <c r="V92" i="3" s="1"/>
  <c r="AJ1142" i="6"/>
  <c r="S134" i="3" s="1"/>
  <c r="AJ1089" i="6"/>
  <c r="AJ1032" i="6"/>
  <c r="AJ985" i="6"/>
  <c r="S128" i="3" s="1"/>
  <c r="U137" i="3"/>
  <c r="X137" i="3" s="1"/>
  <c r="V137" i="3"/>
  <c r="AJ1242" i="6"/>
  <c r="S136" i="3" s="1"/>
  <c r="V136" i="3" s="1"/>
  <c r="AJ1192" i="6"/>
  <c r="S135" i="3" s="1"/>
  <c r="U92" i="3" l="1"/>
  <c r="X92" i="3" s="1"/>
  <c r="AJ1090" i="6"/>
  <c r="S130" i="3" s="1"/>
  <c r="U134" i="3"/>
  <c r="X134" i="3" s="1"/>
  <c r="V134" i="3"/>
  <c r="U135" i="3"/>
  <c r="X135" i="3" s="1"/>
  <c r="V135" i="3"/>
  <c r="U136" i="3"/>
  <c r="X136" i="3" s="1"/>
  <c r="T104" i="3"/>
  <c r="T275" i="3"/>
  <c r="T266" i="3"/>
  <c r="U266" i="3" s="1"/>
  <c r="T259" i="3"/>
  <c r="G192" i="3"/>
  <c r="H192" i="3" s="1"/>
  <c r="S189" i="3"/>
  <c r="S188" i="3"/>
  <c r="U188" i="3" s="1"/>
  <c r="R187" i="3"/>
  <c r="G187" i="3"/>
  <c r="H187" i="3" s="1"/>
  <c r="U187" i="3"/>
  <c r="U190" i="3"/>
  <c r="U191" i="3"/>
  <c r="G191" i="3"/>
  <c r="H191" i="3" s="1"/>
  <c r="G190" i="3"/>
  <c r="H190" i="3" s="1"/>
  <c r="G189" i="3"/>
  <c r="H189" i="3" s="1"/>
  <c r="G188" i="3"/>
  <c r="H188" i="3" s="1"/>
  <c r="T153" i="3"/>
  <c r="T154" i="3"/>
  <c r="T155" i="3"/>
  <c r="T156" i="3"/>
  <c r="T157" i="3"/>
  <c r="T158" i="3"/>
  <c r="T159" i="3"/>
  <c r="T145" i="3"/>
  <c r="T146" i="3"/>
  <c r="T147" i="3"/>
  <c r="T148" i="3"/>
  <c r="T149" i="3"/>
  <c r="T150" i="3"/>
  <c r="T151" i="3"/>
  <c r="T152" i="3"/>
  <c r="T140" i="3"/>
  <c r="T141" i="3"/>
  <c r="T142" i="3"/>
  <c r="T143" i="3"/>
  <c r="T144" i="3"/>
  <c r="T139" i="3"/>
  <c r="AJ854" i="6"/>
  <c r="AJ853" i="6"/>
  <c r="AJ852" i="6"/>
  <c r="AJ851" i="6"/>
  <c r="AJ850" i="6"/>
  <c r="AJ849" i="6"/>
  <c r="AJ848" i="6"/>
  <c r="AJ847" i="6"/>
  <c r="AJ846" i="6"/>
  <c r="AJ845" i="6"/>
  <c r="AJ844" i="6"/>
  <c r="AJ843" i="6"/>
  <c r="AJ842" i="6"/>
  <c r="AJ841" i="6"/>
  <c r="AJ840" i="6"/>
  <c r="AJ839" i="6"/>
  <c r="AJ838" i="6"/>
  <c r="AJ837" i="6"/>
  <c r="AJ836" i="6"/>
  <c r="AJ835" i="6"/>
  <c r="AJ834" i="6"/>
  <c r="AJ833" i="6"/>
  <c r="AJ832" i="6"/>
  <c r="AJ831" i="6"/>
  <c r="AJ830" i="6"/>
  <c r="AJ829" i="6"/>
  <c r="AJ868" i="6"/>
  <c r="AJ867" i="6"/>
  <c r="AJ866" i="6"/>
  <c r="AJ865" i="6"/>
  <c r="AJ864" i="6"/>
  <c r="AJ863" i="6"/>
  <c r="AJ862" i="6"/>
  <c r="AJ861" i="6"/>
  <c r="AJ860" i="6"/>
  <c r="AJ859" i="6"/>
  <c r="AJ858" i="6"/>
  <c r="AJ855" i="6" l="1"/>
  <c r="T108" i="3" s="1"/>
  <c r="W192" i="3"/>
  <c r="V192" i="3"/>
  <c r="X192" i="3"/>
  <c r="U189" i="3"/>
  <c r="X189" i="3" s="1"/>
  <c r="V187" i="3"/>
  <c r="W187" i="3"/>
  <c r="X187" i="3"/>
  <c r="V189" i="3"/>
  <c r="W189" i="3"/>
  <c r="V188" i="3"/>
  <c r="W188" i="3"/>
  <c r="X191" i="3"/>
  <c r="V191" i="3"/>
  <c r="W191" i="3"/>
  <c r="V190" i="3"/>
  <c r="X190" i="3"/>
  <c r="W190" i="3"/>
  <c r="X188" i="3"/>
  <c r="AJ869" i="6"/>
  <c r="AJ807" i="6" l="1"/>
  <c r="H824" i="6"/>
  <c r="AJ824" i="6" s="1"/>
  <c r="H823" i="6"/>
  <c r="AJ823" i="6" s="1"/>
  <c r="H822" i="6"/>
  <c r="AJ822" i="6" s="1"/>
  <c r="H821" i="6"/>
  <c r="AJ821" i="6" s="1"/>
  <c r="H820" i="6"/>
  <c r="AJ820" i="6" s="1"/>
  <c r="H817" i="6"/>
  <c r="AJ817" i="6" s="1"/>
  <c r="H815" i="6"/>
  <c r="AJ815" i="6" s="1"/>
  <c r="H814" i="6"/>
  <c r="AJ814" i="6" s="1"/>
  <c r="H813" i="6"/>
  <c r="AJ813" i="6" s="1"/>
  <c r="H812" i="6"/>
  <c r="AJ812" i="6" s="1"/>
  <c r="H811" i="6"/>
  <c r="AJ811" i="6" s="1"/>
  <c r="H808" i="6"/>
  <c r="AJ808" i="6" s="1"/>
  <c r="H806" i="6"/>
  <c r="AJ806" i="6" s="1"/>
  <c r="H803" i="6"/>
  <c r="AJ803" i="6" s="1"/>
  <c r="H801" i="6"/>
  <c r="AJ801" i="6" s="1"/>
  <c r="AJ940" i="6"/>
  <c r="AJ941" i="6"/>
  <c r="AJ942" i="6"/>
  <c r="AJ943" i="6"/>
  <c r="AJ944" i="6"/>
  <c r="AJ945" i="6"/>
  <c r="AJ946" i="6"/>
  <c r="AJ947" i="6"/>
  <c r="AJ948" i="6"/>
  <c r="AJ949" i="6"/>
  <c r="AJ939" i="6"/>
  <c r="AJ950" i="6" l="1"/>
  <c r="S120" i="3" s="1"/>
  <c r="AJ825" i="6"/>
  <c r="AJ797" i="6"/>
  <c r="AJ826" i="6" l="1"/>
  <c r="S106" i="3" s="1"/>
  <c r="U120" i="3" l="1"/>
  <c r="AJ912" i="6"/>
  <c r="AJ913" i="6"/>
  <c r="AJ914" i="6"/>
  <c r="AJ915" i="6"/>
  <c r="AJ916" i="6"/>
  <c r="AJ917" i="6"/>
  <c r="AJ918" i="6"/>
  <c r="AJ919" i="6"/>
  <c r="AJ920" i="6"/>
  <c r="AJ921" i="6"/>
  <c r="AJ922" i="6"/>
  <c r="AJ923" i="6"/>
  <c r="AJ924" i="6"/>
  <c r="AJ925" i="6"/>
  <c r="AJ926" i="6"/>
  <c r="AJ927" i="6"/>
  <c r="AJ928" i="6"/>
  <c r="AJ929" i="6"/>
  <c r="AJ930" i="6"/>
  <c r="AJ931" i="6"/>
  <c r="AJ932" i="6"/>
  <c r="AJ933" i="6"/>
  <c r="AJ934" i="6"/>
  <c r="AJ935" i="6"/>
  <c r="AJ936" i="6"/>
  <c r="AJ911" i="6"/>
  <c r="G120" i="3"/>
  <c r="H120" i="3" s="1"/>
  <c r="V120" i="3" s="1"/>
  <c r="G119" i="3"/>
  <c r="H119" i="3" s="1"/>
  <c r="W119" i="3" s="1"/>
  <c r="T113" i="3"/>
  <c r="T112" i="3"/>
  <c r="T109" i="3"/>
  <c r="U106" i="3"/>
  <c r="V106" i="3"/>
  <c r="AJ908" i="6"/>
  <c r="AJ907" i="6"/>
  <c r="AJ906" i="6"/>
  <c r="AJ905" i="6"/>
  <c r="AJ904" i="6"/>
  <c r="AJ903" i="6"/>
  <c r="AJ902" i="6"/>
  <c r="AJ901" i="6"/>
  <c r="AJ900" i="6"/>
  <c r="AJ899" i="6"/>
  <c r="AJ898" i="6"/>
  <c r="AJ897" i="6"/>
  <c r="AJ896" i="6"/>
  <c r="AJ895" i="6"/>
  <c r="AJ894" i="6"/>
  <c r="T115" i="3"/>
  <c r="G118" i="3"/>
  <c r="H118" i="3" s="1"/>
  <c r="AJ876" i="6"/>
  <c r="AJ877" i="6"/>
  <c r="AJ878" i="6"/>
  <c r="AJ879" i="6"/>
  <c r="AJ880" i="6"/>
  <c r="AJ881" i="6"/>
  <c r="AJ882" i="6"/>
  <c r="AJ883" i="6"/>
  <c r="AJ884" i="6"/>
  <c r="AJ885" i="6"/>
  <c r="AJ886" i="6"/>
  <c r="AJ887" i="6"/>
  <c r="AJ888" i="6"/>
  <c r="AJ889" i="6"/>
  <c r="AJ875" i="6"/>
  <c r="AJ435" i="6"/>
  <c r="H765" i="6"/>
  <c r="AJ765" i="6" s="1"/>
  <c r="AJ766" i="6" s="1"/>
  <c r="AJ890" i="6" l="1"/>
  <c r="W120" i="3"/>
  <c r="X120" i="3"/>
  <c r="AJ937" i="6"/>
  <c r="S119" i="3" s="1"/>
  <c r="U119" i="3" s="1"/>
  <c r="X119" i="3" s="1"/>
  <c r="W118" i="3"/>
  <c r="AJ909" i="6"/>
  <c r="AJ745" i="6"/>
  <c r="S118" i="3" l="1"/>
  <c r="U118" i="3" s="1"/>
  <c r="X118" i="3" s="1"/>
  <c r="V119" i="3"/>
  <c r="AJ756" i="6"/>
  <c r="V118" i="3" l="1"/>
  <c r="AJ767" i="6"/>
  <c r="S105" i="3" s="1"/>
  <c r="AJ434" i="6"/>
  <c r="AJ433" i="6"/>
  <c r="AJ432" i="6"/>
  <c r="AJ421" i="6"/>
  <c r="AJ420" i="6"/>
  <c r="G80" i="3"/>
  <c r="H80" i="3" s="1"/>
  <c r="T79" i="3"/>
  <c r="U79" i="3" s="1"/>
  <c r="X79" i="3" s="1"/>
  <c r="U76" i="3"/>
  <c r="AJ410" i="6"/>
  <c r="AJ409" i="6"/>
  <c r="AJ408" i="6"/>
  <c r="G77" i="3"/>
  <c r="H77" i="3" s="1"/>
  <c r="W77" i="3" s="1"/>
  <c r="G76" i="3"/>
  <c r="H76" i="3" s="1"/>
  <c r="V76" i="3" s="1"/>
  <c r="T74" i="3"/>
  <c r="T75" i="3"/>
  <c r="T73" i="3"/>
  <c r="U73" i="3" s="1"/>
  <c r="X73" i="3" s="1"/>
  <c r="W344" i="3"/>
  <c r="W346" i="3"/>
  <c r="W345" i="3"/>
  <c r="AJ415" i="6" l="1"/>
  <c r="S77" i="3" s="1"/>
  <c r="AJ422" i="6"/>
  <c r="S80" i="3" s="1"/>
  <c r="W80" i="3"/>
  <c r="X76" i="3"/>
  <c r="W76" i="3"/>
  <c r="U80" i="3" l="1"/>
  <c r="X80" i="3" s="1"/>
  <c r="X78" i="3" s="1"/>
  <c r="U77" i="3"/>
  <c r="X77" i="3" s="1"/>
  <c r="V80" i="3"/>
  <c r="W10" i="3"/>
  <c r="U27" i="3"/>
  <c r="X27" i="3" s="1"/>
  <c r="V35" i="3"/>
  <c r="V43" i="3"/>
  <c r="V51" i="3"/>
  <c r="U59" i="3"/>
  <c r="X59" i="3" s="1"/>
  <c r="X58" i="3" s="1"/>
  <c r="U67" i="3"/>
  <c r="X67" i="3" s="1"/>
  <c r="X66" i="3" s="1"/>
  <c r="U75" i="3"/>
  <c r="X75" i="3" s="1"/>
  <c r="V86" i="3"/>
  <c r="U97" i="3"/>
  <c r="X97" i="3" s="1"/>
  <c r="U105" i="3"/>
  <c r="X105" i="3" s="1"/>
  <c r="U113" i="3"/>
  <c r="X113" i="3" s="1"/>
  <c r="U126" i="3"/>
  <c r="X126" i="3" s="1"/>
  <c r="U146" i="3"/>
  <c r="X146" i="3" s="1"/>
  <c r="U154" i="3"/>
  <c r="X154" i="3" s="1"/>
  <c r="U162" i="3"/>
  <c r="X162" i="3" s="1"/>
  <c r="U170" i="3"/>
  <c r="X170" i="3" s="1"/>
  <c r="U178" i="3"/>
  <c r="X178" i="3" s="1"/>
  <c r="U186" i="3"/>
  <c r="X186" i="3" s="1"/>
  <c r="V200" i="3"/>
  <c r="V208" i="3"/>
  <c r="V216" i="3"/>
  <c r="V224" i="3"/>
  <c r="V232" i="3"/>
  <c r="V240" i="3"/>
  <c r="V248" i="3"/>
  <c r="V256" i="3"/>
  <c r="U272" i="3"/>
  <c r="X272" i="3" s="1"/>
  <c r="U280" i="3"/>
  <c r="X280" i="3" s="1"/>
  <c r="X9" i="3"/>
  <c r="V9" i="3"/>
  <c r="X10" i="3"/>
  <c r="U11" i="3"/>
  <c r="X11" i="3" s="1"/>
  <c r="U14" i="3"/>
  <c r="X14" i="3" s="1"/>
  <c r="U15" i="3"/>
  <c r="X15" i="3" s="1"/>
  <c r="U16" i="3"/>
  <c r="X16" i="3" s="1"/>
  <c r="U17" i="3"/>
  <c r="X17" i="3" s="1"/>
  <c r="U20" i="3"/>
  <c r="X20" i="3" s="1"/>
  <c r="X19" i="3" s="1"/>
  <c r="U21" i="3"/>
  <c r="X21" i="3" s="1"/>
  <c r="U22" i="3"/>
  <c r="X22" i="3" s="1"/>
  <c r="U23" i="3"/>
  <c r="X23" i="3" s="1"/>
  <c r="U24" i="3"/>
  <c r="X24" i="3" s="1"/>
  <c r="U25" i="3"/>
  <c r="X25" i="3" s="1"/>
  <c r="U26" i="3"/>
  <c r="X26" i="3" s="1"/>
  <c r="U28" i="3"/>
  <c r="X28" i="3" s="1"/>
  <c r="U30" i="3"/>
  <c r="X30" i="3" s="1"/>
  <c r="U31" i="3"/>
  <c r="X31" i="3" s="1"/>
  <c r="U32" i="3"/>
  <c r="X32" i="3" s="1"/>
  <c r="U33" i="3"/>
  <c r="X33" i="3" s="1"/>
  <c r="U34" i="3"/>
  <c r="X34" i="3" s="1"/>
  <c r="U35" i="3"/>
  <c r="X35" i="3" s="1"/>
  <c r="U37" i="3"/>
  <c r="X37" i="3" s="1"/>
  <c r="U38" i="3"/>
  <c r="X38" i="3" s="1"/>
  <c r="U39" i="3"/>
  <c r="X39" i="3" s="1"/>
  <c r="U40" i="3"/>
  <c r="X40" i="3" s="1"/>
  <c r="U41" i="3"/>
  <c r="X41" i="3" s="1"/>
  <c r="U42" i="3"/>
  <c r="X42" i="3" s="1"/>
  <c r="U45" i="3"/>
  <c r="X45" i="3" s="1"/>
  <c r="U46" i="3"/>
  <c r="X46" i="3" s="1"/>
  <c r="U47" i="3"/>
  <c r="X47" i="3" s="1"/>
  <c r="U48" i="3"/>
  <c r="X48" i="3" s="1"/>
  <c r="U49" i="3"/>
  <c r="X49" i="3" s="1"/>
  <c r="U50" i="3"/>
  <c r="X50" i="3" s="1"/>
  <c r="U52" i="3"/>
  <c r="X52" i="3" s="1"/>
  <c r="U53" i="3"/>
  <c r="X53" i="3" s="1"/>
  <c r="U55" i="3"/>
  <c r="X55" i="3" s="1"/>
  <c r="X54" i="3" s="1"/>
  <c r="U56" i="3"/>
  <c r="X56" i="3" s="1"/>
  <c r="U57" i="3"/>
  <c r="X57" i="3" s="1"/>
  <c r="U60" i="3"/>
  <c r="X60" i="3" s="1"/>
  <c r="U61" i="3"/>
  <c r="X61" i="3" s="1"/>
  <c r="U62" i="3"/>
  <c r="X62" i="3" s="1"/>
  <c r="U63" i="3"/>
  <c r="X63" i="3" s="1"/>
  <c r="U64" i="3"/>
  <c r="X64" i="3" s="1"/>
  <c r="U65" i="3"/>
  <c r="X65" i="3" s="1"/>
  <c r="U69" i="3"/>
  <c r="X69" i="3" s="1"/>
  <c r="U70" i="3"/>
  <c r="X70" i="3" s="1"/>
  <c r="U71" i="3"/>
  <c r="X71" i="3" s="1"/>
  <c r="U74" i="3"/>
  <c r="X74" i="3" s="1"/>
  <c r="U83" i="3"/>
  <c r="X83" i="3" s="1"/>
  <c r="U84" i="3"/>
  <c r="X84" i="3" s="1"/>
  <c r="U85" i="3"/>
  <c r="X85" i="3" s="1"/>
  <c r="X87" i="3"/>
  <c r="U88" i="3"/>
  <c r="U89" i="3"/>
  <c r="X89" i="3" s="1"/>
  <c r="U90" i="3"/>
  <c r="X90" i="3" s="1"/>
  <c r="U91" i="3"/>
  <c r="X91" i="3" s="1"/>
  <c r="U96" i="3"/>
  <c r="X96" i="3" s="1"/>
  <c r="X95" i="3" s="1"/>
  <c r="X99" i="3"/>
  <c r="U101" i="3"/>
  <c r="U102" i="3"/>
  <c r="U103" i="3"/>
  <c r="U104" i="3"/>
  <c r="X104" i="3" s="1"/>
  <c r="X106" i="3"/>
  <c r="U108" i="3"/>
  <c r="X108" i="3" s="1"/>
  <c r="U109" i="3"/>
  <c r="X109" i="3" s="1"/>
  <c r="U110" i="3"/>
  <c r="X110" i="3" s="1"/>
  <c r="U111" i="3"/>
  <c r="X111" i="3" s="1"/>
  <c r="U112" i="3"/>
  <c r="X112" i="3" s="1"/>
  <c r="U114" i="3"/>
  <c r="X114" i="3" s="1"/>
  <c r="U115" i="3"/>
  <c r="X115" i="3" s="1"/>
  <c r="U116" i="3"/>
  <c r="X116" i="3" s="1"/>
  <c r="U117" i="3"/>
  <c r="X117" i="3" s="1"/>
  <c r="U124" i="3"/>
  <c r="X124" i="3" s="1"/>
  <c r="X123" i="3" s="1"/>
  <c r="U125" i="3"/>
  <c r="X125" i="3" s="1"/>
  <c r="U128" i="3"/>
  <c r="X128" i="3" s="1"/>
  <c r="U129" i="3"/>
  <c r="X129" i="3" s="1"/>
  <c r="U130" i="3"/>
  <c r="X130" i="3" s="1"/>
  <c r="U131" i="3"/>
  <c r="X131" i="3" s="1"/>
  <c r="U132" i="3"/>
  <c r="X132" i="3" s="1"/>
  <c r="U133" i="3"/>
  <c r="X133" i="3" s="1"/>
  <c r="U139" i="3"/>
  <c r="X139" i="3" s="1"/>
  <c r="X138" i="3" s="1"/>
  <c r="U140" i="3"/>
  <c r="X140" i="3" s="1"/>
  <c r="U141" i="3"/>
  <c r="X141" i="3" s="1"/>
  <c r="U142" i="3"/>
  <c r="X142" i="3" s="1"/>
  <c r="U143" i="3"/>
  <c r="X143" i="3" s="1"/>
  <c r="U144" i="3"/>
  <c r="X144" i="3" s="1"/>
  <c r="U145" i="3"/>
  <c r="X145" i="3" s="1"/>
  <c r="U147" i="3"/>
  <c r="X147" i="3" s="1"/>
  <c r="U148" i="3"/>
  <c r="X148" i="3" s="1"/>
  <c r="U149" i="3"/>
  <c r="X149" i="3" s="1"/>
  <c r="U150" i="3"/>
  <c r="X150" i="3" s="1"/>
  <c r="U151" i="3"/>
  <c r="X151" i="3" s="1"/>
  <c r="U152" i="3"/>
  <c r="X152" i="3" s="1"/>
  <c r="U153" i="3"/>
  <c r="X153" i="3" s="1"/>
  <c r="U155" i="3"/>
  <c r="X155" i="3" s="1"/>
  <c r="U156" i="3"/>
  <c r="X156" i="3" s="1"/>
  <c r="U157" i="3"/>
  <c r="X157" i="3" s="1"/>
  <c r="U158" i="3"/>
  <c r="X158" i="3" s="1"/>
  <c r="U159" i="3"/>
  <c r="X159" i="3" s="1"/>
  <c r="U160" i="3"/>
  <c r="X160" i="3" s="1"/>
  <c r="U161" i="3"/>
  <c r="X161" i="3" s="1"/>
  <c r="U163" i="3"/>
  <c r="X163" i="3" s="1"/>
  <c r="U164" i="3"/>
  <c r="X164" i="3" s="1"/>
  <c r="U165" i="3"/>
  <c r="X165" i="3" s="1"/>
  <c r="U166" i="3"/>
  <c r="X166" i="3" s="1"/>
  <c r="U167" i="3"/>
  <c r="X167" i="3" s="1"/>
  <c r="U168" i="3"/>
  <c r="X168" i="3" s="1"/>
  <c r="U169" i="3"/>
  <c r="X169" i="3" s="1"/>
  <c r="U171" i="3"/>
  <c r="X171" i="3" s="1"/>
  <c r="U172" i="3"/>
  <c r="X172" i="3" s="1"/>
  <c r="U173" i="3"/>
  <c r="X173" i="3" s="1"/>
  <c r="U174" i="3"/>
  <c r="X174" i="3" s="1"/>
  <c r="U175" i="3"/>
  <c r="X175" i="3" s="1"/>
  <c r="U176" i="3"/>
  <c r="X176" i="3" s="1"/>
  <c r="U177" i="3"/>
  <c r="X177" i="3" s="1"/>
  <c r="U179" i="3"/>
  <c r="X179" i="3" s="1"/>
  <c r="U180" i="3"/>
  <c r="X180" i="3" s="1"/>
  <c r="U181" i="3"/>
  <c r="X181" i="3" s="1"/>
  <c r="U182" i="3"/>
  <c r="X182" i="3" s="1"/>
  <c r="U183" i="3"/>
  <c r="X183" i="3" s="1"/>
  <c r="U184" i="3"/>
  <c r="X184" i="3" s="1"/>
  <c r="U185" i="3"/>
  <c r="X185" i="3" s="1"/>
  <c r="U194" i="3"/>
  <c r="X194" i="3" s="1"/>
  <c r="X193" i="3" s="1"/>
  <c r="U195" i="3"/>
  <c r="X195" i="3" s="1"/>
  <c r="U196" i="3"/>
  <c r="X196" i="3" s="1"/>
  <c r="U197" i="3"/>
  <c r="X197" i="3" s="1"/>
  <c r="U198" i="3"/>
  <c r="X198" i="3" s="1"/>
  <c r="U199" i="3"/>
  <c r="X199" i="3" s="1"/>
  <c r="U200" i="3"/>
  <c r="X200" i="3" s="1"/>
  <c r="U201" i="3"/>
  <c r="X201" i="3" s="1"/>
  <c r="U202" i="3"/>
  <c r="X202" i="3" s="1"/>
  <c r="U203" i="3"/>
  <c r="X203" i="3" s="1"/>
  <c r="U204" i="3"/>
  <c r="X204" i="3" s="1"/>
  <c r="U205" i="3"/>
  <c r="X205" i="3" s="1"/>
  <c r="U206" i="3"/>
  <c r="X206" i="3" s="1"/>
  <c r="U207" i="3"/>
  <c r="X207" i="3" s="1"/>
  <c r="U208" i="3"/>
  <c r="X208" i="3" s="1"/>
  <c r="U209" i="3"/>
  <c r="X209" i="3" s="1"/>
  <c r="U210" i="3"/>
  <c r="X210" i="3" s="1"/>
  <c r="U211" i="3"/>
  <c r="X211" i="3" s="1"/>
  <c r="U212" i="3"/>
  <c r="X212" i="3" s="1"/>
  <c r="U213" i="3"/>
  <c r="X213" i="3" s="1"/>
  <c r="U214" i="3"/>
  <c r="X214" i="3" s="1"/>
  <c r="U215" i="3"/>
  <c r="X215" i="3" s="1"/>
  <c r="U216" i="3"/>
  <c r="X216" i="3" s="1"/>
  <c r="U217" i="3"/>
  <c r="X217" i="3" s="1"/>
  <c r="U218" i="3"/>
  <c r="X218" i="3" s="1"/>
  <c r="U219" i="3"/>
  <c r="X219" i="3" s="1"/>
  <c r="U220" i="3"/>
  <c r="X220" i="3" s="1"/>
  <c r="U221" i="3"/>
  <c r="X221" i="3" s="1"/>
  <c r="U222" i="3"/>
  <c r="X222" i="3" s="1"/>
  <c r="U223" i="3"/>
  <c r="X223" i="3" s="1"/>
  <c r="U224" i="3"/>
  <c r="X224" i="3" s="1"/>
  <c r="U225" i="3"/>
  <c r="X225" i="3" s="1"/>
  <c r="U226" i="3"/>
  <c r="X226" i="3" s="1"/>
  <c r="U227" i="3"/>
  <c r="X227" i="3" s="1"/>
  <c r="U228" i="3"/>
  <c r="X228" i="3" s="1"/>
  <c r="U229" i="3"/>
  <c r="X229" i="3" s="1"/>
  <c r="U230" i="3"/>
  <c r="X230" i="3" s="1"/>
  <c r="U231" i="3"/>
  <c r="X231" i="3" s="1"/>
  <c r="U232" i="3"/>
  <c r="X232" i="3" s="1"/>
  <c r="U234" i="3"/>
  <c r="X234" i="3" s="1"/>
  <c r="U235" i="3"/>
  <c r="X235" i="3" s="1"/>
  <c r="U236" i="3"/>
  <c r="X236" i="3" s="1"/>
  <c r="U237" i="3"/>
  <c r="X237" i="3" s="1"/>
  <c r="U238" i="3"/>
  <c r="X238" i="3" s="1"/>
  <c r="U239" i="3"/>
  <c r="X239" i="3" s="1"/>
  <c r="U241" i="3"/>
  <c r="X241" i="3" s="1"/>
  <c r="U242" i="3"/>
  <c r="X242" i="3" s="1"/>
  <c r="U243" i="3"/>
  <c r="X243" i="3" s="1"/>
  <c r="U244" i="3"/>
  <c r="X244" i="3" s="1"/>
  <c r="U245" i="3"/>
  <c r="X245" i="3" s="1"/>
  <c r="U246" i="3"/>
  <c r="X246" i="3" s="1"/>
  <c r="U247" i="3"/>
  <c r="X247" i="3" s="1"/>
  <c r="U249" i="3"/>
  <c r="X249" i="3" s="1"/>
  <c r="U250" i="3"/>
  <c r="X250" i="3" s="1"/>
  <c r="U251" i="3"/>
  <c r="X251" i="3" s="1"/>
  <c r="U252" i="3"/>
  <c r="X252" i="3" s="1"/>
  <c r="U253" i="3"/>
  <c r="X253" i="3" s="1"/>
  <c r="U254" i="3"/>
  <c r="X254" i="3" s="1"/>
  <c r="U255" i="3"/>
  <c r="X255" i="3" s="1"/>
  <c r="U258" i="3"/>
  <c r="X258" i="3" s="1"/>
  <c r="X257" i="3" s="1"/>
  <c r="U259" i="3"/>
  <c r="X259" i="3" s="1"/>
  <c r="U260" i="3"/>
  <c r="X260" i="3" s="1"/>
  <c r="U261" i="3"/>
  <c r="X261" i="3" s="1"/>
  <c r="U262" i="3"/>
  <c r="X262" i="3" s="1"/>
  <c r="U263" i="3"/>
  <c r="X263" i="3" s="1"/>
  <c r="U265" i="3"/>
  <c r="X265" i="3" s="1"/>
  <c r="X264" i="3" s="1"/>
  <c r="X266" i="3"/>
  <c r="U267" i="3"/>
  <c r="X267" i="3" s="1"/>
  <c r="U268" i="3"/>
  <c r="X268" i="3" s="1"/>
  <c r="U269" i="3"/>
  <c r="X269" i="3" s="1"/>
  <c r="U270" i="3"/>
  <c r="X270" i="3" s="1"/>
  <c r="U271" i="3"/>
  <c r="X271" i="3" s="1"/>
  <c r="U274" i="3"/>
  <c r="X274" i="3" s="1"/>
  <c r="X273" i="3" s="1"/>
  <c r="U275" i="3"/>
  <c r="X275" i="3" s="1"/>
  <c r="U276" i="3"/>
  <c r="X276" i="3" s="1"/>
  <c r="U277" i="3"/>
  <c r="X277" i="3" s="1"/>
  <c r="U278" i="3"/>
  <c r="X278" i="3" s="1"/>
  <c r="U279" i="3"/>
  <c r="X279" i="3" s="1"/>
  <c r="U281" i="3"/>
  <c r="X281" i="3" s="1"/>
  <c r="U283" i="3"/>
  <c r="X283" i="3" s="1"/>
  <c r="X282" i="3" s="1"/>
  <c r="U284" i="3"/>
  <c r="X284" i="3" s="1"/>
  <c r="U285" i="3"/>
  <c r="X285" i="3" s="1"/>
  <c r="U286" i="3"/>
  <c r="X286" i="3" s="1"/>
  <c r="U287" i="3"/>
  <c r="X287" i="3" s="1"/>
  <c r="U289" i="3"/>
  <c r="X289" i="3" s="1"/>
  <c r="X288" i="3" s="1"/>
  <c r="U290" i="3"/>
  <c r="X290" i="3" s="1"/>
  <c r="U291" i="3"/>
  <c r="X291" i="3" s="1"/>
  <c r="U292" i="3"/>
  <c r="X292" i="3" s="1"/>
  <c r="W11" i="3"/>
  <c r="W14" i="3"/>
  <c r="W13" i="3" s="1"/>
  <c r="W15" i="3"/>
  <c r="W16" i="3"/>
  <c r="W17" i="3"/>
  <c r="W20" i="3"/>
  <c r="W21" i="3"/>
  <c r="W22" i="3"/>
  <c r="W23" i="3"/>
  <c r="W24" i="3"/>
  <c r="W25" i="3"/>
  <c r="W26" i="3"/>
  <c r="W27" i="3"/>
  <c r="W28" i="3"/>
  <c r="W30" i="3"/>
  <c r="W31" i="3"/>
  <c r="W32" i="3"/>
  <c r="W33" i="3"/>
  <c r="W34" i="3"/>
  <c r="W35" i="3"/>
  <c r="W38" i="3"/>
  <c r="W39" i="3"/>
  <c r="W40" i="3"/>
  <c r="W41" i="3"/>
  <c r="W42" i="3"/>
  <c r="W43" i="3"/>
  <c r="W45" i="3"/>
  <c r="W46" i="3"/>
  <c r="W47" i="3"/>
  <c r="W48" i="3"/>
  <c r="W49" i="3"/>
  <c r="W50" i="3"/>
  <c r="W51" i="3"/>
  <c r="W52" i="3"/>
  <c r="W53" i="3"/>
  <c r="W55" i="3"/>
  <c r="W56" i="3"/>
  <c r="W57" i="3"/>
  <c r="W59" i="3"/>
  <c r="W60" i="3"/>
  <c r="W61" i="3"/>
  <c r="W62" i="3"/>
  <c r="W63" i="3"/>
  <c r="W64" i="3"/>
  <c r="W65" i="3"/>
  <c r="W67" i="3"/>
  <c r="W66" i="3" s="1"/>
  <c r="W69" i="3"/>
  <c r="W70" i="3"/>
  <c r="W71" i="3"/>
  <c r="W73" i="3"/>
  <c r="W74" i="3"/>
  <c r="W75" i="3"/>
  <c r="W79" i="3"/>
  <c r="W78" i="3" s="1"/>
  <c r="W82" i="3"/>
  <c r="W83" i="3"/>
  <c r="W84" i="3"/>
  <c r="W85" i="3"/>
  <c r="W86" i="3"/>
  <c r="W87" i="3"/>
  <c r="W89" i="3"/>
  <c r="W88" i="3" s="1"/>
  <c r="W90" i="3"/>
  <c r="W91" i="3"/>
  <c r="W96" i="3"/>
  <c r="W97" i="3"/>
  <c r="W99" i="3"/>
  <c r="W100" i="3"/>
  <c r="W101" i="3"/>
  <c r="W102" i="3"/>
  <c r="W103" i="3"/>
  <c r="W104" i="3"/>
  <c r="W105" i="3"/>
  <c r="W106" i="3"/>
  <c r="W108" i="3"/>
  <c r="W109" i="3"/>
  <c r="W110" i="3"/>
  <c r="W111" i="3"/>
  <c r="W112" i="3"/>
  <c r="W113" i="3"/>
  <c r="W114" i="3"/>
  <c r="W115" i="3"/>
  <c r="W116" i="3"/>
  <c r="W117" i="3"/>
  <c r="W124" i="3"/>
  <c r="W125" i="3"/>
  <c r="W126" i="3"/>
  <c r="W128" i="3"/>
  <c r="W129" i="3"/>
  <c r="W130" i="3"/>
  <c r="W131" i="3"/>
  <c r="W132" i="3"/>
  <c r="W133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8" i="3"/>
  <c r="W259" i="3"/>
  <c r="W260" i="3"/>
  <c r="W261" i="3"/>
  <c r="W262" i="3"/>
  <c r="W263" i="3"/>
  <c r="W265" i="3"/>
  <c r="W266" i="3"/>
  <c r="W267" i="3"/>
  <c r="W268" i="3"/>
  <c r="W269" i="3"/>
  <c r="W270" i="3"/>
  <c r="W271" i="3"/>
  <c r="W272" i="3"/>
  <c r="W274" i="3"/>
  <c r="W275" i="3"/>
  <c r="W276" i="3"/>
  <c r="W277" i="3"/>
  <c r="W278" i="3"/>
  <c r="W279" i="3"/>
  <c r="W280" i="3"/>
  <c r="W281" i="3"/>
  <c r="W283" i="3"/>
  <c r="W284" i="3"/>
  <c r="W285" i="3"/>
  <c r="W286" i="3"/>
  <c r="W287" i="3"/>
  <c r="W289" i="3"/>
  <c r="W290" i="3"/>
  <c r="W291" i="3"/>
  <c r="W292" i="3"/>
  <c r="V10" i="3"/>
  <c r="V11" i="3"/>
  <c r="V14" i="3"/>
  <c r="V15" i="3"/>
  <c r="V16" i="3"/>
  <c r="V17" i="3"/>
  <c r="V20" i="3"/>
  <c r="V21" i="3"/>
  <c r="V22" i="3"/>
  <c r="V23" i="3"/>
  <c r="V24" i="3"/>
  <c r="V25" i="3"/>
  <c r="V26" i="3"/>
  <c r="V28" i="3"/>
  <c r="V30" i="3"/>
  <c r="V31" i="3"/>
  <c r="V32" i="3"/>
  <c r="V33" i="3"/>
  <c r="V34" i="3"/>
  <c r="V37" i="3"/>
  <c r="V38" i="3"/>
  <c r="V39" i="3"/>
  <c r="V40" i="3"/>
  <c r="V41" i="3"/>
  <c r="V42" i="3"/>
  <c r="V45" i="3"/>
  <c r="V46" i="3"/>
  <c r="V47" i="3"/>
  <c r="V48" i="3"/>
  <c r="V49" i="3"/>
  <c r="V50" i="3"/>
  <c r="V52" i="3"/>
  <c r="V53" i="3"/>
  <c r="V55" i="3"/>
  <c r="V56" i="3"/>
  <c r="V57" i="3"/>
  <c r="V60" i="3"/>
  <c r="V61" i="3"/>
  <c r="V62" i="3"/>
  <c r="V63" i="3"/>
  <c r="V64" i="3"/>
  <c r="V65" i="3"/>
  <c r="V69" i="3"/>
  <c r="V70" i="3"/>
  <c r="V71" i="3"/>
  <c r="V73" i="3"/>
  <c r="V74" i="3"/>
  <c r="V79" i="3"/>
  <c r="V82" i="3"/>
  <c r="V83" i="3"/>
  <c r="V84" i="3"/>
  <c r="V85" i="3"/>
  <c r="V87" i="3"/>
  <c r="V89" i="3"/>
  <c r="V90" i="3"/>
  <c r="V91" i="3"/>
  <c r="V96" i="3"/>
  <c r="V97" i="3"/>
  <c r="V99" i="3"/>
  <c r="V100" i="3"/>
  <c r="V101" i="3"/>
  <c r="V102" i="3"/>
  <c r="V103" i="3"/>
  <c r="V104" i="3"/>
  <c r="V108" i="3"/>
  <c r="V109" i="3"/>
  <c r="V110" i="3"/>
  <c r="V111" i="3"/>
  <c r="V112" i="3"/>
  <c r="V114" i="3"/>
  <c r="V115" i="3"/>
  <c r="V116" i="3"/>
  <c r="V124" i="3"/>
  <c r="V125" i="3"/>
  <c r="V128" i="3"/>
  <c r="V129" i="3"/>
  <c r="V130" i="3"/>
  <c r="V131" i="3"/>
  <c r="V132" i="3"/>
  <c r="V133" i="3"/>
  <c r="V139" i="3"/>
  <c r="V140" i="3"/>
  <c r="V141" i="3"/>
  <c r="V142" i="3"/>
  <c r="V143" i="3"/>
  <c r="V144" i="3"/>
  <c r="V145" i="3"/>
  <c r="V147" i="3"/>
  <c r="V148" i="3"/>
  <c r="V149" i="3"/>
  <c r="V150" i="3"/>
  <c r="V151" i="3"/>
  <c r="V152" i="3"/>
  <c r="V153" i="3"/>
  <c r="V155" i="3"/>
  <c r="V156" i="3"/>
  <c r="V157" i="3"/>
  <c r="V158" i="3"/>
  <c r="V159" i="3"/>
  <c r="V160" i="3"/>
  <c r="V161" i="3"/>
  <c r="V163" i="3"/>
  <c r="V164" i="3"/>
  <c r="V165" i="3"/>
  <c r="V166" i="3"/>
  <c r="V167" i="3"/>
  <c r="V168" i="3"/>
  <c r="V169" i="3"/>
  <c r="V171" i="3"/>
  <c r="V172" i="3"/>
  <c r="V173" i="3"/>
  <c r="V174" i="3"/>
  <c r="V175" i="3"/>
  <c r="V176" i="3"/>
  <c r="V177" i="3"/>
  <c r="V179" i="3"/>
  <c r="V180" i="3"/>
  <c r="V181" i="3"/>
  <c r="V182" i="3"/>
  <c r="V183" i="3"/>
  <c r="V184" i="3"/>
  <c r="V185" i="3"/>
  <c r="V194" i="3"/>
  <c r="V195" i="3"/>
  <c r="V196" i="3"/>
  <c r="V197" i="3"/>
  <c r="V198" i="3"/>
  <c r="V199" i="3"/>
  <c r="V201" i="3"/>
  <c r="V202" i="3"/>
  <c r="V203" i="3"/>
  <c r="V204" i="3"/>
  <c r="V205" i="3"/>
  <c r="V206" i="3"/>
  <c r="V207" i="3"/>
  <c r="V209" i="3"/>
  <c r="V210" i="3"/>
  <c r="V211" i="3"/>
  <c r="V212" i="3"/>
  <c r="V213" i="3"/>
  <c r="V214" i="3"/>
  <c r="V215" i="3"/>
  <c r="V217" i="3"/>
  <c r="V218" i="3"/>
  <c r="V219" i="3"/>
  <c r="V220" i="3"/>
  <c r="V221" i="3"/>
  <c r="V222" i="3"/>
  <c r="V223" i="3"/>
  <c r="V225" i="3"/>
  <c r="V226" i="3"/>
  <c r="V227" i="3"/>
  <c r="V228" i="3"/>
  <c r="V229" i="3"/>
  <c r="V230" i="3"/>
  <c r="V231" i="3"/>
  <c r="V234" i="3"/>
  <c r="V235" i="3"/>
  <c r="V236" i="3"/>
  <c r="V237" i="3"/>
  <c r="V238" i="3"/>
  <c r="V239" i="3"/>
  <c r="V241" i="3"/>
  <c r="V242" i="3"/>
  <c r="V243" i="3"/>
  <c r="V244" i="3"/>
  <c r="V245" i="3"/>
  <c r="V246" i="3"/>
  <c r="V247" i="3"/>
  <c r="V249" i="3"/>
  <c r="V250" i="3"/>
  <c r="V251" i="3"/>
  <c r="V252" i="3"/>
  <c r="V253" i="3"/>
  <c r="V254" i="3"/>
  <c r="V255" i="3"/>
  <c r="V258" i="3"/>
  <c r="V259" i="3"/>
  <c r="V260" i="3"/>
  <c r="V261" i="3"/>
  <c r="V262" i="3"/>
  <c r="V263" i="3"/>
  <c r="V265" i="3"/>
  <c r="V266" i="3"/>
  <c r="V267" i="3"/>
  <c r="V268" i="3"/>
  <c r="V269" i="3"/>
  <c r="V270" i="3"/>
  <c r="V271" i="3"/>
  <c r="V274" i="3"/>
  <c r="V275" i="3"/>
  <c r="V276" i="3"/>
  <c r="V277" i="3"/>
  <c r="V278" i="3"/>
  <c r="V279" i="3"/>
  <c r="V281" i="3"/>
  <c r="V283" i="3"/>
  <c r="V284" i="3"/>
  <c r="V285" i="3"/>
  <c r="V287" i="3"/>
  <c r="V289" i="3"/>
  <c r="V290" i="3"/>
  <c r="V291" i="3"/>
  <c r="V292" i="3"/>
  <c r="W9" i="3"/>
  <c r="W8" i="3" s="1"/>
  <c r="X72" i="3" l="1"/>
  <c r="X8" i="3"/>
  <c r="X13" i="3"/>
  <c r="X29" i="3"/>
  <c r="V13" i="3"/>
  <c r="X107" i="3"/>
  <c r="X88" i="3"/>
  <c r="X68" i="3"/>
  <c r="X127" i="3"/>
  <c r="V88" i="3"/>
  <c r="W107" i="3"/>
  <c r="W257" i="3"/>
  <c r="W72" i="3"/>
  <c r="X102" i="3"/>
  <c r="X100" i="3"/>
  <c r="X101" i="3"/>
  <c r="X103" i="3"/>
  <c r="W273" i="3"/>
  <c r="V29" i="3"/>
  <c r="W68" i="3"/>
  <c r="W58" i="3"/>
  <c r="W81" i="3"/>
  <c r="V81" i="3"/>
  <c r="V8" i="3"/>
  <c r="V78" i="3"/>
  <c r="V68" i="3"/>
  <c r="V127" i="3"/>
  <c r="W95" i="3"/>
  <c r="W98" i="3"/>
  <c r="W282" i="3"/>
  <c r="W288" i="3"/>
  <c r="W19" i="3"/>
  <c r="W127" i="3"/>
  <c r="W29" i="3"/>
  <c r="W193" i="3"/>
  <c r="W36" i="3"/>
  <c r="V193" i="3"/>
  <c r="W138" i="3"/>
  <c r="W54" i="3"/>
  <c r="W233" i="3"/>
  <c r="W123" i="3"/>
  <c r="W44" i="3"/>
  <c r="V77" i="3"/>
  <c r="W264" i="3"/>
  <c r="V95" i="3"/>
  <c r="V282" i="3"/>
  <c r="V288" i="3"/>
  <c r="V257" i="3"/>
  <c r="V54" i="3"/>
  <c r="V233" i="3"/>
  <c r="V36" i="3"/>
  <c r="V44" i="3"/>
  <c r="V272" i="3"/>
  <c r="V264" i="3" s="1"/>
  <c r="V105" i="3"/>
  <c r="V98" i="3" s="1"/>
  <c r="V59" i="3"/>
  <c r="V58" i="3" s="1"/>
  <c r="U256" i="3"/>
  <c r="X256" i="3" s="1"/>
  <c r="U248" i="3"/>
  <c r="X248" i="3" s="1"/>
  <c r="U240" i="3"/>
  <c r="X240" i="3" s="1"/>
  <c r="X233" i="3" s="1"/>
  <c r="U86" i="3"/>
  <c r="X86" i="3" s="1"/>
  <c r="X81" i="3" s="1"/>
  <c r="U43" i="3"/>
  <c r="X43" i="3" s="1"/>
  <c r="X36" i="3" s="1"/>
  <c r="V280" i="3"/>
  <c r="V273" i="3" s="1"/>
  <c r="V113" i="3"/>
  <c r="V107" i="3" s="1"/>
  <c r="V67" i="3"/>
  <c r="V66" i="3" s="1"/>
  <c r="U51" i="3"/>
  <c r="X51" i="3" s="1"/>
  <c r="X44" i="3" s="1"/>
  <c r="V126" i="3"/>
  <c r="V123" i="3" s="1"/>
  <c r="V75" i="3"/>
  <c r="V27" i="3"/>
  <c r="V19" i="3" s="1"/>
  <c r="V186" i="3"/>
  <c r="V178" i="3"/>
  <c r="V170" i="3"/>
  <c r="V162" i="3"/>
  <c r="V154" i="3"/>
  <c r="V146" i="3"/>
  <c r="X98" i="3" l="1"/>
  <c r="X326" i="3" s="1"/>
  <c r="W326" i="3"/>
  <c r="V138" i="3"/>
  <c r="V72" i="3"/>
  <c r="V326" i="3" s="1"/>
  <c r="P70" i="3"/>
  <c r="Y340" i="3" l="1"/>
  <c r="X3" i="3"/>
  <c r="Q37" i="3"/>
  <c r="Q38" i="3"/>
  <c r="Q39" i="3"/>
  <c r="Q40" i="3"/>
  <c r="Q41" i="3"/>
  <c r="Q42" i="3"/>
  <c r="Q43" i="3"/>
  <c r="Q45" i="3"/>
  <c r="Q46" i="3"/>
  <c r="Q47" i="3"/>
  <c r="Q48" i="3"/>
  <c r="Q49" i="3"/>
  <c r="Q50" i="3"/>
  <c r="Q51" i="3"/>
  <c r="Q52" i="3"/>
  <c r="Q53" i="3"/>
  <c r="Q69" i="3"/>
  <c r="Q70" i="3"/>
  <c r="Q71" i="3"/>
  <c r="O90" i="3"/>
  <c r="O91" i="3"/>
  <c r="O89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194" i="3"/>
  <c r="N104" i="3"/>
  <c r="N59" i="3" l="1"/>
  <c r="N256" i="3"/>
  <c r="N255" i="3"/>
  <c r="N247" i="3"/>
  <c r="N248" i="3"/>
  <c r="N243" i="3"/>
  <c r="N244" i="3"/>
  <c r="N245" i="3"/>
  <c r="N246" i="3"/>
  <c r="N240" i="3"/>
  <c r="N241" i="3"/>
  <c r="N242" i="3"/>
  <c r="N239" i="3"/>
  <c r="N238" i="3"/>
  <c r="N237" i="3"/>
  <c r="N235" i="3"/>
  <c r="N236" i="3"/>
  <c r="N234" i="3"/>
  <c r="M102" i="3" l="1"/>
  <c r="L103" i="3" l="1"/>
  <c r="L56" i="3" l="1"/>
  <c r="L57" i="3"/>
  <c r="L55" i="3"/>
  <c r="K9" i="3"/>
  <c r="R47" i="3"/>
  <c r="R48" i="3"/>
  <c r="R49" i="3"/>
  <c r="R51" i="3"/>
  <c r="R53" i="3"/>
  <c r="R45" i="3"/>
  <c r="R39" i="3"/>
  <c r="R40" i="3"/>
  <c r="R43" i="3"/>
  <c r="R37" i="3"/>
  <c r="J352" i="3"/>
  <c r="J353" i="3" s="1"/>
  <c r="L292" i="3"/>
  <c r="K292" i="3"/>
  <c r="L291" i="3"/>
  <c r="K291" i="3"/>
  <c r="L290" i="3"/>
  <c r="K290" i="3"/>
  <c r="L289" i="3"/>
  <c r="K289" i="3"/>
  <c r="L287" i="3"/>
  <c r="K287" i="3"/>
  <c r="L286" i="3"/>
  <c r="K286" i="3"/>
  <c r="L285" i="3"/>
  <c r="K285" i="3"/>
  <c r="L284" i="3"/>
  <c r="K284" i="3"/>
  <c r="L283" i="3"/>
  <c r="K283" i="3"/>
  <c r="L281" i="3"/>
  <c r="K281" i="3"/>
  <c r="L280" i="3"/>
  <c r="K280" i="3"/>
  <c r="L279" i="3"/>
  <c r="K279" i="3"/>
  <c r="L278" i="3"/>
  <c r="K278" i="3"/>
  <c r="L277" i="3"/>
  <c r="K277" i="3"/>
  <c r="L276" i="3"/>
  <c r="K276" i="3"/>
  <c r="L275" i="3"/>
  <c r="K275" i="3"/>
  <c r="L274" i="3"/>
  <c r="K274" i="3"/>
  <c r="L272" i="3"/>
  <c r="K272" i="3"/>
  <c r="L271" i="3"/>
  <c r="K271" i="3"/>
  <c r="L270" i="3"/>
  <c r="K270" i="3"/>
  <c r="L269" i="3"/>
  <c r="K269" i="3"/>
  <c r="L268" i="3"/>
  <c r="K268" i="3"/>
  <c r="L267" i="3"/>
  <c r="K267" i="3"/>
  <c r="L266" i="3"/>
  <c r="K266" i="3"/>
  <c r="L265" i="3"/>
  <c r="K265" i="3"/>
  <c r="L263" i="3"/>
  <c r="K263" i="3"/>
  <c r="L262" i="3"/>
  <c r="K262" i="3"/>
  <c r="L261" i="3"/>
  <c r="K261" i="3"/>
  <c r="L260" i="3"/>
  <c r="K260" i="3"/>
  <c r="L259" i="3"/>
  <c r="K259" i="3"/>
  <c r="L258" i="3"/>
  <c r="K258" i="3"/>
  <c r="L256" i="3"/>
  <c r="K256" i="3"/>
  <c r="L255" i="3"/>
  <c r="K255" i="3"/>
  <c r="L254" i="3"/>
  <c r="K254" i="3"/>
  <c r="L253" i="3"/>
  <c r="K253" i="3"/>
  <c r="L252" i="3"/>
  <c r="K252" i="3"/>
  <c r="L251" i="3"/>
  <c r="K251" i="3"/>
  <c r="L250" i="3"/>
  <c r="K250" i="3"/>
  <c r="L249" i="3"/>
  <c r="K249" i="3"/>
  <c r="L248" i="3"/>
  <c r="K248" i="3"/>
  <c r="L247" i="3"/>
  <c r="K247" i="3"/>
  <c r="L246" i="3"/>
  <c r="K246" i="3"/>
  <c r="L245" i="3"/>
  <c r="K245" i="3"/>
  <c r="L244" i="3"/>
  <c r="K244" i="3"/>
  <c r="L243" i="3"/>
  <c r="K243" i="3"/>
  <c r="L242" i="3"/>
  <c r="K242" i="3"/>
  <c r="L241" i="3"/>
  <c r="K241" i="3"/>
  <c r="L240" i="3"/>
  <c r="K240" i="3"/>
  <c r="L239" i="3"/>
  <c r="K239" i="3"/>
  <c r="L238" i="3"/>
  <c r="K238" i="3"/>
  <c r="L237" i="3"/>
  <c r="K237" i="3"/>
  <c r="L236" i="3"/>
  <c r="K236" i="3"/>
  <c r="L235" i="3"/>
  <c r="K235" i="3"/>
  <c r="L234" i="3"/>
  <c r="K234" i="3"/>
  <c r="L232" i="3"/>
  <c r="K232" i="3"/>
  <c r="L231" i="3"/>
  <c r="K231" i="3"/>
  <c r="L230" i="3"/>
  <c r="K230" i="3"/>
  <c r="L229" i="3"/>
  <c r="K229" i="3"/>
  <c r="L228" i="3"/>
  <c r="K228" i="3"/>
  <c r="L227" i="3"/>
  <c r="K227" i="3"/>
  <c r="L226" i="3"/>
  <c r="K226" i="3"/>
  <c r="L225" i="3"/>
  <c r="K225" i="3"/>
  <c r="L224" i="3"/>
  <c r="K224" i="3"/>
  <c r="L223" i="3"/>
  <c r="K223" i="3"/>
  <c r="L222" i="3"/>
  <c r="K222" i="3"/>
  <c r="L221" i="3"/>
  <c r="K221" i="3"/>
  <c r="L220" i="3"/>
  <c r="K220" i="3"/>
  <c r="L219" i="3"/>
  <c r="K219" i="3"/>
  <c r="L218" i="3"/>
  <c r="K218" i="3"/>
  <c r="L217" i="3"/>
  <c r="K217" i="3"/>
  <c r="L216" i="3"/>
  <c r="K216" i="3"/>
  <c r="L215" i="3"/>
  <c r="K215" i="3"/>
  <c r="L214" i="3"/>
  <c r="K214" i="3"/>
  <c r="L213" i="3"/>
  <c r="K213" i="3"/>
  <c r="L212" i="3"/>
  <c r="K212" i="3"/>
  <c r="L211" i="3"/>
  <c r="K211" i="3"/>
  <c r="L210" i="3"/>
  <c r="K210" i="3"/>
  <c r="L209" i="3"/>
  <c r="K209" i="3"/>
  <c r="L208" i="3"/>
  <c r="K208" i="3"/>
  <c r="L207" i="3"/>
  <c r="K207" i="3"/>
  <c r="L206" i="3"/>
  <c r="K206" i="3"/>
  <c r="L205" i="3"/>
  <c r="K205" i="3"/>
  <c r="L204" i="3"/>
  <c r="K204" i="3"/>
  <c r="L203" i="3"/>
  <c r="K203" i="3"/>
  <c r="L202" i="3"/>
  <c r="K202" i="3"/>
  <c r="L201" i="3"/>
  <c r="K201" i="3"/>
  <c r="L200" i="3"/>
  <c r="K200" i="3"/>
  <c r="L199" i="3"/>
  <c r="K199" i="3"/>
  <c r="L198" i="3"/>
  <c r="K198" i="3"/>
  <c r="L197" i="3"/>
  <c r="K197" i="3"/>
  <c r="L196" i="3"/>
  <c r="K196" i="3"/>
  <c r="L195" i="3"/>
  <c r="K195" i="3"/>
  <c r="L194" i="3"/>
  <c r="K194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4" i="3"/>
  <c r="K164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6" i="3"/>
  <c r="K126" i="3"/>
  <c r="L125" i="3"/>
  <c r="K125" i="3"/>
  <c r="L124" i="3"/>
  <c r="K124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6" i="3"/>
  <c r="K106" i="3"/>
  <c r="L105" i="3"/>
  <c r="K105" i="3"/>
  <c r="L104" i="3"/>
  <c r="K104" i="3"/>
  <c r="K103" i="3"/>
  <c r="Q103" i="3" s="1"/>
  <c r="K102" i="3"/>
  <c r="Q102" i="3" s="1"/>
  <c r="K101" i="3"/>
  <c r="Q101" i="3" s="1"/>
  <c r="K100" i="3"/>
  <c r="Q100" i="3" s="1"/>
  <c r="K99" i="3"/>
  <c r="Q99" i="3" s="1"/>
  <c r="K97" i="3"/>
  <c r="Q97" i="3" s="1"/>
  <c r="L96" i="3"/>
  <c r="K96" i="3"/>
  <c r="L91" i="3"/>
  <c r="K91" i="3"/>
  <c r="L90" i="3"/>
  <c r="K90" i="3"/>
  <c r="L89" i="3"/>
  <c r="K89" i="3"/>
  <c r="L87" i="3"/>
  <c r="K87" i="3"/>
  <c r="L86" i="3"/>
  <c r="K86" i="3"/>
  <c r="L85" i="3"/>
  <c r="K85" i="3"/>
  <c r="L84" i="3"/>
  <c r="K84" i="3"/>
  <c r="L83" i="3"/>
  <c r="K83" i="3"/>
  <c r="L82" i="3"/>
  <c r="K82" i="3"/>
  <c r="K79" i="3"/>
  <c r="Q79" i="3" s="1"/>
  <c r="K75" i="3"/>
  <c r="Q75" i="3" s="1"/>
  <c r="K74" i="3"/>
  <c r="Q74" i="3" s="1"/>
  <c r="K73" i="3"/>
  <c r="Q73" i="3" s="1"/>
  <c r="R71" i="3"/>
  <c r="R69" i="3"/>
  <c r="K67" i="3"/>
  <c r="Q67" i="3" s="1"/>
  <c r="K65" i="3"/>
  <c r="Q65" i="3" s="1"/>
  <c r="K64" i="3"/>
  <c r="Q64" i="3" s="1"/>
  <c r="K63" i="3"/>
  <c r="Q63" i="3" s="1"/>
  <c r="K62" i="3"/>
  <c r="Q62" i="3" s="1"/>
  <c r="K61" i="3"/>
  <c r="Q61" i="3" s="1"/>
  <c r="K60" i="3"/>
  <c r="Q60" i="3" s="1"/>
  <c r="K59" i="3"/>
  <c r="K57" i="3"/>
  <c r="K56" i="3"/>
  <c r="K55" i="3"/>
  <c r="R41" i="3"/>
  <c r="L35" i="3"/>
  <c r="K35" i="3"/>
  <c r="L34" i="3"/>
  <c r="K34" i="3"/>
  <c r="L33" i="3"/>
  <c r="K33" i="3"/>
  <c r="L32" i="3"/>
  <c r="K32" i="3"/>
  <c r="L31" i="3"/>
  <c r="K31" i="3"/>
  <c r="L30" i="3"/>
  <c r="K30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7" i="3"/>
  <c r="K17" i="3"/>
  <c r="L16" i="3"/>
  <c r="K16" i="3"/>
  <c r="L15" i="3"/>
  <c r="K15" i="3"/>
  <c r="L14" i="3"/>
  <c r="K14" i="3"/>
  <c r="L11" i="3"/>
  <c r="K11" i="3"/>
  <c r="L10" i="3"/>
  <c r="K10" i="3"/>
  <c r="L9" i="3"/>
  <c r="Q14" i="3" l="1"/>
  <c r="R14" i="3" s="1"/>
  <c r="Q20" i="3"/>
  <c r="R20" i="3" s="1"/>
  <c r="Q24" i="3"/>
  <c r="R24" i="3" s="1"/>
  <c r="Q28" i="3"/>
  <c r="R28" i="3" s="1"/>
  <c r="Q33" i="3"/>
  <c r="R33" i="3" s="1"/>
  <c r="Q82" i="3"/>
  <c r="Q86" i="3"/>
  <c r="Q91" i="3"/>
  <c r="Q108" i="3"/>
  <c r="Q112" i="3"/>
  <c r="R112" i="3" s="1"/>
  <c r="Q116" i="3"/>
  <c r="Q126" i="3"/>
  <c r="Q131" i="3"/>
  <c r="Q140" i="3"/>
  <c r="Q144" i="3"/>
  <c r="Q148" i="3"/>
  <c r="Q152" i="3"/>
  <c r="Q156" i="3"/>
  <c r="Q160" i="3"/>
  <c r="Q164" i="3"/>
  <c r="Q168" i="3"/>
  <c r="Q172" i="3"/>
  <c r="Q176" i="3"/>
  <c r="Q180" i="3"/>
  <c r="Q184" i="3"/>
  <c r="Q195" i="3"/>
  <c r="R195" i="3" s="1"/>
  <c r="Q199" i="3"/>
  <c r="R199" i="3" s="1"/>
  <c r="Q10" i="3"/>
  <c r="R10" i="3" s="1"/>
  <c r="Q16" i="3"/>
  <c r="R16" i="3" s="1"/>
  <c r="Q203" i="3"/>
  <c r="R203" i="3" s="1"/>
  <c r="Q207" i="3"/>
  <c r="R207" i="3" s="1"/>
  <c r="Q211" i="3"/>
  <c r="R211" i="3" s="1"/>
  <c r="Q215" i="3"/>
  <c r="R215" i="3" s="1"/>
  <c r="Q219" i="3"/>
  <c r="R219" i="3" s="1"/>
  <c r="Q223" i="3"/>
  <c r="R223" i="3" s="1"/>
  <c r="Q227" i="3"/>
  <c r="R227" i="3" s="1"/>
  <c r="Q231" i="3"/>
  <c r="R231" i="3" s="1"/>
  <c r="Q236" i="3"/>
  <c r="Q240" i="3"/>
  <c r="Q244" i="3"/>
  <c r="Q248" i="3"/>
  <c r="Q252" i="3"/>
  <c r="Q256" i="3"/>
  <c r="Q261" i="3"/>
  <c r="Q266" i="3"/>
  <c r="Q270" i="3"/>
  <c r="Q275" i="3"/>
  <c r="Q279" i="3"/>
  <c r="Q284" i="3"/>
  <c r="Q289" i="3"/>
  <c r="Q22" i="3"/>
  <c r="R22" i="3" s="1"/>
  <c r="Q26" i="3"/>
  <c r="R26" i="3" s="1"/>
  <c r="Q31" i="3"/>
  <c r="Q35" i="3"/>
  <c r="R35" i="3" s="1"/>
  <c r="Q84" i="3"/>
  <c r="Q89" i="3"/>
  <c r="Q105" i="3"/>
  <c r="Q110" i="3"/>
  <c r="Q114" i="3"/>
  <c r="Q124" i="3"/>
  <c r="Q129" i="3"/>
  <c r="R129" i="3" s="1"/>
  <c r="Q133" i="3"/>
  <c r="Q142" i="3"/>
  <c r="Q146" i="3"/>
  <c r="Q150" i="3"/>
  <c r="Q154" i="3"/>
  <c r="Q158" i="3"/>
  <c r="Q162" i="3"/>
  <c r="Q166" i="3"/>
  <c r="Q170" i="3"/>
  <c r="Q174" i="3"/>
  <c r="Q178" i="3"/>
  <c r="Q182" i="3"/>
  <c r="Q197" i="3"/>
  <c r="R197" i="3" s="1"/>
  <c r="Q201" i="3"/>
  <c r="R201" i="3" s="1"/>
  <c r="Q205" i="3"/>
  <c r="R205" i="3" s="1"/>
  <c r="Q209" i="3"/>
  <c r="R209" i="3" s="1"/>
  <c r="Q213" i="3"/>
  <c r="R213" i="3" s="1"/>
  <c r="Q217" i="3"/>
  <c r="R217" i="3" s="1"/>
  <c r="Q221" i="3"/>
  <c r="R221" i="3" s="1"/>
  <c r="Q225" i="3"/>
  <c r="R225" i="3" s="1"/>
  <c r="Q229" i="3"/>
  <c r="R229" i="3" s="1"/>
  <c r="Q234" i="3"/>
  <c r="Q238" i="3"/>
  <c r="Q242" i="3"/>
  <c r="R242" i="3" s="1"/>
  <c r="Q246" i="3"/>
  <c r="R246" i="3" s="1"/>
  <c r="Q250" i="3"/>
  <c r="R250" i="3" s="1"/>
  <c r="Q254" i="3"/>
  <c r="Q259" i="3"/>
  <c r="R259" i="3" s="1"/>
  <c r="Q263" i="3"/>
  <c r="Q268" i="3"/>
  <c r="Q272" i="3"/>
  <c r="Q277" i="3"/>
  <c r="Q281" i="3"/>
  <c r="Q286" i="3"/>
  <c r="R286" i="3" s="1"/>
  <c r="Q291" i="3"/>
  <c r="R291" i="3" s="1"/>
  <c r="Q55" i="3"/>
  <c r="Q56" i="3"/>
  <c r="R56" i="3" s="1"/>
  <c r="Q15" i="3"/>
  <c r="Q21" i="3"/>
  <c r="Q25" i="3"/>
  <c r="R25" i="3" s="1"/>
  <c r="Q30" i="3"/>
  <c r="R30" i="3" s="1"/>
  <c r="Q34" i="3"/>
  <c r="R34" i="3" s="1"/>
  <c r="Q83" i="3"/>
  <c r="Q87" i="3"/>
  <c r="Q96" i="3"/>
  <c r="R96" i="3" s="1"/>
  <c r="Q109" i="3"/>
  <c r="Q113" i="3"/>
  <c r="Q117" i="3"/>
  <c r="Q128" i="3"/>
  <c r="Q132" i="3"/>
  <c r="Q141" i="3"/>
  <c r="Q145" i="3"/>
  <c r="Q149" i="3"/>
  <c r="Q153" i="3"/>
  <c r="Q157" i="3"/>
  <c r="Q161" i="3"/>
  <c r="Q165" i="3"/>
  <c r="Q169" i="3"/>
  <c r="Q173" i="3"/>
  <c r="Q177" i="3"/>
  <c r="R177" i="3" s="1"/>
  <c r="Q181" i="3"/>
  <c r="R181" i="3" s="1"/>
  <c r="Q185" i="3"/>
  <c r="Q196" i="3"/>
  <c r="R196" i="3" s="1"/>
  <c r="Q200" i="3"/>
  <c r="R200" i="3" s="1"/>
  <c r="Q204" i="3"/>
  <c r="R204" i="3" s="1"/>
  <c r="Q208" i="3"/>
  <c r="R208" i="3" s="1"/>
  <c r="Q212" i="3"/>
  <c r="R212" i="3" s="1"/>
  <c r="Q216" i="3"/>
  <c r="R216" i="3" s="1"/>
  <c r="Q220" i="3"/>
  <c r="R220" i="3" s="1"/>
  <c r="Q224" i="3"/>
  <c r="R224" i="3" s="1"/>
  <c r="Q228" i="3"/>
  <c r="R228" i="3" s="1"/>
  <c r="Q232" i="3"/>
  <c r="R232" i="3" s="1"/>
  <c r="Q237" i="3"/>
  <c r="Q241" i="3"/>
  <c r="Q245" i="3"/>
  <c r="Q249" i="3"/>
  <c r="R249" i="3" s="1"/>
  <c r="Q253" i="3"/>
  <c r="Q258" i="3"/>
  <c r="Q262" i="3"/>
  <c r="Q267" i="3"/>
  <c r="Q271" i="3"/>
  <c r="Q276" i="3"/>
  <c r="Q280" i="3"/>
  <c r="Q285" i="3"/>
  <c r="Q290" i="3"/>
  <c r="Q57" i="3"/>
  <c r="Q11" i="3"/>
  <c r="R11" i="3" s="1"/>
  <c r="Q17" i="3"/>
  <c r="R17" i="3" s="1"/>
  <c r="Q23" i="3"/>
  <c r="Q27" i="3"/>
  <c r="R27" i="3" s="1"/>
  <c r="Q32" i="3"/>
  <c r="R32" i="3" s="1"/>
  <c r="Q85" i="3"/>
  <c r="Q90" i="3"/>
  <c r="Q106" i="3"/>
  <c r="Q111" i="3"/>
  <c r="R111" i="3" s="1"/>
  <c r="Q115" i="3"/>
  <c r="Q125" i="3"/>
  <c r="Q130" i="3"/>
  <c r="Q139" i="3"/>
  <c r="Q143" i="3"/>
  <c r="Q147" i="3"/>
  <c r="Q151" i="3"/>
  <c r="Q155" i="3"/>
  <c r="Q159" i="3"/>
  <c r="Q163" i="3"/>
  <c r="Q167" i="3"/>
  <c r="Q171" i="3"/>
  <c r="R171" i="3" s="1"/>
  <c r="Q175" i="3"/>
  <c r="Q179" i="3"/>
  <c r="Q183" i="3"/>
  <c r="Q194" i="3"/>
  <c r="Q198" i="3"/>
  <c r="R198" i="3" s="1"/>
  <c r="Q202" i="3"/>
  <c r="R202" i="3" s="1"/>
  <c r="Q206" i="3"/>
  <c r="R206" i="3" s="1"/>
  <c r="Q210" i="3"/>
  <c r="R210" i="3" s="1"/>
  <c r="Q214" i="3"/>
  <c r="R214" i="3" s="1"/>
  <c r="Q218" i="3"/>
  <c r="R218" i="3" s="1"/>
  <c r="Q222" i="3"/>
  <c r="R222" i="3" s="1"/>
  <c r="Q226" i="3"/>
  <c r="R226" i="3" s="1"/>
  <c r="Q230" i="3"/>
  <c r="R230" i="3" s="1"/>
  <c r="Q235" i="3"/>
  <c r="Q239" i="3"/>
  <c r="R239" i="3" s="1"/>
  <c r="Q243" i="3"/>
  <c r="Q247" i="3"/>
  <c r="Q251" i="3"/>
  <c r="Q255" i="3"/>
  <c r="Q260" i="3"/>
  <c r="Q265" i="3"/>
  <c r="Q269" i="3"/>
  <c r="Q274" i="3"/>
  <c r="R274" i="3" s="1"/>
  <c r="Q278" i="3"/>
  <c r="R278" i="3" s="1"/>
  <c r="Q283" i="3"/>
  <c r="Q287" i="3"/>
  <c r="Q292" i="3"/>
  <c r="Q9" i="3"/>
  <c r="R9" i="3" s="1"/>
  <c r="R186" i="3"/>
  <c r="R67" i="3"/>
  <c r="R59" i="3"/>
  <c r="R61" i="3"/>
  <c r="R62" i="3"/>
  <c r="R74" i="3"/>
  <c r="R73" i="3"/>
  <c r="R97" i="3"/>
  <c r="R63" i="3"/>
  <c r="R75" i="3"/>
  <c r="R64" i="3"/>
  <c r="R79" i="3"/>
  <c r="R65" i="3"/>
  <c r="R52" i="3"/>
  <c r="R254" i="3" l="1"/>
  <c r="R240" i="3"/>
  <c r="R185" i="3"/>
  <c r="R133" i="3"/>
  <c r="R108" i="3"/>
  <c r="R141" i="3"/>
  <c r="R21" i="3"/>
  <c r="R60" i="3"/>
  <c r="R15" i="3"/>
  <c r="R23" i="3"/>
  <c r="R31" i="3"/>
  <c r="R83" i="3"/>
  <c r="R265" i="3"/>
  <c r="R140" i="3"/>
  <c r="R115" i="3"/>
  <c r="R42" i="3"/>
  <c r="R152" i="3"/>
  <c r="R91" i="3"/>
  <c r="R148" i="3"/>
  <c r="R125" i="3"/>
  <c r="R271" i="3"/>
  <c r="R170" i="3"/>
  <c r="R255" i="3"/>
  <c r="R169" i="3"/>
  <c r="R90" i="3"/>
  <c r="R290" i="3"/>
  <c r="R175" i="3"/>
  <c r="R252" i="3"/>
  <c r="R130" i="3"/>
  <c r="R109" i="3"/>
  <c r="R38" i="3"/>
  <c r="R147" i="3"/>
  <c r="R86" i="3"/>
  <c r="R142" i="3"/>
  <c r="R82" i="3"/>
  <c r="R55" i="3"/>
  <c r="R283" i="3"/>
  <c r="R253" i="3"/>
  <c r="R155" i="3"/>
  <c r="R157" i="3"/>
  <c r="R154" i="3"/>
  <c r="R165" i="3"/>
  <c r="R262" i="3"/>
  <c r="R183" i="3"/>
  <c r="R103" i="3"/>
  <c r="R146" i="3"/>
  <c r="R267" i="3"/>
  <c r="R153" i="3"/>
  <c r="R161" i="3"/>
  <c r="R258" i="3"/>
  <c r="R179" i="3"/>
  <c r="R263" i="3"/>
  <c r="R238" i="3"/>
  <c r="R276" i="3"/>
  <c r="R261" i="3"/>
  <c r="R234" i="3"/>
  <c r="R174" i="3"/>
  <c r="R117" i="3"/>
  <c r="R85" i="3"/>
  <c r="R194" i="3"/>
  <c r="R114" i="3"/>
  <c r="R182" i="3"/>
  <c r="R277" i="3"/>
  <c r="R178" i="3"/>
  <c r="R260" i="3"/>
  <c r="R167" i="3"/>
  <c r="R248" i="3"/>
  <c r="R104" i="3"/>
  <c r="R251" i="3"/>
  <c r="R244" i="3"/>
  <c r="R292" i="3"/>
  <c r="R126" i="3"/>
  <c r="R110" i="3"/>
  <c r="R281" i="3"/>
  <c r="R124" i="3"/>
  <c r="R132" i="3"/>
  <c r="R184" i="3"/>
  <c r="R243" i="3"/>
  <c r="R272" i="3"/>
  <c r="R166" i="3"/>
  <c r="R105" i="3"/>
  <c r="R70" i="3"/>
  <c r="R168" i="3"/>
  <c r="R113" i="3"/>
  <c r="R180" i="3"/>
  <c r="R268" i="3"/>
  <c r="R144" i="3"/>
  <c r="R237" i="3"/>
  <c r="R106" i="3"/>
  <c r="R172" i="3"/>
  <c r="R235" i="3"/>
  <c r="R145" i="3"/>
  <c r="R87" i="3"/>
  <c r="R143" i="3"/>
  <c r="R269" i="3"/>
  <c r="R241" i="3"/>
  <c r="R156" i="3"/>
  <c r="R89" i="3"/>
  <c r="R50" i="3"/>
  <c r="R163" i="3"/>
  <c r="R102" i="3"/>
  <c r="R164" i="3"/>
  <c r="R256" i="3"/>
  <c r="R131" i="3"/>
  <c r="R159" i="3"/>
  <c r="R287" i="3"/>
  <c r="R57" i="3"/>
  <c r="R279" i="3"/>
  <c r="R139" i="3"/>
  <c r="R270" i="3"/>
  <c r="R247" i="3"/>
  <c r="R151" i="3"/>
  <c r="R285" i="3"/>
  <c r="R236" i="3"/>
  <c r="R289" i="3"/>
  <c r="R99" i="3"/>
  <c r="R84" i="3"/>
  <c r="R149" i="3"/>
  <c r="R280" i="3"/>
  <c r="R150" i="3"/>
  <c r="R128" i="3"/>
  <c r="R46" i="3"/>
  <c r="R162" i="3"/>
  <c r="R101" i="3"/>
  <c r="R158" i="3"/>
  <c r="R245" i="3"/>
  <c r="R275" i="3"/>
  <c r="R160" i="3"/>
  <c r="R284" i="3"/>
  <c r="R266" i="3"/>
  <c r="R173" i="3"/>
  <c r="R176" i="3"/>
  <c r="R116" i="3"/>
  <c r="R100" i="3" l="1"/>
  <c r="V352" i="3" l="1"/>
  <c r="V353" i="3" s="1"/>
  <c r="V351" i="3" l="1"/>
</calcChain>
</file>

<file path=xl/sharedStrings.xml><?xml version="1.0" encoding="utf-8"?>
<sst xmlns="http://schemas.openxmlformats.org/spreadsheetml/2006/main" count="8026" uniqueCount="1151">
  <si>
    <t>ITEM</t>
  </si>
  <si>
    <t>CÓDIGO</t>
  </si>
  <si>
    <t>DESCRIÇÃO</t>
  </si>
  <si>
    <t>FONTE</t>
  </si>
  <si>
    <t>UNID</t>
  </si>
  <si>
    <t>QUANTIDADE</t>
  </si>
  <si>
    <t>SEM BDI</t>
  </si>
  <si>
    <t>COM BDI</t>
  </si>
  <si>
    <t>1</t>
  </si>
  <si>
    <t>SERVIÇOS PRELIMINARES</t>
  </si>
  <si>
    <t>1.1</t>
  </si>
  <si>
    <t>PRO-46870444</t>
  </si>
  <si>
    <t>PLACA INDICATIVA DA OBRA EM CHAPA DE AÇO GALVANIZADO (4,0M X 2,0M)</t>
  </si>
  <si>
    <t>Composições Próprias</t>
  </si>
  <si>
    <t>M²</t>
  </si>
  <si>
    <t>1.2</t>
  </si>
  <si>
    <t>93584</t>
  </si>
  <si>
    <t>EXECUÇÃO DE DEPÓSITO EM CANTEIRO DE OBRA EM CHAPA DE MADEIRA COMPENSADA, NÃO INCLUSO MOBILIÁRIO. AF_04/2016</t>
  </si>
  <si>
    <t>SINAPI</t>
  </si>
  <si>
    <t>M2</t>
  </si>
  <si>
    <t>1.3</t>
  </si>
  <si>
    <t>99059</t>
  </si>
  <si>
    <t>LOCACAO CONVENCIONAL DE OBRA, UTILIZANDO GABARITO DE TÁBUAS CORRIDAS PONTALETADAS A CADA 2,00M - 2 UTILIZAÇÕES. AF_10/2018</t>
  </si>
  <si>
    <t>M</t>
  </si>
  <si>
    <t>2</t>
  </si>
  <si>
    <t>MOVIMENTO DE TERRA</t>
  </si>
  <si>
    <t>2.1</t>
  </si>
  <si>
    <t>93382</t>
  </si>
  <si>
    <t>REATERRO MANUAL DE VALAS COM COMPACTAÇÃO MECANIZADA. AF_04/2016</t>
  </si>
  <si>
    <t>M3</t>
  </si>
  <si>
    <t>2.2</t>
  </si>
  <si>
    <t>93358</t>
  </si>
  <si>
    <t>ESCAVAÇÃO MANUAL DE VALA COM PROFUNDIDADE MENOR OU IGUAL A 1,30 M. AF_02/2021</t>
  </si>
  <si>
    <t>2.3</t>
  </si>
  <si>
    <t>2.4</t>
  </si>
  <si>
    <t>96995</t>
  </si>
  <si>
    <t>REATERRO MANUAL APILOADO COM SOQUETE. AF_10/2017</t>
  </si>
  <si>
    <t>3</t>
  </si>
  <si>
    <t>SAPATAS</t>
  </si>
  <si>
    <t>3.1</t>
  </si>
  <si>
    <t>96616</t>
  </si>
  <si>
    <t>LASTRO DE CONCRETO MAGRO, APLICADO EM BLOCOS DE COROAMENTO OU SAPATAS. AF_08/2017</t>
  </si>
  <si>
    <t>3.2</t>
  </si>
  <si>
    <t>96541</t>
  </si>
  <si>
    <t>FABRICAÇÃO, MONTAGEM E DESMONTAGEM DE FÔRMA PARA SAPATA, EM CHAPA DE MADEIRA COMPENSADA RESINADA, E=17 MM, 4 UTILIZAÇÕES. AF_06/2017</t>
  </si>
  <si>
    <t>3.3</t>
  </si>
  <si>
    <t>94971</t>
  </si>
  <si>
    <t>CONCRETO FCK = 25MPA, TRAÇO 1:2,3:2,7 (EM MASSA SECA DE CIMENTO/ AREIA MÉDIA/ BRITA 1) - PREPARO MECÂNICO COM BETONEIRA 600 L. AF_05/2021</t>
  </si>
  <si>
    <t>3.4</t>
  </si>
  <si>
    <t>103670</t>
  </si>
  <si>
    <t>LANÇAMENTO COM USO DE BALDES, ADENSAMENTO E ACABAMENTO DE CONCRETO EM ESTRUTURAS. AF_02/2022</t>
  </si>
  <si>
    <t>3.5</t>
  </si>
  <si>
    <t>96544</t>
  </si>
  <si>
    <t>ARMAÇÃO DE BLOCO, VIGA BALDRAME OU SAPATA UTILIZANDO AÇO CA-50 DE 6,3 MM - MONTAGEM. AF_06/2017</t>
  </si>
  <si>
    <t>KG</t>
  </si>
  <si>
    <t>3.6</t>
  </si>
  <si>
    <t>96546</t>
  </si>
  <si>
    <t>ARMAÇÃO DE BLOCO, VIGA BALDRAME OU SAPATA UTILIZANDO AÇO CA-50 DE 10 MM - MONTAGEM. AF_06/2017</t>
  </si>
  <si>
    <t>3.7</t>
  </si>
  <si>
    <t>96547</t>
  </si>
  <si>
    <t>ARMAÇÃO DE BLOCO, VIGA BALDRAME OU SAPATA UTILIZANDO AÇO CA-50 DE 12,5 MM - MONTAGEM. AF_06/2017</t>
  </si>
  <si>
    <t>3.8</t>
  </si>
  <si>
    <t>96548</t>
  </si>
  <si>
    <t>ARMAÇÃO DE BLOCO, VIGA BALDRAME OU SAPATA UTILIZANDO AÇO CA-50 DE 16 MM - MONTAGEM. AF_06/2017</t>
  </si>
  <si>
    <t>3.9</t>
  </si>
  <si>
    <t>96543</t>
  </si>
  <si>
    <t>ARMAÇÃO DE BLOCO, VIGA BALDRAME E SAPATA UTILIZANDO AÇO CA-60 DE 5 MM - MONTAGEM. AF_06/2017</t>
  </si>
  <si>
    <t>4</t>
  </si>
  <si>
    <t>VIGA BALDRAME</t>
  </si>
  <si>
    <t>4.1</t>
  </si>
  <si>
    <t>95240</t>
  </si>
  <si>
    <t>LASTRO DE CONCRETO MAGRO, APLICADO EM PISOS, LAJES SOBRE SOLO OU RADIERS, ESPESSURA DE 3 CM. AF_07/2016</t>
  </si>
  <si>
    <t>4.2</t>
  </si>
  <si>
    <t>96542</t>
  </si>
  <si>
    <t>FABRICAÇÃO, MONTAGEM E DESMONTAGEM DE FÔRMA PARA VIGA BALDRAME, EM CHAPA DE MADEIRA COMPENSADA RESINADA, E=17 MM, 4 UTILIZAÇÕES. AF_06/2017</t>
  </si>
  <si>
    <t>4.3</t>
  </si>
  <si>
    <t>4.4</t>
  </si>
  <si>
    <t>4.5</t>
  </si>
  <si>
    <t>4.6</t>
  </si>
  <si>
    <t>5</t>
  </si>
  <si>
    <t>PILARES</t>
  </si>
  <si>
    <t>5.1</t>
  </si>
  <si>
    <t>92445</t>
  </si>
  <si>
    <t>MONTAGEM E DESMONTAGEM DE FÔRMA DE PILARES RETANGULARES E ESTRUTURAS SIMILARES, PÉ-DIREITO DUPLO, EM CHAPA DE MADEIRA COMPENSADA PLASTIFICADA, 18 UTILIZAÇÕES. AF_09/2020</t>
  </si>
  <si>
    <t>5.2</t>
  </si>
  <si>
    <t>5.3</t>
  </si>
  <si>
    <t>5.4</t>
  </si>
  <si>
    <t>92762</t>
  </si>
  <si>
    <t>ARMAÇÃO DE PILAR OU VIGA DE ESTRUTURA CONVENCIONAL DE CONCRETO ARMADO UTILIZANDO AÇO CA-50 DE 10,0 MM - MONTAGEM. AF_06/2022</t>
  </si>
  <si>
    <t>5.5</t>
  </si>
  <si>
    <t>92763</t>
  </si>
  <si>
    <t>ARMAÇÃO DE PILAR OU VIGA DE ESTRUTURA CONVENCIONAL DE CONCRETO ARMADO UTILIZANDO AÇO CA-50 DE 12,5 MM - MONTAGEM. AF_06/2022</t>
  </si>
  <si>
    <t>5.6</t>
  </si>
  <si>
    <t>92764</t>
  </si>
  <si>
    <t>ARMAÇÃO DE PILAR OU VIGA DE ESTRUTURA CONVENCIONAL DE CONCRETO ARMADO UTILIZANDO AÇO CA-50 DE 16,0 MM - MONTAGEM. AF_06/2022</t>
  </si>
  <si>
    <t>5.7</t>
  </si>
  <si>
    <t>92759</t>
  </si>
  <si>
    <t>ARMAÇÃO DE PILAR OU VIGA DE ESTRUTURA CONVENCIONAL DE CONCRETO ARMADO UTILIZANDO AÇO CA-60 DE 5,0 MM - MONTAGEM. AF_06/2022</t>
  </si>
  <si>
    <t>6</t>
  </si>
  <si>
    <t>VIGAS</t>
  </si>
  <si>
    <t>6.1</t>
  </si>
  <si>
    <t>92265</t>
  </si>
  <si>
    <t>FABRICAÇÃO DE FÔRMA PARA VIGAS, EM CHAPA DE MADEIRA COMPENSADA RESINADA, E = 17 MM. AF_09/2020</t>
  </si>
  <si>
    <t>6.2</t>
  </si>
  <si>
    <t>6.3</t>
  </si>
  <si>
    <t>6.4</t>
  </si>
  <si>
    <t>92760</t>
  </si>
  <si>
    <t>ARMAÇÃO DE PILAR OU VIGA DE ESTRUTURA CONVENCIONAL DE CONCRETO ARMADO UTILIZANDO AÇO CA-50 DE 6,3 MM - MONTAGEM. AF_06/2022</t>
  </si>
  <si>
    <t>6.5</t>
  </si>
  <si>
    <t>92761</t>
  </si>
  <si>
    <t>ARMAÇÃO DE PILAR OU VIGA DE ESTRUTURA CONVENCIONAL DE CONCRETO ARMADO UTILIZANDO AÇO CA-50 DE 8,0 MM - MONTAGEM. AF_06/2022</t>
  </si>
  <si>
    <t>6.6</t>
  </si>
  <si>
    <t>6.7</t>
  </si>
  <si>
    <t>6.8</t>
  </si>
  <si>
    <t>6.9</t>
  </si>
  <si>
    <t>7</t>
  </si>
  <si>
    <t>VERGAS</t>
  </si>
  <si>
    <t>7.1</t>
  </si>
  <si>
    <t>93182</t>
  </si>
  <si>
    <t>VERGA PRÉ-MOLDADA PARA JANELAS COM ATÉ 1,5 M DE VÃO. AF_03/2016</t>
  </si>
  <si>
    <t>7.2</t>
  </si>
  <si>
    <t>93184</t>
  </si>
  <si>
    <t>VERGA PRÉ-MOLDADA PARA PORTAS COM ATÉ 1,5 M DE VÃO. AF_03/2016</t>
  </si>
  <si>
    <t>7.3</t>
  </si>
  <si>
    <t>93194</t>
  </si>
  <si>
    <t>CONTRAVERGA PRÉ-MOLDADA PARA VÃOS DE ATÉ 1,5 M DE COMPRIMENTO. AF_03/2016</t>
  </si>
  <si>
    <t>8</t>
  </si>
  <si>
    <t>LAJE PRÉ-MOLDADA</t>
  </si>
  <si>
    <t>8.1</t>
  </si>
  <si>
    <t>101964</t>
  </si>
  <si>
    <t>LAJE PRÉ-MOLDADA UNIDIRECIONAL, BIAPOIADA, PARA FORRO, ENCHIMENTO EM CERÂMICA, VIGOTA CONVENCIONAL, ALTURA TOTAL DA LAJE (ENCHIMENTO+CAPA) = (8+3). AF_11/2020</t>
  </si>
  <si>
    <t>8.2</t>
  </si>
  <si>
    <t>8.3</t>
  </si>
  <si>
    <t>8.4</t>
  </si>
  <si>
    <t>8.5</t>
  </si>
  <si>
    <t>8.6</t>
  </si>
  <si>
    <t>8.7</t>
  </si>
  <si>
    <t>9</t>
  </si>
  <si>
    <t>ELEMENTOS VAZADOS</t>
  </si>
  <si>
    <t>9.1</t>
  </si>
  <si>
    <t>101161</t>
  </si>
  <si>
    <t>ALVENARIA DE VEDAÇÃO COM ELEMENTO VAZADO DE CONCRETO (COBOGÓ) DE 7X50X50CM E ARGAMASSA DE ASSENTAMENTO COM PREPARO EM BETONEIRA. AF_05/2020</t>
  </si>
  <si>
    <t>10</t>
  </si>
  <si>
    <t>ALVENARIA DE VEDAÇÃO</t>
  </si>
  <si>
    <t>10.1</t>
  </si>
  <si>
    <t>103329</t>
  </si>
  <si>
    <t>ALVENARIA DE VEDAÇÃO DE BLOCOS CERÂMICOS FURADOS NA HORIZONTAL DE 9X19X19 CM (ESPESSURA 9 CM) E ARGAMASSA DE ASSENTAMENTO COM PREPARO MANUAL. AF_12/2021</t>
  </si>
  <si>
    <t>10.2</t>
  </si>
  <si>
    <t>102253</t>
  </si>
  <si>
    <t>DIVISORIA SANITÁRIA, TIPO CABINE, EM GRANITO CINZA POLIDO, ESP = 3CM, ASSENTADO COM ARGAMASSA COLANTE AC III-E, EXCLUSIVE FERRAGENS. AF_01/2021</t>
  </si>
  <si>
    <t>10.3</t>
  </si>
  <si>
    <t>sico</t>
  </si>
  <si>
    <t>MURO DE CONTORNO COM PILAR EM CONCRETO ARMADO A CADA 2,50M, CONTENDO: ESCAVAÇÃO, ALV. PEDRA, EMBASAMENTO, RADIER, CINTA, CHAPISCADO, REBOCADO H=2,50M</t>
  </si>
  <si>
    <t>11</t>
  </si>
  <si>
    <t>PORTAS DE MADEIRAS</t>
  </si>
  <si>
    <t>11.1</t>
  </si>
  <si>
    <t>90790</t>
  </si>
  <si>
    <t>KIT DE PORTA-PRONTA DE MADEIRA EM ACABAMENTO MELAMÍNICO BRANCO, FOLHA LEVE OU MÉDIA, 80X210CM, EXCLUSIVE FECHADURA, FIXAÇÃO COM PREENCHIMENTO PARCIAL DE ESPUMA EXPANSIVA - FORNECIMENTO E INSTALAÇÃO. AF_12/2019</t>
  </si>
  <si>
    <t>UN</t>
  </si>
  <si>
    <t>11.2</t>
  </si>
  <si>
    <t>90788</t>
  </si>
  <si>
    <t>KIT DE PORTA-PRONTA DE MADEIRA EM ACABAMENTO MELAMÍNICO BRANCO, FOLHA LEVE OU MÉDIA, 60X210CM, EXCLUSIVE FECHADURA, FIXAÇÃO COM PREENCHIMENTO PARCIAL DE ESPUMA EXPANSIVA - FORNECIMENTO E INSTALAÇÃO. AF_12/2019</t>
  </si>
  <si>
    <t>11.3</t>
  </si>
  <si>
    <t>12</t>
  </si>
  <si>
    <t>PORTOES DE FERRO</t>
  </si>
  <si>
    <t>12.1</t>
  </si>
  <si>
    <t>94805</t>
  </si>
  <si>
    <t>PORTA DE ALUMÍNIO DE ABRIR PARA VIDRO SEM GUARNIÇÃO, 87X210CM, FIXAÇÃO COM PARAFUSOS, INCLUSIVE VIDROS - FORNECIMENTO E INSTALAÇÃO. AF_12/2019</t>
  </si>
  <si>
    <t>13</t>
  </si>
  <si>
    <t>JANELAS DE FERRO</t>
  </si>
  <si>
    <t>13.1</t>
  </si>
  <si>
    <t>94559</t>
  </si>
  <si>
    <t>JANELA DE AÇO TIPO BASCULANTE PARA VIDROS, COM BATENTE, FERRAGENS E PINTURA ANTICORROSIVA. EXCLUSIVE VIDROS, ACABAMENTO, ALIZAR E CONTRAMARCO. FORNECIMENTO E INSTALAÇÃO. AF_12/2019</t>
  </si>
  <si>
    <t>13.2</t>
  </si>
  <si>
    <t>13.3</t>
  </si>
  <si>
    <t>13.4</t>
  </si>
  <si>
    <t>94562</t>
  </si>
  <si>
    <t>JANELA DE AÇO DE CORRER COM 4 FOLHAS PARA VIDRO, COM BATENTE, FERRAGENS E PINTURA ANTICORROSIVA. EXCLUSIVE VIDROS, ALIZAR E CONTRAMARCO. FORNECIMENTO E INSTALAÇÃO. AF_12/2019</t>
  </si>
  <si>
    <t>13.5</t>
  </si>
  <si>
    <t>13.6</t>
  </si>
  <si>
    <t>94570</t>
  </si>
  <si>
    <t>JANELA DE ALUMÍNIO DE CORRER COM 2 FOLHAS PARA VIDROS, COM VIDROS, BATENTE, ACABAMENTO COM ACETATO OU BRILHANTE E FERRAGENS. EXCLUSIVE ALIZAR E CONTRAMARCO. FORNECIMENTO E INSTALAÇÃO. AF_12/2019</t>
  </si>
  <si>
    <t>14</t>
  </si>
  <si>
    <t>COBERTURA</t>
  </si>
  <si>
    <t>14.1</t>
  </si>
  <si>
    <t>94446</t>
  </si>
  <si>
    <t>TELHAMENTO COM TELHA CERÂMICA CAPA-CANAL, TIPO PLAN, COM MAIS DE 2 ÁGUAS, INCLUSO TRANSPORTE VERTICAL. AF_07/2019</t>
  </si>
  <si>
    <t>14.2</t>
  </si>
  <si>
    <t>94219</t>
  </si>
  <si>
    <t>CUMEEIRA E ESPIGÃO PARA TELHA CERÂMICA EMBOÇADA COM ARGAMASSA TRAÇO 1:2:9 (CIMENTO, CAL E AREIA), PARA TELHADOS COM MAIS DE 2 ÁGUAS, INCLUSO TRANSPORTE VERTICAL. AF_07/2019</t>
  </si>
  <si>
    <t>14.3</t>
  </si>
  <si>
    <t>94227</t>
  </si>
  <si>
    <t>CALHA EM CHAPA DE AÇO GALVANIZADO NÚMERO 24, DESENVOLVIMENTO DE 33 CM, INCLUSO TRANSPORTE VERTICAL. AF_07/2019</t>
  </si>
  <si>
    <t>15</t>
  </si>
  <si>
    <t>IMPERMEABILIZAÇÃO</t>
  </si>
  <si>
    <t>15.1</t>
  </si>
  <si>
    <t>98546</t>
  </si>
  <si>
    <t>IMPERMEABILIZAÇÃO DE SUPERFÍCIE COM MANTA ASFÁLTICA, UMA CAMADA, INCLUSIVE APLICAÇÃO DE PRIMER ASFÁLTICO, E=3MM. AF_06/2018</t>
  </si>
  <si>
    <t>15.2</t>
  </si>
  <si>
    <t>98557</t>
  </si>
  <si>
    <t>IMPERMEABILIZAÇÃO DE SUPERFÍCIE COM EMULSÃO ASFÁLTICA, 2 DEMÃOS AF_06/2018</t>
  </si>
  <si>
    <t>16</t>
  </si>
  <si>
    <t>REVESTIMENTOS DE PAREDES</t>
  </si>
  <si>
    <t>16.1</t>
  </si>
  <si>
    <t>87879</t>
  </si>
  <si>
    <t>CHAPISCO APLICADO EM ALVENARIAS E ESTRUTURAS DE CONCRETO INTERNAS, COM COLHER DE PEDREIRO. ARGAMASSA TRAÇO 1:3 COM PREPARO EM BETONEIRA 400L. AF_06/2014</t>
  </si>
  <si>
    <t>16.2</t>
  </si>
  <si>
    <t>87894</t>
  </si>
  <si>
    <t>CHAPISCO APLICADO EM ALVENARIA (SEM PRESENÇA DE VÃOS) E ESTRUTURAS DE CONCRETO DE FACHADA, COM COLHER DE PEDREIRO. ARGAMASSA TRAÇO 1:3 COM PREPARO EM BETONEIRA 400L. AF_06/2014</t>
  </si>
  <si>
    <t>16.3</t>
  </si>
  <si>
    <t>87878</t>
  </si>
  <si>
    <t>CHAPISCO APLICADO EM ALVENARIAS E ESTRUTURAS DE CONCRETO INTERNAS, COM COLHER DE PEDREIRO. ARGAMASSA TRAÇO 1:3 COM PREPARO MANUAL. AF_06/2014</t>
  </si>
  <si>
    <t>16.4</t>
  </si>
  <si>
    <t>87535</t>
  </si>
  <si>
    <t>EMBOÇO, PARA RECEBIMENTO DE CERÂMICA, EM ARGAMASSA TRAÇO 1:2:8, PREPARO MECÂNICO COM BETONEIRA 400L, APLICADO MANUALMENTE EM FACES INTERNAS DE PAREDES, PARA AMBIENTE COM ÁREA MAIOR QUE 10M2, ESPESSURA DE 20MM, COM EXECUÇÃO DE TALISCAS. AF_06/2014</t>
  </si>
  <si>
    <t>16.5</t>
  </si>
  <si>
    <t>87529</t>
  </si>
  <si>
    <t>MASSA ÚNICA, PARA RECEBIMENTO DE PINTURA, EM ARGAMASSA TRAÇO 1:2:8, PREPARO MECÂNICO COM BETONEIRA 400L, APLICADA MANUALMENTE EM FACES INTERNAS DE PAREDES, ESPESSURA DE 20MM, COM EXECUÇÃO DE TALISCAS. AF_06/2014</t>
  </si>
  <si>
    <t>16.6</t>
  </si>
  <si>
    <t>90406</t>
  </si>
  <si>
    <t>MASSA ÚNICA, PARA RECEBIMENTO DE PINTURA, EM ARGAMASSA TRAÇO 1:2:8, PREPARO MECÂNICO COM BETONEIRA 400L, APLICADA MANUALMENTE EM TETO, ESPESSURA DE 20MM, COM EXECUÇÃO DE TALISCAS. AF_03/2015</t>
  </si>
  <si>
    <t>16.7</t>
  </si>
  <si>
    <t>S11175</t>
  </si>
  <si>
    <t>Revestimento cerâmico para parede, 10 x 10 cm, Elizabeth, linha cristal piscina, aplicado com argamassa industrializada ac-ii, rejunte epoxi, exclusive regularização de base ou emboço - Rev 02</t>
  </si>
  <si>
    <t>ORSE</t>
  </si>
  <si>
    <t>m2</t>
  </si>
  <si>
    <t>16.8</t>
  </si>
  <si>
    <t>87275</t>
  </si>
  <si>
    <t>REVESTIMENTO CERÂMICO PARA PAREDES INTERNAS COM PLACAS TIPO ESMALTADA EXTRA DE DIMENSÕES 33X45 CM APLICADAS EM AMBIENTES DE ÁREA MAIOR QUE 5 M² A MEIA ALTURA DAS PAREDES. AF_06/2014</t>
  </si>
  <si>
    <t>17</t>
  </si>
  <si>
    <t>PAVIMENTAÇÃO</t>
  </si>
  <si>
    <t>17.1</t>
  </si>
  <si>
    <t>98560</t>
  </si>
  <si>
    <t>IMPERMEABILIZAÇÃO DE PISO COM ARGAMASSA DE CIMENTO E AREIA, COM ADITIVO IMPERMEABILIZANTE, E = 2CM. AF_06/2018</t>
  </si>
  <si>
    <t>17.2</t>
  </si>
  <si>
    <t>101750</t>
  </si>
  <si>
    <t>PISO CIMENTADO, TRAÇO 1:3 (CIMENTO E AREIA), ACABAMENTO RÚSTICO, ESPESSURA 4,0 CM, PREPARO MECÂNICO DA ARGAMASSA. AF_09/2020</t>
  </si>
  <si>
    <t>17.3</t>
  </si>
  <si>
    <t>S02187</t>
  </si>
  <si>
    <t>Polimento de piso de alta resistência (existente)</t>
  </si>
  <si>
    <t>17.4</t>
  </si>
  <si>
    <t>98685</t>
  </si>
  <si>
    <t>RODAPÉ EM GRANITO, ALTURA 10 CM. AF_09/2020</t>
  </si>
  <si>
    <t>17.5</t>
  </si>
  <si>
    <t>95241</t>
  </si>
  <si>
    <t>LASTRO DE CONCRETO MAGRO, APLICADO EM PISOS, LAJES SOBRE SOLO OU RADIERS, ESPESSURA DE 5 CM. AF_07/2016</t>
  </si>
  <si>
    <t>17.6</t>
  </si>
  <si>
    <t>100323</t>
  </si>
  <si>
    <t>LASTRO COM MATERIAL GRANULAR (AREIA MÉDIA), APLICADO EM PISOS OU LAJES SOBRE SOLO, ESPESSURA DE *10 CM*. AF_07/2019</t>
  </si>
  <si>
    <t>17.7</t>
  </si>
  <si>
    <t>92396</t>
  </si>
  <si>
    <t>EXECUÇÃO DE PASSEIO EM PISO INTERTRAVADO, COM BLOCO RETANGULAR COR NATURAL DE 20 X 10 CM, ESPESSURA 6 CM. AF_12/2015</t>
  </si>
  <si>
    <t>17.8</t>
  </si>
  <si>
    <t>CERAMICA 43X43CM, PEI-4, ARIELLE, REF. 42145 LINHA RIVIERA, COR BRANCA OU SIMILAR</t>
  </si>
  <si>
    <t>17.9</t>
  </si>
  <si>
    <t>101094</t>
  </si>
  <si>
    <t>PISO PODOTÁTIL DE ALERTA OU DIRECIONAL, DE BORRACHA, ASSENTADO SOBRE ARGAMASSA. AF_05/2020</t>
  </si>
  <si>
    <t>17.10</t>
  </si>
  <si>
    <t>98504</t>
  </si>
  <si>
    <t>PLANTIO DE GRAMA BATATAIS EM PLACAS. AF_05/2018</t>
  </si>
  <si>
    <t>18</t>
  </si>
  <si>
    <t>RODAPÉ E PEITORIL</t>
  </si>
  <si>
    <t>18.1</t>
  </si>
  <si>
    <t>88649</t>
  </si>
  <si>
    <t>RODAPÉ CERÂMICO DE 7CM DE ALTURA COM PLACAS TIPO ESMALTADA EXTRA DE DIMENSÕES 45X45CM. AF_06/2014</t>
  </si>
  <si>
    <t>18.2</t>
  </si>
  <si>
    <t>98689</t>
  </si>
  <si>
    <t>SOLEIRA EM GRANITO, LARGURA 15 CM, ESPESSURA 2,0 CM. AF_09/2020</t>
  </si>
  <si>
    <t>18.3</t>
  </si>
  <si>
    <t>101965</t>
  </si>
  <si>
    <t>PEITORIL LINEAR EM GRANITO OU MÁRMORE, L = 15CM, COMPRIMENTO DE ATÉ 2M, ASSENTADO COM ARGAMASSA 1:6 COM ADITIVO. AF_11/2020</t>
  </si>
  <si>
    <t>19</t>
  </si>
  <si>
    <t>PINTURA</t>
  </si>
  <si>
    <t>19.1</t>
  </si>
  <si>
    <t>96135</t>
  </si>
  <si>
    <t>APLICAÇÃO MANUAL DE MASSA ACRÍLICA EM PAREDES EXTERNAS DE CASAS, DUAS DEMÃOS. AF_05/2017</t>
  </si>
  <si>
    <t>19.2</t>
  </si>
  <si>
    <t>95306</t>
  </si>
  <si>
    <t>TEXTURA ACRÍLICA, APLICAÇÃO MANUAL EM TETO, UMA DEMÃO. AF_09/2016</t>
  </si>
  <si>
    <t>19.3</t>
  </si>
  <si>
    <t>88489</t>
  </si>
  <si>
    <t>APLICAÇÃO MANUAL DE PINTURA COM TINTA LÁTEX ACRÍLICA EM PAREDES, DUAS DEMÃOS. AF_06/2014</t>
  </si>
  <si>
    <t>19.4</t>
  </si>
  <si>
    <t>88488</t>
  </si>
  <si>
    <t>APLICAÇÃO MANUAL DE PINTURA COM TINTA LÁTEX ACRÍLICA EM TETO, DUAS DEMÃOS. AF_06/2014</t>
  </si>
  <si>
    <t>19.5</t>
  </si>
  <si>
    <t>102489</t>
  </si>
  <si>
    <t>PINTURA HIDROFUGANTE COM SILICONE, APLICAÇÃO MANUAL, 2 DEMÃOS. AF_05/2021</t>
  </si>
  <si>
    <t>19.6</t>
  </si>
  <si>
    <t>100744</t>
  </si>
  <si>
    <t>PINTURA COM TINTA ALQUÍDICA DE ACABAMENTO (ESMALTE SINTÉTICO BRILHANTE) APLICADA A ROLO OU PINCEL SOBRE PERFIL METÁLICO EXECUTADO EM FÁBRICA (POR DEMÃO). AF_01/2020</t>
  </si>
  <si>
    <t>20</t>
  </si>
  <si>
    <t>ELETRICA</t>
  </si>
  <si>
    <t>20.1</t>
  </si>
  <si>
    <t>93009</t>
  </si>
  <si>
    <t>ELETRODUTO RÍGIDO ROSCÁVEL, PVC, DN 60 MM (2"), PARA REDE ENTERRADA DE DISTRIBUIÇÃO DE ENERGIA ELÉTRICA - FORNECIMENTO E INSTALAÇÃO. AF_12/2021</t>
  </si>
  <si>
    <t>20.2</t>
  </si>
  <si>
    <t>93008</t>
  </si>
  <si>
    <t>ELETRODUTO RÍGIDO ROSCÁVEL, PVC, DN 50 MM (1 1/2"), PARA REDE ENTERRADA DE DISTRIBUIÇÃO DE ENERGIA ELÉTRICA - FORNECIMENTO E INSTALAÇÃO. AF_12/2021</t>
  </si>
  <si>
    <t>20.3</t>
  </si>
  <si>
    <t>91873</t>
  </si>
  <si>
    <t>ELETRODUTO RÍGIDO ROSCÁVEL, PVC, DN 40 MM (1 1/4"), PARA CIRCUITOS TERMINAIS, INSTALADO EM PAREDE - FORNECIMENTO E INSTALAÇÃO. AF_12/2015</t>
  </si>
  <si>
    <t>20.4</t>
  </si>
  <si>
    <t>91872</t>
  </si>
  <si>
    <t>ELETRODUTO RÍGIDO ROSCÁVEL, PVC, DN 32 MM (1"), PARA CIRCUITOS TERMINAIS, INSTALADO EM PAREDE - FORNECIMENTO E INSTALAÇÃO. AF_12/2015</t>
  </si>
  <si>
    <t>20.5</t>
  </si>
  <si>
    <t>91871</t>
  </si>
  <si>
    <t>ELETRODUTO RÍGIDO ROSCÁVEL, PVC, DN 25 MM (3/4"), PARA CIRCUITOS TERMINAIS, INSTALADO EM PAREDE - FORNECIMENTO E INSTALAÇÃO. AF_12/2015</t>
  </si>
  <si>
    <t>20.6</t>
  </si>
  <si>
    <t>91870</t>
  </si>
  <si>
    <t>ELETRODUTO RÍGIDO ROSCÁVEL, PVC, DN 20 MM (1/2"), PARA CIRCUITOS TERMINAIS, INSTALADO EM PAREDE - FORNECIMENTO E INSTALAÇÃO. AF_12/2015</t>
  </si>
  <si>
    <t>20.7</t>
  </si>
  <si>
    <t>101663</t>
  </si>
  <si>
    <t>ABRAÇADEIRA EM AÇO PARA AMARRAÇÃO DE ELETRODUTOSS, TIPO D, COM 1" E CUNHA DE FIXAÇÃO</t>
  </si>
  <si>
    <t>20.8</t>
  </si>
  <si>
    <t>ABRAÇADEIRA EM AÇO PARA AMARRAÇÃO DE ELETRODUTOSS, TIPO D, COM 3/4" E CUNHA DE FIXAÇÃO</t>
  </si>
  <si>
    <t>20.9</t>
  </si>
  <si>
    <t>ABRAÇADEIRA EM AÇO PARA AMARRAÇÃO DE ELETRODUTOSS, TIPO U SIMPLES, COM 1 1/4"</t>
  </si>
  <si>
    <t>20.10</t>
  </si>
  <si>
    <t>ABRAÇADEIRA EM AÇO PARA AMARRAÇÃO DE ELETRODUTOSS, TIPO U SIMPLES, COM 2"</t>
  </si>
  <si>
    <t>20.11</t>
  </si>
  <si>
    <t>00039212</t>
  </si>
  <si>
    <t>ARRUELA EM ALUMINIO, COM ROSCA, DE 1 1/2", PARA ELETRODUTO</t>
  </si>
  <si>
    <t>20.12</t>
  </si>
  <si>
    <t>00039208</t>
  </si>
  <si>
    <t>ARRUELA EM ALUMINIO, COM ROSCA, DE 1/2", PARA ELETRODUTO</t>
  </si>
  <si>
    <t>20.13</t>
  </si>
  <si>
    <t>00039178</t>
  </si>
  <si>
    <t>BUCHA EM ALUMINIO, COM ROSCA, DE 1 1/2", PARA ELETRODUTO</t>
  </si>
  <si>
    <t>20.14</t>
  </si>
  <si>
    <t>00039174</t>
  </si>
  <si>
    <t>BUCHA EM ALUMINIO, COM ROSCA, DE 1/2", PARA ELETRODUTO</t>
  </si>
  <si>
    <t>20.15</t>
  </si>
  <si>
    <t>00011945</t>
  </si>
  <si>
    <t>BUCHA DE NYLON SEM ABA S4</t>
  </si>
  <si>
    <t>20.16</t>
  </si>
  <si>
    <t>00004375</t>
  </si>
  <si>
    <t>BUCHA DE NYLON SEM ABA S6</t>
  </si>
  <si>
    <t>20.17</t>
  </si>
  <si>
    <t>97564</t>
  </si>
  <si>
    <t>CURVA 135 GRAUS PARA ELETRODUTO, PVC, ROSCÁVEL, DN 25 MM (3/4?), PARA CIRCUITOS TERMINAIS, INSTALADA EM PAREDE - FORNECIMENTO E INSTALAÇÃO. AF_12/2015</t>
  </si>
  <si>
    <t>20.18</t>
  </si>
  <si>
    <t>91911</t>
  </si>
  <si>
    <t>CURVA 90 GRAUS PARA ELETRODUTO, PVC, ROSCÁVEL, DN 20 MM (1/2"), PARA CIRCUITOS TERMINAIS, INSTALADA EM PAREDE - FORNECIMENTO E INSTALAÇÃO. AF_12/2015</t>
  </si>
  <si>
    <t>20.19</t>
  </si>
  <si>
    <t>91875</t>
  </si>
  <si>
    <t>LUVA PARA ELETRODUTO, PVC, ROSCÁVEL, DN 25 MM (3/4"), PARA CIRCUITOS TERMINAIS, INSTALADA EM FORRO - FORNECIMENTO E INSTALAÇÃO. AF_12/2015</t>
  </si>
  <si>
    <t>20.20</t>
  </si>
  <si>
    <t>91876</t>
  </si>
  <si>
    <t>LUVA PARA ELETRODUTO, PVC, ROSCÁVEL, DN 32 MM (1"), PARA CIRCUITOS TERMINAIS, INSTALADA EM FORRO - FORNECIMENTO E INSTALAÇÃO. AF_12/2015</t>
  </si>
  <si>
    <t>20.21</t>
  </si>
  <si>
    <t>20.22</t>
  </si>
  <si>
    <t>COM-57989361</t>
  </si>
  <si>
    <t>LUMINARIA LED DOWNLIGHT 14W DE EMBUTIR</t>
  </si>
  <si>
    <t>20.23</t>
  </si>
  <si>
    <t>S12971</t>
  </si>
  <si>
    <t>Luminária Painel Led embutir 18w quadrada, 6000k da G-light ou similar - Rev 01_11/2021</t>
  </si>
  <si>
    <t>un</t>
  </si>
  <si>
    <t>20.24</t>
  </si>
  <si>
    <t>COM-16451001</t>
  </si>
  <si>
    <t>LUMINARIA LED SPOTLIGHT 10W DE EMBUTIR</t>
  </si>
  <si>
    <t>20.25</t>
  </si>
  <si>
    <t>97609</t>
  </si>
  <si>
    <t>LÂMPADA COMPACTA DE LED 6 W, BASE E27 - FORNECIMENTO E INSTALAÇÃO. AF_02/2020</t>
  </si>
  <si>
    <t>20.26</t>
  </si>
  <si>
    <t>COM-20124905</t>
  </si>
  <si>
    <t>LUMINARIA LED REFLETOR RETANGULAR BIVOLT, LUZ BRANCA, 50 W</t>
  </si>
  <si>
    <t>UND</t>
  </si>
  <si>
    <t>20.27</t>
  </si>
  <si>
    <t>91996</t>
  </si>
  <si>
    <t>TOMADA MÉDIA DE EMBUTIR (1 MÓDULO), 2P+T 10 A, INCLUINDO SUPORTE E PLACA - FORNECIMENTO E INSTALAÇÃO. AF_12/2015</t>
  </si>
  <si>
    <t>20.28</t>
  </si>
  <si>
    <t>92005</t>
  </si>
  <si>
    <t>TOMADA MÉDIA DE EMBUTIR (2 MÓDULOS), 2P+T 20 A, INCLUINDO SUPORTE E PLACA - FORNECIMENTO E INSTALAÇÃO. AF_12/2015</t>
  </si>
  <si>
    <t>20.29</t>
  </si>
  <si>
    <t>91935</t>
  </si>
  <si>
    <t>CABO DE COBRE FLEXÍVEL ISOLADO, 16 MM², ANTI-CHAMA 0,6/1,0 KV, PARA CIRCUITOS TERMINAIS - FORNECIMENTO E INSTALAÇÃO. AF_12/2015</t>
  </si>
  <si>
    <t>20.30</t>
  </si>
  <si>
    <t>91958</t>
  </si>
  <si>
    <t>INTERRUPTOR SIMPLES (2 MÓDULOS), 10A/250V, SEM SUPORTE E SEM PLACA - FORNECIMENTO E INSTALAÇÃO. AF_12/2015</t>
  </si>
  <si>
    <t>20.31</t>
  </si>
  <si>
    <t>91969</t>
  </si>
  <si>
    <t>INTERRUPTOR PARALELO (3 MÓDULOS), 10A/250V, INCLUINDO SUPORTE E PLACA - FORNECIMENTO E INSTALAÇÃO. AF_12/2015</t>
  </si>
  <si>
    <t>20.32</t>
  </si>
  <si>
    <t>101879</t>
  </si>
  <si>
    <t>QUADRO DE DISTRIBUIÇÃO DE ENERGIA EM CHAPA DE AÇO GALVANIZADO, DE EMBUTIR, COM BARRAMENTO TRIFÁSICO, PARA 24 DISJUNTORES DIN 100A - FORNECIMENTO E INSTALAÇÃO. AF_10/2020</t>
  </si>
  <si>
    <t>20.33</t>
  </si>
  <si>
    <t>101512</t>
  </si>
  <si>
    <t>ENTRADA DE ENERGIA ELÉTRICA, AÉREA, TRIFÁSICA, COM CAIXA DE EMBUTIR, CABO DE 35 MM2 E DISJUNTOR DIN 50A (NÃO INCLUSO O POSTE DE CONCRETO). AF_07/2020</t>
  </si>
  <si>
    <t>20.34</t>
  </si>
  <si>
    <t>92984</t>
  </si>
  <si>
    <t>CABO DE COBRE FLEXÍVEL ISOLADO, 25 MM², ANTI-CHAMA 0,6/1,0 KV, PARA REDE ENTERRADA DE DISTRIBUIÇÃO DE ENERGIA ELÉTRICA - FORNECIMENTO E INSTALAÇÃO. AF_12/2021</t>
  </si>
  <si>
    <t>20.35</t>
  </si>
  <si>
    <t>20.36</t>
  </si>
  <si>
    <t>91932</t>
  </si>
  <si>
    <t>CABO DE COBRE FLEXÍVEL ISOLADO, 10 MM², ANTI-CHAMA 450/750 V, PARA CIRCUITOS TERMINAIS - FORNECIMENTO E INSTALAÇÃO. AF_12/2015</t>
  </si>
  <si>
    <t>20.37</t>
  </si>
  <si>
    <t>91930</t>
  </si>
  <si>
    <t>CABO DE COBRE FLEXÍVEL ISOLADO, 6 MM², ANTI-CHAMA 450/750 V, PARA CIRCUITOS TERMINAIS - FORNECIMENTO E INSTALAÇÃO. AF_12/2015</t>
  </si>
  <si>
    <t>20.38</t>
  </si>
  <si>
    <t>91928</t>
  </si>
  <si>
    <t>CABO DE COBRE FLEXÍVEL ISOLADO, 4 MM², ANTI-CHAMA 450/750 V, PARA CIRCUITOS TERMINAIS - FORNECIMENTO E INSTALAÇÃO. AF_12/2015</t>
  </si>
  <si>
    <t>20.39</t>
  </si>
  <si>
    <t>91926</t>
  </si>
  <si>
    <t>CABO DE COBRE FLEXÍVEL ISOLADO, 2,5 MM², ANTI-CHAMA 450/750 V, PARA CIRCUITOS TERMINAIS - FORNECIMENTO E INSTALAÇÃO. AF_12/2015</t>
  </si>
  <si>
    <t>20.40</t>
  </si>
  <si>
    <t>91924</t>
  </si>
  <si>
    <t>CABO DE COBRE FLEXÍVEL ISOLADO, 1,5 MM², ANTI-CHAMA 450/750 V, PARA CIRCUITOS TERMINAIS - FORNECIMENTO E INSTALAÇÃO. AF_12/2015</t>
  </si>
  <si>
    <t>20.41</t>
  </si>
  <si>
    <t>97886</t>
  </si>
  <si>
    <t>CAIXA ENTERRADA ELÉTRICA RETANGULAR, EM ALVENARIA COM TIJOLOS CERÂMICOS MACIÇOS, FUNDO COM BRITA, DIMENSÕES INTERNAS: 0,3X0,3X0,3 M. AF_12/2020</t>
  </si>
  <si>
    <t>20.42</t>
  </si>
  <si>
    <t>91940</t>
  </si>
  <si>
    <t>CAIXA RETANGULAR 4" X 2" MÉDIA (1,30 M DO PISO), PVC, INSTALADA EM PAREDE - FORNECIMENTO E INSTALAÇÃO. AF_12/2015</t>
  </si>
  <si>
    <t>20.43</t>
  </si>
  <si>
    <t>93670</t>
  </si>
  <si>
    <t>DISJUNTOR TRIPOLAR TIPO DIN, CORRENTE NOMINAL DE 25A - FORNECIMENTO E INSTALAÇÃO. AF_10/2020</t>
  </si>
  <si>
    <t>20.44</t>
  </si>
  <si>
    <t>93671</t>
  </si>
  <si>
    <t>DISJUNTOR TRIPOLAR TIPO DIN, CORRENTE NOMINAL DE 32A - FORNECIMENTO E INSTALAÇÃO. AF_10/2020</t>
  </si>
  <si>
    <t>20.45</t>
  </si>
  <si>
    <t>S09216</t>
  </si>
  <si>
    <t>Disjuntor termomagnetico bipolar 80 A, 30MA</t>
  </si>
  <si>
    <t>20.46</t>
  </si>
  <si>
    <t>93653</t>
  </si>
  <si>
    <t>DISJUNTOR MONOPOLAR TIPO DIN, CORRENTE NOMINAL DE 10A - FORNECIMENTO E INSTALAÇÃO. AF_10/2020</t>
  </si>
  <si>
    <t>20.47</t>
  </si>
  <si>
    <t>93654</t>
  </si>
  <si>
    <t>DISJUNTOR MONOPOLAR TIPO DIN, CORRENTE NOMINAL DE 16A - FORNECIMENTO E INSTALAÇÃO. AF_10/2020</t>
  </si>
  <si>
    <t>20.48</t>
  </si>
  <si>
    <t>93655</t>
  </si>
  <si>
    <t>DISJUNTOR MONOPOLAR TIPO DIN, CORRENTE NOMINAL DE 20A - FORNECIMENTO E INSTALAÇÃO. AF_10/2020</t>
  </si>
  <si>
    <t>21</t>
  </si>
  <si>
    <t>HIDRAULICAS</t>
  </si>
  <si>
    <t>21.1</t>
  </si>
  <si>
    <t>89355</t>
  </si>
  <si>
    <t>TUBO, PVC, SOLDÁVEL, DN 20MM, INSTALADO EM RAMAL OU SUB-RAMAL DE ÁGUA - FORNECIMENTO E INSTALAÇÃO. AF_06/2022</t>
  </si>
  <si>
    <t>21.2</t>
  </si>
  <si>
    <t>89402</t>
  </si>
  <si>
    <t>TUBO, PVC, SOLDÁVEL, DN 25MM, INSTALADO EM RAMAL DE DISTRIBUIÇÃO DE ÁGUA - FORNECIMENTO E INSTALAÇÃO. AF_06/2022</t>
  </si>
  <si>
    <t>21.3</t>
  </si>
  <si>
    <t>89403</t>
  </si>
  <si>
    <t>TUBO, PVC, SOLDÁVEL, DN 32MM, INSTALADO EM RAMAL DE DISTRIBUIÇÃO DE ÁGUA - FORNECIMENTO E INSTALAÇÃO. AF_06/2022</t>
  </si>
  <si>
    <t>21.4</t>
  </si>
  <si>
    <t>89448</t>
  </si>
  <si>
    <t>TUBO, PVC, SOLDÁVEL, DN 40MM, INSTALADO EM PRUMADA DE ÁGUA - FORNECIMENTO E INSTALAÇÃO. AF_06/2022</t>
  </si>
  <si>
    <t>21.5</t>
  </si>
  <si>
    <t>89449</t>
  </si>
  <si>
    <t>TUBO, PVC, SOLDÁVEL, DN 50MM, INSTALADO EM PRUMADA DE ÁGUA - FORNECIMENTO E INSTALAÇÃO. AF_06/2022</t>
  </si>
  <si>
    <t>21.6</t>
  </si>
  <si>
    <t>104032</t>
  </si>
  <si>
    <t>COLAR DE TOMADA, PVC, COM TRAVAS, DE 75 MM X 1/2" OU 75 MM X 3/4", PARA LIGAÇÃO PREDIAL DE ÁGUA. AF_06/2022</t>
  </si>
  <si>
    <t>21.7</t>
  </si>
  <si>
    <t>89362</t>
  </si>
  <si>
    <t>JOELHO 90 GRAUS, PVC, SOLDÁVEL, DN 25MM, INSTALADO EM RAMAL OU SUB-RAMAL DE ÁGUA - FORNECIMENTO E INSTALAÇÃO. AF_06/2022</t>
  </si>
  <si>
    <t>21.8</t>
  </si>
  <si>
    <t>89366</t>
  </si>
  <si>
    <t>JOELHO 90 GRAUS COM BUCHA DE LATÃO, PVC, SOLDÁVEL, DN 25MM, X 3/4 INSTALADO EM RAMAL OU SUB-RAMAL DE ÁGUA - FORNECIMENTO E INSTALAÇÃO. AF_06/2022</t>
  </si>
  <si>
    <t>21.9</t>
  </si>
  <si>
    <t>90373</t>
  </si>
  <si>
    <t>JOELHO 90 GRAUS COM BUCHA DE LATÃO, PVC, SOLDÁVEL, DN 25MM, X 1/2 INSTALADO EM RAMAL OU SUB-RAMAL DE ÁGUA - FORNECIMENTO E INSTALAÇÃO. AF_06/2022</t>
  </si>
  <si>
    <t>21.10</t>
  </si>
  <si>
    <t>89408</t>
  </si>
  <si>
    <t>JOELHO 90 GRAUS, PVC, SOLDÁVEL, DN 25MM, INSTALADO EM RAMAL DE DISTRIBUIÇÃO DE ÁGUA - FORNECIMENTO E INSTALAÇÃO. AF_06/2022</t>
  </si>
  <si>
    <t>21.11</t>
  </si>
  <si>
    <t>89501</t>
  </si>
  <si>
    <t>JOELHO 90 GRAUS, PVC, SOLDÁVEL, DN 50MM, INSTALADO EM PRUMADA DE ÁGUA - FORNECIMENTO E INSTALAÇÃO. AF_06/2022</t>
  </si>
  <si>
    <t>21.12</t>
  </si>
  <si>
    <t>89410</t>
  </si>
  <si>
    <t>CURVA 90 GRAUS, PVC, SOLDÁVEL, DN 25MM, INSTALADO EM RAMAL DE DISTRIBUIÇÃO DE ÁGUA - FORNECIMENTO E INSTALAÇÃO. AF_06/2022</t>
  </si>
  <si>
    <t>21.13</t>
  </si>
  <si>
    <t>89432</t>
  </si>
  <si>
    <t>LUVA DE CORRER, PVC, SOLDÁVEL, DN 32MM, INSTALADO EM RAMAL DE DISTRIBUIÇÃO DE ÁGUA FORNECIMENTO E INSTALAÇÃO. AF_06/2022</t>
  </si>
  <si>
    <t>21.14</t>
  </si>
  <si>
    <t>89379</t>
  </si>
  <si>
    <t>LUVA DE CORRER, PVC, SOLDÁVEL, DN 25MM, INSTALADO EM RAMAL OU SUB-RAMAL DE ÁGUA - FORNECIMENTO E INSTALAÇÃO. AF_12/2014</t>
  </si>
  <si>
    <t>21.15</t>
  </si>
  <si>
    <t>89764</t>
  </si>
  <si>
    <t>BUCHA DE REDUÇÃO, CPVC, SOLDÁVEL, DN35MM X 28MM, INSTALADO EM RAMAL DE DISTRIBUIÇÃO DE ÁGUA - FORNECIMENTO E INSTALAÇÃO. AF_06/2022</t>
  </si>
  <si>
    <t>21.16</t>
  </si>
  <si>
    <t>93065</t>
  </si>
  <si>
    <t>BUCHA DE REDUÇÃO EM COBRE, DN 42 MM X 35 MM, SEM ANEL DE SOLDA, PONTA X BOLSA, INSTALADO EM PRUMADA DE HIDRÁULICA PREDIAL - FORNECIMENTO E INSTALAÇÃO. AF_04/2022</t>
  </si>
  <si>
    <t>21.17</t>
  </si>
  <si>
    <t>93068</t>
  </si>
  <si>
    <t>BUCHA DE REDUÇÃO EM COBRE, DN 54 MM X 42 MM, SEM ANEL DE SOLDA, PONTA X BOLSA, INSTALADO EM PRUMADA DE HIDRÁULICA PREDIAL - FORNECIMENTO E INSTALAÇÃO. AF_04/2022</t>
  </si>
  <si>
    <t>21.18</t>
  </si>
  <si>
    <t>93071</t>
  </si>
  <si>
    <t>BUCHA DE REDUÇÃO EM COBRE, DN 66 MM X 54 MM, SEM ANEL DE SOLDA, PONTA X BOLSA, INSTALADO EM PRUMADA DE HIDRÁULICA PREDIAL - FORNECIMENTO E INSTALAÇÃO. AF_04/2022</t>
  </si>
  <si>
    <t>21.19</t>
  </si>
  <si>
    <t>89440</t>
  </si>
  <si>
    <t>TE, PVC, SOLDÁVEL, DN 25MM, INSTALADO EM RAMAL DE DISTRIBUIÇÃO DE ÁGUA - FORNECIMENTO E INSTALAÇÃO. AF_06/2022</t>
  </si>
  <si>
    <t>21.20</t>
  </si>
  <si>
    <t>89625</t>
  </si>
  <si>
    <t>TE, PVC, SOLDÁVEL, DN 50MM, INSTALADO EM PRUMADA DE ÁGUA - FORNECIMENTO E INSTALAÇÃO. AF_06/2022</t>
  </si>
  <si>
    <t>21.21</t>
  </si>
  <si>
    <t>89628</t>
  </si>
  <si>
    <t>TE, PVC, SOLDÁVEL, DN 60MM, INSTALADO EM PRUMADA DE ÁGUA - FORNECIMENTO E INSTALAÇÃO. AF_06/2022</t>
  </si>
  <si>
    <t>21.22</t>
  </si>
  <si>
    <t>89395</t>
  </si>
  <si>
    <t>TE, PVC, SOLDÁVEL, DN 25MM, INSTALADO EM RAMAL OU SUB-RAMAL DE ÁGUA - FORNECIMENTO E INSTALAÇÃO. AF_06/2022</t>
  </si>
  <si>
    <t>21.23</t>
  </si>
  <si>
    <t>89398</t>
  </si>
  <si>
    <t>TE, PVC, SOLDÁVEL, DN 32MM, INSTALADO EM RAMAL OU SUB-RAMAL DE ÁGUA - FORNECIMENTO E INSTALAÇÃO. AF_06/2022</t>
  </si>
  <si>
    <t>21.24</t>
  </si>
  <si>
    <t>89442</t>
  </si>
  <si>
    <t>TÊ DE REDUÇÃO, PVC, SOLDÁVEL, DN 25MM X 20MM, INSTALADO EM RAMAL DE DISTRIBUIÇÃO DE ÁGUA - FORNECIMENTO E INSTALAÇÃO. AF_06/2022</t>
  </si>
  <si>
    <t>21.25</t>
  </si>
  <si>
    <t>89627</t>
  </si>
  <si>
    <t>TÊ DE REDUÇÃO, PVC, SOLDÁVEL, DN 50MM X 25MM, INSTALADO EM PRUMADA DE ÁGUA - FORNECIMENTO E INSTALAÇÃO. AF_06/2022</t>
  </si>
  <si>
    <t>21.26</t>
  </si>
  <si>
    <t>86884</t>
  </si>
  <si>
    <t>ENGATE FLEXÍVEL EM PLÁSTICO BRANCO, 1/2? X 30CM - FORNECIMENTO E INSTALAÇÃO. AF_01/2020</t>
  </si>
  <si>
    <t>21.27</t>
  </si>
  <si>
    <t>89429</t>
  </si>
  <si>
    <t>ADAPTADOR CURTO COM BOLSA E ROSCA PARA REGISTRO, PVC, SOLDÁVEL, DN 25MM X 3/4 , INSTALADO EM RAMAL DE DISTRIBUIÇÃO DE ÁGUA - FORNECIMENTO E INSTALAÇÃO. AF_06/2022</t>
  </si>
  <si>
    <t>21.28</t>
  </si>
  <si>
    <t>89436</t>
  </si>
  <si>
    <t>ADAPTADOR CURTO COM BOLSA E ROSCA PARA REGISTRO, PVC, SOLDÁVEL, DN 32MM X 1 , INSTALADO EM RAMAL DE DISTRIBUIÇÃO DE ÁGUA - FORNECIMENTO E INSTALAÇÃO. AF_06/2022</t>
  </si>
  <si>
    <t>21.29</t>
  </si>
  <si>
    <t>89610</t>
  </si>
  <si>
    <t>ADAPTADOR CURTO COM BOLSA E ROSCA PARA REGISTRO, PVC, SOLDÁVEL, DN 60MM X 2 , INSTALADO EM PRUMADA DE ÁGUA - FORNECIMENTO E INSTALAÇÃO. AF_06/2022</t>
  </si>
  <si>
    <t>21.30</t>
  </si>
  <si>
    <t>94703</t>
  </si>
  <si>
    <t>ADAPTADOR COM FLANGE E ANEL DE VEDAÇÃO, PVC, SOLDÁVEL, DN 25 MM X 3/4 , INSTALADO EM RESERVAÇÃO DE ÁGUA DE EDIFICAÇÃO QUE POSSUA RESERVATÓRIO DE FIBRA/FIBROCIMENTO FORNECIMENTO E INSTALAÇÃO. AF_06/2016</t>
  </si>
  <si>
    <t>21.31</t>
  </si>
  <si>
    <t>94707</t>
  </si>
  <si>
    <t>ADAPTADOR COM FLANGE E ANEL DE VEDAÇÃO, PVC, SOLDÁVEL, DN 60 MM X 2 , INSTALADO EM RESERVAÇÃO DE ÁGUA DE EDIFICAÇÃO QUE POSSUA RESERVATÓRIO DE FIBRA/FIBROCIMENTO FORNECIMENTO E INSTALAÇÃO. AF_06/2016</t>
  </si>
  <si>
    <t>21.32</t>
  </si>
  <si>
    <t>103042</t>
  </si>
  <si>
    <t>REGISTRO DE ESFERA, PVC, ROSCÁVEL, COM BORBOLETA, 3/4" - FORNECIMENTO E INSTALAÇÃO. AF_08/2021</t>
  </si>
  <si>
    <t>21.33</t>
  </si>
  <si>
    <t>94495</t>
  </si>
  <si>
    <t>REGISTRO DE GAVETA BRUTO, LATÃO, ROSCÁVEL, 1" - FORNECIMENTO E INSTALAÇÃO. AF_08/2021</t>
  </si>
  <si>
    <t>21.34</t>
  </si>
  <si>
    <t>94498</t>
  </si>
  <si>
    <t>REGISTRO DE GAVETA BRUTO, LATÃO, ROSCÁVEL, 2" - FORNECIMENTO E INSTALAÇÃO. AF_08/2021</t>
  </si>
  <si>
    <t>21.35</t>
  </si>
  <si>
    <t>94792</t>
  </si>
  <si>
    <t>REGISTRO DE GAVETA BRUTO, LATÃO, ROSCÁVEL, 1", COM ACABAMENTO E CANOPLA CROMADOS - FORNECIMENTO E INSTALAÇÃO. AF_08/2021</t>
  </si>
  <si>
    <t>21.36</t>
  </si>
  <si>
    <t>21.37</t>
  </si>
  <si>
    <t>89985</t>
  </si>
  <si>
    <t>REGISTRO DE PRESSÃO BRUTO, LATÃO, ROSCÁVEL, 3/4", COM ACABAMENTO E CANOPLA CROMADOS - FORNECIMENTO E INSTALAÇÃO. AF_08/2021</t>
  </si>
  <si>
    <t>21.38</t>
  </si>
  <si>
    <t>102617</t>
  </si>
  <si>
    <t>CAIXA D´ÁGUA EM POLIÉSTER REFORÇADO COM FIBRA DE VIDRO, 5000 LITROS - FORNECIMENTO E INSTALAÇÃO. AF_06/2021</t>
  </si>
  <si>
    <t>21.39</t>
  </si>
  <si>
    <t>102619</t>
  </si>
  <si>
    <t>CAIXA D´ÁGUA EM POLIÉSTER REFORÇADO COM FIBRA DE VIDRO, 10000 LITROS - FORNECIMENTO E INSTALAÇÃO. AF_06/2021</t>
  </si>
  <si>
    <t>22</t>
  </si>
  <si>
    <t>INSTALAÇÕES SANITÁRIAS</t>
  </si>
  <si>
    <t>22.1</t>
  </si>
  <si>
    <t>89711</t>
  </si>
  <si>
    <t>TUBO PVC, SERIE NORMAL, ESGOTO PREDIAL, DN 40 MM, FORNECIDO E INSTALADO EM RAMAL DE DESCARGA OU RAMAL DE ESGOTO SANITÁRIO. AF_08/2022</t>
  </si>
  <si>
    <t>22.2</t>
  </si>
  <si>
    <t>89712</t>
  </si>
  <si>
    <t>TUBO PVC, SERIE NORMAL, ESGOTO PREDIAL, DN 50 MM, FORNECIDO E INSTALADO EM RAMAL DE DESCARGA OU RAMAL DE ESGOTO SANITÁRIO. AF_08/2022</t>
  </si>
  <si>
    <t>22.3</t>
  </si>
  <si>
    <t>89713</t>
  </si>
  <si>
    <t>TUBO PVC, SERIE NORMAL, ESGOTO PREDIAL, DN 75 MM, FORNECIDO E INSTALADO EM RAMAL DE DESCARGA OU RAMAL DE ESGOTO SANITÁRIO. AF_08/2022</t>
  </si>
  <si>
    <t>22.4</t>
  </si>
  <si>
    <t>102264</t>
  </si>
  <si>
    <t>TUBO DE PVC BRANCO PARA REDE COLETORA DE ESGOTO CONDOMINIAL DE PAREDE MACIÇA, DN 100 MM, JUNTA ELÁSTICA - FORNECIMENTO E ASSENTAMENTO. AF_01/2021</t>
  </si>
  <si>
    <t>22.5</t>
  </si>
  <si>
    <t>94687</t>
  </si>
  <si>
    <t>CURVA 90 GRAUS, PVC, SOLDÁVEL, DN 110 MM, INSTALADO EM RESERVAÇÃO DE ÁGUA DE EDIFICAÇÃO QUE POSSUA RESERVATÓRIO DE FIBRA/FIBROCIMENTO FORNECIMENTO E INSTALAÇÃO. AF_06/2016</t>
  </si>
  <si>
    <t>22.6</t>
  </si>
  <si>
    <t>94679</t>
  </si>
  <si>
    <t>CURVA 90 GRAUS, PVC, SOLDÁVEL, DN 50 MM, INSTALADO EM RESERVAÇÃO DE ÁGUA DE EDIFICAÇÃO QUE POSSUA RESERVATÓRIO DE FIBRA/FIBROCIMENTO FORNECIMENTO E INSTALAÇÃO. AF_06/2016</t>
  </si>
  <si>
    <t>22.7</t>
  </si>
  <si>
    <t>00001967</t>
  </si>
  <si>
    <t>CURVA PVC LONGA 90 GRAUS, 40 MM, PARA ESGOTO PREDIAL</t>
  </si>
  <si>
    <t>22.8</t>
  </si>
  <si>
    <t>89728</t>
  </si>
  <si>
    <t>CURVA CURTA 90 GRAUS, PVC, SERIE NORMAL, ESGOTO PREDIAL, DN 40 MM, JUNTA SOLDÁVEL, FORNECIDO E INSTALADO EM RAMAL DE DESCARGA OU RAMAL DE ESGOTO SANITÁRIO. AF_08/2022</t>
  </si>
  <si>
    <t>22.9</t>
  </si>
  <si>
    <t>89726</t>
  </si>
  <si>
    <t>JOELHO 45 GRAUS, PVC, SERIE NORMAL, ESGOTO PREDIAL, DN 40 MM, JUNTA SOLDÁVEL, FORNECIDO E INSTALADO EM RAMAL DE DESCARGA OU RAMAL DE ESGOTO SANITÁRIO. AF_08/2022</t>
  </si>
  <si>
    <t>22.10</t>
  </si>
  <si>
    <t>89744</t>
  </si>
  <si>
    <t>JOELHO 90 GRAUS, PVC, SERIE NORMAL, ESGOTO PREDIAL, DN 100 MM, JUNTA ELÁSTICA, FORNECIDO E INSTALADO EM RAMAL DE DESCARGA OU RAMAL DE ESGOTO SANITÁRIO. AF_08/2022</t>
  </si>
  <si>
    <t>22.11</t>
  </si>
  <si>
    <t>89801</t>
  </si>
  <si>
    <t>JOELHO 90 GRAUS, PVC, SERIE NORMAL, ESGOTO PREDIAL, DN 50 MM, JUNTA ELÁSTICA, FORNECIDO E INSTALADO EM PRUMADA DE ESGOTO SANITÁRIO OU VENTILAÇÃO. AF_08/2022</t>
  </si>
  <si>
    <t>22.12</t>
  </si>
  <si>
    <t>89514</t>
  </si>
  <si>
    <t>JOELHO 90 GRAUS, PVC, SERIE R, ÁGUA PLUVIAL, DN 40 MM, JUNTA SOLDÁVEL, FORNECIDO E INSTALADO EM RAMAL DE ENCAMINHAMENTO. AF_06/2022</t>
  </si>
  <si>
    <t>22.13</t>
  </si>
  <si>
    <t>89797</t>
  </si>
  <si>
    <t>JUNÇÃO SIMPLES, PVC, SERIE NORMAL, ESGOTO PREDIAL, DN 100 X 100 MM, JUNTA ELÁSTICA, FORNECIDO E INSTALADO EM RAMAL DE DESCARGA OU RAMAL DE ESGOTO SANITÁRIO. AF_08/2022</t>
  </si>
  <si>
    <t>22.14</t>
  </si>
  <si>
    <t>89827</t>
  </si>
  <si>
    <t>JUNÇÃO SIMPLES, PVC, SERIE NORMAL, ESGOTO PREDIAL, DN 50 X 50 MM, JUNTA ELÁSTICA, FORNECIDO E INSTALADO EM PRUMADA DE ESGOTO SANITÁRIO OU VENTILAÇÃO. AF_08/2022</t>
  </si>
  <si>
    <t>22.15</t>
  </si>
  <si>
    <t>89784</t>
  </si>
  <si>
    <t>TE, PVC, SERIE NORMAL, ESGOTO PREDIAL, DN 50 X 50 MM, JUNTA ELÁSTICA, FORNECIDO E INSTALADO EM RAMAL DE DESCARGA OU RAMAL DE ESGOTO SANITÁRIO. AF_08/2022</t>
  </si>
  <si>
    <t>22.16</t>
  </si>
  <si>
    <t>89707</t>
  </si>
  <si>
    <t>CAIXA SIFONADA, PVC, DN 100 X 100 X 50 MM, JUNTA ELÁSTICA, FORNECIDA E INSTALADA EM RAMAL DE DESCARGA OU EM RAMAL DE ESGOTO SANITÁRIO. AF_08/2022</t>
  </si>
  <si>
    <t>22.17</t>
  </si>
  <si>
    <t>86882</t>
  </si>
  <si>
    <t>SIFÃO DO TIPO GARRAFA/COPO EM PVC 1.1/4 X 1.1/2? - FORNECIMENTO E INSTALAÇÃO. AF_01/2020</t>
  </si>
  <si>
    <t>22.18</t>
  </si>
  <si>
    <t>S86882S</t>
  </si>
  <si>
    <t>Sifão do tipo garrafa/copo em pvc 1.1/4 x 1.1/2? - fornecimento e instalação. af_01/2020</t>
  </si>
  <si>
    <t>22.19</t>
  </si>
  <si>
    <t>86883</t>
  </si>
  <si>
    <t>SIFÃO DO TIPO FLEXÍVEL EM PVC 1 X 1.1/2 - FORNECIMENTO E INSTALAÇÃO. AF_01/2020</t>
  </si>
  <si>
    <t>22.20</t>
  </si>
  <si>
    <t>86879</t>
  </si>
  <si>
    <t>VÁLVULA EM PLÁSTICO 1? PARA PIA, TANQUE OU LAVATÓRIO, COM OU SEM LADRÃO - FORNECIMENTO E INSTALAÇÃO. AF_01/2020</t>
  </si>
  <si>
    <t>22.21</t>
  </si>
  <si>
    <t>86877</t>
  </si>
  <si>
    <t>VÁLVULA EM METAL CROMADO 1.1/2? X 1.1/2? PARA TANQUE OU LAVATÓRIO, COM OU SEM LADRÃO - FORNECIMENTO E INSTALAÇÃO. AF_01/2020</t>
  </si>
  <si>
    <t>22.22</t>
  </si>
  <si>
    <t>98111</t>
  </si>
  <si>
    <t>CAIXA DE INSPEÇÃO PARA ATERRAMENTO, CIRCULAR, EM POLIETILENO, DIÂMETRO INTERNO = 0,3 M. AF_12/2020</t>
  </si>
  <si>
    <t>22.23</t>
  </si>
  <si>
    <t>98107</t>
  </si>
  <si>
    <t>CAIXA DE GORDURA SIMPLES (CAPACIDADE: 36 L), RETANGULAR, EM ALVENARIA COM BLOCOS DE CONCRETO, DIMENSÕES INTERNAS = 0,2X0,4 M, ALTURA INTERNA = 0,8 M. AF_12/2020</t>
  </si>
  <si>
    <t>23</t>
  </si>
  <si>
    <t>LOUÇAS E METAIS</t>
  </si>
  <si>
    <t>23.1</t>
  </si>
  <si>
    <t>95471</t>
  </si>
  <si>
    <t>VASO SANITARIO SIFONADO CONVENCIONAL PARA PCD SEM FURO FRONTAL COM LOUÇA BRANCA SEM ASSENTO - FORNECIMENTO E INSTALAÇÃO. AF_01/2020</t>
  </si>
  <si>
    <t>23.2</t>
  </si>
  <si>
    <t>103018</t>
  </si>
  <si>
    <t>VÁLVULA DE DESCARGA METÁLICA, BASE 1 1/4", ACABAMENTO METALICO CROMADO - FORNECIMENTO E INSTALAÇÃO. AF_08/2021</t>
  </si>
  <si>
    <t>23.3</t>
  </si>
  <si>
    <t>86941</t>
  </si>
  <si>
    <t>LAVATÓRIO LOUÇA BRANCA COM COLUNA, 45 X 55CM OU EQUIVALENTE, PADRÃO MÉDIO, INCLUSO SIFÃO TIPO GARRAFA, VÁLVULA E ENGATE FLEXÍVEL DE 40CM EM METAL CROMADO, COM TORNEIRA CROMADA DE MESA, PADRÃO MÉDIO - FORNECIMENTO E INSTALAÇÃO. AF_01/2020</t>
  </si>
  <si>
    <t>23.4</t>
  </si>
  <si>
    <t>86906</t>
  </si>
  <si>
    <t>TORNEIRA CROMADA DE MESA, 1/2? OU 3/4?, PARA LAVATÓRIO, PADRÃO POPULAR - FORNECIMENTO E INSTALAÇÃO. AF_01/2020</t>
  </si>
  <si>
    <t>23.5</t>
  </si>
  <si>
    <t>95544</t>
  </si>
  <si>
    <t>PAPELEIRA DE PAREDE EM METAL CROMADO SEM TAMPA, INCLUSO FIXAÇÃO. AF_01/2020</t>
  </si>
  <si>
    <t>23.6</t>
  </si>
  <si>
    <t>100873</t>
  </si>
  <si>
    <t>BARRA DE APOIO RETA, EM ALUMINIO, COMPRIMENTO 90 CM, FIXADA NA PAREDE - FORNECIMENTO E INSTALAÇÃO. AF_01/2020</t>
  </si>
  <si>
    <t>24</t>
  </si>
  <si>
    <t>BWC - INFANTIL (CRECHE 1 E II)</t>
  </si>
  <si>
    <t>24.1</t>
  </si>
  <si>
    <t>100848</t>
  </si>
  <si>
    <t>VASO SANITÁRIO INFANTIL LOUÇA BRANCA - FORNECIMENTO E INSTALACAO. AF_01/2020</t>
  </si>
  <si>
    <t>24.2</t>
  </si>
  <si>
    <t>24.3</t>
  </si>
  <si>
    <t>86938</t>
  </si>
  <si>
    <t>CUBA DE EMBUTIR OVAL EM LOUÇA BRANCA, 35 X 50CM OU EQUIVALENTE, INCLUSO VÁLVULA E SIFÃO TIPO GARRAFA EM METAL CROMADO - FORNECIMENTO E INSTALAÇÃO. AF_01/2020</t>
  </si>
  <si>
    <t>24.4</t>
  </si>
  <si>
    <t>24.5</t>
  </si>
  <si>
    <t>24.6</t>
  </si>
  <si>
    <t>100860</t>
  </si>
  <si>
    <t>CHUVEIRO ELÉTRICO COMUM CORPO PLÁSTICO, TIPO DUCHA ? FORNECIMENTO E INSTALAÇÃO. AF_01/2020</t>
  </si>
  <si>
    <t>24.7</t>
  </si>
  <si>
    <t>COMP-09439188</t>
  </si>
  <si>
    <t>BANCADA EM GRANITO CINZA, E=2,5CM - ORSE (10759)</t>
  </si>
  <si>
    <t>24.8</t>
  </si>
  <si>
    <t>25</t>
  </si>
  <si>
    <t>BWC - (ADMINISTRATIVO, CRECHE III, PRÉ-ESCOLA)</t>
  </si>
  <si>
    <t>25.1</t>
  </si>
  <si>
    <t>95470</t>
  </si>
  <si>
    <t>VASO SANITARIO SIFONADO CONVENCIONAL COM LOUÇA BRANCA, INCLUSO CONJUNTO DE LIGAÇÃO PARA BACIA SANITÁRIA AJUSTÁVEL - FORNECIMENTO E INSTALAÇÃO. AF_10/2016</t>
  </si>
  <si>
    <t>25.2</t>
  </si>
  <si>
    <t>25.3</t>
  </si>
  <si>
    <t>25.4</t>
  </si>
  <si>
    <t>25.5</t>
  </si>
  <si>
    <t>25.6</t>
  </si>
  <si>
    <t>25.7</t>
  </si>
  <si>
    <t>25.8</t>
  </si>
  <si>
    <t>26</t>
  </si>
  <si>
    <t>COZINHA - CIRCULAÇÃO - LACTARIO - DML - LAVANDERIA</t>
  </si>
  <si>
    <t>26.1</t>
  </si>
  <si>
    <t>26.2</t>
  </si>
  <si>
    <t>86922</t>
  </si>
  <si>
    <t>TANQUE DE LOUÇA BRANCA SUSPENSO, 18L OU EQUIVALENTE, INCLUSO SIFÃO TIPO GARRAFA EM METAL CROMADO, VÁLVULA METÁLICA E TORNEIRA DE METAL CROMADO PADRÃO MÉDIO - FORNECIMENTO E INSTALAÇÃO. AF_01/2020</t>
  </si>
  <si>
    <t>26.3</t>
  </si>
  <si>
    <t>26.4</t>
  </si>
  <si>
    <t>86913</t>
  </si>
  <si>
    <t>TORNEIRA CROMADA 1/2? OU 3/4? PARA TANQUE, PADRÃO POPULAR - FORNECIMENTO E INSTALAÇÃO. AF_01/2020</t>
  </si>
  <si>
    <t>26.5</t>
  </si>
  <si>
    <t>27</t>
  </si>
  <si>
    <t>DIVERSOS</t>
  </si>
  <si>
    <t>27.1</t>
  </si>
  <si>
    <t>101909</t>
  </si>
  <si>
    <t>EXTINTOR DE INCÊNDIO PORTÁTIL COM CARGA DE PQS DE 6 KG, CLASSE BC - FORNECIMENTO E INSTALAÇÃO. AF_10/2020_P</t>
  </si>
  <si>
    <t>27.2</t>
  </si>
  <si>
    <t>101905</t>
  </si>
  <si>
    <t>EXTINTOR DE INCÊNDIO PORTÁTIL COM CARGA DE ÁGUA PRESSURIZADA DE 10 L, CLASSE A - FORNECIMENTO E INSTALAÇÃO. AF_10/2020_P</t>
  </si>
  <si>
    <t>27.3</t>
  </si>
  <si>
    <t>102494</t>
  </si>
  <si>
    <t>PINTURA DE PISO COM TINTA EPÓXI, APLICAÇÃO MANUAL, 2 DEMÃOS, INCLUSO PRIMER EPÓXI. AF_05/2021</t>
  </si>
  <si>
    <t>27.4</t>
  </si>
  <si>
    <t>99811</t>
  </si>
  <si>
    <t>LIMPEZA DE CONTRAPISO COM VASSOURA A SECO. AF_04/2019</t>
  </si>
  <si>
    <t>VALOR BDI TOTAL:</t>
  </si>
  <si>
    <t>VALOR ORÇAMENTO:</t>
  </si>
  <si>
    <t>VALOR TOTAL:</t>
  </si>
  <si>
    <t>OBRA:</t>
  </si>
  <si>
    <t>ACUMULADO ANTERIOR</t>
  </si>
  <si>
    <t>PERCENTUAL DE EXECUÇÃO</t>
  </si>
  <si>
    <t>TOTAL GERAL DA MEDIÇÃO :</t>
  </si>
  <si>
    <t>PERCENTUAL GERAL ACUMULADO:</t>
  </si>
  <si>
    <t>COREMAS - PB</t>
  </si>
  <si>
    <t>PERIODO DA MEDIÇÃO:</t>
  </si>
  <si>
    <t>___________________________________________</t>
  </si>
  <si>
    <t>RESP. TÉCNICO EXECUÇÃO</t>
  </si>
  <si>
    <t>RESP. TÉCNICO FICALIZAÇÃO</t>
  </si>
  <si>
    <t>MEDIÇÃO 04</t>
  </si>
  <si>
    <t>___________________________________</t>
  </si>
  <si>
    <t>MAYARA KETTILY MARTINS CUNHA</t>
  </si>
  <si>
    <t>CREA: 162248020-1</t>
  </si>
  <si>
    <t>MEDIÇÃO 05</t>
  </si>
  <si>
    <t>CONSTRUÇÃO DE UMA CRECHE COM CAPACIDADE PARA 50 (CEM) CRIANÇAS</t>
  </si>
  <si>
    <t>13/08/2024 a 12/09/2024</t>
  </si>
  <si>
    <t>MEDIÇÃO 06</t>
  </si>
  <si>
    <t>ACUMULADO INCLUINDO O PERÍODO</t>
  </si>
  <si>
    <t xml:space="preserve">QUANTIDADES MEDIDO </t>
  </si>
  <si>
    <t>VALORES MEDIDO R$</t>
  </si>
  <si>
    <t>OBJETO:</t>
  </si>
  <si>
    <t>LOCAL:</t>
  </si>
  <si>
    <t>PRESTAR SERVIÇOS DE ENGENHARIA PARA CONSTRUÇÃO DE 01 (UMA) CRECHE COM CAPACIDADE PARA 50 (CINQUENTA) CRIANÇAS, COM BASE NO PROGRAMA PARAÍBA PRIMEIRA INFÂNCIA NO MUNICIPIO DE COREMAS-PB.</t>
  </si>
  <si>
    <t>BDI:</t>
  </si>
  <si>
    <t>VALOR CONTRATADO R$:</t>
  </si>
  <si>
    <t>TOTAL GERAL DA MEDIÇÃO ACUMULADO INCLUINDO O PERÍODO:</t>
  </si>
  <si>
    <t>MEDIÇÃO 07</t>
  </si>
  <si>
    <t>MEDIÇÃO 08</t>
  </si>
  <si>
    <t>=</t>
  </si>
  <si>
    <t>ACRESCIDA</t>
  </si>
  <si>
    <t>SUPRIMIDA</t>
  </si>
  <si>
    <t>TOTAL A REPROGRAMAR R$</t>
  </si>
  <si>
    <t xml:space="preserve">REPROGRAMAÇÃO </t>
  </si>
  <si>
    <t>VALOR REPROGRAMAÇÃO R$:</t>
  </si>
  <si>
    <t xml:space="preserve">VALOR A REPROGRAMAR R$: </t>
  </si>
  <si>
    <t>VALOR DO ADITIVO R$:</t>
  </si>
  <si>
    <t>VALOR DO CONVÊNIO R$:</t>
  </si>
  <si>
    <t>VALOR DO SALDO DO CONVÊNIO R$:</t>
  </si>
  <si>
    <t>VALOR DO RENDIMENTO R$:</t>
  </si>
  <si>
    <t>11.4</t>
  </si>
  <si>
    <t>KIT DE PORTA DE MADEIRA FRISADA, SEMI-OCA (LEVE OU MÉDIA), PADRÃO POPULAR, 80X210CM, ESPESSURA DE 3,5CM, ITENS INCLUSOS: DOBRADIÇAS, MONTAGEM E INSTALAÇÃO DE BATENTE, FECHADURA COM EXECUÇÃO DO FURO - FORNECIMENTO E INSTALAÇÃO. AF_12/2019</t>
  </si>
  <si>
    <t>PORTA EM ALUMÍNIO DE ABRIR TIPO VENEZIANA COM GUARNIÇÃO, FIXAÇÃO COM PARAFUSOS - FORNECIMENTO E INSTALAÇÃO. AF_12/2019</t>
  </si>
  <si>
    <t>Grade em metalon</t>
  </si>
  <si>
    <t>CÁLCULOS</t>
  </si>
  <si>
    <t>TOTAL</t>
  </si>
  <si>
    <t>PM 5</t>
  </si>
  <si>
    <t>x</t>
  </si>
  <si>
    <t>PA 1</t>
  </si>
  <si>
    <t>PA 2</t>
  </si>
  <si>
    <t>X</t>
  </si>
  <si>
    <t>JA-1</t>
  </si>
  <si>
    <t>JA-2</t>
  </si>
  <si>
    <t>JA-3</t>
  </si>
  <si>
    <t>JA-4</t>
  </si>
  <si>
    <t>JA-5</t>
  </si>
  <si>
    <t>PORTAS DE MADEIRAS E ALUMINIO</t>
  </si>
  <si>
    <t xml:space="preserve"> Casa de Gás</t>
  </si>
  <si>
    <t>Área 01</t>
  </si>
  <si>
    <t>Área 02</t>
  </si>
  <si>
    <t>Área 03</t>
  </si>
  <si>
    <t>Área 04</t>
  </si>
  <si>
    <t>13.7</t>
  </si>
  <si>
    <t>11.5</t>
  </si>
  <si>
    <t xml:space="preserve">REVESTIMENTO CERAMICO INTERNO </t>
  </si>
  <si>
    <t>Sanitário masculino</t>
  </si>
  <si>
    <t>+</t>
  </si>
  <si>
    <t>Sanitário feminino</t>
  </si>
  <si>
    <t>Copa funcionários</t>
  </si>
  <si>
    <t>Refeitório</t>
  </si>
  <si>
    <t>Sanitário adulto P.N.E masculino</t>
  </si>
  <si>
    <t>Sanitário adulto P.N.E feminino</t>
  </si>
  <si>
    <t>Sala dos professores</t>
  </si>
  <si>
    <t>Recreio coberto</t>
  </si>
  <si>
    <t>Administração</t>
  </si>
  <si>
    <t>Almoxerifado</t>
  </si>
  <si>
    <t xml:space="preserve">Fraldario </t>
  </si>
  <si>
    <t>Creche I</t>
  </si>
  <si>
    <t xml:space="preserve">Repouso </t>
  </si>
  <si>
    <t xml:space="preserve">Circulação </t>
  </si>
  <si>
    <t>Creche II</t>
  </si>
  <si>
    <t>Hall de entrada</t>
  </si>
  <si>
    <t>Sanitário creche II</t>
  </si>
  <si>
    <t xml:space="preserve">Pré- escola </t>
  </si>
  <si>
    <t xml:space="preserve">Sanitário pré- escola </t>
  </si>
  <si>
    <t>TOTAL DO REVESTIMENTO INTERNO SEM OS DESCONTOS DAS ESQUADRIAS</t>
  </si>
  <si>
    <t>REVESTIMENTO EXTERNO</t>
  </si>
  <si>
    <t>Fachada norte</t>
  </si>
  <si>
    <t>Fachada sul</t>
  </si>
  <si>
    <t>Fachada leste</t>
  </si>
  <si>
    <t>Fachada oeste</t>
  </si>
  <si>
    <t>Casa de gás</t>
  </si>
  <si>
    <t>Reservatório superior- caixa d'água</t>
  </si>
  <si>
    <t>TOTAL DO REVESTIMENTO EXTERNO SEM OS DESCONTOS DAS ESQUADRIAS</t>
  </si>
  <si>
    <t>TOTAL DO REVESTIMENTO EXTERNO E INTERNO SEM OS DESCONTOS DAS ESQUADRIAS</t>
  </si>
  <si>
    <t>CONTORNO DAS ESQUADRIAS</t>
  </si>
  <si>
    <t>VALOR TOTAL DO CONTORNO DAS ESQUADRIAS</t>
  </si>
  <si>
    <t>DESCONTO DAS ESQUADRIAS</t>
  </si>
  <si>
    <t xml:space="preserve">TOTAL DO DESCONTO DAS ESQUADRIAS </t>
  </si>
  <si>
    <t>VALOR GERAL DO REVESTIMENTO 10X10 COM O DESCONTO DAS ESQUADRIAS</t>
  </si>
  <si>
    <t>Higienização</t>
  </si>
  <si>
    <t>Lactário</t>
  </si>
  <si>
    <t>Lavanderia</t>
  </si>
  <si>
    <t>DML</t>
  </si>
  <si>
    <t>Despensa</t>
  </si>
  <si>
    <t>Cozinha</t>
  </si>
  <si>
    <t>Triagem e lavagem</t>
  </si>
  <si>
    <t>Fraldario</t>
  </si>
  <si>
    <t>Sanitário pré escola</t>
  </si>
  <si>
    <t>17.11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</si>
  <si>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</si>
  <si>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>17.12</t>
  </si>
  <si>
    <t>17.13</t>
  </si>
  <si>
    <t>(COMPOSIÇÃO REPRESENTATIVA) DO SERVIÇO DE CONTRAPISO EM ARGAMASSA TRAÇO 1:4 (CIM E AREIA), EM BETONEIRA 400 L, ESPESSURA 3 CM ÁREAS SECAS E 3 CM ÁREAS MOLHADAS, PARA EDIFICAÇÃO HABITACIONAL MULTIFAMILIAR (PRÉDIO). AF_11/2014</t>
  </si>
  <si>
    <t xml:space="preserve">TOTAL </t>
  </si>
  <si>
    <t>Higieniziação</t>
  </si>
  <si>
    <t xml:space="preserve">Lactário </t>
  </si>
  <si>
    <t xml:space="preserve">Despensa </t>
  </si>
  <si>
    <t>Bancadas sanitário creche I</t>
  </si>
  <si>
    <t>Bancadas pré - escola</t>
  </si>
  <si>
    <t>Bancadas cozinha</t>
  </si>
  <si>
    <t>Bancos</t>
  </si>
  <si>
    <t xml:space="preserve">REVESTIMENTO CERÂMICO </t>
  </si>
  <si>
    <t>CONSIDERANDO O DESCONTO DO REVESTIMENTO 2,70 METROS</t>
  </si>
  <si>
    <t>PORTAS</t>
  </si>
  <si>
    <t>JANELAS</t>
  </si>
  <si>
    <t>CONSIDERANDO O DESCONTO DO REVESTIMENTO 1,90 METROS</t>
  </si>
  <si>
    <t>CONSIDERANDO O DESCONTO DO REVESTIMENTO 1,30 METROS</t>
  </si>
  <si>
    <t>PM-1</t>
  </si>
  <si>
    <t>PM-3</t>
  </si>
  <si>
    <t>PA-1</t>
  </si>
  <si>
    <t>PA-2</t>
  </si>
  <si>
    <t>TOTAL DO DESCONTO DAS ESQUADRIAS</t>
  </si>
  <si>
    <t>TOTAL DO REVESTIMENTO CERÂMICO CONSIDERANDO O DESCONTO DO REVESTIMENTO</t>
  </si>
  <si>
    <t>20.49</t>
  </si>
  <si>
    <t>20.50</t>
  </si>
  <si>
    <t>20.51</t>
  </si>
  <si>
    <t>20.52</t>
  </si>
  <si>
    <t>20.53</t>
  </si>
  <si>
    <t>20.54</t>
  </si>
  <si>
    <t>ELETRODUTO FLEXÍVEL CORRUGADO, PVC, DN 20 MM (1/2"), PARA CIRCUITOS TERMINAIS, INSTALADO EM FORRO - FORNECIMENTO E INSTALAÇÃO. AF_12/2015</t>
  </si>
  <si>
    <t>ELETRODUTO FLEXÍVEL CORRUGADO, PVC, DN 25 MM (3/4"), PARA CIRCUITOS TERMINAIS, INSTALADO EM FORRO - FORNECIMENTO E INSTALAÇÃO. AF_12/2015</t>
  </si>
  <si>
    <t>ELETRODUTO FLEXÍVEL CORRUGADO, PVC, DN 32 MM (1"), PARA CIRCUITOS TERMINAIS, INSTALADO EM FORRO - FORNECIMENTO E INSTALAÇÃO. AF_12/2015</t>
  </si>
  <si>
    <t>ELETRODUTO FLEXÍVEL CORRUGADO, PEAD, DN 40 MM (1 1/4"), PARA CIRCUITOS TERMINAIS, INSTALADO EM FORRO - FORNECIMENTO E INSTALAÇÃO. AF_12/2015</t>
  </si>
  <si>
    <t>ELETRODUTO FLEXÍVEL CORRUGADO, PEAD, DN 50 (1 1/2"), PARA REDE ENTERRADA DE DISTRIBUIÇÃO DE ENERGIA ELÉTRICA - FORNECIMENTO E INSTALAÇÃO. AF_12/2021</t>
  </si>
  <si>
    <t>Disjuntor bipolar DR 25 A  - Dispositivo residual diferencial, tipo AC, 30MA, ref.5SM1 312-OMB, Siemens ou similar</t>
  </si>
  <si>
    <t>14.4</t>
  </si>
  <si>
    <t>FORRO EM PLACAS DE GESSO, PARA AMBIENTES RESIDENCIAIS. AF_05/2017_PS</t>
  </si>
  <si>
    <t>19.7</t>
  </si>
  <si>
    <t>19.8</t>
  </si>
  <si>
    <t>19.9</t>
  </si>
  <si>
    <t>APLICAÇÃO MANUAL DE FUNDO SELADOR ACRÍLICO EM PAREDES EXTERNAS DE CASAS. AF_06/2014</t>
  </si>
  <si>
    <t xml:space="preserve">Hall de entrada </t>
  </si>
  <si>
    <t>Platibanda</t>
  </si>
  <si>
    <t>Portas</t>
  </si>
  <si>
    <t>Janelas</t>
  </si>
  <si>
    <t>Almoxarifado</t>
  </si>
  <si>
    <t>FUNDO SELADOR EXTERNO</t>
  </si>
  <si>
    <t>TOTAL DA FUNDO SELADOR EXTERNO SEM OS DESCONTOS DAS ESQUADRIAS</t>
  </si>
  <si>
    <t>DESCONTO DAS ESQUADRIAS CONSIDERANDO O  REVESTIMENTO 0,50 CM</t>
  </si>
  <si>
    <t>TOTAL DO FUNDO SELADOR EXTERNO CONSIDERANDO O DESCONTO DAS ESQUADRIAS</t>
  </si>
  <si>
    <t xml:space="preserve">FUNDO SELADOR INTERNO </t>
  </si>
  <si>
    <t>TOTAL DO FUNDO SELADOR INTERNO SEM OS DESCONTOS DAS ESQUADRIAS</t>
  </si>
  <si>
    <t xml:space="preserve">JANELAS </t>
  </si>
  <si>
    <t>CONSIDERANDO O DESCONTO DO REVESTIMENTO 0,50 CM</t>
  </si>
  <si>
    <t>PM-2</t>
  </si>
  <si>
    <t>TOTAL DA  FUNDO SELADOR INTERNO CONSIDERANDO O DESCONTO DAS ESQUADRIAS</t>
  </si>
  <si>
    <t>APLICAÇÃO MANUAL DE FUNDO SELADOR ACRÍLICO EM SUPERFÍCIES INTERNAS DA SACADA DE EDIFÍCIOS DE MÚLTIPLOS PAVIMENTOS. AF_06/2014</t>
  </si>
  <si>
    <t>APLICAÇÃO E LIXAMENTO DE MASSA LÁTEX EM PAREDES, DUAS DEMÃOS. AF_06/2014</t>
  </si>
  <si>
    <t>19.20</t>
  </si>
  <si>
    <t>TEXTURA ACRÍLICA, APLICAÇÃO MANUAL EM PAREDE, UMA DEMÃO. AF_09/2016</t>
  </si>
  <si>
    <t>Muro Leste</t>
  </si>
  <si>
    <t>Muro Oeste</t>
  </si>
  <si>
    <t>Muro norte</t>
  </si>
  <si>
    <t>MASSA ACRÍLICA EXTERNO</t>
  </si>
  <si>
    <t>TOTAL DA FMASSA ACRÍLICA EXTERNO SEM OS DESCONTOS DAS ESQUADRIAS</t>
  </si>
  <si>
    <t>TOTAL MASSA ACRÍLICA EXTERNO CONSIDERANDO O DESCONTO DAS ESQUADRIAS</t>
  </si>
  <si>
    <t>Portão da Entrada</t>
  </si>
  <si>
    <t>Portão Menor</t>
  </si>
  <si>
    <t>PINTURA EXTERNA</t>
  </si>
  <si>
    <t>TOTAL DA PINTURA EXTERNA SEM OS DESCONTOS DAS ESQUADRIAS</t>
  </si>
  <si>
    <t>TOTAL DA PINTURA EXTERNA CONSIDERANDO O DESCONTO DAS ESQUADRIAS</t>
  </si>
  <si>
    <t>PINTURA DO MURO</t>
  </si>
  <si>
    <t>PINTURA INTERNA</t>
  </si>
  <si>
    <t>TOTAL DA PINTURA INTERNA SEM OS DESCONTOS DAS ESQUADRIAS</t>
  </si>
  <si>
    <t>TOTAL DA PINTURA INTERNA CONSIDERANDO O DESCONTO DAS ESQUADRIAS</t>
  </si>
  <si>
    <t>TOTAL DA PINTURA INTERNA, EXTERNA E DO MURO</t>
  </si>
  <si>
    <t xml:space="preserve">Passeio externo </t>
  </si>
  <si>
    <t>Mastro</t>
  </si>
  <si>
    <t xml:space="preserve">ELETRICA </t>
  </si>
  <si>
    <t>17.14</t>
  </si>
  <si>
    <t>EXECUÇÃO DE PASSEIO (CALÇADA) OU PISO DE CONCRETO COM CONCRETO MOLDADO IN LOCO, FEITO EM OBRA, ACABAMENTO CONVENCIONAL, NÃO ARMADO. AF_08/2022</t>
  </si>
  <si>
    <t xml:space="preserve">Elevação da alvenaria da divisão do telhado </t>
  </si>
  <si>
    <t>TOTAL DA MASSA ÚNICA SEM OS DESCONTOS DAS ESQUADRIAS</t>
  </si>
  <si>
    <t>TOTAL DA MASSA ÚNICA CONSIDERANDO O DESCONTO DAS ESQUADRIAS</t>
  </si>
  <si>
    <t>MASSA ÚNICA INTERNA</t>
  </si>
  <si>
    <t>MASSA ÚNICA EXTERNA</t>
  </si>
  <si>
    <t xml:space="preserve">TOTAL DA MASSA ÚNICA INTERNA E EXTERNA </t>
  </si>
  <si>
    <t>2.5</t>
  </si>
  <si>
    <t>ATERRO MANUAL DE VALAS COM AREIA PARA ATERRO E COMPACTAÇÃO MECANIZADA. AF_05/2016</t>
  </si>
  <si>
    <t>2.6</t>
  </si>
  <si>
    <t>Passeio do contorno da edificação lado esquerdo</t>
  </si>
  <si>
    <t>Passeio do contorno da edificação fachada</t>
  </si>
  <si>
    <t>Passeio externo</t>
  </si>
  <si>
    <t>Muro da fachada 01</t>
  </si>
  <si>
    <t>Muro da fachada 01 -Lado de dentro</t>
  </si>
  <si>
    <t>Casa de gás -Lado de dentro</t>
  </si>
  <si>
    <t>MEMORIAL DE CALCULO</t>
  </si>
  <si>
    <t>1.4</t>
  </si>
  <si>
    <t>PRO-PREF-01</t>
  </si>
  <si>
    <t>BARRACÃO DA OBRA EM ALVENARIA</t>
  </si>
  <si>
    <t>12.2</t>
  </si>
  <si>
    <t>19.10</t>
  </si>
  <si>
    <t>REVESTIMENTO CERÂMICO PARA PISO COM PLACAS TIPO ESMALTADA EXTRA DE DIMENSÕES 45X45 CM APLICADA EM AMBIENTES DE ÁREA MAIOR QUE 10 M2. AF_06/2014</t>
  </si>
  <si>
    <t>_________________________________</t>
  </si>
  <si>
    <t>CREA: 1620957507</t>
  </si>
  <si>
    <t>ALVENARIA DE 1/2 VEZ - PAREDES HORIZONTAIS</t>
  </si>
  <si>
    <t xml:space="preserve">ALV.DE 1/2 VEZ - PH - 1 </t>
  </si>
  <si>
    <t>ALV.DE 1/2 VEZ - PH - 2</t>
  </si>
  <si>
    <t>ALV.DE 1/2 VEZ - PH - 3</t>
  </si>
  <si>
    <t>ALV.DE 1/2 VEZ - PH - 4</t>
  </si>
  <si>
    <t>ALV.DE 1/2 VEZ - PH - 5</t>
  </si>
  <si>
    <t>ALV.DE 1/2 VEZ - PH - 6</t>
  </si>
  <si>
    <t>ALV.DE 1/2 VEZ - PH - 7</t>
  </si>
  <si>
    <t>ALV.DE 1/2 VEZ - PH - 8</t>
  </si>
  <si>
    <t>ALV.DE 1/2 VEZ - PH - 9</t>
  </si>
  <si>
    <t>ALV.DE 1/2 VEZ - PH - 10</t>
  </si>
  <si>
    <t>TOTAL ALVENARIA HORIZONTAL</t>
  </si>
  <si>
    <t>ALVENARIA DE 1/2 VEZ - PAREDES VERTICAIS</t>
  </si>
  <si>
    <t>ALV.DE 1/2 VEZ - PV - 1</t>
  </si>
  <si>
    <t>ALV.DE 1/2 VEZ - PV - 2</t>
  </si>
  <si>
    <t>ALV.DE 1/2 VEZ - PV - 3</t>
  </si>
  <si>
    <t>ALV.DE 1/2 VEZ - PV - 4</t>
  </si>
  <si>
    <t>ALV.DE 1/2 VEZ - PV - 5</t>
  </si>
  <si>
    <t>ALV.DE 1/2 VEZ - PV - 6</t>
  </si>
  <si>
    <t>ALV.DE 1/2 VEZ - PV - 7</t>
  </si>
  <si>
    <t>ALV.DE 1/2 VEZ - PV - 8</t>
  </si>
  <si>
    <t>ALV.DE 1/2 VEZ - PV - 9</t>
  </si>
  <si>
    <t>ALV.DE 1/2 VEZ - PV - 10</t>
  </si>
  <si>
    <t>TOTAL ALVENARIA VERTICAIS</t>
  </si>
  <si>
    <t>ALVENARIA EXTERNA</t>
  </si>
  <si>
    <t>Perímetro da Platibanda</t>
  </si>
  <si>
    <t xml:space="preserve"> Perímetro da calha</t>
  </si>
  <si>
    <t>Bancadas dos sanitários</t>
  </si>
  <si>
    <t>Bancadas da cozinha</t>
  </si>
  <si>
    <t xml:space="preserve">Calçada de contorno da edificação </t>
  </si>
  <si>
    <t>Muro da fachada</t>
  </si>
  <si>
    <t xml:space="preserve">Casa de gás </t>
  </si>
  <si>
    <t>Reservatório inferior-cisterna</t>
  </si>
  <si>
    <t>TOTAL DA ALVENARIA DA PLATIBANDA</t>
  </si>
  <si>
    <t>PM1</t>
  </si>
  <si>
    <t>PM2</t>
  </si>
  <si>
    <t>PM3</t>
  </si>
  <si>
    <t>PM4</t>
  </si>
  <si>
    <t>PM5</t>
  </si>
  <si>
    <t>PORTAS DE ALUMÍNIO</t>
  </si>
  <si>
    <t>JANELAS DE ALUMÍNIO</t>
  </si>
  <si>
    <t>VALOR DAS ÁREAS DAS ESQUADRIAS</t>
  </si>
  <si>
    <t>VALOR DAS ALVENARIA COM O DESCONTO DAS ESQUADRIAS</t>
  </si>
  <si>
    <t>FOSSA</t>
  </si>
  <si>
    <t xml:space="preserve">PORTAS EM MADEIRA </t>
  </si>
  <si>
    <t>TOTAL GERAL</t>
  </si>
  <si>
    <t>CHAPISCO INTERNO</t>
  </si>
  <si>
    <t>Pergolado</t>
  </si>
  <si>
    <t>TOTAL DO CHAPISCO INTERNO SEM OS DESCONTOS DAS ESQUADRIAS</t>
  </si>
  <si>
    <t>DESCONTO DAS ESQUADRIAS INTERNAS</t>
  </si>
  <si>
    <t>VALOR DO CHAPISCO INTERNO COM O DESCONTO DAS ESQUADRIAS</t>
  </si>
  <si>
    <t>PORTAS EM MADEIRA</t>
  </si>
  <si>
    <t>COMPLEMENTO DO ITEM 16.1</t>
  </si>
  <si>
    <t>CHAPISCO EXTERNO</t>
  </si>
  <si>
    <t>Beiral da laje</t>
  </si>
  <si>
    <t>Casa de gás/lixo</t>
  </si>
  <si>
    <t>TOTAL DO CHAPISCO EXTERNO SEM OS DESCONTOS DAS ESQUADRIAS</t>
  </si>
  <si>
    <t>DESCONTO DAS ESQUADRIAS EXTERNA</t>
  </si>
  <si>
    <t>VALOR DO CHAPISCO EXTERNO COM O DESCONTO DAS ESQUADRIAS</t>
  </si>
  <si>
    <t>Muro da entrada - fachada</t>
  </si>
  <si>
    <t xml:space="preserve">EMBOÇO INTERNO </t>
  </si>
  <si>
    <t>TOTAL DO REEMBOLSO INTERNO SEM OS DESCONTOS DAS ESQUADRIAS</t>
  </si>
  <si>
    <t>REEMBOLSO EXTERNO</t>
  </si>
  <si>
    <t>TOTAL DO REEMBOLSO EXTERNO SEM OS DESCONTOS DAS ESQUADRIAS</t>
  </si>
  <si>
    <t>TOTAL DO REEMBOLSO INTERNO E EXTERNO SEM OS DESCONTOS DAS ESQUADRIAS</t>
  </si>
  <si>
    <t>PM-4</t>
  </si>
  <si>
    <t>PM-5</t>
  </si>
  <si>
    <t>TOTAL DO EMBOÇO INTERNO E EXTERNO CONSIDERANDO O DESCONTO DAS ESQUADRIAS</t>
  </si>
  <si>
    <t>S1=S2=S3=S4=S5=S7=S8=S9=S12=S13=S15=S16=S17=S21=S22=S23=S24=S25=S28=S31=S32=S33=S34=S35=S36=S37=S38=S39=S40=S42=S43=S44=S45=S47=S48S=S49=S50=S52=S53=S54=S55=S56=S57=S58=S59=S60</t>
  </si>
  <si>
    <t>S11=S51</t>
  </si>
  <si>
    <t>S19</t>
  </si>
  <si>
    <t>S14=S18=S20=S27=S30</t>
  </si>
  <si>
    <t>S10</t>
  </si>
  <si>
    <t>S46</t>
  </si>
  <si>
    <t>S26=S29=S41</t>
  </si>
  <si>
    <t>ESCAVAÇÃO DAS VALAS HORIZONATAIS E VERTICAIS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</si>
  <si>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</si>
  <si>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</si>
  <si>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</si>
  <si>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</si>
  <si>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</si>
  <si>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</si>
  <si>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</si>
  <si>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</si>
  <si>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</si>
  <si>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</si>
  <si>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</si>
  <si>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</si>
  <si>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</si>
  <si>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</si>
  <si>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</si>
  <si>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</si>
  <si>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</si>
  <si>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</si>
  <si>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</si>
  <si>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</si>
  <si>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</si>
  <si>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</si>
  <si>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</si>
  <si>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</si>
  <si>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</si>
  <si>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</si>
  <si>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</si>
  <si>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</si>
  <si>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</si>
  <si>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</si>
  <si>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</si>
  <si>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</si>
  <si>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</si>
  <si>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</si>
  <si>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</si>
  <si>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</si>
  <si>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</si>
  <si>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</si>
  <si>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</si>
  <si>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</si>
  <si>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</si>
  <si>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</si>
  <si>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</si>
  <si>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</si>
  <si>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</si>
  <si>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</si>
  <si>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</si>
  <si>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</si>
  <si>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</si>
  <si>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</si>
  <si>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</si>
  <si>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</si>
  <si>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Calçada contorno da creche</t>
  </si>
  <si>
    <t>Calçada  externa/ passeio</t>
  </si>
  <si>
    <t>Jardim/mastro</t>
  </si>
  <si>
    <t>Parquinho</t>
  </si>
  <si>
    <t>Fossa</t>
  </si>
  <si>
    <t>Sumidouro</t>
  </si>
  <si>
    <t>Vala do tubo 100 mm</t>
  </si>
  <si>
    <t xml:space="preserve">ESCAVAÇÃO DAS VALAS </t>
  </si>
  <si>
    <t>P19</t>
  </si>
  <si>
    <t>P10</t>
  </si>
  <si>
    <t>P46</t>
  </si>
  <si>
    <t>P2=P4=P5=P6=P7=P8=P9=P12=P15=P16=P17=P22=P23=P24=P28=P31=P32=P33=P34=P37=P38=P39=P40=P43=P44=P45=
=P48=P49=P50=P52=P53=P54=P55=P56=P57=P58=P59</t>
  </si>
  <si>
    <t>P11</t>
  </si>
  <si>
    <t>P51</t>
  </si>
  <si>
    <t>P13</t>
  </si>
  <si>
    <t>P3=P21=P35=P36=P42</t>
  </si>
  <si>
    <t>P47</t>
  </si>
  <si>
    <t>P60</t>
  </si>
  <si>
    <t>P14=P20=P27</t>
  </si>
  <si>
    <t>P18=P30</t>
  </si>
  <si>
    <t>P26</t>
  </si>
  <si>
    <t>P29=P41</t>
  </si>
  <si>
    <t>CONFORME O PROJETO ESTRUTURAL</t>
  </si>
  <si>
    <t>TOTAL + 10%</t>
  </si>
  <si>
    <t>CONFORME O ITEM 4.3</t>
  </si>
  <si>
    <t>FOSSA E SUMIDOURO</t>
  </si>
  <si>
    <t>28.1</t>
  </si>
  <si>
    <t>28.2</t>
  </si>
  <si>
    <t>28.3</t>
  </si>
  <si>
    <t>28.4</t>
  </si>
  <si>
    <t>28.5</t>
  </si>
  <si>
    <t>FUNDAÇÃO</t>
  </si>
  <si>
    <t>28.1.1</t>
  </si>
  <si>
    <t>28.2.1</t>
  </si>
  <si>
    <t>28.2.2</t>
  </si>
  <si>
    <t>28.2.3</t>
  </si>
  <si>
    <t>28.2.4</t>
  </si>
  <si>
    <t>28.2.5</t>
  </si>
  <si>
    <t xml:space="preserve">VIGAS </t>
  </si>
  <si>
    <t>28.3.1</t>
  </si>
  <si>
    <t>28.3.2</t>
  </si>
  <si>
    <t>28.3.3</t>
  </si>
  <si>
    <t>28.3.4</t>
  </si>
  <si>
    <t>28.3.5</t>
  </si>
  <si>
    <t>28.4.1</t>
  </si>
  <si>
    <t>28.4.2</t>
  </si>
  <si>
    <t>28.4.3</t>
  </si>
  <si>
    <t>28.4.4</t>
  </si>
  <si>
    <t>28.4.5</t>
  </si>
  <si>
    <t>LAJE</t>
  </si>
  <si>
    <t>28.5.1</t>
  </si>
  <si>
    <t>28.5.2</t>
  </si>
  <si>
    <t>28.5.3</t>
  </si>
  <si>
    <t>28.5.4</t>
  </si>
  <si>
    <t>/</t>
  </si>
  <si>
    <t>CINTA INFERIOR E SUPERIOR DA FOSSA</t>
  </si>
  <si>
    <t>CINTA INFERIOR E SUPERIOR DO SUMIDOURO</t>
  </si>
  <si>
    <t>S1=S2=S3=S4 - FOSSA</t>
  </si>
  <si>
    <t>S1=S2=S3=S4 - SUMIDOUORO</t>
  </si>
  <si>
    <t xml:space="preserve">S1=S2=S3=S4 - SUMIDOURO </t>
  </si>
  <si>
    <t>P1=P2=P3=P4  - FOSSA</t>
  </si>
  <si>
    <t>P1=P2=P3=P5 - SUMIDOURO</t>
  </si>
  <si>
    <t>L1  - FOSSA</t>
  </si>
  <si>
    <t>L1 - SUMIDOURO</t>
  </si>
  <si>
    <t>28.6</t>
  </si>
  <si>
    <t xml:space="preserve">ALVENARIA DE VEDAÇÃO </t>
  </si>
  <si>
    <t>28.6.1</t>
  </si>
  <si>
    <t>28.7</t>
  </si>
  <si>
    <t>28.7.1</t>
  </si>
  <si>
    <t>28.7.2</t>
  </si>
  <si>
    <t>28.8</t>
  </si>
  <si>
    <t>28.8.1</t>
  </si>
  <si>
    <t xml:space="preserve">PAVIMENTO </t>
  </si>
  <si>
    <t>PAVIMENTO</t>
  </si>
  <si>
    <t>Hall da entrada</t>
  </si>
  <si>
    <t xml:space="preserve">Portão do muro da cisterna inferior </t>
  </si>
  <si>
    <t xml:space="preserve">MOVIMENTO DE TERRA </t>
  </si>
  <si>
    <t>FOSSA E SUMIDOURO E RESERVATÓRIO INFERIOR</t>
  </si>
  <si>
    <t>S1=S2=S3=S4 - RESERVATÓRIO INFERIOR</t>
  </si>
  <si>
    <t>VB1=VB2=VB3=VB3-  RESERVATÓRIO INFERIOR</t>
  </si>
  <si>
    <t>CINTA INFERIOR E SUPERIOR DO RESERVATÓRIO INFERIOR</t>
  </si>
  <si>
    <t>P1=P2=P3=P5 - RESERVATÓRIO INFERIOR</t>
  </si>
  <si>
    <t>SUMIDOURO</t>
  </si>
  <si>
    <t>RESERVATÓRIO INFERIOR</t>
  </si>
  <si>
    <t>xx</t>
  </si>
  <si>
    <t>17.15</t>
  </si>
  <si>
    <t>GUIA (MEIO-FIO) CONCRETO, MOLDADA  IN LOCO  EM TRECHO RETO COM EXTRUSORA, 15 CM BASE X 30 CM ALTURA. AF_06/2016</t>
  </si>
  <si>
    <t>LINEAR</t>
  </si>
  <si>
    <t>14.5</t>
  </si>
  <si>
    <t>14.6</t>
  </si>
  <si>
    <t>TRAMA DE MADEIRA COMPOSTA POR TERÇAS PARA TELHADOS DE ATÉ 2 ÁGUAS PARA TELHA ESTRUTURAL DE FIBROCIMENTO, INCLUSO TRANSPORTE VERTICAL. AF_07/2019</t>
  </si>
  <si>
    <t>Rufo em placa de concreto l=0,5m [adaptado 291]</t>
  </si>
  <si>
    <t xml:space="preserve">	Composição 02 RT Praça</t>
  </si>
  <si>
    <t>PROPRIO</t>
  </si>
  <si>
    <t>m</t>
  </si>
  <si>
    <t>Água 01</t>
  </si>
  <si>
    <t>Água 02</t>
  </si>
  <si>
    <t>Água 03</t>
  </si>
  <si>
    <t>Água 04</t>
  </si>
  <si>
    <t>Água 05</t>
  </si>
  <si>
    <t>Linear</t>
  </si>
  <si>
    <t xml:space="preserve">Água 04 </t>
  </si>
  <si>
    <t xml:space="preserve">PLACA </t>
  </si>
  <si>
    <t>QUANTIDADES CONTRATADA</t>
  </si>
  <si>
    <t>VALORES CONTRADO R$</t>
  </si>
  <si>
    <t>TOTAL ACRESCIDO R$</t>
  </si>
  <si>
    <t>TOTAL SUPRIMIDO R$</t>
  </si>
  <si>
    <t>A REPROGRAMAR</t>
  </si>
  <si>
    <t xml:space="preserve">QUANTIDADES A REPROGRAMAR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</si>
</sst>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###,###,##0.00"/>
    <numFmt numFmtId="165" formatCode="[$-F800]dddd\,\ mmmm\ dd\,\ yyyy"/>
    <numFmt numFmtId="166" formatCode="#,##0.000000000"/>
    <numFmt numFmtId="167" formatCode="_-&quot;R$&quot;\ * #,##0.00000_-;\-&quot;R$&quot;\ * #,##0.00000_-;_-&quot;R$&quot;\ * &quot;-&quot;??_-;_-@_-"/>
    <numFmt numFmtId="168" formatCode="_-&quot;R$&quot;\ * #,##0.0000_-;\-&quot;R$&quot;\ * #,##0.0000_-;_-&quot;R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u/>
      <sz val="9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9"/>
      <name val="Calibri"/>
      <family val="2"/>
    </font>
    <font>
      <sz val="12"/>
      <name val="Calibri"/>
      <family val="2"/>
    </font>
    <font>
      <sz val="9"/>
      <color theme="1"/>
      <name val="Calibri"/>
      <family val="2"/>
    </font>
    <font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sz val="9"/>
      <color rgb="FFFF0000"/>
      <name val="Calibri"/>
      <family val="2"/>
    </font>
    <font>
      <u/>
      <sz val="9"/>
      <color theme="1"/>
      <name val="Calibri"/>
      <family val="2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9C9C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rgb="FFFFFFFF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6">
    <xf numFmtId="0" fontId="0" fillId="0" borderId="0" xfId="0"/>
    <xf numFmtId="0" fontId="3" fillId="0" borderId="0" xfId="0" applyFont="1" applyAlignment="1">
      <alignment horizontal="left"/>
    </xf>
    <xf numFmtId="2" fontId="4" fillId="0" borderId="3" xfId="0" applyNumberFormat="1" applyFont="1" applyBorder="1" applyAlignment="1">
      <alignment wrapText="1"/>
    </xf>
    <xf numFmtId="2" fontId="4" fillId="4" borderId="3" xfId="0" applyNumberFormat="1" applyFont="1" applyFill="1" applyBorder="1" applyAlignment="1">
      <alignment wrapText="1"/>
    </xf>
    <xf numFmtId="2" fontId="4" fillId="0" borderId="3" xfId="0" applyNumberFormat="1" applyFont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 wrapText="1"/>
    </xf>
    <xf numFmtId="0" fontId="4" fillId="0" borderId="0" xfId="0" applyFont="1"/>
    <xf numFmtId="0" fontId="8" fillId="0" borderId="3" xfId="0" applyFont="1" applyBorder="1"/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4" fontId="8" fillId="0" borderId="3" xfId="0" applyNumberFormat="1" applyFont="1" applyBorder="1" applyAlignment="1">
      <alignment horizontal="center" vertical="center"/>
    </xf>
    <xf numFmtId="0" fontId="3" fillId="0" borderId="0" xfId="0" applyFont="1"/>
    <xf numFmtId="0" fontId="8" fillId="0" borderId="3" xfId="0" applyFont="1" applyBorder="1" applyAlignment="1">
      <alignment vertical="center"/>
    </xf>
    <xf numFmtId="0" fontId="8" fillId="0" borderId="15" xfId="0" applyFont="1" applyBorder="1" applyAlignment="1" applyProtection="1">
      <alignment vertical="top" wrapText="1"/>
      <protection locked="0"/>
    </xf>
    <xf numFmtId="10" fontId="8" fillId="0" borderId="3" xfId="0" applyNumberFormat="1" applyFont="1" applyBorder="1" applyAlignment="1" applyProtection="1">
      <alignment horizontal="center" vertical="top" wrapText="1"/>
      <protection locked="0"/>
    </xf>
    <xf numFmtId="0" fontId="7" fillId="2" borderId="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4" fontId="7" fillId="0" borderId="14" xfId="0" applyNumberFormat="1" applyFont="1" applyBorder="1" applyAlignment="1">
      <alignment horizontal="right" vertical="center" wrapText="1"/>
    </xf>
    <xf numFmtId="4" fontId="7" fillId="0" borderId="16" xfId="0" applyNumberFormat="1" applyFont="1" applyBorder="1" applyAlignment="1">
      <alignment horizontal="right" vertical="center" wrapText="1"/>
    </xf>
    <xf numFmtId="2" fontId="4" fillId="0" borderId="16" xfId="0" applyNumberFormat="1" applyFont="1" applyBorder="1" applyAlignment="1">
      <alignment wrapText="1"/>
    </xf>
    <xf numFmtId="10" fontId="4" fillId="0" borderId="16" xfId="0" applyNumberFormat="1" applyFont="1" applyBorder="1" applyAlignment="1">
      <alignment wrapText="1"/>
    </xf>
    <xf numFmtId="44" fontId="7" fillId="0" borderId="16" xfId="0" applyNumberFormat="1" applyFont="1" applyBorder="1" applyAlignment="1">
      <alignment wrapText="1"/>
    </xf>
    <xf numFmtId="4" fontId="4" fillId="0" borderId="1" xfId="0" applyNumberFormat="1" applyFont="1" applyBorder="1" applyAlignment="1">
      <alignment horizontal="right" vertical="center" wrapText="1"/>
    </xf>
    <xf numFmtId="4" fontId="4" fillId="0" borderId="10" xfId="0" applyNumberFormat="1" applyFont="1" applyBorder="1" applyAlignment="1">
      <alignment horizontal="right" vertical="center" wrapText="1"/>
    </xf>
    <xf numFmtId="4" fontId="4" fillId="0" borderId="3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10" fontId="4" fillId="0" borderId="3" xfId="1" applyNumberFormat="1" applyFont="1" applyFill="1" applyBorder="1" applyAlignment="1">
      <alignment wrapText="1"/>
    </xf>
    <xf numFmtId="2" fontId="4" fillId="0" borderId="3" xfId="1" applyNumberFormat="1" applyFont="1" applyFill="1" applyBorder="1" applyAlignment="1">
      <alignment wrapText="1"/>
    </xf>
    <xf numFmtId="44" fontId="4" fillId="0" borderId="3" xfId="1" applyNumberFormat="1" applyFont="1" applyFill="1" applyBorder="1" applyAlignment="1">
      <alignment wrapText="1"/>
    </xf>
    <xf numFmtId="0" fontId="4" fillId="0" borderId="3" xfId="0" applyFont="1" applyBorder="1" applyAlignment="1">
      <alignment horizontal="right" vertical="center" wrapText="1"/>
    </xf>
    <xf numFmtId="44" fontId="4" fillId="0" borderId="0" xfId="0" applyNumberFormat="1" applyFont="1"/>
    <xf numFmtId="0" fontId="7" fillId="0" borderId="1" xfId="0" applyFont="1" applyBorder="1" applyAlignment="1">
      <alignment horizontal="left" vertical="center" wrapText="1"/>
    </xf>
    <xf numFmtId="4" fontId="7" fillId="0" borderId="10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4" fillId="0" borderId="3" xfId="0" applyFont="1" applyBorder="1"/>
    <xf numFmtId="2" fontId="4" fillId="0" borderId="3" xfId="0" applyNumberFormat="1" applyFont="1" applyBorder="1"/>
    <xf numFmtId="44" fontId="7" fillId="0" borderId="3" xfId="1" applyNumberFormat="1" applyFont="1" applyFill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right" vertical="center" wrapText="1"/>
    </xf>
    <xf numFmtId="4" fontId="4" fillId="0" borderId="24" xfId="0" applyNumberFormat="1" applyFont="1" applyBorder="1" applyAlignment="1">
      <alignment horizontal="right" vertical="center" wrapText="1"/>
    </xf>
    <xf numFmtId="4" fontId="4" fillId="0" borderId="20" xfId="0" applyNumberFormat="1" applyFont="1" applyBorder="1" applyAlignment="1">
      <alignment horizontal="right" vertical="center" wrapText="1"/>
    </xf>
    <xf numFmtId="4" fontId="4" fillId="0" borderId="15" xfId="0" applyNumberFormat="1" applyFont="1" applyBorder="1" applyAlignment="1">
      <alignment horizontal="right" vertical="center" wrapText="1"/>
    </xf>
    <xf numFmtId="2" fontId="4" fillId="0" borderId="15" xfId="0" applyNumberFormat="1" applyFont="1" applyBorder="1" applyAlignment="1">
      <alignment wrapText="1"/>
    </xf>
    <xf numFmtId="164" fontId="4" fillId="0" borderId="15" xfId="0" applyNumberFormat="1" applyFont="1" applyBorder="1" applyAlignment="1">
      <alignment horizontal="right" vertical="center" wrapText="1"/>
    </xf>
    <xf numFmtId="10" fontId="4" fillId="0" borderId="15" xfId="1" applyNumberFormat="1" applyFont="1" applyFill="1" applyBorder="1" applyAlignment="1">
      <alignment wrapText="1"/>
    </xf>
    <xf numFmtId="2" fontId="4" fillId="0" borderId="15" xfId="1" applyNumberFormat="1" applyFont="1" applyFill="1" applyBorder="1" applyAlignment="1">
      <alignment wrapText="1"/>
    </xf>
    <xf numFmtId="44" fontId="4" fillId="0" borderId="15" xfId="1" applyNumberFormat="1" applyFont="1" applyFill="1" applyBorder="1" applyAlignment="1">
      <alignment wrapText="1"/>
    </xf>
    <xf numFmtId="0" fontId="4" fillId="0" borderId="0" xfId="0" applyFont="1" applyAlignment="1" applyProtection="1">
      <alignment wrapText="1"/>
      <protection locked="0"/>
    </xf>
    <xf numFmtId="4" fontId="4" fillId="0" borderId="0" xfId="0" applyNumberFormat="1" applyFont="1"/>
    <xf numFmtId="44" fontId="9" fillId="0" borderId="16" xfId="0" applyNumberFormat="1" applyFont="1" applyBorder="1"/>
    <xf numFmtId="44" fontId="9" fillId="0" borderId="0" xfId="0" applyNumberFormat="1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44" fontId="10" fillId="0" borderId="0" xfId="0" applyNumberFormat="1" applyFont="1" applyAlignment="1">
      <alignment horizontal="center"/>
    </xf>
    <xf numFmtId="0" fontId="11" fillId="0" borderId="0" xfId="0" applyFont="1"/>
    <xf numFmtId="4" fontId="11" fillId="0" borderId="0" xfId="0" applyNumberFormat="1" applyFont="1"/>
    <xf numFmtId="4" fontId="12" fillId="0" borderId="3" xfId="0" applyNumberFormat="1" applyFont="1" applyBorder="1" applyAlignment="1">
      <alignment horizontal="center"/>
    </xf>
    <xf numFmtId="0" fontId="13" fillId="0" borderId="0" xfId="0" applyFont="1"/>
    <xf numFmtId="166" fontId="12" fillId="0" borderId="3" xfId="0" applyNumberFormat="1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4" fontId="7" fillId="0" borderId="13" xfId="0" applyNumberFormat="1" applyFont="1" applyBorder="1" applyAlignment="1">
      <alignment horizontal="right" vertical="center" wrapText="1"/>
    </xf>
    <xf numFmtId="2" fontId="7" fillId="3" borderId="2" xfId="0" applyNumberFormat="1" applyFont="1" applyFill="1" applyBorder="1" applyAlignment="1">
      <alignment horizontal="center" wrapText="1"/>
    </xf>
    <xf numFmtId="4" fontId="7" fillId="0" borderId="1" xfId="0" applyNumberFormat="1" applyFont="1" applyBorder="1" applyAlignment="1">
      <alignment horizontal="right" vertical="center" wrapText="1"/>
    </xf>
    <xf numFmtId="2" fontId="7" fillId="3" borderId="7" xfId="0" applyNumberFormat="1" applyFont="1" applyFill="1" applyBorder="1" applyAlignment="1">
      <alignment horizontal="center" wrapText="1"/>
    </xf>
    <xf numFmtId="44" fontId="1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165" fontId="15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5" xfId="0" applyFont="1" applyBorder="1"/>
    <xf numFmtId="0" fontId="4" fillId="4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vertical="center" wrapText="1"/>
    </xf>
    <xf numFmtId="0" fontId="4" fillId="0" borderId="0" xfId="0" applyFont="1" applyAlignment="1">
      <alignment horizontal="right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wrapText="1"/>
      <protection locked="0"/>
    </xf>
    <xf numFmtId="0" fontId="16" fillId="0" borderId="0" xfId="0" applyFont="1"/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4" fontId="17" fillId="0" borderId="0" xfId="0" applyNumberFormat="1" applyFont="1" applyAlignment="1">
      <alignment horizontal="center"/>
    </xf>
    <xf numFmtId="0" fontId="18" fillId="0" borderId="0" xfId="0" applyFont="1"/>
    <xf numFmtId="4" fontId="18" fillId="0" borderId="0" xfId="0" applyNumberFormat="1" applyFont="1"/>
    <xf numFmtId="4" fontId="19" fillId="0" borderId="0" xfId="0" applyNumberFormat="1" applyFont="1" applyAlignment="1">
      <alignment horizontal="center"/>
    </xf>
    <xf numFmtId="0" fontId="20" fillId="0" borderId="0" xfId="0" applyFont="1"/>
    <xf numFmtId="0" fontId="21" fillId="0" borderId="0" xfId="0" applyFont="1"/>
    <xf numFmtId="0" fontId="7" fillId="0" borderId="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4" fontId="7" fillId="0" borderId="20" xfId="0" applyNumberFormat="1" applyFont="1" applyBorder="1" applyAlignment="1">
      <alignment horizontal="right" vertical="center" wrapText="1"/>
    </xf>
    <xf numFmtId="4" fontId="7" fillId="0" borderId="15" xfId="0" applyNumberFormat="1" applyFont="1" applyBorder="1" applyAlignment="1">
      <alignment horizontal="right" vertical="center" wrapText="1"/>
    </xf>
    <xf numFmtId="44" fontId="7" fillId="0" borderId="15" xfId="1" applyNumberFormat="1" applyFont="1" applyFill="1" applyBorder="1" applyAlignment="1">
      <alignment wrapText="1"/>
    </xf>
    <xf numFmtId="0" fontId="7" fillId="0" borderId="1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41" xfId="0" applyFont="1" applyBorder="1" applyAlignment="1">
      <alignment horizontal="left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4" fillId="0" borderId="8" xfId="0" applyFont="1" applyBorder="1"/>
    <xf numFmtId="0" fontId="4" fillId="4" borderId="0" xfId="0" applyFont="1" applyFill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/>
    </xf>
    <xf numFmtId="0" fontId="23" fillId="0" borderId="3" xfId="0" applyFont="1" applyBorder="1" applyAlignment="1">
      <alignment horizontal="right" vertical="center" wrapText="1"/>
    </xf>
    <xf numFmtId="0" fontId="23" fillId="0" borderId="3" xfId="0" applyFont="1" applyBorder="1" applyAlignment="1">
      <alignment horizontal="center" vertical="center" wrapText="1"/>
    </xf>
    <xf numFmtId="4" fontId="23" fillId="0" borderId="9" xfId="0" applyNumberFormat="1" applyFont="1" applyBorder="1" applyAlignment="1">
      <alignment horizontal="center" vertical="center" wrapText="1"/>
    </xf>
    <xf numFmtId="4" fontId="23" fillId="0" borderId="3" xfId="0" applyNumberFormat="1" applyFont="1" applyBorder="1" applyAlignment="1">
      <alignment vertical="center" wrapText="1"/>
    </xf>
    <xf numFmtId="4" fontId="23" fillId="0" borderId="3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 wrapText="1"/>
    </xf>
    <xf numFmtId="0" fontId="16" fillId="4" borderId="0" xfId="0" applyFont="1" applyFill="1"/>
    <xf numFmtId="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3" xfId="0" applyFont="1" applyBorder="1" applyAlignment="1">
      <alignment vertical="center"/>
    </xf>
    <xf numFmtId="0" fontId="7" fillId="0" borderId="15" xfId="0" applyFont="1" applyBorder="1" applyAlignment="1" applyProtection="1">
      <alignment vertical="top" wrapText="1"/>
      <protection locked="0"/>
    </xf>
    <xf numFmtId="0" fontId="4" fillId="0" borderId="12" xfId="0" applyFont="1" applyBorder="1" applyAlignment="1" applyProtection="1">
      <alignment vertical="top" wrapText="1"/>
      <protection locked="0"/>
    </xf>
    <xf numFmtId="0" fontId="4" fillId="0" borderId="2" xfId="0" applyFont="1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10" fontId="7" fillId="0" borderId="3" xfId="0" applyNumberFormat="1" applyFont="1" applyBorder="1" applyAlignment="1" applyProtection="1">
      <alignment horizontal="center" vertical="top" wrapText="1"/>
      <protection locked="0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4" fontId="23" fillId="0" borderId="10" xfId="0" applyNumberFormat="1" applyFont="1" applyBorder="1" applyAlignment="1">
      <alignment horizontal="right" vertical="center" wrapText="1"/>
    </xf>
    <xf numFmtId="4" fontId="23" fillId="0" borderId="42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right" vertical="center" wrapText="1"/>
    </xf>
    <xf numFmtId="4" fontId="24" fillId="0" borderId="3" xfId="0" applyNumberFormat="1" applyFont="1" applyBorder="1" applyAlignment="1">
      <alignment vertical="center" wrapText="1"/>
    </xf>
    <xf numFmtId="4" fontId="23" fillId="0" borderId="43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right" vertical="center" wrapText="1"/>
    </xf>
    <xf numFmtId="0" fontId="16" fillId="0" borderId="3" xfId="0" applyFont="1" applyBorder="1"/>
    <xf numFmtId="0" fontId="24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right" vertical="center" wrapText="1"/>
    </xf>
    <xf numFmtId="0" fontId="23" fillId="0" borderId="20" xfId="0" applyFont="1" applyBorder="1" applyAlignment="1">
      <alignment horizontal="center" vertical="center" wrapText="1"/>
    </xf>
    <xf numFmtId="4" fontId="23" fillId="0" borderId="20" xfId="0" applyNumberFormat="1" applyFont="1" applyBorder="1" applyAlignment="1">
      <alignment horizontal="right" vertical="center" wrapText="1"/>
    </xf>
    <xf numFmtId="4" fontId="23" fillId="0" borderId="21" xfId="0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horizontal="right" vertical="center" wrapText="1"/>
    </xf>
    <xf numFmtId="0" fontId="23" fillId="0" borderId="14" xfId="0" applyFont="1" applyBorder="1" applyAlignment="1">
      <alignment horizontal="left" vertical="center" wrapText="1"/>
    </xf>
    <xf numFmtId="4" fontId="24" fillId="0" borderId="3" xfId="0" applyNumberFormat="1" applyFont="1" applyBorder="1" applyAlignment="1">
      <alignment horizontal="right" vertical="center" wrapText="1"/>
    </xf>
    <xf numFmtId="4" fontId="23" fillId="0" borderId="3" xfId="0" applyNumberFormat="1" applyFont="1" applyBorder="1" applyAlignment="1">
      <alignment horizontal="right" vertical="center" wrapText="1"/>
    </xf>
    <xf numFmtId="0" fontId="23" fillId="0" borderId="10" xfId="0" applyFont="1" applyBorder="1" applyAlignment="1">
      <alignment horizontal="right" vertical="center" wrapText="1"/>
    </xf>
    <xf numFmtId="0" fontId="23" fillId="0" borderId="20" xfId="0" applyFont="1" applyBorder="1" applyAlignment="1">
      <alignment horizontal="right" vertical="center" wrapText="1"/>
    </xf>
    <xf numFmtId="0" fontId="23" fillId="0" borderId="9" xfId="0" applyFont="1" applyBorder="1" applyAlignment="1">
      <alignment horizontal="right" vertical="center" wrapText="1"/>
    </xf>
    <xf numFmtId="4" fontId="23" fillId="0" borderId="19" xfId="0" applyNumberFormat="1" applyFont="1" applyBorder="1" applyAlignment="1">
      <alignment horizontal="center" vertical="center" wrapText="1"/>
    </xf>
    <xf numFmtId="0" fontId="23" fillId="0" borderId="20" xfId="0" applyFont="1" applyBorder="1" applyAlignment="1">
      <alignment vertical="center" wrapText="1"/>
    </xf>
    <xf numFmtId="4" fontId="24" fillId="0" borderId="9" xfId="0" applyNumberFormat="1" applyFont="1" applyBorder="1" applyAlignment="1">
      <alignment horizontal="center" vertical="center" wrapText="1"/>
    </xf>
    <xf numFmtId="4" fontId="24" fillId="0" borderId="3" xfId="0" applyNumberFormat="1" applyFont="1" applyBorder="1" applyAlignment="1">
      <alignment horizontal="center" vertical="center" wrapText="1"/>
    </xf>
    <xf numFmtId="0" fontId="23" fillId="0" borderId="3" xfId="0" quotePrefix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9" xfId="0" applyFont="1" applyBorder="1" applyAlignment="1">
      <alignment horizontal="right" vertical="center" wrapText="1"/>
    </xf>
    <xf numFmtId="0" fontId="23" fillId="0" borderId="9" xfId="0" applyFont="1" applyBorder="1" applyAlignment="1">
      <alignment vertical="center" wrapText="1"/>
    </xf>
    <xf numFmtId="0" fontId="23" fillId="0" borderId="25" xfId="0" applyFont="1" applyBorder="1" applyAlignment="1">
      <alignment vertical="center" wrapText="1"/>
    </xf>
    <xf numFmtId="0" fontId="24" fillId="0" borderId="9" xfId="0" applyFont="1" applyBorder="1" applyAlignment="1">
      <alignment horizontal="center" vertical="center" wrapText="1"/>
    </xf>
    <xf numFmtId="0" fontId="23" fillId="0" borderId="3" xfId="0" applyFont="1" applyBorder="1" applyAlignment="1">
      <alignment vertical="center" wrapText="1"/>
    </xf>
    <xf numFmtId="0" fontId="23" fillId="0" borderId="11" xfId="0" applyFont="1" applyBorder="1" applyAlignment="1">
      <alignment vertical="center" wrapText="1"/>
    </xf>
    <xf numFmtId="0" fontId="4" fillId="0" borderId="24" xfId="0" applyFont="1" applyBorder="1" applyAlignment="1">
      <alignment horizontal="right" vertical="center" wrapText="1"/>
    </xf>
    <xf numFmtId="0" fontId="4" fillId="0" borderId="20" xfId="0" applyFont="1" applyBorder="1" applyAlignment="1">
      <alignment horizontal="right" vertical="center" wrapText="1"/>
    </xf>
    <xf numFmtId="0" fontId="4" fillId="0" borderId="34" xfId="0" applyFont="1" applyBorder="1" applyAlignment="1">
      <alignment horizontal="right" vertical="center" wrapText="1"/>
    </xf>
    <xf numFmtId="0" fontId="23" fillId="0" borderId="20" xfId="0" applyFont="1" applyBorder="1" applyAlignment="1">
      <alignment horizontal="left" vertical="center" wrapText="1"/>
    </xf>
    <xf numFmtId="0" fontId="24" fillId="0" borderId="9" xfId="0" applyFont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0" fontId="26" fillId="4" borderId="9" xfId="0" applyFont="1" applyFill="1" applyBorder="1" applyAlignment="1">
      <alignment horizontal="left" vertical="center" wrapText="1"/>
    </xf>
    <xf numFmtId="0" fontId="4" fillId="0" borderId="25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1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right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27" fillId="4" borderId="0" xfId="0" applyFont="1" applyFill="1" applyAlignment="1">
      <alignment horizontal="center"/>
    </xf>
    <xf numFmtId="44" fontId="27" fillId="4" borderId="0" xfId="0" applyNumberFormat="1" applyFont="1" applyFill="1" applyAlignment="1">
      <alignment horizontal="center"/>
    </xf>
    <xf numFmtId="4" fontId="27" fillId="4" borderId="0" xfId="0" applyNumberFormat="1" applyFont="1" applyFill="1" applyAlignment="1">
      <alignment horizontal="center"/>
    </xf>
    <xf numFmtId="4" fontId="16" fillId="4" borderId="0" xfId="0" applyNumberFormat="1" applyFont="1" applyFill="1"/>
    <xf numFmtId="4" fontId="28" fillId="0" borderId="0" xfId="0" applyNumberFormat="1" applyFont="1" applyAlignment="1">
      <alignment horizontal="center"/>
    </xf>
    <xf numFmtId="4" fontId="4" fillId="4" borderId="0" xfId="0" applyNumberFormat="1" applyFont="1" applyFill="1"/>
    <xf numFmtId="0" fontId="23" fillId="0" borderId="15" xfId="0" applyFont="1" applyBorder="1" applyAlignment="1">
      <alignment horizontal="right" vertical="center" wrapText="1"/>
    </xf>
    <xf numFmtId="4" fontId="23" fillId="0" borderId="11" xfId="0" applyNumberFormat="1" applyFont="1" applyBorder="1" applyAlignment="1">
      <alignment horizontal="center" vertical="center" wrapText="1"/>
    </xf>
    <xf numFmtId="4" fontId="24" fillId="0" borderId="15" xfId="0" applyNumberFormat="1" applyFont="1" applyBorder="1" applyAlignment="1">
      <alignment vertical="center" wrapText="1"/>
    </xf>
    <xf numFmtId="167" fontId="4" fillId="0" borderId="0" xfId="0" applyNumberFormat="1" applyFont="1"/>
    <xf numFmtId="0" fontId="23" fillId="0" borderId="25" xfId="0" applyFont="1" applyBorder="1" applyAlignment="1">
      <alignment horizontal="right" vertical="center" wrapText="1"/>
    </xf>
    <xf numFmtId="4" fontId="23" fillId="0" borderId="12" xfId="0" applyNumberFormat="1" applyFont="1" applyBorder="1" applyAlignment="1">
      <alignment horizontal="center" vertical="center" wrapText="1"/>
    </xf>
    <xf numFmtId="4" fontId="24" fillId="0" borderId="16" xfId="0" applyNumberFormat="1" applyFont="1" applyBorder="1" applyAlignment="1">
      <alignment vertical="center" wrapText="1"/>
    </xf>
    <xf numFmtId="0" fontId="4" fillId="0" borderId="13" xfId="0" applyFont="1" applyBorder="1" applyAlignment="1">
      <alignment horizontal="righ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168" fontId="9" fillId="0" borderId="0" xfId="0" applyNumberFormat="1" applyFont="1"/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/>
    </xf>
    <xf numFmtId="2" fontId="7" fillId="7" borderId="3" xfId="0" applyNumberFormat="1" applyFont="1" applyFill="1" applyBorder="1" applyAlignment="1">
      <alignment horizontal="center" vertical="center" wrapText="1"/>
    </xf>
    <xf numFmtId="10" fontId="7" fillId="7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right" vertical="center" wrapText="1"/>
    </xf>
    <xf numFmtId="2" fontId="4" fillId="0" borderId="0" xfId="0" applyNumberFormat="1" applyFont="1" applyAlignment="1">
      <alignment horizontal="right" vertical="center" wrapText="1"/>
    </xf>
    <xf numFmtId="0" fontId="8" fillId="0" borderId="3" xfId="0" applyFont="1" applyBorder="1" applyAlignment="1" applyProtection="1">
      <alignment horizontal="right" vertical="top" wrapText="1"/>
      <protection locked="0"/>
    </xf>
    <xf numFmtId="0" fontId="7" fillId="0" borderId="22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>
      <alignment horizontal="center"/>
    </xf>
    <xf numFmtId="0" fontId="7" fillId="0" borderId="1" xfId="0" applyFont="1" applyBorder="1" applyAlignment="1">
      <alignment horizontal="right" vertical="center" wrapText="1"/>
    </xf>
    <xf numFmtId="2" fontId="7" fillId="3" borderId="4" xfId="0" applyNumberFormat="1" applyFont="1" applyFill="1" applyBorder="1" applyAlignment="1">
      <alignment horizontal="center" wrapText="1"/>
    </xf>
    <xf numFmtId="2" fontId="7" fillId="3" borderId="2" xfId="0" applyNumberFormat="1" applyFont="1" applyFill="1" applyBorder="1" applyAlignment="1">
      <alignment horizontal="center" wrapText="1"/>
    </xf>
    <xf numFmtId="2" fontId="7" fillId="3" borderId="5" xfId="0" applyNumberFormat="1" applyFont="1" applyFill="1" applyBorder="1" applyAlignment="1">
      <alignment horizontal="center" wrapText="1"/>
    </xf>
    <xf numFmtId="44" fontId="7" fillId="3" borderId="9" xfId="0" applyNumberFormat="1" applyFont="1" applyFill="1" applyBorder="1" applyAlignment="1">
      <alignment wrapText="1"/>
    </xf>
    <xf numFmtId="44" fontId="7" fillId="3" borderId="8" xfId="0" applyNumberFormat="1" applyFont="1" applyFill="1" applyBorder="1" applyAlignment="1">
      <alignment wrapText="1"/>
    </xf>
    <xf numFmtId="10" fontId="7" fillId="3" borderId="9" xfId="0" applyNumberFormat="1" applyFont="1" applyFill="1" applyBorder="1" applyAlignment="1">
      <alignment wrapText="1"/>
    </xf>
    <xf numFmtId="10" fontId="7" fillId="3" borderId="8" xfId="0" applyNumberFormat="1" applyFont="1" applyFill="1" applyBorder="1" applyAlignment="1">
      <alignment wrapText="1"/>
    </xf>
    <xf numFmtId="2" fontId="7" fillId="3" borderId="6" xfId="0" applyNumberFormat="1" applyFont="1" applyFill="1" applyBorder="1" applyAlignment="1">
      <alignment horizontal="center" wrapText="1"/>
    </xf>
    <xf numFmtId="2" fontId="7" fillId="3" borderId="7" xfId="0" applyNumberFormat="1" applyFont="1" applyFill="1" applyBorder="1" applyAlignment="1">
      <alignment horizontal="center" wrapText="1"/>
    </xf>
    <xf numFmtId="2" fontId="7" fillId="3" borderId="8" xfId="0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7" fillId="6" borderId="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2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11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4" fillId="0" borderId="4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right" vertical="center" wrapText="1"/>
    </xf>
    <xf numFmtId="0" fontId="7" fillId="0" borderId="19" xfId="0" applyFont="1" applyBorder="1" applyAlignment="1">
      <alignment horizontal="right" vertical="center" wrapText="1"/>
    </xf>
    <xf numFmtId="0" fontId="7" fillId="0" borderId="18" xfId="0" applyFont="1" applyBorder="1" applyAlignment="1">
      <alignment horizontal="right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right" vertical="center" wrapText="1"/>
    </xf>
    <xf numFmtId="0" fontId="7" fillId="0" borderId="23" xfId="0" applyFont="1" applyBorder="1" applyAlignment="1">
      <alignment horizontal="right" vertical="center" wrapText="1"/>
    </xf>
    <xf numFmtId="0" fontId="4" fillId="0" borderId="4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24" fillId="0" borderId="10" xfId="0" applyFont="1" applyBorder="1" applyAlignment="1">
      <alignment horizontal="right" vertical="center" wrapText="1"/>
    </xf>
    <xf numFmtId="0" fontId="24" fillId="0" borderId="23" xfId="0" applyFont="1" applyBorder="1" applyAlignment="1">
      <alignment horizontal="right" vertical="center" wrapText="1"/>
    </xf>
    <xf numFmtId="0" fontId="24" fillId="0" borderId="39" xfId="0" applyFont="1" applyBorder="1" applyAlignment="1">
      <alignment horizontal="right" vertical="center" wrapText="1"/>
    </xf>
    <xf numFmtId="0" fontId="24" fillId="0" borderId="11" xfId="0" applyFont="1" applyBorder="1" applyAlignment="1">
      <alignment horizontal="right" vertical="center" wrapText="1"/>
    </xf>
    <xf numFmtId="0" fontId="24" fillId="0" borderId="37" xfId="0" applyFont="1" applyBorder="1" applyAlignment="1">
      <alignment horizontal="right" vertical="center" wrapText="1"/>
    </xf>
    <xf numFmtId="0" fontId="24" fillId="0" borderId="38" xfId="0" applyFont="1" applyBorder="1" applyAlignment="1">
      <alignment horizontal="right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right" vertical="center" wrapText="1"/>
    </xf>
    <xf numFmtId="0" fontId="7" fillId="0" borderId="36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4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37" xfId="0" applyFont="1" applyBorder="1" applyAlignment="1">
      <alignment horizontal="right" vertical="center" wrapText="1"/>
    </xf>
    <xf numFmtId="0" fontId="7" fillId="0" borderId="38" xfId="0" applyFont="1" applyBorder="1" applyAlignment="1">
      <alignment horizontal="right" vertical="center" wrapText="1"/>
    </xf>
    <xf numFmtId="0" fontId="4" fillId="0" borderId="2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right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right" vertical="center" wrapText="1"/>
    </xf>
    <xf numFmtId="0" fontId="7" fillId="0" borderId="25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28" xfId="0" applyFont="1" applyBorder="1" applyAlignment="1">
      <alignment horizontal="righ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right" vertical="center" wrapText="1"/>
    </xf>
    <xf numFmtId="0" fontId="7" fillId="0" borderId="35" xfId="0" applyFont="1" applyBorder="1" applyAlignment="1">
      <alignment horizontal="right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388107</xdr:colOff>
      <xdr:row>0</xdr:row>
      <xdr:rowOff>95212</xdr:rowOff>
    </xdr:from>
    <xdr:to>
      <xdr:col>8</xdr:col>
      <xdr:colOff>530659</xdr:colOff>
      <xdr:row>0</xdr:row>
      <xdr:rowOff>952462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A9374D-9A42-ADEB-5804-3059F3DDE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678" y="95212"/>
          <a:ext cx="1394410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1058</xdr:colOff>
      <xdr:row>0</xdr:row>
      <xdr:rowOff>232230</xdr:rowOff>
    </xdr:from>
    <xdr:to>
      <xdr:col>16</xdr:col>
      <xdr:colOff>393981</xdr:colOff>
      <xdr:row>0</xdr:row>
      <xdr:rowOff>1084188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860AED-632D-4B17-9B4A-6AA917539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3772" y="232230"/>
          <a:ext cx="1372638" cy="851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A372"/>
  <sheetViews>
    <sheetView showGridLines="0" zoomScale="70" zoomScaleNormal="70" zoomScaleSheetLayoutView="80" workbookViewId="0">
      <selection activeCell="AB7" sqref="AB7"/>
    </sheetView>
  </sheetViews>
  <sheetFormatPr defaultRowHeight="12" x14ac:dyDescent="0.2"/>
  <cols>
    <col min="1" max="1" width="9.85546875" style="20" customWidth="1"/>
    <col min="2" max="2" width="15" style="20" customWidth="1"/>
    <col min="3" max="3" width="48.85546875" style="20" bestFit="1" customWidth="1"/>
    <col min="4" max="4" width="10.42578125" style="20" bestFit="1" customWidth="1"/>
    <col min="5" max="5" width="5" style="20" bestFit="1" customWidth="1"/>
    <col min="6" max="6" width="12.85546875" style="20" customWidth="1"/>
    <col min="7" max="7" width="9.7109375" style="20" customWidth="1"/>
    <col min="8" max="8" width="9" style="20" customWidth="1"/>
    <col min="9" max="9" width="12" style="20" customWidth="1"/>
    <col min="10" max="10" width="9.42578125" style="20" customWidth="1"/>
    <col min="11" max="11" width="10.5703125" style="20" hidden="1" customWidth="1"/>
    <col min="12" max="12" width="10" style="20" hidden="1" customWidth="1"/>
    <col min="13" max="13" width="5.7109375" style="20" hidden="1" customWidth="1"/>
    <col min="14" max="14" width="24.85546875" style="20" hidden="1" customWidth="1"/>
    <col min="15" max="16" width="10" style="20" hidden="1" customWidth="1"/>
    <col min="17" max="17" width="10.7109375" style="20" hidden="1" customWidth="1"/>
    <col min="18" max="18" width="12.7109375" style="20" hidden="1" customWidth="1"/>
    <col min="19" max="19" width="10.5703125" style="20" customWidth="1"/>
    <col min="20" max="20" width="11.28515625" style="20" customWidth="1"/>
    <col min="21" max="21" width="13.140625" style="20" customWidth="1"/>
    <col min="22" max="22" width="15.5703125" style="20" customWidth="1"/>
    <col min="23" max="23" width="14.7109375" style="20" customWidth="1"/>
    <col min="24" max="24" width="15.5703125" style="20" customWidth="1"/>
    <col min="25" max="25" width="14.28515625" style="20" bestFit="1" customWidth="1"/>
    <col min="26" max="27" width="0" style="20" hidden="1" customWidth="1"/>
    <col min="28" max="16384" width="9.140625" style="20"/>
  </cols>
  <sheetData>
    <row r="1" spans="1:26" ht="83.25" customHeight="1" x14ac:dyDescent="0.2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</row>
    <row r="2" spans="1:26" s="28" customFormat="1" ht="18.75" customHeight="1" x14ac:dyDescent="0.2">
      <c r="A2" s="21" t="s">
        <v>698</v>
      </c>
      <c r="B2" s="22" t="s">
        <v>713</v>
      </c>
      <c r="C2" s="23"/>
      <c r="D2" s="23"/>
      <c r="E2" s="23"/>
      <c r="F2" s="23"/>
      <c r="G2" s="23"/>
      <c r="H2" s="23"/>
      <c r="I2" s="23"/>
      <c r="J2" s="24"/>
      <c r="K2" s="270" t="s">
        <v>704</v>
      </c>
      <c r="L2" s="270"/>
      <c r="M2" s="1"/>
      <c r="N2" s="25" t="s">
        <v>723</v>
      </c>
      <c r="O2" s="26"/>
      <c r="P2" s="26"/>
      <c r="Q2" s="26"/>
      <c r="R2" s="26"/>
      <c r="S2" s="26"/>
      <c r="T2" s="26"/>
      <c r="U2" s="26"/>
      <c r="V2" s="275" t="s">
        <v>723</v>
      </c>
      <c r="W2" s="276"/>
      <c r="X2" s="27">
        <v>912926.02</v>
      </c>
      <c r="Z2" s="28" t="s">
        <v>723</v>
      </c>
    </row>
    <row r="3" spans="1:26" s="28" customFormat="1" ht="40.5" customHeight="1" x14ac:dyDescent="0.2">
      <c r="A3" s="29" t="s">
        <v>719</v>
      </c>
      <c r="B3" s="280" t="s">
        <v>721</v>
      </c>
      <c r="C3" s="281"/>
      <c r="D3" s="281"/>
      <c r="E3" s="281"/>
      <c r="F3" s="281"/>
      <c r="G3" s="281"/>
      <c r="H3" s="281"/>
      <c r="I3" s="281"/>
      <c r="J3" s="282"/>
      <c r="K3" s="270" t="s">
        <v>714</v>
      </c>
      <c r="L3" s="270"/>
      <c r="M3" s="1"/>
      <c r="N3" s="25" t="s">
        <v>732</v>
      </c>
      <c r="O3" s="26"/>
      <c r="P3" s="26"/>
      <c r="Q3" s="26"/>
      <c r="R3" s="26"/>
      <c r="S3" s="26"/>
      <c r="T3" s="26"/>
      <c r="U3" s="26"/>
      <c r="V3" s="275" t="s">
        <v>732</v>
      </c>
      <c r="W3" s="276"/>
      <c r="X3" s="27">
        <f>X326</f>
        <v>1025601.9100000001</v>
      </c>
      <c r="Z3" s="28" t="s">
        <v>732</v>
      </c>
    </row>
    <row r="4" spans="1:26" s="28" customFormat="1" ht="15" customHeight="1" x14ac:dyDescent="0.2">
      <c r="A4" s="30" t="s">
        <v>720</v>
      </c>
      <c r="B4" s="277" t="s">
        <v>703</v>
      </c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9"/>
      <c r="W4" s="249" t="s">
        <v>722</v>
      </c>
      <c r="X4" s="31">
        <v>0.22470000000000001</v>
      </c>
    </row>
    <row r="5" spans="1:26" ht="18.75" customHeight="1" x14ac:dyDescent="0.2">
      <c r="A5" s="273" t="s">
        <v>731</v>
      </c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</row>
    <row r="6" spans="1:26" ht="15" customHeight="1" x14ac:dyDescent="0.2">
      <c r="A6" s="271" t="s">
        <v>0</v>
      </c>
      <c r="B6" s="271" t="s">
        <v>1</v>
      </c>
      <c r="C6" s="271" t="s">
        <v>2</v>
      </c>
      <c r="D6" s="271" t="s">
        <v>3</v>
      </c>
      <c r="E6" s="271" t="s">
        <v>4</v>
      </c>
      <c r="F6" s="271" t="s">
        <v>1145</v>
      </c>
      <c r="G6" s="271"/>
      <c r="H6" s="271"/>
      <c r="I6" s="271" t="s">
        <v>1146</v>
      </c>
      <c r="J6" s="271"/>
      <c r="K6" s="242"/>
      <c r="L6" s="242"/>
      <c r="M6" s="242"/>
      <c r="N6" s="271" t="s">
        <v>717</v>
      </c>
      <c r="O6" s="271"/>
      <c r="P6" s="271"/>
      <c r="Q6" s="271"/>
      <c r="R6" s="271"/>
      <c r="S6" s="283" t="s">
        <v>1150</v>
      </c>
      <c r="T6" s="284"/>
      <c r="U6" s="285"/>
      <c r="V6" s="271" t="s">
        <v>718</v>
      </c>
      <c r="W6" s="271"/>
      <c r="X6" s="271"/>
    </row>
    <row r="7" spans="1:26" ht="54.75" customHeight="1" x14ac:dyDescent="0.2">
      <c r="A7" s="271"/>
      <c r="B7" s="271"/>
      <c r="C7" s="271"/>
      <c r="D7" s="271"/>
      <c r="E7" s="271"/>
      <c r="F7" s="243" t="s">
        <v>5</v>
      </c>
      <c r="G7" s="241" t="s">
        <v>6</v>
      </c>
      <c r="H7" s="241" t="s">
        <v>7</v>
      </c>
      <c r="I7" s="241" t="s">
        <v>6</v>
      </c>
      <c r="J7" s="241" t="s">
        <v>7</v>
      </c>
      <c r="K7" s="244" t="s">
        <v>699</v>
      </c>
      <c r="L7" s="244" t="s">
        <v>708</v>
      </c>
      <c r="M7" s="244" t="s">
        <v>712</v>
      </c>
      <c r="N7" s="244" t="s">
        <v>715</v>
      </c>
      <c r="O7" s="244" t="s">
        <v>725</v>
      </c>
      <c r="P7" s="244" t="s">
        <v>726</v>
      </c>
      <c r="Q7" s="244" t="s">
        <v>716</v>
      </c>
      <c r="R7" s="245" t="s">
        <v>700</v>
      </c>
      <c r="S7" s="5" t="s">
        <v>728</v>
      </c>
      <c r="T7" s="5" t="s">
        <v>729</v>
      </c>
      <c r="U7" s="5" t="s">
        <v>1149</v>
      </c>
      <c r="V7" s="246" t="s">
        <v>1147</v>
      </c>
      <c r="W7" s="246" t="s">
        <v>1148</v>
      </c>
      <c r="X7" s="246" t="s">
        <v>730</v>
      </c>
    </row>
    <row r="8" spans="1:26" x14ac:dyDescent="0.2">
      <c r="A8" s="33" t="s">
        <v>8</v>
      </c>
      <c r="B8" s="272" t="s">
        <v>9</v>
      </c>
      <c r="C8" s="272"/>
      <c r="D8" s="272"/>
      <c r="E8" s="272"/>
      <c r="F8" s="272"/>
      <c r="G8" s="272"/>
      <c r="H8" s="272"/>
      <c r="I8" s="34">
        <v>14740.01</v>
      </c>
      <c r="J8" s="35">
        <v>18051.88</v>
      </c>
      <c r="K8" s="36"/>
      <c r="L8" s="36"/>
      <c r="M8" s="36"/>
      <c r="N8" s="36"/>
      <c r="O8" s="36"/>
      <c r="P8" s="36"/>
      <c r="Q8" s="36"/>
      <c r="R8" s="37"/>
      <c r="S8" s="36"/>
      <c r="T8" s="36"/>
      <c r="U8" s="36"/>
      <c r="V8" s="38">
        <f>SUM(V9:V12)</f>
        <v>13098.94</v>
      </c>
      <c r="W8" s="38">
        <f>SUM(W9:W12)</f>
        <v>11947.59</v>
      </c>
      <c r="X8" s="38">
        <f>SUM(X9:X12)</f>
        <v>19203.230000000003</v>
      </c>
    </row>
    <row r="9" spans="1:26" ht="24" x14ac:dyDescent="0.2">
      <c r="A9" s="7" t="s">
        <v>10</v>
      </c>
      <c r="B9" s="8" t="s">
        <v>11</v>
      </c>
      <c r="C9" s="7" t="s">
        <v>12</v>
      </c>
      <c r="D9" s="8" t="s">
        <v>13</v>
      </c>
      <c r="E9" s="8" t="s">
        <v>14</v>
      </c>
      <c r="F9" s="39">
        <v>1</v>
      </c>
      <c r="G9" s="39">
        <v>153.05000000000001</v>
      </c>
      <c r="H9" s="39">
        <v>187.44</v>
      </c>
      <c r="I9" s="40">
        <v>153.05000000000001</v>
      </c>
      <c r="J9" s="41">
        <v>187.44</v>
      </c>
      <c r="K9" s="41">
        <f>F9</f>
        <v>1</v>
      </c>
      <c r="L9" s="2">
        <f>0</f>
        <v>0</v>
      </c>
      <c r="M9" s="2"/>
      <c r="N9" s="2"/>
      <c r="O9" s="2"/>
      <c r="P9" s="2"/>
      <c r="Q9" s="42">
        <f>K9+L9+M9+N9+O9+P9</f>
        <v>1</v>
      </c>
      <c r="R9" s="43">
        <f>Q9/F9</f>
        <v>1</v>
      </c>
      <c r="S9" s="44">
        <v>7</v>
      </c>
      <c r="T9" s="44"/>
      <c r="U9" s="44">
        <f>F9+S9-T9</f>
        <v>8</v>
      </c>
      <c r="V9" s="45">
        <f>ROUND(H9*S9,2)</f>
        <v>1312.08</v>
      </c>
      <c r="W9" s="45">
        <f>ROUND(H9*T9,2)</f>
        <v>0</v>
      </c>
      <c r="X9" s="45">
        <f>ROUND(H9*U9,2)</f>
        <v>1499.52</v>
      </c>
    </row>
    <row r="10" spans="1:26" ht="36" x14ac:dyDescent="0.2">
      <c r="A10" s="7" t="s">
        <v>15</v>
      </c>
      <c r="B10" s="8" t="s">
        <v>16</v>
      </c>
      <c r="C10" s="7" t="s">
        <v>17</v>
      </c>
      <c r="D10" s="8" t="s">
        <v>18</v>
      </c>
      <c r="E10" s="8" t="s">
        <v>19</v>
      </c>
      <c r="F10" s="39">
        <v>12.43</v>
      </c>
      <c r="G10" s="39">
        <v>784.84</v>
      </c>
      <c r="H10" s="39">
        <v>961.19</v>
      </c>
      <c r="I10" s="40">
        <v>9755.56</v>
      </c>
      <c r="J10" s="41">
        <v>11947.59</v>
      </c>
      <c r="K10" s="46">
        <f>F10</f>
        <v>12.43</v>
      </c>
      <c r="L10" s="2">
        <f>0</f>
        <v>0</v>
      </c>
      <c r="M10" s="2"/>
      <c r="N10" s="2"/>
      <c r="O10" s="2"/>
      <c r="P10" s="2"/>
      <c r="Q10" s="42">
        <f t="shared" ref="Q10:Q14" si="0">K10+L10+M10+N10+O10+P10</f>
        <v>12.43</v>
      </c>
      <c r="R10" s="43">
        <f>Q10/F10</f>
        <v>1</v>
      </c>
      <c r="S10" s="44"/>
      <c r="T10" s="44">
        <f>F10</f>
        <v>12.43</v>
      </c>
      <c r="U10" s="44">
        <f>F10+S10-T10</f>
        <v>0</v>
      </c>
      <c r="V10" s="45">
        <f t="shared" ref="V10:V76" si="1">ROUND(H10*S10,2)</f>
        <v>0</v>
      </c>
      <c r="W10" s="45">
        <f>ROUND(H10*T10,2)</f>
        <v>11947.59</v>
      </c>
      <c r="X10" s="45">
        <f t="shared" ref="X10:X75" si="2">ROUND(H10*U10,2)</f>
        <v>0</v>
      </c>
    </row>
    <row r="11" spans="1:26" ht="36" x14ac:dyDescent="0.2">
      <c r="A11" s="7" t="s">
        <v>20</v>
      </c>
      <c r="B11" s="8" t="s">
        <v>21</v>
      </c>
      <c r="C11" s="7" t="s">
        <v>22</v>
      </c>
      <c r="D11" s="8" t="s">
        <v>18</v>
      </c>
      <c r="E11" s="8" t="s">
        <v>23</v>
      </c>
      <c r="F11" s="39">
        <v>101.16</v>
      </c>
      <c r="G11" s="39">
        <v>47.76</v>
      </c>
      <c r="H11" s="39">
        <v>58.49</v>
      </c>
      <c r="I11" s="40">
        <v>4831.3999999999996</v>
      </c>
      <c r="J11" s="41">
        <v>5916.85</v>
      </c>
      <c r="K11" s="41">
        <f>F11</f>
        <v>101.16</v>
      </c>
      <c r="L11" s="2">
        <f>0</f>
        <v>0</v>
      </c>
      <c r="M11" s="2"/>
      <c r="N11" s="2"/>
      <c r="O11" s="2"/>
      <c r="P11" s="2"/>
      <c r="Q11" s="42">
        <f t="shared" si="0"/>
        <v>101.16</v>
      </c>
      <c r="R11" s="43">
        <f>Q11/F11</f>
        <v>1</v>
      </c>
      <c r="S11" s="44"/>
      <c r="T11" s="44"/>
      <c r="U11" s="44">
        <f t="shared" ref="U11:U76" si="3">F11+S11-T11</f>
        <v>101.16</v>
      </c>
      <c r="V11" s="45">
        <f t="shared" si="1"/>
        <v>0</v>
      </c>
      <c r="W11" s="45">
        <f t="shared" ref="W11:W75" si="4">ROUND(H11*T11,2)</f>
        <v>0</v>
      </c>
      <c r="X11" s="45">
        <f t="shared" si="2"/>
        <v>5916.85</v>
      </c>
    </row>
    <row r="12" spans="1:26" ht="24" x14ac:dyDescent="0.2">
      <c r="A12" s="7" t="s">
        <v>906</v>
      </c>
      <c r="B12" s="8" t="s">
        <v>907</v>
      </c>
      <c r="C12" s="7" t="s">
        <v>908</v>
      </c>
      <c r="D12" s="8" t="s">
        <v>13</v>
      </c>
      <c r="E12" s="8" t="s">
        <v>19</v>
      </c>
      <c r="F12" s="39"/>
      <c r="G12" s="39">
        <v>351.70878952215298</v>
      </c>
      <c r="H12" s="39">
        <v>430.73701597696203</v>
      </c>
      <c r="I12" s="40">
        <v>9624.3000000000029</v>
      </c>
      <c r="J12" s="41">
        <v>11786.859999999979</v>
      </c>
      <c r="K12" s="41"/>
      <c r="L12" s="2"/>
      <c r="M12" s="2"/>
      <c r="N12" s="2"/>
      <c r="O12" s="2"/>
      <c r="P12" s="2"/>
      <c r="Q12" s="42"/>
      <c r="R12" s="43"/>
      <c r="S12" s="44">
        <v>27.3644</v>
      </c>
      <c r="T12" s="44"/>
      <c r="U12" s="44">
        <f t="shared" si="3"/>
        <v>27.3644</v>
      </c>
      <c r="V12" s="45">
        <f>ROUND(H12*S12,2)</f>
        <v>11786.86</v>
      </c>
      <c r="W12" s="45">
        <f t="shared" si="4"/>
        <v>0</v>
      </c>
      <c r="X12" s="45">
        <f t="shared" si="2"/>
        <v>11786.86</v>
      </c>
    </row>
    <row r="13" spans="1:26" x14ac:dyDescent="0.2">
      <c r="A13" s="48" t="s">
        <v>24</v>
      </c>
      <c r="B13" s="269" t="s">
        <v>25</v>
      </c>
      <c r="C13" s="269"/>
      <c r="D13" s="269"/>
      <c r="E13" s="269"/>
      <c r="F13" s="269"/>
      <c r="G13" s="269"/>
      <c r="H13" s="269"/>
      <c r="I13" s="49">
        <v>10582.87</v>
      </c>
      <c r="J13" s="50">
        <v>12961.54</v>
      </c>
      <c r="K13" s="51"/>
      <c r="L13" s="51"/>
      <c r="M13" s="51"/>
      <c r="N13" s="51"/>
      <c r="O13" s="51"/>
      <c r="P13" s="51"/>
      <c r="Q13" s="42"/>
      <c r="R13" s="51"/>
      <c r="S13" s="44"/>
      <c r="T13" s="52"/>
      <c r="U13" s="44"/>
      <c r="V13" s="53">
        <f>SUM(V14:V18)</f>
        <v>3724.3199999999997</v>
      </c>
      <c r="W13" s="53">
        <f>SUM(W14:W18)</f>
        <v>0</v>
      </c>
      <c r="X13" s="53">
        <f>SUM(X14:X18)</f>
        <v>16685.86</v>
      </c>
    </row>
    <row r="14" spans="1:26" ht="24" x14ac:dyDescent="0.2">
      <c r="A14" s="7" t="s">
        <v>26</v>
      </c>
      <c r="B14" s="8" t="s">
        <v>27</v>
      </c>
      <c r="C14" s="7" t="s">
        <v>28</v>
      </c>
      <c r="D14" s="8" t="s">
        <v>18</v>
      </c>
      <c r="E14" s="8" t="s">
        <v>29</v>
      </c>
      <c r="F14" s="39">
        <v>136.71</v>
      </c>
      <c r="G14" s="39">
        <v>22.2</v>
      </c>
      <c r="H14" s="39">
        <v>27.19</v>
      </c>
      <c r="I14" s="40">
        <v>3034.96</v>
      </c>
      <c r="J14" s="41">
        <v>3717.14</v>
      </c>
      <c r="K14" s="41">
        <f>F14</f>
        <v>136.71</v>
      </c>
      <c r="L14" s="2">
        <f>0</f>
        <v>0</v>
      </c>
      <c r="M14" s="2"/>
      <c r="N14" s="2"/>
      <c r="O14" s="2"/>
      <c r="P14" s="2"/>
      <c r="Q14" s="42">
        <f t="shared" si="0"/>
        <v>136.71</v>
      </c>
      <c r="R14" s="43">
        <f>Q14/F14</f>
        <v>1</v>
      </c>
      <c r="S14" s="44"/>
      <c r="T14" s="44"/>
      <c r="U14" s="44">
        <f t="shared" si="3"/>
        <v>136.71</v>
      </c>
      <c r="V14" s="45">
        <f t="shared" si="1"/>
        <v>0</v>
      </c>
      <c r="W14" s="45">
        <f t="shared" si="4"/>
        <v>0</v>
      </c>
      <c r="X14" s="45">
        <f t="shared" si="2"/>
        <v>3717.14</v>
      </c>
    </row>
    <row r="15" spans="1:26" ht="24" x14ac:dyDescent="0.2">
      <c r="A15" s="7" t="s">
        <v>30</v>
      </c>
      <c r="B15" s="8" t="s">
        <v>31</v>
      </c>
      <c r="C15" s="7" t="s">
        <v>32</v>
      </c>
      <c r="D15" s="8" t="s">
        <v>18</v>
      </c>
      <c r="E15" s="8" t="s">
        <v>29</v>
      </c>
      <c r="F15" s="39">
        <v>72.61</v>
      </c>
      <c r="G15" s="39">
        <v>59.58</v>
      </c>
      <c r="H15" s="39">
        <v>72.97</v>
      </c>
      <c r="I15" s="40">
        <v>4326.1000000000004</v>
      </c>
      <c r="J15" s="41">
        <v>5298.35</v>
      </c>
      <c r="K15" s="41">
        <f>F15</f>
        <v>72.61</v>
      </c>
      <c r="L15" s="2">
        <f>0</f>
        <v>0</v>
      </c>
      <c r="M15" s="2"/>
      <c r="N15" s="2"/>
      <c r="O15" s="2"/>
      <c r="P15" s="2"/>
      <c r="Q15" s="42">
        <f>K15+L15+M15+N15+O15+P15</f>
        <v>72.61</v>
      </c>
      <c r="R15" s="43">
        <f>Q15/F15</f>
        <v>1</v>
      </c>
      <c r="S15" s="44">
        <f>MEMORIAL!AJ87-F15</f>
        <v>21.787249999999986</v>
      </c>
      <c r="T15" s="44"/>
      <c r="U15" s="44">
        <f t="shared" si="3"/>
        <v>94.397249999999985</v>
      </c>
      <c r="V15" s="45">
        <f t="shared" si="1"/>
        <v>1589.82</v>
      </c>
      <c r="W15" s="45">
        <f t="shared" si="4"/>
        <v>0</v>
      </c>
      <c r="X15" s="45">
        <f t="shared" si="2"/>
        <v>6888.17</v>
      </c>
    </row>
    <row r="16" spans="1:26" ht="24" x14ac:dyDescent="0.2">
      <c r="A16" s="7" t="s">
        <v>33</v>
      </c>
      <c r="B16" s="8" t="s">
        <v>27</v>
      </c>
      <c r="C16" s="7" t="s">
        <v>28</v>
      </c>
      <c r="D16" s="8" t="s">
        <v>18</v>
      </c>
      <c r="E16" s="8" t="s">
        <v>29</v>
      </c>
      <c r="F16" s="39">
        <v>54.55</v>
      </c>
      <c r="G16" s="39">
        <v>22.2</v>
      </c>
      <c r="H16" s="39">
        <v>27.19</v>
      </c>
      <c r="I16" s="40">
        <v>1211.01</v>
      </c>
      <c r="J16" s="41">
        <v>1483.21</v>
      </c>
      <c r="K16" s="41">
        <f>F16</f>
        <v>54.55</v>
      </c>
      <c r="L16" s="2">
        <f>0</f>
        <v>0</v>
      </c>
      <c r="M16" s="2"/>
      <c r="N16" s="2"/>
      <c r="O16" s="2"/>
      <c r="P16" s="2"/>
      <c r="Q16" s="42">
        <f t="shared" ref="Q16:Q83" si="5">K16+L16+M16+N16+O16+P16</f>
        <v>54.55</v>
      </c>
      <c r="R16" s="43">
        <f>Q16/F16</f>
        <v>1</v>
      </c>
      <c r="S16" s="44"/>
      <c r="T16" s="44"/>
      <c r="U16" s="44">
        <f t="shared" si="3"/>
        <v>54.55</v>
      </c>
      <c r="V16" s="45">
        <f t="shared" si="1"/>
        <v>0</v>
      </c>
      <c r="W16" s="45">
        <f t="shared" si="4"/>
        <v>0</v>
      </c>
      <c r="X16" s="45">
        <f t="shared" si="2"/>
        <v>1483.21</v>
      </c>
    </row>
    <row r="17" spans="1:24" x14ac:dyDescent="0.2">
      <c r="A17" s="7" t="s">
        <v>34</v>
      </c>
      <c r="B17" s="8" t="s">
        <v>35</v>
      </c>
      <c r="C17" s="7" t="s">
        <v>36</v>
      </c>
      <c r="D17" s="8" t="s">
        <v>18</v>
      </c>
      <c r="E17" s="8" t="s">
        <v>29</v>
      </c>
      <c r="F17" s="39">
        <v>55.67</v>
      </c>
      <c r="G17" s="39">
        <v>36.119999999999997</v>
      </c>
      <c r="H17" s="39">
        <v>44.24</v>
      </c>
      <c r="I17" s="40">
        <v>2010.8</v>
      </c>
      <c r="J17" s="41">
        <v>2462.84</v>
      </c>
      <c r="K17" s="41">
        <f>F17</f>
        <v>55.67</v>
      </c>
      <c r="L17" s="2">
        <f>0</f>
        <v>0</v>
      </c>
      <c r="M17" s="2"/>
      <c r="N17" s="2"/>
      <c r="O17" s="2"/>
      <c r="P17" s="2"/>
      <c r="Q17" s="42">
        <f t="shared" si="5"/>
        <v>55.67</v>
      </c>
      <c r="R17" s="43">
        <f>Q17/F17</f>
        <v>1</v>
      </c>
      <c r="S17" s="44"/>
      <c r="T17" s="44"/>
      <c r="U17" s="44">
        <f t="shared" si="3"/>
        <v>55.67</v>
      </c>
      <c r="V17" s="45">
        <f t="shared" si="1"/>
        <v>0</v>
      </c>
      <c r="W17" s="45">
        <f t="shared" si="4"/>
        <v>0</v>
      </c>
      <c r="X17" s="45">
        <f t="shared" si="2"/>
        <v>2462.84</v>
      </c>
    </row>
    <row r="18" spans="1:24" ht="24" x14ac:dyDescent="0.2">
      <c r="A18" s="7" t="s">
        <v>896</v>
      </c>
      <c r="B18" s="8">
        <v>94342</v>
      </c>
      <c r="C18" s="7" t="s">
        <v>897</v>
      </c>
      <c r="D18" s="8" t="s">
        <v>18</v>
      </c>
      <c r="E18" s="8" t="s">
        <v>19</v>
      </c>
      <c r="F18" s="39"/>
      <c r="G18" s="39">
        <f>92.87*0.980188611</f>
        <v>91.030116303569997</v>
      </c>
      <c r="H18" s="39">
        <f>G18*1.2247</f>
        <v>111.48458343698216</v>
      </c>
      <c r="I18" s="40"/>
      <c r="J18" s="41"/>
      <c r="K18" s="41"/>
      <c r="L18" s="2"/>
      <c r="M18" s="2"/>
      <c r="N18" s="2"/>
      <c r="O18" s="2"/>
      <c r="P18" s="2"/>
      <c r="Q18" s="42"/>
      <c r="R18" s="43"/>
      <c r="S18" s="44">
        <f>MEMORIAL!AJ96</f>
        <v>19.146149999999999</v>
      </c>
      <c r="T18" s="44"/>
      <c r="U18" s="44">
        <f t="shared" ref="U18" si="6">F18+S18-T18</f>
        <v>19.146149999999999</v>
      </c>
      <c r="V18" s="45">
        <f>ROUND(H18*S18,2)</f>
        <v>2134.5</v>
      </c>
      <c r="W18" s="45">
        <f t="shared" ref="W18" si="7">ROUND(H18*T18,2)</f>
        <v>0</v>
      </c>
      <c r="X18" s="45">
        <f t="shared" ref="X18" si="8">ROUND(H18*U18,2)</f>
        <v>2134.5</v>
      </c>
    </row>
    <row r="19" spans="1:24" x14ac:dyDescent="0.2">
      <c r="A19" s="48" t="s">
        <v>37</v>
      </c>
      <c r="B19" s="269" t="s">
        <v>38</v>
      </c>
      <c r="C19" s="269"/>
      <c r="D19" s="269"/>
      <c r="E19" s="269"/>
      <c r="F19" s="269"/>
      <c r="G19" s="269"/>
      <c r="H19" s="269"/>
      <c r="I19" s="49">
        <v>31022.9</v>
      </c>
      <c r="J19" s="50">
        <v>37991.85</v>
      </c>
      <c r="K19" s="51"/>
      <c r="L19" s="51"/>
      <c r="M19" s="51"/>
      <c r="N19" s="51"/>
      <c r="O19" s="51"/>
      <c r="P19" s="51"/>
      <c r="Q19" s="42"/>
      <c r="R19" s="43"/>
      <c r="S19" s="44"/>
      <c r="T19" s="44"/>
      <c r="U19" s="44"/>
      <c r="V19" s="53">
        <f>SUM(V20:V28)</f>
        <v>0</v>
      </c>
      <c r="W19" s="53">
        <f t="shared" ref="W19" si="9">SUM(W20:W28)</f>
        <v>0</v>
      </c>
      <c r="X19" s="53">
        <f>SUM(X20:X28)</f>
        <v>37991.849999999991</v>
      </c>
    </row>
    <row r="20" spans="1:24" ht="24" x14ac:dyDescent="0.2">
      <c r="A20" s="7" t="s">
        <v>39</v>
      </c>
      <c r="B20" s="8" t="s">
        <v>40</v>
      </c>
      <c r="C20" s="7" t="s">
        <v>41</v>
      </c>
      <c r="D20" s="8" t="s">
        <v>18</v>
      </c>
      <c r="E20" s="8" t="s">
        <v>29</v>
      </c>
      <c r="F20" s="39">
        <v>1.46</v>
      </c>
      <c r="G20" s="39">
        <v>551.70000000000005</v>
      </c>
      <c r="H20" s="39">
        <v>675.67</v>
      </c>
      <c r="I20" s="40">
        <v>805.48</v>
      </c>
      <c r="J20" s="41">
        <v>986.48</v>
      </c>
      <c r="K20" s="41">
        <f t="shared" ref="K20:K28" si="10">F20</f>
        <v>1.46</v>
      </c>
      <c r="L20" s="2">
        <f>0</f>
        <v>0</v>
      </c>
      <c r="M20" s="2"/>
      <c r="N20" s="2"/>
      <c r="O20" s="2"/>
      <c r="P20" s="2"/>
      <c r="Q20" s="42">
        <f t="shared" si="5"/>
        <v>1.46</v>
      </c>
      <c r="R20" s="43">
        <f t="shared" ref="R20:R28" si="11">Q20/F20</f>
        <v>1</v>
      </c>
      <c r="S20" s="44"/>
      <c r="T20" s="44"/>
      <c r="U20" s="44">
        <f t="shared" si="3"/>
        <v>1.46</v>
      </c>
      <c r="V20" s="45">
        <f t="shared" si="1"/>
        <v>0</v>
      </c>
      <c r="W20" s="45">
        <f t="shared" si="4"/>
        <v>0</v>
      </c>
      <c r="X20" s="45">
        <f t="shared" si="2"/>
        <v>986.48</v>
      </c>
    </row>
    <row r="21" spans="1:24" ht="36" x14ac:dyDescent="0.2">
      <c r="A21" s="7" t="s">
        <v>42</v>
      </c>
      <c r="B21" s="8" t="s">
        <v>43</v>
      </c>
      <c r="C21" s="7" t="s">
        <v>44</v>
      </c>
      <c r="D21" s="8" t="s">
        <v>18</v>
      </c>
      <c r="E21" s="8" t="s">
        <v>19</v>
      </c>
      <c r="F21" s="39">
        <v>96.48</v>
      </c>
      <c r="G21" s="39">
        <v>160.47999999999999</v>
      </c>
      <c r="H21" s="39">
        <v>196.54</v>
      </c>
      <c r="I21" s="40">
        <v>15483.11</v>
      </c>
      <c r="J21" s="41">
        <v>18962.18</v>
      </c>
      <c r="K21" s="41">
        <f t="shared" si="10"/>
        <v>96.48</v>
      </c>
      <c r="L21" s="2">
        <f>0</f>
        <v>0</v>
      </c>
      <c r="M21" s="2"/>
      <c r="N21" s="2"/>
      <c r="O21" s="2"/>
      <c r="P21" s="2"/>
      <c r="Q21" s="42">
        <f t="shared" si="5"/>
        <v>96.48</v>
      </c>
      <c r="R21" s="43">
        <f t="shared" si="11"/>
        <v>1</v>
      </c>
      <c r="S21" s="44"/>
      <c r="T21" s="44"/>
      <c r="U21" s="44">
        <f t="shared" si="3"/>
        <v>96.48</v>
      </c>
      <c r="V21" s="45">
        <f t="shared" si="1"/>
        <v>0</v>
      </c>
      <c r="W21" s="45">
        <f t="shared" si="4"/>
        <v>0</v>
      </c>
      <c r="X21" s="45">
        <f t="shared" si="2"/>
        <v>18962.18</v>
      </c>
    </row>
    <row r="22" spans="1:24" ht="36" x14ac:dyDescent="0.2">
      <c r="A22" s="7" t="s">
        <v>45</v>
      </c>
      <c r="B22" s="8" t="s">
        <v>46</v>
      </c>
      <c r="C22" s="7" t="s">
        <v>47</v>
      </c>
      <c r="D22" s="8" t="s">
        <v>18</v>
      </c>
      <c r="E22" s="8" t="s">
        <v>29</v>
      </c>
      <c r="F22" s="39">
        <v>10.06</v>
      </c>
      <c r="G22" s="39">
        <v>451.82</v>
      </c>
      <c r="H22" s="39">
        <v>553.34</v>
      </c>
      <c r="I22" s="40">
        <v>4545.3100000000004</v>
      </c>
      <c r="J22" s="41">
        <v>5566.6</v>
      </c>
      <c r="K22" s="41">
        <f t="shared" si="10"/>
        <v>10.06</v>
      </c>
      <c r="L22" s="2">
        <f>0</f>
        <v>0</v>
      </c>
      <c r="M22" s="2"/>
      <c r="N22" s="2"/>
      <c r="O22" s="2"/>
      <c r="P22" s="2"/>
      <c r="Q22" s="42">
        <f t="shared" si="5"/>
        <v>10.06</v>
      </c>
      <c r="R22" s="43">
        <f t="shared" si="11"/>
        <v>1</v>
      </c>
      <c r="S22" s="44"/>
      <c r="T22" s="44"/>
      <c r="U22" s="44">
        <f t="shared" si="3"/>
        <v>10.06</v>
      </c>
      <c r="V22" s="45">
        <f t="shared" si="1"/>
        <v>0</v>
      </c>
      <c r="W22" s="45">
        <f t="shared" si="4"/>
        <v>0</v>
      </c>
      <c r="X22" s="45">
        <f t="shared" si="2"/>
        <v>5566.6</v>
      </c>
    </row>
    <row r="23" spans="1:24" ht="24" x14ac:dyDescent="0.2">
      <c r="A23" s="7" t="s">
        <v>48</v>
      </c>
      <c r="B23" s="8" t="s">
        <v>49</v>
      </c>
      <c r="C23" s="7" t="s">
        <v>50</v>
      </c>
      <c r="D23" s="8" t="s">
        <v>18</v>
      </c>
      <c r="E23" s="8" t="s">
        <v>29</v>
      </c>
      <c r="F23" s="39">
        <v>10.06</v>
      </c>
      <c r="G23" s="39">
        <v>205.96</v>
      </c>
      <c r="H23" s="39">
        <v>252.24</v>
      </c>
      <c r="I23" s="40">
        <v>2071.96</v>
      </c>
      <c r="J23" s="41">
        <v>2537.5300000000002</v>
      </c>
      <c r="K23" s="41">
        <f t="shared" si="10"/>
        <v>10.06</v>
      </c>
      <c r="L23" s="2">
        <f>0</f>
        <v>0</v>
      </c>
      <c r="M23" s="2"/>
      <c r="N23" s="2"/>
      <c r="O23" s="2"/>
      <c r="P23" s="2"/>
      <c r="Q23" s="42">
        <f t="shared" si="5"/>
        <v>10.06</v>
      </c>
      <c r="R23" s="43">
        <f t="shared" si="11"/>
        <v>1</v>
      </c>
      <c r="S23" s="44"/>
      <c r="T23" s="44"/>
      <c r="U23" s="44">
        <f t="shared" si="3"/>
        <v>10.06</v>
      </c>
      <c r="V23" s="45">
        <f t="shared" si="1"/>
        <v>0</v>
      </c>
      <c r="W23" s="45">
        <f t="shared" si="4"/>
        <v>0</v>
      </c>
      <c r="X23" s="45">
        <f t="shared" si="2"/>
        <v>2537.5300000000002</v>
      </c>
    </row>
    <row r="24" spans="1:24" ht="24" x14ac:dyDescent="0.2">
      <c r="A24" s="7" t="s">
        <v>51</v>
      </c>
      <c r="B24" s="8" t="s">
        <v>52</v>
      </c>
      <c r="C24" s="7" t="s">
        <v>53</v>
      </c>
      <c r="D24" s="8" t="s">
        <v>18</v>
      </c>
      <c r="E24" s="8" t="s">
        <v>54</v>
      </c>
      <c r="F24" s="39">
        <v>241</v>
      </c>
      <c r="G24" s="39">
        <v>15.37</v>
      </c>
      <c r="H24" s="39">
        <v>18.82</v>
      </c>
      <c r="I24" s="40">
        <v>3704.17</v>
      </c>
      <c r="J24" s="41">
        <v>4535.62</v>
      </c>
      <c r="K24" s="41">
        <f t="shared" si="10"/>
        <v>241</v>
      </c>
      <c r="L24" s="2">
        <f>0</f>
        <v>0</v>
      </c>
      <c r="M24" s="2"/>
      <c r="N24" s="2"/>
      <c r="O24" s="2"/>
      <c r="P24" s="2"/>
      <c r="Q24" s="42">
        <f t="shared" si="5"/>
        <v>241</v>
      </c>
      <c r="R24" s="43">
        <f t="shared" si="11"/>
        <v>1</v>
      </c>
      <c r="S24" s="44"/>
      <c r="T24" s="44"/>
      <c r="U24" s="44">
        <f t="shared" si="3"/>
        <v>241</v>
      </c>
      <c r="V24" s="45">
        <f t="shared" si="1"/>
        <v>0</v>
      </c>
      <c r="W24" s="45">
        <f t="shared" si="4"/>
        <v>0</v>
      </c>
      <c r="X24" s="45">
        <f t="shared" si="2"/>
        <v>4535.62</v>
      </c>
    </row>
    <row r="25" spans="1:24" ht="24" x14ac:dyDescent="0.2">
      <c r="A25" s="7" t="s">
        <v>55</v>
      </c>
      <c r="B25" s="8" t="s">
        <v>56</v>
      </c>
      <c r="C25" s="7" t="s">
        <v>57</v>
      </c>
      <c r="D25" s="8" t="s">
        <v>18</v>
      </c>
      <c r="E25" s="8" t="s">
        <v>54</v>
      </c>
      <c r="F25" s="39">
        <v>235.2</v>
      </c>
      <c r="G25" s="39">
        <v>13.1</v>
      </c>
      <c r="H25" s="39">
        <v>16.04</v>
      </c>
      <c r="I25" s="40">
        <v>3081.12</v>
      </c>
      <c r="J25" s="41">
        <v>3772.61</v>
      </c>
      <c r="K25" s="41">
        <f t="shared" si="10"/>
        <v>235.2</v>
      </c>
      <c r="L25" s="2">
        <f>0</f>
        <v>0</v>
      </c>
      <c r="M25" s="2"/>
      <c r="N25" s="2"/>
      <c r="O25" s="2"/>
      <c r="P25" s="2"/>
      <c r="Q25" s="42">
        <f t="shared" si="5"/>
        <v>235.2</v>
      </c>
      <c r="R25" s="43">
        <f t="shared" si="11"/>
        <v>1</v>
      </c>
      <c r="S25" s="44"/>
      <c r="T25" s="44"/>
      <c r="U25" s="44">
        <f t="shared" si="3"/>
        <v>235.2</v>
      </c>
      <c r="V25" s="45">
        <f t="shared" si="1"/>
        <v>0</v>
      </c>
      <c r="W25" s="45">
        <f t="shared" si="4"/>
        <v>0</v>
      </c>
      <c r="X25" s="45">
        <f t="shared" si="2"/>
        <v>3772.61</v>
      </c>
    </row>
    <row r="26" spans="1:24" ht="24" x14ac:dyDescent="0.2">
      <c r="A26" s="7" t="s">
        <v>58</v>
      </c>
      <c r="B26" s="8" t="s">
        <v>59</v>
      </c>
      <c r="C26" s="7" t="s">
        <v>60</v>
      </c>
      <c r="D26" s="8" t="s">
        <v>18</v>
      </c>
      <c r="E26" s="8" t="s">
        <v>54</v>
      </c>
      <c r="F26" s="39">
        <v>18.100000000000001</v>
      </c>
      <c r="G26" s="39">
        <v>11.14</v>
      </c>
      <c r="H26" s="39">
        <v>13.64</v>
      </c>
      <c r="I26" s="40">
        <v>201.63</v>
      </c>
      <c r="J26" s="41">
        <v>246.88</v>
      </c>
      <c r="K26" s="41">
        <f t="shared" si="10"/>
        <v>18.100000000000001</v>
      </c>
      <c r="L26" s="2">
        <f>0</f>
        <v>0</v>
      </c>
      <c r="M26" s="2"/>
      <c r="N26" s="2"/>
      <c r="O26" s="2"/>
      <c r="P26" s="2"/>
      <c r="Q26" s="42">
        <f t="shared" si="5"/>
        <v>18.100000000000001</v>
      </c>
      <c r="R26" s="43">
        <f t="shared" si="11"/>
        <v>1</v>
      </c>
      <c r="S26" s="44"/>
      <c r="T26" s="44"/>
      <c r="U26" s="44">
        <f t="shared" si="3"/>
        <v>18.100000000000001</v>
      </c>
      <c r="V26" s="45">
        <f t="shared" si="1"/>
        <v>0</v>
      </c>
      <c r="W26" s="45">
        <f t="shared" si="4"/>
        <v>0</v>
      </c>
      <c r="X26" s="45">
        <f t="shared" si="2"/>
        <v>246.88</v>
      </c>
    </row>
    <row r="27" spans="1:24" ht="24" x14ac:dyDescent="0.2">
      <c r="A27" s="7" t="s">
        <v>61</v>
      </c>
      <c r="B27" s="8" t="s">
        <v>62</v>
      </c>
      <c r="C27" s="7" t="s">
        <v>63</v>
      </c>
      <c r="D27" s="8" t="s">
        <v>18</v>
      </c>
      <c r="E27" s="8" t="s">
        <v>54</v>
      </c>
      <c r="F27" s="39">
        <v>7.6</v>
      </c>
      <c r="G27" s="39">
        <v>10.62</v>
      </c>
      <c r="H27" s="39">
        <v>13.01</v>
      </c>
      <c r="I27" s="40">
        <v>80.709999999999994</v>
      </c>
      <c r="J27" s="41">
        <v>98.88</v>
      </c>
      <c r="K27" s="41">
        <f t="shared" si="10"/>
        <v>7.6</v>
      </c>
      <c r="L27" s="2">
        <f>0</f>
        <v>0</v>
      </c>
      <c r="M27" s="2"/>
      <c r="N27" s="2"/>
      <c r="O27" s="2"/>
      <c r="P27" s="2"/>
      <c r="Q27" s="42">
        <f t="shared" si="5"/>
        <v>7.6</v>
      </c>
      <c r="R27" s="43">
        <f t="shared" si="11"/>
        <v>1</v>
      </c>
      <c r="S27" s="44"/>
      <c r="T27" s="44"/>
      <c r="U27" s="44">
        <f t="shared" si="3"/>
        <v>7.6</v>
      </c>
      <c r="V27" s="45">
        <f t="shared" si="1"/>
        <v>0</v>
      </c>
      <c r="W27" s="45">
        <f t="shared" si="4"/>
        <v>0</v>
      </c>
      <c r="X27" s="45">
        <f t="shared" si="2"/>
        <v>98.88</v>
      </c>
    </row>
    <row r="28" spans="1:24" ht="24" x14ac:dyDescent="0.2">
      <c r="A28" s="7" t="s">
        <v>64</v>
      </c>
      <c r="B28" s="8" t="s">
        <v>65</v>
      </c>
      <c r="C28" s="7" t="s">
        <v>66</v>
      </c>
      <c r="D28" s="8" t="s">
        <v>18</v>
      </c>
      <c r="E28" s="8" t="s">
        <v>54</v>
      </c>
      <c r="F28" s="39">
        <v>65.099999999999994</v>
      </c>
      <c r="G28" s="39">
        <v>16.12</v>
      </c>
      <c r="H28" s="39">
        <v>19.739999999999998</v>
      </c>
      <c r="I28" s="40">
        <v>1049.4100000000001</v>
      </c>
      <c r="J28" s="41">
        <v>1285.07</v>
      </c>
      <c r="K28" s="41">
        <f t="shared" si="10"/>
        <v>65.099999999999994</v>
      </c>
      <c r="L28" s="2">
        <f>0</f>
        <v>0</v>
      </c>
      <c r="M28" s="2"/>
      <c r="N28" s="2"/>
      <c r="O28" s="2"/>
      <c r="P28" s="2"/>
      <c r="Q28" s="42">
        <f t="shared" si="5"/>
        <v>65.099999999999994</v>
      </c>
      <c r="R28" s="43">
        <f t="shared" si="11"/>
        <v>1</v>
      </c>
      <c r="S28" s="44"/>
      <c r="T28" s="44"/>
      <c r="U28" s="44">
        <f t="shared" si="3"/>
        <v>65.099999999999994</v>
      </c>
      <c r="V28" s="45">
        <f t="shared" si="1"/>
        <v>0</v>
      </c>
      <c r="W28" s="45">
        <f t="shared" si="4"/>
        <v>0</v>
      </c>
      <c r="X28" s="45">
        <f t="shared" si="2"/>
        <v>1285.07</v>
      </c>
    </row>
    <row r="29" spans="1:24" x14ac:dyDescent="0.2">
      <c r="A29" s="48" t="s">
        <v>67</v>
      </c>
      <c r="B29" s="269" t="s">
        <v>68</v>
      </c>
      <c r="C29" s="269"/>
      <c r="D29" s="269"/>
      <c r="E29" s="269"/>
      <c r="F29" s="269"/>
      <c r="G29" s="269"/>
      <c r="H29" s="269"/>
      <c r="I29" s="49">
        <v>34492.449999999997</v>
      </c>
      <c r="J29" s="50">
        <v>42240.62</v>
      </c>
      <c r="K29" s="51"/>
      <c r="L29" s="51"/>
      <c r="M29" s="51"/>
      <c r="N29" s="51"/>
      <c r="O29" s="51"/>
      <c r="P29" s="51"/>
      <c r="Q29" s="42"/>
      <c r="R29" s="43"/>
      <c r="S29" s="44"/>
      <c r="T29" s="44"/>
      <c r="U29" s="44"/>
      <c r="V29" s="53">
        <f>SUM(V30:V35)</f>
        <v>741.07</v>
      </c>
      <c r="W29" s="53">
        <f t="shared" ref="W29" si="12">SUM(W30:W35)</f>
        <v>0</v>
      </c>
      <c r="X29" s="53">
        <f>SUM(X30:X35)</f>
        <v>42981.689999999995</v>
      </c>
    </row>
    <row r="30" spans="1:24" ht="24" x14ac:dyDescent="0.2">
      <c r="A30" s="7" t="s">
        <v>69</v>
      </c>
      <c r="B30" s="8" t="s">
        <v>70</v>
      </c>
      <c r="C30" s="7" t="s">
        <v>71</v>
      </c>
      <c r="D30" s="8" t="s">
        <v>18</v>
      </c>
      <c r="E30" s="8" t="s">
        <v>19</v>
      </c>
      <c r="F30" s="39">
        <v>2.2000000000000002</v>
      </c>
      <c r="G30" s="39">
        <v>16</v>
      </c>
      <c r="H30" s="39">
        <v>19.600000000000001</v>
      </c>
      <c r="I30" s="40">
        <v>35.200000000000003</v>
      </c>
      <c r="J30" s="41">
        <v>43.12</v>
      </c>
      <c r="K30" s="41">
        <f t="shared" ref="K30:K35" si="13">F30</f>
        <v>2.2000000000000002</v>
      </c>
      <c r="L30" s="2">
        <f>0</f>
        <v>0</v>
      </c>
      <c r="M30" s="2"/>
      <c r="N30" s="2"/>
      <c r="O30" s="2"/>
      <c r="P30" s="2"/>
      <c r="Q30" s="42">
        <f t="shared" si="5"/>
        <v>2.2000000000000002</v>
      </c>
      <c r="R30" s="43">
        <f t="shared" ref="R30:R35" si="14">Q30/F30</f>
        <v>1</v>
      </c>
      <c r="S30" s="44">
        <f>MEMORIAL!AJ193-F30</f>
        <v>37.809499999999993</v>
      </c>
      <c r="T30" s="44"/>
      <c r="U30" s="44">
        <f t="shared" si="3"/>
        <v>40.009499999999996</v>
      </c>
      <c r="V30" s="45">
        <f t="shared" si="1"/>
        <v>741.07</v>
      </c>
      <c r="W30" s="45">
        <f t="shared" si="4"/>
        <v>0</v>
      </c>
      <c r="X30" s="45">
        <f t="shared" si="2"/>
        <v>784.19</v>
      </c>
    </row>
    <row r="31" spans="1:24" ht="36" x14ac:dyDescent="0.2">
      <c r="A31" s="7" t="s">
        <v>72</v>
      </c>
      <c r="B31" s="8" t="s">
        <v>73</v>
      </c>
      <c r="C31" s="7" t="s">
        <v>74</v>
      </c>
      <c r="D31" s="8" t="s">
        <v>18</v>
      </c>
      <c r="E31" s="8" t="s">
        <v>19</v>
      </c>
      <c r="F31" s="39">
        <v>220.31</v>
      </c>
      <c r="G31" s="39">
        <v>74.239999999999995</v>
      </c>
      <c r="H31" s="39">
        <v>90.92</v>
      </c>
      <c r="I31" s="40">
        <v>16355.81</v>
      </c>
      <c r="J31" s="41">
        <v>20030.59</v>
      </c>
      <c r="K31" s="41">
        <f t="shared" si="13"/>
        <v>220.31</v>
      </c>
      <c r="L31" s="2">
        <f>0</f>
        <v>0</v>
      </c>
      <c r="M31" s="2"/>
      <c r="N31" s="2"/>
      <c r="O31" s="2"/>
      <c r="P31" s="2"/>
      <c r="Q31" s="42">
        <f t="shared" si="5"/>
        <v>220.31</v>
      </c>
      <c r="R31" s="43">
        <f t="shared" si="14"/>
        <v>1</v>
      </c>
      <c r="S31" s="44"/>
      <c r="T31" s="44"/>
      <c r="U31" s="44">
        <f t="shared" si="3"/>
        <v>220.31</v>
      </c>
      <c r="V31" s="45">
        <f t="shared" si="1"/>
        <v>0</v>
      </c>
      <c r="W31" s="45">
        <f t="shared" si="4"/>
        <v>0</v>
      </c>
      <c r="X31" s="45">
        <f t="shared" si="2"/>
        <v>20030.59</v>
      </c>
    </row>
    <row r="32" spans="1:24" ht="36" x14ac:dyDescent="0.2">
      <c r="A32" s="7" t="s">
        <v>75</v>
      </c>
      <c r="B32" s="8" t="s">
        <v>46</v>
      </c>
      <c r="C32" s="7" t="s">
        <v>47</v>
      </c>
      <c r="D32" s="8" t="s">
        <v>18</v>
      </c>
      <c r="E32" s="8" t="s">
        <v>29</v>
      </c>
      <c r="F32" s="39">
        <v>13.22</v>
      </c>
      <c r="G32" s="39">
        <v>451.82</v>
      </c>
      <c r="H32" s="39">
        <v>553.34</v>
      </c>
      <c r="I32" s="40">
        <v>5973.06</v>
      </c>
      <c r="J32" s="41">
        <v>7315.15</v>
      </c>
      <c r="K32" s="41">
        <f t="shared" si="13"/>
        <v>13.22</v>
      </c>
      <c r="L32" s="2">
        <f>0</f>
        <v>0</v>
      </c>
      <c r="M32" s="2"/>
      <c r="N32" s="2"/>
      <c r="O32" s="2"/>
      <c r="P32" s="2"/>
      <c r="Q32" s="42">
        <f t="shared" si="5"/>
        <v>13.22</v>
      </c>
      <c r="R32" s="43">
        <f t="shared" si="14"/>
        <v>1</v>
      </c>
      <c r="S32" s="44"/>
      <c r="T32" s="44"/>
      <c r="U32" s="44">
        <f t="shared" si="3"/>
        <v>13.22</v>
      </c>
      <c r="V32" s="45">
        <f t="shared" si="1"/>
        <v>0</v>
      </c>
      <c r="W32" s="45">
        <f t="shared" si="4"/>
        <v>0</v>
      </c>
      <c r="X32" s="45">
        <f t="shared" si="2"/>
        <v>7315.15</v>
      </c>
    </row>
    <row r="33" spans="1:24" ht="24" x14ac:dyDescent="0.2">
      <c r="A33" s="7" t="s">
        <v>76</v>
      </c>
      <c r="B33" s="8" t="s">
        <v>49</v>
      </c>
      <c r="C33" s="7" t="s">
        <v>50</v>
      </c>
      <c r="D33" s="8" t="s">
        <v>18</v>
      </c>
      <c r="E33" s="8" t="s">
        <v>29</v>
      </c>
      <c r="F33" s="39">
        <v>13.22</v>
      </c>
      <c r="G33" s="39">
        <v>205.96</v>
      </c>
      <c r="H33" s="39">
        <v>252.24</v>
      </c>
      <c r="I33" s="40">
        <v>2722.79</v>
      </c>
      <c r="J33" s="41">
        <v>3334.61</v>
      </c>
      <c r="K33" s="41">
        <f t="shared" si="13"/>
        <v>13.22</v>
      </c>
      <c r="L33" s="2">
        <f>0</f>
        <v>0</v>
      </c>
      <c r="M33" s="2"/>
      <c r="N33" s="2"/>
      <c r="O33" s="2"/>
      <c r="P33" s="2"/>
      <c r="Q33" s="42">
        <f t="shared" si="5"/>
        <v>13.22</v>
      </c>
      <c r="R33" s="43">
        <f t="shared" si="14"/>
        <v>1</v>
      </c>
      <c r="S33" s="44"/>
      <c r="T33" s="44"/>
      <c r="U33" s="44">
        <f t="shared" si="3"/>
        <v>13.22</v>
      </c>
      <c r="V33" s="45">
        <f t="shared" si="1"/>
        <v>0</v>
      </c>
      <c r="W33" s="45">
        <f t="shared" si="4"/>
        <v>0</v>
      </c>
      <c r="X33" s="45">
        <f t="shared" si="2"/>
        <v>3334.61</v>
      </c>
    </row>
    <row r="34" spans="1:24" ht="24" x14ac:dyDescent="0.2">
      <c r="A34" s="7" t="s">
        <v>77</v>
      </c>
      <c r="B34" s="8" t="s">
        <v>52</v>
      </c>
      <c r="C34" s="7" t="s">
        <v>53</v>
      </c>
      <c r="D34" s="8" t="s">
        <v>18</v>
      </c>
      <c r="E34" s="8" t="s">
        <v>54</v>
      </c>
      <c r="F34" s="39">
        <v>389.6</v>
      </c>
      <c r="G34" s="39">
        <v>15.37</v>
      </c>
      <c r="H34" s="39">
        <v>18.82</v>
      </c>
      <c r="I34" s="40">
        <v>5988.15</v>
      </c>
      <c r="J34" s="41">
        <v>7332.27</v>
      </c>
      <c r="K34" s="41">
        <f t="shared" si="13"/>
        <v>389.6</v>
      </c>
      <c r="L34" s="2">
        <f>0</f>
        <v>0</v>
      </c>
      <c r="M34" s="2"/>
      <c r="N34" s="2"/>
      <c r="O34" s="2"/>
      <c r="P34" s="2"/>
      <c r="Q34" s="42">
        <f t="shared" si="5"/>
        <v>389.6</v>
      </c>
      <c r="R34" s="43">
        <f t="shared" si="14"/>
        <v>1</v>
      </c>
      <c r="S34" s="44"/>
      <c r="T34" s="44"/>
      <c r="U34" s="44">
        <f t="shared" si="3"/>
        <v>389.6</v>
      </c>
      <c r="V34" s="45">
        <f t="shared" si="1"/>
        <v>0</v>
      </c>
      <c r="W34" s="45">
        <f t="shared" si="4"/>
        <v>0</v>
      </c>
      <c r="X34" s="45">
        <f t="shared" si="2"/>
        <v>7332.27</v>
      </c>
    </row>
    <row r="35" spans="1:24" ht="24" x14ac:dyDescent="0.2">
      <c r="A35" s="7" t="s">
        <v>78</v>
      </c>
      <c r="B35" s="8" t="s">
        <v>65</v>
      </c>
      <c r="C35" s="7" t="s">
        <v>66</v>
      </c>
      <c r="D35" s="8" t="s">
        <v>18</v>
      </c>
      <c r="E35" s="8" t="s">
        <v>54</v>
      </c>
      <c r="F35" s="39">
        <v>212</v>
      </c>
      <c r="G35" s="39">
        <v>16.12</v>
      </c>
      <c r="H35" s="39">
        <v>19.739999999999998</v>
      </c>
      <c r="I35" s="40">
        <v>3417.44</v>
      </c>
      <c r="J35" s="41">
        <v>4184.88</v>
      </c>
      <c r="K35" s="41">
        <f t="shared" si="13"/>
        <v>212</v>
      </c>
      <c r="L35" s="2">
        <f>0</f>
        <v>0</v>
      </c>
      <c r="M35" s="2"/>
      <c r="N35" s="2"/>
      <c r="O35" s="2"/>
      <c r="P35" s="2"/>
      <c r="Q35" s="42">
        <f t="shared" si="5"/>
        <v>212</v>
      </c>
      <c r="R35" s="43">
        <f t="shared" si="14"/>
        <v>1</v>
      </c>
      <c r="S35" s="44"/>
      <c r="T35" s="44"/>
      <c r="U35" s="44">
        <f t="shared" si="3"/>
        <v>212</v>
      </c>
      <c r="V35" s="45">
        <f t="shared" si="1"/>
        <v>0</v>
      </c>
      <c r="W35" s="45">
        <f t="shared" si="4"/>
        <v>0</v>
      </c>
      <c r="X35" s="45">
        <f t="shared" si="2"/>
        <v>4184.88</v>
      </c>
    </row>
    <row r="36" spans="1:24" x14ac:dyDescent="0.2">
      <c r="A36" s="48" t="s">
        <v>79</v>
      </c>
      <c r="B36" s="269" t="s">
        <v>80</v>
      </c>
      <c r="C36" s="269"/>
      <c r="D36" s="269"/>
      <c r="E36" s="269"/>
      <c r="F36" s="269"/>
      <c r="G36" s="269"/>
      <c r="H36" s="269"/>
      <c r="I36" s="49">
        <v>25583.47</v>
      </c>
      <c r="J36" s="50">
        <v>31334.09</v>
      </c>
      <c r="K36" s="51"/>
      <c r="L36" s="51"/>
      <c r="M36" s="51"/>
      <c r="N36" s="51"/>
      <c r="O36" s="51"/>
      <c r="P36" s="51"/>
      <c r="Q36" s="42"/>
      <c r="R36" s="43"/>
      <c r="S36" s="44"/>
      <c r="T36" s="44"/>
      <c r="U36" s="44"/>
      <c r="V36" s="53">
        <f>SUM(V37:V43)</f>
        <v>0</v>
      </c>
      <c r="W36" s="53">
        <f t="shared" ref="W36" si="15">SUM(W37:W43)</f>
        <v>0</v>
      </c>
      <c r="X36" s="53">
        <f>SUM(X37:X43)</f>
        <v>31334.09</v>
      </c>
    </row>
    <row r="37" spans="1:24" ht="48" x14ac:dyDescent="0.2">
      <c r="A37" s="7" t="s">
        <v>81</v>
      </c>
      <c r="B37" s="8" t="s">
        <v>82</v>
      </c>
      <c r="C37" s="7" t="s">
        <v>83</v>
      </c>
      <c r="D37" s="8" t="s">
        <v>18</v>
      </c>
      <c r="E37" s="8" t="s">
        <v>19</v>
      </c>
      <c r="F37" s="39">
        <v>199.64</v>
      </c>
      <c r="G37" s="39">
        <v>41.17</v>
      </c>
      <c r="H37" s="39">
        <v>50.42</v>
      </c>
      <c r="I37" s="40">
        <v>8219.18</v>
      </c>
      <c r="J37" s="41">
        <v>10065.85</v>
      </c>
      <c r="K37" s="41">
        <v>199.64</v>
      </c>
      <c r="L37" s="2">
        <v>0</v>
      </c>
      <c r="M37" s="2"/>
      <c r="N37" s="2"/>
      <c r="O37" s="2"/>
      <c r="P37" s="2"/>
      <c r="Q37" s="42">
        <f t="shared" si="5"/>
        <v>199.64</v>
      </c>
      <c r="R37" s="43">
        <f t="shared" ref="R37:R43" si="16">Q37/F37</f>
        <v>1</v>
      </c>
      <c r="S37" s="44"/>
      <c r="T37" s="44"/>
      <c r="U37" s="44">
        <f t="shared" si="3"/>
        <v>199.64</v>
      </c>
      <c r="V37" s="45">
        <f t="shared" si="1"/>
        <v>0</v>
      </c>
      <c r="W37" s="45">
        <f>ROUND(H37*T37,2)</f>
        <v>0</v>
      </c>
      <c r="X37" s="45">
        <f>ROUND(H37*U37,2)</f>
        <v>10065.85</v>
      </c>
    </row>
    <row r="38" spans="1:24" ht="36" x14ac:dyDescent="0.2">
      <c r="A38" s="7" t="s">
        <v>84</v>
      </c>
      <c r="B38" s="8" t="s">
        <v>46</v>
      </c>
      <c r="C38" s="7" t="s">
        <v>47</v>
      </c>
      <c r="D38" s="8" t="s">
        <v>18</v>
      </c>
      <c r="E38" s="8" t="s">
        <v>29</v>
      </c>
      <c r="F38" s="39">
        <v>10.08</v>
      </c>
      <c r="G38" s="39">
        <v>451.82</v>
      </c>
      <c r="H38" s="39">
        <v>553.34</v>
      </c>
      <c r="I38" s="40">
        <v>4554.3500000000004</v>
      </c>
      <c r="J38" s="41">
        <v>5577.67</v>
      </c>
      <c r="K38" s="41">
        <v>10.08</v>
      </c>
      <c r="L38" s="2">
        <v>0</v>
      </c>
      <c r="M38" s="2"/>
      <c r="N38" s="2"/>
      <c r="O38" s="2"/>
      <c r="P38" s="2"/>
      <c r="Q38" s="42">
        <f t="shared" si="5"/>
        <v>10.08</v>
      </c>
      <c r="R38" s="43">
        <f t="shared" si="16"/>
        <v>1</v>
      </c>
      <c r="S38" s="44"/>
      <c r="T38" s="44"/>
      <c r="U38" s="44">
        <f t="shared" si="3"/>
        <v>10.08</v>
      </c>
      <c r="V38" s="45">
        <f t="shared" si="1"/>
        <v>0</v>
      </c>
      <c r="W38" s="45">
        <f t="shared" si="4"/>
        <v>0</v>
      </c>
      <c r="X38" s="45">
        <f t="shared" si="2"/>
        <v>5577.67</v>
      </c>
    </row>
    <row r="39" spans="1:24" ht="24" x14ac:dyDescent="0.2">
      <c r="A39" s="7" t="s">
        <v>85</v>
      </c>
      <c r="B39" s="8" t="s">
        <v>49</v>
      </c>
      <c r="C39" s="7" t="s">
        <v>50</v>
      </c>
      <c r="D39" s="8" t="s">
        <v>18</v>
      </c>
      <c r="E39" s="8" t="s">
        <v>29</v>
      </c>
      <c r="F39" s="39">
        <v>10.08</v>
      </c>
      <c r="G39" s="39">
        <v>205.96</v>
      </c>
      <c r="H39" s="39">
        <v>252.24</v>
      </c>
      <c r="I39" s="40">
        <v>2076.08</v>
      </c>
      <c r="J39" s="41">
        <v>2542.58</v>
      </c>
      <c r="K39" s="41">
        <v>10.08</v>
      </c>
      <c r="L39" s="2">
        <v>0</v>
      </c>
      <c r="M39" s="2"/>
      <c r="N39" s="2"/>
      <c r="O39" s="2"/>
      <c r="P39" s="2"/>
      <c r="Q39" s="42">
        <f t="shared" si="5"/>
        <v>10.08</v>
      </c>
      <c r="R39" s="43">
        <f t="shared" si="16"/>
        <v>1</v>
      </c>
      <c r="S39" s="44"/>
      <c r="T39" s="44"/>
      <c r="U39" s="44">
        <f t="shared" si="3"/>
        <v>10.08</v>
      </c>
      <c r="V39" s="45">
        <f t="shared" si="1"/>
        <v>0</v>
      </c>
      <c r="W39" s="45">
        <f t="shared" si="4"/>
        <v>0</v>
      </c>
      <c r="X39" s="45">
        <f t="shared" si="2"/>
        <v>2542.58</v>
      </c>
    </row>
    <row r="40" spans="1:24" ht="36" x14ac:dyDescent="0.2">
      <c r="A40" s="7" t="s">
        <v>86</v>
      </c>
      <c r="B40" s="8" t="s">
        <v>87</v>
      </c>
      <c r="C40" s="7" t="s">
        <v>88</v>
      </c>
      <c r="D40" s="8" t="s">
        <v>18</v>
      </c>
      <c r="E40" s="8" t="s">
        <v>54</v>
      </c>
      <c r="F40" s="39">
        <v>580.5</v>
      </c>
      <c r="G40" s="39">
        <v>11.83</v>
      </c>
      <c r="H40" s="39">
        <v>14.49</v>
      </c>
      <c r="I40" s="40">
        <v>6867.32</v>
      </c>
      <c r="J40" s="41">
        <v>8411.4500000000007</v>
      </c>
      <c r="K40" s="41">
        <v>580.5</v>
      </c>
      <c r="L40" s="2">
        <v>0</v>
      </c>
      <c r="M40" s="2"/>
      <c r="N40" s="2"/>
      <c r="O40" s="2"/>
      <c r="P40" s="2"/>
      <c r="Q40" s="42">
        <f t="shared" si="5"/>
        <v>580.5</v>
      </c>
      <c r="R40" s="43">
        <f t="shared" si="16"/>
        <v>1</v>
      </c>
      <c r="S40" s="44"/>
      <c r="T40" s="44"/>
      <c r="U40" s="44">
        <f t="shared" si="3"/>
        <v>580.5</v>
      </c>
      <c r="V40" s="45">
        <f t="shared" si="1"/>
        <v>0</v>
      </c>
      <c r="W40" s="45">
        <f t="shared" si="4"/>
        <v>0</v>
      </c>
      <c r="X40" s="45">
        <f t="shared" si="2"/>
        <v>8411.4500000000007</v>
      </c>
    </row>
    <row r="41" spans="1:24" ht="36" x14ac:dyDescent="0.2">
      <c r="A41" s="7" t="s">
        <v>89</v>
      </c>
      <c r="B41" s="8" t="s">
        <v>90</v>
      </c>
      <c r="C41" s="7" t="s">
        <v>91</v>
      </c>
      <c r="D41" s="8" t="s">
        <v>18</v>
      </c>
      <c r="E41" s="8" t="s">
        <v>54</v>
      </c>
      <c r="F41" s="39">
        <v>59.1</v>
      </c>
      <c r="G41" s="39">
        <v>10.09</v>
      </c>
      <c r="H41" s="39">
        <v>12.36</v>
      </c>
      <c r="I41" s="40">
        <v>596.32000000000005</v>
      </c>
      <c r="J41" s="41">
        <v>730.48</v>
      </c>
      <c r="K41" s="41">
        <v>59.1</v>
      </c>
      <c r="L41" s="2">
        <v>0</v>
      </c>
      <c r="M41" s="2"/>
      <c r="N41" s="2"/>
      <c r="O41" s="2"/>
      <c r="P41" s="2"/>
      <c r="Q41" s="42">
        <f t="shared" si="5"/>
        <v>59.1</v>
      </c>
      <c r="R41" s="43">
        <f t="shared" si="16"/>
        <v>1</v>
      </c>
      <c r="S41" s="44"/>
      <c r="T41" s="44"/>
      <c r="U41" s="44">
        <f t="shared" si="3"/>
        <v>59.1</v>
      </c>
      <c r="V41" s="45">
        <f t="shared" si="1"/>
        <v>0</v>
      </c>
      <c r="W41" s="45">
        <f t="shared" si="4"/>
        <v>0</v>
      </c>
      <c r="X41" s="45">
        <f t="shared" si="2"/>
        <v>730.48</v>
      </c>
    </row>
    <row r="42" spans="1:24" ht="36" x14ac:dyDescent="0.2">
      <c r="A42" s="7" t="s">
        <v>92</v>
      </c>
      <c r="B42" s="8" t="s">
        <v>93</v>
      </c>
      <c r="C42" s="7" t="s">
        <v>94</v>
      </c>
      <c r="D42" s="8" t="s">
        <v>18</v>
      </c>
      <c r="E42" s="8" t="s">
        <v>54</v>
      </c>
      <c r="F42" s="39">
        <v>22.7</v>
      </c>
      <c r="G42" s="39">
        <v>9.86</v>
      </c>
      <c r="H42" s="39">
        <v>12.08</v>
      </c>
      <c r="I42" s="40">
        <v>223.82</v>
      </c>
      <c r="J42" s="41">
        <v>274.22000000000003</v>
      </c>
      <c r="K42" s="41">
        <v>22.7</v>
      </c>
      <c r="L42" s="2">
        <v>0</v>
      </c>
      <c r="M42" s="2"/>
      <c r="N42" s="2"/>
      <c r="O42" s="2"/>
      <c r="P42" s="2"/>
      <c r="Q42" s="42">
        <f t="shared" si="5"/>
        <v>22.7</v>
      </c>
      <c r="R42" s="43">
        <f t="shared" si="16"/>
        <v>1</v>
      </c>
      <c r="S42" s="44"/>
      <c r="T42" s="44"/>
      <c r="U42" s="44">
        <f t="shared" si="3"/>
        <v>22.7</v>
      </c>
      <c r="V42" s="45">
        <f t="shared" si="1"/>
        <v>0</v>
      </c>
      <c r="W42" s="45">
        <f t="shared" si="4"/>
        <v>0</v>
      </c>
      <c r="X42" s="45">
        <f t="shared" si="2"/>
        <v>274.22000000000003</v>
      </c>
    </row>
    <row r="43" spans="1:24" ht="36" x14ac:dyDescent="0.2">
      <c r="A43" s="7" t="s">
        <v>95</v>
      </c>
      <c r="B43" s="8" t="s">
        <v>96</v>
      </c>
      <c r="C43" s="7" t="s">
        <v>97</v>
      </c>
      <c r="D43" s="8" t="s">
        <v>18</v>
      </c>
      <c r="E43" s="8" t="s">
        <v>54</v>
      </c>
      <c r="F43" s="39">
        <v>224</v>
      </c>
      <c r="G43" s="39">
        <v>13.6</v>
      </c>
      <c r="H43" s="39">
        <v>16.66</v>
      </c>
      <c r="I43" s="40">
        <v>3046.4</v>
      </c>
      <c r="J43" s="41">
        <v>3731.84</v>
      </c>
      <c r="K43" s="41">
        <v>224</v>
      </c>
      <c r="L43" s="2">
        <v>0</v>
      </c>
      <c r="M43" s="2"/>
      <c r="N43" s="2"/>
      <c r="O43" s="2"/>
      <c r="P43" s="2"/>
      <c r="Q43" s="42">
        <f t="shared" si="5"/>
        <v>224</v>
      </c>
      <c r="R43" s="43">
        <f t="shared" si="16"/>
        <v>1</v>
      </c>
      <c r="S43" s="44"/>
      <c r="T43" s="44"/>
      <c r="U43" s="44">
        <f t="shared" si="3"/>
        <v>224</v>
      </c>
      <c r="V43" s="45">
        <f t="shared" si="1"/>
        <v>0</v>
      </c>
      <c r="W43" s="45">
        <f t="shared" si="4"/>
        <v>0</v>
      </c>
      <c r="X43" s="45">
        <f t="shared" si="2"/>
        <v>3731.84</v>
      </c>
    </row>
    <row r="44" spans="1:24" x14ac:dyDescent="0.2">
      <c r="A44" s="48" t="s">
        <v>98</v>
      </c>
      <c r="B44" s="269" t="s">
        <v>99</v>
      </c>
      <c r="C44" s="269"/>
      <c r="D44" s="269"/>
      <c r="E44" s="269"/>
      <c r="F44" s="269"/>
      <c r="G44" s="269"/>
      <c r="H44" s="269"/>
      <c r="I44" s="49">
        <v>47244.62</v>
      </c>
      <c r="J44" s="50">
        <v>57860.77</v>
      </c>
      <c r="K44" s="51"/>
      <c r="L44" s="51"/>
      <c r="M44" s="51"/>
      <c r="N44" s="51"/>
      <c r="O44" s="51"/>
      <c r="P44" s="51"/>
      <c r="Q44" s="42"/>
      <c r="R44" s="43"/>
      <c r="S44" s="44"/>
      <c r="T44" s="44"/>
      <c r="U44" s="44"/>
      <c r="V44" s="53">
        <f>SUM(V45:V53)</f>
        <v>0</v>
      </c>
      <c r="W44" s="53">
        <f t="shared" ref="W44" si="17">SUM(W45:W53)</f>
        <v>0</v>
      </c>
      <c r="X44" s="53">
        <f>SUM(X45:X53)</f>
        <v>57860.77</v>
      </c>
    </row>
    <row r="45" spans="1:24" ht="24" x14ac:dyDescent="0.2">
      <c r="A45" s="7" t="s">
        <v>100</v>
      </c>
      <c r="B45" s="8" t="s">
        <v>101</v>
      </c>
      <c r="C45" s="7" t="s">
        <v>102</v>
      </c>
      <c r="D45" s="8" t="s">
        <v>18</v>
      </c>
      <c r="E45" s="8" t="s">
        <v>19</v>
      </c>
      <c r="F45" s="39">
        <v>264.23</v>
      </c>
      <c r="G45" s="39">
        <v>96.01</v>
      </c>
      <c r="H45" s="39">
        <v>117.58</v>
      </c>
      <c r="I45" s="40">
        <v>25368.720000000001</v>
      </c>
      <c r="J45" s="41">
        <v>31068.16</v>
      </c>
      <c r="K45" s="41">
        <v>264.23</v>
      </c>
      <c r="L45" s="2">
        <v>0</v>
      </c>
      <c r="M45" s="2"/>
      <c r="N45" s="2"/>
      <c r="O45" s="2"/>
      <c r="P45" s="2"/>
      <c r="Q45" s="42">
        <f t="shared" si="5"/>
        <v>264.23</v>
      </c>
      <c r="R45" s="43">
        <f t="shared" ref="R45:R53" si="18">Q45/F45</f>
        <v>1</v>
      </c>
      <c r="S45" s="44"/>
      <c r="T45" s="44"/>
      <c r="U45" s="44">
        <f t="shared" si="3"/>
        <v>264.23</v>
      </c>
      <c r="V45" s="45">
        <f t="shared" si="1"/>
        <v>0</v>
      </c>
      <c r="W45" s="45">
        <f t="shared" si="4"/>
        <v>0</v>
      </c>
      <c r="X45" s="45">
        <f t="shared" si="2"/>
        <v>31068.16</v>
      </c>
    </row>
    <row r="46" spans="1:24" ht="36" x14ac:dyDescent="0.2">
      <c r="A46" s="7" t="s">
        <v>103</v>
      </c>
      <c r="B46" s="8" t="s">
        <v>46</v>
      </c>
      <c r="C46" s="7" t="s">
        <v>47</v>
      </c>
      <c r="D46" s="8" t="s">
        <v>18</v>
      </c>
      <c r="E46" s="8" t="s">
        <v>29</v>
      </c>
      <c r="F46" s="39">
        <v>16.489999999999998</v>
      </c>
      <c r="G46" s="39">
        <v>451.82</v>
      </c>
      <c r="H46" s="39">
        <v>553.34</v>
      </c>
      <c r="I46" s="40">
        <v>7450.51</v>
      </c>
      <c r="J46" s="41">
        <v>9124.58</v>
      </c>
      <c r="K46" s="41">
        <v>16.489999999999998</v>
      </c>
      <c r="L46" s="2">
        <v>0</v>
      </c>
      <c r="M46" s="2"/>
      <c r="N46" s="2"/>
      <c r="O46" s="2"/>
      <c r="P46" s="2"/>
      <c r="Q46" s="42">
        <f t="shared" si="5"/>
        <v>16.489999999999998</v>
      </c>
      <c r="R46" s="43">
        <f t="shared" si="18"/>
        <v>1</v>
      </c>
      <c r="S46" s="44"/>
      <c r="T46" s="44"/>
      <c r="U46" s="44">
        <f t="shared" si="3"/>
        <v>16.489999999999998</v>
      </c>
      <c r="V46" s="45">
        <f t="shared" si="1"/>
        <v>0</v>
      </c>
      <c r="W46" s="45">
        <f t="shared" si="4"/>
        <v>0</v>
      </c>
      <c r="X46" s="45">
        <f t="shared" si="2"/>
        <v>9124.58</v>
      </c>
    </row>
    <row r="47" spans="1:24" ht="24" x14ac:dyDescent="0.2">
      <c r="A47" s="7" t="s">
        <v>104</v>
      </c>
      <c r="B47" s="8" t="s">
        <v>49</v>
      </c>
      <c r="C47" s="7" t="s">
        <v>50</v>
      </c>
      <c r="D47" s="8" t="s">
        <v>18</v>
      </c>
      <c r="E47" s="8" t="s">
        <v>29</v>
      </c>
      <c r="F47" s="39">
        <v>16.489999999999998</v>
      </c>
      <c r="G47" s="39">
        <v>205.96</v>
      </c>
      <c r="H47" s="39">
        <v>252.24</v>
      </c>
      <c r="I47" s="40">
        <v>3396.28</v>
      </c>
      <c r="J47" s="41">
        <v>4159.4399999999996</v>
      </c>
      <c r="K47" s="41">
        <v>16.489999999999998</v>
      </c>
      <c r="L47" s="2">
        <v>0</v>
      </c>
      <c r="M47" s="2"/>
      <c r="N47" s="2"/>
      <c r="O47" s="2"/>
      <c r="P47" s="2"/>
      <c r="Q47" s="42">
        <f t="shared" si="5"/>
        <v>16.489999999999998</v>
      </c>
      <c r="R47" s="43">
        <f t="shared" si="18"/>
        <v>1</v>
      </c>
      <c r="S47" s="44"/>
      <c r="T47" s="44"/>
      <c r="U47" s="44">
        <f t="shared" si="3"/>
        <v>16.489999999999998</v>
      </c>
      <c r="V47" s="45">
        <f t="shared" si="1"/>
        <v>0</v>
      </c>
      <c r="W47" s="45">
        <f t="shared" si="4"/>
        <v>0</v>
      </c>
      <c r="X47" s="45">
        <f t="shared" si="2"/>
        <v>4159.4399999999996</v>
      </c>
    </row>
    <row r="48" spans="1:24" ht="36" x14ac:dyDescent="0.2">
      <c r="A48" s="7" t="s">
        <v>105</v>
      </c>
      <c r="B48" s="8" t="s">
        <v>106</v>
      </c>
      <c r="C48" s="7" t="s">
        <v>107</v>
      </c>
      <c r="D48" s="8" t="s">
        <v>18</v>
      </c>
      <c r="E48" s="8" t="s">
        <v>54</v>
      </c>
      <c r="F48" s="39">
        <v>285.3</v>
      </c>
      <c r="G48" s="39">
        <v>13.41</v>
      </c>
      <c r="H48" s="39">
        <v>16.420000000000002</v>
      </c>
      <c r="I48" s="40">
        <v>3825.87</v>
      </c>
      <c r="J48" s="41">
        <v>4684.63</v>
      </c>
      <c r="K48" s="41">
        <v>285.3</v>
      </c>
      <c r="L48" s="2">
        <v>0</v>
      </c>
      <c r="M48" s="2"/>
      <c r="N48" s="2"/>
      <c r="O48" s="2"/>
      <c r="P48" s="2"/>
      <c r="Q48" s="42">
        <f t="shared" si="5"/>
        <v>285.3</v>
      </c>
      <c r="R48" s="43">
        <f t="shared" si="18"/>
        <v>1</v>
      </c>
      <c r="S48" s="44"/>
      <c r="T48" s="44"/>
      <c r="U48" s="44">
        <f t="shared" si="3"/>
        <v>285.3</v>
      </c>
      <c r="V48" s="45">
        <f t="shared" si="1"/>
        <v>0</v>
      </c>
      <c r="W48" s="45">
        <f t="shared" si="4"/>
        <v>0</v>
      </c>
      <c r="X48" s="45">
        <f t="shared" si="2"/>
        <v>4684.63</v>
      </c>
    </row>
    <row r="49" spans="1:24" ht="36" x14ac:dyDescent="0.2">
      <c r="A49" s="7" t="s">
        <v>108</v>
      </c>
      <c r="B49" s="8" t="s">
        <v>109</v>
      </c>
      <c r="C49" s="7" t="s">
        <v>110</v>
      </c>
      <c r="D49" s="8" t="s">
        <v>18</v>
      </c>
      <c r="E49" s="8" t="s">
        <v>54</v>
      </c>
      <c r="F49" s="39">
        <v>174.4</v>
      </c>
      <c r="G49" s="39">
        <v>13.02</v>
      </c>
      <c r="H49" s="39">
        <v>15.95</v>
      </c>
      <c r="I49" s="40">
        <v>2270.69</v>
      </c>
      <c r="J49" s="41">
        <v>2781.68</v>
      </c>
      <c r="K49" s="41">
        <v>174.4</v>
      </c>
      <c r="L49" s="2">
        <v>0</v>
      </c>
      <c r="M49" s="2"/>
      <c r="N49" s="2"/>
      <c r="O49" s="2"/>
      <c r="P49" s="2"/>
      <c r="Q49" s="42">
        <f t="shared" si="5"/>
        <v>174.4</v>
      </c>
      <c r="R49" s="43">
        <f t="shared" si="18"/>
        <v>1</v>
      </c>
      <c r="S49" s="44"/>
      <c r="T49" s="44"/>
      <c r="U49" s="44">
        <f t="shared" si="3"/>
        <v>174.4</v>
      </c>
      <c r="V49" s="45">
        <f t="shared" si="1"/>
        <v>0</v>
      </c>
      <c r="W49" s="45">
        <f t="shared" si="4"/>
        <v>0</v>
      </c>
      <c r="X49" s="45">
        <f t="shared" si="2"/>
        <v>2781.68</v>
      </c>
    </row>
    <row r="50" spans="1:24" ht="36" x14ac:dyDescent="0.2">
      <c r="A50" s="7" t="s">
        <v>111</v>
      </c>
      <c r="B50" s="8" t="s">
        <v>87</v>
      </c>
      <c r="C50" s="7" t="s">
        <v>88</v>
      </c>
      <c r="D50" s="8" t="s">
        <v>18</v>
      </c>
      <c r="E50" s="8" t="s">
        <v>54</v>
      </c>
      <c r="F50" s="39">
        <v>64.900000000000006</v>
      </c>
      <c r="G50" s="39">
        <v>11.83</v>
      </c>
      <c r="H50" s="39">
        <v>14.49</v>
      </c>
      <c r="I50" s="40">
        <v>767.77</v>
      </c>
      <c r="J50" s="41">
        <v>940.4</v>
      </c>
      <c r="K50" s="41">
        <v>64.900000000000006</v>
      </c>
      <c r="L50" s="2">
        <v>0</v>
      </c>
      <c r="M50" s="2"/>
      <c r="N50" s="2"/>
      <c r="O50" s="2"/>
      <c r="P50" s="2"/>
      <c r="Q50" s="42">
        <f t="shared" si="5"/>
        <v>64.900000000000006</v>
      </c>
      <c r="R50" s="43">
        <f t="shared" si="18"/>
        <v>1</v>
      </c>
      <c r="S50" s="44"/>
      <c r="T50" s="44"/>
      <c r="U50" s="44">
        <f t="shared" si="3"/>
        <v>64.900000000000006</v>
      </c>
      <c r="V50" s="45">
        <f t="shared" si="1"/>
        <v>0</v>
      </c>
      <c r="W50" s="45">
        <f t="shared" si="4"/>
        <v>0</v>
      </c>
      <c r="X50" s="45">
        <f t="shared" si="2"/>
        <v>940.4</v>
      </c>
    </row>
    <row r="51" spans="1:24" ht="36" x14ac:dyDescent="0.2">
      <c r="A51" s="7" t="s">
        <v>112</v>
      </c>
      <c r="B51" s="8" t="s">
        <v>90</v>
      </c>
      <c r="C51" s="7" t="s">
        <v>91</v>
      </c>
      <c r="D51" s="8" t="s">
        <v>18</v>
      </c>
      <c r="E51" s="8" t="s">
        <v>54</v>
      </c>
      <c r="F51" s="39">
        <v>18.7</v>
      </c>
      <c r="G51" s="39">
        <v>10.09</v>
      </c>
      <c r="H51" s="39">
        <v>12.36</v>
      </c>
      <c r="I51" s="40">
        <v>188.68</v>
      </c>
      <c r="J51" s="41">
        <v>231.13</v>
      </c>
      <c r="K51" s="41">
        <v>18.7</v>
      </c>
      <c r="L51" s="2">
        <v>0</v>
      </c>
      <c r="M51" s="2"/>
      <c r="N51" s="2"/>
      <c r="O51" s="2"/>
      <c r="P51" s="2"/>
      <c r="Q51" s="42">
        <f t="shared" si="5"/>
        <v>18.7</v>
      </c>
      <c r="R51" s="43">
        <f t="shared" si="18"/>
        <v>1</v>
      </c>
      <c r="S51" s="44"/>
      <c r="T51" s="44"/>
      <c r="U51" s="44">
        <f t="shared" si="3"/>
        <v>18.7</v>
      </c>
      <c r="V51" s="45">
        <f t="shared" si="1"/>
        <v>0</v>
      </c>
      <c r="W51" s="45">
        <f t="shared" si="4"/>
        <v>0</v>
      </c>
      <c r="X51" s="45">
        <f t="shared" si="2"/>
        <v>231.13</v>
      </c>
    </row>
    <row r="52" spans="1:24" ht="36" x14ac:dyDescent="0.2">
      <c r="A52" s="7" t="s">
        <v>113</v>
      </c>
      <c r="B52" s="8" t="s">
        <v>93</v>
      </c>
      <c r="C52" s="7" t="s">
        <v>94</v>
      </c>
      <c r="D52" s="8" t="s">
        <v>18</v>
      </c>
      <c r="E52" s="8" t="s">
        <v>54</v>
      </c>
      <c r="F52" s="39">
        <v>17.600000000000001</v>
      </c>
      <c r="G52" s="39">
        <v>9.86</v>
      </c>
      <c r="H52" s="39">
        <v>12.08</v>
      </c>
      <c r="I52" s="40">
        <v>173.54</v>
      </c>
      <c r="J52" s="41">
        <v>212.61</v>
      </c>
      <c r="K52" s="41">
        <v>17.600000000000001</v>
      </c>
      <c r="L52" s="2">
        <v>0</v>
      </c>
      <c r="M52" s="2"/>
      <c r="N52" s="2"/>
      <c r="O52" s="2"/>
      <c r="P52" s="2"/>
      <c r="Q52" s="42">
        <f t="shared" si="5"/>
        <v>17.600000000000001</v>
      </c>
      <c r="R52" s="43">
        <f t="shared" si="18"/>
        <v>1</v>
      </c>
      <c r="S52" s="44"/>
      <c r="T52" s="44"/>
      <c r="U52" s="44">
        <f t="shared" si="3"/>
        <v>17.600000000000001</v>
      </c>
      <c r="V52" s="45">
        <f t="shared" si="1"/>
        <v>0</v>
      </c>
      <c r="W52" s="45">
        <f t="shared" si="4"/>
        <v>0</v>
      </c>
      <c r="X52" s="45">
        <f t="shared" si="2"/>
        <v>212.61</v>
      </c>
    </row>
    <row r="53" spans="1:24" ht="36" x14ac:dyDescent="0.2">
      <c r="A53" s="7" t="s">
        <v>114</v>
      </c>
      <c r="B53" s="8" t="s">
        <v>96</v>
      </c>
      <c r="C53" s="7" t="s">
        <v>97</v>
      </c>
      <c r="D53" s="8" t="s">
        <v>18</v>
      </c>
      <c r="E53" s="8" t="s">
        <v>54</v>
      </c>
      <c r="F53" s="39">
        <v>279.60000000000002</v>
      </c>
      <c r="G53" s="39">
        <v>13.6</v>
      </c>
      <c r="H53" s="39">
        <v>16.66</v>
      </c>
      <c r="I53" s="40">
        <v>3802.56</v>
      </c>
      <c r="J53" s="41">
        <v>4658.1400000000003</v>
      </c>
      <c r="K53" s="41">
        <v>279.60000000000002</v>
      </c>
      <c r="L53" s="2">
        <v>0</v>
      </c>
      <c r="M53" s="2"/>
      <c r="N53" s="2"/>
      <c r="O53" s="2"/>
      <c r="P53" s="2"/>
      <c r="Q53" s="42">
        <f t="shared" si="5"/>
        <v>279.60000000000002</v>
      </c>
      <c r="R53" s="43">
        <f t="shared" si="18"/>
        <v>1</v>
      </c>
      <c r="S53" s="44"/>
      <c r="T53" s="44"/>
      <c r="U53" s="44">
        <f t="shared" si="3"/>
        <v>279.60000000000002</v>
      </c>
      <c r="V53" s="45">
        <f t="shared" si="1"/>
        <v>0</v>
      </c>
      <c r="W53" s="45">
        <f t="shared" si="4"/>
        <v>0</v>
      </c>
      <c r="X53" s="45">
        <f t="shared" si="2"/>
        <v>4658.1400000000003</v>
      </c>
    </row>
    <row r="54" spans="1:24" x14ac:dyDescent="0.2">
      <c r="A54" s="48" t="s">
        <v>115</v>
      </c>
      <c r="B54" s="269" t="s">
        <v>116</v>
      </c>
      <c r="C54" s="269"/>
      <c r="D54" s="269"/>
      <c r="E54" s="269"/>
      <c r="F54" s="269"/>
      <c r="G54" s="269"/>
      <c r="H54" s="269"/>
      <c r="I54" s="49">
        <v>5236.04</v>
      </c>
      <c r="J54" s="50">
        <v>6412.46</v>
      </c>
      <c r="K54" s="51"/>
      <c r="L54" s="51"/>
      <c r="M54" s="51"/>
      <c r="N54" s="51"/>
      <c r="O54" s="51"/>
      <c r="P54" s="51"/>
      <c r="Q54" s="42"/>
      <c r="R54" s="43"/>
      <c r="S54" s="44"/>
      <c r="T54" s="44"/>
      <c r="U54" s="44"/>
      <c r="V54" s="53">
        <f>SUM(V55:V57)</f>
        <v>0</v>
      </c>
      <c r="W54" s="53">
        <f t="shared" ref="W54" si="19">SUM(W55:W57)</f>
        <v>0</v>
      </c>
      <c r="X54" s="53">
        <f>SUM(X55:X57)</f>
        <v>6412.46</v>
      </c>
    </row>
    <row r="55" spans="1:24" ht="24" x14ac:dyDescent="0.2">
      <c r="A55" s="7" t="s">
        <v>117</v>
      </c>
      <c r="B55" s="8" t="s">
        <v>118</v>
      </c>
      <c r="C55" s="7" t="s">
        <v>119</v>
      </c>
      <c r="D55" s="8" t="s">
        <v>18</v>
      </c>
      <c r="E55" s="8" t="s">
        <v>23</v>
      </c>
      <c r="F55" s="39">
        <v>55.16</v>
      </c>
      <c r="G55" s="39">
        <v>42.21</v>
      </c>
      <c r="H55" s="39">
        <v>51.69</v>
      </c>
      <c r="I55" s="40">
        <v>2328.3000000000002</v>
      </c>
      <c r="J55" s="41">
        <v>2851.22</v>
      </c>
      <c r="K55" s="41">
        <f>0</f>
        <v>0</v>
      </c>
      <c r="L55" s="2">
        <f>F55</f>
        <v>55.16</v>
      </c>
      <c r="M55" s="2"/>
      <c r="N55" s="2"/>
      <c r="O55" s="2"/>
      <c r="P55" s="2"/>
      <c r="Q55" s="42">
        <f t="shared" si="5"/>
        <v>55.16</v>
      </c>
      <c r="R55" s="43">
        <f>Q55/F55</f>
        <v>1</v>
      </c>
      <c r="S55" s="44"/>
      <c r="T55" s="44"/>
      <c r="U55" s="44">
        <f t="shared" si="3"/>
        <v>55.16</v>
      </c>
      <c r="V55" s="45">
        <f t="shared" si="1"/>
        <v>0</v>
      </c>
      <c r="W55" s="45">
        <f t="shared" si="4"/>
        <v>0</v>
      </c>
      <c r="X55" s="45">
        <f t="shared" si="2"/>
        <v>2851.22</v>
      </c>
    </row>
    <row r="56" spans="1:24" ht="24" x14ac:dyDescent="0.2">
      <c r="A56" s="7" t="s">
        <v>120</v>
      </c>
      <c r="B56" s="8" t="s">
        <v>121</v>
      </c>
      <c r="C56" s="7" t="s">
        <v>122</v>
      </c>
      <c r="D56" s="8" t="s">
        <v>18</v>
      </c>
      <c r="E56" s="8" t="s">
        <v>23</v>
      </c>
      <c r="F56" s="39">
        <v>20.16</v>
      </c>
      <c r="G56" s="39">
        <v>31.04</v>
      </c>
      <c r="H56" s="39">
        <v>38.01</v>
      </c>
      <c r="I56" s="40">
        <v>625.77</v>
      </c>
      <c r="J56" s="41">
        <v>766.28</v>
      </c>
      <c r="K56" s="41">
        <f>0</f>
        <v>0</v>
      </c>
      <c r="L56" s="2">
        <f t="shared" ref="L56:L57" si="20">F56</f>
        <v>20.16</v>
      </c>
      <c r="M56" s="2"/>
      <c r="N56" s="2"/>
      <c r="O56" s="2"/>
      <c r="P56" s="2"/>
      <c r="Q56" s="42">
        <f t="shared" si="5"/>
        <v>20.16</v>
      </c>
      <c r="R56" s="43">
        <f>Q56/F56</f>
        <v>1</v>
      </c>
      <c r="S56" s="44"/>
      <c r="T56" s="44"/>
      <c r="U56" s="44">
        <f t="shared" si="3"/>
        <v>20.16</v>
      </c>
      <c r="V56" s="45">
        <f t="shared" si="1"/>
        <v>0</v>
      </c>
      <c r="W56" s="45">
        <f t="shared" si="4"/>
        <v>0</v>
      </c>
      <c r="X56" s="45">
        <f t="shared" si="2"/>
        <v>766.28</v>
      </c>
    </row>
    <row r="57" spans="1:24" ht="24" x14ac:dyDescent="0.2">
      <c r="A57" s="7" t="s">
        <v>123</v>
      </c>
      <c r="B57" s="8" t="s">
        <v>124</v>
      </c>
      <c r="C57" s="7" t="s">
        <v>125</v>
      </c>
      <c r="D57" s="8" t="s">
        <v>18</v>
      </c>
      <c r="E57" s="8" t="s">
        <v>23</v>
      </c>
      <c r="F57" s="39">
        <v>55.16</v>
      </c>
      <c r="G57" s="39">
        <v>41.37</v>
      </c>
      <c r="H57" s="39">
        <v>50.67</v>
      </c>
      <c r="I57" s="40">
        <v>2281.9699999999998</v>
      </c>
      <c r="J57" s="41">
        <v>2794.96</v>
      </c>
      <c r="K57" s="41">
        <f>0</f>
        <v>0</v>
      </c>
      <c r="L57" s="2">
        <f t="shared" si="20"/>
        <v>55.16</v>
      </c>
      <c r="M57" s="2"/>
      <c r="N57" s="2"/>
      <c r="O57" s="2"/>
      <c r="P57" s="2"/>
      <c r="Q57" s="42">
        <f t="shared" si="5"/>
        <v>55.16</v>
      </c>
      <c r="R57" s="43">
        <f>Q57/F57</f>
        <v>1</v>
      </c>
      <c r="S57" s="44"/>
      <c r="T57" s="44"/>
      <c r="U57" s="44">
        <f t="shared" si="3"/>
        <v>55.16</v>
      </c>
      <c r="V57" s="45">
        <f t="shared" si="1"/>
        <v>0</v>
      </c>
      <c r="W57" s="45">
        <f t="shared" si="4"/>
        <v>0</v>
      </c>
      <c r="X57" s="45">
        <f t="shared" si="2"/>
        <v>2794.96</v>
      </c>
    </row>
    <row r="58" spans="1:24" x14ac:dyDescent="0.2">
      <c r="A58" s="48" t="s">
        <v>126</v>
      </c>
      <c r="B58" s="269" t="s">
        <v>127</v>
      </c>
      <c r="C58" s="269"/>
      <c r="D58" s="269"/>
      <c r="E58" s="269"/>
      <c r="F58" s="269"/>
      <c r="G58" s="269"/>
      <c r="H58" s="269"/>
      <c r="I58" s="49">
        <v>88756.13</v>
      </c>
      <c r="J58" s="50">
        <v>108703.47</v>
      </c>
      <c r="K58" s="51"/>
      <c r="L58" s="51"/>
      <c r="M58" s="51"/>
      <c r="N58" s="51"/>
      <c r="O58" s="51"/>
      <c r="P58" s="51"/>
      <c r="Q58" s="42"/>
      <c r="R58" s="43"/>
      <c r="S58" s="44"/>
      <c r="T58" s="44"/>
      <c r="U58" s="44"/>
      <c r="V58" s="53">
        <f>SUM(V59:V65)</f>
        <v>0</v>
      </c>
      <c r="W58" s="53">
        <f>SUM(W59:W65)</f>
        <v>17947.400000000001</v>
      </c>
      <c r="X58" s="53">
        <f>SUM(X59:X65)</f>
        <v>90756.07</v>
      </c>
    </row>
    <row r="59" spans="1:24" ht="36" x14ac:dyDescent="0.2">
      <c r="A59" s="7" t="s">
        <v>128</v>
      </c>
      <c r="B59" s="8" t="s">
        <v>129</v>
      </c>
      <c r="C59" s="7" t="s">
        <v>130</v>
      </c>
      <c r="D59" s="8" t="s">
        <v>18</v>
      </c>
      <c r="E59" s="8" t="s">
        <v>19</v>
      </c>
      <c r="F59" s="39">
        <v>395.11</v>
      </c>
      <c r="G59" s="39">
        <v>149.19</v>
      </c>
      <c r="H59" s="39">
        <v>182.71</v>
      </c>
      <c r="I59" s="40">
        <v>58946.46</v>
      </c>
      <c r="J59" s="41">
        <v>72190.55</v>
      </c>
      <c r="K59" s="41">
        <f>0</f>
        <v>0</v>
      </c>
      <c r="L59" s="2">
        <v>0</v>
      </c>
      <c r="M59" s="2"/>
      <c r="N59" s="2" t="e">
        <f>#REF!</f>
        <v>#REF!</v>
      </c>
      <c r="O59" s="2"/>
      <c r="P59" s="2"/>
      <c r="Q59" s="42">
        <v>385.90188999999998</v>
      </c>
      <c r="R59" s="43">
        <f t="shared" ref="R59:R65" si="21">Q59/F59</f>
        <v>0.97669481916428325</v>
      </c>
      <c r="S59" s="44"/>
      <c r="T59" s="44"/>
      <c r="U59" s="44">
        <f t="shared" si="3"/>
        <v>395.11</v>
      </c>
      <c r="V59" s="45">
        <f t="shared" si="1"/>
        <v>0</v>
      </c>
      <c r="W59" s="45">
        <f t="shared" si="4"/>
        <v>0</v>
      </c>
      <c r="X59" s="45">
        <f t="shared" si="2"/>
        <v>72190.55</v>
      </c>
    </row>
    <row r="60" spans="1:24" ht="24" x14ac:dyDescent="0.2">
      <c r="A60" s="7" t="s">
        <v>131</v>
      </c>
      <c r="B60" s="8" t="s">
        <v>101</v>
      </c>
      <c r="C60" s="7" t="s">
        <v>102</v>
      </c>
      <c r="D60" s="8" t="s">
        <v>18</v>
      </c>
      <c r="E60" s="8" t="s">
        <v>19</v>
      </c>
      <c r="F60" s="39">
        <v>54.1</v>
      </c>
      <c r="G60" s="39">
        <v>96.01</v>
      </c>
      <c r="H60" s="39">
        <v>117.58</v>
      </c>
      <c r="I60" s="40">
        <v>5194.1400000000003</v>
      </c>
      <c r="J60" s="41">
        <v>6361.08</v>
      </c>
      <c r="K60" s="41">
        <f>0</f>
        <v>0</v>
      </c>
      <c r="L60" s="2">
        <v>0</v>
      </c>
      <c r="M60" s="2"/>
      <c r="N60" s="2"/>
      <c r="O60" s="2">
        <v>54.1</v>
      </c>
      <c r="P60" s="2"/>
      <c r="Q60" s="42">
        <f t="shared" si="5"/>
        <v>54.1</v>
      </c>
      <c r="R60" s="43">
        <f t="shared" si="21"/>
        <v>1</v>
      </c>
      <c r="S60" s="44"/>
      <c r="T60" s="44"/>
      <c r="U60" s="44">
        <f t="shared" si="3"/>
        <v>54.1</v>
      </c>
      <c r="V60" s="45">
        <f t="shared" si="1"/>
        <v>0</v>
      </c>
      <c r="W60" s="45">
        <f t="shared" si="4"/>
        <v>0</v>
      </c>
      <c r="X60" s="45">
        <f t="shared" si="2"/>
        <v>6361.08</v>
      </c>
    </row>
    <row r="61" spans="1:24" ht="36" x14ac:dyDescent="0.2">
      <c r="A61" s="7" t="s">
        <v>132</v>
      </c>
      <c r="B61" s="8" t="s">
        <v>46</v>
      </c>
      <c r="C61" s="7" t="s">
        <v>47</v>
      </c>
      <c r="D61" s="8" t="s">
        <v>18</v>
      </c>
      <c r="E61" s="8" t="s">
        <v>29</v>
      </c>
      <c r="F61" s="39">
        <v>11.19</v>
      </c>
      <c r="G61" s="39">
        <v>451.82</v>
      </c>
      <c r="H61" s="39">
        <v>553.34</v>
      </c>
      <c r="I61" s="40">
        <v>5055.87</v>
      </c>
      <c r="J61" s="41">
        <v>6191.87</v>
      </c>
      <c r="K61" s="41">
        <f>0</f>
        <v>0</v>
      </c>
      <c r="L61" s="2">
        <v>0</v>
      </c>
      <c r="M61" s="2"/>
      <c r="N61" s="2"/>
      <c r="O61" s="2">
        <v>11.19</v>
      </c>
      <c r="P61" s="2"/>
      <c r="Q61" s="42">
        <f t="shared" si="5"/>
        <v>11.19</v>
      </c>
      <c r="R61" s="43">
        <f t="shared" si="21"/>
        <v>1</v>
      </c>
      <c r="S61" s="44"/>
      <c r="T61" s="44"/>
      <c r="U61" s="44">
        <f t="shared" si="3"/>
        <v>11.19</v>
      </c>
      <c r="V61" s="45">
        <f t="shared" si="1"/>
        <v>0</v>
      </c>
      <c r="W61" s="45">
        <f t="shared" si="4"/>
        <v>0</v>
      </c>
      <c r="X61" s="45">
        <f t="shared" si="2"/>
        <v>6191.87</v>
      </c>
    </row>
    <row r="62" spans="1:24" ht="24" x14ac:dyDescent="0.2">
      <c r="A62" s="7" t="s">
        <v>133</v>
      </c>
      <c r="B62" s="8" t="s">
        <v>49</v>
      </c>
      <c r="C62" s="7" t="s">
        <v>50</v>
      </c>
      <c r="D62" s="8" t="s">
        <v>18</v>
      </c>
      <c r="E62" s="8" t="s">
        <v>29</v>
      </c>
      <c r="F62" s="39">
        <v>11.19</v>
      </c>
      <c r="G62" s="39">
        <v>205.96</v>
      </c>
      <c r="H62" s="39">
        <v>252.24</v>
      </c>
      <c r="I62" s="40">
        <v>2304.69</v>
      </c>
      <c r="J62" s="41">
        <v>2822.57</v>
      </c>
      <c r="K62" s="41">
        <f>0</f>
        <v>0</v>
      </c>
      <c r="L62" s="2">
        <v>0</v>
      </c>
      <c r="M62" s="2"/>
      <c r="N62" s="2"/>
      <c r="O62" s="2">
        <v>11.19</v>
      </c>
      <c r="P62" s="2"/>
      <c r="Q62" s="42">
        <f t="shared" si="5"/>
        <v>11.19</v>
      </c>
      <c r="R62" s="43">
        <f t="shared" si="21"/>
        <v>1</v>
      </c>
      <c r="S62" s="44"/>
      <c r="T62" s="44"/>
      <c r="U62" s="44">
        <f t="shared" si="3"/>
        <v>11.19</v>
      </c>
      <c r="V62" s="45">
        <f t="shared" si="1"/>
        <v>0</v>
      </c>
      <c r="W62" s="45">
        <f t="shared" si="4"/>
        <v>0</v>
      </c>
      <c r="X62" s="45">
        <f t="shared" si="2"/>
        <v>2822.57</v>
      </c>
    </row>
    <row r="63" spans="1:24" ht="36" x14ac:dyDescent="0.2">
      <c r="A63" s="7" t="s">
        <v>134</v>
      </c>
      <c r="B63" s="8" t="s">
        <v>109</v>
      </c>
      <c r="C63" s="7" t="s">
        <v>110</v>
      </c>
      <c r="D63" s="8" t="s">
        <v>18</v>
      </c>
      <c r="E63" s="8" t="s">
        <v>54</v>
      </c>
      <c r="F63" s="39">
        <v>486.6</v>
      </c>
      <c r="G63" s="39">
        <v>13.02</v>
      </c>
      <c r="H63" s="39">
        <v>15.95</v>
      </c>
      <c r="I63" s="40">
        <v>6335.53</v>
      </c>
      <c r="J63" s="41">
        <v>7761.27</v>
      </c>
      <c r="K63" s="41">
        <f>0</f>
        <v>0</v>
      </c>
      <c r="L63" s="2">
        <v>0</v>
      </c>
      <c r="M63" s="2"/>
      <c r="N63" s="2"/>
      <c r="O63" s="2">
        <v>200</v>
      </c>
      <c r="P63" s="2"/>
      <c r="Q63" s="42">
        <f t="shared" si="5"/>
        <v>200</v>
      </c>
      <c r="R63" s="43">
        <f t="shared" si="21"/>
        <v>0.41101520756267979</v>
      </c>
      <c r="S63" s="44"/>
      <c r="T63" s="44">
        <f>F63-200</f>
        <v>286.60000000000002</v>
      </c>
      <c r="U63" s="44">
        <f t="shared" si="3"/>
        <v>200</v>
      </c>
      <c r="V63" s="45">
        <f t="shared" si="1"/>
        <v>0</v>
      </c>
      <c r="W63" s="45">
        <f t="shared" si="4"/>
        <v>4571.2700000000004</v>
      </c>
      <c r="X63" s="45">
        <f t="shared" si="2"/>
        <v>3190</v>
      </c>
    </row>
    <row r="64" spans="1:24" ht="36" x14ac:dyDescent="0.2">
      <c r="A64" s="7" t="s">
        <v>135</v>
      </c>
      <c r="B64" s="8" t="s">
        <v>87</v>
      </c>
      <c r="C64" s="7" t="s">
        <v>88</v>
      </c>
      <c r="D64" s="8" t="s">
        <v>18</v>
      </c>
      <c r="E64" s="8" t="s">
        <v>54</v>
      </c>
      <c r="F64" s="39">
        <v>104.5</v>
      </c>
      <c r="G64" s="39">
        <v>11.83</v>
      </c>
      <c r="H64" s="39">
        <v>14.49</v>
      </c>
      <c r="I64" s="40">
        <v>1236.24</v>
      </c>
      <c r="J64" s="41">
        <v>1514.21</v>
      </c>
      <c r="K64" s="41">
        <f>0</f>
        <v>0</v>
      </c>
      <c r="L64" s="2">
        <v>0</v>
      </c>
      <c r="M64" s="2"/>
      <c r="N64" s="2"/>
      <c r="O64" s="2"/>
      <c r="P64" s="2"/>
      <c r="Q64" s="42">
        <f t="shared" si="5"/>
        <v>0</v>
      </c>
      <c r="R64" s="43">
        <f t="shared" si="21"/>
        <v>0</v>
      </c>
      <c r="S64" s="44"/>
      <c r="T64" s="44">
        <f>F64</f>
        <v>104.5</v>
      </c>
      <c r="U64" s="44">
        <f t="shared" si="3"/>
        <v>0</v>
      </c>
      <c r="V64" s="45">
        <f t="shared" si="1"/>
        <v>0</v>
      </c>
      <c r="W64" s="45">
        <f t="shared" si="4"/>
        <v>1514.21</v>
      </c>
      <c r="X64" s="45">
        <f t="shared" si="2"/>
        <v>0</v>
      </c>
    </row>
    <row r="65" spans="1:25" ht="36" x14ac:dyDescent="0.2">
      <c r="A65" s="7" t="s">
        <v>136</v>
      </c>
      <c r="B65" s="8" t="s">
        <v>96</v>
      </c>
      <c r="C65" s="7" t="s">
        <v>97</v>
      </c>
      <c r="D65" s="8" t="s">
        <v>18</v>
      </c>
      <c r="E65" s="8" t="s">
        <v>54</v>
      </c>
      <c r="F65" s="39">
        <v>712</v>
      </c>
      <c r="G65" s="39">
        <v>13.6</v>
      </c>
      <c r="H65" s="39">
        <v>16.66</v>
      </c>
      <c r="I65" s="40">
        <v>9683.2000000000007</v>
      </c>
      <c r="J65" s="41">
        <v>11861.92</v>
      </c>
      <c r="K65" s="41">
        <f>0</f>
        <v>0</v>
      </c>
      <c r="L65" s="2">
        <v>0</v>
      </c>
      <c r="M65" s="2"/>
      <c r="N65" s="2"/>
      <c r="O65" s="2"/>
      <c r="P65" s="2"/>
      <c r="Q65" s="42">
        <f t="shared" si="5"/>
        <v>0</v>
      </c>
      <c r="R65" s="43">
        <f t="shared" si="21"/>
        <v>0</v>
      </c>
      <c r="S65" s="44"/>
      <c r="T65" s="44">
        <f>F65</f>
        <v>712</v>
      </c>
      <c r="U65" s="44">
        <f t="shared" si="3"/>
        <v>0</v>
      </c>
      <c r="V65" s="45">
        <f t="shared" si="1"/>
        <v>0</v>
      </c>
      <c r="W65" s="45">
        <f t="shared" si="4"/>
        <v>11861.92</v>
      </c>
      <c r="X65" s="45">
        <f t="shared" si="2"/>
        <v>0</v>
      </c>
    </row>
    <row r="66" spans="1:25" x14ac:dyDescent="0.2">
      <c r="A66" s="48" t="s">
        <v>137</v>
      </c>
      <c r="B66" s="269" t="s">
        <v>138</v>
      </c>
      <c r="C66" s="269"/>
      <c r="D66" s="269"/>
      <c r="E66" s="269"/>
      <c r="F66" s="269"/>
      <c r="G66" s="269"/>
      <c r="H66" s="269"/>
      <c r="I66" s="49">
        <v>5794.92</v>
      </c>
      <c r="J66" s="50">
        <v>7097.13</v>
      </c>
      <c r="K66" s="51"/>
      <c r="L66" s="51"/>
      <c r="M66" s="51"/>
      <c r="N66" s="51"/>
      <c r="O66" s="51"/>
      <c r="P66" s="51"/>
      <c r="Q66" s="42"/>
      <c r="R66" s="43"/>
      <c r="S66" s="44"/>
      <c r="T66" s="44"/>
      <c r="U66" s="44"/>
      <c r="V66" s="53">
        <f>SUM(V67)</f>
        <v>0</v>
      </c>
      <c r="W66" s="53">
        <f t="shared" ref="W66" si="22">SUM(W67)</f>
        <v>0</v>
      </c>
      <c r="X66" s="53">
        <f>SUM(X67)</f>
        <v>7097.13</v>
      </c>
    </row>
    <row r="67" spans="1:25" ht="36" x14ac:dyDescent="0.2">
      <c r="A67" s="7" t="s">
        <v>139</v>
      </c>
      <c r="B67" s="8" t="s">
        <v>140</v>
      </c>
      <c r="C67" s="7" t="s">
        <v>141</v>
      </c>
      <c r="D67" s="8" t="s">
        <v>18</v>
      </c>
      <c r="E67" s="8" t="s">
        <v>19</v>
      </c>
      <c r="F67" s="39">
        <v>31.87</v>
      </c>
      <c r="G67" s="39">
        <v>181.83</v>
      </c>
      <c r="H67" s="39">
        <v>222.69</v>
      </c>
      <c r="I67" s="40">
        <v>5794.92</v>
      </c>
      <c r="J67" s="41">
        <v>7097.13</v>
      </c>
      <c r="K67" s="41">
        <f>0</f>
        <v>0</v>
      </c>
      <c r="L67" s="2">
        <v>0</v>
      </c>
      <c r="M67" s="2"/>
      <c r="N67" s="2"/>
      <c r="O67" s="2">
        <v>31.87</v>
      </c>
      <c r="P67" s="2"/>
      <c r="Q67" s="42">
        <f t="shared" si="5"/>
        <v>31.87</v>
      </c>
      <c r="R67" s="43">
        <f>Q67/F67</f>
        <v>1</v>
      </c>
      <c r="S67" s="44"/>
      <c r="T67" s="44"/>
      <c r="U67" s="44">
        <f t="shared" si="3"/>
        <v>31.87</v>
      </c>
      <c r="V67" s="45">
        <f t="shared" si="1"/>
        <v>0</v>
      </c>
      <c r="W67" s="45">
        <f t="shared" si="4"/>
        <v>0</v>
      </c>
      <c r="X67" s="45">
        <f t="shared" si="2"/>
        <v>7097.13</v>
      </c>
    </row>
    <row r="68" spans="1:25" x14ac:dyDescent="0.2">
      <c r="A68" s="48" t="s">
        <v>142</v>
      </c>
      <c r="B68" s="269" t="s">
        <v>143</v>
      </c>
      <c r="C68" s="269"/>
      <c r="D68" s="269"/>
      <c r="E68" s="269"/>
      <c r="F68" s="269"/>
      <c r="G68" s="269"/>
      <c r="H68" s="269"/>
      <c r="I68" s="49">
        <v>67716.740000000005</v>
      </c>
      <c r="J68" s="50">
        <v>82930.570000000007</v>
      </c>
      <c r="K68" s="51"/>
      <c r="L68" s="51"/>
      <c r="M68" s="51"/>
      <c r="N68" s="51"/>
      <c r="O68" s="51"/>
      <c r="P68" s="51"/>
      <c r="Q68" s="42"/>
      <c r="R68" s="43"/>
      <c r="S68" s="44"/>
      <c r="T68" s="44"/>
      <c r="U68" s="44"/>
      <c r="V68" s="53">
        <f>SUM(V69:V71)</f>
        <v>44274.29</v>
      </c>
      <c r="W68" s="53">
        <f t="shared" ref="W68" si="23">SUM(W69:W71)</f>
        <v>5299.55</v>
      </c>
      <c r="X68" s="53">
        <f>SUM(X69:X71)</f>
        <v>121905.31999999999</v>
      </c>
    </row>
    <row r="69" spans="1:25" ht="36" x14ac:dyDescent="0.2">
      <c r="A69" s="7" t="s">
        <v>144</v>
      </c>
      <c r="B69" s="8" t="s">
        <v>145</v>
      </c>
      <c r="C69" s="7" t="s">
        <v>146</v>
      </c>
      <c r="D69" s="8" t="s">
        <v>18</v>
      </c>
      <c r="E69" s="8" t="s">
        <v>19</v>
      </c>
      <c r="F69" s="39">
        <v>656.2</v>
      </c>
      <c r="G69" s="39">
        <v>68.55</v>
      </c>
      <c r="H69" s="39">
        <v>83.95</v>
      </c>
      <c r="I69" s="40">
        <v>44982.51</v>
      </c>
      <c r="J69" s="41">
        <v>55087.99</v>
      </c>
      <c r="K69" s="41">
        <v>350</v>
      </c>
      <c r="L69" s="2">
        <v>251.41</v>
      </c>
      <c r="M69" s="2"/>
      <c r="N69" s="2"/>
      <c r="O69" s="2">
        <v>54.79</v>
      </c>
      <c r="P69" s="2"/>
      <c r="Q69" s="42">
        <f t="shared" si="5"/>
        <v>656.19999999999993</v>
      </c>
      <c r="R69" s="43">
        <f>Q69/F69</f>
        <v>0.99999999999999978</v>
      </c>
      <c r="S69" s="44">
        <f>MEMORIAL!AJ392-F69</f>
        <v>102.77380000000005</v>
      </c>
      <c r="T69" s="44"/>
      <c r="U69" s="44">
        <f t="shared" si="3"/>
        <v>758.9738000000001</v>
      </c>
      <c r="V69" s="45">
        <f t="shared" si="1"/>
        <v>8627.86</v>
      </c>
      <c r="W69" s="45">
        <f t="shared" si="4"/>
        <v>0</v>
      </c>
      <c r="X69" s="45">
        <f t="shared" si="2"/>
        <v>63715.85</v>
      </c>
    </row>
    <row r="70" spans="1:25" ht="36" x14ac:dyDescent="0.2">
      <c r="A70" s="7" t="s">
        <v>147</v>
      </c>
      <c r="B70" s="8" t="s">
        <v>148</v>
      </c>
      <c r="C70" s="7" t="s">
        <v>149</v>
      </c>
      <c r="D70" s="8" t="s">
        <v>18</v>
      </c>
      <c r="E70" s="8" t="s">
        <v>19</v>
      </c>
      <c r="F70" s="39">
        <v>21.03</v>
      </c>
      <c r="G70" s="39">
        <v>561.25</v>
      </c>
      <c r="H70" s="39">
        <v>687.36</v>
      </c>
      <c r="I70" s="40">
        <v>11803.09</v>
      </c>
      <c r="J70" s="41">
        <v>14455.18</v>
      </c>
      <c r="K70" s="41">
        <v>0</v>
      </c>
      <c r="L70" s="2"/>
      <c r="M70" s="2"/>
      <c r="N70" s="2"/>
      <c r="O70" s="2"/>
      <c r="P70" s="2" t="e">
        <f>#REF!</f>
        <v>#REF!</v>
      </c>
      <c r="Q70" s="42" t="e">
        <f t="shared" si="5"/>
        <v>#REF!</v>
      </c>
      <c r="R70" s="43" t="e">
        <f>Q70/F70</f>
        <v>#REF!</v>
      </c>
      <c r="S70" s="44"/>
      <c r="T70" s="44">
        <f>F70-13.32</f>
        <v>7.7100000000000009</v>
      </c>
      <c r="U70" s="44">
        <f>F70+S70-T70</f>
        <v>13.32</v>
      </c>
      <c r="V70" s="45">
        <f>ROUND(H70*S70,2)</f>
        <v>0</v>
      </c>
      <c r="W70" s="45">
        <f>ROUND(H70*T70,2)</f>
        <v>5299.55</v>
      </c>
      <c r="X70" s="45">
        <f t="shared" si="2"/>
        <v>9155.64</v>
      </c>
    </row>
    <row r="71" spans="1:25" ht="48" x14ac:dyDescent="0.2">
      <c r="A71" s="7" t="s">
        <v>150</v>
      </c>
      <c r="B71" s="8" t="s">
        <v>151</v>
      </c>
      <c r="C71" s="7" t="s">
        <v>152</v>
      </c>
      <c r="D71" s="8" t="s">
        <v>18</v>
      </c>
      <c r="E71" s="8" t="s">
        <v>23</v>
      </c>
      <c r="F71" s="39">
        <v>21.76</v>
      </c>
      <c r="G71" s="39">
        <v>502.35</v>
      </c>
      <c r="H71" s="39">
        <v>615.23</v>
      </c>
      <c r="I71" s="40">
        <v>10931.14</v>
      </c>
      <c r="J71" s="41">
        <v>13387.4</v>
      </c>
      <c r="K71" s="41">
        <v>21.76</v>
      </c>
      <c r="L71" s="2"/>
      <c r="M71" s="2"/>
      <c r="N71" s="2"/>
      <c r="O71" s="2"/>
      <c r="P71" s="2"/>
      <c r="Q71" s="42">
        <f t="shared" si="5"/>
        <v>21.76</v>
      </c>
      <c r="R71" s="43">
        <f>Q71/F71</f>
        <v>1</v>
      </c>
      <c r="S71" s="44">
        <f>MEMORIAL!AJ398-F71</f>
        <v>57.94</v>
      </c>
      <c r="T71" s="44"/>
      <c r="U71" s="44">
        <f t="shared" si="3"/>
        <v>79.7</v>
      </c>
      <c r="V71" s="45">
        <f t="shared" si="1"/>
        <v>35646.43</v>
      </c>
      <c r="W71" s="45">
        <f t="shared" si="4"/>
        <v>0</v>
      </c>
      <c r="X71" s="45">
        <f t="shared" si="2"/>
        <v>49033.83</v>
      </c>
    </row>
    <row r="72" spans="1:25" x14ac:dyDescent="0.2">
      <c r="A72" s="48" t="s">
        <v>153</v>
      </c>
      <c r="B72" s="269" t="s">
        <v>754</v>
      </c>
      <c r="C72" s="269"/>
      <c r="D72" s="269"/>
      <c r="E72" s="269"/>
      <c r="F72" s="269"/>
      <c r="G72" s="269"/>
      <c r="H72" s="269"/>
      <c r="I72" s="49">
        <v>23101.56</v>
      </c>
      <c r="J72" s="50">
        <v>28292.49</v>
      </c>
      <c r="K72" s="51"/>
      <c r="L72" s="51"/>
      <c r="M72" s="51"/>
      <c r="N72" s="51"/>
      <c r="O72" s="51"/>
      <c r="P72" s="51"/>
      <c r="Q72" s="42"/>
      <c r="R72" s="43"/>
      <c r="S72" s="44"/>
      <c r="T72" s="44"/>
      <c r="U72" s="44"/>
      <c r="V72" s="53">
        <f>SUM(V73:V77)</f>
        <v>37705.729999999996</v>
      </c>
      <c r="W72" s="53">
        <f>SUM(W73:W77)</f>
        <v>28292.489999999998</v>
      </c>
      <c r="X72" s="53">
        <f>SUM(X73:X77)</f>
        <v>37705.729999999996</v>
      </c>
      <c r="Y72" s="47"/>
    </row>
    <row r="73" spans="1:25" ht="60" x14ac:dyDescent="0.2">
      <c r="A73" s="7" t="s">
        <v>155</v>
      </c>
      <c r="B73" s="8" t="s">
        <v>156</v>
      </c>
      <c r="C73" s="7" t="s">
        <v>157</v>
      </c>
      <c r="D73" s="8" t="s">
        <v>18</v>
      </c>
      <c r="E73" s="8" t="s">
        <v>158</v>
      </c>
      <c r="F73" s="39">
        <v>8</v>
      </c>
      <c r="G73" s="39">
        <v>864.7</v>
      </c>
      <c r="H73" s="39">
        <v>1059</v>
      </c>
      <c r="I73" s="40">
        <v>6917.6</v>
      </c>
      <c r="J73" s="41">
        <v>8472</v>
      </c>
      <c r="K73" s="41">
        <f>0</f>
        <v>0</v>
      </c>
      <c r="L73" s="2">
        <v>0</v>
      </c>
      <c r="M73" s="2"/>
      <c r="N73" s="2"/>
      <c r="O73" s="2"/>
      <c r="P73" s="2"/>
      <c r="Q73" s="42">
        <f t="shared" si="5"/>
        <v>0</v>
      </c>
      <c r="R73" s="43">
        <f>Q73/F73</f>
        <v>0</v>
      </c>
      <c r="S73" s="44"/>
      <c r="T73" s="44">
        <f>F73</f>
        <v>8</v>
      </c>
      <c r="U73" s="44">
        <f>F73+S73-T73</f>
        <v>0</v>
      </c>
      <c r="V73" s="45">
        <f t="shared" si="1"/>
        <v>0</v>
      </c>
      <c r="W73" s="45">
        <f t="shared" si="4"/>
        <v>8472</v>
      </c>
      <c r="X73" s="45">
        <f>ROUND(H73*U73,2)</f>
        <v>0</v>
      </c>
    </row>
    <row r="74" spans="1:25" ht="60" x14ac:dyDescent="0.2">
      <c r="A74" s="7" t="s">
        <v>159</v>
      </c>
      <c r="B74" s="8" t="s">
        <v>160</v>
      </c>
      <c r="C74" s="7" t="s">
        <v>161</v>
      </c>
      <c r="D74" s="8" t="s">
        <v>18</v>
      </c>
      <c r="E74" s="8" t="s">
        <v>158</v>
      </c>
      <c r="F74" s="39">
        <v>9</v>
      </c>
      <c r="G74" s="39">
        <v>837.44</v>
      </c>
      <c r="H74" s="39">
        <v>1025.6099999999999</v>
      </c>
      <c r="I74" s="40">
        <v>7536.96</v>
      </c>
      <c r="J74" s="41">
        <v>9230.49</v>
      </c>
      <c r="K74" s="41">
        <f>0</f>
        <v>0</v>
      </c>
      <c r="L74" s="2">
        <v>0</v>
      </c>
      <c r="M74" s="2"/>
      <c r="N74" s="2"/>
      <c r="O74" s="2"/>
      <c r="P74" s="2"/>
      <c r="Q74" s="42">
        <f t="shared" si="5"/>
        <v>0</v>
      </c>
      <c r="R74" s="43">
        <f>Q74/F74</f>
        <v>0</v>
      </c>
      <c r="S74" s="44"/>
      <c r="T74" s="44">
        <f t="shared" ref="T74:T75" si="24">F74</f>
        <v>9</v>
      </c>
      <c r="U74" s="44">
        <f t="shared" si="3"/>
        <v>0</v>
      </c>
      <c r="V74" s="45">
        <f t="shared" si="1"/>
        <v>0</v>
      </c>
      <c r="W74" s="45">
        <f t="shared" si="4"/>
        <v>9230.49</v>
      </c>
      <c r="X74" s="45">
        <f t="shared" si="2"/>
        <v>0</v>
      </c>
    </row>
    <row r="75" spans="1:25" ht="60" x14ac:dyDescent="0.2">
      <c r="A75" s="7" t="s">
        <v>162</v>
      </c>
      <c r="B75" s="8" t="s">
        <v>156</v>
      </c>
      <c r="C75" s="7" t="s">
        <v>157</v>
      </c>
      <c r="D75" s="8" t="s">
        <v>18</v>
      </c>
      <c r="E75" s="8" t="s">
        <v>158</v>
      </c>
      <c r="F75" s="39">
        <v>10</v>
      </c>
      <c r="G75" s="39">
        <v>864.7</v>
      </c>
      <c r="H75" s="39">
        <v>1059</v>
      </c>
      <c r="I75" s="40">
        <v>8647</v>
      </c>
      <c r="J75" s="41">
        <v>10590</v>
      </c>
      <c r="K75" s="41">
        <f>0</f>
        <v>0</v>
      </c>
      <c r="L75" s="2">
        <v>0</v>
      </c>
      <c r="M75" s="2"/>
      <c r="N75" s="2"/>
      <c r="O75" s="2"/>
      <c r="P75" s="2"/>
      <c r="Q75" s="42">
        <f t="shared" si="5"/>
        <v>0</v>
      </c>
      <c r="R75" s="43">
        <f>Q75/F75</f>
        <v>0</v>
      </c>
      <c r="S75" s="44"/>
      <c r="T75" s="44">
        <f t="shared" si="24"/>
        <v>10</v>
      </c>
      <c r="U75" s="44">
        <f t="shared" si="3"/>
        <v>0</v>
      </c>
      <c r="V75" s="45">
        <f t="shared" si="1"/>
        <v>0</v>
      </c>
      <c r="W75" s="45">
        <f t="shared" si="4"/>
        <v>10590</v>
      </c>
      <c r="X75" s="45">
        <f t="shared" si="2"/>
        <v>0</v>
      </c>
    </row>
    <row r="76" spans="1:25" ht="60" x14ac:dyDescent="0.2">
      <c r="A76" s="7" t="s">
        <v>738</v>
      </c>
      <c r="B76" s="8">
        <v>100690</v>
      </c>
      <c r="C76" s="7" t="s">
        <v>739</v>
      </c>
      <c r="D76" s="8" t="s">
        <v>18</v>
      </c>
      <c r="E76" s="8" t="s">
        <v>158</v>
      </c>
      <c r="F76" s="39"/>
      <c r="G76" s="39">
        <f>856.34*0.980188611</f>
        <v>839.37471514373999</v>
      </c>
      <c r="H76" s="39">
        <f>G76*1.2247</f>
        <v>1027.9822136365383</v>
      </c>
      <c r="I76" s="40"/>
      <c r="J76" s="41"/>
      <c r="K76" s="41"/>
      <c r="L76" s="2"/>
      <c r="M76" s="2"/>
      <c r="N76" s="2"/>
      <c r="O76" s="2"/>
      <c r="P76" s="2"/>
      <c r="Q76" s="42"/>
      <c r="R76" s="43"/>
      <c r="S76" s="44">
        <v>18</v>
      </c>
      <c r="T76" s="44"/>
      <c r="U76" s="44">
        <f t="shared" si="3"/>
        <v>18</v>
      </c>
      <c r="V76" s="45">
        <f t="shared" si="1"/>
        <v>18503.68</v>
      </c>
      <c r="W76" s="45">
        <f t="shared" ref="W76:W77" si="25">ROUND(H76*T76,2)</f>
        <v>0</v>
      </c>
      <c r="X76" s="45">
        <f t="shared" ref="X76:X77" si="26">ROUND(H76*U76,2)</f>
        <v>18503.68</v>
      </c>
    </row>
    <row r="77" spans="1:25" x14ac:dyDescent="0.2">
      <c r="A77" s="7" t="s">
        <v>761</v>
      </c>
      <c r="B77" s="8">
        <v>4716</v>
      </c>
      <c r="C77" s="7" t="s">
        <v>741</v>
      </c>
      <c r="D77" s="8" t="s">
        <v>18</v>
      </c>
      <c r="E77" s="8" t="s">
        <v>19</v>
      </c>
      <c r="F77" s="39"/>
      <c r="G77" s="39">
        <f>294.41*0.980188611</f>
        <v>288.57732896451</v>
      </c>
      <c r="H77" s="39">
        <f t="shared" ref="H77" si="27">G77*1.2247</f>
        <v>353.42065478283536</v>
      </c>
      <c r="I77" s="40"/>
      <c r="J77" s="41"/>
      <c r="K77" s="41"/>
      <c r="L77" s="2"/>
      <c r="M77" s="2"/>
      <c r="N77" s="2"/>
      <c r="O77" s="2"/>
      <c r="P77" s="2"/>
      <c r="Q77" s="42"/>
      <c r="R77" s="43"/>
      <c r="S77" s="44">
        <f>MEMORIAL!AJ415</f>
        <v>54.331999999999994</v>
      </c>
      <c r="T77" s="44"/>
      <c r="U77" s="44">
        <f t="shared" ref="U77" si="28">F77+S77-T77</f>
        <v>54.331999999999994</v>
      </c>
      <c r="V77" s="45">
        <f t="shared" ref="V77" si="29">ROUND(H77*S77,2)</f>
        <v>19202.05</v>
      </c>
      <c r="W77" s="45">
        <f t="shared" si="25"/>
        <v>0</v>
      </c>
      <c r="X77" s="45">
        <f t="shared" si="26"/>
        <v>19202.05</v>
      </c>
    </row>
    <row r="78" spans="1:25" x14ac:dyDescent="0.2">
      <c r="A78" s="48" t="s">
        <v>163</v>
      </c>
      <c r="B78" s="269" t="s">
        <v>164</v>
      </c>
      <c r="C78" s="269"/>
      <c r="D78" s="269"/>
      <c r="E78" s="269"/>
      <c r="F78" s="269"/>
      <c r="G78" s="269"/>
      <c r="H78" s="269"/>
      <c r="I78" s="49">
        <v>1481.28</v>
      </c>
      <c r="J78" s="50">
        <v>1814.12</v>
      </c>
      <c r="K78" s="51"/>
      <c r="L78" s="51"/>
      <c r="M78" s="51"/>
      <c r="N78" s="51"/>
      <c r="O78" s="51"/>
      <c r="P78" s="51"/>
      <c r="Q78" s="42"/>
      <c r="R78" s="43"/>
      <c r="S78" s="44"/>
      <c r="T78" s="44"/>
      <c r="U78" s="44"/>
      <c r="V78" s="53">
        <f>SUM(V79:V80)</f>
        <v>11476.42</v>
      </c>
      <c r="W78" s="53">
        <f>SUM(W79:W80)</f>
        <v>1814.12</v>
      </c>
      <c r="X78" s="53">
        <f>SUM(X79:X80)</f>
        <v>11476.42</v>
      </c>
    </row>
    <row r="79" spans="1:25" ht="36" x14ac:dyDescent="0.2">
      <c r="A79" s="7" t="s">
        <v>165</v>
      </c>
      <c r="B79" s="8" t="s">
        <v>166</v>
      </c>
      <c r="C79" s="7" t="s">
        <v>167</v>
      </c>
      <c r="D79" s="8" t="s">
        <v>18</v>
      </c>
      <c r="E79" s="8" t="s">
        <v>158</v>
      </c>
      <c r="F79" s="39">
        <v>2</v>
      </c>
      <c r="G79" s="39">
        <v>740.64</v>
      </c>
      <c r="H79" s="39">
        <v>907.06</v>
      </c>
      <c r="I79" s="40">
        <v>1481.28</v>
      </c>
      <c r="J79" s="41">
        <v>1814.12</v>
      </c>
      <c r="K79" s="41">
        <f>0</f>
        <v>0</v>
      </c>
      <c r="L79" s="2">
        <v>0</v>
      </c>
      <c r="M79" s="2"/>
      <c r="N79" s="2"/>
      <c r="O79" s="2"/>
      <c r="P79" s="2"/>
      <c r="Q79" s="42">
        <f t="shared" si="5"/>
        <v>0</v>
      </c>
      <c r="R79" s="43">
        <f>Q79/F79</f>
        <v>0</v>
      </c>
      <c r="S79" s="44"/>
      <c r="T79" s="44">
        <f>F79</f>
        <v>2</v>
      </c>
      <c r="U79" s="44">
        <f>F79+S79-T79</f>
        <v>0</v>
      </c>
      <c r="V79" s="45">
        <f t="shared" ref="V79:V154" si="30">ROUND(H79*S79,2)</f>
        <v>0</v>
      </c>
      <c r="W79" s="45">
        <f t="shared" ref="W79:W154" si="31">ROUND(H79*T79,2)</f>
        <v>1814.12</v>
      </c>
      <c r="X79" s="45">
        <f>ROUND(H79*U79,2)</f>
        <v>0</v>
      </c>
    </row>
    <row r="80" spans="1:25" ht="36" x14ac:dyDescent="0.2">
      <c r="A80" s="7" t="s">
        <v>909</v>
      </c>
      <c r="B80" s="8">
        <v>91341</v>
      </c>
      <c r="C80" s="7" t="s">
        <v>740</v>
      </c>
      <c r="D80" s="8" t="s">
        <v>18</v>
      </c>
      <c r="E80" s="8" t="s">
        <v>19</v>
      </c>
      <c r="F80" s="39"/>
      <c r="G80" s="39">
        <f>891.81*0.980188611</f>
        <v>874.14200517590996</v>
      </c>
      <c r="H80" s="39">
        <f t="shared" ref="H80" si="32">G80*1.2247</f>
        <v>1070.5617137389368</v>
      </c>
      <c r="I80" s="40"/>
      <c r="J80" s="41"/>
      <c r="K80" s="41"/>
      <c r="L80" s="2"/>
      <c r="M80" s="2"/>
      <c r="N80" s="2"/>
      <c r="O80" s="2"/>
      <c r="P80" s="2"/>
      <c r="Q80" s="42"/>
      <c r="R80" s="43"/>
      <c r="S80" s="44">
        <f>MEMORIAL!AJ422</f>
        <v>10.72</v>
      </c>
      <c r="T80" s="44"/>
      <c r="U80" s="44">
        <f>F80+S80-T80</f>
        <v>10.72</v>
      </c>
      <c r="V80" s="45">
        <f t="shared" si="30"/>
        <v>11476.42</v>
      </c>
      <c r="W80" s="45">
        <f t="shared" si="31"/>
        <v>0</v>
      </c>
      <c r="X80" s="45">
        <f t="shared" ref="X80" si="33">ROUND(H80*U80,2)</f>
        <v>11476.42</v>
      </c>
    </row>
    <row r="81" spans="1:24" x14ac:dyDescent="0.2">
      <c r="A81" s="48" t="s">
        <v>168</v>
      </c>
      <c r="B81" s="269" t="s">
        <v>169</v>
      </c>
      <c r="C81" s="269"/>
      <c r="D81" s="269"/>
      <c r="E81" s="269"/>
      <c r="F81" s="269"/>
      <c r="G81" s="269"/>
      <c r="H81" s="269"/>
      <c r="I81" s="49">
        <v>31412.61</v>
      </c>
      <c r="J81" s="50">
        <v>38470.97</v>
      </c>
      <c r="K81" s="51"/>
      <c r="L81" s="51"/>
      <c r="M81" s="51"/>
      <c r="N81" s="51"/>
      <c r="O81" s="51"/>
      <c r="P81" s="51"/>
      <c r="Q81" s="42"/>
      <c r="R81" s="43"/>
      <c r="S81" s="44"/>
      <c r="T81" s="44"/>
      <c r="U81" s="44"/>
      <c r="V81" s="53">
        <f>SUM(V82:V87)</f>
        <v>32249.29</v>
      </c>
      <c r="W81" s="53">
        <f>SUM(W82:W87)</f>
        <v>31727.25</v>
      </c>
      <c r="X81" s="53">
        <f>SUM(X82:X87)</f>
        <v>38993</v>
      </c>
    </row>
    <row r="82" spans="1:24" ht="48" x14ac:dyDescent="0.2">
      <c r="A82" s="7" t="s">
        <v>170</v>
      </c>
      <c r="B82" s="8" t="s">
        <v>171</v>
      </c>
      <c r="C82" s="7" t="s">
        <v>172</v>
      </c>
      <c r="D82" s="8" t="s">
        <v>18</v>
      </c>
      <c r="E82" s="8" t="s">
        <v>19</v>
      </c>
      <c r="F82" s="39">
        <v>2.46</v>
      </c>
      <c r="G82" s="39">
        <v>757.34</v>
      </c>
      <c r="H82" s="39">
        <v>927.51</v>
      </c>
      <c r="I82" s="40">
        <v>1863.06</v>
      </c>
      <c r="J82" s="41">
        <v>2281.67</v>
      </c>
      <c r="K82" s="41">
        <f>0</f>
        <v>0</v>
      </c>
      <c r="L82" s="2">
        <f>0</f>
        <v>0</v>
      </c>
      <c r="M82" s="2"/>
      <c r="N82" s="2"/>
      <c r="O82" s="2"/>
      <c r="P82" s="2"/>
      <c r="Q82" s="42">
        <f t="shared" si="5"/>
        <v>0</v>
      </c>
      <c r="R82" s="43">
        <f t="shared" ref="R82:R87" si="34">Q82/F82</f>
        <v>0</v>
      </c>
      <c r="S82" s="44"/>
      <c r="T82" s="44">
        <f>F82</f>
        <v>2.46</v>
      </c>
      <c r="U82" s="44">
        <f>F82+S82-T82</f>
        <v>0</v>
      </c>
      <c r="V82" s="45">
        <f t="shared" si="30"/>
        <v>0</v>
      </c>
      <c r="W82" s="45">
        <f t="shared" si="31"/>
        <v>2281.67</v>
      </c>
      <c r="X82" s="45">
        <f>ROUND(H82*U82,2)</f>
        <v>0</v>
      </c>
    </row>
    <row r="83" spans="1:24" ht="48" x14ac:dyDescent="0.2">
      <c r="A83" s="7" t="s">
        <v>173</v>
      </c>
      <c r="B83" s="8" t="s">
        <v>171</v>
      </c>
      <c r="C83" s="7" t="s">
        <v>172</v>
      </c>
      <c r="D83" s="8" t="s">
        <v>18</v>
      </c>
      <c r="E83" s="8" t="s">
        <v>19</v>
      </c>
      <c r="F83" s="39">
        <v>1.1200000000000001</v>
      </c>
      <c r="G83" s="39">
        <v>757.34</v>
      </c>
      <c r="H83" s="39">
        <v>927.51</v>
      </c>
      <c r="I83" s="40">
        <v>848.22</v>
      </c>
      <c r="J83" s="41">
        <v>1038.81</v>
      </c>
      <c r="K83" s="41">
        <f>0</f>
        <v>0</v>
      </c>
      <c r="L83" s="2">
        <f>0</f>
        <v>0</v>
      </c>
      <c r="M83" s="2"/>
      <c r="N83" s="2"/>
      <c r="O83" s="2"/>
      <c r="P83" s="2"/>
      <c r="Q83" s="42">
        <f t="shared" si="5"/>
        <v>0</v>
      </c>
      <c r="R83" s="43">
        <f t="shared" si="34"/>
        <v>0</v>
      </c>
      <c r="S83" s="44"/>
      <c r="T83" s="44">
        <f t="shared" ref="T83:T86" si="35">F83</f>
        <v>1.1200000000000001</v>
      </c>
      <c r="U83" s="44">
        <f t="shared" ref="U83:U154" si="36">F83+S83-T83</f>
        <v>0</v>
      </c>
      <c r="V83" s="45">
        <f t="shared" si="30"/>
        <v>0</v>
      </c>
      <c r="W83" s="45">
        <f t="shared" si="31"/>
        <v>1038.81</v>
      </c>
      <c r="X83" s="45">
        <f t="shared" ref="X83:X154" si="37">ROUND(H83*U83,2)</f>
        <v>0</v>
      </c>
    </row>
    <row r="84" spans="1:24" ht="48" x14ac:dyDescent="0.2">
      <c r="A84" s="7" t="s">
        <v>174</v>
      </c>
      <c r="B84" s="8" t="s">
        <v>171</v>
      </c>
      <c r="C84" s="7" t="s">
        <v>172</v>
      </c>
      <c r="D84" s="8" t="s">
        <v>18</v>
      </c>
      <c r="E84" s="8" t="s">
        <v>19</v>
      </c>
      <c r="F84" s="39">
        <v>8.0500000000000007</v>
      </c>
      <c r="G84" s="39">
        <v>757.34</v>
      </c>
      <c r="H84" s="39">
        <v>927.51</v>
      </c>
      <c r="I84" s="40">
        <v>6096.59</v>
      </c>
      <c r="J84" s="41">
        <v>7466.46</v>
      </c>
      <c r="K84" s="41">
        <f>0</f>
        <v>0</v>
      </c>
      <c r="L84" s="2">
        <f>0</f>
        <v>0</v>
      </c>
      <c r="M84" s="2"/>
      <c r="N84" s="2"/>
      <c r="O84" s="2"/>
      <c r="P84" s="2"/>
      <c r="Q84" s="42">
        <f t="shared" ref="Q84:Q159" si="38">K84+L84+M84+N84+O84+P84</f>
        <v>0</v>
      </c>
      <c r="R84" s="43">
        <f t="shared" si="34"/>
        <v>0</v>
      </c>
      <c r="S84" s="44"/>
      <c r="T84" s="44">
        <f t="shared" si="35"/>
        <v>8.0500000000000007</v>
      </c>
      <c r="U84" s="44">
        <f t="shared" si="36"/>
        <v>0</v>
      </c>
      <c r="V84" s="45">
        <f t="shared" si="30"/>
        <v>0</v>
      </c>
      <c r="W84" s="45">
        <f t="shared" si="31"/>
        <v>7466.46</v>
      </c>
      <c r="X84" s="45">
        <f t="shared" si="37"/>
        <v>0</v>
      </c>
    </row>
    <row r="85" spans="1:24" ht="48" x14ac:dyDescent="0.2">
      <c r="A85" s="7" t="s">
        <v>175</v>
      </c>
      <c r="B85" s="8" t="s">
        <v>176</v>
      </c>
      <c r="C85" s="7" t="s">
        <v>177</v>
      </c>
      <c r="D85" s="8" t="s">
        <v>18</v>
      </c>
      <c r="E85" s="8" t="s">
        <v>19</v>
      </c>
      <c r="F85" s="39">
        <v>1.34</v>
      </c>
      <c r="G85" s="39">
        <v>749.27</v>
      </c>
      <c r="H85" s="39">
        <v>917.63</v>
      </c>
      <c r="I85" s="40">
        <v>1004.02</v>
      </c>
      <c r="J85" s="41">
        <v>1229.6199999999999</v>
      </c>
      <c r="K85" s="41">
        <f>0</f>
        <v>0</v>
      </c>
      <c r="L85" s="2">
        <f>0</f>
        <v>0</v>
      </c>
      <c r="M85" s="2"/>
      <c r="N85" s="2"/>
      <c r="O85" s="2"/>
      <c r="P85" s="2"/>
      <c r="Q85" s="42">
        <f t="shared" si="38"/>
        <v>0</v>
      </c>
      <c r="R85" s="43">
        <f t="shared" si="34"/>
        <v>0</v>
      </c>
      <c r="S85" s="44"/>
      <c r="T85" s="44">
        <f t="shared" si="35"/>
        <v>1.34</v>
      </c>
      <c r="U85" s="44">
        <f t="shared" si="36"/>
        <v>0</v>
      </c>
      <c r="V85" s="45">
        <f t="shared" si="30"/>
        <v>0</v>
      </c>
      <c r="W85" s="45">
        <f t="shared" si="31"/>
        <v>1229.6199999999999</v>
      </c>
      <c r="X85" s="45">
        <f t="shared" si="37"/>
        <v>0</v>
      </c>
    </row>
    <row r="86" spans="1:24" ht="48" x14ac:dyDescent="0.2">
      <c r="A86" s="7" t="s">
        <v>178</v>
      </c>
      <c r="B86" s="8" t="s">
        <v>176</v>
      </c>
      <c r="C86" s="7" t="s">
        <v>177</v>
      </c>
      <c r="D86" s="8" t="s">
        <v>18</v>
      </c>
      <c r="E86" s="8" t="s">
        <v>19</v>
      </c>
      <c r="F86" s="39">
        <v>21.48</v>
      </c>
      <c r="G86" s="39">
        <v>749.27</v>
      </c>
      <c r="H86" s="39">
        <v>917.63</v>
      </c>
      <c r="I86" s="40">
        <v>16094.32</v>
      </c>
      <c r="J86" s="41">
        <v>19710.689999999999</v>
      </c>
      <c r="K86" s="41">
        <f>0</f>
        <v>0</v>
      </c>
      <c r="L86" s="2">
        <f>0</f>
        <v>0</v>
      </c>
      <c r="M86" s="2"/>
      <c r="N86" s="2"/>
      <c r="O86" s="2"/>
      <c r="P86" s="2"/>
      <c r="Q86" s="42">
        <f t="shared" si="38"/>
        <v>0</v>
      </c>
      <c r="R86" s="43">
        <f t="shared" si="34"/>
        <v>0</v>
      </c>
      <c r="S86" s="44"/>
      <c r="T86" s="44">
        <f t="shared" si="35"/>
        <v>21.48</v>
      </c>
      <c r="U86" s="44">
        <f t="shared" si="36"/>
        <v>0</v>
      </c>
      <c r="V86" s="45">
        <f t="shared" si="30"/>
        <v>0</v>
      </c>
      <c r="W86" s="45">
        <f t="shared" si="31"/>
        <v>19710.689999999999</v>
      </c>
      <c r="X86" s="45">
        <f t="shared" si="37"/>
        <v>0</v>
      </c>
    </row>
    <row r="87" spans="1:24" ht="48" x14ac:dyDescent="0.2">
      <c r="A87" s="7" t="s">
        <v>179</v>
      </c>
      <c r="B87" s="8" t="s">
        <v>180</v>
      </c>
      <c r="C87" s="7" t="s">
        <v>181</v>
      </c>
      <c r="D87" s="8" t="s">
        <v>18</v>
      </c>
      <c r="E87" s="8" t="s">
        <v>19</v>
      </c>
      <c r="F87" s="39">
        <v>7.16</v>
      </c>
      <c r="G87" s="39">
        <v>769.05</v>
      </c>
      <c r="H87" s="39">
        <v>941.86</v>
      </c>
      <c r="I87" s="40">
        <v>5506.4</v>
      </c>
      <c r="J87" s="41">
        <v>6743.72</v>
      </c>
      <c r="K87" s="41">
        <f>0</f>
        <v>0</v>
      </c>
      <c r="L87" s="2">
        <f>0</f>
        <v>0</v>
      </c>
      <c r="M87" s="2"/>
      <c r="N87" s="2"/>
      <c r="O87" s="2"/>
      <c r="P87" s="2"/>
      <c r="Q87" s="42">
        <f t="shared" si="38"/>
        <v>0</v>
      </c>
      <c r="R87" s="43">
        <f t="shared" si="34"/>
        <v>0</v>
      </c>
      <c r="S87" s="44">
        <f>MEMORIAL!AJ436-F87</f>
        <v>34.240000000000009</v>
      </c>
      <c r="T87" s="44"/>
      <c r="U87" s="44">
        <f>F87+S87-T87</f>
        <v>41.400000000000006</v>
      </c>
      <c r="V87" s="45">
        <f t="shared" si="30"/>
        <v>32249.29</v>
      </c>
      <c r="W87" s="45">
        <f t="shared" si="31"/>
        <v>0</v>
      </c>
      <c r="X87" s="45">
        <f t="shared" si="37"/>
        <v>38993</v>
      </c>
    </row>
    <row r="88" spans="1:24" x14ac:dyDescent="0.2">
      <c r="A88" s="48" t="s">
        <v>182</v>
      </c>
      <c r="B88" s="269" t="s">
        <v>183</v>
      </c>
      <c r="C88" s="269"/>
      <c r="D88" s="269"/>
      <c r="E88" s="269"/>
      <c r="F88" s="269"/>
      <c r="G88" s="269"/>
      <c r="H88" s="269"/>
      <c r="I88" s="49">
        <v>18069.54</v>
      </c>
      <c r="J88" s="50">
        <v>22129.02</v>
      </c>
      <c r="K88" s="51"/>
      <c r="L88" s="51"/>
      <c r="M88" s="51"/>
      <c r="N88" s="51"/>
      <c r="O88" s="51"/>
      <c r="P88" s="51"/>
      <c r="Q88" s="42"/>
      <c r="R88" s="43"/>
      <c r="S88" s="44"/>
      <c r="T88" s="44"/>
      <c r="U88" s="44">
        <f t="shared" si="36"/>
        <v>0</v>
      </c>
      <c r="V88" s="53">
        <f>SUM(V89:V94)</f>
        <v>39037.56</v>
      </c>
      <c r="W88" s="53">
        <f>SUM(W89:W94)</f>
        <v>0</v>
      </c>
      <c r="X88" s="53">
        <f>SUM(X89:X94)</f>
        <v>61166.59</v>
      </c>
    </row>
    <row r="89" spans="1:24" ht="36" x14ac:dyDescent="0.2">
      <c r="A89" s="7" t="s">
        <v>184</v>
      </c>
      <c r="B89" s="8" t="s">
        <v>185</v>
      </c>
      <c r="C89" s="7" t="s">
        <v>186</v>
      </c>
      <c r="D89" s="8" t="s">
        <v>18</v>
      </c>
      <c r="E89" s="8" t="s">
        <v>19</v>
      </c>
      <c r="F89" s="39">
        <v>390.67</v>
      </c>
      <c r="G89" s="39">
        <v>39.479999999999997</v>
      </c>
      <c r="H89" s="39">
        <v>48.35</v>
      </c>
      <c r="I89" s="40">
        <v>15423.65</v>
      </c>
      <c r="J89" s="41">
        <v>18888.89</v>
      </c>
      <c r="K89" s="41">
        <f>0</f>
        <v>0</v>
      </c>
      <c r="L89" s="2">
        <f>0</f>
        <v>0</v>
      </c>
      <c r="M89" s="2"/>
      <c r="N89" s="2"/>
      <c r="O89" s="2">
        <f>F89</f>
        <v>390.67</v>
      </c>
      <c r="P89" s="2"/>
      <c r="Q89" s="42">
        <f t="shared" si="38"/>
        <v>390.67</v>
      </c>
      <c r="R89" s="43">
        <f>Q89/F89</f>
        <v>1</v>
      </c>
      <c r="S89" s="44">
        <f>MEMORIAL!AJ444-F89</f>
        <v>0.58619999999990569</v>
      </c>
      <c r="T89" s="44"/>
      <c r="U89" s="44">
        <f t="shared" si="36"/>
        <v>391.25619999999992</v>
      </c>
      <c r="V89" s="45">
        <f t="shared" si="30"/>
        <v>28.34</v>
      </c>
      <c r="W89" s="45">
        <f t="shared" si="31"/>
        <v>0</v>
      </c>
      <c r="X89" s="45">
        <f t="shared" si="37"/>
        <v>18917.240000000002</v>
      </c>
    </row>
    <row r="90" spans="1:24" ht="48" x14ac:dyDescent="0.2">
      <c r="A90" s="7" t="s">
        <v>187</v>
      </c>
      <c r="B90" s="8" t="s">
        <v>188</v>
      </c>
      <c r="C90" s="7" t="s">
        <v>189</v>
      </c>
      <c r="D90" s="8" t="s">
        <v>18</v>
      </c>
      <c r="E90" s="8" t="s">
        <v>23</v>
      </c>
      <c r="F90" s="39">
        <v>102.05</v>
      </c>
      <c r="G90" s="39">
        <v>23.6</v>
      </c>
      <c r="H90" s="39">
        <v>28.9</v>
      </c>
      <c r="I90" s="40">
        <v>2408.38</v>
      </c>
      <c r="J90" s="41">
        <v>2949.25</v>
      </c>
      <c r="K90" s="41">
        <f>0</f>
        <v>0</v>
      </c>
      <c r="L90" s="2">
        <f>0</f>
        <v>0</v>
      </c>
      <c r="M90" s="2"/>
      <c r="N90" s="2"/>
      <c r="O90" s="2">
        <f t="shared" ref="O90:O91" si="39">F90</f>
        <v>102.05</v>
      </c>
      <c r="P90" s="2"/>
      <c r="Q90" s="42">
        <f t="shared" si="38"/>
        <v>102.05</v>
      </c>
      <c r="R90" s="43">
        <f>Q90/F90</f>
        <v>1</v>
      </c>
      <c r="S90" s="44"/>
      <c r="T90" s="44"/>
      <c r="U90" s="44">
        <f t="shared" si="36"/>
        <v>102.05</v>
      </c>
      <c r="V90" s="45">
        <f t="shared" si="30"/>
        <v>0</v>
      </c>
      <c r="W90" s="45">
        <f t="shared" si="31"/>
        <v>0</v>
      </c>
      <c r="X90" s="45">
        <f t="shared" si="37"/>
        <v>2949.25</v>
      </c>
    </row>
    <row r="91" spans="1:24" ht="36" x14ac:dyDescent="0.2">
      <c r="A91" s="7" t="s">
        <v>190</v>
      </c>
      <c r="B91" s="8" t="s">
        <v>191</v>
      </c>
      <c r="C91" s="7" t="s">
        <v>192</v>
      </c>
      <c r="D91" s="8" t="s">
        <v>18</v>
      </c>
      <c r="E91" s="8" t="s">
        <v>23</v>
      </c>
      <c r="F91" s="39">
        <v>4.04</v>
      </c>
      <c r="G91" s="39">
        <v>58.79</v>
      </c>
      <c r="H91" s="39">
        <v>72</v>
      </c>
      <c r="I91" s="40">
        <v>237.51</v>
      </c>
      <c r="J91" s="41">
        <v>290.88</v>
      </c>
      <c r="K91" s="41">
        <f>0</f>
        <v>0</v>
      </c>
      <c r="L91" s="2">
        <f>0</f>
        <v>0</v>
      </c>
      <c r="M91" s="2"/>
      <c r="N91" s="2"/>
      <c r="O91" s="2">
        <f t="shared" si="39"/>
        <v>4.04</v>
      </c>
      <c r="P91" s="2"/>
      <c r="Q91" s="42">
        <f t="shared" si="38"/>
        <v>4.04</v>
      </c>
      <c r="R91" s="43">
        <f>Q91/F91</f>
        <v>1</v>
      </c>
      <c r="S91" s="44">
        <f>MEMORIAL!AJ448-F91</f>
        <v>59.79</v>
      </c>
      <c r="T91" s="44"/>
      <c r="U91" s="44">
        <f t="shared" si="36"/>
        <v>63.83</v>
      </c>
      <c r="V91" s="45">
        <f t="shared" si="30"/>
        <v>4304.88</v>
      </c>
      <c r="W91" s="45">
        <f t="shared" si="31"/>
        <v>0</v>
      </c>
      <c r="X91" s="45">
        <f t="shared" si="37"/>
        <v>4595.76</v>
      </c>
    </row>
    <row r="92" spans="1:24" ht="24" x14ac:dyDescent="0.2">
      <c r="A92" s="7" t="s">
        <v>844</v>
      </c>
      <c r="B92" s="8">
        <v>96109</v>
      </c>
      <c r="C92" s="7" t="s">
        <v>845</v>
      </c>
      <c r="D92" s="8" t="s">
        <v>18</v>
      </c>
      <c r="E92" s="8" t="s">
        <v>19</v>
      </c>
      <c r="F92" s="39"/>
      <c r="G92" s="39">
        <f>36.32*0.980188611</f>
        <v>35.600450351520003</v>
      </c>
      <c r="H92" s="39">
        <f>G92*1.2247</f>
        <v>43.599871545506545</v>
      </c>
      <c r="I92" s="40"/>
      <c r="J92" s="41"/>
      <c r="K92" s="41"/>
      <c r="L92" s="2"/>
      <c r="M92" s="2"/>
      <c r="N92" s="2"/>
      <c r="O92" s="2"/>
      <c r="P92" s="2"/>
      <c r="Q92" s="42"/>
      <c r="R92" s="43"/>
      <c r="S92" s="44">
        <f>MEMORIAL!AJ477</f>
        <v>366.11289999999997</v>
      </c>
      <c r="T92" s="44"/>
      <c r="U92" s="44">
        <f t="shared" ref="U92" si="40">F92+S92-T92</f>
        <v>366.11289999999997</v>
      </c>
      <c r="V92" s="45">
        <f t="shared" ref="V92" si="41">ROUND(H92*S92,2)</f>
        <v>15962.48</v>
      </c>
      <c r="W92" s="45">
        <f t="shared" ref="W92" si="42">ROUND(H92*T92,2)</f>
        <v>0</v>
      </c>
      <c r="X92" s="45">
        <f t="shared" ref="X92" si="43">ROUND(H92*U92,2)</f>
        <v>15962.48</v>
      </c>
    </row>
    <row r="93" spans="1:24" ht="36" x14ac:dyDescent="0.2">
      <c r="A93" s="7" t="s">
        <v>1130</v>
      </c>
      <c r="B93" s="8">
        <v>92544</v>
      </c>
      <c r="C93" s="7" t="s">
        <v>1132</v>
      </c>
      <c r="D93" s="8" t="s">
        <v>18</v>
      </c>
      <c r="E93" s="8" t="s">
        <v>19</v>
      </c>
      <c r="F93" s="39"/>
      <c r="G93" s="39">
        <f>14.53*0.980188611</f>
        <v>14.242140517829998</v>
      </c>
      <c r="H93" s="39">
        <f>G93*1.2247</f>
        <v>17.442349492186398</v>
      </c>
      <c r="I93" s="40"/>
      <c r="J93" s="41"/>
      <c r="K93" s="41"/>
      <c r="L93" s="2"/>
      <c r="M93" s="2"/>
      <c r="N93" s="2"/>
      <c r="O93" s="2"/>
      <c r="P93" s="2"/>
      <c r="Q93" s="42"/>
      <c r="R93" s="43"/>
      <c r="S93" s="44">
        <f>MEMORIAL!AJ484</f>
        <v>391.25619999999992</v>
      </c>
      <c r="T93" s="44"/>
      <c r="U93" s="44">
        <f>F93+S93-T93</f>
        <v>391.25619999999992</v>
      </c>
      <c r="V93" s="45">
        <f>ROUND(H93*S93,2)</f>
        <v>6824.43</v>
      </c>
      <c r="W93" s="45">
        <f t="shared" ref="W93:W94" si="44">ROUND(H93*T93,2)</f>
        <v>0</v>
      </c>
      <c r="X93" s="45">
        <f t="shared" ref="X93:X94" si="45">ROUND(H93*U93,2)</f>
        <v>6824.43</v>
      </c>
    </row>
    <row r="94" spans="1:24" ht="24" x14ac:dyDescent="0.2">
      <c r="A94" s="7" t="s">
        <v>1131</v>
      </c>
      <c r="B94" s="8" t="s">
        <v>1134</v>
      </c>
      <c r="C94" s="7" t="s">
        <v>1133</v>
      </c>
      <c r="D94" s="8" t="s">
        <v>1135</v>
      </c>
      <c r="E94" s="8" t="s">
        <v>1136</v>
      </c>
      <c r="F94" s="39"/>
      <c r="G94" s="39">
        <f>55.57*0.980188611</f>
        <v>54.469081113270001</v>
      </c>
      <c r="H94" s="39">
        <f t="shared" ref="H94" si="46">G94*1.2247</f>
        <v>66.708283639421765</v>
      </c>
      <c r="I94" s="40"/>
      <c r="J94" s="41"/>
      <c r="K94" s="41"/>
      <c r="L94" s="2"/>
      <c r="M94" s="2"/>
      <c r="N94" s="2"/>
      <c r="O94" s="2"/>
      <c r="P94" s="2"/>
      <c r="Q94" s="42"/>
      <c r="R94" s="43"/>
      <c r="S94" s="44">
        <f>MEMORIAL!AJ490</f>
        <v>178.64999999999998</v>
      </c>
      <c r="T94" s="44"/>
      <c r="U94" s="44">
        <f t="shared" ref="U94" si="47">F94+S94-T94</f>
        <v>178.64999999999998</v>
      </c>
      <c r="V94" s="45">
        <f t="shared" ref="V94" si="48">ROUND(H94*S94,2)</f>
        <v>11917.43</v>
      </c>
      <c r="W94" s="45">
        <f t="shared" si="44"/>
        <v>0</v>
      </c>
      <c r="X94" s="45">
        <f t="shared" si="45"/>
        <v>11917.43</v>
      </c>
    </row>
    <row r="95" spans="1:24" x14ac:dyDescent="0.2">
      <c r="A95" s="48" t="s">
        <v>193</v>
      </c>
      <c r="B95" s="269" t="s">
        <v>194</v>
      </c>
      <c r="C95" s="269"/>
      <c r="D95" s="269"/>
      <c r="E95" s="269"/>
      <c r="F95" s="269"/>
      <c r="G95" s="269"/>
      <c r="H95" s="269"/>
      <c r="I95" s="49">
        <v>38022.5</v>
      </c>
      <c r="J95" s="50">
        <v>46563.02</v>
      </c>
      <c r="K95" s="51"/>
      <c r="L95" s="51"/>
      <c r="M95" s="51"/>
      <c r="N95" s="51"/>
      <c r="O95" s="51"/>
      <c r="P95" s="51"/>
      <c r="Q95" s="42"/>
      <c r="R95" s="43"/>
      <c r="S95" s="44"/>
      <c r="T95" s="44"/>
      <c r="U95" s="44"/>
      <c r="V95" s="53">
        <f>SUM(V96:V97)</f>
        <v>0</v>
      </c>
      <c r="W95" s="53">
        <f t="shared" ref="W95" si="49">SUM(W96:W97)</f>
        <v>35258.42</v>
      </c>
      <c r="X95" s="53">
        <f>SUM(X96:X97)</f>
        <v>11304.6</v>
      </c>
    </row>
    <row r="96" spans="1:24" ht="36" x14ac:dyDescent="0.2">
      <c r="A96" s="7" t="s">
        <v>195</v>
      </c>
      <c r="B96" s="8" t="s">
        <v>196</v>
      </c>
      <c r="C96" s="7" t="s">
        <v>197</v>
      </c>
      <c r="D96" s="8" t="s">
        <v>18</v>
      </c>
      <c r="E96" s="8" t="s">
        <v>19</v>
      </c>
      <c r="F96" s="39">
        <v>92.29</v>
      </c>
      <c r="G96" s="39">
        <v>100.02</v>
      </c>
      <c r="H96" s="39">
        <v>122.49</v>
      </c>
      <c r="I96" s="40">
        <v>9230.85</v>
      </c>
      <c r="J96" s="41">
        <v>11304.6</v>
      </c>
      <c r="K96" s="41">
        <f>F96</f>
        <v>92.29</v>
      </c>
      <c r="L96" s="2">
        <f>0</f>
        <v>0</v>
      </c>
      <c r="M96" s="2"/>
      <c r="N96" s="2"/>
      <c r="O96" s="2"/>
      <c r="P96" s="2"/>
      <c r="Q96" s="42">
        <f t="shared" si="38"/>
        <v>92.29</v>
      </c>
      <c r="R96" s="43">
        <f>Q96/F96</f>
        <v>1</v>
      </c>
      <c r="S96" s="44"/>
      <c r="T96" s="44"/>
      <c r="U96" s="44">
        <f t="shared" si="36"/>
        <v>92.29</v>
      </c>
      <c r="V96" s="45">
        <f t="shared" si="30"/>
        <v>0</v>
      </c>
      <c r="W96" s="45">
        <f t="shared" si="31"/>
        <v>0</v>
      </c>
      <c r="X96" s="45">
        <f t="shared" si="37"/>
        <v>11304.6</v>
      </c>
    </row>
    <row r="97" spans="1:24" ht="24" x14ac:dyDescent="0.2">
      <c r="A97" s="7" t="s">
        <v>198</v>
      </c>
      <c r="B97" s="8" t="s">
        <v>199</v>
      </c>
      <c r="C97" s="7" t="s">
        <v>200</v>
      </c>
      <c r="D97" s="8" t="s">
        <v>18</v>
      </c>
      <c r="E97" s="8" t="s">
        <v>19</v>
      </c>
      <c r="F97" s="39">
        <v>630.29</v>
      </c>
      <c r="G97" s="39">
        <v>45.68</v>
      </c>
      <c r="H97" s="39">
        <v>55.94</v>
      </c>
      <c r="I97" s="40">
        <v>28791.65</v>
      </c>
      <c r="J97" s="41">
        <v>35258.42</v>
      </c>
      <c r="K97" s="41">
        <f>0</f>
        <v>0</v>
      </c>
      <c r="L97" s="2">
        <v>0</v>
      </c>
      <c r="M97" s="2"/>
      <c r="N97" s="2"/>
      <c r="O97" s="2"/>
      <c r="P97" s="2"/>
      <c r="Q97" s="42">
        <f t="shared" si="38"/>
        <v>0</v>
      </c>
      <c r="R97" s="43">
        <f>Q97/F97</f>
        <v>0</v>
      </c>
      <c r="S97" s="44"/>
      <c r="T97" s="44">
        <f>F97</f>
        <v>630.29</v>
      </c>
      <c r="U97" s="44">
        <f t="shared" si="36"/>
        <v>0</v>
      </c>
      <c r="V97" s="45">
        <f t="shared" si="30"/>
        <v>0</v>
      </c>
      <c r="W97" s="45">
        <f t="shared" si="31"/>
        <v>35258.42</v>
      </c>
      <c r="X97" s="45">
        <f t="shared" si="37"/>
        <v>0</v>
      </c>
    </row>
    <row r="98" spans="1:24" x14ac:dyDescent="0.2">
      <c r="A98" s="48" t="s">
        <v>201</v>
      </c>
      <c r="B98" s="269" t="s">
        <v>202</v>
      </c>
      <c r="C98" s="269"/>
      <c r="D98" s="269"/>
      <c r="E98" s="269"/>
      <c r="F98" s="269"/>
      <c r="G98" s="269"/>
      <c r="H98" s="269"/>
      <c r="I98" s="49">
        <v>80042.11</v>
      </c>
      <c r="J98" s="50">
        <v>98030.42</v>
      </c>
      <c r="K98" s="51"/>
      <c r="L98" s="51"/>
      <c r="M98" s="51"/>
      <c r="N98" s="51"/>
      <c r="O98" s="51"/>
      <c r="P98" s="51"/>
      <c r="Q98" s="42"/>
      <c r="R98" s="43"/>
      <c r="S98" s="44"/>
      <c r="T98" s="44"/>
      <c r="U98" s="44"/>
      <c r="V98" s="53">
        <f>SUM(V99:V106)</f>
        <v>53156.92</v>
      </c>
      <c r="W98" s="53">
        <f t="shared" ref="W98" si="50">SUM(W99:W106)</f>
        <v>19045.990000000002</v>
      </c>
      <c r="X98" s="53">
        <f>SUM(X99:X106)</f>
        <v>132141.34999999998</v>
      </c>
    </row>
    <row r="99" spans="1:24" ht="36" x14ac:dyDescent="0.2">
      <c r="A99" s="7" t="s">
        <v>203</v>
      </c>
      <c r="B99" s="8" t="s">
        <v>204</v>
      </c>
      <c r="C99" s="7" t="s">
        <v>205</v>
      </c>
      <c r="D99" s="8" t="s">
        <v>18</v>
      </c>
      <c r="E99" s="8" t="s">
        <v>19</v>
      </c>
      <c r="F99" s="39">
        <v>757.22</v>
      </c>
      <c r="G99" s="39">
        <v>3.38</v>
      </c>
      <c r="H99" s="39">
        <v>4.1399999999999997</v>
      </c>
      <c r="I99" s="40">
        <v>2559.4</v>
      </c>
      <c r="J99" s="41">
        <v>3134.89</v>
      </c>
      <c r="K99" s="41">
        <f>0</f>
        <v>0</v>
      </c>
      <c r="L99" s="2">
        <v>757.22</v>
      </c>
      <c r="M99" s="2"/>
      <c r="N99" s="2"/>
      <c r="O99" s="2"/>
      <c r="P99" s="2"/>
      <c r="Q99" s="42">
        <f t="shared" si="38"/>
        <v>757.22</v>
      </c>
      <c r="R99" s="43">
        <f t="shared" ref="R99:R106" si="51">Q99/F99</f>
        <v>1</v>
      </c>
      <c r="S99" s="44"/>
      <c r="T99" s="44"/>
      <c r="U99" s="44">
        <f>F99+S99-T99</f>
        <v>757.22</v>
      </c>
      <c r="V99" s="45">
        <f t="shared" si="30"/>
        <v>0</v>
      </c>
      <c r="W99" s="45">
        <f t="shared" si="31"/>
        <v>0</v>
      </c>
      <c r="X99" s="45">
        <f t="shared" si="37"/>
        <v>3134.89</v>
      </c>
    </row>
    <row r="100" spans="1:24" ht="48" x14ac:dyDescent="0.2">
      <c r="A100" s="7" t="s">
        <v>206</v>
      </c>
      <c r="B100" s="8" t="s">
        <v>207</v>
      </c>
      <c r="C100" s="7" t="s">
        <v>208</v>
      </c>
      <c r="D100" s="8" t="s">
        <v>18</v>
      </c>
      <c r="E100" s="8" t="s">
        <v>19</v>
      </c>
      <c r="F100" s="39">
        <v>378.61</v>
      </c>
      <c r="G100" s="39">
        <v>5.07</v>
      </c>
      <c r="H100" s="39">
        <v>6.21</v>
      </c>
      <c r="I100" s="40">
        <v>1919.55</v>
      </c>
      <c r="J100" s="41">
        <v>2351.17</v>
      </c>
      <c r="K100" s="41">
        <f>0</f>
        <v>0</v>
      </c>
      <c r="L100" s="2">
        <v>223.82</v>
      </c>
      <c r="M100" s="2">
        <v>98</v>
      </c>
      <c r="N100" s="4"/>
      <c r="O100" s="4">
        <v>56.79</v>
      </c>
      <c r="P100" s="4"/>
      <c r="Q100" s="42">
        <f t="shared" si="38"/>
        <v>378.61</v>
      </c>
      <c r="R100" s="43">
        <f t="shared" si="51"/>
        <v>1</v>
      </c>
      <c r="S100" s="44">
        <f>MEMORIAL!AJ571-F100</f>
        <v>487.43050000000005</v>
      </c>
      <c r="T100" s="44"/>
      <c r="U100" s="44">
        <f>F100+S100-T100</f>
        <v>866.04050000000007</v>
      </c>
      <c r="V100" s="45">
        <f t="shared" si="30"/>
        <v>3026.94</v>
      </c>
      <c r="W100" s="45">
        <f t="shared" si="31"/>
        <v>0</v>
      </c>
      <c r="X100" s="45">
        <f t="shared" si="37"/>
        <v>5378.11</v>
      </c>
    </row>
    <row r="101" spans="1:24" ht="42" customHeight="1" x14ac:dyDescent="0.2">
      <c r="A101" s="7" t="s">
        <v>209</v>
      </c>
      <c r="B101" s="8" t="s">
        <v>210</v>
      </c>
      <c r="C101" s="7" t="s">
        <v>211</v>
      </c>
      <c r="D101" s="8" t="s">
        <v>18</v>
      </c>
      <c r="E101" s="8" t="s">
        <v>19</v>
      </c>
      <c r="F101" s="39">
        <v>394</v>
      </c>
      <c r="G101" s="39">
        <f>H101/1.2247</f>
        <v>3.7315260880215568</v>
      </c>
      <c r="H101" s="39">
        <v>4.57</v>
      </c>
      <c r="I101" s="40">
        <v>1469.62</v>
      </c>
      <c r="J101" s="41">
        <v>1800.58</v>
      </c>
      <c r="K101" s="41">
        <f>0</f>
        <v>0</v>
      </c>
      <c r="L101" s="2">
        <v>394</v>
      </c>
      <c r="M101" s="2"/>
      <c r="N101" s="2"/>
      <c r="O101" s="2"/>
      <c r="P101" s="2"/>
      <c r="Q101" s="42">
        <f t="shared" si="38"/>
        <v>394</v>
      </c>
      <c r="R101" s="43">
        <f t="shared" si="51"/>
        <v>1</v>
      </c>
      <c r="S101" s="44"/>
      <c r="T101" s="44">
        <f>(F99+F101)-MEMORIAL!AJ544</f>
        <v>262.09800000000018</v>
      </c>
      <c r="U101" s="44">
        <f t="shared" si="36"/>
        <v>131.90199999999982</v>
      </c>
      <c r="V101" s="45">
        <f t="shared" si="30"/>
        <v>0</v>
      </c>
      <c r="W101" s="45">
        <f t="shared" si="31"/>
        <v>1197.79</v>
      </c>
      <c r="X101" s="45">
        <f t="shared" si="37"/>
        <v>602.79</v>
      </c>
    </row>
    <row r="102" spans="1:24" ht="60" x14ac:dyDescent="0.2">
      <c r="A102" s="7" t="s">
        <v>212</v>
      </c>
      <c r="B102" s="8" t="s">
        <v>213</v>
      </c>
      <c r="C102" s="7" t="s">
        <v>214</v>
      </c>
      <c r="D102" s="8" t="s">
        <v>18</v>
      </c>
      <c r="E102" s="8" t="s">
        <v>19</v>
      </c>
      <c r="F102" s="39">
        <v>470.96</v>
      </c>
      <c r="G102" s="39">
        <v>25.45</v>
      </c>
      <c r="H102" s="39">
        <v>31.17</v>
      </c>
      <c r="I102" s="40">
        <v>11985.93</v>
      </c>
      <c r="J102" s="41">
        <v>14679.82</v>
      </c>
      <c r="K102" s="41">
        <f>0</f>
        <v>0</v>
      </c>
      <c r="L102" s="2"/>
      <c r="M102" s="3">
        <f>F102</f>
        <v>470.96</v>
      </c>
      <c r="N102" s="3"/>
      <c r="O102" s="3"/>
      <c r="P102" s="3"/>
      <c r="Q102" s="42">
        <f t="shared" si="38"/>
        <v>470.96</v>
      </c>
      <c r="R102" s="43">
        <f t="shared" si="51"/>
        <v>1</v>
      </c>
      <c r="S102" s="44">
        <f>MEMORIAL!AJ650-F102</f>
        <v>120.71399999999988</v>
      </c>
      <c r="T102" s="44"/>
      <c r="U102" s="44">
        <f t="shared" si="36"/>
        <v>591.67399999999986</v>
      </c>
      <c r="V102" s="45">
        <f t="shared" si="30"/>
        <v>3762.66</v>
      </c>
      <c r="W102" s="45">
        <f t="shared" si="31"/>
        <v>0</v>
      </c>
      <c r="X102" s="45">
        <f t="shared" si="37"/>
        <v>18442.48</v>
      </c>
    </row>
    <row r="103" spans="1:24" ht="60" x14ac:dyDescent="0.2">
      <c r="A103" s="7" t="s">
        <v>215</v>
      </c>
      <c r="B103" s="8" t="s">
        <v>216</v>
      </c>
      <c r="C103" s="7" t="s">
        <v>217</v>
      </c>
      <c r="D103" s="8" t="s">
        <v>18</v>
      </c>
      <c r="E103" s="8" t="s">
        <v>19</v>
      </c>
      <c r="F103" s="39">
        <v>286.27</v>
      </c>
      <c r="G103" s="39">
        <v>29.11</v>
      </c>
      <c r="H103" s="39">
        <v>35.65</v>
      </c>
      <c r="I103" s="40">
        <v>8333.32</v>
      </c>
      <c r="J103" s="41">
        <v>10205.530000000001</v>
      </c>
      <c r="K103" s="41">
        <f>0</f>
        <v>0</v>
      </c>
      <c r="L103" s="2">
        <f>F103</f>
        <v>286.27</v>
      </c>
      <c r="M103" s="2"/>
      <c r="N103" s="2"/>
      <c r="O103" s="2"/>
      <c r="P103" s="2"/>
      <c r="Q103" s="42">
        <f t="shared" si="38"/>
        <v>286.27</v>
      </c>
      <c r="R103" s="43">
        <f t="shared" si="51"/>
        <v>1</v>
      </c>
      <c r="S103" s="44">
        <f>MEMORIAL!AJ722-F103</f>
        <v>664.31000000000006</v>
      </c>
      <c r="T103" s="44"/>
      <c r="U103" s="44">
        <f t="shared" si="36"/>
        <v>950.58</v>
      </c>
      <c r="V103" s="45">
        <f t="shared" si="30"/>
        <v>23682.65</v>
      </c>
      <c r="W103" s="45">
        <f t="shared" si="31"/>
        <v>0</v>
      </c>
      <c r="X103" s="45">
        <f t="shared" si="37"/>
        <v>33888.18</v>
      </c>
    </row>
    <row r="104" spans="1:24" ht="60" x14ac:dyDescent="0.2">
      <c r="A104" s="7" t="s">
        <v>218</v>
      </c>
      <c r="B104" s="8" t="s">
        <v>219</v>
      </c>
      <c r="C104" s="7" t="s">
        <v>220</v>
      </c>
      <c r="D104" s="8" t="s">
        <v>18</v>
      </c>
      <c r="E104" s="8" t="s">
        <v>19</v>
      </c>
      <c r="F104" s="39">
        <v>394</v>
      </c>
      <c r="G104" s="39">
        <v>36.99</v>
      </c>
      <c r="H104" s="39">
        <v>45.3</v>
      </c>
      <c r="I104" s="40">
        <v>14574.06</v>
      </c>
      <c r="J104" s="41">
        <v>17848.2</v>
      </c>
      <c r="K104" s="41">
        <f>0</f>
        <v>0</v>
      </c>
      <c r="L104" s="2">
        <f>0</f>
        <v>0</v>
      </c>
      <c r="M104" s="2"/>
      <c r="N104" s="4" t="e">
        <f>#REF!</f>
        <v>#REF!</v>
      </c>
      <c r="O104" s="4">
        <v>73</v>
      </c>
      <c r="P104" s="4"/>
      <c r="Q104" s="42">
        <v>394.01600000000002</v>
      </c>
      <c r="R104" s="43">
        <f t="shared" si="51"/>
        <v>1.0000406091370559</v>
      </c>
      <c r="S104" s="44"/>
      <c r="T104" s="44">
        <f>F104</f>
        <v>394</v>
      </c>
      <c r="U104" s="44">
        <f t="shared" si="36"/>
        <v>0</v>
      </c>
      <c r="V104" s="45">
        <f t="shared" si="30"/>
        <v>0</v>
      </c>
      <c r="W104" s="45">
        <f t="shared" si="31"/>
        <v>17848.2</v>
      </c>
      <c r="X104" s="45">
        <f t="shared" si="37"/>
        <v>0</v>
      </c>
    </row>
    <row r="105" spans="1:24" ht="48" x14ac:dyDescent="0.2">
      <c r="A105" s="7" t="s">
        <v>221</v>
      </c>
      <c r="B105" s="8" t="s">
        <v>222</v>
      </c>
      <c r="C105" s="7" t="s">
        <v>223</v>
      </c>
      <c r="D105" s="8" t="s">
        <v>224</v>
      </c>
      <c r="E105" s="8" t="s">
        <v>225</v>
      </c>
      <c r="F105" s="39">
        <v>171.54</v>
      </c>
      <c r="G105" s="39">
        <v>106.3</v>
      </c>
      <c r="H105" s="39">
        <v>130.19</v>
      </c>
      <c r="I105" s="40">
        <v>18234.7</v>
      </c>
      <c r="J105" s="41">
        <v>22332.79</v>
      </c>
      <c r="K105" s="41">
        <f>0</f>
        <v>0</v>
      </c>
      <c r="L105" s="2">
        <f>0</f>
        <v>0</v>
      </c>
      <c r="M105" s="2"/>
      <c r="N105" s="2"/>
      <c r="O105" s="2"/>
      <c r="P105" s="2">
        <v>171.54</v>
      </c>
      <c r="Q105" s="42">
        <f t="shared" si="38"/>
        <v>171.54</v>
      </c>
      <c r="R105" s="43">
        <f t="shared" si="51"/>
        <v>1</v>
      </c>
      <c r="S105" s="44">
        <f>MEMORIAL!AJ767-REPROGRAMAÇÃO!F105</f>
        <v>26.758500000000026</v>
      </c>
      <c r="T105" s="44"/>
      <c r="U105" s="44">
        <f t="shared" si="36"/>
        <v>198.29850000000002</v>
      </c>
      <c r="V105" s="45">
        <f t="shared" si="30"/>
        <v>3483.69</v>
      </c>
      <c r="W105" s="45">
        <f t="shared" si="31"/>
        <v>0</v>
      </c>
      <c r="X105" s="45">
        <f t="shared" si="37"/>
        <v>25816.48</v>
      </c>
    </row>
    <row r="106" spans="1:24" ht="48" x14ac:dyDescent="0.2">
      <c r="A106" s="7" t="s">
        <v>226</v>
      </c>
      <c r="B106" s="8" t="s">
        <v>227</v>
      </c>
      <c r="C106" s="7" t="s">
        <v>228</v>
      </c>
      <c r="D106" s="8" t="s">
        <v>18</v>
      </c>
      <c r="E106" s="8" t="s">
        <v>19</v>
      </c>
      <c r="F106" s="39">
        <v>273.63</v>
      </c>
      <c r="G106" s="39">
        <v>76.62</v>
      </c>
      <c r="H106" s="39">
        <v>93.84</v>
      </c>
      <c r="I106" s="40">
        <v>20965.53</v>
      </c>
      <c r="J106" s="41">
        <v>25677.439999999999</v>
      </c>
      <c r="K106" s="41">
        <f>0</f>
        <v>0</v>
      </c>
      <c r="L106" s="2">
        <f>0</f>
        <v>0</v>
      </c>
      <c r="M106" s="2"/>
      <c r="N106" s="2"/>
      <c r="O106" s="2"/>
      <c r="P106" s="2">
        <v>273.63</v>
      </c>
      <c r="Q106" s="42">
        <f t="shared" si="38"/>
        <v>273.63</v>
      </c>
      <c r="R106" s="43">
        <f t="shared" si="51"/>
        <v>1</v>
      </c>
      <c r="S106" s="44">
        <f>MEMORIAL!AJ826-REPROGRAMAÇÃO!F106</f>
        <v>204.61400000000003</v>
      </c>
      <c r="T106" s="44"/>
      <c r="U106" s="44">
        <f t="shared" si="36"/>
        <v>478.24400000000003</v>
      </c>
      <c r="V106" s="45">
        <f>ROUND(H106*S106,2)</f>
        <v>19200.98</v>
      </c>
      <c r="W106" s="45">
        <f t="shared" si="31"/>
        <v>0</v>
      </c>
      <c r="X106" s="45">
        <f t="shared" si="37"/>
        <v>44878.42</v>
      </c>
    </row>
    <row r="107" spans="1:24" x14ac:dyDescent="0.2">
      <c r="A107" s="48" t="s">
        <v>229</v>
      </c>
      <c r="B107" s="269" t="s">
        <v>230</v>
      </c>
      <c r="C107" s="269"/>
      <c r="D107" s="269"/>
      <c r="E107" s="269"/>
      <c r="F107" s="269"/>
      <c r="G107" s="269"/>
      <c r="H107" s="269"/>
      <c r="I107" s="49">
        <v>83441.86</v>
      </c>
      <c r="J107" s="50">
        <v>102188.04</v>
      </c>
      <c r="K107" s="51"/>
      <c r="L107" s="51"/>
      <c r="M107" s="51"/>
      <c r="N107" s="51"/>
      <c r="O107" s="51"/>
      <c r="P107" s="51"/>
      <c r="Q107" s="42"/>
      <c r="R107" s="43"/>
      <c r="S107" s="44"/>
      <c r="T107" s="44"/>
      <c r="U107" s="44"/>
      <c r="V107" s="53">
        <f>SUM(V108:V122)</f>
        <v>55871.61</v>
      </c>
      <c r="W107" s="53">
        <f>SUM(W108:W122)</f>
        <v>58784.12</v>
      </c>
      <c r="X107" s="53">
        <f>SUM(X108:X122)</f>
        <v>99275.540000000008</v>
      </c>
    </row>
    <row r="108" spans="1:24" ht="36" x14ac:dyDescent="0.2">
      <c r="A108" s="7" t="s">
        <v>231</v>
      </c>
      <c r="B108" s="8" t="s">
        <v>232</v>
      </c>
      <c r="C108" s="7" t="s">
        <v>233</v>
      </c>
      <c r="D108" s="8" t="s">
        <v>18</v>
      </c>
      <c r="E108" s="8" t="s">
        <v>19</v>
      </c>
      <c r="F108" s="39">
        <v>413.25</v>
      </c>
      <c r="G108" s="39">
        <v>39.17</v>
      </c>
      <c r="H108" s="39">
        <v>47.97</v>
      </c>
      <c r="I108" s="40">
        <v>16187</v>
      </c>
      <c r="J108" s="41">
        <v>19823.599999999999</v>
      </c>
      <c r="K108" s="41">
        <f>0</f>
        <v>0</v>
      </c>
      <c r="L108" s="2">
        <f>0</f>
        <v>0</v>
      </c>
      <c r="M108" s="2"/>
      <c r="N108" s="2"/>
      <c r="O108" s="2"/>
      <c r="P108" s="2">
        <v>413.25</v>
      </c>
      <c r="Q108" s="42">
        <f t="shared" si="38"/>
        <v>413.25</v>
      </c>
      <c r="R108" s="43">
        <f t="shared" ref="R108:R117" si="52">Q108/F108</f>
        <v>1</v>
      </c>
      <c r="S108" s="44"/>
      <c r="T108" s="44">
        <f>F108-MEMORIAL!AJ855</f>
        <v>25.031000000000006</v>
      </c>
      <c r="U108" s="44">
        <f t="shared" si="36"/>
        <v>388.21899999999999</v>
      </c>
      <c r="V108" s="45">
        <f t="shared" si="30"/>
        <v>0</v>
      </c>
      <c r="W108" s="45">
        <f t="shared" si="31"/>
        <v>1200.74</v>
      </c>
      <c r="X108" s="45">
        <f t="shared" si="37"/>
        <v>18622.87</v>
      </c>
    </row>
    <row r="109" spans="1:24" ht="42.75" customHeight="1" x14ac:dyDescent="0.2">
      <c r="A109" s="7" t="s">
        <v>234</v>
      </c>
      <c r="B109" s="8" t="s">
        <v>235</v>
      </c>
      <c r="C109" s="7" t="s">
        <v>236</v>
      </c>
      <c r="D109" s="8" t="s">
        <v>18</v>
      </c>
      <c r="E109" s="8" t="s">
        <v>19</v>
      </c>
      <c r="F109" s="39">
        <v>413.25</v>
      </c>
      <c r="G109" s="39">
        <v>43.63</v>
      </c>
      <c r="H109" s="39">
        <v>53.43</v>
      </c>
      <c r="I109" s="40">
        <v>18030.099999999999</v>
      </c>
      <c r="J109" s="41">
        <v>22079.95</v>
      </c>
      <c r="K109" s="41">
        <f>0</f>
        <v>0</v>
      </c>
      <c r="L109" s="2">
        <f>0</f>
        <v>0</v>
      </c>
      <c r="M109" s="2"/>
      <c r="N109" s="2"/>
      <c r="O109" s="2">
        <v>413.25</v>
      </c>
      <c r="P109" s="2"/>
      <c r="Q109" s="42">
        <f t="shared" si="38"/>
        <v>413.25</v>
      </c>
      <c r="R109" s="43">
        <f t="shared" si="52"/>
        <v>1</v>
      </c>
      <c r="S109" s="44"/>
      <c r="T109" s="44">
        <f t="shared" ref="T109:T115" si="53">F109</f>
        <v>413.25</v>
      </c>
      <c r="U109" s="44">
        <f t="shared" si="36"/>
        <v>0</v>
      </c>
      <c r="V109" s="45">
        <f t="shared" si="30"/>
        <v>0</v>
      </c>
      <c r="W109" s="45">
        <f t="shared" si="31"/>
        <v>22079.95</v>
      </c>
      <c r="X109" s="45">
        <f t="shared" si="37"/>
        <v>0</v>
      </c>
    </row>
    <row r="110" spans="1:24" ht="18" customHeight="1" x14ac:dyDescent="0.2">
      <c r="A110" s="7" t="s">
        <v>237</v>
      </c>
      <c r="B110" s="8" t="s">
        <v>238</v>
      </c>
      <c r="C110" s="7" t="s">
        <v>239</v>
      </c>
      <c r="D110" s="8" t="s">
        <v>224</v>
      </c>
      <c r="E110" s="8" t="s">
        <v>225</v>
      </c>
      <c r="F110" s="39">
        <v>413.25</v>
      </c>
      <c r="G110" s="39">
        <v>20.97</v>
      </c>
      <c r="H110" s="39">
        <v>25.68</v>
      </c>
      <c r="I110" s="40">
        <v>8665.85</v>
      </c>
      <c r="J110" s="41">
        <v>10612.26</v>
      </c>
      <c r="K110" s="41">
        <f>0</f>
        <v>0</v>
      </c>
      <c r="L110" s="2">
        <f>0</f>
        <v>0</v>
      </c>
      <c r="M110" s="2"/>
      <c r="N110" s="2"/>
      <c r="O110" s="2"/>
      <c r="P110" s="2">
        <v>262.39</v>
      </c>
      <c r="Q110" s="42">
        <f t="shared" si="38"/>
        <v>262.39</v>
      </c>
      <c r="R110" s="43">
        <f t="shared" si="52"/>
        <v>0.63494252873563217</v>
      </c>
      <c r="S110" s="44"/>
      <c r="T110" s="44">
        <f>F110</f>
        <v>413.25</v>
      </c>
      <c r="U110" s="44">
        <f t="shared" si="36"/>
        <v>0</v>
      </c>
      <c r="V110" s="45">
        <f t="shared" si="30"/>
        <v>0</v>
      </c>
      <c r="W110" s="45">
        <f t="shared" si="31"/>
        <v>10612.26</v>
      </c>
      <c r="X110" s="45">
        <f t="shared" si="37"/>
        <v>0</v>
      </c>
    </row>
    <row r="111" spans="1:24" ht="18.75" customHeight="1" x14ac:dyDescent="0.2">
      <c r="A111" s="7" t="s">
        <v>240</v>
      </c>
      <c r="B111" s="8" t="s">
        <v>241</v>
      </c>
      <c r="C111" s="7" t="s">
        <v>242</v>
      </c>
      <c r="D111" s="8" t="s">
        <v>18</v>
      </c>
      <c r="E111" s="8" t="s">
        <v>23</v>
      </c>
      <c r="F111" s="39">
        <v>296.33</v>
      </c>
      <c r="G111" s="39">
        <v>51.31</v>
      </c>
      <c r="H111" s="39">
        <v>62.84</v>
      </c>
      <c r="I111" s="40">
        <v>15204.69</v>
      </c>
      <c r="J111" s="41">
        <v>18621.38</v>
      </c>
      <c r="K111" s="41">
        <f>0</f>
        <v>0</v>
      </c>
      <c r="L111" s="2">
        <f>0</f>
        <v>0</v>
      </c>
      <c r="M111" s="2"/>
      <c r="N111" s="2"/>
      <c r="O111" s="2"/>
      <c r="P111" s="2"/>
      <c r="Q111" s="42">
        <f t="shared" si="38"/>
        <v>0</v>
      </c>
      <c r="R111" s="43">
        <f t="shared" si="52"/>
        <v>0</v>
      </c>
      <c r="S111" s="44"/>
      <c r="T111" s="44">
        <f>F111</f>
        <v>296.33</v>
      </c>
      <c r="U111" s="44">
        <f t="shared" si="36"/>
        <v>0</v>
      </c>
      <c r="V111" s="45">
        <f t="shared" si="30"/>
        <v>0</v>
      </c>
      <c r="W111" s="45">
        <f t="shared" si="31"/>
        <v>18621.38</v>
      </c>
      <c r="X111" s="45">
        <f t="shared" si="37"/>
        <v>0</v>
      </c>
    </row>
    <row r="112" spans="1:24" ht="24" x14ac:dyDescent="0.2">
      <c r="A112" s="7" t="s">
        <v>243</v>
      </c>
      <c r="B112" s="8" t="s">
        <v>244</v>
      </c>
      <c r="C112" s="7" t="s">
        <v>245</v>
      </c>
      <c r="D112" s="8" t="s">
        <v>18</v>
      </c>
      <c r="E112" s="8" t="s">
        <v>19</v>
      </c>
      <c r="F112" s="39">
        <v>85.92</v>
      </c>
      <c r="G112" s="39">
        <v>26.67</v>
      </c>
      <c r="H112" s="39">
        <v>32.659999999999997</v>
      </c>
      <c r="I112" s="40">
        <v>2291.4899999999998</v>
      </c>
      <c r="J112" s="41">
        <v>2806.15</v>
      </c>
      <c r="K112" s="41">
        <f>0</f>
        <v>0</v>
      </c>
      <c r="L112" s="2">
        <f>0</f>
        <v>0</v>
      </c>
      <c r="M112" s="2"/>
      <c r="N112" s="2"/>
      <c r="O112" s="2">
        <v>85.92</v>
      </c>
      <c r="P112" s="2"/>
      <c r="Q112" s="42">
        <f t="shared" si="38"/>
        <v>85.92</v>
      </c>
      <c r="R112" s="43">
        <f t="shared" si="52"/>
        <v>1</v>
      </c>
      <c r="S112" s="44"/>
      <c r="T112" s="44">
        <f t="shared" si="53"/>
        <v>85.92</v>
      </c>
      <c r="U112" s="44">
        <f t="shared" si="36"/>
        <v>0</v>
      </c>
      <c r="V112" s="45">
        <f t="shared" si="30"/>
        <v>0</v>
      </c>
      <c r="W112" s="45">
        <f t="shared" si="31"/>
        <v>2806.15</v>
      </c>
      <c r="X112" s="45">
        <f t="shared" si="37"/>
        <v>0</v>
      </c>
    </row>
    <row r="113" spans="1:24" ht="36" x14ac:dyDescent="0.2">
      <c r="A113" s="7" t="s">
        <v>246</v>
      </c>
      <c r="B113" s="8" t="s">
        <v>247</v>
      </c>
      <c r="C113" s="7" t="s">
        <v>248</v>
      </c>
      <c r="D113" s="8" t="s">
        <v>18</v>
      </c>
      <c r="E113" s="8" t="s">
        <v>29</v>
      </c>
      <c r="F113" s="39">
        <v>4.37</v>
      </c>
      <c r="G113" s="39">
        <v>146.86000000000001</v>
      </c>
      <c r="H113" s="39">
        <v>179.86</v>
      </c>
      <c r="I113" s="40">
        <v>641.78</v>
      </c>
      <c r="J113" s="41">
        <v>785.99</v>
      </c>
      <c r="K113" s="41">
        <f>0</f>
        <v>0</v>
      </c>
      <c r="L113" s="2">
        <f>0</f>
        <v>0</v>
      </c>
      <c r="M113" s="2"/>
      <c r="N113" s="2"/>
      <c r="O113" s="2">
        <v>4.37</v>
      </c>
      <c r="P113" s="2"/>
      <c r="Q113" s="42">
        <f t="shared" si="38"/>
        <v>4.37</v>
      </c>
      <c r="R113" s="43">
        <f t="shared" si="52"/>
        <v>1</v>
      </c>
      <c r="S113" s="44"/>
      <c r="T113" s="44">
        <f t="shared" si="53"/>
        <v>4.37</v>
      </c>
      <c r="U113" s="44">
        <f t="shared" si="36"/>
        <v>0</v>
      </c>
      <c r="V113" s="45">
        <f t="shared" si="30"/>
        <v>0</v>
      </c>
      <c r="W113" s="45">
        <f t="shared" si="31"/>
        <v>785.99</v>
      </c>
      <c r="X113" s="45">
        <f t="shared" si="37"/>
        <v>0</v>
      </c>
    </row>
    <row r="114" spans="1:24" ht="36" x14ac:dyDescent="0.2">
      <c r="A114" s="7" t="s">
        <v>249</v>
      </c>
      <c r="B114" s="8" t="s">
        <v>250</v>
      </c>
      <c r="C114" s="7" t="s">
        <v>251</v>
      </c>
      <c r="D114" s="8" t="s">
        <v>18</v>
      </c>
      <c r="E114" s="8" t="s">
        <v>19</v>
      </c>
      <c r="F114" s="39">
        <v>58.61</v>
      </c>
      <c r="G114" s="39">
        <v>58.2</v>
      </c>
      <c r="H114" s="39">
        <v>71.28</v>
      </c>
      <c r="I114" s="40">
        <v>3411.1</v>
      </c>
      <c r="J114" s="41">
        <v>4177.72</v>
      </c>
      <c r="K114" s="41">
        <f>0</f>
        <v>0</v>
      </c>
      <c r="L114" s="2">
        <f>0</f>
        <v>0</v>
      </c>
      <c r="M114" s="2"/>
      <c r="N114" s="2"/>
      <c r="O114" s="2"/>
      <c r="P114" s="2"/>
      <c r="Q114" s="42">
        <f t="shared" si="38"/>
        <v>0</v>
      </c>
      <c r="R114" s="43">
        <f t="shared" si="52"/>
        <v>0</v>
      </c>
      <c r="S114" s="44"/>
      <c r="T114" s="44"/>
      <c r="U114" s="44">
        <f t="shared" si="36"/>
        <v>58.61</v>
      </c>
      <c r="V114" s="45">
        <f t="shared" si="30"/>
        <v>0</v>
      </c>
      <c r="W114" s="45">
        <f t="shared" si="31"/>
        <v>0</v>
      </c>
      <c r="X114" s="45">
        <f t="shared" si="37"/>
        <v>4177.72</v>
      </c>
    </row>
    <row r="115" spans="1:24" ht="24" x14ac:dyDescent="0.2">
      <c r="A115" s="7" t="s">
        <v>252</v>
      </c>
      <c r="B115" s="8" t="s">
        <v>238</v>
      </c>
      <c r="C115" s="7" t="s">
        <v>253</v>
      </c>
      <c r="D115" s="8" t="s">
        <v>224</v>
      </c>
      <c r="E115" s="8" t="s">
        <v>225</v>
      </c>
      <c r="F115" s="39">
        <v>104.27</v>
      </c>
      <c r="G115" s="39">
        <v>20.97</v>
      </c>
      <c r="H115" s="39">
        <v>25.68</v>
      </c>
      <c r="I115" s="40">
        <v>2186.54</v>
      </c>
      <c r="J115" s="41">
        <v>2677.65</v>
      </c>
      <c r="K115" s="41">
        <f>0</f>
        <v>0</v>
      </c>
      <c r="L115" s="2">
        <f>0</f>
        <v>0</v>
      </c>
      <c r="M115" s="2"/>
      <c r="N115" s="2"/>
      <c r="O115" s="2"/>
      <c r="P115" s="2">
        <v>104.27</v>
      </c>
      <c r="Q115" s="42">
        <f t="shared" si="38"/>
        <v>104.27</v>
      </c>
      <c r="R115" s="43">
        <f t="shared" si="52"/>
        <v>1</v>
      </c>
      <c r="S115" s="44"/>
      <c r="T115" s="44">
        <f t="shared" si="53"/>
        <v>104.27</v>
      </c>
      <c r="U115" s="44">
        <f t="shared" si="36"/>
        <v>0</v>
      </c>
      <c r="V115" s="45">
        <f t="shared" si="30"/>
        <v>0</v>
      </c>
      <c r="W115" s="45">
        <f t="shared" si="31"/>
        <v>2677.65</v>
      </c>
      <c r="X115" s="45">
        <f t="shared" si="37"/>
        <v>0</v>
      </c>
    </row>
    <row r="116" spans="1:24" ht="24" x14ac:dyDescent="0.2">
      <c r="A116" s="7" t="s">
        <v>254</v>
      </c>
      <c r="B116" s="8" t="s">
        <v>255</v>
      </c>
      <c r="C116" s="7" t="s">
        <v>256</v>
      </c>
      <c r="D116" s="8" t="s">
        <v>18</v>
      </c>
      <c r="E116" s="8" t="s">
        <v>23</v>
      </c>
      <c r="F116" s="39">
        <v>79.48</v>
      </c>
      <c r="G116" s="39">
        <v>174.33</v>
      </c>
      <c r="H116" s="39">
        <v>213.5</v>
      </c>
      <c r="I116" s="40">
        <v>13855.75</v>
      </c>
      <c r="J116" s="41">
        <v>16968.98</v>
      </c>
      <c r="K116" s="41">
        <f>0</f>
        <v>0</v>
      </c>
      <c r="L116" s="2">
        <f>0</f>
        <v>0</v>
      </c>
      <c r="M116" s="2"/>
      <c r="N116" s="2"/>
      <c r="O116" s="2"/>
      <c r="P116" s="2"/>
      <c r="Q116" s="42">
        <f t="shared" si="38"/>
        <v>0</v>
      </c>
      <c r="R116" s="43">
        <f t="shared" si="52"/>
        <v>0</v>
      </c>
      <c r="S116" s="44"/>
      <c r="T116" s="44"/>
      <c r="U116" s="44">
        <f t="shared" si="36"/>
        <v>79.48</v>
      </c>
      <c r="V116" s="45">
        <f t="shared" si="30"/>
        <v>0</v>
      </c>
      <c r="W116" s="45">
        <f t="shared" si="31"/>
        <v>0</v>
      </c>
      <c r="X116" s="45">
        <f t="shared" si="37"/>
        <v>16968.98</v>
      </c>
    </row>
    <row r="117" spans="1:24" x14ac:dyDescent="0.2">
      <c r="A117" s="7" t="s">
        <v>257</v>
      </c>
      <c r="B117" s="8" t="s">
        <v>258</v>
      </c>
      <c r="C117" s="7" t="s">
        <v>259</v>
      </c>
      <c r="D117" s="8" t="s">
        <v>18</v>
      </c>
      <c r="E117" s="8" t="s">
        <v>19</v>
      </c>
      <c r="F117" s="39">
        <v>200.24</v>
      </c>
      <c r="G117" s="39">
        <v>14.82</v>
      </c>
      <c r="H117" s="39">
        <v>18.149999999999999</v>
      </c>
      <c r="I117" s="40">
        <v>2967.56</v>
      </c>
      <c r="J117" s="41">
        <v>3634.36</v>
      </c>
      <c r="K117" s="41">
        <f>0</f>
        <v>0</v>
      </c>
      <c r="L117" s="2">
        <f>0</f>
        <v>0</v>
      </c>
      <c r="M117" s="2"/>
      <c r="N117" s="2"/>
      <c r="O117" s="2"/>
      <c r="P117" s="2"/>
      <c r="Q117" s="42">
        <f t="shared" si="38"/>
        <v>0</v>
      </c>
      <c r="R117" s="43">
        <f t="shared" si="52"/>
        <v>0</v>
      </c>
      <c r="S117" s="44"/>
      <c r="T117" s="44"/>
      <c r="U117" s="44">
        <f t="shared" si="36"/>
        <v>200.24</v>
      </c>
      <c r="V117" s="45">
        <f>ROUND(H117*S117,2)</f>
        <v>0</v>
      </c>
      <c r="W117" s="45">
        <f t="shared" si="31"/>
        <v>0</v>
      </c>
      <c r="X117" s="45">
        <f t="shared" si="37"/>
        <v>3634.36</v>
      </c>
    </row>
    <row r="118" spans="1:24" ht="36" x14ac:dyDescent="0.2">
      <c r="A118" s="7" t="s">
        <v>807</v>
      </c>
      <c r="B118" s="8">
        <v>87251</v>
      </c>
      <c r="C118" s="7" t="s">
        <v>911</v>
      </c>
      <c r="D118" s="8" t="s">
        <v>18</v>
      </c>
      <c r="E118" s="8" t="s">
        <v>19</v>
      </c>
      <c r="F118" s="39"/>
      <c r="G118" s="39">
        <f>53.04*0.980188611</f>
        <v>51.989203927440002</v>
      </c>
      <c r="H118" s="39">
        <f>G118*1.2247</f>
        <v>63.671178049935769</v>
      </c>
      <c r="I118" s="40"/>
      <c r="J118" s="41"/>
      <c r="K118" s="41"/>
      <c r="L118" s="2"/>
      <c r="M118" s="2"/>
      <c r="N118" s="2"/>
      <c r="O118" s="2"/>
      <c r="P118" s="2"/>
      <c r="Q118" s="42"/>
      <c r="R118" s="43"/>
      <c r="S118" s="44">
        <f>MEMORIAL!AJ890</f>
        <v>125.8265</v>
      </c>
      <c r="T118" s="44"/>
      <c r="U118" s="44">
        <f t="shared" ref="U118" si="54">F118+S118-T118</f>
        <v>125.8265</v>
      </c>
      <c r="V118" s="45">
        <f t="shared" ref="V118" si="55">ROUND(H118*S118,2)</f>
        <v>8011.52</v>
      </c>
      <c r="W118" s="45">
        <f t="shared" ref="W118" si="56">ROUND(H118*T118,2)</f>
        <v>0</v>
      </c>
      <c r="X118" s="45">
        <f>ROUND(H118*U118,2)</f>
        <v>8011.52</v>
      </c>
    </row>
    <row r="119" spans="1:24" ht="60" x14ac:dyDescent="0.2">
      <c r="A119" s="7" t="s">
        <v>809</v>
      </c>
      <c r="B119" s="8">
        <v>94779</v>
      </c>
      <c r="C119" s="7" t="s">
        <v>811</v>
      </c>
      <c r="D119" s="8" t="s">
        <v>18</v>
      </c>
      <c r="E119" s="8" t="s">
        <v>19</v>
      </c>
      <c r="F119" s="39"/>
      <c r="G119" s="39">
        <f>36.63*0.980188611</f>
        <v>35.904308820930005</v>
      </c>
      <c r="H119" s="39">
        <f>G119*1.2247</f>
        <v>43.972007012992975</v>
      </c>
      <c r="I119" s="40"/>
      <c r="J119" s="41"/>
      <c r="K119" s="41"/>
      <c r="L119" s="2"/>
      <c r="M119" s="2"/>
      <c r="N119" s="2"/>
      <c r="O119" s="2"/>
      <c r="P119" s="2"/>
      <c r="Q119" s="42"/>
      <c r="R119" s="43"/>
      <c r="S119" s="44">
        <f>MEMORIAL!AJ937</f>
        <v>388.21899999999999</v>
      </c>
      <c r="T119" s="44"/>
      <c r="U119" s="44">
        <f t="shared" ref="U119:U120" si="57">F119+S119-T119</f>
        <v>388.21899999999999</v>
      </c>
      <c r="V119" s="45">
        <f t="shared" ref="V119:V120" si="58">ROUND(H119*S119,2)</f>
        <v>17070.77</v>
      </c>
      <c r="W119" s="45">
        <f t="shared" ref="W119:W120" si="59">ROUND(H119*T119,2)</f>
        <v>0</v>
      </c>
      <c r="X119" s="45">
        <f t="shared" ref="X119:X120" si="60">ROUND(H119*U119,2)</f>
        <v>17070.77</v>
      </c>
    </row>
    <row r="120" spans="1:24" ht="60" x14ac:dyDescent="0.2">
      <c r="A120" s="7" t="s">
        <v>810</v>
      </c>
      <c r="B120" s="8">
        <v>104162</v>
      </c>
      <c r="C120" s="7" t="s">
        <v>808</v>
      </c>
      <c r="D120" s="8" t="s">
        <v>18</v>
      </c>
      <c r="E120" s="8" t="s">
        <v>19</v>
      </c>
      <c r="F120" s="39"/>
      <c r="G120" s="39">
        <f>80.66*0.980188611</f>
        <v>79.062013363259993</v>
      </c>
      <c r="H120" s="39">
        <f>G120*1.2247</f>
        <v>96.827247765984509</v>
      </c>
      <c r="I120" s="40"/>
      <c r="J120" s="41"/>
      <c r="K120" s="41"/>
      <c r="L120" s="2"/>
      <c r="M120" s="2"/>
      <c r="N120" s="2"/>
      <c r="O120" s="2"/>
      <c r="P120" s="2"/>
      <c r="Q120" s="42"/>
      <c r="R120" s="43"/>
      <c r="S120" s="44">
        <f>MEMORIAL!AJ950</f>
        <v>262.39249999999998</v>
      </c>
      <c r="T120" s="44"/>
      <c r="U120" s="44">
        <f t="shared" si="57"/>
        <v>262.39249999999998</v>
      </c>
      <c r="V120" s="45">
        <f t="shared" si="58"/>
        <v>25406.74</v>
      </c>
      <c r="W120" s="45">
        <f t="shared" si="59"/>
        <v>0</v>
      </c>
      <c r="X120" s="45">
        <f t="shared" si="60"/>
        <v>25406.74</v>
      </c>
    </row>
    <row r="121" spans="1:24" ht="36" x14ac:dyDescent="0.2">
      <c r="A121" s="7" t="s">
        <v>888</v>
      </c>
      <c r="B121" s="8">
        <v>94990</v>
      </c>
      <c r="C121" s="7" t="s">
        <v>889</v>
      </c>
      <c r="D121" s="8" t="s">
        <v>18</v>
      </c>
      <c r="E121" s="8" t="s">
        <v>29</v>
      </c>
      <c r="F121" s="39"/>
      <c r="G121" s="39">
        <f>685.56*0.980188611</f>
        <v>671.97810415715992</v>
      </c>
      <c r="H121" s="39">
        <f>G121*1.2247</f>
        <v>822.97158416127365</v>
      </c>
      <c r="I121" s="40"/>
      <c r="J121" s="41"/>
      <c r="K121" s="41"/>
      <c r="L121" s="2"/>
      <c r="M121" s="2"/>
      <c r="N121" s="2"/>
      <c r="O121" s="2"/>
      <c r="P121" s="2"/>
      <c r="Q121" s="42"/>
      <c r="R121" s="43"/>
      <c r="S121" s="44">
        <f>MEMORIAL!AJ957</f>
        <v>6.2351249999999991</v>
      </c>
      <c r="T121" s="44"/>
      <c r="U121" s="44">
        <f t="shared" ref="U121:U122" si="61">F121+S121-T121</f>
        <v>6.2351249999999991</v>
      </c>
      <c r="V121" s="45">
        <f>ROUND(H121*S121,2)</f>
        <v>5131.33</v>
      </c>
      <c r="W121" s="45">
        <f t="shared" ref="W121" si="62">ROUND(H121*T121,2)</f>
        <v>0</v>
      </c>
      <c r="X121" s="45">
        <f t="shared" ref="X121" si="63">ROUND(H121*U121,2)</f>
        <v>5131.33</v>
      </c>
    </row>
    <row r="122" spans="1:24" ht="36" x14ac:dyDescent="0.2">
      <c r="A122" s="7" t="s">
        <v>1127</v>
      </c>
      <c r="B122" s="8">
        <v>94265</v>
      </c>
      <c r="C122" s="7" t="s">
        <v>1128</v>
      </c>
      <c r="D122" s="8" t="s">
        <v>18</v>
      </c>
      <c r="E122" s="8" t="s">
        <v>23</v>
      </c>
      <c r="F122" s="39"/>
      <c r="G122" s="39">
        <f>36.4*0.980188611</f>
        <v>35.678865440399996</v>
      </c>
      <c r="H122" s="39">
        <f>G122*1.2247</f>
        <v>43.695906504857874</v>
      </c>
      <c r="I122" s="40"/>
      <c r="J122" s="41"/>
      <c r="K122" s="41"/>
      <c r="L122" s="2"/>
      <c r="M122" s="2"/>
      <c r="N122" s="2"/>
      <c r="O122" s="2"/>
      <c r="P122" s="2"/>
      <c r="Q122" s="42"/>
      <c r="R122" s="43"/>
      <c r="S122" s="44">
        <f>MEMORIAL!AJ960</f>
        <v>5.75</v>
      </c>
      <c r="T122" s="44"/>
      <c r="U122" s="44">
        <f t="shared" si="61"/>
        <v>5.75</v>
      </c>
      <c r="V122" s="45">
        <f>ROUND(H122*S122,2)</f>
        <v>251.25</v>
      </c>
      <c r="W122" s="45">
        <f t="shared" ref="W122" si="64">ROUND(H122*T122,2)</f>
        <v>0</v>
      </c>
      <c r="X122" s="45">
        <f t="shared" ref="X122" si="65">ROUND(H122*U122,2)</f>
        <v>251.25</v>
      </c>
    </row>
    <row r="123" spans="1:24" x14ac:dyDescent="0.2">
      <c r="A123" s="48" t="s">
        <v>260</v>
      </c>
      <c r="B123" s="269" t="s">
        <v>261</v>
      </c>
      <c r="C123" s="269"/>
      <c r="D123" s="269"/>
      <c r="E123" s="269"/>
      <c r="F123" s="269"/>
      <c r="G123" s="269"/>
      <c r="H123" s="269"/>
      <c r="I123" s="49">
        <v>1400.02</v>
      </c>
      <c r="J123" s="50">
        <v>1714.74</v>
      </c>
      <c r="K123" s="51"/>
      <c r="L123" s="51"/>
      <c r="M123" s="51"/>
      <c r="N123" s="51"/>
      <c r="O123" s="51"/>
      <c r="P123" s="51"/>
      <c r="Q123" s="42"/>
      <c r="R123" s="43"/>
      <c r="S123" s="44"/>
      <c r="T123" s="44"/>
      <c r="U123" s="44"/>
      <c r="V123" s="53">
        <f>SUM(V124:V126)</f>
        <v>0</v>
      </c>
      <c r="W123" s="53">
        <f t="shared" ref="W123" si="66">SUM(W124:W126)</f>
        <v>445.1</v>
      </c>
      <c r="X123" s="53">
        <f>SUM(X124:X126)</f>
        <v>1269.6400000000001</v>
      </c>
    </row>
    <row r="124" spans="1:24" ht="24" x14ac:dyDescent="0.2">
      <c r="A124" s="7" t="s">
        <v>262</v>
      </c>
      <c r="B124" s="8" t="s">
        <v>263</v>
      </c>
      <c r="C124" s="7" t="s">
        <v>264</v>
      </c>
      <c r="D124" s="8" t="s">
        <v>18</v>
      </c>
      <c r="E124" s="8" t="s">
        <v>23</v>
      </c>
      <c r="F124" s="39">
        <v>48.38</v>
      </c>
      <c r="G124" s="39">
        <v>7.51</v>
      </c>
      <c r="H124" s="39">
        <v>9.1999999999999993</v>
      </c>
      <c r="I124" s="40">
        <v>363.33</v>
      </c>
      <c r="J124" s="41">
        <v>445.1</v>
      </c>
      <c r="K124" s="41">
        <f>0</f>
        <v>0</v>
      </c>
      <c r="L124" s="2">
        <f>0</f>
        <v>0</v>
      </c>
      <c r="M124" s="2"/>
      <c r="N124" s="2"/>
      <c r="O124" s="2"/>
      <c r="P124" s="2"/>
      <c r="Q124" s="42">
        <f t="shared" si="38"/>
        <v>0</v>
      </c>
      <c r="R124" s="43">
        <f>Q124/F124</f>
        <v>0</v>
      </c>
      <c r="S124" s="44"/>
      <c r="T124" s="44">
        <f>F124</f>
        <v>48.38</v>
      </c>
      <c r="U124" s="44">
        <f t="shared" si="36"/>
        <v>0</v>
      </c>
      <c r="V124" s="45">
        <f t="shared" si="30"/>
        <v>0</v>
      </c>
      <c r="W124" s="45">
        <f t="shared" si="31"/>
        <v>445.1</v>
      </c>
      <c r="X124" s="45">
        <f t="shared" si="37"/>
        <v>0</v>
      </c>
    </row>
    <row r="125" spans="1:24" ht="24" x14ac:dyDescent="0.2">
      <c r="A125" s="7" t="s">
        <v>265</v>
      </c>
      <c r="B125" s="8" t="s">
        <v>266</v>
      </c>
      <c r="C125" s="7" t="s">
        <v>267</v>
      </c>
      <c r="D125" s="8" t="s">
        <v>18</v>
      </c>
      <c r="E125" s="8" t="s">
        <v>23</v>
      </c>
      <c r="F125" s="39">
        <v>12.18</v>
      </c>
      <c r="G125" s="39">
        <v>73.12</v>
      </c>
      <c r="H125" s="39">
        <v>89.55</v>
      </c>
      <c r="I125" s="40">
        <v>890.6</v>
      </c>
      <c r="J125" s="41">
        <v>1090.72</v>
      </c>
      <c r="K125" s="41">
        <f>0</f>
        <v>0</v>
      </c>
      <c r="L125" s="2">
        <f>0</f>
        <v>0</v>
      </c>
      <c r="M125" s="2"/>
      <c r="N125" s="2"/>
      <c r="O125" s="2"/>
      <c r="P125" s="2"/>
      <c r="Q125" s="42">
        <f t="shared" si="38"/>
        <v>0</v>
      </c>
      <c r="R125" s="43">
        <f>Q125/F125</f>
        <v>0</v>
      </c>
      <c r="S125" s="44"/>
      <c r="T125" s="44"/>
      <c r="U125" s="44">
        <f t="shared" si="36"/>
        <v>12.18</v>
      </c>
      <c r="V125" s="45">
        <f t="shared" si="30"/>
        <v>0</v>
      </c>
      <c r="W125" s="45">
        <f t="shared" si="31"/>
        <v>0</v>
      </c>
      <c r="X125" s="45">
        <f t="shared" si="37"/>
        <v>1090.72</v>
      </c>
    </row>
    <row r="126" spans="1:24" ht="36" x14ac:dyDescent="0.2">
      <c r="A126" s="7" t="s">
        <v>268</v>
      </c>
      <c r="B126" s="8" t="s">
        <v>269</v>
      </c>
      <c r="C126" s="7" t="s">
        <v>270</v>
      </c>
      <c r="D126" s="8" t="s">
        <v>18</v>
      </c>
      <c r="E126" s="8" t="s">
        <v>23</v>
      </c>
      <c r="F126" s="39">
        <v>1.49</v>
      </c>
      <c r="G126" s="39">
        <v>98.05</v>
      </c>
      <c r="H126" s="39">
        <v>120.08</v>
      </c>
      <c r="I126" s="40">
        <v>146.09</v>
      </c>
      <c r="J126" s="41">
        <v>178.92</v>
      </c>
      <c r="K126" s="41">
        <f>0</f>
        <v>0</v>
      </c>
      <c r="L126" s="2">
        <f>0</f>
        <v>0</v>
      </c>
      <c r="M126" s="2"/>
      <c r="N126" s="2"/>
      <c r="O126" s="2"/>
      <c r="P126" s="2"/>
      <c r="Q126" s="42">
        <f t="shared" si="38"/>
        <v>0</v>
      </c>
      <c r="R126" s="43">
        <f>Q126/F126</f>
        <v>0</v>
      </c>
      <c r="S126" s="44"/>
      <c r="T126" s="44"/>
      <c r="U126" s="44">
        <f t="shared" si="36"/>
        <v>1.49</v>
      </c>
      <c r="V126" s="45">
        <f t="shared" si="30"/>
        <v>0</v>
      </c>
      <c r="W126" s="45">
        <f t="shared" si="31"/>
        <v>0</v>
      </c>
      <c r="X126" s="45">
        <f t="shared" si="37"/>
        <v>178.92</v>
      </c>
    </row>
    <row r="127" spans="1:24" x14ac:dyDescent="0.2">
      <c r="A127" s="48" t="s">
        <v>271</v>
      </c>
      <c r="B127" s="269" t="s">
        <v>272</v>
      </c>
      <c r="C127" s="269"/>
      <c r="D127" s="269"/>
      <c r="E127" s="269"/>
      <c r="F127" s="269"/>
      <c r="G127" s="269"/>
      <c r="H127" s="269"/>
      <c r="I127" s="49">
        <v>29427.279999999999</v>
      </c>
      <c r="J127" s="50">
        <v>36042.480000000003</v>
      </c>
      <c r="K127" s="51"/>
      <c r="L127" s="51"/>
      <c r="M127" s="51"/>
      <c r="N127" s="51"/>
      <c r="O127" s="51"/>
      <c r="P127" s="51"/>
      <c r="Q127" s="42"/>
      <c r="R127" s="43"/>
      <c r="S127" s="44"/>
      <c r="T127" s="44"/>
      <c r="U127" s="44"/>
      <c r="V127" s="53">
        <f>SUM(V128:V137)</f>
        <v>23707.710000000003</v>
      </c>
      <c r="W127" s="53">
        <f t="shared" ref="W127" si="67">SUM(W128:W137)</f>
        <v>13597.009999999998</v>
      </c>
      <c r="X127" s="53">
        <f>SUM(X128:X137)</f>
        <v>46153.18</v>
      </c>
    </row>
    <row r="128" spans="1:24" ht="24" x14ac:dyDescent="0.2">
      <c r="A128" s="7" t="s">
        <v>273</v>
      </c>
      <c r="B128" s="8" t="s">
        <v>274</v>
      </c>
      <c r="C128" s="7" t="s">
        <v>275</v>
      </c>
      <c r="D128" s="8" t="s">
        <v>18</v>
      </c>
      <c r="E128" s="8" t="s">
        <v>19</v>
      </c>
      <c r="F128" s="39">
        <v>286.27</v>
      </c>
      <c r="G128" s="39">
        <v>22.35</v>
      </c>
      <c r="H128" s="39">
        <v>27.37</v>
      </c>
      <c r="I128" s="40">
        <v>6398.13</v>
      </c>
      <c r="J128" s="41">
        <v>7835.21</v>
      </c>
      <c r="K128" s="41">
        <f>0</f>
        <v>0</v>
      </c>
      <c r="L128" s="2">
        <f>0</f>
        <v>0</v>
      </c>
      <c r="M128" s="2"/>
      <c r="N128" s="2"/>
      <c r="O128" s="2"/>
      <c r="P128" s="2"/>
      <c r="Q128" s="42">
        <f t="shared" si="38"/>
        <v>0</v>
      </c>
      <c r="R128" s="43">
        <f t="shared" ref="R128:R133" si="68">Q128/F128</f>
        <v>0</v>
      </c>
      <c r="S128" s="44">
        <f>MEMORIAL!AJ985-REPROGRAMAÇÃO!F128</f>
        <v>92.300000000000011</v>
      </c>
      <c r="T128" s="44"/>
      <c r="U128" s="44">
        <f t="shared" si="36"/>
        <v>378.57</v>
      </c>
      <c r="V128" s="45">
        <f t="shared" si="30"/>
        <v>2526.25</v>
      </c>
      <c r="W128" s="45">
        <f t="shared" si="31"/>
        <v>0</v>
      </c>
      <c r="X128" s="45">
        <f t="shared" si="37"/>
        <v>10361.459999999999</v>
      </c>
    </row>
    <row r="129" spans="1:25" ht="24" x14ac:dyDescent="0.2">
      <c r="A129" s="7" t="s">
        <v>276</v>
      </c>
      <c r="B129" s="8" t="s">
        <v>277</v>
      </c>
      <c r="C129" s="7" t="s">
        <v>278</v>
      </c>
      <c r="D129" s="8" t="s">
        <v>18</v>
      </c>
      <c r="E129" s="8" t="s">
        <v>19</v>
      </c>
      <c r="F129" s="39">
        <v>394</v>
      </c>
      <c r="G129" s="39">
        <v>11.69</v>
      </c>
      <c r="H129" s="39">
        <v>14.32</v>
      </c>
      <c r="I129" s="40">
        <v>4605.8599999999997</v>
      </c>
      <c r="J129" s="41">
        <v>5642.08</v>
      </c>
      <c r="K129" s="41">
        <f>0</f>
        <v>0</v>
      </c>
      <c r="L129" s="2">
        <f>0</f>
        <v>0</v>
      </c>
      <c r="M129" s="2"/>
      <c r="N129" s="2"/>
      <c r="O129" s="2"/>
      <c r="P129" s="2"/>
      <c r="Q129" s="42">
        <f t="shared" si="38"/>
        <v>0</v>
      </c>
      <c r="R129" s="43">
        <f t="shared" si="68"/>
        <v>0</v>
      </c>
      <c r="S129" s="44"/>
      <c r="T129" s="44">
        <f>F129-MEMORIAL!AJ1012</f>
        <v>27.887100000000032</v>
      </c>
      <c r="U129" s="44">
        <f t="shared" si="36"/>
        <v>366.11289999999997</v>
      </c>
      <c r="V129" s="45">
        <f t="shared" si="30"/>
        <v>0</v>
      </c>
      <c r="W129" s="45">
        <f t="shared" si="31"/>
        <v>399.34</v>
      </c>
      <c r="X129" s="45">
        <f t="shared" si="37"/>
        <v>5242.74</v>
      </c>
    </row>
    <row r="130" spans="1:25" ht="24" x14ac:dyDescent="0.2">
      <c r="A130" s="7" t="s">
        <v>279</v>
      </c>
      <c r="B130" s="8" t="s">
        <v>280</v>
      </c>
      <c r="C130" s="7" t="s">
        <v>281</v>
      </c>
      <c r="D130" s="8" t="s">
        <v>18</v>
      </c>
      <c r="E130" s="8" t="s">
        <v>19</v>
      </c>
      <c r="F130" s="39">
        <v>286.27</v>
      </c>
      <c r="G130" s="39">
        <v>10.91</v>
      </c>
      <c r="H130" s="39">
        <v>13.36</v>
      </c>
      <c r="I130" s="40">
        <v>3123.21</v>
      </c>
      <c r="J130" s="41">
        <v>3824.57</v>
      </c>
      <c r="K130" s="41">
        <f>0</f>
        <v>0</v>
      </c>
      <c r="L130" s="2">
        <f>0</f>
        <v>0</v>
      </c>
      <c r="M130" s="2"/>
      <c r="N130" s="2"/>
      <c r="O130" s="2"/>
      <c r="P130" s="2"/>
      <c r="Q130" s="42">
        <f t="shared" si="38"/>
        <v>0</v>
      </c>
      <c r="R130" s="43">
        <f t="shared" si="68"/>
        <v>0</v>
      </c>
      <c r="S130" s="44">
        <f>MEMORIAL!AJ1090-REPROGRAMAÇÃO!F130</f>
        <v>675.18359999999996</v>
      </c>
      <c r="T130" s="44"/>
      <c r="U130" s="44">
        <f t="shared" si="36"/>
        <v>961.45359999999994</v>
      </c>
      <c r="V130" s="45">
        <f t="shared" si="30"/>
        <v>9020.4500000000007</v>
      </c>
      <c r="W130" s="45">
        <f t="shared" si="31"/>
        <v>0</v>
      </c>
      <c r="X130" s="45">
        <f t="shared" si="37"/>
        <v>12845.02</v>
      </c>
    </row>
    <row r="131" spans="1:25" ht="24" x14ac:dyDescent="0.2">
      <c r="A131" s="7" t="s">
        <v>282</v>
      </c>
      <c r="B131" s="8" t="s">
        <v>283</v>
      </c>
      <c r="C131" s="7" t="s">
        <v>284</v>
      </c>
      <c r="D131" s="8" t="s">
        <v>18</v>
      </c>
      <c r="E131" s="8" t="s">
        <v>19</v>
      </c>
      <c r="F131" s="39">
        <v>394</v>
      </c>
      <c r="G131" s="39">
        <v>12.36</v>
      </c>
      <c r="H131" s="39">
        <v>15.14</v>
      </c>
      <c r="I131" s="40">
        <v>4869.84</v>
      </c>
      <c r="J131" s="41">
        <v>5965.16</v>
      </c>
      <c r="K131" s="41">
        <f>0</f>
        <v>0</v>
      </c>
      <c r="L131" s="2">
        <f>0</f>
        <v>0</v>
      </c>
      <c r="M131" s="2"/>
      <c r="N131" s="2"/>
      <c r="O131" s="2"/>
      <c r="P131" s="2"/>
      <c r="Q131" s="42">
        <f t="shared" si="38"/>
        <v>0</v>
      </c>
      <c r="R131" s="43">
        <f t="shared" si="68"/>
        <v>0</v>
      </c>
      <c r="S131" s="44"/>
      <c r="T131" s="44">
        <f>F131-MEMORIAL!AJ1117</f>
        <v>27.887100000000032</v>
      </c>
      <c r="U131" s="44">
        <f t="shared" si="36"/>
        <v>366.11289999999997</v>
      </c>
      <c r="V131" s="45">
        <f t="shared" si="30"/>
        <v>0</v>
      </c>
      <c r="W131" s="45">
        <f t="shared" si="31"/>
        <v>422.21</v>
      </c>
      <c r="X131" s="45">
        <f t="shared" si="37"/>
        <v>5542.95</v>
      </c>
    </row>
    <row r="132" spans="1:25" ht="24" x14ac:dyDescent="0.2">
      <c r="A132" s="7" t="s">
        <v>285</v>
      </c>
      <c r="B132" s="8" t="s">
        <v>286</v>
      </c>
      <c r="C132" s="7" t="s">
        <v>287</v>
      </c>
      <c r="D132" s="8" t="s">
        <v>18</v>
      </c>
      <c r="E132" s="8" t="s">
        <v>19</v>
      </c>
      <c r="F132" s="39">
        <v>348.34</v>
      </c>
      <c r="G132" s="39">
        <v>27.8</v>
      </c>
      <c r="H132" s="39">
        <v>34.049999999999997</v>
      </c>
      <c r="I132" s="40">
        <v>9683.85</v>
      </c>
      <c r="J132" s="41">
        <v>11860.98</v>
      </c>
      <c r="K132" s="41">
        <f>0</f>
        <v>0</v>
      </c>
      <c r="L132" s="2">
        <f>0</f>
        <v>0</v>
      </c>
      <c r="M132" s="2"/>
      <c r="N132" s="2"/>
      <c r="O132" s="2"/>
      <c r="P132" s="2"/>
      <c r="Q132" s="42">
        <f t="shared" si="38"/>
        <v>0</v>
      </c>
      <c r="R132" s="43">
        <f t="shared" si="68"/>
        <v>0</v>
      </c>
      <c r="S132" s="44"/>
      <c r="T132" s="44">
        <f>F132</f>
        <v>348.34</v>
      </c>
      <c r="U132" s="44">
        <f t="shared" si="36"/>
        <v>0</v>
      </c>
      <c r="V132" s="45">
        <f t="shared" si="30"/>
        <v>0</v>
      </c>
      <c r="W132" s="45">
        <f t="shared" si="31"/>
        <v>11860.98</v>
      </c>
      <c r="X132" s="45">
        <f t="shared" si="37"/>
        <v>0</v>
      </c>
    </row>
    <row r="133" spans="1:25" ht="48" x14ac:dyDescent="0.2">
      <c r="A133" s="7" t="s">
        <v>288</v>
      </c>
      <c r="B133" s="8" t="s">
        <v>289</v>
      </c>
      <c r="C133" s="7" t="s">
        <v>290</v>
      </c>
      <c r="D133" s="8" t="s">
        <v>18</v>
      </c>
      <c r="E133" s="8" t="s">
        <v>19</v>
      </c>
      <c r="F133" s="39">
        <v>83.21</v>
      </c>
      <c r="G133" s="39">
        <v>8.9700000000000006</v>
      </c>
      <c r="H133" s="39">
        <v>10.99</v>
      </c>
      <c r="I133" s="40">
        <v>746.39</v>
      </c>
      <c r="J133" s="41">
        <v>914.48</v>
      </c>
      <c r="K133" s="41">
        <f>0</f>
        <v>0</v>
      </c>
      <c r="L133" s="2">
        <f>0</f>
        <v>0</v>
      </c>
      <c r="M133" s="2"/>
      <c r="N133" s="2"/>
      <c r="O133" s="2"/>
      <c r="P133" s="2"/>
      <c r="Q133" s="42">
        <f t="shared" si="38"/>
        <v>0</v>
      </c>
      <c r="R133" s="43">
        <f t="shared" si="68"/>
        <v>0</v>
      </c>
      <c r="S133" s="44"/>
      <c r="T133" s="44">
        <f>F133</f>
        <v>83.21</v>
      </c>
      <c r="U133" s="44">
        <f t="shared" si="36"/>
        <v>0</v>
      </c>
      <c r="V133" s="45">
        <f t="shared" si="30"/>
        <v>0</v>
      </c>
      <c r="W133" s="45">
        <f t="shared" si="31"/>
        <v>914.48</v>
      </c>
      <c r="X133" s="45">
        <f t="shared" si="37"/>
        <v>0</v>
      </c>
    </row>
    <row r="134" spans="1:25" ht="29.25" customHeight="1" x14ac:dyDescent="0.2">
      <c r="A134" s="7" t="s">
        <v>846</v>
      </c>
      <c r="B134" s="55">
        <v>88415</v>
      </c>
      <c r="C134" s="54" t="s">
        <v>849</v>
      </c>
      <c r="D134" s="8" t="s">
        <v>18</v>
      </c>
      <c r="E134" s="8" t="s">
        <v>19</v>
      </c>
      <c r="F134" s="39"/>
      <c r="G134" s="39">
        <f>2.6*0.980188611</f>
        <v>2.5484903885999999</v>
      </c>
      <c r="H134" s="39">
        <f>G134*1.2247</f>
        <v>3.1211361789184195</v>
      </c>
      <c r="I134" s="40"/>
      <c r="J134" s="41"/>
      <c r="K134" s="41"/>
      <c r="L134" s="2"/>
      <c r="M134" s="2"/>
      <c r="N134" s="2"/>
      <c r="O134" s="2"/>
      <c r="P134" s="2"/>
      <c r="Q134" s="42"/>
      <c r="R134" s="43"/>
      <c r="S134" s="44">
        <f>MEMORIAL!AJ1142</f>
        <v>409.67360000000002</v>
      </c>
      <c r="T134" s="44">
        <f t="shared" ref="T134:T136" si="69">F134</f>
        <v>0</v>
      </c>
      <c r="U134" s="44">
        <f t="shared" ref="U134:U136" si="70">F134+S134-T134</f>
        <v>409.67360000000002</v>
      </c>
      <c r="V134" s="45">
        <f>ROUND(H134*S134,2)</f>
        <v>1278.6500000000001</v>
      </c>
      <c r="W134" s="45">
        <f t="shared" ref="W134:W136" si="71">ROUND(H134*T134,2)</f>
        <v>0</v>
      </c>
      <c r="X134" s="45">
        <f t="shared" ref="X134:X136" si="72">ROUND(H134*U134,2)</f>
        <v>1278.6500000000001</v>
      </c>
    </row>
    <row r="135" spans="1:25" ht="36" x14ac:dyDescent="0.2">
      <c r="A135" s="7" t="s">
        <v>847</v>
      </c>
      <c r="B135" s="55">
        <v>88414</v>
      </c>
      <c r="C135" s="54" t="s">
        <v>865</v>
      </c>
      <c r="D135" s="8" t="s">
        <v>18</v>
      </c>
      <c r="E135" s="8" t="s">
        <v>19</v>
      </c>
      <c r="F135" s="39"/>
      <c r="G135" s="39">
        <f>3.87*0.980188611</f>
        <v>3.7933299245700001</v>
      </c>
      <c r="H135" s="39">
        <f>G135*1.2247</f>
        <v>4.6456911586208784</v>
      </c>
      <c r="I135" s="40"/>
      <c r="J135" s="41"/>
      <c r="K135" s="41"/>
      <c r="L135" s="2"/>
      <c r="M135" s="2"/>
      <c r="N135" s="2"/>
      <c r="O135" s="2"/>
      <c r="P135" s="2"/>
      <c r="Q135" s="42"/>
      <c r="R135" s="43"/>
      <c r="S135" s="44">
        <f>MEMORIAL!AJ1192</f>
        <v>352.38</v>
      </c>
      <c r="T135" s="44">
        <f t="shared" si="69"/>
        <v>0</v>
      </c>
      <c r="U135" s="44">
        <f t="shared" si="70"/>
        <v>352.38</v>
      </c>
      <c r="V135" s="45">
        <f t="shared" ref="V135" si="73">ROUND(H135*S135,2)</f>
        <v>1637.05</v>
      </c>
      <c r="W135" s="45">
        <f t="shared" si="71"/>
        <v>0</v>
      </c>
      <c r="X135" s="45">
        <f t="shared" si="72"/>
        <v>1637.05</v>
      </c>
    </row>
    <row r="136" spans="1:25" ht="24" x14ac:dyDescent="0.2">
      <c r="A136" s="7" t="s">
        <v>848</v>
      </c>
      <c r="B136" s="55">
        <v>88497</v>
      </c>
      <c r="C136" s="54" t="s">
        <v>866</v>
      </c>
      <c r="D136" s="8" t="s">
        <v>18</v>
      </c>
      <c r="E136" s="8" t="s">
        <v>19</v>
      </c>
      <c r="F136" s="39"/>
      <c r="G136" s="39">
        <f>12.6*0.980188611</f>
        <v>12.350376498599999</v>
      </c>
      <c r="H136" s="39">
        <f>G136*1.2247</f>
        <v>15.125506097835418</v>
      </c>
      <c r="I136" s="40"/>
      <c r="J136" s="41"/>
      <c r="K136" s="41"/>
      <c r="L136" s="2"/>
      <c r="M136" s="2"/>
      <c r="N136" s="2"/>
      <c r="O136" s="2"/>
      <c r="P136" s="2"/>
      <c r="Q136" s="42"/>
      <c r="R136" s="43"/>
      <c r="S136" s="44">
        <f>MEMORIAL!AJ1242</f>
        <v>352.38</v>
      </c>
      <c r="T136" s="44">
        <f t="shared" si="69"/>
        <v>0</v>
      </c>
      <c r="U136" s="44">
        <f t="shared" si="70"/>
        <v>352.38</v>
      </c>
      <c r="V136" s="45">
        <f>ROUND(H136*S136,2)</f>
        <v>5329.93</v>
      </c>
      <c r="W136" s="45">
        <f t="shared" si="71"/>
        <v>0</v>
      </c>
      <c r="X136" s="45">
        <f t="shared" si="72"/>
        <v>5329.93</v>
      </c>
    </row>
    <row r="137" spans="1:25" ht="24" x14ac:dyDescent="0.2">
      <c r="A137" s="7" t="s">
        <v>910</v>
      </c>
      <c r="B137" s="55">
        <v>95305</v>
      </c>
      <c r="C137" s="54" t="s">
        <v>868</v>
      </c>
      <c r="D137" s="8" t="s">
        <v>18</v>
      </c>
      <c r="E137" s="8" t="s">
        <v>19</v>
      </c>
      <c r="F137" s="39"/>
      <c r="G137" s="39">
        <f>14.15*0.980188611</f>
        <v>13.869668845650001</v>
      </c>
      <c r="H137" s="39">
        <f>G137*1.2247</f>
        <v>16.986183435267556</v>
      </c>
      <c r="I137" s="40"/>
      <c r="J137" s="41"/>
      <c r="K137" s="41"/>
      <c r="L137" s="2"/>
      <c r="M137" s="2"/>
      <c r="N137" s="2"/>
      <c r="O137" s="2"/>
      <c r="P137" s="2"/>
      <c r="Q137" s="42"/>
      <c r="R137" s="43"/>
      <c r="S137" s="44">
        <f>MEMORIAL!AJ1250</f>
        <v>230.50360000000001</v>
      </c>
      <c r="T137" s="44"/>
      <c r="U137" s="44">
        <f t="shared" ref="U137" si="74">F137+S137-T137</f>
        <v>230.50360000000001</v>
      </c>
      <c r="V137" s="45">
        <f t="shared" ref="V137" si="75">ROUND(H137*S137,2)</f>
        <v>3915.38</v>
      </c>
      <c r="W137" s="45">
        <f t="shared" ref="W137" si="76">ROUND(H137*T137,2)</f>
        <v>0</v>
      </c>
      <c r="X137" s="45">
        <f t="shared" ref="X137" si="77">ROUND(H137*U137,2)</f>
        <v>3915.38</v>
      </c>
    </row>
    <row r="138" spans="1:25" x14ac:dyDescent="0.2">
      <c r="A138" s="48" t="s">
        <v>291</v>
      </c>
      <c r="B138" s="269" t="s">
        <v>887</v>
      </c>
      <c r="C138" s="269"/>
      <c r="D138" s="269"/>
      <c r="E138" s="269"/>
      <c r="F138" s="269"/>
      <c r="G138" s="269"/>
      <c r="H138" s="269"/>
      <c r="I138" s="49">
        <v>42176.1</v>
      </c>
      <c r="J138" s="50">
        <v>51647.76</v>
      </c>
      <c r="K138" s="51"/>
      <c r="L138" s="51"/>
      <c r="M138" s="51"/>
      <c r="N138" s="51"/>
      <c r="O138" s="51"/>
      <c r="P138" s="51"/>
      <c r="Q138" s="42"/>
      <c r="R138" s="43"/>
      <c r="S138" s="44"/>
      <c r="T138" s="44"/>
      <c r="U138" s="44"/>
      <c r="V138" s="53">
        <f>SUM(V139:V192)</f>
        <v>11582.630000000001</v>
      </c>
      <c r="W138" s="53">
        <f t="shared" ref="W138" si="78">SUM(W139:W192)</f>
        <v>9307.4599999999991</v>
      </c>
      <c r="X138" s="53">
        <f>SUM(X139:X192)</f>
        <v>53922.93</v>
      </c>
    </row>
    <row r="139" spans="1:25" ht="36" x14ac:dyDescent="0.2">
      <c r="A139" s="7" t="s">
        <v>293</v>
      </c>
      <c r="B139" s="8" t="s">
        <v>294</v>
      </c>
      <c r="C139" s="7" t="s">
        <v>295</v>
      </c>
      <c r="D139" s="8" t="s">
        <v>18</v>
      </c>
      <c r="E139" s="8" t="s">
        <v>23</v>
      </c>
      <c r="F139" s="39">
        <v>8.9499999999999993</v>
      </c>
      <c r="G139" s="39">
        <v>25.27</v>
      </c>
      <c r="H139" s="39">
        <v>30.95</v>
      </c>
      <c r="I139" s="40">
        <v>226.17</v>
      </c>
      <c r="J139" s="41">
        <v>277</v>
      </c>
      <c r="K139" s="41">
        <f>0</f>
        <v>0</v>
      </c>
      <c r="L139" s="2">
        <f>0</f>
        <v>0</v>
      </c>
      <c r="M139" s="2"/>
      <c r="N139" s="2"/>
      <c r="O139" s="2"/>
      <c r="P139" s="2"/>
      <c r="Q139" s="42">
        <f t="shared" si="38"/>
        <v>0</v>
      </c>
      <c r="R139" s="43">
        <f t="shared" ref="R139:R187" si="79">Q139/F139</f>
        <v>0</v>
      </c>
      <c r="S139" s="44"/>
      <c r="T139" s="44">
        <f>F139</f>
        <v>8.9499999999999993</v>
      </c>
      <c r="U139" s="44">
        <f t="shared" si="36"/>
        <v>0</v>
      </c>
      <c r="V139" s="45">
        <f t="shared" si="30"/>
        <v>0</v>
      </c>
      <c r="W139" s="45">
        <f t="shared" si="31"/>
        <v>277</v>
      </c>
      <c r="X139" s="45">
        <f t="shared" si="37"/>
        <v>0</v>
      </c>
      <c r="Y139" s="47"/>
    </row>
    <row r="140" spans="1:25" ht="36" x14ac:dyDescent="0.2">
      <c r="A140" s="7" t="s">
        <v>296</v>
      </c>
      <c r="B140" s="8" t="s">
        <v>297</v>
      </c>
      <c r="C140" s="7" t="s">
        <v>298</v>
      </c>
      <c r="D140" s="8" t="s">
        <v>18</v>
      </c>
      <c r="E140" s="8" t="s">
        <v>23</v>
      </c>
      <c r="F140" s="39">
        <v>2</v>
      </c>
      <c r="G140" s="39">
        <v>16.61</v>
      </c>
      <c r="H140" s="39">
        <v>20.34</v>
      </c>
      <c r="I140" s="40">
        <v>33.22</v>
      </c>
      <c r="J140" s="41">
        <v>40.68</v>
      </c>
      <c r="K140" s="41">
        <f>0</f>
        <v>0</v>
      </c>
      <c r="L140" s="2">
        <f>0</f>
        <v>0</v>
      </c>
      <c r="M140" s="2"/>
      <c r="N140" s="2"/>
      <c r="O140" s="2"/>
      <c r="P140" s="2"/>
      <c r="Q140" s="42">
        <f t="shared" si="38"/>
        <v>0</v>
      </c>
      <c r="R140" s="43">
        <f t="shared" si="79"/>
        <v>0</v>
      </c>
      <c r="S140" s="44"/>
      <c r="T140" s="44">
        <f t="shared" ref="T140:T159" si="80">F140</f>
        <v>2</v>
      </c>
      <c r="U140" s="44">
        <f t="shared" si="36"/>
        <v>0</v>
      </c>
      <c r="V140" s="45">
        <f t="shared" si="30"/>
        <v>0</v>
      </c>
      <c r="W140" s="45">
        <f t="shared" si="31"/>
        <v>40.68</v>
      </c>
      <c r="X140" s="45">
        <f t="shared" si="37"/>
        <v>0</v>
      </c>
    </row>
    <row r="141" spans="1:25" ht="36" x14ac:dyDescent="0.2">
      <c r="A141" s="7" t="s">
        <v>299</v>
      </c>
      <c r="B141" s="8" t="s">
        <v>300</v>
      </c>
      <c r="C141" s="7" t="s">
        <v>301</v>
      </c>
      <c r="D141" s="8" t="s">
        <v>18</v>
      </c>
      <c r="E141" s="8" t="s">
        <v>23</v>
      </c>
      <c r="F141" s="39">
        <v>35.799999999999997</v>
      </c>
      <c r="G141" s="39">
        <v>18.36</v>
      </c>
      <c r="H141" s="39">
        <v>22.49</v>
      </c>
      <c r="I141" s="40">
        <v>657.29</v>
      </c>
      <c r="J141" s="41">
        <v>805.14</v>
      </c>
      <c r="K141" s="41">
        <f>0</f>
        <v>0</v>
      </c>
      <c r="L141" s="2">
        <f>0</f>
        <v>0</v>
      </c>
      <c r="M141" s="2"/>
      <c r="N141" s="2"/>
      <c r="O141" s="2"/>
      <c r="P141" s="2"/>
      <c r="Q141" s="42">
        <f t="shared" si="38"/>
        <v>0</v>
      </c>
      <c r="R141" s="43">
        <f t="shared" si="79"/>
        <v>0</v>
      </c>
      <c r="S141" s="44"/>
      <c r="T141" s="44">
        <f t="shared" si="80"/>
        <v>35.799999999999997</v>
      </c>
      <c r="U141" s="44">
        <f t="shared" si="36"/>
        <v>0</v>
      </c>
      <c r="V141" s="45">
        <f t="shared" si="30"/>
        <v>0</v>
      </c>
      <c r="W141" s="45">
        <f t="shared" si="31"/>
        <v>805.14</v>
      </c>
      <c r="X141" s="45">
        <f t="shared" si="37"/>
        <v>0</v>
      </c>
    </row>
    <row r="142" spans="1:25" ht="36" x14ac:dyDescent="0.2">
      <c r="A142" s="7" t="s">
        <v>302</v>
      </c>
      <c r="B142" s="8" t="s">
        <v>303</v>
      </c>
      <c r="C142" s="7" t="s">
        <v>304</v>
      </c>
      <c r="D142" s="8" t="s">
        <v>18</v>
      </c>
      <c r="E142" s="8" t="s">
        <v>23</v>
      </c>
      <c r="F142" s="39">
        <v>31.55</v>
      </c>
      <c r="G142" s="39">
        <v>14.75</v>
      </c>
      <c r="H142" s="39">
        <v>18.059999999999999</v>
      </c>
      <c r="I142" s="40">
        <v>465.36</v>
      </c>
      <c r="J142" s="41">
        <v>569.79</v>
      </c>
      <c r="K142" s="41">
        <f>0</f>
        <v>0</v>
      </c>
      <c r="L142" s="2">
        <f>0</f>
        <v>0</v>
      </c>
      <c r="M142" s="2"/>
      <c r="N142" s="2"/>
      <c r="O142" s="2"/>
      <c r="P142" s="2"/>
      <c r="Q142" s="42">
        <f t="shared" si="38"/>
        <v>0</v>
      </c>
      <c r="R142" s="43">
        <f t="shared" si="79"/>
        <v>0</v>
      </c>
      <c r="S142" s="44"/>
      <c r="T142" s="44">
        <f t="shared" si="80"/>
        <v>31.55</v>
      </c>
      <c r="U142" s="44">
        <f t="shared" si="36"/>
        <v>0</v>
      </c>
      <c r="V142" s="45">
        <f t="shared" si="30"/>
        <v>0</v>
      </c>
      <c r="W142" s="45">
        <f t="shared" si="31"/>
        <v>569.79</v>
      </c>
      <c r="X142" s="45">
        <f t="shared" si="37"/>
        <v>0</v>
      </c>
    </row>
    <row r="143" spans="1:25" ht="36" x14ac:dyDescent="0.2">
      <c r="A143" s="7" t="s">
        <v>305</v>
      </c>
      <c r="B143" s="8" t="s">
        <v>306</v>
      </c>
      <c r="C143" s="7" t="s">
        <v>307</v>
      </c>
      <c r="D143" s="8" t="s">
        <v>18</v>
      </c>
      <c r="E143" s="8" t="s">
        <v>23</v>
      </c>
      <c r="F143" s="39">
        <v>48.2</v>
      </c>
      <c r="G143" s="39">
        <v>11.02</v>
      </c>
      <c r="H143" s="39">
        <v>13.5</v>
      </c>
      <c r="I143" s="40">
        <v>531.16</v>
      </c>
      <c r="J143" s="41">
        <v>650.70000000000005</v>
      </c>
      <c r="K143" s="41">
        <f>0</f>
        <v>0</v>
      </c>
      <c r="L143" s="2">
        <f>0</f>
        <v>0</v>
      </c>
      <c r="M143" s="2"/>
      <c r="N143" s="2"/>
      <c r="O143" s="2"/>
      <c r="P143" s="2"/>
      <c r="Q143" s="42">
        <f t="shared" si="38"/>
        <v>0</v>
      </c>
      <c r="R143" s="43">
        <f t="shared" si="79"/>
        <v>0</v>
      </c>
      <c r="S143" s="44"/>
      <c r="T143" s="44">
        <f t="shared" si="80"/>
        <v>48.2</v>
      </c>
      <c r="U143" s="44">
        <f t="shared" si="36"/>
        <v>0</v>
      </c>
      <c r="V143" s="45">
        <f t="shared" si="30"/>
        <v>0</v>
      </c>
      <c r="W143" s="45">
        <f t="shared" si="31"/>
        <v>650.70000000000005</v>
      </c>
      <c r="X143" s="45">
        <f t="shared" si="37"/>
        <v>0</v>
      </c>
    </row>
    <row r="144" spans="1:25" ht="36" x14ac:dyDescent="0.2">
      <c r="A144" s="7" t="s">
        <v>308</v>
      </c>
      <c r="B144" s="8" t="s">
        <v>309</v>
      </c>
      <c r="C144" s="7" t="s">
        <v>310</v>
      </c>
      <c r="D144" s="8" t="s">
        <v>18</v>
      </c>
      <c r="E144" s="8" t="s">
        <v>23</v>
      </c>
      <c r="F144" s="39">
        <v>2</v>
      </c>
      <c r="G144" s="39">
        <v>9.39</v>
      </c>
      <c r="H144" s="39">
        <v>11.5</v>
      </c>
      <c r="I144" s="40">
        <v>18.78</v>
      </c>
      <c r="J144" s="41">
        <v>23</v>
      </c>
      <c r="K144" s="41">
        <f>0</f>
        <v>0</v>
      </c>
      <c r="L144" s="2">
        <f>0</f>
        <v>0</v>
      </c>
      <c r="M144" s="2"/>
      <c r="N144" s="2"/>
      <c r="O144" s="2"/>
      <c r="P144" s="2"/>
      <c r="Q144" s="42">
        <f t="shared" si="38"/>
        <v>0</v>
      </c>
      <c r="R144" s="43">
        <f t="shared" si="79"/>
        <v>0</v>
      </c>
      <c r="S144" s="44"/>
      <c r="T144" s="44">
        <f t="shared" si="80"/>
        <v>2</v>
      </c>
      <c r="U144" s="44">
        <f t="shared" si="36"/>
        <v>0</v>
      </c>
      <c r="V144" s="45">
        <f t="shared" si="30"/>
        <v>0</v>
      </c>
      <c r="W144" s="45">
        <f t="shared" si="31"/>
        <v>23</v>
      </c>
      <c r="X144" s="45">
        <f t="shared" si="37"/>
        <v>0</v>
      </c>
    </row>
    <row r="145" spans="1:24" ht="24" x14ac:dyDescent="0.2">
      <c r="A145" s="7" t="s">
        <v>311</v>
      </c>
      <c r="B145" s="8" t="s">
        <v>312</v>
      </c>
      <c r="C145" s="7" t="s">
        <v>313</v>
      </c>
      <c r="D145" s="8" t="s">
        <v>18</v>
      </c>
      <c r="E145" s="8" t="s">
        <v>158</v>
      </c>
      <c r="F145" s="39">
        <v>33</v>
      </c>
      <c r="G145" s="39">
        <v>21.18</v>
      </c>
      <c r="H145" s="39">
        <v>25.94</v>
      </c>
      <c r="I145" s="40">
        <v>698.94</v>
      </c>
      <c r="J145" s="41">
        <v>856.02</v>
      </c>
      <c r="K145" s="41">
        <f>0</f>
        <v>0</v>
      </c>
      <c r="L145" s="2">
        <f>0</f>
        <v>0</v>
      </c>
      <c r="M145" s="2"/>
      <c r="N145" s="2"/>
      <c r="O145" s="2"/>
      <c r="P145" s="2"/>
      <c r="Q145" s="42">
        <f t="shared" si="38"/>
        <v>0</v>
      </c>
      <c r="R145" s="43">
        <f t="shared" si="79"/>
        <v>0</v>
      </c>
      <c r="S145" s="44"/>
      <c r="T145" s="44">
        <f t="shared" si="80"/>
        <v>33</v>
      </c>
      <c r="U145" s="44">
        <f t="shared" si="36"/>
        <v>0</v>
      </c>
      <c r="V145" s="45">
        <f t="shared" si="30"/>
        <v>0</v>
      </c>
      <c r="W145" s="45">
        <f t="shared" si="31"/>
        <v>856.02</v>
      </c>
      <c r="X145" s="45">
        <f t="shared" si="37"/>
        <v>0</v>
      </c>
    </row>
    <row r="146" spans="1:24" ht="24" x14ac:dyDescent="0.2">
      <c r="A146" s="7" t="s">
        <v>314</v>
      </c>
      <c r="B146" s="8" t="s">
        <v>312</v>
      </c>
      <c r="C146" s="7" t="s">
        <v>315</v>
      </c>
      <c r="D146" s="8" t="s">
        <v>18</v>
      </c>
      <c r="E146" s="8" t="s">
        <v>158</v>
      </c>
      <c r="F146" s="39">
        <v>52</v>
      </c>
      <c r="G146" s="39">
        <v>21.18</v>
      </c>
      <c r="H146" s="39">
        <v>25.94</v>
      </c>
      <c r="I146" s="40">
        <v>1101.3599999999999</v>
      </c>
      <c r="J146" s="41">
        <v>1348.88</v>
      </c>
      <c r="K146" s="41">
        <f>0</f>
        <v>0</v>
      </c>
      <c r="L146" s="2">
        <f>0</f>
        <v>0</v>
      </c>
      <c r="M146" s="2"/>
      <c r="N146" s="2"/>
      <c r="O146" s="2"/>
      <c r="P146" s="2"/>
      <c r="Q146" s="42">
        <f t="shared" si="38"/>
        <v>0</v>
      </c>
      <c r="R146" s="43">
        <f t="shared" si="79"/>
        <v>0</v>
      </c>
      <c r="S146" s="44"/>
      <c r="T146" s="44">
        <f t="shared" si="80"/>
        <v>52</v>
      </c>
      <c r="U146" s="44">
        <f t="shared" si="36"/>
        <v>0</v>
      </c>
      <c r="V146" s="45">
        <f t="shared" si="30"/>
        <v>0</v>
      </c>
      <c r="W146" s="45">
        <f t="shared" si="31"/>
        <v>1348.88</v>
      </c>
      <c r="X146" s="45">
        <f t="shared" si="37"/>
        <v>0</v>
      </c>
    </row>
    <row r="147" spans="1:24" ht="24" x14ac:dyDescent="0.2">
      <c r="A147" s="7" t="s">
        <v>316</v>
      </c>
      <c r="B147" s="8" t="s">
        <v>312</v>
      </c>
      <c r="C147" s="7" t="s">
        <v>317</v>
      </c>
      <c r="D147" s="8" t="s">
        <v>18</v>
      </c>
      <c r="E147" s="8" t="s">
        <v>158</v>
      </c>
      <c r="F147" s="39">
        <v>37</v>
      </c>
      <c r="G147" s="39">
        <v>21.18</v>
      </c>
      <c r="H147" s="39">
        <v>25.94</v>
      </c>
      <c r="I147" s="40">
        <v>783.66</v>
      </c>
      <c r="J147" s="41">
        <v>959.78</v>
      </c>
      <c r="K147" s="41">
        <f>0</f>
        <v>0</v>
      </c>
      <c r="L147" s="2">
        <f>0</f>
        <v>0</v>
      </c>
      <c r="M147" s="2"/>
      <c r="N147" s="2"/>
      <c r="O147" s="2"/>
      <c r="P147" s="2"/>
      <c r="Q147" s="42">
        <f t="shared" si="38"/>
        <v>0</v>
      </c>
      <c r="R147" s="43">
        <f t="shared" si="79"/>
        <v>0</v>
      </c>
      <c r="S147" s="44"/>
      <c r="T147" s="44">
        <f t="shared" si="80"/>
        <v>37</v>
      </c>
      <c r="U147" s="44">
        <f t="shared" si="36"/>
        <v>0</v>
      </c>
      <c r="V147" s="45">
        <f t="shared" si="30"/>
        <v>0</v>
      </c>
      <c r="W147" s="45">
        <f t="shared" si="31"/>
        <v>959.78</v>
      </c>
      <c r="X147" s="45">
        <f t="shared" si="37"/>
        <v>0</v>
      </c>
    </row>
    <row r="148" spans="1:24" ht="24" x14ac:dyDescent="0.2">
      <c r="A148" s="7" t="s">
        <v>318</v>
      </c>
      <c r="B148" s="8" t="s">
        <v>312</v>
      </c>
      <c r="C148" s="7" t="s">
        <v>319</v>
      </c>
      <c r="D148" s="8" t="s">
        <v>18</v>
      </c>
      <c r="E148" s="8" t="s">
        <v>158</v>
      </c>
      <c r="F148" s="39">
        <v>131</v>
      </c>
      <c r="G148" s="39">
        <v>21.18</v>
      </c>
      <c r="H148" s="39">
        <v>25.94</v>
      </c>
      <c r="I148" s="40">
        <v>2774.58</v>
      </c>
      <c r="J148" s="41">
        <v>3398.14</v>
      </c>
      <c r="K148" s="41">
        <f>0</f>
        <v>0</v>
      </c>
      <c r="L148" s="2">
        <f>0</f>
        <v>0</v>
      </c>
      <c r="M148" s="2"/>
      <c r="N148" s="2"/>
      <c r="O148" s="2"/>
      <c r="P148" s="2"/>
      <c r="Q148" s="42">
        <f t="shared" si="38"/>
        <v>0</v>
      </c>
      <c r="R148" s="43">
        <f t="shared" si="79"/>
        <v>0</v>
      </c>
      <c r="S148" s="44"/>
      <c r="T148" s="44">
        <f t="shared" si="80"/>
        <v>131</v>
      </c>
      <c r="U148" s="44">
        <f t="shared" si="36"/>
        <v>0</v>
      </c>
      <c r="V148" s="45">
        <f t="shared" si="30"/>
        <v>0</v>
      </c>
      <c r="W148" s="45">
        <f t="shared" si="31"/>
        <v>3398.14</v>
      </c>
      <c r="X148" s="45">
        <f t="shared" si="37"/>
        <v>0</v>
      </c>
    </row>
    <row r="149" spans="1:24" ht="24" x14ac:dyDescent="0.2">
      <c r="A149" s="7" t="s">
        <v>320</v>
      </c>
      <c r="B149" s="8" t="s">
        <v>321</v>
      </c>
      <c r="C149" s="7" t="s">
        <v>322</v>
      </c>
      <c r="D149" s="8" t="s">
        <v>18</v>
      </c>
      <c r="E149" s="8" t="s">
        <v>158</v>
      </c>
      <c r="F149" s="39">
        <v>4</v>
      </c>
      <c r="G149" s="39">
        <v>1.47</v>
      </c>
      <c r="H149" s="39">
        <v>1.8</v>
      </c>
      <c r="I149" s="40">
        <v>5.88</v>
      </c>
      <c r="J149" s="41">
        <v>7.2</v>
      </c>
      <c r="K149" s="41">
        <f>0</f>
        <v>0</v>
      </c>
      <c r="L149" s="2">
        <f>0</f>
        <v>0</v>
      </c>
      <c r="M149" s="2"/>
      <c r="N149" s="2"/>
      <c r="O149" s="2"/>
      <c r="P149" s="2"/>
      <c r="Q149" s="42">
        <f t="shared" si="38"/>
        <v>0</v>
      </c>
      <c r="R149" s="43">
        <f t="shared" si="79"/>
        <v>0</v>
      </c>
      <c r="S149" s="44"/>
      <c r="T149" s="44">
        <f t="shared" si="80"/>
        <v>4</v>
      </c>
      <c r="U149" s="44">
        <f t="shared" si="36"/>
        <v>0</v>
      </c>
      <c r="V149" s="45">
        <f t="shared" si="30"/>
        <v>0</v>
      </c>
      <c r="W149" s="45">
        <f t="shared" si="31"/>
        <v>7.2</v>
      </c>
      <c r="X149" s="45">
        <f t="shared" si="37"/>
        <v>0</v>
      </c>
    </row>
    <row r="150" spans="1:24" ht="24" x14ac:dyDescent="0.2">
      <c r="A150" s="7" t="s">
        <v>323</v>
      </c>
      <c r="B150" s="8" t="s">
        <v>324</v>
      </c>
      <c r="C150" s="7" t="s">
        <v>325</v>
      </c>
      <c r="D150" s="8" t="s">
        <v>18</v>
      </c>
      <c r="E150" s="8" t="s">
        <v>158</v>
      </c>
      <c r="F150" s="39">
        <v>4</v>
      </c>
      <c r="G150" s="39">
        <v>1.6</v>
      </c>
      <c r="H150" s="39">
        <v>1.96</v>
      </c>
      <c r="I150" s="40">
        <v>6.4</v>
      </c>
      <c r="J150" s="41">
        <v>7.84</v>
      </c>
      <c r="K150" s="41">
        <f>0</f>
        <v>0</v>
      </c>
      <c r="L150" s="2">
        <f>0</f>
        <v>0</v>
      </c>
      <c r="M150" s="2"/>
      <c r="N150" s="2"/>
      <c r="O150" s="2"/>
      <c r="P150" s="2"/>
      <c r="Q150" s="42">
        <f t="shared" si="38"/>
        <v>0</v>
      </c>
      <c r="R150" s="43">
        <f t="shared" si="79"/>
        <v>0</v>
      </c>
      <c r="S150" s="44"/>
      <c r="T150" s="44">
        <f t="shared" si="80"/>
        <v>4</v>
      </c>
      <c r="U150" s="44">
        <f t="shared" si="36"/>
        <v>0</v>
      </c>
      <c r="V150" s="45">
        <f t="shared" si="30"/>
        <v>0</v>
      </c>
      <c r="W150" s="45">
        <f t="shared" si="31"/>
        <v>7.84</v>
      </c>
      <c r="X150" s="45">
        <f t="shared" si="37"/>
        <v>0</v>
      </c>
    </row>
    <row r="151" spans="1:24" ht="24" x14ac:dyDescent="0.2">
      <c r="A151" s="7" t="s">
        <v>326</v>
      </c>
      <c r="B151" s="8" t="s">
        <v>327</v>
      </c>
      <c r="C151" s="7" t="s">
        <v>328</v>
      </c>
      <c r="D151" s="8" t="s">
        <v>18</v>
      </c>
      <c r="E151" s="8" t="s">
        <v>158</v>
      </c>
      <c r="F151" s="39">
        <v>4</v>
      </c>
      <c r="G151" s="39">
        <v>3.14</v>
      </c>
      <c r="H151" s="39">
        <v>3.85</v>
      </c>
      <c r="I151" s="40">
        <v>12.56</v>
      </c>
      <c r="J151" s="41">
        <v>15.4</v>
      </c>
      <c r="K151" s="41">
        <f>0</f>
        <v>0</v>
      </c>
      <c r="L151" s="2">
        <f>0</f>
        <v>0</v>
      </c>
      <c r="M151" s="2"/>
      <c r="N151" s="2"/>
      <c r="O151" s="2"/>
      <c r="P151" s="2"/>
      <c r="Q151" s="42">
        <f t="shared" si="38"/>
        <v>0</v>
      </c>
      <c r="R151" s="43">
        <f t="shared" si="79"/>
        <v>0</v>
      </c>
      <c r="S151" s="44"/>
      <c r="T151" s="44">
        <f t="shared" si="80"/>
        <v>4</v>
      </c>
      <c r="U151" s="44">
        <f t="shared" si="36"/>
        <v>0</v>
      </c>
      <c r="V151" s="45">
        <f t="shared" si="30"/>
        <v>0</v>
      </c>
      <c r="W151" s="45">
        <f t="shared" si="31"/>
        <v>15.4</v>
      </c>
      <c r="X151" s="45">
        <f t="shared" si="37"/>
        <v>0</v>
      </c>
    </row>
    <row r="152" spans="1:24" ht="24" x14ac:dyDescent="0.2">
      <c r="A152" s="7" t="s">
        <v>329</v>
      </c>
      <c r="B152" s="8" t="s">
        <v>330</v>
      </c>
      <c r="C152" s="7" t="s">
        <v>331</v>
      </c>
      <c r="D152" s="8" t="s">
        <v>18</v>
      </c>
      <c r="E152" s="8" t="s">
        <v>158</v>
      </c>
      <c r="F152" s="39">
        <v>4</v>
      </c>
      <c r="G152" s="39">
        <v>1.86</v>
      </c>
      <c r="H152" s="39">
        <v>2.2799999999999998</v>
      </c>
      <c r="I152" s="40">
        <v>7.44</v>
      </c>
      <c r="J152" s="41">
        <v>9.1199999999999992</v>
      </c>
      <c r="K152" s="41">
        <f>0</f>
        <v>0</v>
      </c>
      <c r="L152" s="2">
        <f>0</f>
        <v>0</v>
      </c>
      <c r="M152" s="2"/>
      <c r="N152" s="2"/>
      <c r="O152" s="2"/>
      <c r="P152" s="2"/>
      <c r="Q152" s="42">
        <f t="shared" si="38"/>
        <v>0</v>
      </c>
      <c r="R152" s="43">
        <f t="shared" si="79"/>
        <v>0</v>
      </c>
      <c r="S152" s="44"/>
      <c r="T152" s="44">
        <f t="shared" si="80"/>
        <v>4</v>
      </c>
      <c r="U152" s="44">
        <f t="shared" si="36"/>
        <v>0</v>
      </c>
      <c r="V152" s="45">
        <f t="shared" si="30"/>
        <v>0</v>
      </c>
      <c r="W152" s="45">
        <f t="shared" si="31"/>
        <v>9.1199999999999992</v>
      </c>
      <c r="X152" s="45">
        <f t="shared" si="37"/>
        <v>0</v>
      </c>
    </row>
    <row r="153" spans="1:24" x14ac:dyDescent="0.2">
      <c r="A153" s="7" t="s">
        <v>332</v>
      </c>
      <c r="B153" s="8" t="s">
        <v>333</v>
      </c>
      <c r="C153" s="7" t="s">
        <v>334</v>
      </c>
      <c r="D153" s="8" t="s">
        <v>18</v>
      </c>
      <c r="E153" s="8" t="s">
        <v>158</v>
      </c>
      <c r="F153" s="39">
        <v>52</v>
      </c>
      <c r="G153" s="39">
        <v>0.06</v>
      </c>
      <c r="H153" s="39">
        <v>7.0000000000000007E-2</v>
      </c>
      <c r="I153" s="40">
        <v>3.12</v>
      </c>
      <c r="J153" s="41">
        <v>3.64</v>
      </c>
      <c r="K153" s="41">
        <f>0</f>
        <v>0</v>
      </c>
      <c r="L153" s="2">
        <f>0</f>
        <v>0</v>
      </c>
      <c r="M153" s="2"/>
      <c r="N153" s="2"/>
      <c r="O153" s="2"/>
      <c r="P153" s="2"/>
      <c r="Q153" s="42">
        <f t="shared" si="38"/>
        <v>0</v>
      </c>
      <c r="R153" s="43">
        <f t="shared" si="79"/>
        <v>0</v>
      </c>
      <c r="S153" s="44"/>
      <c r="T153" s="44">
        <f>F153</f>
        <v>52</v>
      </c>
      <c r="U153" s="44">
        <f t="shared" si="36"/>
        <v>0</v>
      </c>
      <c r="V153" s="45">
        <f t="shared" si="30"/>
        <v>0</v>
      </c>
      <c r="W153" s="45">
        <f t="shared" si="31"/>
        <v>3.64</v>
      </c>
      <c r="X153" s="45">
        <f t="shared" si="37"/>
        <v>0</v>
      </c>
    </row>
    <row r="154" spans="1:24" x14ac:dyDescent="0.2">
      <c r="A154" s="7" t="s">
        <v>335</v>
      </c>
      <c r="B154" s="8" t="s">
        <v>336</v>
      </c>
      <c r="C154" s="7" t="s">
        <v>337</v>
      </c>
      <c r="D154" s="8" t="s">
        <v>18</v>
      </c>
      <c r="E154" s="8" t="s">
        <v>158</v>
      </c>
      <c r="F154" s="39">
        <v>79</v>
      </c>
      <c r="G154" s="39">
        <v>0.16</v>
      </c>
      <c r="H154" s="39">
        <v>0.2</v>
      </c>
      <c r="I154" s="40">
        <v>12.64</v>
      </c>
      <c r="J154" s="41">
        <v>15.8</v>
      </c>
      <c r="K154" s="41">
        <f>0</f>
        <v>0</v>
      </c>
      <c r="L154" s="2">
        <f>0</f>
        <v>0</v>
      </c>
      <c r="M154" s="2"/>
      <c r="N154" s="2"/>
      <c r="O154" s="2"/>
      <c r="P154" s="2"/>
      <c r="Q154" s="42">
        <f t="shared" si="38"/>
        <v>0</v>
      </c>
      <c r="R154" s="43">
        <f t="shared" si="79"/>
        <v>0</v>
      </c>
      <c r="S154" s="44"/>
      <c r="T154" s="44">
        <f t="shared" si="80"/>
        <v>79</v>
      </c>
      <c r="U154" s="44">
        <f t="shared" si="36"/>
        <v>0</v>
      </c>
      <c r="V154" s="45">
        <f t="shared" si="30"/>
        <v>0</v>
      </c>
      <c r="W154" s="45">
        <f t="shared" si="31"/>
        <v>15.8</v>
      </c>
      <c r="X154" s="45">
        <f t="shared" si="37"/>
        <v>0</v>
      </c>
    </row>
    <row r="155" spans="1:24" ht="36" x14ac:dyDescent="0.2">
      <c r="A155" s="7" t="s">
        <v>338</v>
      </c>
      <c r="B155" s="8" t="s">
        <v>339</v>
      </c>
      <c r="C155" s="7" t="s">
        <v>340</v>
      </c>
      <c r="D155" s="8" t="s">
        <v>18</v>
      </c>
      <c r="E155" s="8" t="s">
        <v>158</v>
      </c>
      <c r="F155" s="39">
        <v>2</v>
      </c>
      <c r="G155" s="39">
        <v>9.89</v>
      </c>
      <c r="H155" s="39">
        <v>12.11</v>
      </c>
      <c r="I155" s="40">
        <v>19.78</v>
      </c>
      <c r="J155" s="41">
        <v>24.22</v>
      </c>
      <c r="K155" s="41">
        <f>0</f>
        <v>0</v>
      </c>
      <c r="L155" s="2">
        <f>0</f>
        <v>0</v>
      </c>
      <c r="M155" s="2"/>
      <c r="N155" s="2"/>
      <c r="O155" s="2"/>
      <c r="P155" s="2"/>
      <c r="Q155" s="42">
        <f t="shared" si="38"/>
        <v>0</v>
      </c>
      <c r="R155" s="43">
        <f t="shared" si="79"/>
        <v>0</v>
      </c>
      <c r="S155" s="44"/>
      <c r="T155" s="44">
        <f t="shared" si="80"/>
        <v>2</v>
      </c>
      <c r="U155" s="44">
        <f t="shared" ref="U155:U224" si="81">F155+S155-T155</f>
        <v>0</v>
      </c>
      <c r="V155" s="45">
        <f t="shared" ref="V155:V224" si="82">ROUND(H155*S155,2)</f>
        <v>0</v>
      </c>
      <c r="W155" s="45">
        <f t="shared" ref="W155:W224" si="83">ROUND(H155*T155,2)</f>
        <v>24.22</v>
      </c>
      <c r="X155" s="45">
        <f t="shared" ref="X155:X224" si="84">ROUND(H155*U155,2)</f>
        <v>0</v>
      </c>
    </row>
    <row r="156" spans="1:24" ht="36" x14ac:dyDescent="0.2">
      <c r="A156" s="7" t="s">
        <v>341</v>
      </c>
      <c r="B156" s="8" t="s">
        <v>342</v>
      </c>
      <c r="C156" s="7" t="s">
        <v>343</v>
      </c>
      <c r="D156" s="8" t="s">
        <v>18</v>
      </c>
      <c r="E156" s="8" t="s">
        <v>158</v>
      </c>
      <c r="F156" s="39">
        <v>1</v>
      </c>
      <c r="G156" s="39">
        <v>9.17</v>
      </c>
      <c r="H156" s="39">
        <v>11.23</v>
      </c>
      <c r="I156" s="40">
        <v>9.17</v>
      </c>
      <c r="J156" s="41">
        <v>11.23</v>
      </c>
      <c r="K156" s="41">
        <f>0</f>
        <v>0</v>
      </c>
      <c r="L156" s="2">
        <f>0</f>
        <v>0</v>
      </c>
      <c r="M156" s="2"/>
      <c r="N156" s="2"/>
      <c r="O156" s="2"/>
      <c r="P156" s="2"/>
      <c r="Q156" s="42">
        <f t="shared" si="38"/>
        <v>0</v>
      </c>
      <c r="R156" s="43">
        <f t="shared" si="79"/>
        <v>0</v>
      </c>
      <c r="S156" s="44"/>
      <c r="T156" s="44">
        <f t="shared" si="80"/>
        <v>1</v>
      </c>
      <c r="U156" s="44">
        <f t="shared" si="81"/>
        <v>0</v>
      </c>
      <c r="V156" s="45">
        <f t="shared" si="82"/>
        <v>0</v>
      </c>
      <c r="W156" s="45">
        <f t="shared" si="83"/>
        <v>11.23</v>
      </c>
      <c r="X156" s="45">
        <f t="shared" si="84"/>
        <v>0</v>
      </c>
    </row>
    <row r="157" spans="1:24" ht="36" x14ac:dyDescent="0.2">
      <c r="A157" s="7" t="s">
        <v>344</v>
      </c>
      <c r="B157" s="8" t="s">
        <v>345</v>
      </c>
      <c r="C157" s="7" t="s">
        <v>346</v>
      </c>
      <c r="D157" s="8" t="s">
        <v>18</v>
      </c>
      <c r="E157" s="8" t="s">
        <v>158</v>
      </c>
      <c r="F157" s="39">
        <v>6</v>
      </c>
      <c r="G157" s="39">
        <v>4.45</v>
      </c>
      <c r="H157" s="39">
        <v>5.45</v>
      </c>
      <c r="I157" s="40">
        <v>26.7</v>
      </c>
      <c r="J157" s="41">
        <v>32.700000000000003</v>
      </c>
      <c r="K157" s="41">
        <f>0</f>
        <v>0</v>
      </c>
      <c r="L157" s="2">
        <f>0</f>
        <v>0</v>
      </c>
      <c r="M157" s="2"/>
      <c r="N157" s="2"/>
      <c r="O157" s="2"/>
      <c r="P157" s="2"/>
      <c r="Q157" s="42">
        <f t="shared" si="38"/>
        <v>0</v>
      </c>
      <c r="R157" s="43">
        <f t="shared" si="79"/>
        <v>0</v>
      </c>
      <c r="S157" s="44"/>
      <c r="T157" s="44">
        <f t="shared" si="80"/>
        <v>6</v>
      </c>
      <c r="U157" s="44">
        <f t="shared" si="81"/>
        <v>0</v>
      </c>
      <c r="V157" s="45">
        <f t="shared" si="82"/>
        <v>0</v>
      </c>
      <c r="W157" s="45">
        <f t="shared" si="83"/>
        <v>32.700000000000003</v>
      </c>
      <c r="X157" s="45">
        <f t="shared" si="84"/>
        <v>0</v>
      </c>
    </row>
    <row r="158" spans="1:24" ht="36" x14ac:dyDescent="0.2">
      <c r="A158" s="7" t="s">
        <v>347</v>
      </c>
      <c r="B158" s="8" t="s">
        <v>348</v>
      </c>
      <c r="C158" s="7" t="s">
        <v>349</v>
      </c>
      <c r="D158" s="8" t="s">
        <v>18</v>
      </c>
      <c r="E158" s="8" t="s">
        <v>158</v>
      </c>
      <c r="F158" s="39">
        <v>5</v>
      </c>
      <c r="G158" s="39">
        <v>5.86</v>
      </c>
      <c r="H158" s="39">
        <v>7.18</v>
      </c>
      <c r="I158" s="40">
        <v>29.3</v>
      </c>
      <c r="J158" s="41">
        <v>35.9</v>
      </c>
      <c r="K158" s="41">
        <f>0</f>
        <v>0</v>
      </c>
      <c r="L158" s="2">
        <f>0</f>
        <v>0</v>
      </c>
      <c r="M158" s="2"/>
      <c r="N158" s="2"/>
      <c r="O158" s="2"/>
      <c r="P158" s="2"/>
      <c r="Q158" s="42">
        <f t="shared" si="38"/>
        <v>0</v>
      </c>
      <c r="R158" s="43">
        <f t="shared" si="79"/>
        <v>0</v>
      </c>
      <c r="S158" s="44"/>
      <c r="T158" s="44">
        <f t="shared" si="80"/>
        <v>5</v>
      </c>
      <c r="U158" s="44">
        <f t="shared" si="81"/>
        <v>0</v>
      </c>
      <c r="V158" s="45">
        <f t="shared" si="82"/>
        <v>0</v>
      </c>
      <c r="W158" s="45">
        <f t="shared" si="83"/>
        <v>35.9</v>
      </c>
      <c r="X158" s="45">
        <f t="shared" si="84"/>
        <v>0</v>
      </c>
    </row>
    <row r="159" spans="1:24" ht="36" x14ac:dyDescent="0.2">
      <c r="A159" s="7" t="s">
        <v>350</v>
      </c>
      <c r="B159" s="8" t="s">
        <v>345</v>
      </c>
      <c r="C159" s="7" t="s">
        <v>346</v>
      </c>
      <c r="D159" s="8" t="s">
        <v>18</v>
      </c>
      <c r="E159" s="8" t="s">
        <v>158</v>
      </c>
      <c r="F159" s="39">
        <v>52</v>
      </c>
      <c r="G159" s="39">
        <v>3.38</v>
      </c>
      <c r="H159" s="39">
        <v>4.1399999999999997</v>
      </c>
      <c r="I159" s="40">
        <v>175.76</v>
      </c>
      <c r="J159" s="41">
        <v>215.28</v>
      </c>
      <c r="K159" s="41">
        <f>0</f>
        <v>0</v>
      </c>
      <c r="L159" s="2">
        <f>0</f>
        <v>0</v>
      </c>
      <c r="M159" s="2"/>
      <c r="N159" s="2"/>
      <c r="O159" s="2"/>
      <c r="P159" s="2"/>
      <c r="Q159" s="42">
        <f t="shared" si="38"/>
        <v>0</v>
      </c>
      <c r="R159" s="43">
        <f t="shared" si="79"/>
        <v>0</v>
      </c>
      <c r="S159" s="44"/>
      <c r="T159" s="44">
        <f t="shared" si="80"/>
        <v>52</v>
      </c>
      <c r="U159" s="44">
        <f t="shared" si="81"/>
        <v>0</v>
      </c>
      <c r="V159" s="45">
        <f t="shared" si="82"/>
        <v>0</v>
      </c>
      <c r="W159" s="45">
        <f t="shared" si="83"/>
        <v>215.28</v>
      </c>
      <c r="X159" s="45">
        <f t="shared" si="84"/>
        <v>0</v>
      </c>
    </row>
    <row r="160" spans="1:24" ht="24" x14ac:dyDescent="0.2">
      <c r="A160" s="7" t="s">
        <v>351</v>
      </c>
      <c r="B160" s="8" t="s">
        <v>352</v>
      </c>
      <c r="C160" s="7" t="s">
        <v>353</v>
      </c>
      <c r="D160" s="8" t="s">
        <v>13</v>
      </c>
      <c r="E160" s="8" t="s">
        <v>4</v>
      </c>
      <c r="F160" s="39">
        <v>4</v>
      </c>
      <c r="G160" s="39">
        <v>250.78</v>
      </c>
      <c r="H160" s="39">
        <v>307.13</v>
      </c>
      <c r="I160" s="40">
        <v>1003.12</v>
      </c>
      <c r="J160" s="41">
        <v>1228.52</v>
      </c>
      <c r="K160" s="41">
        <f>0</f>
        <v>0</v>
      </c>
      <c r="L160" s="2">
        <f>0</f>
        <v>0</v>
      </c>
      <c r="M160" s="2"/>
      <c r="N160" s="2"/>
      <c r="O160" s="2"/>
      <c r="P160" s="2"/>
      <c r="Q160" s="42">
        <f t="shared" ref="Q160:Q229" si="85">K160+L160+M160+N160+O160+P160</f>
        <v>0</v>
      </c>
      <c r="R160" s="43">
        <f t="shared" si="79"/>
        <v>0</v>
      </c>
      <c r="S160" s="44"/>
      <c r="T160" s="44"/>
      <c r="U160" s="44">
        <f t="shared" si="81"/>
        <v>4</v>
      </c>
      <c r="V160" s="45">
        <f t="shared" si="82"/>
        <v>0</v>
      </c>
      <c r="W160" s="45">
        <f t="shared" si="83"/>
        <v>0</v>
      </c>
      <c r="X160" s="45">
        <f t="shared" si="84"/>
        <v>1228.52</v>
      </c>
    </row>
    <row r="161" spans="1:24" ht="24" x14ac:dyDescent="0.2">
      <c r="A161" s="7" t="s">
        <v>354</v>
      </c>
      <c r="B161" s="8" t="s">
        <v>355</v>
      </c>
      <c r="C161" s="7" t="s">
        <v>356</v>
      </c>
      <c r="D161" s="8" t="s">
        <v>224</v>
      </c>
      <c r="E161" s="8" t="s">
        <v>357</v>
      </c>
      <c r="F161" s="39">
        <v>100</v>
      </c>
      <c r="G161" s="39">
        <v>62.12</v>
      </c>
      <c r="H161" s="39">
        <v>76.08</v>
      </c>
      <c r="I161" s="40">
        <v>6212</v>
      </c>
      <c r="J161" s="41">
        <v>7608</v>
      </c>
      <c r="K161" s="41">
        <f>0</f>
        <v>0</v>
      </c>
      <c r="L161" s="2">
        <f>0</f>
        <v>0</v>
      </c>
      <c r="M161" s="2"/>
      <c r="N161" s="2"/>
      <c r="O161" s="2"/>
      <c r="P161" s="2"/>
      <c r="Q161" s="42">
        <f t="shared" si="85"/>
        <v>0</v>
      </c>
      <c r="R161" s="43">
        <f t="shared" si="79"/>
        <v>0</v>
      </c>
      <c r="S161" s="44"/>
      <c r="T161" s="44"/>
      <c r="U161" s="44">
        <f t="shared" si="81"/>
        <v>100</v>
      </c>
      <c r="V161" s="45">
        <f t="shared" si="82"/>
        <v>0</v>
      </c>
      <c r="W161" s="45">
        <f t="shared" si="83"/>
        <v>0</v>
      </c>
      <c r="X161" s="45">
        <f t="shared" si="84"/>
        <v>7608</v>
      </c>
    </row>
    <row r="162" spans="1:24" ht="24" x14ac:dyDescent="0.2">
      <c r="A162" s="7" t="s">
        <v>358</v>
      </c>
      <c r="B162" s="8" t="s">
        <v>359</v>
      </c>
      <c r="C162" s="7" t="s">
        <v>360</v>
      </c>
      <c r="D162" s="8" t="s">
        <v>13</v>
      </c>
      <c r="E162" s="8" t="s">
        <v>4</v>
      </c>
      <c r="F162" s="39">
        <v>14</v>
      </c>
      <c r="G162" s="39">
        <v>244.59</v>
      </c>
      <c r="H162" s="39">
        <v>299.55</v>
      </c>
      <c r="I162" s="40">
        <v>3424.26</v>
      </c>
      <c r="J162" s="41">
        <v>4193.7</v>
      </c>
      <c r="K162" s="41">
        <f>0</f>
        <v>0</v>
      </c>
      <c r="L162" s="2">
        <f>0</f>
        <v>0</v>
      </c>
      <c r="M162" s="2"/>
      <c r="N162" s="2"/>
      <c r="O162" s="2"/>
      <c r="P162" s="2"/>
      <c r="Q162" s="42">
        <f t="shared" si="85"/>
        <v>0</v>
      </c>
      <c r="R162" s="43">
        <f t="shared" si="79"/>
        <v>0</v>
      </c>
      <c r="S162" s="44"/>
      <c r="T162" s="44"/>
      <c r="U162" s="44">
        <f t="shared" si="81"/>
        <v>14</v>
      </c>
      <c r="V162" s="45">
        <f t="shared" si="82"/>
        <v>0</v>
      </c>
      <c r="W162" s="45">
        <f t="shared" si="83"/>
        <v>0</v>
      </c>
      <c r="X162" s="45">
        <f t="shared" si="84"/>
        <v>4193.7</v>
      </c>
    </row>
    <row r="163" spans="1:24" ht="24" x14ac:dyDescent="0.2">
      <c r="A163" s="7" t="s">
        <v>361</v>
      </c>
      <c r="B163" s="8" t="s">
        <v>362</v>
      </c>
      <c r="C163" s="7" t="s">
        <v>363</v>
      </c>
      <c r="D163" s="8" t="s">
        <v>18</v>
      </c>
      <c r="E163" s="8" t="s">
        <v>158</v>
      </c>
      <c r="F163" s="39">
        <v>11</v>
      </c>
      <c r="G163" s="39">
        <v>12.74</v>
      </c>
      <c r="H163" s="39">
        <v>15.6</v>
      </c>
      <c r="I163" s="40">
        <v>140.13999999999999</v>
      </c>
      <c r="J163" s="41">
        <v>171.6</v>
      </c>
      <c r="K163" s="41">
        <f>0</f>
        <v>0</v>
      </c>
      <c r="L163" s="2">
        <f>0</f>
        <v>0</v>
      </c>
      <c r="M163" s="2"/>
      <c r="N163" s="2"/>
      <c r="O163" s="2"/>
      <c r="P163" s="2"/>
      <c r="Q163" s="42">
        <f t="shared" si="85"/>
        <v>0</v>
      </c>
      <c r="R163" s="43">
        <f t="shared" si="79"/>
        <v>0</v>
      </c>
      <c r="S163" s="44"/>
      <c r="T163" s="44"/>
      <c r="U163" s="44">
        <f t="shared" si="81"/>
        <v>11</v>
      </c>
      <c r="V163" s="45">
        <f t="shared" si="82"/>
        <v>0</v>
      </c>
      <c r="W163" s="45">
        <f t="shared" si="83"/>
        <v>0</v>
      </c>
      <c r="X163" s="45">
        <f t="shared" si="84"/>
        <v>171.6</v>
      </c>
    </row>
    <row r="164" spans="1:24" ht="24" x14ac:dyDescent="0.2">
      <c r="A164" s="7" t="s">
        <v>364</v>
      </c>
      <c r="B164" s="8" t="s">
        <v>365</v>
      </c>
      <c r="C164" s="7" t="s">
        <v>366</v>
      </c>
      <c r="D164" s="8" t="s">
        <v>13</v>
      </c>
      <c r="E164" s="8" t="s">
        <v>367</v>
      </c>
      <c r="F164" s="39">
        <v>11</v>
      </c>
      <c r="G164" s="39">
        <v>48.01</v>
      </c>
      <c r="H164" s="39">
        <v>58.8</v>
      </c>
      <c r="I164" s="40">
        <v>528.11</v>
      </c>
      <c r="J164" s="41">
        <v>646.79999999999995</v>
      </c>
      <c r="K164" s="41">
        <f>0</f>
        <v>0</v>
      </c>
      <c r="L164" s="2">
        <f>0</f>
        <v>0</v>
      </c>
      <c r="M164" s="2"/>
      <c r="N164" s="2"/>
      <c r="O164" s="2"/>
      <c r="P164" s="2"/>
      <c r="Q164" s="42">
        <f t="shared" si="85"/>
        <v>0</v>
      </c>
      <c r="R164" s="43">
        <f t="shared" si="79"/>
        <v>0</v>
      </c>
      <c r="S164" s="44"/>
      <c r="T164" s="44"/>
      <c r="U164" s="44">
        <f t="shared" si="81"/>
        <v>11</v>
      </c>
      <c r="V164" s="45">
        <f t="shared" si="82"/>
        <v>0</v>
      </c>
      <c r="W164" s="45">
        <f t="shared" si="83"/>
        <v>0</v>
      </c>
      <c r="X164" s="45">
        <f t="shared" si="84"/>
        <v>646.79999999999995</v>
      </c>
    </row>
    <row r="165" spans="1:24" ht="36" x14ac:dyDescent="0.2">
      <c r="A165" s="7" t="s">
        <v>368</v>
      </c>
      <c r="B165" s="8" t="s">
        <v>369</v>
      </c>
      <c r="C165" s="7" t="s">
        <v>370</v>
      </c>
      <c r="D165" s="8" t="s">
        <v>18</v>
      </c>
      <c r="E165" s="8" t="s">
        <v>158</v>
      </c>
      <c r="F165" s="39">
        <v>81</v>
      </c>
      <c r="G165" s="39">
        <v>24.65</v>
      </c>
      <c r="H165" s="39">
        <v>30.19</v>
      </c>
      <c r="I165" s="40">
        <v>1996.65</v>
      </c>
      <c r="J165" s="41">
        <v>2445.39</v>
      </c>
      <c r="K165" s="41">
        <f>0</f>
        <v>0</v>
      </c>
      <c r="L165" s="2">
        <f>0</f>
        <v>0</v>
      </c>
      <c r="M165" s="2"/>
      <c r="N165" s="2"/>
      <c r="O165" s="2"/>
      <c r="P165" s="2"/>
      <c r="Q165" s="42">
        <f t="shared" si="85"/>
        <v>0</v>
      </c>
      <c r="R165" s="43">
        <f t="shared" si="79"/>
        <v>0</v>
      </c>
      <c r="S165" s="44"/>
      <c r="T165" s="44"/>
      <c r="U165" s="44">
        <f t="shared" si="81"/>
        <v>81</v>
      </c>
      <c r="V165" s="45">
        <f t="shared" si="82"/>
        <v>0</v>
      </c>
      <c r="W165" s="45">
        <f t="shared" si="83"/>
        <v>0</v>
      </c>
      <c r="X165" s="45">
        <f t="shared" si="84"/>
        <v>2445.39</v>
      </c>
    </row>
    <row r="166" spans="1:24" ht="36" x14ac:dyDescent="0.2">
      <c r="A166" s="7" t="s">
        <v>371</v>
      </c>
      <c r="B166" s="8" t="s">
        <v>372</v>
      </c>
      <c r="C166" s="7" t="s">
        <v>373</v>
      </c>
      <c r="D166" s="8" t="s">
        <v>18</v>
      </c>
      <c r="E166" s="8" t="s">
        <v>158</v>
      </c>
      <c r="F166" s="39">
        <v>9</v>
      </c>
      <c r="G166" s="39">
        <v>44.79</v>
      </c>
      <c r="H166" s="39">
        <v>54.85</v>
      </c>
      <c r="I166" s="40">
        <v>403.11</v>
      </c>
      <c r="J166" s="41">
        <v>493.65</v>
      </c>
      <c r="K166" s="41">
        <f>0</f>
        <v>0</v>
      </c>
      <c r="L166" s="2">
        <f>0</f>
        <v>0</v>
      </c>
      <c r="M166" s="2"/>
      <c r="N166" s="2"/>
      <c r="O166" s="2"/>
      <c r="P166" s="2"/>
      <c r="Q166" s="42">
        <f t="shared" si="85"/>
        <v>0</v>
      </c>
      <c r="R166" s="43">
        <f t="shared" si="79"/>
        <v>0</v>
      </c>
      <c r="S166" s="44"/>
      <c r="T166" s="44"/>
      <c r="U166" s="44">
        <f t="shared" si="81"/>
        <v>9</v>
      </c>
      <c r="V166" s="45">
        <f t="shared" si="82"/>
        <v>0</v>
      </c>
      <c r="W166" s="45">
        <f t="shared" si="83"/>
        <v>0</v>
      </c>
      <c r="X166" s="45">
        <f t="shared" si="84"/>
        <v>493.65</v>
      </c>
    </row>
    <row r="167" spans="1:24" ht="36" x14ac:dyDescent="0.2">
      <c r="A167" s="7" t="s">
        <v>374</v>
      </c>
      <c r="B167" s="8" t="s">
        <v>375</v>
      </c>
      <c r="C167" s="7" t="s">
        <v>376</v>
      </c>
      <c r="D167" s="8" t="s">
        <v>18</v>
      </c>
      <c r="E167" s="8" t="s">
        <v>23</v>
      </c>
      <c r="F167" s="39">
        <v>14</v>
      </c>
      <c r="G167" s="39">
        <v>20.87</v>
      </c>
      <c r="H167" s="39">
        <v>25.56</v>
      </c>
      <c r="I167" s="40">
        <v>292.18</v>
      </c>
      <c r="J167" s="41">
        <v>357.84</v>
      </c>
      <c r="K167" s="41">
        <f>0</f>
        <v>0</v>
      </c>
      <c r="L167" s="2">
        <f>0</f>
        <v>0</v>
      </c>
      <c r="M167" s="2"/>
      <c r="N167" s="2"/>
      <c r="O167" s="2"/>
      <c r="P167" s="2"/>
      <c r="Q167" s="42">
        <f t="shared" si="85"/>
        <v>0</v>
      </c>
      <c r="R167" s="43">
        <f t="shared" si="79"/>
        <v>0</v>
      </c>
      <c r="S167" s="44"/>
      <c r="T167" s="44"/>
      <c r="U167" s="44">
        <f t="shared" si="81"/>
        <v>14</v>
      </c>
      <c r="V167" s="45">
        <f t="shared" si="82"/>
        <v>0</v>
      </c>
      <c r="W167" s="45">
        <f t="shared" si="83"/>
        <v>0</v>
      </c>
      <c r="X167" s="45">
        <f t="shared" si="84"/>
        <v>357.84</v>
      </c>
    </row>
    <row r="168" spans="1:24" ht="24" x14ac:dyDescent="0.2">
      <c r="A168" s="7" t="s">
        <v>377</v>
      </c>
      <c r="B168" s="8" t="s">
        <v>378</v>
      </c>
      <c r="C168" s="7" t="s">
        <v>379</v>
      </c>
      <c r="D168" s="8" t="s">
        <v>18</v>
      </c>
      <c r="E168" s="8" t="s">
        <v>158</v>
      </c>
      <c r="F168" s="39">
        <v>7</v>
      </c>
      <c r="G168" s="39">
        <v>26.54</v>
      </c>
      <c r="H168" s="39">
        <v>32.5</v>
      </c>
      <c r="I168" s="40">
        <v>185.78</v>
      </c>
      <c r="J168" s="41">
        <v>227.5</v>
      </c>
      <c r="K168" s="41">
        <f>0</f>
        <v>0</v>
      </c>
      <c r="L168" s="2">
        <f>0</f>
        <v>0</v>
      </c>
      <c r="M168" s="2"/>
      <c r="N168" s="2"/>
      <c r="O168" s="2"/>
      <c r="P168" s="2"/>
      <c r="Q168" s="42">
        <f t="shared" si="85"/>
        <v>0</v>
      </c>
      <c r="R168" s="43">
        <f t="shared" si="79"/>
        <v>0</v>
      </c>
      <c r="S168" s="44"/>
      <c r="T168" s="44"/>
      <c r="U168" s="44">
        <f t="shared" si="81"/>
        <v>7</v>
      </c>
      <c r="V168" s="45">
        <f t="shared" si="82"/>
        <v>0</v>
      </c>
      <c r="W168" s="45">
        <f t="shared" si="83"/>
        <v>0</v>
      </c>
      <c r="X168" s="45">
        <f t="shared" si="84"/>
        <v>227.5</v>
      </c>
    </row>
    <row r="169" spans="1:24" ht="24" x14ac:dyDescent="0.2">
      <c r="A169" s="7" t="s">
        <v>380</v>
      </c>
      <c r="B169" s="8" t="s">
        <v>381</v>
      </c>
      <c r="C169" s="7" t="s">
        <v>382</v>
      </c>
      <c r="D169" s="8" t="s">
        <v>18</v>
      </c>
      <c r="E169" s="8" t="s">
        <v>158</v>
      </c>
      <c r="F169" s="39">
        <v>1</v>
      </c>
      <c r="G169" s="39">
        <v>59.84</v>
      </c>
      <c r="H169" s="39">
        <v>73.290000000000006</v>
      </c>
      <c r="I169" s="40">
        <v>59.84</v>
      </c>
      <c r="J169" s="41">
        <v>73.290000000000006</v>
      </c>
      <c r="K169" s="41">
        <f>0</f>
        <v>0</v>
      </c>
      <c r="L169" s="2">
        <f>0</f>
        <v>0</v>
      </c>
      <c r="M169" s="2"/>
      <c r="N169" s="2"/>
      <c r="O169" s="2"/>
      <c r="P169" s="2"/>
      <c r="Q169" s="42">
        <f t="shared" si="85"/>
        <v>0</v>
      </c>
      <c r="R169" s="43">
        <f t="shared" si="79"/>
        <v>0</v>
      </c>
      <c r="S169" s="44"/>
      <c r="T169" s="44"/>
      <c r="U169" s="44">
        <f t="shared" si="81"/>
        <v>1</v>
      </c>
      <c r="V169" s="45">
        <f t="shared" si="82"/>
        <v>0</v>
      </c>
      <c r="W169" s="45">
        <f t="shared" si="83"/>
        <v>0</v>
      </c>
      <c r="X169" s="45">
        <f t="shared" si="84"/>
        <v>73.290000000000006</v>
      </c>
    </row>
    <row r="170" spans="1:24" ht="48" x14ac:dyDescent="0.2">
      <c r="A170" s="7" t="s">
        <v>383</v>
      </c>
      <c r="B170" s="8" t="s">
        <v>384</v>
      </c>
      <c r="C170" s="7" t="s">
        <v>385</v>
      </c>
      <c r="D170" s="8" t="s">
        <v>18</v>
      </c>
      <c r="E170" s="8" t="s">
        <v>158</v>
      </c>
      <c r="F170" s="39">
        <v>3</v>
      </c>
      <c r="G170" s="39">
        <v>522.26</v>
      </c>
      <c r="H170" s="39">
        <v>639.61</v>
      </c>
      <c r="I170" s="40">
        <v>1566.78</v>
      </c>
      <c r="J170" s="41">
        <v>1918.83</v>
      </c>
      <c r="K170" s="41">
        <f>0</f>
        <v>0</v>
      </c>
      <c r="L170" s="2">
        <f>0</f>
        <v>0</v>
      </c>
      <c r="M170" s="2"/>
      <c r="N170" s="2"/>
      <c r="O170" s="2"/>
      <c r="P170" s="2">
        <v>3</v>
      </c>
      <c r="Q170" s="42">
        <f t="shared" si="85"/>
        <v>3</v>
      </c>
      <c r="R170" s="43">
        <f t="shared" si="79"/>
        <v>1</v>
      </c>
      <c r="S170" s="44"/>
      <c r="T170" s="44"/>
      <c r="U170" s="44">
        <f t="shared" si="81"/>
        <v>3</v>
      </c>
      <c r="V170" s="45">
        <f t="shared" si="82"/>
        <v>0</v>
      </c>
      <c r="W170" s="45">
        <f t="shared" si="83"/>
        <v>0</v>
      </c>
      <c r="X170" s="45">
        <f t="shared" si="84"/>
        <v>1918.83</v>
      </c>
    </row>
    <row r="171" spans="1:24" ht="36" x14ac:dyDescent="0.2">
      <c r="A171" s="7" t="s">
        <v>386</v>
      </c>
      <c r="B171" s="8" t="s">
        <v>387</v>
      </c>
      <c r="C171" s="7" t="s">
        <v>388</v>
      </c>
      <c r="D171" s="8" t="s">
        <v>18</v>
      </c>
      <c r="E171" s="8" t="s">
        <v>158</v>
      </c>
      <c r="F171" s="39">
        <v>1</v>
      </c>
      <c r="G171" s="39">
        <v>2194.16</v>
      </c>
      <c r="H171" s="39">
        <v>2687.19</v>
      </c>
      <c r="I171" s="40">
        <v>2194.16</v>
      </c>
      <c r="J171" s="41">
        <v>2687.19</v>
      </c>
      <c r="K171" s="41">
        <f>0</f>
        <v>0</v>
      </c>
      <c r="L171" s="2">
        <f>0</f>
        <v>0</v>
      </c>
      <c r="M171" s="2"/>
      <c r="N171" s="2"/>
      <c r="O171" s="2"/>
      <c r="P171" s="2">
        <v>1</v>
      </c>
      <c r="Q171" s="42">
        <f t="shared" si="85"/>
        <v>1</v>
      </c>
      <c r="R171" s="43">
        <f t="shared" si="79"/>
        <v>1</v>
      </c>
      <c r="S171" s="44"/>
      <c r="T171" s="44"/>
      <c r="U171" s="44">
        <f t="shared" si="81"/>
        <v>1</v>
      </c>
      <c r="V171" s="45">
        <f t="shared" si="82"/>
        <v>0</v>
      </c>
      <c r="W171" s="45">
        <f t="shared" si="83"/>
        <v>0</v>
      </c>
      <c r="X171" s="45">
        <f t="shared" si="84"/>
        <v>2687.19</v>
      </c>
    </row>
    <row r="172" spans="1:24" ht="48" x14ac:dyDescent="0.2">
      <c r="A172" s="7" t="s">
        <v>389</v>
      </c>
      <c r="B172" s="8" t="s">
        <v>390</v>
      </c>
      <c r="C172" s="7" t="s">
        <v>391</v>
      </c>
      <c r="D172" s="8" t="s">
        <v>18</v>
      </c>
      <c r="E172" s="8" t="s">
        <v>23</v>
      </c>
      <c r="F172" s="39">
        <v>14.8</v>
      </c>
      <c r="G172" s="39">
        <v>27.2</v>
      </c>
      <c r="H172" s="39">
        <v>33.31</v>
      </c>
      <c r="I172" s="40">
        <v>402.56</v>
      </c>
      <c r="J172" s="41">
        <v>492.99</v>
      </c>
      <c r="K172" s="41">
        <f>0</f>
        <v>0</v>
      </c>
      <c r="L172" s="2">
        <f>0</f>
        <v>0</v>
      </c>
      <c r="M172" s="2"/>
      <c r="N172" s="2"/>
      <c r="O172" s="2"/>
      <c r="P172" s="2"/>
      <c r="Q172" s="42">
        <f t="shared" si="85"/>
        <v>0</v>
      </c>
      <c r="R172" s="43">
        <f t="shared" si="79"/>
        <v>0</v>
      </c>
      <c r="S172" s="44"/>
      <c r="T172" s="44"/>
      <c r="U172" s="44">
        <f t="shared" si="81"/>
        <v>14.8</v>
      </c>
      <c r="V172" s="45">
        <f t="shared" si="82"/>
        <v>0</v>
      </c>
      <c r="W172" s="45">
        <f t="shared" si="83"/>
        <v>0</v>
      </c>
      <c r="X172" s="45">
        <f t="shared" si="84"/>
        <v>492.99</v>
      </c>
    </row>
    <row r="173" spans="1:24" ht="36" x14ac:dyDescent="0.2">
      <c r="A173" s="7" t="s">
        <v>392</v>
      </c>
      <c r="B173" s="8" t="s">
        <v>375</v>
      </c>
      <c r="C173" s="7" t="s">
        <v>376</v>
      </c>
      <c r="D173" s="8" t="s">
        <v>18</v>
      </c>
      <c r="E173" s="8" t="s">
        <v>23</v>
      </c>
      <c r="F173" s="39">
        <v>3.7</v>
      </c>
      <c r="G173" s="39">
        <v>22.98</v>
      </c>
      <c r="H173" s="39">
        <v>28.14</v>
      </c>
      <c r="I173" s="40">
        <v>85.03</v>
      </c>
      <c r="J173" s="41">
        <v>104.12</v>
      </c>
      <c r="K173" s="41">
        <f>0</f>
        <v>0</v>
      </c>
      <c r="L173" s="2">
        <f>0</f>
        <v>0</v>
      </c>
      <c r="M173" s="2"/>
      <c r="N173" s="2"/>
      <c r="O173" s="2"/>
      <c r="P173" s="2"/>
      <c r="Q173" s="42">
        <f t="shared" si="85"/>
        <v>0</v>
      </c>
      <c r="R173" s="43">
        <f t="shared" si="79"/>
        <v>0</v>
      </c>
      <c r="S173" s="44"/>
      <c r="T173" s="44"/>
      <c r="U173" s="44">
        <f t="shared" si="81"/>
        <v>3.7</v>
      </c>
      <c r="V173" s="45">
        <f t="shared" si="82"/>
        <v>0</v>
      </c>
      <c r="W173" s="45">
        <f t="shared" si="83"/>
        <v>0</v>
      </c>
      <c r="X173" s="45">
        <f t="shared" si="84"/>
        <v>104.12</v>
      </c>
    </row>
    <row r="174" spans="1:24" ht="36" x14ac:dyDescent="0.2">
      <c r="A174" s="7" t="s">
        <v>393</v>
      </c>
      <c r="B174" s="8" t="s">
        <v>394</v>
      </c>
      <c r="C174" s="7" t="s">
        <v>395</v>
      </c>
      <c r="D174" s="8" t="s">
        <v>18</v>
      </c>
      <c r="E174" s="8" t="s">
        <v>23</v>
      </c>
      <c r="F174" s="39">
        <v>190</v>
      </c>
      <c r="G174" s="39">
        <v>15.17</v>
      </c>
      <c r="H174" s="39">
        <v>18.579999999999998</v>
      </c>
      <c r="I174" s="40">
        <v>2882.3</v>
      </c>
      <c r="J174" s="41">
        <v>3530.2</v>
      </c>
      <c r="K174" s="41">
        <f>0</f>
        <v>0</v>
      </c>
      <c r="L174" s="2">
        <f>0</f>
        <v>0</v>
      </c>
      <c r="M174" s="2"/>
      <c r="N174" s="2"/>
      <c r="O174" s="2"/>
      <c r="P174" s="2"/>
      <c r="Q174" s="42">
        <f t="shared" si="85"/>
        <v>0</v>
      </c>
      <c r="R174" s="43">
        <f t="shared" si="79"/>
        <v>0</v>
      </c>
      <c r="S174" s="44"/>
      <c r="T174" s="44"/>
      <c r="U174" s="44">
        <f t="shared" si="81"/>
        <v>190</v>
      </c>
      <c r="V174" s="45">
        <f t="shared" si="82"/>
        <v>0</v>
      </c>
      <c r="W174" s="45">
        <f t="shared" si="83"/>
        <v>0</v>
      </c>
      <c r="X174" s="45">
        <f t="shared" si="84"/>
        <v>3530.2</v>
      </c>
    </row>
    <row r="175" spans="1:24" ht="36" x14ac:dyDescent="0.2">
      <c r="A175" s="7" t="s">
        <v>396</v>
      </c>
      <c r="B175" s="8" t="s">
        <v>397</v>
      </c>
      <c r="C175" s="7" t="s">
        <v>398</v>
      </c>
      <c r="D175" s="8" t="s">
        <v>18</v>
      </c>
      <c r="E175" s="8" t="s">
        <v>23</v>
      </c>
      <c r="F175" s="39">
        <v>166</v>
      </c>
      <c r="G175" s="39">
        <v>8.36</v>
      </c>
      <c r="H175" s="39">
        <v>10.24</v>
      </c>
      <c r="I175" s="40">
        <v>1387.76</v>
      </c>
      <c r="J175" s="41">
        <v>1699.84</v>
      </c>
      <c r="K175" s="41">
        <f>0</f>
        <v>0</v>
      </c>
      <c r="L175" s="2">
        <f>0</f>
        <v>0</v>
      </c>
      <c r="M175" s="2"/>
      <c r="N175" s="2"/>
      <c r="O175" s="2"/>
      <c r="P175" s="2"/>
      <c r="Q175" s="42">
        <f t="shared" si="85"/>
        <v>0</v>
      </c>
      <c r="R175" s="43">
        <f t="shared" si="79"/>
        <v>0</v>
      </c>
      <c r="S175" s="44"/>
      <c r="T175" s="44"/>
      <c r="U175" s="44">
        <f t="shared" si="81"/>
        <v>166</v>
      </c>
      <c r="V175" s="45">
        <f t="shared" si="82"/>
        <v>0</v>
      </c>
      <c r="W175" s="45">
        <f t="shared" si="83"/>
        <v>0</v>
      </c>
      <c r="X175" s="45">
        <f t="shared" si="84"/>
        <v>1699.84</v>
      </c>
    </row>
    <row r="176" spans="1:24" ht="36" x14ac:dyDescent="0.2">
      <c r="A176" s="7" t="s">
        <v>399</v>
      </c>
      <c r="B176" s="8" t="s">
        <v>400</v>
      </c>
      <c r="C176" s="7" t="s">
        <v>401</v>
      </c>
      <c r="D176" s="8" t="s">
        <v>18</v>
      </c>
      <c r="E176" s="8" t="s">
        <v>23</v>
      </c>
      <c r="F176" s="39">
        <v>143.69999999999999</v>
      </c>
      <c r="G176" s="39">
        <v>5.95</v>
      </c>
      <c r="H176" s="39">
        <v>7.29</v>
      </c>
      <c r="I176" s="40">
        <v>855.02</v>
      </c>
      <c r="J176" s="41">
        <v>1047.57</v>
      </c>
      <c r="K176" s="41">
        <f>0</f>
        <v>0</v>
      </c>
      <c r="L176" s="2">
        <f>0</f>
        <v>0</v>
      </c>
      <c r="M176" s="2"/>
      <c r="N176" s="2"/>
      <c r="O176" s="2"/>
      <c r="P176" s="2"/>
      <c r="Q176" s="42">
        <f t="shared" si="85"/>
        <v>0</v>
      </c>
      <c r="R176" s="43">
        <f t="shared" si="79"/>
        <v>0</v>
      </c>
      <c r="S176" s="44"/>
      <c r="T176" s="44"/>
      <c r="U176" s="44">
        <f t="shared" si="81"/>
        <v>143.69999999999999</v>
      </c>
      <c r="V176" s="45">
        <f t="shared" si="82"/>
        <v>0</v>
      </c>
      <c r="W176" s="45">
        <f t="shared" si="83"/>
        <v>0</v>
      </c>
      <c r="X176" s="45">
        <f t="shared" si="84"/>
        <v>1047.57</v>
      </c>
    </row>
    <row r="177" spans="1:24" ht="36" x14ac:dyDescent="0.2">
      <c r="A177" s="7" t="s">
        <v>402</v>
      </c>
      <c r="B177" s="8" t="s">
        <v>403</v>
      </c>
      <c r="C177" s="7" t="s">
        <v>404</v>
      </c>
      <c r="D177" s="8" t="s">
        <v>18</v>
      </c>
      <c r="E177" s="8" t="s">
        <v>23</v>
      </c>
      <c r="F177" s="39">
        <v>1805.7</v>
      </c>
      <c r="G177" s="39">
        <v>3.8</v>
      </c>
      <c r="H177" s="39">
        <v>4.6500000000000004</v>
      </c>
      <c r="I177" s="40">
        <v>6861.66</v>
      </c>
      <c r="J177" s="41">
        <v>8396.51</v>
      </c>
      <c r="K177" s="41">
        <f>0</f>
        <v>0</v>
      </c>
      <c r="L177" s="2">
        <f>0</f>
        <v>0</v>
      </c>
      <c r="M177" s="2"/>
      <c r="N177" s="2"/>
      <c r="O177" s="2"/>
      <c r="P177" s="2"/>
      <c r="Q177" s="42">
        <f t="shared" si="85"/>
        <v>0</v>
      </c>
      <c r="R177" s="43">
        <f t="shared" si="79"/>
        <v>0</v>
      </c>
      <c r="S177" s="44"/>
      <c r="T177" s="44"/>
      <c r="U177" s="44">
        <f t="shared" si="81"/>
        <v>1805.7</v>
      </c>
      <c r="V177" s="45">
        <f t="shared" si="82"/>
        <v>0</v>
      </c>
      <c r="W177" s="45">
        <f t="shared" si="83"/>
        <v>0</v>
      </c>
      <c r="X177" s="45">
        <f t="shared" si="84"/>
        <v>8396.51</v>
      </c>
    </row>
    <row r="178" spans="1:24" ht="36" x14ac:dyDescent="0.2">
      <c r="A178" s="7" t="s">
        <v>405</v>
      </c>
      <c r="B178" s="8" t="s">
        <v>406</v>
      </c>
      <c r="C178" s="7" t="s">
        <v>407</v>
      </c>
      <c r="D178" s="8" t="s">
        <v>18</v>
      </c>
      <c r="E178" s="8" t="s">
        <v>23</v>
      </c>
      <c r="F178" s="39">
        <v>817.5</v>
      </c>
      <c r="G178" s="39">
        <v>2.58</v>
      </c>
      <c r="H178" s="39">
        <v>3.16</v>
      </c>
      <c r="I178" s="40">
        <v>2109.15</v>
      </c>
      <c r="J178" s="41">
        <v>2583.3000000000002</v>
      </c>
      <c r="K178" s="41">
        <f>0</f>
        <v>0</v>
      </c>
      <c r="L178" s="2">
        <f>0</f>
        <v>0</v>
      </c>
      <c r="M178" s="2"/>
      <c r="N178" s="2"/>
      <c r="O178" s="2"/>
      <c r="P178" s="2"/>
      <c r="Q178" s="42">
        <f t="shared" si="85"/>
        <v>0</v>
      </c>
      <c r="R178" s="43">
        <f t="shared" si="79"/>
        <v>0</v>
      </c>
      <c r="S178" s="44"/>
      <c r="T178" s="44"/>
      <c r="U178" s="44">
        <f t="shared" si="81"/>
        <v>817.5</v>
      </c>
      <c r="V178" s="45">
        <f t="shared" si="82"/>
        <v>0</v>
      </c>
      <c r="W178" s="45">
        <f t="shared" si="83"/>
        <v>0</v>
      </c>
      <c r="X178" s="45">
        <f t="shared" si="84"/>
        <v>2583.3000000000002</v>
      </c>
    </row>
    <row r="179" spans="1:24" ht="36" x14ac:dyDescent="0.2">
      <c r="A179" s="7" t="s">
        <v>408</v>
      </c>
      <c r="B179" s="8" t="s">
        <v>409</v>
      </c>
      <c r="C179" s="7" t="s">
        <v>410</v>
      </c>
      <c r="D179" s="8" t="s">
        <v>18</v>
      </c>
      <c r="E179" s="8" t="s">
        <v>158</v>
      </c>
      <c r="F179" s="39">
        <v>2</v>
      </c>
      <c r="G179" s="39">
        <v>131.94999999999999</v>
      </c>
      <c r="H179" s="39">
        <v>161.6</v>
      </c>
      <c r="I179" s="40">
        <v>263.89999999999998</v>
      </c>
      <c r="J179" s="41">
        <v>323.2</v>
      </c>
      <c r="K179" s="41">
        <f>0</f>
        <v>0</v>
      </c>
      <c r="L179" s="2">
        <f>0</f>
        <v>0</v>
      </c>
      <c r="M179" s="2"/>
      <c r="N179" s="2"/>
      <c r="O179" s="2"/>
      <c r="P179" s="2"/>
      <c r="Q179" s="42">
        <f t="shared" si="85"/>
        <v>0</v>
      </c>
      <c r="R179" s="43">
        <f t="shared" si="79"/>
        <v>0</v>
      </c>
      <c r="S179" s="44"/>
      <c r="T179" s="44"/>
      <c r="U179" s="44">
        <f t="shared" si="81"/>
        <v>2</v>
      </c>
      <c r="V179" s="45">
        <f t="shared" si="82"/>
        <v>0</v>
      </c>
      <c r="W179" s="45">
        <f t="shared" si="83"/>
        <v>0</v>
      </c>
      <c r="X179" s="45">
        <f t="shared" si="84"/>
        <v>323.2</v>
      </c>
    </row>
    <row r="180" spans="1:24" ht="36" x14ac:dyDescent="0.2">
      <c r="A180" s="7" t="s">
        <v>411</v>
      </c>
      <c r="B180" s="8" t="s">
        <v>412</v>
      </c>
      <c r="C180" s="7" t="s">
        <v>413</v>
      </c>
      <c r="D180" s="8" t="s">
        <v>18</v>
      </c>
      <c r="E180" s="8" t="s">
        <v>158</v>
      </c>
      <c r="F180" s="39">
        <v>112</v>
      </c>
      <c r="G180" s="39">
        <v>10.56</v>
      </c>
      <c r="H180" s="39">
        <v>12.93</v>
      </c>
      <c r="I180" s="40">
        <v>1182.72</v>
      </c>
      <c r="J180" s="41">
        <v>1448.16</v>
      </c>
      <c r="K180" s="41">
        <f>0</f>
        <v>0</v>
      </c>
      <c r="L180" s="2">
        <f>0</f>
        <v>0</v>
      </c>
      <c r="M180" s="2"/>
      <c r="N180" s="2"/>
      <c r="O180" s="2"/>
      <c r="P180" s="2"/>
      <c r="Q180" s="42">
        <f t="shared" si="85"/>
        <v>0</v>
      </c>
      <c r="R180" s="43">
        <f t="shared" si="79"/>
        <v>0</v>
      </c>
      <c r="S180" s="44"/>
      <c r="T180" s="44"/>
      <c r="U180" s="44">
        <f t="shared" si="81"/>
        <v>112</v>
      </c>
      <c r="V180" s="45">
        <f t="shared" si="82"/>
        <v>0</v>
      </c>
      <c r="W180" s="45">
        <f t="shared" si="83"/>
        <v>0</v>
      </c>
      <c r="X180" s="45">
        <f t="shared" si="84"/>
        <v>1448.16</v>
      </c>
    </row>
    <row r="181" spans="1:24" ht="24" x14ac:dyDescent="0.2">
      <c r="A181" s="7" t="s">
        <v>414</v>
      </c>
      <c r="B181" s="8" t="s">
        <v>415</v>
      </c>
      <c r="C181" s="7" t="s">
        <v>416</v>
      </c>
      <c r="D181" s="8" t="s">
        <v>18</v>
      </c>
      <c r="E181" s="8" t="s">
        <v>158</v>
      </c>
      <c r="F181" s="39">
        <v>1</v>
      </c>
      <c r="G181" s="39">
        <v>68.17</v>
      </c>
      <c r="H181" s="39">
        <v>83.49</v>
      </c>
      <c r="I181" s="40">
        <v>68.17</v>
      </c>
      <c r="J181" s="41">
        <v>83.49</v>
      </c>
      <c r="K181" s="41">
        <f>0</f>
        <v>0</v>
      </c>
      <c r="L181" s="2">
        <f>0</f>
        <v>0</v>
      </c>
      <c r="M181" s="2"/>
      <c r="N181" s="2"/>
      <c r="O181" s="2"/>
      <c r="P181" s="2"/>
      <c r="Q181" s="42">
        <f t="shared" si="85"/>
        <v>0</v>
      </c>
      <c r="R181" s="43">
        <f t="shared" si="79"/>
        <v>0</v>
      </c>
      <c r="S181" s="44"/>
      <c r="T181" s="44"/>
      <c r="U181" s="44">
        <f t="shared" si="81"/>
        <v>1</v>
      </c>
      <c r="V181" s="45">
        <f t="shared" si="82"/>
        <v>0</v>
      </c>
      <c r="W181" s="45">
        <f t="shared" si="83"/>
        <v>0</v>
      </c>
      <c r="X181" s="45">
        <f t="shared" si="84"/>
        <v>83.49</v>
      </c>
    </row>
    <row r="182" spans="1:24" ht="24" x14ac:dyDescent="0.2">
      <c r="A182" s="7" t="s">
        <v>417</v>
      </c>
      <c r="B182" s="8" t="s">
        <v>418</v>
      </c>
      <c r="C182" s="7" t="s">
        <v>419</v>
      </c>
      <c r="D182" s="8" t="s">
        <v>18</v>
      </c>
      <c r="E182" s="8" t="s">
        <v>158</v>
      </c>
      <c r="F182" s="39">
        <v>2</v>
      </c>
      <c r="G182" s="39">
        <v>71.33</v>
      </c>
      <c r="H182" s="39">
        <v>87.36</v>
      </c>
      <c r="I182" s="40">
        <v>142.66</v>
      </c>
      <c r="J182" s="41">
        <v>174.72</v>
      </c>
      <c r="K182" s="41">
        <f>0</f>
        <v>0</v>
      </c>
      <c r="L182" s="2">
        <f>0</f>
        <v>0</v>
      </c>
      <c r="M182" s="2"/>
      <c r="N182" s="2"/>
      <c r="O182" s="2"/>
      <c r="P182" s="2"/>
      <c r="Q182" s="42">
        <f t="shared" si="85"/>
        <v>0</v>
      </c>
      <c r="R182" s="43">
        <f t="shared" si="79"/>
        <v>0</v>
      </c>
      <c r="S182" s="44"/>
      <c r="T182" s="44"/>
      <c r="U182" s="44">
        <f t="shared" si="81"/>
        <v>2</v>
      </c>
      <c r="V182" s="45">
        <f t="shared" si="82"/>
        <v>0</v>
      </c>
      <c r="W182" s="45">
        <f t="shared" si="83"/>
        <v>0</v>
      </c>
      <c r="X182" s="45">
        <f t="shared" si="84"/>
        <v>174.72</v>
      </c>
    </row>
    <row r="183" spans="1:24" x14ac:dyDescent="0.2">
      <c r="A183" s="7" t="s">
        <v>420</v>
      </c>
      <c r="B183" s="8" t="s">
        <v>421</v>
      </c>
      <c r="C183" s="7" t="s">
        <v>422</v>
      </c>
      <c r="D183" s="8" t="s">
        <v>224</v>
      </c>
      <c r="E183" s="8" t="s">
        <v>357</v>
      </c>
      <c r="F183" s="39">
        <v>1</v>
      </c>
      <c r="G183" s="39">
        <v>78.64</v>
      </c>
      <c r="H183" s="39">
        <v>96.31</v>
      </c>
      <c r="I183" s="40">
        <v>78.64</v>
      </c>
      <c r="J183" s="41">
        <v>96.31</v>
      </c>
      <c r="K183" s="41">
        <f>0</f>
        <v>0</v>
      </c>
      <c r="L183" s="2">
        <f>0</f>
        <v>0</v>
      </c>
      <c r="M183" s="2"/>
      <c r="N183" s="2"/>
      <c r="O183" s="2"/>
      <c r="P183" s="2"/>
      <c r="Q183" s="42">
        <f t="shared" si="85"/>
        <v>0</v>
      </c>
      <c r="R183" s="43">
        <f t="shared" si="79"/>
        <v>0</v>
      </c>
      <c r="S183" s="44"/>
      <c r="T183" s="44"/>
      <c r="U183" s="44">
        <f t="shared" si="81"/>
        <v>1</v>
      </c>
      <c r="V183" s="45">
        <f t="shared" si="82"/>
        <v>0</v>
      </c>
      <c r="W183" s="45">
        <f t="shared" si="83"/>
        <v>0</v>
      </c>
      <c r="X183" s="45">
        <f t="shared" si="84"/>
        <v>96.31</v>
      </c>
    </row>
    <row r="184" spans="1:24" ht="24" x14ac:dyDescent="0.2">
      <c r="A184" s="7" t="s">
        <v>423</v>
      </c>
      <c r="B184" s="8" t="s">
        <v>424</v>
      </c>
      <c r="C184" s="7" t="s">
        <v>425</v>
      </c>
      <c r="D184" s="8" t="s">
        <v>18</v>
      </c>
      <c r="E184" s="8" t="s">
        <v>158</v>
      </c>
      <c r="F184" s="39">
        <v>15</v>
      </c>
      <c r="G184" s="39">
        <v>10.27</v>
      </c>
      <c r="H184" s="39">
        <v>12.58</v>
      </c>
      <c r="I184" s="40">
        <v>154.05000000000001</v>
      </c>
      <c r="J184" s="41">
        <v>188.7</v>
      </c>
      <c r="K184" s="41">
        <f>0</f>
        <v>0</v>
      </c>
      <c r="L184" s="2">
        <f>0</f>
        <v>0</v>
      </c>
      <c r="M184" s="2"/>
      <c r="N184" s="2"/>
      <c r="O184" s="2"/>
      <c r="P184" s="2"/>
      <c r="Q184" s="42">
        <f t="shared" si="85"/>
        <v>0</v>
      </c>
      <c r="R184" s="43">
        <f t="shared" si="79"/>
        <v>0</v>
      </c>
      <c r="S184" s="44"/>
      <c r="T184" s="44"/>
      <c r="U184" s="44">
        <f t="shared" si="81"/>
        <v>15</v>
      </c>
      <c r="V184" s="45">
        <f t="shared" si="82"/>
        <v>0</v>
      </c>
      <c r="W184" s="45">
        <f t="shared" si="83"/>
        <v>0</v>
      </c>
      <c r="X184" s="45">
        <f t="shared" si="84"/>
        <v>188.7</v>
      </c>
    </row>
    <row r="185" spans="1:24" ht="24" x14ac:dyDescent="0.2">
      <c r="A185" s="7" t="s">
        <v>426</v>
      </c>
      <c r="B185" s="8" t="s">
        <v>427</v>
      </c>
      <c r="C185" s="7" t="s">
        <v>428</v>
      </c>
      <c r="D185" s="8" t="s">
        <v>18</v>
      </c>
      <c r="E185" s="8" t="s">
        <v>158</v>
      </c>
      <c r="F185" s="39">
        <v>8</v>
      </c>
      <c r="G185" s="39">
        <v>10.69</v>
      </c>
      <c r="H185" s="39">
        <v>13.09</v>
      </c>
      <c r="I185" s="40">
        <v>85.52</v>
      </c>
      <c r="J185" s="41">
        <v>104.72</v>
      </c>
      <c r="K185" s="41">
        <f>0</f>
        <v>0</v>
      </c>
      <c r="L185" s="2">
        <f>0</f>
        <v>0</v>
      </c>
      <c r="M185" s="2"/>
      <c r="N185" s="2"/>
      <c r="O185" s="2"/>
      <c r="P185" s="2"/>
      <c r="Q185" s="42">
        <f t="shared" si="85"/>
        <v>0</v>
      </c>
      <c r="R185" s="43">
        <f t="shared" si="79"/>
        <v>0</v>
      </c>
      <c r="S185" s="44"/>
      <c r="T185" s="44"/>
      <c r="U185" s="44">
        <f t="shared" si="81"/>
        <v>8</v>
      </c>
      <c r="V185" s="45">
        <f t="shared" si="82"/>
        <v>0</v>
      </c>
      <c r="W185" s="45">
        <f t="shared" si="83"/>
        <v>0</v>
      </c>
      <c r="X185" s="45">
        <f t="shared" si="84"/>
        <v>104.72</v>
      </c>
    </row>
    <row r="186" spans="1:24" ht="24" x14ac:dyDescent="0.2">
      <c r="A186" s="7" t="s">
        <v>429</v>
      </c>
      <c r="B186" s="8" t="s">
        <v>430</v>
      </c>
      <c r="C186" s="7" t="s">
        <v>431</v>
      </c>
      <c r="D186" s="8" t="s">
        <v>18</v>
      </c>
      <c r="E186" s="8" t="s">
        <v>158</v>
      </c>
      <c r="F186" s="39">
        <v>1</v>
      </c>
      <c r="G186" s="39">
        <v>11.56</v>
      </c>
      <c r="H186" s="39">
        <v>14.16</v>
      </c>
      <c r="I186" s="40">
        <v>11.56</v>
      </c>
      <c r="J186" s="41">
        <v>14.16</v>
      </c>
      <c r="K186" s="41">
        <f>0</f>
        <v>0</v>
      </c>
      <c r="L186" s="2">
        <f>0</f>
        <v>0</v>
      </c>
      <c r="M186" s="2"/>
      <c r="N186" s="2"/>
      <c r="O186" s="2"/>
      <c r="P186" s="2"/>
      <c r="Q186" s="42"/>
      <c r="R186" s="43">
        <f t="shared" si="79"/>
        <v>0</v>
      </c>
      <c r="S186" s="44"/>
      <c r="T186" s="44"/>
      <c r="U186" s="44">
        <f t="shared" si="81"/>
        <v>1</v>
      </c>
      <c r="V186" s="45">
        <f t="shared" si="82"/>
        <v>0</v>
      </c>
      <c r="W186" s="45">
        <f t="shared" si="83"/>
        <v>0</v>
      </c>
      <c r="X186" s="45">
        <f t="shared" si="84"/>
        <v>14.16</v>
      </c>
    </row>
    <row r="187" spans="1:24" ht="36" x14ac:dyDescent="0.2">
      <c r="A187" s="7" t="s">
        <v>832</v>
      </c>
      <c r="B187" s="8">
        <v>91831</v>
      </c>
      <c r="C187" s="7" t="s">
        <v>838</v>
      </c>
      <c r="D187" s="8" t="s">
        <v>18</v>
      </c>
      <c r="E187" s="8" t="s">
        <v>23</v>
      </c>
      <c r="F187" s="39"/>
      <c r="G187" s="39">
        <f>7.43*0.980188611</f>
        <v>7.2828013797299995</v>
      </c>
      <c r="H187" s="39">
        <f>G187*1.2247</f>
        <v>8.9192468497553303</v>
      </c>
      <c r="I187" s="40"/>
      <c r="J187" s="41"/>
      <c r="K187" s="41"/>
      <c r="L187" s="2"/>
      <c r="M187" s="2"/>
      <c r="N187" s="2"/>
      <c r="O187" s="2"/>
      <c r="P187" s="2"/>
      <c r="Q187" s="42"/>
      <c r="R187" s="43" t="e">
        <f t="shared" si="79"/>
        <v>#DIV/0!</v>
      </c>
      <c r="S187" s="247">
        <v>2</v>
      </c>
      <c r="T187" s="44"/>
      <c r="U187" s="44">
        <f t="shared" ref="U187:U191" si="86">F187+S187-T187</f>
        <v>2</v>
      </c>
      <c r="V187" s="45">
        <f t="shared" ref="V187:V191" si="87">ROUND(H187*S187,2)</f>
        <v>17.84</v>
      </c>
      <c r="W187" s="45">
        <f t="shared" ref="W187:W192" si="88">ROUND(H187*T187,2)</f>
        <v>0</v>
      </c>
      <c r="X187" s="45">
        <f t="shared" ref="X187:X192" si="89">ROUND(H187*U187,2)</f>
        <v>17.84</v>
      </c>
    </row>
    <row r="188" spans="1:24" ht="36" x14ac:dyDescent="0.2">
      <c r="A188" s="7" t="s">
        <v>833</v>
      </c>
      <c r="B188" s="8">
        <v>91834</v>
      </c>
      <c r="C188" s="7" t="s">
        <v>839</v>
      </c>
      <c r="D188" s="8" t="s">
        <v>18</v>
      </c>
      <c r="E188" s="8" t="s">
        <v>23</v>
      </c>
      <c r="F188" s="39"/>
      <c r="G188" s="39">
        <f>8.2*0.980188611</f>
        <v>8.0375466101999997</v>
      </c>
      <c r="H188" s="39">
        <f t="shared" ref="H188:H191" si="90">G188*1.2247</f>
        <v>9.8435833335119387</v>
      </c>
      <c r="I188" s="40"/>
      <c r="J188" s="41"/>
      <c r="K188" s="41"/>
      <c r="L188" s="2"/>
      <c r="M188" s="2"/>
      <c r="N188" s="2"/>
      <c r="O188" s="2"/>
      <c r="P188" s="2"/>
      <c r="Q188" s="42"/>
      <c r="R188" s="43"/>
      <c r="S188" s="247">
        <f>606.45+48.2</f>
        <v>654.65000000000009</v>
      </c>
      <c r="T188" s="44"/>
      <c r="U188" s="44">
        <f t="shared" si="86"/>
        <v>654.65000000000009</v>
      </c>
      <c r="V188" s="45">
        <f t="shared" si="87"/>
        <v>6444.1</v>
      </c>
      <c r="W188" s="45">
        <f t="shared" si="88"/>
        <v>0</v>
      </c>
      <c r="X188" s="45">
        <f t="shared" si="89"/>
        <v>6444.1</v>
      </c>
    </row>
    <row r="189" spans="1:24" ht="36" x14ac:dyDescent="0.2">
      <c r="A189" s="7" t="s">
        <v>834</v>
      </c>
      <c r="B189" s="8">
        <v>91836</v>
      </c>
      <c r="C189" s="7" t="s">
        <v>840</v>
      </c>
      <c r="D189" s="8" t="s">
        <v>18</v>
      </c>
      <c r="E189" s="8" t="s">
        <v>23</v>
      </c>
      <c r="F189" s="39"/>
      <c r="G189" s="39">
        <f>11.04*0.980188611</f>
        <v>10.821282265439999</v>
      </c>
      <c r="H189" s="39">
        <f t="shared" si="90"/>
        <v>13.252824390484365</v>
      </c>
      <c r="I189" s="40"/>
      <c r="J189" s="41"/>
      <c r="K189" s="41"/>
      <c r="L189" s="2"/>
      <c r="M189" s="2"/>
      <c r="N189" s="2"/>
      <c r="O189" s="2"/>
      <c r="P189" s="2"/>
      <c r="Q189" s="42"/>
      <c r="R189" s="43"/>
      <c r="S189" s="247">
        <f>144.75+31.55</f>
        <v>176.3</v>
      </c>
      <c r="T189" s="44"/>
      <c r="U189" s="44">
        <f t="shared" si="86"/>
        <v>176.3</v>
      </c>
      <c r="V189" s="45">
        <f t="shared" si="87"/>
        <v>2336.4699999999998</v>
      </c>
      <c r="W189" s="45">
        <f t="shared" si="88"/>
        <v>0</v>
      </c>
      <c r="X189" s="45">
        <f t="shared" si="89"/>
        <v>2336.4699999999998</v>
      </c>
    </row>
    <row r="190" spans="1:24" ht="36" x14ac:dyDescent="0.2">
      <c r="A190" s="7" t="s">
        <v>835</v>
      </c>
      <c r="B190" s="8">
        <v>91840</v>
      </c>
      <c r="C190" s="7" t="s">
        <v>841</v>
      </c>
      <c r="D190" s="8" t="s">
        <v>18</v>
      </c>
      <c r="E190" s="8" t="s">
        <v>23</v>
      </c>
      <c r="F190" s="39"/>
      <c r="G190" s="39">
        <f>16.62*0.980188611</f>
        <v>16.290734714820001</v>
      </c>
      <c r="H190" s="39">
        <f t="shared" si="90"/>
        <v>19.951262805240052</v>
      </c>
      <c r="I190" s="40"/>
      <c r="J190" s="41"/>
      <c r="K190" s="41"/>
      <c r="L190" s="2"/>
      <c r="M190" s="2"/>
      <c r="N190" s="2"/>
      <c r="O190" s="2"/>
      <c r="P190" s="2"/>
      <c r="Q190" s="42"/>
      <c r="R190" s="43"/>
      <c r="S190" s="247">
        <v>35.799999999999997</v>
      </c>
      <c r="T190" s="44"/>
      <c r="U190" s="44">
        <f t="shared" si="86"/>
        <v>35.799999999999997</v>
      </c>
      <c r="V190" s="45">
        <f t="shared" si="87"/>
        <v>714.26</v>
      </c>
      <c r="W190" s="45">
        <f t="shared" si="88"/>
        <v>0</v>
      </c>
      <c r="X190" s="45">
        <f t="shared" si="89"/>
        <v>714.26</v>
      </c>
    </row>
    <row r="191" spans="1:24" ht="36" x14ac:dyDescent="0.2">
      <c r="A191" s="7" t="s">
        <v>836</v>
      </c>
      <c r="B191" s="8">
        <v>97667</v>
      </c>
      <c r="C191" s="7" t="s">
        <v>842</v>
      </c>
      <c r="D191" s="8" t="s">
        <v>18</v>
      </c>
      <c r="E191" s="8" t="s">
        <v>23</v>
      </c>
      <c r="F191" s="39"/>
      <c r="G191" s="39">
        <f>13.72*0.980188611</f>
        <v>13.44818774292</v>
      </c>
      <c r="H191" s="39">
        <f t="shared" si="90"/>
        <v>16.469995528754122</v>
      </c>
      <c r="I191" s="40"/>
      <c r="J191" s="41"/>
      <c r="K191" s="41"/>
      <c r="L191" s="2"/>
      <c r="M191" s="2"/>
      <c r="N191" s="2"/>
      <c r="O191" s="2"/>
      <c r="P191" s="2"/>
      <c r="Q191" s="42"/>
      <c r="R191" s="43"/>
      <c r="S191" s="247">
        <v>2</v>
      </c>
      <c r="T191" s="44"/>
      <c r="U191" s="44">
        <f t="shared" si="86"/>
        <v>2</v>
      </c>
      <c r="V191" s="45">
        <f t="shared" si="87"/>
        <v>32.94</v>
      </c>
      <c r="W191" s="45">
        <f t="shared" si="88"/>
        <v>0</v>
      </c>
      <c r="X191" s="45">
        <f t="shared" si="89"/>
        <v>32.94</v>
      </c>
    </row>
    <row r="192" spans="1:24" ht="33" customHeight="1" x14ac:dyDescent="0.2">
      <c r="A192" s="7" t="s">
        <v>837</v>
      </c>
      <c r="B192" s="8">
        <v>7996</v>
      </c>
      <c r="C192" s="7" t="s">
        <v>843</v>
      </c>
      <c r="D192" s="8" t="s">
        <v>224</v>
      </c>
      <c r="E192" s="8" t="s">
        <v>158</v>
      </c>
      <c r="F192" s="39"/>
      <c r="G192" s="39">
        <f>169.69*0.980188611</f>
        <v>166.32820540059001</v>
      </c>
      <c r="H192" s="39">
        <f>G192*1.2247</f>
        <v>203.70215315410258</v>
      </c>
      <c r="I192" s="40"/>
      <c r="J192" s="41"/>
      <c r="K192" s="41"/>
      <c r="L192" s="2"/>
      <c r="M192" s="2"/>
      <c r="N192" s="2"/>
      <c r="O192" s="2"/>
      <c r="P192" s="2"/>
      <c r="Q192" s="42"/>
      <c r="R192" s="43"/>
      <c r="S192" s="248">
        <v>10</v>
      </c>
      <c r="T192" s="44"/>
      <c r="U192" s="44">
        <f>F192+S192-T192</f>
        <v>10</v>
      </c>
      <c r="V192" s="45">
        <f>ROUND(H192*S192,2)</f>
        <v>2037.02</v>
      </c>
      <c r="W192" s="45">
        <f t="shared" si="88"/>
        <v>0</v>
      </c>
      <c r="X192" s="45">
        <f t="shared" si="89"/>
        <v>2037.02</v>
      </c>
    </row>
    <row r="193" spans="1:24" x14ac:dyDescent="0.2">
      <c r="A193" s="48" t="s">
        <v>432</v>
      </c>
      <c r="B193" s="269" t="s">
        <v>433</v>
      </c>
      <c r="C193" s="269"/>
      <c r="D193" s="269"/>
      <c r="E193" s="269"/>
      <c r="F193" s="269"/>
      <c r="G193" s="269"/>
      <c r="H193" s="269"/>
      <c r="I193" s="49">
        <v>19127.27</v>
      </c>
      <c r="J193" s="50">
        <v>23425.19</v>
      </c>
      <c r="K193" s="51"/>
      <c r="L193" s="51"/>
      <c r="M193" s="51"/>
      <c r="N193" s="51"/>
      <c r="O193" s="51"/>
      <c r="P193" s="51"/>
      <c r="Q193" s="42"/>
      <c r="R193" s="43"/>
      <c r="S193" s="44"/>
      <c r="T193" s="44"/>
      <c r="U193" s="44"/>
      <c r="V193" s="53">
        <f>SUM(V194:V232)</f>
        <v>0</v>
      </c>
      <c r="W193" s="53">
        <f t="shared" ref="W193" si="91">SUM(W194:W232)</f>
        <v>0</v>
      </c>
      <c r="X193" s="53">
        <f>SUM(X194:X232)</f>
        <v>23425.190000000002</v>
      </c>
    </row>
    <row r="194" spans="1:24" ht="36" x14ac:dyDescent="0.2">
      <c r="A194" s="7" t="s">
        <v>434</v>
      </c>
      <c r="B194" s="8" t="s">
        <v>435</v>
      </c>
      <c r="C194" s="7" t="s">
        <v>436</v>
      </c>
      <c r="D194" s="8" t="s">
        <v>18</v>
      </c>
      <c r="E194" s="8" t="s">
        <v>23</v>
      </c>
      <c r="F194" s="39">
        <v>0.34</v>
      </c>
      <c r="G194" s="39">
        <v>15.29</v>
      </c>
      <c r="H194" s="39">
        <v>18.73</v>
      </c>
      <c r="I194" s="40">
        <v>5.2</v>
      </c>
      <c r="J194" s="41">
        <v>6.37</v>
      </c>
      <c r="K194" s="41">
        <f>0</f>
        <v>0</v>
      </c>
      <c r="L194" s="2">
        <f>0</f>
        <v>0</v>
      </c>
      <c r="M194" s="2"/>
      <c r="N194" s="2"/>
      <c r="O194" s="2">
        <f>F194</f>
        <v>0.34</v>
      </c>
      <c r="P194" s="2"/>
      <c r="Q194" s="42">
        <f t="shared" si="85"/>
        <v>0.34</v>
      </c>
      <c r="R194" s="43">
        <f t="shared" ref="R194:R232" si="92">Q194/F194</f>
        <v>1</v>
      </c>
      <c r="S194" s="44"/>
      <c r="T194" s="44"/>
      <c r="U194" s="44">
        <f t="shared" si="81"/>
        <v>0.34</v>
      </c>
      <c r="V194" s="45">
        <f t="shared" si="82"/>
        <v>0</v>
      </c>
      <c r="W194" s="45">
        <f t="shared" si="83"/>
        <v>0</v>
      </c>
      <c r="X194" s="45">
        <f t="shared" si="84"/>
        <v>6.37</v>
      </c>
    </row>
    <row r="195" spans="1:24" ht="36" x14ac:dyDescent="0.2">
      <c r="A195" s="7" t="s">
        <v>437</v>
      </c>
      <c r="B195" s="8" t="s">
        <v>438</v>
      </c>
      <c r="C195" s="7" t="s">
        <v>439</v>
      </c>
      <c r="D195" s="8" t="s">
        <v>18</v>
      </c>
      <c r="E195" s="8" t="s">
        <v>23</v>
      </c>
      <c r="F195" s="39">
        <v>112.78</v>
      </c>
      <c r="G195" s="39">
        <v>10.210000000000001</v>
      </c>
      <c r="H195" s="39">
        <v>12.5</v>
      </c>
      <c r="I195" s="40">
        <v>1151.48</v>
      </c>
      <c r="J195" s="41">
        <v>1409.75</v>
      </c>
      <c r="K195" s="41">
        <f>0</f>
        <v>0</v>
      </c>
      <c r="L195" s="2">
        <f>0</f>
        <v>0</v>
      </c>
      <c r="M195" s="2"/>
      <c r="N195" s="2"/>
      <c r="O195" s="2">
        <f t="shared" ref="O195:O230" si="93">F195</f>
        <v>112.78</v>
      </c>
      <c r="P195" s="2"/>
      <c r="Q195" s="42">
        <f t="shared" si="85"/>
        <v>112.78</v>
      </c>
      <c r="R195" s="43">
        <f t="shared" si="92"/>
        <v>1</v>
      </c>
      <c r="S195" s="44"/>
      <c r="T195" s="44"/>
      <c r="U195" s="44">
        <f t="shared" si="81"/>
        <v>112.78</v>
      </c>
      <c r="V195" s="45">
        <f t="shared" si="82"/>
        <v>0</v>
      </c>
      <c r="W195" s="45">
        <f t="shared" si="83"/>
        <v>0</v>
      </c>
      <c r="X195" s="45">
        <f t="shared" si="84"/>
        <v>1409.75</v>
      </c>
    </row>
    <row r="196" spans="1:24" ht="36" x14ac:dyDescent="0.2">
      <c r="A196" s="7" t="s">
        <v>440</v>
      </c>
      <c r="B196" s="8" t="s">
        <v>441</v>
      </c>
      <c r="C196" s="7" t="s">
        <v>442</v>
      </c>
      <c r="D196" s="8" t="s">
        <v>18</v>
      </c>
      <c r="E196" s="8" t="s">
        <v>23</v>
      </c>
      <c r="F196" s="39">
        <v>14.66</v>
      </c>
      <c r="G196" s="39">
        <v>16.98</v>
      </c>
      <c r="H196" s="39">
        <v>20.8</v>
      </c>
      <c r="I196" s="40">
        <v>248.93</v>
      </c>
      <c r="J196" s="41">
        <v>304.93</v>
      </c>
      <c r="K196" s="41">
        <f>0</f>
        <v>0</v>
      </c>
      <c r="L196" s="2">
        <f>0</f>
        <v>0</v>
      </c>
      <c r="M196" s="2"/>
      <c r="N196" s="2"/>
      <c r="O196" s="2">
        <f t="shared" si="93"/>
        <v>14.66</v>
      </c>
      <c r="P196" s="2"/>
      <c r="Q196" s="42">
        <f t="shared" si="85"/>
        <v>14.66</v>
      </c>
      <c r="R196" s="43">
        <f t="shared" si="92"/>
        <v>1</v>
      </c>
      <c r="S196" s="44"/>
      <c r="T196" s="44"/>
      <c r="U196" s="44">
        <f t="shared" si="81"/>
        <v>14.66</v>
      </c>
      <c r="V196" s="45">
        <f t="shared" si="82"/>
        <v>0</v>
      </c>
      <c r="W196" s="45">
        <f t="shared" si="83"/>
        <v>0</v>
      </c>
      <c r="X196" s="45">
        <f t="shared" si="84"/>
        <v>304.93</v>
      </c>
    </row>
    <row r="197" spans="1:24" ht="24" x14ac:dyDescent="0.2">
      <c r="A197" s="7" t="s">
        <v>443</v>
      </c>
      <c r="B197" s="8" t="s">
        <v>444</v>
      </c>
      <c r="C197" s="7" t="s">
        <v>445</v>
      </c>
      <c r="D197" s="8" t="s">
        <v>18</v>
      </c>
      <c r="E197" s="8" t="s">
        <v>23</v>
      </c>
      <c r="F197" s="39">
        <v>26.63</v>
      </c>
      <c r="G197" s="39">
        <v>17.75</v>
      </c>
      <c r="H197" s="39">
        <v>21.74</v>
      </c>
      <c r="I197" s="40">
        <v>472.68</v>
      </c>
      <c r="J197" s="41">
        <v>578.94000000000005</v>
      </c>
      <c r="K197" s="41">
        <f>0</f>
        <v>0</v>
      </c>
      <c r="L197" s="2">
        <f>0</f>
        <v>0</v>
      </c>
      <c r="M197" s="2"/>
      <c r="N197" s="2"/>
      <c r="O197" s="2">
        <f t="shared" si="93"/>
        <v>26.63</v>
      </c>
      <c r="P197" s="2"/>
      <c r="Q197" s="42">
        <f t="shared" si="85"/>
        <v>26.63</v>
      </c>
      <c r="R197" s="43">
        <f t="shared" si="92"/>
        <v>1</v>
      </c>
      <c r="S197" s="44"/>
      <c r="T197" s="44"/>
      <c r="U197" s="44">
        <f t="shared" si="81"/>
        <v>26.63</v>
      </c>
      <c r="V197" s="45">
        <f t="shared" si="82"/>
        <v>0</v>
      </c>
      <c r="W197" s="45">
        <f t="shared" si="83"/>
        <v>0</v>
      </c>
      <c r="X197" s="45">
        <f t="shared" si="84"/>
        <v>578.94000000000005</v>
      </c>
    </row>
    <row r="198" spans="1:24" ht="24" x14ac:dyDescent="0.2">
      <c r="A198" s="7" t="s">
        <v>446</v>
      </c>
      <c r="B198" s="8" t="s">
        <v>447</v>
      </c>
      <c r="C198" s="7" t="s">
        <v>448</v>
      </c>
      <c r="D198" s="8" t="s">
        <v>18</v>
      </c>
      <c r="E198" s="8" t="s">
        <v>23</v>
      </c>
      <c r="F198" s="39">
        <v>73.53</v>
      </c>
      <c r="G198" s="39">
        <v>19.57</v>
      </c>
      <c r="H198" s="39">
        <v>23.97</v>
      </c>
      <c r="I198" s="40">
        <v>1438.98</v>
      </c>
      <c r="J198" s="41">
        <v>1762.51</v>
      </c>
      <c r="K198" s="41">
        <f>0</f>
        <v>0</v>
      </c>
      <c r="L198" s="2">
        <f>0</f>
        <v>0</v>
      </c>
      <c r="M198" s="2"/>
      <c r="N198" s="2"/>
      <c r="O198" s="2">
        <f t="shared" si="93"/>
        <v>73.53</v>
      </c>
      <c r="P198" s="2"/>
      <c r="Q198" s="42">
        <f t="shared" si="85"/>
        <v>73.53</v>
      </c>
      <c r="R198" s="43">
        <f t="shared" si="92"/>
        <v>1</v>
      </c>
      <c r="S198" s="44"/>
      <c r="T198" s="44"/>
      <c r="U198" s="44">
        <f t="shared" si="81"/>
        <v>73.53</v>
      </c>
      <c r="V198" s="45">
        <f t="shared" si="82"/>
        <v>0</v>
      </c>
      <c r="W198" s="45">
        <f t="shared" si="83"/>
        <v>0</v>
      </c>
      <c r="X198" s="45">
        <f t="shared" si="84"/>
        <v>1762.51</v>
      </c>
    </row>
    <row r="199" spans="1:24" ht="24" x14ac:dyDescent="0.2">
      <c r="A199" s="7" t="s">
        <v>449</v>
      </c>
      <c r="B199" s="8" t="s">
        <v>450</v>
      </c>
      <c r="C199" s="7" t="s">
        <v>451</v>
      </c>
      <c r="D199" s="8" t="s">
        <v>18</v>
      </c>
      <c r="E199" s="8" t="s">
        <v>158</v>
      </c>
      <c r="F199" s="39">
        <v>1</v>
      </c>
      <c r="G199" s="39">
        <v>21.74</v>
      </c>
      <c r="H199" s="39">
        <v>26.62</v>
      </c>
      <c r="I199" s="40">
        <v>21.74</v>
      </c>
      <c r="J199" s="41">
        <v>26.62</v>
      </c>
      <c r="K199" s="41">
        <f>0</f>
        <v>0</v>
      </c>
      <c r="L199" s="2">
        <f>0</f>
        <v>0</v>
      </c>
      <c r="M199" s="2"/>
      <c r="N199" s="2"/>
      <c r="O199" s="2">
        <f t="shared" si="93"/>
        <v>1</v>
      </c>
      <c r="P199" s="2"/>
      <c r="Q199" s="42">
        <f t="shared" si="85"/>
        <v>1</v>
      </c>
      <c r="R199" s="43">
        <f t="shared" si="92"/>
        <v>1</v>
      </c>
      <c r="S199" s="44"/>
      <c r="T199" s="44"/>
      <c r="U199" s="44">
        <f t="shared" si="81"/>
        <v>1</v>
      </c>
      <c r="V199" s="45">
        <f t="shared" si="82"/>
        <v>0</v>
      </c>
      <c r="W199" s="45">
        <f t="shared" si="83"/>
        <v>0</v>
      </c>
      <c r="X199" s="45">
        <f t="shared" si="84"/>
        <v>26.62</v>
      </c>
    </row>
    <row r="200" spans="1:24" ht="36" x14ac:dyDescent="0.2">
      <c r="A200" s="7" t="s">
        <v>452</v>
      </c>
      <c r="B200" s="8" t="s">
        <v>453</v>
      </c>
      <c r="C200" s="7" t="s">
        <v>454</v>
      </c>
      <c r="D200" s="8" t="s">
        <v>18</v>
      </c>
      <c r="E200" s="8" t="s">
        <v>158</v>
      </c>
      <c r="F200" s="39">
        <v>4</v>
      </c>
      <c r="G200" s="39">
        <v>6.72</v>
      </c>
      <c r="H200" s="39">
        <v>8.23</v>
      </c>
      <c r="I200" s="40">
        <v>26.88</v>
      </c>
      <c r="J200" s="41">
        <v>32.92</v>
      </c>
      <c r="K200" s="41">
        <f>0</f>
        <v>0</v>
      </c>
      <c r="L200" s="2">
        <f>0</f>
        <v>0</v>
      </c>
      <c r="M200" s="2"/>
      <c r="N200" s="2"/>
      <c r="O200" s="2">
        <f t="shared" si="93"/>
        <v>4</v>
      </c>
      <c r="P200" s="2"/>
      <c r="Q200" s="42">
        <f t="shared" si="85"/>
        <v>4</v>
      </c>
      <c r="R200" s="43">
        <f t="shared" si="92"/>
        <v>1</v>
      </c>
      <c r="S200" s="44"/>
      <c r="T200" s="44"/>
      <c r="U200" s="44">
        <f t="shared" si="81"/>
        <v>4</v>
      </c>
      <c r="V200" s="45">
        <f t="shared" si="82"/>
        <v>0</v>
      </c>
      <c r="W200" s="45">
        <f t="shared" si="83"/>
        <v>0</v>
      </c>
      <c r="X200" s="45">
        <f t="shared" si="84"/>
        <v>32.92</v>
      </c>
    </row>
    <row r="201" spans="1:24" ht="36" x14ac:dyDescent="0.2">
      <c r="A201" s="7" t="s">
        <v>455</v>
      </c>
      <c r="B201" s="8" t="s">
        <v>456</v>
      </c>
      <c r="C201" s="7" t="s">
        <v>457</v>
      </c>
      <c r="D201" s="8" t="s">
        <v>18</v>
      </c>
      <c r="E201" s="8" t="s">
        <v>158</v>
      </c>
      <c r="F201" s="39">
        <v>7</v>
      </c>
      <c r="G201" s="39">
        <v>14.6</v>
      </c>
      <c r="H201" s="39">
        <v>17.88</v>
      </c>
      <c r="I201" s="40">
        <v>102.2</v>
      </c>
      <c r="J201" s="41">
        <v>125.16</v>
      </c>
      <c r="K201" s="41">
        <f>0</f>
        <v>0</v>
      </c>
      <c r="L201" s="2">
        <f>0</f>
        <v>0</v>
      </c>
      <c r="M201" s="2"/>
      <c r="N201" s="2"/>
      <c r="O201" s="2">
        <f t="shared" si="93"/>
        <v>7</v>
      </c>
      <c r="P201" s="2"/>
      <c r="Q201" s="42">
        <f t="shared" si="85"/>
        <v>7</v>
      </c>
      <c r="R201" s="43">
        <f t="shared" si="92"/>
        <v>1</v>
      </c>
      <c r="S201" s="44"/>
      <c r="T201" s="44"/>
      <c r="U201" s="44">
        <f t="shared" si="81"/>
        <v>7</v>
      </c>
      <c r="V201" s="45">
        <f t="shared" si="82"/>
        <v>0</v>
      </c>
      <c r="W201" s="45">
        <f t="shared" si="83"/>
        <v>0</v>
      </c>
      <c r="X201" s="45">
        <f t="shared" si="84"/>
        <v>125.16</v>
      </c>
    </row>
    <row r="202" spans="1:24" ht="36" x14ac:dyDescent="0.2">
      <c r="A202" s="7" t="s">
        <v>458</v>
      </c>
      <c r="B202" s="8" t="s">
        <v>459</v>
      </c>
      <c r="C202" s="7" t="s">
        <v>460</v>
      </c>
      <c r="D202" s="8" t="s">
        <v>18</v>
      </c>
      <c r="E202" s="8" t="s">
        <v>158</v>
      </c>
      <c r="F202" s="39">
        <v>12</v>
      </c>
      <c r="G202" s="39">
        <v>11.17</v>
      </c>
      <c r="H202" s="39">
        <v>13.68</v>
      </c>
      <c r="I202" s="40">
        <v>134.04</v>
      </c>
      <c r="J202" s="41">
        <v>164.16</v>
      </c>
      <c r="K202" s="41">
        <f>0</f>
        <v>0</v>
      </c>
      <c r="L202" s="2">
        <f>0</f>
        <v>0</v>
      </c>
      <c r="M202" s="2"/>
      <c r="N202" s="2"/>
      <c r="O202" s="2">
        <f t="shared" si="93"/>
        <v>12</v>
      </c>
      <c r="P202" s="2"/>
      <c r="Q202" s="42">
        <f t="shared" si="85"/>
        <v>12</v>
      </c>
      <c r="R202" s="43">
        <f t="shared" si="92"/>
        <v>1</v>
      </c>
      <c r="S202" s="44"/>
      <c r="T202" s="44"/>
      <c r="U202" s="44">
        <f t="shared" si="81"/>
        <v>12</v>
      </c>
      <c r="V202" s="45">
        <f t="shared" si="82"/>
        <v>0</v>
      </c>
      <c r="W202" s="45">
        <f t="shared" si="83"/>
        <v>0</v>
      </c>
      <c r="X202" s="45">
        <f t="shared" si="84"/>
        <v>164.16</v>
      </c>
    </row>
    <row r="203" spans="1:24" ht="36" x14ac:dyDescent="0.2">
      <c r="A203" s="7" t="s">
        <v>461</v>
      </c>
      <c r="B203" s="8" t="s">
        <v>462</v>
      </c>
      <c r="C203" s="7" t="s">
        <v>463</v>
      </c>
      <c r="D203" s="8" t="s">
        <v>18</v>
      </c>
      <c r="E203" s="8" t="s">
        <v>158</v>
      </c>
      <c r="F203" s="39">
        <v>13</v>
      </c>
      <c r="G203" s="39">
        <v>6.18</v>
      </c>
      <c r="H203" s="39">
        <v>7.57</v>
      </c>
      <c r="I203" s="40">
        <v>80.34</v>
      </c>
      <c r="J203" s="41">
        <v>98.41</v>
      </c>
      <c r="K203" s="41">
        <f>0</f>
        <v>0</v>
      </c>
      <c r="L203" s="2">
        <f>0</f>
        <v>0</v>
      </c>
      <c r="M203" s="2"/>
      <c r="N203" s="2"/>
      <c r="O203" s="2">
        <f t="shared" si="93"/>
        <v>13</v>
      </c>
      <c r="P203" s="2"/>
      <c r="Q203" s="42">
        <f t="shared" si="85"/>
        <v>13</v>
      </c>
      <c r="R203" s="43">
        <f t="shared" si="92"/>
        <v>1</v>
      </c>
      <c r="S203" s="44"/>
      <c r="T203" s="44"/>
      <c r="U203" s="44">
        <f t="shared" si="81"/>
        <v>13</v>
      </c>
      <c r="V203" s="45">
        <f t="shared" si="82"/>
        <v>0</v>
      </c>
      <c r="W203" s="45">
        <f t="shared" si="83"/>
        <v>0</v>
      </c>
      <c r="X203" s="45">
        <f t="shared" si="84"/>
        <v>98.41</v>
      </c>
    </row>
    <row r="204" spans="1:24" ht="36" x14ac:dyDescent="0.2">
      <c r="A204" s="7" t="s">
        <v>464</v>
      </c>
      <c r="B204" s="8" t="s">
        <v>465</v>
      </c>
      <c r="C204" s="7" t="s">
        <v>466</v>
      </c>
      <c r="D204" s="8" t="s">
        <v>18</v>
      </c>
      <c r="E204" s="8" t="s">
        <v>158</v>
      </c>
      <c r="F204" s="39">
        <v>1</v>
      </c>
      <c r="G204" s="39">
        <v>12.06</v>
      </c>
      <c r="H204" s="39">
        <v>14.77</v>
      </c>
      <c r="I204" s="40">
        <v>12.06</v>
      </c>
      <c r="J204" s="41">
        <v>14.77</v>
      </c>
      <c r="K204" s="41">
        <f>0</f>
        <v>0</v>
      </c>
      <c r="L204" s="2">
        <f>0</f>
        <v>0</v>
      </c>
      <c r="M204" s="2"/>
      <c r="N204" s="2"/>
      <c r="O204" s="2">
        <f t="shared" si="93"/>
        <v>1</v>
      </c>
      <c r="P204" s="2"/>
      <c r="Q204" s="42">
        <f t="shared" si="85"/>
        <v>1</v>
      </c>
      <c r="R204" s="43">
        <f t="shared" si="92"/>
        <v>1</v>
      </c>
      <c r="S204" s="44"/>
      <c r="T204" s="44"/>
      <c r="U204" s="44">
        <f t="shared" si="81"/>
        <v>1</v>
      </c>
      <c r="V204" s="45">
        <f t="shared" si="82"/>
        <v>0</v>
      </c>
      <c r="W204" s="45">
        <f t="shared" si="83"/>
        <v>0</v>
      </c>
      <c r="X204" s="45">
        <f t="shared" si="84"/>
        <v>14.77</v>
      </c>
    </row>
    <row r="205" spans="1:24" ht="36" x14ac:dyDescent="0.2">
      <c r="A205" s="7" t="s">
        <v>467</v>
      </c>
      <c r="B205" s="8" t="s">
        <v>468</v>
      </c>
      <c r="C205" s="7" t="s">
        <v>469</v>
      </c>
      <c r="D205" s="8" t="s">
        <v>18</v>
      </c>
      <c r="E205" s="8" t="s">
        <v>158</v>
      </c>
      <c r="F205" s="39">
        <v>54</v>
      </c>
      <c r="G205" s="39">
        <v>8.75</v>
      </c>
      <c r="H205" s="39">
        <v>10.72</v>
      </c>
      <c r="I205" s="40">
        <v>472.5</v>
      </c>
      <c r="J205" s="41">
        <v>578.88</v>
      </c>
      <c r="K205" s="41">
        <f>0</f>
        <v>0</v>
      </c>
      <c r="L205" s="2">
        <f>0</f>
        <v>0</v>
      </c>
      <c r="M205" s="2"/>
      <c r="N205" s="2"/>
      <c r="O205" s="2">
        <f t="shared" si="93"/>
        <v>54</v>
      </c>
      <c r="P205" s="2"/>
      <c r="Q205" s="42">
        <f t="shared" si="85"/>
        <v>54</v>
      </c>
      <c r="R205" s="43">
        <f t="shared" si="92"/>
        <v>1</v>
      </c>
      <c r="S205" s="44"/>
      <c r="T205" s="44"/>
      <c r="U205" s="44">
        <f t="shared" si="81"/>
        <v>54</v>
      </c>
      <c r="V205" s="45">
        <f t="shared" si="82"/>
        <v>0</v>
      </c>
      <c r="W205" s="45">
        <f t="shared" si="83"/>
        <v>0</v>
      </c>
      <c r="X205" s="45">
        <f t="shared" si="84"/>
        <v>578.88</v>
      </c>
    </row>
    <row r="206" spans="1:24" ht="36" x14ac:dyDescent="0.2">
      <c r="A206" s="7" t="s">
        <v>470</v>
      </c>
      <c r="B206" s="8" t="s">
        <v>471</v>
      </c>
      <c r="C206" s="7" t="s">
        <v>472</v>
      </c>
      <c r="D206" s="8" t="s">
        <v>18</v>
      </c>
      <c r="E206" s="8" t="s">
        <v>158</v>
      </c>
      <c r="F206" s="39">
        <v>14</v>
      </c>
      <c r="G206" s="39">
        <v>29.72</v>
      </c>
      <c r="H206" s="39">
        <v>36.4</v>
      </c>
      <c r="I206" s="40">
        <v>416.08</v>
      </c>
      <c r="J206" s="41">
        <v>509.6</v>
      </c>
      <c r="K206" s="41">
        <f>0</f>
        <v>0</v>
      </c>
      <c r="L206" s="2">
        <f>0</f>
        <v>0</v>
      </c>
      <c r="M206" s="2"/>
      <c r="N206" s="2"/>
      <c r="O206" s="2">
        <f t="shared" si="93"/>
        <v>14</v>
      </c>
      <c r="P206" s="2"/>
      <c r="Q206" s="42">
        <f t="shared" si="85"/>
        <v>14</v>
      </c>
      <c r="R206" s="43">
        <f t="shared" si="92"/>
        <v>1</v>
      </c>
      <c r="S206" s="44"/>
      <c r="T206" s="44"/>
      <c r="U206" s="44">
        <f t="shared" si="81"/>
        <v>14</v>
      </c>
      <c r="V206" s="45">
        <f t="shared" si="82"/>
        <v>0</v>
      </c>
      <c r="W206" s="45">
        <f t="shared" si="83"/>
        <v>0</v>
      </c>
      <c r="X206" s="45">
        <f t="shared" si="84"/>
        <v>509.6</v>
      </c>
    </row>
    <row r="207" spans="1:24" ht="36" x14ac:dyDescent="0.2">
      <c r="A207" s="7" t="s">
        <v>473</v>
      </c>
      <c r="B207" s="8" t="s">
        <v>474</v>
      </c>
      <c r="C207" s="7" t="s">
        <v>475</v>
      </c>
      <c r="D207" s="8" t="s">
        <v>18</v>
      </c>
      <c r="E207" s="8" t="s">
        <v>158</v>
      </c>
      <c r="F207" s="39">
        <v>2</v>
      </c>
      <c r="G207" s="39">
        <v>18.29</v>
      </c>
      <c r="H207" s="39">
        <v>22.4</v>
      </c>
      <c r="I207" s="40">
        <v>36.58</v>
      </c>
      <c r="J207" s="41">
        <v>44.8</v>
      </c>
      <c r="K207" s="41">
        <f>0</f>
        <v>0</v>
      </c>
      <c r="L207" s="2">
        <f>0</f>
        <v>0</v>
      </c>
      <c r="M207" s="2"/>
      <c r="N207" s="2"/>
      <c r="O207" s="2">
        <f t="shared" si="93"/>
        <v>2</v>
      </c>
      <c r="P207" s="2"/>
      <c r="Q207" s="42">
        <f t="shared" si="85"/>
        <v>2</v>
      </c>
      <c r="R207" s="43">
        <f t="shared" si="92"/>
        <v>1</v>
      </c>
      <c r="S207" s="44"/>
      <c r="T207" s="44"/>
      <c r="U207" s="44">
        <f t="shared" si="81"/>
        <v>2</v>
      </c>
      <c r="V207" s="45">
        <f t="shared" si="82"/>
        <v>0</v>
      </c>
      <c r="W207" s="45">
        <f t="shared" si="83"/>
        <v>0</v>
      </c>
      <c r="X207" s="45">
        <f t="shared" si="84"/>
        <v>44.8</v>
      </c>
    </row>
    <row r="208" spans="1:24" ht="36" x14ac:dyDescent="0.2">
      <c r="A208" s="7" t="s">
        <v>476</v>
      </c>
      <c r="B208" s="8" t="s">
        <v>477</v>
      </c>
      <c r="C208" s="7" t="s">
        <v>478</v>
      </c>
      <c r="D208" s="8" t="s">
        <v>18</v>
      </c>
      <c r="E208" s="8" t="s">
        <v>158</v>
      </c>
      <c r="F208" s="39">
        <v>15</v>
      </c>
      <c r="G208" s="39">
        <v>35.020000000000003</v>
      </c>
      <c r="H208" s="39">
        <v>42.89</v>
      </c>
      <c r="I208" s="40">
        <v>525.29999999999995</v>
      </c>
      <c r="J208" s="41">
        <v>643.35</v>
      </c>
      <c r="K208" s="41">
        <f>0</f>
        <v>0</v>
      </c>
      <c r="L208" s="2">
        <f>0</f>
        <v>0</v>
      </c>
      <c r="M208" s="2"/>
      <c r="N208" s="2"/>
      <c r="O208" s="2">
        <f t="shared" si="93"/>
        <v>15</v>
      </c>
      <c r="P208" s="2"/>
      <c r="Q208" s="42">
        <f t="shared" si="85"/>
        <v>15</v>
      </c>
      <c r="R208" s="43">
        <f t="shared" si="92"/>
        <v>1</v>
      </c>
      <c r="S208" s="44"/>
      <c r="T208" s="44"/>
      <c r="U208" s="44">
        <f t="shared" si="81"/>
        <v>15</v>
      </c>
      <c r="V208" s="45">
        <f t="shared" si="82"/>
        <v>0</v>
      </c>
      <c r="W208" s="45">
        <f t="shared" si="83"/>
        <v>0</v>
      </c>
      <c r="X208" s="45">
        <f t="shared" si="84"/>
        <v>643.35</v>
      </c>
    </row>
    <row r="209" spans="1:24" ht="48" x14ac:dyDescent="0.2">
      <c r="A209" s="7" t="s">
        <v>479</v>
      </c>
      <c r="B209" s="8" t="s">
        <v>480</v>
      </c>
      <c r="C209" s="7" t="s">
        <v>481</v>
      </c>
      <c r="D209" s="8" t="s">
        <v>18</v>
      </c>
      <c r="E209" s="8" t="s">
        <v>158</v>
      </c>
      <c r="F209" s="39">
        <v>16</v>
      </c>
      <c r="G209" s="39">
        <v>40.01</v>
      </c>
      <c r="H209" s="39">
        <v>49</v>
      </c>
      <c r="I209" s="40">
        <v>640.16</v>
      </c>
      <c r="J209" s="41">
        <v>784</v>
      </c>
      <c r="K209" s="41">
        <f>0</f>
        <v>0</v>
      </c>
      <c r="L209" s="2">
        <f>0</f>
        <v>0</v>
      </c>
      <c r="M209" s="2"/>
      <c r="N209" s="2"/>
      <c r="O209" s="2">
        <f t="shared" si="93"/>
        <v>16</v>
      </c>
      <c r="P209" s="2"/>
      <c r="Q209" s="42">
        <f t="shared" si="85"/>
        <v>16</v>
      </c>
      <c r="R209" s="43">
        <f t="shared" si="92"/>
        <v>1</v>
      </c>
      <c r="S209" s="44"/>
      <c r="T209" s="44"/>
      <c r="U209" s="44">
        <f t="shared" si="81"/>
        <v>16</v>
      </c>
      <c r="V209" s="45">
        <f t="shared" si="82"/>
        <v>0</v>
      </c>
      <c r="W209" s="45">
        <f t="shared" si="83"/>
        <v>0</v>
      </c>
      <c r="X209" s="45">
        <f t="shared" si="84"/>
        <v>784</v>
      </c>
    </row>
    <row r="210" spans="1:24" ht="48" x14ac:dyDescent="0.2">
      <c r="A210" s="7" t="s">
        <v>482</v>
      </c>
      <c r="B210" s="8" t="s">
        <v>483</v>
      </c>
      <c r="C210" s="7" t="s">
        <v>484</v>
      </c>
      <c r="D210" s="8" t="s">
        <v>18</v>
      </c>
      <c r="E210" s="8" t="s">
        <v>158</v>
      </c>
      <c r="F210" s="39">
        <v>2</v>
      </c>
      <c r="G210" s="39">
        <v>56.59</v>
      </c>
      <c r="H210" s="39">
        <v>69.31</v>
      </c>
      <c r="I210" s="40">
        <v>113.18</v>
      </c>
      <c r="J210" s="41">
        <v>138.62</v>
      </c>
      <c r="K210" s="41">
        <f>0</f>
        <v>0</v>
      </c>
      <c r="L210" s="2">
        <f>0</f>
        <v>0</v>
      </c>
      <c r="M210" s="2"/>
      <c r="N210" s="2"/>
      <c r="O210" s="2">
        <f t="shared" si="93"/>
        <v>2</v>
      </c>
      <c r="P210" s="2"/>
      <c r="Q210" s="42">
        <f t="shared" si="85"/>
        <v>2</v>
      </c>
      <c r="R210" s="43">
        <f t="shared" si="92"/>
        <v>1</v>
      </c>
      <c r="S210" s="44"/>
      <c r="T210" s="44"/>
      <c r="U210" s="44">
        <f t="shared" si="81"/>
        <v>2</v>
      </c>
      <c r="V210" s="45">
        <f t="shared" si="82"/>
        <v>0</v>
      </c>
      <c r="W210" s="45">
        <f t="shared" si="83"/>
        <v>0</v>
      </c>
      <c r="X210" s="45">
        <f t="shared" si="84"/>
        <v>138.62</v>
      </c>
    </row>
    <row r="211" spans="1:24" ht="48" x14ac:dyDescent="0.2">
      <c r="A211" s="7" t="s">
        <v>485</v>
      </c>
      <c r="B211" s="8" t="s">
        <v>486</v>
      </c>
      <c r="C211" s="7" t="s">
        <v>487</v>
      </c>
      <c r="D211" s="8" t="s">
        <v>18</v>
      </c>
      <c r="E211" s="8" t="s">
        <v>158</v>
      </c>
      <c r="F211" s="39">
        <v>2</v>
      </c>
      <c r="G211" s="39">
        <v>157.13999999999999</v>
      </c>
      <c r="H211" s="39">
        <v>192.45</v>
      </c>
      <c r="I211" s="40">
        <v>314.27999999999997</v>
      </c>
      <c r="J211" s="41">
        <v>384.9</v>
      </c>
      <c r="K211" s="41">
        <f>0</f>
        <v>0</v>
      </c>
      <c r="L211" s="2">
        <f>0</f>
        <v>0</v>
      </c>
      <c r="M211" s="2"/>
      <c r="N211" s="2"/>
      <c r="O211" s="2">
        <f t="shared" si="93"/>
        <v>2</v>
      </c>
      <c r="P211" s="2"/>
      <c r="Q211" s="42">
        <f t="shared" si="85"/>
        <v>2</v>
      </c>
      <c r="R211" s="43">
        <f t="shared" si="92"/>
        <v>1</v>
      </c>
      <c r="S211" s="44"/>
      <c r="T211" s="44"/>
      <c r="U211" s="44">
        <f t="shared" si="81"/>
        <v>2</v>
      </c>
      <c r="V211" s="45">
        <f t="shared" si="82"/>
        <v>0</v>
      </c>
      <c r="W211" s="45">
        <f t="shared" si="83"/>
        <v>0</v>
      </c>
      <c r="X211" s="45">
        <f t="shared" si="84"/>
        <v>384.9</v>
      </c>
    </row>
    <row r="212" spans="1:24" ht="36" x14ac:dyDescent="0.2">
      <c r="A212" s="7" t="s">
        <v>488</v>
      </c>
      <c r="B212" s="8" t="s">
        <v>489</v>
      </c>
      <c r="C212" s="7" t="s">
        <v>490</v>
      </c>
      <c r="D212" s="8" t="s">
        <v>18</v>
      </c>
      <c r="E212" s="8" t="s">
        <v>158</v>
      </c>
      <c r="F212" s="39">
        <v>14</v>
      </c>
      <c r="G212" s="39">
        <v>8.67</v>
      </c>
      <c r="H212" s="39">
        <v>10.62</v>
      </c>
      <c r="I212" s="40">
        <v>121.38</v>
      </c>
      <c r="J212" s="41">
        <v>148.68</v>
      </c>
      <c r="K212" s="41">
        <f>0</f>
        <v>0</v>
      </c>
      <c r="L212" s="2">
        <f>0</f>
        <v>0</v>
      </c>
      <c r="M212" s="2"/>
      <c r="N212" s="2"/>
      <c r="O212" s="2">
        <f t="shared" si="93"/>
        <v>14</v>
      </c>
      <c r="P212" s="2"/>
      <c r="Q212" s="42">
        <f t="shared" si="85"/>
        <v>14</v>
      </c>
      <c r="R212" s="43">
        <f t="shared" si="92"/>
        <v>1</v>
      </c>
      <c r="S212" s="44"/>
      <c r="T212" s="44"/>
      <c r="U212" s="44">
        <f t="shared" si="81"/>
        <v>14</v>
      </c>
      <c r="V212" s="45">
        <f t="shared" si="82"/>
        <v>0</v>
      </c>
      <c r="W212" s="45">
        <f t="shared" si="83"/>
        <v>0</v>
      </c>
      <c r="X212" s="45">
        <f t="shared" si="84"/>
        <v>148.68</v>
      </c>
    </row>
    <row r="213" spans="1:24" ht="24" x14ac:dyDescent="0.2">
      <c r="A213" s="7" t="s">
        <v>491</v>
      </c>
      <c r="B213" s="8" t="s">
        <v>492</v>
      </c>
      <c r="C213" s="7" t="s">
        <v>493</v>
      </c>
      <c r="D213" s="8" t="s">
        <v>18</v>
      </c>
      <c r="E213" s="8" t="s">
        <v>158</v>
      </c>
      <c r="F213" s="39">
        <v>3</v>
      </c>
      <c r="G213" s="39">
        <v>19.87</v>
      </c>
      <c r="H213" s="39">
        <v>24.33</v>
      </c>
      <c r="I213" s="40">
        <v>59.61</v>
      </c>
      <c r="J213" s="41">
        <v>72.989999999999995</v>
      </c>
      <c r="K213" s="41">
        <f>0</f>
        <v>0</v>
      </c>
      <c r="L213" s="2">
        <f>0</f>
        <v>0</v>
      </c>
      <c r="M213" s="2"/>
      <c r="N213" s="2"/>
      <c r="O213" s="2">
        <f t="shared" si="93"/>
        <v>3</v>
      </c>
      <c r="P213" s="2"/>
      <c r="Q213" s="42">
        <f t="shared" si="85"/>
        <v>3</v>
      </c>
      <c r="R213" s="43">
        <f t="shared" si="92"/>
        <v>1</v>
      </c>
      <c r="S213" s="44"/>
      <c r="T213" s="44"/>
      <c r="U213" s="44">
        <f t="shared" si="81"/>
        <v>3</v>
      </c>
      <c r="V213" s="45">
        <f t="shared" si="82"/>
        <v>0</v>
      </c>
      <c r="W213" s="45">
        <f t="shared" si="83"/>
        <v>0</v>
      </c>
      <c r="X213" s="45">
        <f t="shared" si="84"/>
        <v>72.989999999999995</v>
      </c>
    </row>
    <row r="214" spans="1:24" ht="24" x14ac:dyDescent="0.2">
      <c r="A214" s="7" t="s">
        <v>494</v>
      </c>
      <c r="B214" s="8" t="s">
        <v>495</v>
      </c>
      <c r="C214" s="7" t="s">
        <v>496</v>
      </c>
      <c r="D214" s="8" t="s">
        <v>18</v>
      </c>
      <c r="E214" s="8" t="s">
        <v>158</v>
      </c>
      <c r="F214" s="39">
        <v>1</v>
      </c>
      <c r="G214" s="39">
        <v>46.26</v>
      </c>
      <c r="H214" s="39">
        <v>56.65</v>
      </c>
      <c r="I214" s="40">
        <v>46.26</v>
      </c>
      <c r="J214" s="41">
        <v>56.65</v>
      </c>
      <c r="K214" s="41">
        <f>0</f>
        <v>0</v>
      </c>
      <c r="L214" s="2">
        <f>0</f>
        <v>0</v>
      </c>
      <c r="M214" s="2"/>
      <c r="N214" s="2"/>
      <c r="O214" s="2">
        <f t="shared" si="93"/>
        <v>1</v>
      </c>
      <c r="P214" s="2"/>
      <c r="Q214" s="42">
        <f t="shared" si="85"/>
        <v>1</v>
      </c>
      <c r="R214" s="43">
        <f t="shared" si="92"/>
        <v>1</v>
      </c>
      <c r="S214" s="44"/>
      <c r="T214" s="44"/>
      <c r="U214" s="44">
        <f t="shared" si="81"/>
        <v>1</v>
      </c>
      <c r="V214" s="45">
        <f t="shared" si="82"/>
        <v>0</v>
      </c>
      <c r="W214" s="45">
        <f t="shared" si="83"/>
        <v>0</v>
      </c>
      <c r="X214" s="45">
        <f t="shared" si="84"/>
        <v>56.65</v>
      </c>
    </row>
    <row r="215" spans="1:24" ht="24" x14ac:dyDescent="0.2">
      <c r="A215" s="7" t="s">
        <v>497</v>
      </c>
      <c r="B215" s="8" t="s">
        <v>498</v>
      </c>
      <c r="C215" s="7" t="s">
        <v>499</v>
      </c>
      <c r="D215" s="8" t="s">
        <v>18</v>
      </c>
      <c r="E215" s="8" t="s">
        <v>158</v>
      </c>
      <c r="F215" s="39">
        <v>8</v>
      </c>
      <c r="G215" s="39">
        <v>9.39</v>
      </c>
      <c r="H215" s="39">
        <v>11.5</v>
      </c>
      <c r="I215" s="40">
        <v>75.12</v>
      </c>
      <c r="J215" s="41">
        <v>92</v>
      </c>
      <c r="K215" s="41">
        <f>0</f>
        <v>0</v>
      </c>
      <c r="L215" s="2">
        <f>0</f>
        <v>0</v>
      </c>
      <c r="M215" s="2"/>
      <c r="N215" s="2"/>
      <c r="O215" s="2">
        <f t="shared" si="93"/>
        <v>8</v>
      </c>
      <c r="P215" s="2"/>
      <c r="Q215" s="42">
        <f t="shared" si="85"/>
        <v>8</v>
      </c>
      <c r="R215" s="43">
        <f t="shared" si="92"/>
        <v>1</v>
      </c>
      <c r="S215" s="44"/>
      <c r="T215" s="44"/>
      <c r="U215" s="44">
        <f t="shared" si="81"/>
        <v>8</v>
      </c>
      <c r="V215" s="45">
        <f t="shared" si="82"/>
        <v>0</v>
      </c>
      <c r="W215" s="45">
        <f t="shared" si="83"/>
        <v>0</v>
      </c>
      <c r="X215" s="45">
        <f t="shared" si="84"/>
        <v>92</v>
      </c>
    </row>
    <row r="216" spans="1:24" ht="24" x14ac:dyDescent="0.2">
      <c r="A216" s="7" t="s">
        <v>500</v>
      </c>
      <c r="B216" s="8" t="s">
        <v>501</v>
      </c>
      <c r="C216" s="7" t="s">
        <v>502</v>
      </c>
      <c r="D216" s="8" t="s">
        <v>18</v>
      </c>
      <c r="E216" s="8" t="s">
        <v>158</v>
      </c>
      <c r="F216" s="39">
        <v>4</v>
      </c>
      <c r="G216" s="39">
        <v>14.04</v>
      </c>
      <c r="H216" s="39">
        <v>17.190000000000001</v>
      </c>
      <c r="I216" s="40">
        <v>56.16</v>
      </c>
      <c r="J216" s="41">
        <v>68.760000000000005</v>
      </c>
      <c r="K216" s="41">
        <f>0</f>
        <v>0</v>
      </c>
      <c r="L216" s="2">
        <f>0</f>
        <v>0</v>
      </c>
      <c r="M216" s="2"/>
      <c r="N216" s="2"/>
      <c r="O216" s="2">
        <f t="shared" si="93"/>
        <v>4</v>
      </c>
      <c r="P216" s="2"/>
      <c r="Q216" s="42">
        <f t="shared" si="85"/>
        <v>4</v>
      </c>
      <c r="R216" s="43">
        <f t="shared" si="92"/>
        <v>1</v>
      </c>
      <c r="S216" s="44"/>
      <c r="T216" s="44"/>
      <c r="U216" s="44">
        <f t="shared" si="81"/>
        <v>4</v>
      </c>
      <c r="V216" s="45">
        <f t="shared" si="82"/>
        <v>0</v>
      </c>
      <c r="W216" s="45">
        <f t="shared" si="83"/>
        <v>0</v>
      </c>
      <c r="X216" s="45">
        <f t="shared" si="84"/>
        <v>68.760000000000005</v>
      </c>
    </row>
    <row r="217" spans="1:24" ht="36" x14ac:dyDescent="0.2">
      <c r="A217" s="7" t="s">
        <v>503</v>
      </c>
      <c r="B217" s="8" t="s">
        <v>504</v>
      </c>
      <c r="C217" s="7" t="s">
        <v>505</v>
      </c>
      <c r="D217" s="8" t="s">
        <v>18</v>
      </c>
      <c r="E217" s="8" t="s">
        <v>158</v>
      </c>
      <c r="F217" s="39">
        <v>2</v>
      </c>
      <c r="G217" s="39">
        <v>11.04</v>
      </c>
      <c r="H217" s="39">
        <v>13.52</v>
      </c>
      <c r="I217" s="40">
        <v>22.08</v>
      </c>
      <c r="J217" s="41">
        <v>27.04</v>
      </c>
      <c r="K217" s="41">
        <f>0</f>
        <v>0</v>
      </c>
      <c r="L217" s="2">
        <f>0</f>
        <v>0</v>
      </c>
      <c r="M217" s="2"/>
      <c r="N217" s="2"/>
      <c r="O217" s="2">
        <f t="shared" si="93"/>
        <v>2</v>
      </c>
      <c r="P217" s="2"/>
      <c r="Q217" s="42">
        <f t="shared" si="85"/>
        <v>2</v>
      </c>
      <c r="R217" s="43">
        <f t="shared" si="92"/>
        <v>1</v>
      </c>
      <c r="S217" s="44"/>
      <c r="T217" s="44"/>
      <c r="U217" s="44">
        <f t="shared" si="81"/>
        <v>2</v>
      </c>
      <c r="V217" s="45">
        <f t="shared" si="82"/>
        <v>0</v>
      </c>
      <c r="W217" s="45">
        <f t="shared" si="83"/>
        <v>0</v>
      </c>
      <c r="X217" s="45">
        <f t="shared" si="84"/>
        <v>27.04</v>
      </c>
    </row>
    <row r="218" spans="1:24" ht="36" x14ac:dyDescent="0.2">
      <c r="A218" s="7" t="s">
        <v>506</v>
      </c>
      <c r="B218" s="8" t="s">
        <v>507</v>
      </c>
      <c r="C218" s="7" t="s">
        <v>508</v>
      </c>
      <c r="D218" s="8" t="s">
        <v>18</v>
      </c>
      <c r="E218" s="8" t="s">
        <v>158</v>
      </c>
      <c r="F218" s="39">
        <v>1</v>
      </c>
      <c r="G218" s="39">
        <v>18.23</v>
      </c>
      <c r="H218" s="39">
        <v>22.33</v>
      </c>
      <c r="I218" s="40">
        <v>18.23</v>
      </c>
      <c r="J218" s="41">
        <v>22.33</v>
      </c>
      <c r="K218" s="41">
        <f>0</f>
        <v>0</v>
      </c>
      <c r="L218" s="2">
        <f>0</f>
        <v>0</v>
      </c>
      <c r="M218" s="2"/>
      <c r="N218" s="2"/>
      <c r="O218" s="2">
        <f t="shared" si="93"/>
        <v>1</v>
      </c>
      <c r="P218" s="2"/>
      <c r="Q218" s="42">
        <f t="shared" si="85"/>
        <v>1</v>
      </c>
      <c r="R218" s="43">
        <f t="shared" si="92"/>
        <v>1</v>
      </c>
      <c r="S218" s="44"/>
      <c r="T218" s="44"/>
      <c r="U218" s="44">
        <f t="shared" si="81"/>
        <v>1</v>
      </c>
      <c r="V218" s="45">
        <f t="shared" si="82"/>
        <v>0</v>
      </c>
      <c r="W218" s="45">
        <f t="shared" si="83"/>
        <v>0</v>
      </c>
      <c r="X218" s="45">
        <f t="shared" si="84"/>
        <v>22.33</v>
      </c>
    </row>
    <row r="219" spans="1:24" ht="24" x14ac:dyDescent="0.2">
      <c r="A219" s="7" t="s">
        <v>509</v>
      </c>
      <c r="B219" s="8" t="s">
        <v>510</v>
      </c>
      <c r="C219" s="7" t="s">
        <v>511</v>
      </c>
      <c r="D219" s="8" t="s">
        <v>18</v>
      </c>
      <c r="E219" s="8" t="s">
        <v>158</v>
      </c>
      <c r="F219" s="39">
        <v>14</v>
      </c>
      <c r="G219" s="39">
        <v>8.8800000000000008</v>
      </c>
      <c r="H219" s="39">
        <v>10.88</v>
      </c>
      <c r="I219" s="40">
        <v>124.32</v>
      </c>
      <c r="J219" s="41">
        <v>152.32</v>
      </c>
      <c r="K219" s="41">
        <f>0</f>
        <v>0</v>
      </c>
      <c r="L219" s="2">
        <f>0</f>
        <v>0</v>
      </c>
      <c r="M219" s="2"/>
      <c r="N219" s="2"/>
      <c r="O219" s="2">
        <f t="shared" si="93"/>
        <v>14</v>
      </c>
      <c r="P219" s="2"/>
      <c r="Q219" s="42">
        <f t="shared" si="85"/>
        <v>14</v>
      </c>
      <c r="R219" s="43">
        <f t="shared" si="92"/>
        <v>1</v>
      </c>
      <c r="S219" s="44"/>
      <c r="T219" s="44"/>
      <c r="U219" s="44">
        <f t="shared" si="81"/>
        <v>14</v>
      </c>
      <c r="V219" s="45">
        <f t="shared" si="82"/>
        <v>0</v>
      </c>
      <c r="W219" s="45">
        <f t="shared" si="83"/>
        <v>0</v>
      </c>
      <c r="X219" s="45">
        <f t="shared" si="84"/>
        <v>152.32</v>
      </c>
    </row>
    <row r="220" spans="1:24" ht="48" x14ac:dyDescent="0.2">
      <c r="A220" s="7" t="s">
        <v>512</v>
      </c>
      <c r="B220" s="8" t="s">
        <v>513</v>
      </c>
      <c r="C220" s="7" t="s">
        <v>514</v>
      </c>
      <c r="D220" s="8" t="s">
        <v>18</v>
      </c>
      <c r="E220" s="8" t="s">
        <v>158</v>
      </c>
      <c r="F220" s="39">
        <v>2</v>
      </c>
      <c r="G220" s="39">
        <v>4.54</v>
      </c>
      <c r="H220" s="39">
        <v>5.56</v>
      </c>
      <c r="I220" s="40">
        <v>9.08</v>
      </c>
      <c r="J220" s="41">
        <v>11.12</v>
      </c>
      <c r="K220" s="41">
        <f>0</f>
        <v>0</v>
      </c>
      <c r="L220" s="2">
        <f>0</f>
        <v>0</v>
      </c>
      <c r="M220" s="2"/>
      <c r="N220" s="2"/>
      <c r="O220" s="2">
        <f t="shared" si="93"/>
        <v>2</v>
      </c>
      <c r="P220" s="2"/>
      <c r="Q220" s="42">
        <f t="shared" si="85"/>
        <v>2</v>
      </c>
      <c r="R220" s="43">
        <f t="shared" si="92"/>
        <v>1</v>
      </c>
      <c r="S220" s="44"/>
      <c r="T220" s="44"/>
      <c r="U220" s="44">
        <f t="shared" si="81"/>
        <v>2</v>
      </c>
      <c r="V220" s="45">
        <f t="shared" si="82"/>
        <v>0</v>
      </c>
      <c r="W220" s="45">
        <f t="shared" si="83"/>
        <v>0</v>
      </c>
      <c r="X220" s="45">
        <f t="shared" si="84"/>
        <v>11.12</v>
      </c>
    </row>
    <row r="221" spans="1:24" ht="48" x14ac:dyDescent="0.2">
      <c r="A221" s="7" t="s">
        <v>515</v>
      </c>
      <c r="B221" s="8" t="s">
        <v>516</v>
      </c>
      <c r="C221" s="7" t="s">
        <v>517</v>
      </c>
      <c r="D221" s="8" t="s">
        <v>18</v>
      </c>
      <c r="E221" s="8" t="s">
        <v>158</v>
      </c>
      <c r="F221" s="39">
        <v>30</v>
      </c>
      <c r="G221" s="39">
        <v>6.34</v>
      </c>
      <c r="H221" s="39">
        <v>7.76</v>
      </c>
      <c r="I221" s="40">
        <v>190.2</v>
      </c>
      <c r="J221" s="41">
        <v>232.8</v>
      </c>
      <c r="K221" s="41">
        <f>0</f>
        <v>0</v>
      </c>
      <c r="L221" s="2">
        <f>0</f>
        <v>0</v>
      </c>
      <c r="M221" s="2"/>
      <c r="N221" s="2"/>
      <c r="O221" s="2">
        <f t="shared" si="93"/>
        <v>30</v>
      </c>
      <c r="P221" s="2"/>
      <c r="Q221" s="42">
        <f t="shared" si="85"/>
        <v>30</v>
      </c>
      <c r="R221" s="43">
        <f t="shared" si="92"/>
        <v>1</v>
      </c>
      <c r="S221" s="44"/>
      <c r="T221" s="44"/>
      <c r="U221" s="44">
        <f t="shared" si="81"/>
        <v>30</v>
      </c>
      <c r="V221" s="45">
        <f t="shared" si="82"/>
        <v>0</v>
      </c>
      <c r="W221" s="45">
        <f t="shared" si="83"/>
        <v>0</v>
      </c>
      <c r="X221" s="45">
        <f t="shared" si="84"/>
        <v>232.8</v>
      </c>
    </row>
    <row r="222" spans="1:24" ht="36" x14ac:dyDescent="0.2">
      <c r="A222" s="7" t="s">
        <v>518</v>
      </c>
      <c r="B222" s="8" t="s">
        <v>519</v>
      </c>
      <c r="C222" s="7" t="s">
        <v>520</v>
      </c>
      <c r="D222" s="8" t="s">
        <v>18</v>
      </c>
      <c r="E222" s="8" t="s">
        <v>158</v>
      </c>
      <c r="F222" s="39">
        <v>2</v>
      </c>
      <c r="G222" s="39">
        <v>18.32</v>
      </c>
      <c r="H222" s="39">
        <v>22.44</v>
      </c>
      <c r="I222" s="40">
        <v>36.64</v>
      </c>
      <c r="J222" s="41">
        <v>44.88</v>
      </c>
      <c r="K222" s="41">
        <f>0</f>
        <v>0</v>
      </c>
      <c r="L222" s="2">
        <f>0</f>
        <v>0</v>
      </c>
      <c r="M222" s="2"/>
      <c r="N222" s="2"/>
      <c r="O222" s="2">
        <f t="shared" si="93"/>
        <v>2</v>
      </c>
      <c r="P222" s="2"/>
      <c r="Q222" s="42">
        <f t="shared" si="85"/>
        <v>2</v>
      </c>
      <c r="R222" s="43">
        <f t="shared" si="92"/>
        <v>1</v>
      </c>
      <c r="S222" s="44"/>
      <c r="T222" s="44"/>
      <c r="U222" s="44">
        <f t="shared" si="81"/>
        <v>2</v>
      </c>
      <c r="V222" s="45">
        <f t="shared" si="82"/>
        <v>0</v>
      </c>
      <c r="W222" s="45">
        <f t="shared" si="83"/>
        <v>0</v>
      </c>
      <c r="X222" s="45">
        <f t="shared" si="84"/>
        <v>44.88</v>
      </c>
    </row>
    <row r="223" spans="1:24" ht="60" x14ac:dyDescent="0.2">
      <c r="A223" s="7" t="s">
        <v>521</v>
      </c>
      <c r="B223" s="8" t="s">
        <v>522</v>
      </c>
      <c r="C223" s="7" t="s">
        <v>523</v>
      </c>
      <c r="D223" s="8" t="s">
        <v>18</v>
      </c>
      <c r="E223" s="8" t="s">
        <v>158</v>
      </c>
      <c r="F223" s="39">
        <v>1</v>
      </c>
      <c r="G223" s="39">
        <v>19.96</v>
      </c>
      <c r="H223" s="39">
        <v>24.45</v>
      </c>
      <c r="I223" s="40">
        <v>19.96</v>
      </c>
      <c r="J223" s="41">
        <v>24.45</v>
      </c>
      <c r="K223" s="41">
        <f>0</f>
        <v>0</v>
      </c>
      <c r="L223" s="2">
        <f>0</f>
        <v>0</v>
      </c>
      <c r="M223" s="2"/>
      <c r="N223" s="2"/>
      <c r="O223" s="2">
        <f t="shared" si="93"/>
        <v>1</v>
      </c>
      <c r="P223" s="2"/>
      <c r="Q223" s="42">
        <f t="shared" si="85"/>
        <v>1</v>
      </c>
      <c r="R223" s="43">
        <f t="shared" si="92"/>
        <v>1</v>
      </c>
      <c r="S223" s="44"/>
      <c r="T223" s="44"/>
      <c r="U223" s="44">
        <f t="shared" si="81"/>
        <v>1</v>
      </c>
      <c r="V223" s="45">
        <f t="shared" si="82"/>
        <v>0</v>
      </c>
      <c r="W223" s="45">
        <f t="shared" si="83"/>
        <v>0</v>
      </c>
      <c r="X223" s="45">
        <f t="shared" si="84"/>
        <v>24.45</v>
      </c>
    </row>
    <row r="224" spans="1:24" ht="60" x14ac:dyDescent="0.2">
      <c r="A224" s="7" t="s">
        <v>524</v>
      </c>
      <c r="B224" s="8" t="s">
        <v>525</v>
      </c>
      <c r="C224" s="7" t="s">
        <v>526</v>
      </c>
      <c r="D224" s="8" t="s">
        <v>18</v>
      </c>
      <c r="E224" s="8" t="s">
        <v>158</v>
      </c>
      <c r="F224" s="39">
        <v>1</v>
      </c>
      <c r="G224" s="39">
        <v>64.64</v>
      </c>
      <c r="H224" s="39">
        <v>79.16</v>
      </c>
      <c r="I224" s="40">
        <v>64.64</v>
      </c>
      <c r="J224" s="41">
        <v>79.16</v>
      </c>
      <c r="K224" s="41">
        <f>0</f>
        <v>0</v>
      </c>
      <c r="L224" s="2">
        <f>0</f>
        <v>0</v>
      </c>
      <c r="M224" s="2"/>
      <c r="N224" s="2"/>
      <c r="O224" s="2">
        <f t="shared" si="93"/>
        <v>1</v>
      </c>
      <c r="P224" s="2"/>
      <c r="Q224" s="42">
        <f t="shared" si="85"/>
        <v>1</v>
      </c>
      <c r="R224" s="43">
        <f t="shared" si="92"/>
        <v>1</v>
      </c>
      <c r="S224" s="44"/>
      <c r="T224" s="44"/>
      <c r="U224" s="44">
        <f t="shared" si="81"/>
        <v>1</v>
      </c>
      <c r="V224" s="45">
        <f t="shared" si="82"/>
        <v>0</v>
      </c>
      <c r="W224" s="45">
        <f t="shared" si="83"/>
        <v>0</v>
      </c>
      <c r="X224" s="45">
        <f t="shared" si="84"/>
        <v>79.16</v>
      </c>
    </row>
    <row r="225" spans="1:24" ht="24" x14ac:dyDescent="0.2">
      <c r="A225" s="7" t="s">
        <v>527</v>
      </c>
      <c r="B225" s="8" t="s">
        <v>528</v>
      </c>
      <c r="C225" s="7" t="s">
        <v>529</v>
      </c>
      <c r="D225" s="8" t="s">
        <v>18</v>
      </c>
      <c r="E225" s="8" t="s">
        <v>158</v>
      </c>
      <c r="F225" s="39">
        <v>1</v>
      </c>
      <c r="G225" s="39">
        <v>15.46</v>
      </c>
      <c r="H225" s="39">
        <v>18.93</v>
      </c>
      <c r="I225" s="40">
        <v>15.46</v>
      </c>
      <c r="J225" s="41">
        <v>18.93</v>
      </c>
      <c r="K225" s="41">
        <f>0</f>
        <v>0</v>
      </c>
      <c r="L225" s="2">
        <f>0</f>
        <v>0</v>
      </c>
      <c r="M225" s="2"/>
      <c r="N225" s="2"/>
      <c r="O225" s="2">
        <f t="shared" si="93"/>
        <v>1</v>
      </c>
      <c r="P225" s="2"/>
      <c r="Q225" s="42">
        <f t="shared" si="85"/>
        <v>1</v>
      </c>
      <c r="R225" s="43">
        <f t="shared" si="92"/>
        <v>1</v>
      </c>
      <c r="S225" s="44"/>
      <c r="T225" s="44"/>
      <c r="U225" s="44">
        <f t="shared" ref="U225:U287" si="94">F225+S225-T225</f>
        <v>1</v>
      </c>
      <c r="V225" s="45">
        <f t="shared" ref="V225:V287" si="95">ROUND(H225*S225,2)</f>
        <v>0</v>
      </c>
      <c r="W225" s="45">
        <f t="shared" ref="W225:W287" si="96">ROUND(H225*T225,2)</f>
        <v>0</v>
      </c>
      <c r="X225" s="45">
        <f t="shared" ref="X225:X287" si="97">ROUND(H225*U225,2)</f>
        <v>18.93</v>
      </c>
    </row>
    <row r="226" spans="1:24" ht="24" x14ac:dyDescent="0.2">
      <c r="A226" s="7" t="s">
        <v>530</v>
      </c>
      <c r="B226" s="8" t="s">
        <v>531</v>
      </c>
      <c r="C226" s="7" t="s">
        <v>532</v>
      </c>
      <c r="D226" s="8" t="s">
        <v>18</v>
      </c>
      <c r="E226" s="8" t="s">
        <v>158</v>
      </c>
      <c r="F226" s="39">
        <v>14</v>
      </c>
      <c r="G226" s="39">
        <v>57.54</v>
      </c>
      <c r="H226" s="39">
        <v>70.47</v>
      </c>
      <c r="I226" s="40">
        <v>805.56</v>
      </c>
      <c r="J226" s="41">
        <v>986.58</v>
      </c>
      <c r="K226" s="41">
        <f>0</f>
        <v>0</v>
      </c>
      <c r="L226" s="2">
        <f>0</f>
        <v>0</v>
      </c>
      <c r="M226" s="2"/>
      <c r="N226" s="2"/>
      <c r="O226" s="2">
        <f t="shared" si="93"/>
        <v>14</v>
      </c>
      <c r="P226" s="2"/>
      <c r="Q226" s="42">
        <f t="shared" si="85"/>
        <v>14</v>
      </c>
      <c r="R226" s="43">
        <f t="shared" si="92"/>
        <v>1</v>
      </c>
      <c r="S226" s="44"/>
      <c r="T226" s="44"/>
      <c r="U226" s="44">
        <f t="shared" si="94"/>
        <v>14</v>
      </c>
      <c r="V226" s="45">
        <f t="shared" si="95"/>
        <v>0</v>
      </c>
      <c r="W226" s="45">
        <f t="shared" si="96"/>
        <v>0</v>
      </c>
      <c r="X226" s="45">
        <f t="shared" si="97"/>
        <v>986.58</v>
      </c>
    </row>
    <row r="227" spans="1:24" ht="24" x14ac:dyDescent="0.2">
      <c r="A227" s="7" t="s">
        <v>533</v>
      </c>
      <c r="B227" s="8" t="s">
        <v>534</v>
      </c>
      <c r="C227" s="7" t="s">
        <v>535</v>
      </c>
      <c r="D227" s="8" t="s">
        <v>18</v>
      </c>
      <c r="E227" s="8" t="s">
        <v>158</v>
      </c>
      <c r="F227" s="39">
        <v>1</v>
      </c>
      <c r="G227" s="39">
        <v>137.34</v>
      </c>
      <c r="H227" s="39">
        <v>168.2</v>
      </c>
      <c r="I227" s="40">
        <v>137.34</v>
      </c>
      <c r="J227" s="41">
        <v>168.2</v>
      </c>
      <c r="K227" s="41">
        <f>0</f>
        <v>0</v>
      </c>
      <c r="L227" s="2">
        <f>0</f>
        <v>0</v>
      </c>
      <c r="M227" s="2"/>
      <c r="N227" s="2"/>
      <c r="O227" s="2">
        <f t="shared" si="93"/>
        <v>1</v>
      </c>
      <c r="P227" s="2"/>
      <c r="Q227" s="42">
        <f t="shared" si="85"/>
        <v>1</v>
      </c>
      <c r="R227" s="43">
        <f t="shared" si="92"/>
        <v>1</v>
      </c>
      <c r="S227" s="44"/>
      <c r="T227" s="44"/>
      <c r="U227" s="44">
        <f t="shared" si="94"/>
        <v>1</v>
      </c>
      <c r="V227" s="45">
        <f t="shared" si="95"/>
        <v>0</v>
      </c>
      <c r="W227" s="45">
        <f t="shared" si="96"/>
        <v>0</v>
      </c>
      <c r="X227" s="45">
        <f t="shared" si="97"/>
        <v>168.2</v>
      </c>
    </row>
    <row r="228" spans="1:24" ht="36" x14ac:dyDescent="0.2">
      <c r="A228" s="7" t="s">
        <v>536</v>
      </c>
      <c r="B228" s="8" t="s">
        <v>537</v>
      </c>
      <c r="C228" s="7" t="s">
        <v>538</v>
      </c>
      <c r="D228" s="8" t="s">
        <v>18</v>
      </c>
      <c r="E228" s="8" t="s">
        <v>158</v>
      </c>
      <c r="F228" s="39">
        <v>1</v>
      </c>
      <c r="G228" s="39">
        <v>108.07</v>
      </c>
      <c r="H228" s="39">
        <v>132.35</v>
      </c>
      <c r="I228" s="40">
        <v>108.07</v>
      </c>
      <c r="J228" s="41">
        <v>132.35</v>
      </c>
      <c r="K228" s="41">
        <f>0</f>
        <v>0</v>
      </c>
      <c r="L228" s="2">
        <f>0</f>
        <v>0</v>
      </c>
      <c r="M228" s="2"/>
      <c r="N228" s="2"/>
      <c r="O228" s="2">
        <f t="shared" si="93"/>
        <v>1</v>
      </c>
      <c r="P228" s="2"/>
      <c r="Q228" s="42">
        <f t="shared" si="85"/>
        <v>1</v>
      </c>
      <c r="R228" s="43">
        <f t="shared" si="92"/>
        <v>1</v>
      </c>
      <c r="S228" s="44"/>
      <c r="T228" s="44"/>
      <c r="U228" s="44">
        <f t="shared" si="94"/>
        <v>1</v>
      </c>
      <c r="V228" s="45">
        <f t="shared" si="95"/>
        <v>0</v>
      </c>
      <c r="W228" s="45">
        <f t="shared" si="96"/>
        <v>0</v>
      </c>
      <c r="X228" s="45">
        <f t="shared" si="97"/>
        <v>132.35</v>
      </c>
    </row>
    <row r="229" spans="1:24" ht="24" x14ac:dyDescent="0.2">
      <c r="A229" s="7" t="s">
        <v>539</v>
      </c>
      <c r="B229" s="8" t="s">
        <v>528</v>
      </c>
      <c r="C229" s="7" t="s">
        <v>529</v>
      </c>
      <c r="D229" s="8" t="s">
        <v>18</v>
      </c>
      <c r="E229" s="8" t="s">
        <v>158</v>
      </c>
      <c r="F229" s="39">
        <v>1</v>
      </c>
      <c r="G229" s="39">
        <v>15.46</v>
      </c>
      <c r="H229" s="39">
        <v>18.93</v>
      </c>
      <c r="I229" s="40">
        <v>15.46</v>
      </c>
      <c r="J229" s="41">
        <v>18.93</v>
      </c>
      <c r="K229" s="41">
        <f>0</f>
        <v>0</v>
      </c>
      <c r="L229" s="2">
        <f>0</f>
        <v>0</v>
      </c>
      <c r="M229" s="2"/>
      <c r="N229" s="2"/>
      <c r="O229" s="2">
        <f t="shared" si="93"/>
        <v>1</v>
      </c>
      <c r="P229" s="2"/>
      <c r="Q229" s="42">
        <f t="shared" si="85"/>
        <v>1</v>
      </c>
      <c r="R229" s="43">
        <f t="shared" si="92"/>
        <v>1</v>
      </c>
      <c r="S229" s="44"/>
      <c r="T229" s="44"/>
      <c r="U229" s="44">
        <f t="shared" si="94"/>
        <v>1</v>
      </c>
      <c r="V229" s="45">
        <f t="shared" si="95"/>
        <v>0</v>
      </c>
      <c r="W229" s="45">
        <f t="shared" si="96"/>
        <v>0</v>
      </c>
      <c r="X229" s="45">
        <f t="shared" si="97"/>
        <v>18.93</v>
      </c>
    </row>
    <row r="230" spans="1:24" ht="36" x14ac:dyDescent="0.2">
      <c r="A230" s="7" t="s">
        <v>540</v>
      </c>
      <c r="B230" s="8" t="s">
        <v>541</v>
      </c>
      <c r="C230" s="7" t="s">
        <v>542</v>
      </c>
      <c r="D230" s="8" t="s">
        <v>18</v>
      </c>
      <c r="E230" s="8" t="s">
        <v>158</v>
      </c>
      <c r="F230" s="39">
        <v>4</v>
      </c>
      <c r="G230" s="39">
        <v>83.98</v>
      </c>
      <c r="H230" s="39">
        <v>102.85</v>
      </c>
      <c r="I230" s="40">
        <v>335.92</v>
      </c>
      <c r="J230" s="41">
        <v>411.4</v>
      </c>
      <c r="K230" s="41">
        <f>0</f>
        <v>0</v>
      </c>
      <c r="L230" s="2">
        <f>0</f>
        <v>0</v>
      </c>
      <c r="M230" s="2"/>
      <c r="N230" s="2"/>
      <c r="O230" s="2">
        <f t="shared" si="93"/>
        <v>4</v>
      </c>
      <c r="P230" s="2"/>
      <c r="Q230" s="42">
        <f t="shared" ref="Q230:Q292" si="98">K230+L230+M230+N230+O230+P230</f>
        <v>4</v>
      </c>
      <c r="R230" s="43">
        <f t="shared" si="92"/>
        <v>1</v>
      </c>
      <c r="S230" s="44"/>
      <c r="T230" s="44"/>
      <c r="U230" s="44">
        <f t="shared" si="94"/>
        <v>4</v>
      </c>
      <c r="V230" s="45">
        <f t="shared" si="95"/>
        <v>0</v>
      </c>
      <c r="W230" s="45">
        <f t="shared" si="96"/>
        <v>0</v>
      </c>
      <c r="X230" s="45">
        <f t="shared" si="97"/>
        <v>411.4</v>
      </c>
    </row>
    <row r="231" spans="1:24" ht="36" x14ac:dyDescent="0.2">
      <c r="A231" s="7" t="s">
        <v>543</v>
      </c>
      <c r="B231" s="8" t="s">
        <v>544</v>
      </c>
      <c r="C231" s="7" t="s">
        <v>545</v>
      </c>
      <c r="D231" s="8" t="s">
        <v>18</v>
      </c>
      <c r="E231" s="8" t="s">
        <v>158</v>
      </c>
      <c r="F231" s="39">
        <v>1</v>
      </c>
      <c r="G231" s="39">
        <v>3629.25</v>
      </c>
      <c r="H231" s="39">
        <v>4444.74</v>
      </c>
      <c r="I231" s="40">
        <v>3629.25</v>
      </c>
      <c r="J231" s="41">
        <v>4444.74</v>
      </c>
      <c r="K231" s="41">
        <f>0</f>
        <v>0</v>
      </c>
      <c r="L231" s="2">
        <f>0</f>
        <v>0</v>
      </c>
      <c r="M231" s="2"/>
      <c r="N231" s="2"/>
      <c r="O231" s="2"/>
      <c r="P231" s="2"/>
      <c r="Q231" s="42">
        <f t="shared" si="98"/>
        <v>0</v>
      </c>
      <c r="R231" s="43">
        <f t="shared" si="92"/>
        <v>0</v>
      </c>
      <c r="S231" s="44"/>
      <c r="T231" s="44"/>
      <c r="U231" s="44">
        <f t="shared" si="94"/>
        <v>1</v>
      </c>
      <c r="V231" s="45">
        <f t="shared" si="95"/>
        <v>0</v>
      </c>
      <c r="W231" s="45">
        <f t="shared" si="96"/>
        <v>0</v>
      </c>
      <c r="X231" s="45">
        <f t="shared" si="97"/>
        <v>4444.74</v>
      </c>
    </row>
    <row r="232" spans="1:24" ht="36" x14ac:dyDescent="0.2">
      <c r="A232" s="7" t="s">
        <v>546</v>
      </c>
      <c r="B232" s="8" t="s">
        <v>547</v>
      </c>
      <c r="C232" s="7" t="s">
        <v>548</v>
      </c>
      <c r="D232" s="8" t="s">
        <v>18</v>
      </c>
      <c r="E232" s="8" t="s">
        <v>158</v>
      </c>
      <c r="F232" s="39">
        <v>1</v>
      </c>
      <c r="G232" s="39">
        <v>7023.92</v>
      </c>
      <c r="H232" s="39">
        <v>8602.19</v>
      </c>
      <c r="I232" s="40">
        <v>7023.92</v>
      </c>
      <c r="J232" s="41">
        <v>8602.19</v>
      </c>
      <c r="K232" s="41">
        <f>0</f>
        <v>0</v>
      </c>
      <c r="L232" s="2">
        <f>0</f>
        <v>0</v>
      </c>
      <c r="M232" s="2"/>
      <c r="N232" s="2"/>
      <c r="O232" s="2"/>
      <c r="P232" s="2"/>
      <c r="Q232" s="42">
        <f t="shared" si="98"/>
        <v>0</v>
      </c>
      <c r="R232" s="43">
        <f t="shared" si="92"/>
        <v>0</v>
      </c>
      <c r="S232" s="44"/>
      <c r="T232" s="44"/>
      <c r="U232" s="44">
        <f t="shared" si="94"/>
        <v>1</v>
      </c>
      <c r="V232" s="45">
        <f t="shared" si="95"/>
        <v>0</v>
      </c>
      <c r="W232" s="45">
        <f t="shared" si="96"/>
        <v>0</v>
      </c>
      <c r="X232" s="45">
        <f t="shared" si="97"/>
        <v>8602.19</v>
      </c>
    </row>
    <row r="233" spans="1:24" x14ac:dyDescent="0.2">
      <c r="A233" s="48" t="s">
        <v>549</v>
      </c>
      <c r="B233" s="269" t="s">
        <v>550</v>
      </c>
      <c r="C233" s="269"/>
      <c r="D233" s="269"/>
      <c r="E233" s="269"/>
      <c r="F233" s="269"/>
      <c r="G233" s="269"/>
      <c r="H233" s="269"/>
      <c r="I233" s="49">
        <v>7362.66</v>
      </c>
      <c r="J233" s="50">
        <v>9016.69</v>
      </c>
      <c r="K233" s="51"/>
      <c r="L233" s="51"/>
      <c r="M233" s="51"/>
      <c r="N233" s="51"/>
      <c r="O233" s="51"/>
      <c r="P233" s="51"/>
      <c r="Q233" s="42"/>
      <c r="R233" s="43"/>
      <c r="S233" s="44"/>
      <c r="T233" s="44"/>
      <c r="U233" s="44"/>
      <c r="V233" s="53">
        <f>SUM(V234:V256)</f>
        <v>0</v>
      </c>
      <c r="W233" s="53">
        <f t="shared" ref="W233" si="99">SUM(W234:W256)</f>
        <v>0</v>
      </c>
      <c r="X233" s="53">
        <f>SUM(X234:X256)</f>
        <v>9016.6899999999987</v>
      </c>
    </row>
    <row r="234" spans="1:24" ht="36" x14ac:dyDescent="0.2">
      <c r="A234" s="7" t="s">
        <v>551</v>
      </c>
      <c r="B234" s="8" t="s">
        <v>552</v>
      </c>
      <c r="C234" s="7" t="s">
        <v>553</v>
      </c>
      <c r="D234" s="8" t="s">
        <v>18</v>
      </c>
      <c r="E234" s="8" t="s">
        <v>23</v>
      </c>
      <c r="F234" s="39">
        <v>29.25</v>
      </c>
      <c r="G234" s="39">
        <v>17.149999999999999</v>
      </c>
      <c r="H234" s="39">
        <v>21</v>
      </c>
      <c r="I234" s="40">
        <v>501.64</v>
      </c>
      <c r="J234" s="41">
        <v>614.25</v>
      </c>
      <c r="K234" s="41">
        <f>0</f>
        <v>0</v>
      </c>
      <c r="L234" s="2">
        <f>0</f>
        <v>0</v>
      </c>
      <c r="M234" s="2"/>
      <c r="N234" s="2">
        <f>F234</f>
        <v>29.25</v>
      </c>
      <c r="O234" s="2"/>
      <c r="P234" s="2"/>
      <c r="Q234" s="42">
        <f t="shared" si="98"/>
        <v>29.25</v>
      </c>
      <c r="R234" s="43">
        <f t="shared" ref="R234:R256" si="100">Q234/F234</f>
        <v>1</v>
      </c>
      <c r="S234" s="44"/>
      <c r="T234" s="44"/>
      <c r="U234" s="44">
        <f t="shared" si="94"/>
        <v>29.25</v>
      </c>
      <c r="V234" s="45">
        <f t="shared" si="95"/>
        <v>0</v>
      </c>
      <c r="W234" s="45">
        <f t="shared" si="96"/>
        <v>0</v>
      </c>
      <c r="X234" s="45">
        <f t="shared" si="97"/>
        <v>614.25</v>
      </c>
    </row>
    <row r="235" spans="1:24" ht="36" x14ac:dyDescent="0.2">
      <c r="A235" s="7" t="s">
        <v>554</v>
      </c>
      <c r="B235" s="8" t="s">
        <v>555</v>
      </c>
      <c r="C235" s="7" t="s">
        <v>556</v>
      </c>
      <c r="D235" s="8" t="s">
        <v>18</v>
      </c>
      <c r="E235" s="8" t="s">
        <v>23</v>
      </c>
      <c r="F235" s="39">
        <v>37.79</v>
      </c>
      <c r="G235" s="39">
        <v>22.91</v>
      </c>
      <c r="H235" s="39">
        <v>28.06</v>
      </c>
      <c r="I235" s="40">
        <v>865.77</v>
      </c>
      <c r="J235" s="41">
        <v>1060.3900000000001</v>
      </c>
      <c r="K235" s="41">
        <f>0</f>
        <v>0</v>
      </c>
      <c r="L235" s="2">
        <f>0</f>
        <v>0</v>
      </c>
      <c r="M235" s="2"/>
      <c r="N235" s="2">
        <f t="shared" ref="N235:N236" si="101">F235</f>
        <v>37.79</v>
      </c>
      <c r="O235" s="2"/>
      <c r="P235" s="2"/>
      <c r="Q235" s="42">
        <f t="shared" si="98"/>
        <v>37.79</v>
      </c>
      <c r="R235" s="43">
        <f t="shared" si="100"/>
        <v>1</v>
      </c>
      <c r="S235" s="44"/>
      <c r="T235" s="44"/>
      <c r="U235" s="44">
        <f t="shared" si="94"/>
        <v>37.79</v>
      </c>
      <c r="V235" s="45">
        <f t="shared" si="95"/>
        <v>0</v>
      </c>
      <c r="W235" s="45">
        <f t="shared" si="96"/>
        <v>0</v>
      </c>
      <c r="X235" s="45">
        <f t="shared" si="97"/>
        <v>1060.3900000000001</v>
      </c>
    </row>
    <row r="236" spans="1:24" ht="36" x14ac:dyDescent="0.2">
      <c r="A236" s="7" t="s">
        <v>557</v>
      </c>
      <c r="B236" s="8" t="s">
        <v>558</v>
      </c>
      <c r="C236" s="7" t="s">
        <v>559</v>
      </c>
      <c r="D236" s="8" t="s">
        <v>18</v>
      </c>
      <c r="E236" s="8" t="s">
        <v>23</v>
      </c>
      <c r="F236" s="39">
        <v>11.32</v>
      </c>
      <c r="G236" s="39">
        <v>28.85</v>
      </c>
      <c r="H236" s="39">
        <v>35.33</v>
      </c>
      <c r="I236" s="40">
        <v>326.58</v>
      </c>
      <c r="J236" s="41">
        <v>399.94</v>
      </c>
      <c r="K236" s="41">
        <f>0</f>
        <v>0</v>
      </c>
      <c r="L236" s="2">
        <f>0</f>
        <v>0</v>
      </c>
      <c r="M236" s="2"/>
      <c r="N236" s="2">
        <f t="shared" si="101"/>
        <v>11.32</v>
      </c>
      <c r="O236" s="2"/>
      <c r="P236" s="2"/>
      <c r="Q236" s="42">
        <f t="shared" si="98"/>
        <v>11.32</v>
      </c>
      <c r="R236" s="43">
        <f t="shared" si="100"/>
        <v>1</v>
      </c>
      <c r="S236" s="44"/>
      <c r="T236" s="44"/>
      <c r="U236" s="44">
        <f t="shared" si="94"/>
        <v>11.32</v>
      </c>
      <c r="V236" s="45">
        <f t="shared" si="95"/>
        <v>0</v>
      </c>
      <c r="W236" s="45">
        <f t="shared" si="96"/>
        <v>0</v>
      </c>
      <c r="X236" s="45">
        <f t="shared" si="97"/>
        <v>399.94</v>
      </c>
    </row>
    <row r="237" spans="1:24" ht="36" x14ac:dyDescent="0.2">
      <c r="A237" s="7" t="s">
        <v>560</v>
      </c>
      <c r="B237" s="8" t="s">
        <v>561</v>
      </c>
      <c r="C237" s="7" t="s">
        <v>562</v>
      </c>
      <c r="D237" s="8" t="s">
        <v>18</v>
      </c>
      <c r="E237" s="8" t="s">
        <v>23</v>
      </c>
      <c r="F237" s="39">
        <v>88.09</v>
      </c>
      <c r="G237" s="39">
        <v>20.309999999999999</v>
      </c>
      <c r="H237" s="39">
        <v>24.87</v>
      </c>
      <c r="I237" s="40">
        <v>1789.11</v>
      </c>
      <c r="J237" s="41">
        <v>2190.8000000000002</v>
      </c>
      <c r="K237" s="41">
        <f>0</f>
        <v>0</v>
      </c>
      <c r="L237" s="2">
        <f>0</f>
        <v>0</v>
      </c>
      <c r="M237" s="2"/>
      <c r="N237" s="2">
        <f>F237</f>
        <v>88.09</v>
      </c>
      <c r="O237" s="2"/>
      <c r="P237" s="2"/>
      <c r="Q237" s="42">
        <f t="shared" si="98"/>
        <v>88.09</v>
      </c>
      <c r="R237" s="43">
        <f t="shared" si="100"/>
        <v>1</v>
      </c>
      <c r="S237" s="44"/>
      <c r="T237" s="44"/>
      <c r="U237" s="44">
        <f t="shared" si="94"/>
        <v>88.09</v>
      </c>
      <c r="V237" s="45">
        <f t="shared" si="95"/>
        <v>0</v>
      </c>
      <c r="W237" s="45">
        <f t="shared" si="96"/>
        <v>0</v>
      </c>
      <c r="X237" s="45">
        <f t="shared" si="97"/>
        <v>2190.8000000000002</v>
      </c>
    </row>
    <row r="238" spans="1:24" ht="48" x14ac:dyDescent="0.2">
      <c r="A238" s="7" t="s">
        <v>563</v>
      </c>
      <c r="B238" s="8" t="s">
        <v>564</v>
      </c>
      <c r="C238" s="7" t="s">
        <v>565</v>
      </c>
      <c r="D238" s="8" t="s">
        <v>18</v>
      </c>
      <c r="E238" s="8" t="s">
        <v>158</v>
      </c>
      <c r="F238" s="39">
        <v>4</v>
      </c>
      <c r="G238" s="39">
        <v>234.76</v>
      </c>
      <c r="H238" s="39">
        <v>287.51</v>
      </c>
      <c r="I238" s="40">
        <v>939.04</v>
      </c>
      <c r="J238" s="41">
        <v>1150.04</v>
      </c>
      <c r="K238" s="41">
        <f>0</f>
        <v>0</v>
      </c>
      <c r="L238" s="2">
        <f>0</f>
        <v>0</v>
      </c>
      <c r="M238" s="2"/>
      <c r="N238" s="2">
        <f>F238</f>
        <v>4</v>
      </c>
      <c r="O238" s="2"/>
      <c r="P238" s="2"/>
      <c r="Q238" s="42">
        <f t="shared" si="98"/>
        <v>4</v>
      </c>
      <c r="R238" s="43">
        <f t="shared" si="100"/>
        <v>1</v>
      </c>
      <c r="S238" s="44"/>
      <c r="T238" s="44"/>
      <c r="U238" s="44">
        <f t="shared" si="94"/>
        <v>4</v>
      </c>
      <c r="V238" s="45">
        <f t="shared" si="95"/>
        <v>0</v>
      </c>
      <c r="W238" s="45">
        <f t="shared" si="96"/>
        <v>0</v>
      </c>
      <c r="X238" s="45">
        <f t="shared" si="97"/>
        <v>1150.04</v>
      </c>
    </row>
    <row r="239" spans="1:24" ht="48" x14ac:dyDescent="0.2">
      <c r="A239" s="7" t="s">
        <v>566</v>
      </c>
      <c r="B239" s="8" t="s">
        <v>567</v>
      </c>
      <c r="C239" s="7" t="s">
        <v>568</v>
      </c>
      <c r="D239" s="8" t="s">
        <v>18</v>
      </c>
      <c r="E239" s="8" t="s">
        <v>158</v>
      </c>
      <c r="F239" s="39">
        <v>4</v>
      </c>
      <c r="G239" s="39">
        <v>22.79</v>
      </c>
      <c r="H239" s="39">
        <v>27.91</v>
      </c>
      <c r="I239" s="40">
        <v>91.16</v>
      </c>
      <c r="J239" s="41">
        <v>111.64</v>
      </c>
      <c r="K239" s="41">
        <f>0</f>
        <v>0</v>
      </c>
      <c r="L239" s="2">
        <f>0</f>
        <v>0</v>
      </c>
      <c r="M239" s="2"/>
      <c r="N239" s="2">
        <f>F239</f>
        <v>4</v>
      </c>
      <c r="O239" s="2"/>
      <c r="P239" s="2"/>
      <c r="Q239" s="42">
        <f t="shared" si="98"/>
        <v>4</v>
      </c>
      <c r="R239" s="43">
        <f t="shared" si="100"/>
        <v>1</v>
      </c>
      <c r="S239" s="44"/>
      <c r="T239" s="44"/>
      <c r="U239" s="44">
        <f t="shared" si="94"/>
        <v>4</v>
      </c>
      <c r="V239" s="45">
        <f t="shared" si="95"/>
        <v>0</v>
      </c>
      <c r="W239" s="45">
        <f t="shared" si="96"/>
        <v>0</v>
      </c>
      <c r="X239" s="45">
        <f t="shared" si="97"/>
        <v>111.64</v>
      </c>
    </row>
    <row r="240" spans="1:24" x14ac:dyDescent="0.2">
      <c r="A240" s="7" t="s">
        <v>569</v>
      </c>
      <c r="B240" s="8" t="s">
        <v>570</v>
      </c>
      <c r="C240" s="7" t="s">
        <v>571</v>
      </c>
      <c r="D240" s="8" t="s">
        <v>18</v>
      </c>
      <c r="E240" s="8" t="s">
        <v>158</v>
      </c>
      <c r="F240" s="39">
        <v>10</v>
      </c>
      <c r="G240" s="39">
        <v>14.65</v>
      </c>
      <c r="H240" s="39">
        <v>17.940000000000001</v>
      </c>
      <c r="I240" s="40">
        <v>146.5</v>
      </c>
      <c r="J240" s="41">
        <v>179.4</v>
      </c>
      <c r="K240" s="41">
        <f>0</f>
        <v>0</v>
      </c>
      <c r="L240" s="2">
        <f>0</f>
        <v>0</v>
      </c>
      <c r="M240" s="2"/>
      <c r="N240" s="2">
        <f>F240</f>
        <v>10</v>
      </c>
      <c r="O240" s="2"/>
      <c r="P240" s="2"/>
      <c r="Q240" s="42">
        <f>K240+L240+M240+N240+O240+P240</f>
        <v>10</v>
      </c>
      <c r="R240" s="43">
        <f t="shared" ref="R240" si="102">Q240/F240</f>
        <v>1</v>
      </c>
      <c r="S240" s="44"/>
      <c r="T240" s="44"/>
      <c r="U240" s="44">
        <f t="shared" si="94"/>
        <v>10</v>
      </c>
      <c r="V240" s="45">
        <f t="shared" si="95"/>
        <v>0</v>
      </c>
      <c r="W240" s="45">
        <f t="shared" si="96"/>
        <v>0</v>
      </c>
      <c r="X240" s="45">
        <f t="shared" si="97"/>
        <v>179.4</v>
      </c>
    </row>
    <row r="241" spans="1:24" ht="48" x14ac:dyDescent="0.2">
      <c r="A241" s="7" t="s">
        <v>572</v>
      </c>
      <c r="B241" s="8" t="s">
        <v>573</v>
      </c>
      <c r="C241" s="7" t="s">
        <v>574</v>
      </c>
      <c r="D241" s="8" t="s">
        <v>18</v>
      </c>
      <c r="E241" s="8" t="s">
        <v>158</v>
      </c>
      <c r="F241" s="39">
        <v>14</v>
      </c>
      <c r="G241" s="39">
        <v>11.09</v>
      </c>
      <c r="H241" s="39">
        <v>13.58</v>
      </c>
      <c r="I241" s="40">
        <v>155.26</v>
      </c>
      <c r="J241" s="41">
        <v>190.12</v>
      </c>
      <c r="K241" s="41">
        <f>0</f>
        <v>0</v>
      </c>
      <c r="L241" s="2">
        <f>0</f>
        <v>0</v>
      </c>
      <c r="M241" s="2"/>
      <c r="N241" s="2">
        <f t="shared" ref="N241:N242" si="103">F241</f>
        <v>14</v>
      </c>
      <c r="O241" s="2"/>
      <c r="P241" s="2"/>
      <c r="Q241" s="42">
        <f t="shared" si="98"/>
        <v>14</v>
      </c>
      <c r="R241" s="43">
        <f t="shared" si="100"/>
        <v>1</v>
      </c>
      <c r="S241" s="44"/>
      <c r="T241" s="44"/>
      <c r="U241" s="44">
        <f t="shared" si="94"/>
        <v>14</v>
      </c>
      <c r="V241" s="45">
        <f t="shared" si="95"/>
        <v>0</v>
      </c>
      <c r="W241" s="45">
        <f t="shared" si="96"/>
        <v>0</v>
      </c>
      <c r="X241" s="45">
        <f t="shared" si="97"/>
        <v>190.12</v>
      </c>
    </row>
    <row r="242" spans="1:24" ht="36" x14ac:dyDescent="0.2">
      <c r="A242" s="7" t="s">
        <v>575</v>
      </c>
      <c r="B242" s="8" t="s">
        <v>576</v>
      </c>
      <c r="C242" s="7" t="s">
        <v>577</v>
      </c>
      <c r="D242" s="8" t="s">
        <v>18</v>
      </c>
      <c r="E242" s="8" t="s">
        <v>158</v>
      </c>
      <c r="F242" s="39">
        <v>1</v>
      </c>
      <c r="G242" s="39">
        <v>8.15</v>
      </c>
      <c r="H242" s="39">
        <v>9.98</v>
      </c>
      <c r="I242" s="40">
        <v>8.15</v>
      </c>
      <c r="J242" s="41">
        <v>9.98</v>
      </c>
      <c r="K242" s="41">
        <f>0</f>
        <v>0</v>
      </c>
      <c r="L242" s="2">
        <f>0</f>
        <v>0</v>
      </c>
      <c r="M242" s="2"/>
      <c r="N242" s="2">
        <f t="shared" si="103"/>
        <v>1</v>
      </c>
      <c r="O242" s="2"/>
      <c r="P242" s="2"/>
      <c r="Q242" s="42">
        <f t="shared" si="98"/>
        <v>1</v>
      </c>
      <c r="R242" s="43">
        <f t="shared" si="100"/>
        <v>1</v>
      </c>
      <c r="S242" s="44"/>
      <c r="T242" s="44"/>
      <c r="U242" s="44">
        <f t="shared" si="94"/>
        <v>1</v>
      </c>
      <c r="V242" s="45">
        <f t="shared" si="95"/>
        <v>0</v>
      </c>
      <c r="W242" s="45">
        <f t="shared" si="96"/>
        <v>0</v>
      </c>
      <c r="X242" s="45">
        <f t="shared" si="97"/>
        <v>9.98</v>
      </c>
    </row>
    <row r="243" spans="1:24" ht="36" x14ac:dyDescent="0.2">
      <c r="A243" s="7" t="s">
        <v>578</v>
      </c>
      <c r="B243" s="8" t="s">
        <v>579</v>
      </c>
      <c r="C243" s="7" t="s">
        <v>580</v>
      </c>
      <c r="D243" s="8" t="s">
        <v>18</v>
      </c>
      <c r="E243" s="8" t="s">
        <v>158</v>
      </c>
      <c r="F243" s="39">
        <v>9</v>
      </c>
      <c r="G243" s="39">
        <v>24.78</v>
      </c>
      <c r="H243" s="39">
        <v>30.35</v>
      </c>
      <c r="I243" s="40">
        <v>223.02</v>
      </c>
      <c r="J243" s="41">
        <v>273.14999999999998</v>
      </c>
      <c r="K243" s="41">
        <f>0</f>
        <v>0</v>
      </c>
      <c r="L243" s="2">
        <f>0</f>
        <v>0</v>
      </c>
      <c r="M243" s="2"/>
      <c r="N243" s="2">
        <f>F243</f>
        <v>9</v>
      </c>
      <c r="O243" s="2"/>
      <c r="P243" s="2"/>
      <c r="Q243" s="42">
        <f t="shared" si="98"/>
        <v>9</v>
      </c>
      <c r="R243" s="43">
        <f t="shared" si="100"/>
        <v>1</v>
      </c>
      <c r="S243" s="44"/>
      <c r="T243" s="44"/>
      <c r="U243" s="44">
        <f t="shared" si="94"/>
        <v>9</v>
      </c>
      <c r="V243" s="45">
        <f t="shared" si="95"/>
        <v>0</v>
      </c>
      <c r="W243" s="45">
        <f t="shared" si="96"/>
        <v>0</v>
      </c>
      <c r="X243" s="45">
        <f t="shared" si="97"/>
        <v>273.14999999999998</v>
      </c>
    </row>
    <row r="244" spans="1:24" ht="48" x14ac:dyDescent="0.2">
      <c r="A244" s="7" t="s">
        <v>581</v>
      </c>
      <c r="B244" s="8" t="s">
        <v>582</v>
      </c>
      <c r="C244" s="7" t="s">
        <v>583</v>
      </c>
      <c r="D244" s="8" t="s">
        <v>18</v>
      </c>
      <c r="E244" s="8" t="s">
        <v>158</v>
      </c>
      <c r="F244" s="39">
        <v>25</v>
      </c>
      <c r="G244" s="39">
        <v>9.44</v>
      </c>
      <c r="H244" s="39">
        <v>11.56</v>
      </c>
      <c r="I244" s="40">
        <v>236</v>
      </c>
      <c r="J244" s="41">
        <v>289</v>
      </c>
      <c r="K244" s="41">
        <f>0</f>
        <v>0</v>
      </c>
      <c r="L244" s="2">
        <f>0</f>
        <v>0</v>
      </c>
      <c r="M244" s="2"/>
      <c r="N244" s="2">
        <f t="shared" ref="N244:N245" si="104">F244</f>
        <v>25</v>
      </c>
      <c r="O244" s="2"/>
      <c r="P244" s="2"/>
      <c r="Q244" s="42">
        <f t="shared" si="98"/>
        <v>25</v>
      </c>
      <c r="R244" s="43">
        <f t="shared" si="100"/>
        <v>1</v>
      </c>
      <c r="S244" s="44"/>
      <c r="T244" s="44"/>
      <c r="U244" s="44">
        <f t="shared" si="94"/>
        <v>25</v>
      </c>
      <c r="V244" s="45">
        <f t="shared" si="95"/>
        <v>0</v>
      </c>
      <c r="W244" s="45">
        <f t="shared" si="96"/>
        <v>0</v>
      </c>
      <c r="X244" s="45">
        <f t="shared" si="97"/>
        <v>289</v>
      </c>
    </row>
    <row r="245" spans="1:24" ht="36" x14ac:dyDescent="0.2">
      <c r="A245" s="7" t="s">
        <v>584</v>
      </c>
      <c r="B245" s="8" t="s">
        <v>585</v>
      </c>
      <c r="C245" s="7" t="s">
        <v>586</v>
      </c>
      <c r="D245" s="8" t="s">
        <v>18</v>
      </c>
      <c r="E245" s="8" t="s">
        <v>158</v>
      </c>
      <c r="F245" s="39">
        <v>14</v>
      </c>
      <c r="G245" s="39">
        <v>7.31</v>
      </c>
      <c r="H245" s="39">
        <v>8.9499999999999993</v>
      </c>
      <c r="I245" s="40">
        <v>102.34</v>
      </c>
      <c r="J245" s="41">
        <v>125.3</v>
      </c>
      <c r="K245" s="41">
        <f>0</f>
        <v>0</v>
      </c>
      <c r="L245" s="2">
        <f>0</f>
        <v>0</v>
      </c>
      <c r="M245" s="2"/>
      <c r="N245" s="2">
        <f t="shared" si="104"/>
        <v>14</v>
      </c>
      <c r="O245" s="2"/>
      <c r="P245" s="2"/>
      <c r="Q245" s="42">
        <f t="shared" si="98"/>
        <v>14</v>
      </c>
      <c r="R245" s="43">
        <f t="shared" si="100"/>
        <v>1</v>
      </c>
      <c r="S245" s="44"/>
      <c r="T245" s="44"/>
      <c r="U245" s="44">
        <f t="shared" si="94"/>
        <v>14</v>
      </c>
      <c r="V245" s="45">
        <f t="shared" si="95"/>
        <v>0</v>
      </c>
      <c r="W245" s="45">
        <f t="shared" si="96"/>
        <v>0</v>
      </c>
      <c r="X245" s="45">
        <f t="shared" si="97"/>
        <v>125.3</v>
      </c>
    </row>
    <row r="246" spans="1:24" ht="48" x14ac:dyDescent="0.2">
      <c r="A246" s="7" t="s">
        <v>587</v>
      </c>
      <c r="B246" s="8" t="s">
        <v>588</v>
      </c>
      <c r="C246" s="7" t="s">
        <v>589</v>
      </c>
      <c r="D246" s="8" t="s">
        <v>18</v>
      </c>
      <c r="E246" s="8" t="s">
        <v>158</v>
      </c>
      <c r="F246" s="39">
        <v>4</v>
      </c>
      <c r="G246" s="39">
        <v>48.8</v>
      </c>
      <c r="H246" s="39">
        <v>59.77</v>
      </c>
      <c r="I246" s="40">
        <v>195.2</v>
      </c>
      <c r="J246" s="41">
        <v>239.08</v>
      </c>
      <c r="K246" s="41">
        <f>0</f>
        <v>0</v>
      </c>
      <c r="L246" s="2">
        <f>0</f>
        <v>0</v>
      </c>
      <c r="M246" s="2"/>
      <c r="N246" s="2">
        <f>F246</f>
        <v>4</v>
      </c>
      <c r="O246" s="2"/>
      <c r="P246" s="2"/>
      <c r="Q246" s="42">
        <f t="shared" si="98"/>
        <v>4</v>
      </c>
      <c r="R246" s="43">
        <f t="shared" si="100"/>
        <v>1</v>
      </c>
      <c r="S246" s="44"/>
      <c r="T246" s="44"/>
      <c r="U246" s="44">
        <f t="shared" si="94"/>
        <v>4</v>
      </c>
      <c r="V246" s="45">
        <f t="shared" si="95"/>
        <v>0</v>
      </c>
      <c r="W246" s="45">
        <f t="shared" si="96"/>
        <v>0</v>
      </c>
      <c r="X246" s="45">
        <f t="shared" si="97"/>
        <v>239.08</v>
      </c>
    </row>
    <row r="247" spans="1:24" ht="48" x14ac:dyDescent="0.2">
      <c r="A247" s="7" t="s">
        <v>590</v>
      </c>
      <c r="B247" s="8" t="s">
        <v>591</v>
      </c>
      <c r="C247" s="7" t="s">
        <v>592</v>
      </c>
      <c r="D247" s="8" t="s">
        <v>18</v>
      </c>
      <c r="E247" s="8" t="s">
        <v>158</v>
      </c>
      <c r="F247" s="39">
        <v>1</v>
      </c>
      <c r="G247" s="39">
        <v>19.75</v>
      </c>
      <c r="H247" s="39">
        <v>24.19</v>
      </c>
      <c r="I247" s="40">
        <v>19.75</v>
      </c>
      <c r="J247" s="41">
        <v>24.19</v>
      </c>
      <c r="K247" s="41">
        <f>0</f>
        <v>0</v>
      </c>
      <c r="L247" s="2">
        <f>0</f>
        <v>0</v>
      </c>
      <c r="M247" s="2"/>
      <c r="N247" s="2">
        <f>F247</f>
        <v>1</v>
      </c>
      <c r="O247" s="2"/>
      <c r="P247" s="2"/>
      <c r="Q247" s="42">
        <f t="shared" si="98"/>
        <v>1</v>
      </c>
      <c r="R247" s="43">
        <f t="shared" si="100"/>
        <v>1</v>
      </c>
      <c r="S247" s="44"/>
      <c r="T247" s="44"/>
      <c r="U247" s="44">
        <f t="shared" si="94"/>
        <v>1</v>
      </c>
      <c r="V247" s="45">
        <f t="shared" si="95"/>
        <v>0</v>
      </c>
      <c r="W247" s="45">
        <f t="shared" si="96"/>
        <v>0</v>
      </c>
      <c r="X247" s="45">
        <f t="shared" si="97"/>
        <v>24.19</v>
      </c>
    </row>
    <row r="248" spans="1:24" ht="36" x14ac:dyDescent="0.2">
      <c r="A248" s="7" t="s">
        <v>593</v>
      </c>
      <c r="B248" s="8" t="s">
        <v>594</v>
      </c>
      <c r="C248" s="7" t="s">
        <v>595</v>
      </c>
      <c r="D248" s="8" t="s">
        <v>18</v>
      </c>
      <c r="E248" s="8" t="s">
        <v>158</v>
      </c>
      <c r="F248" s="39">
        <v>5</v>
      </c>
      <c r="G248" s="39">
        <v>21.72</v>
      </c>
      <c r="H248" s="39">
        <v>26.6</v>
      </c>
      <c r="I248" s="40">
        <v>108.6</v>
      </c>
      <c r="J248" s="41">
        <v>133</v>
      </c>
      <c r="K248" s="41">
        <f>0</f>
        <v>0</v>
      </c>
      <c r="L248" s="2">
        <f>0</f>
        <v>0</v>
      </c>
      <c r="M248" s="2"/>
      <c r="N248" s="2">
        <f t="shared" ref="N248" si="105">F248</f>
        <v>5</v>
      </c>
      <c r="O248" s="2"/>
      <c r="P248" s="2"/>
      <c r="Q248" s="42">
        <f t="shared" si="98"/>
        <v>5</v>
      </c>
      <c r="R248" s="43">
        <f t="shared" si="100"/>
        <v>1</v>
      </c>
      <c r="S248" s="44"/>
      <c r="T248" s="44"/>
      <c r="U248" s="44">
        <f t="shared" si="94"/>
        <v>5</v>
      </c>
      <c r="V248" s="45">
        <f t="shared" si="95"/>
        <v>0</v>
      </c>
      <c r="W248" s="45">
        <f t="shared" si="96"/>
        <v>0</v>
      </c>
      <c r="X248" s="45">
        <f t="shared" si="97"/>
        <v>133</v>
      </c>
    </row>
    <row r="249" spans="1:24" ht="36" x14ac:dyDescent="0.2">
      <c r="A249" s="7" t="s">
        <v>596</v>
      </c>
      <c r="B249" s="8" t="s">
        <v>597</v>
      </c>
      <c r="C249" s="7" t="s">
        <v>598</v>
      </c>
      <c r="D249" s="8" t="s">
        <v>18</v>
      </c>
      <c r="E249" s="8" t="s">
        <v>158</v>
      </c>
      <c r="F249" s="39">
        <v>11</v>
      </c>
      <c r="G249" s="39">
        <v>37.15</v>
      </c>
      <c r="H249" s="39">
        <v>45.5</v>
      </c>
      <c r="I249" s="40">
        <v>408.65</v>
      </c>
      <c r="J249" s="41">
        <v>500.5</v>
      </c>
      <c r="K249" s="41">
        <f>0</f>
        <v>0</v>
      </c>
      <c r="L249" s="2">
        <f>0</f>
        <v>0</v>
      </c>
      <c r="M249" s="2"/>
      <c r="N249" s="2"/>
      <c r="O249" s="2"/>
      <c r="P249" s="2">
        <v>11</v>
      </c>
      <c r="Q249" s="42">
        <f>K249+L249+M249+N249+O249+P249</f>
        <v>11</v>
      </c>
      <c r="R249" s="43">
        <f>Q249/F249</f>
        <v>1</v>
      </c>
      <c r="S249" s="44"/>
      <c r="T249" s="44"/>
      <c r="U249" s="44">
        <f t="shared" si="94"/>
        <v>11</v>
      </c>
      <c r="V249" s="45">
        <f t="shared" si="95"/>
        <v>0</v>
      </c>
      <c r="W249" s="45">
        <f t="shared" si="96"/>
        <v>0</v>
      </c>
      <c r="X249" s="45">
        <f t="shared" si="97"/>
        <v>500.5</v>
      </c>
    </row>
    <row r="250" spans="1:24" ht="24" x14ac:dyDescent="0.2">
      <c r="A250" s="7" t="s">
        <v>599</v>
      </c>
      <c r="B250" s="8" t="s">
        <v>600</v>
      </c>
      <c r="C250" s="7" t="s">
        <v>601</v>
      </c>
      <c r="D250" s="8" t="s">
        <v>18</v>
      </c>
      <c r="E250" s="8" t="s">
        <v>158</v>
      </c>
      <c r="F250" s="39">
        <v>14</v>
      </c>
      <c r="G250" s="39">
        <v>20.16</v>
      </c>
      <c r="H250" s="39">
        <v>24.69</v>
      </c>
      <c r="I250" s="40">
        <v>282.24</v>
      </c>
      <c r="J250" s="41">
        <v>345.66</v>
      </c>
      <c r="K250" s="41">
        <f>0</f>
        <v>0</v>
      </c>
      <c r="L250" s="2">
        <f>0</f>
        <v>0</v>
      </c>
      <c r="M250" s="2"/>
      <c r="N250" s="2"/>
      <c r="O250" s="2"/>
      <c r="P250" s="2"/>
      <c r="Q250" s="42">
        <f t="shared" si="98"/>
        <v>0</v>
      </c>
      <c r="R250" s="43">
        <f t="shared" si="100"/>
        <v>0</v>
      </c>
      <c r="S250" s="44"/>
      <c r="T250" s="44"/>
      <c r="U250" s="44">
        <f t="shared" si="94"/>
        <v>14</v>
      </c>
      <c r="V250" s="45">
        <f t="shared" si="95"/>
        <v>0</v>
      </c>
      <c r="W250" s="45">
        <f t="shared" si="96"/>
        <v>0</v>
      </c>
      <c r="X250" s="45">
        <f t="shared" si="97"/>
        <v>345.66</v>
      </c>
    </row>
    <row r="251" spans="1:24" ht="24" x14ac:dyDescent="0.2">
      <c r="A251" s="7" t="s">
        <v>602</v>
      </c>
      <c r="B251" s="8" t="s">
        <v>603</v>
      </c>
      <c r="C251" s="7" t="s">
        <v>604</v>
      </c>
      <c r="D251" s="8" t="s">
        <v>224</v>
      </c>
      <c r="E251" s="8" t="s">
        <v>357</v>
      </c>
      <c r="F251" s="39">
        <v>8</v>
      </c>
      <c r="G251" s="39">
        <v>18.82</v>
      </c>
      <c r="H251" s="39">
        <v>23.05</v>
      </c>
      <c r="I251" s="40">
        <v>150.56</v>
      </c>
      <c r="J251" s="41">
        <v>184.4</v>
      </c>
      <c r="K251" s="41">
        <f>0</f>
        <v>0</v>
      </c>
      <c r="L251" s="2">
        <f>0</f>
        <v>0</v>
      </c>
      <c r="M251" s="2"/>
      <c r="N251" s="2"/>
      <c r="O251" s="2"/>
      <c r="P251" s="2"/>
      <c r="Q251" s="42">
        <f t="shared" si="98"/>
        <v>0</v>
      </c>
      <c r="R251" s="43">
        <f t="shared" si="100"/>
        <v>0</v>
      </c>
      <c r="S251" s="44"/>
      <c r="T251" s="44"/>
      <c r="U251" s="44">
        <f t="shared" si="94"/>
        <v>8</v>
      </c>
      <c r="V251" s="45">
        <f t="shared" si="95"/>
        <v>0</v>
      </c>
      <c r="W251" s="45">
        <f t="shared" si="96"/>
        <v>0</v>
      </c>
      <c r="X251" s="45">
        <f t="shared" si="97"/>
        <v>184.4</v>
      </c>
    </row>
    <row r="252" spans="1:24" ht="24" x14ac:dyDescent="0.2">
      <c r="A252" s="7" t="s">
        <v>605</v>
      </c>
      <c r="B252" s="8" t="s">
        <v>606</v>
      </c>
      <c r="C252" s="7" t="s">
        <v>607</v>
      </c>
      <c r="D252" s="8" t="s">
        <v>18</v>
      </c>
      <c r="E252" s="8" t="s">
        <v>158</v>
      </c>
      <c r="F252" s="39">
        <v>2</v>
      </c>
      <c r="G252" s="39">
        <v>10.83</v>
      </c>
      <c r="H252" s="39">
        <v>13.26</v>
      </c>
      <c r="I252" s="40">
        <v>21.66</v>
      </c>
      <c r="J252" s="41">
        <v>26.52</v>
      </c>
      <c r="K252" s="41">
        <f>0</f>
        <v>0</v>
      </c>
      <c r="L252" s="2">
        <f>0</f>
        <v>0</v>
      </c>
      <c r="M252" s="2"/>
      <c r="N252" s="2"/>
      <c r="O252" s="2"/>
      <c r="P252" s="2"/>
      <c r="Q252" s="42">
        <f t="shared" si="98"/>
        <v>0</v>
      </c>
      <c r="R252" s="43">
        <f t="shared" si="100"/>
        <v>0</v>
      </c>
      <c r="S252" s="44"/>
      <c r="T252" s="44"/>
      <c r="U252" s="44">
        <f t="shared" si="94"/>
        <v>2</v>
      </c>
      <c r="V252" s="45">
        <f t="shared" si="95"/>
        <v>0</v>
      </c>
      <c r="W252" s="45">
        <f t="shared" si="96"/>
        <v>0</v>
      </c>
      <c r="X252" s="45">
        <f t="shared" si="97"/>
        <v>26.52</v>
      </c>
    </row>
    <row r="253" spans="1:24" ht="36" x14ac:dyDescent="0.2">
      <c r="A253" s="7" t="s">
        <v>608</v>
      </c>
      <c r="B253" s="8" t="s">
        <v>609</v>
      </c>
      <c r="C253" s="7" t="s">
        <v>610</v>
      </c>
      <c r="D253" s="8" t="s">
        <v>18</v>
      </c>
      <c r="E253" s="8" t="s">
        <v>158</v>
      </c>
      <c r="F253" s="39">
        <v>22</v>
      </c>
      <c r="G253" s="39">
        <v>8.09</v>
      </c>
      <c r="H253" s="39">
        <v>9.91</v>
      </c>
      <c r="I253" s="40">
        <v>177.98</v>
      </c>
      <c r="J253" s="41">
        <v>218.02</v>
      </c>
      <c r="K253" s="41">
        <f>0</f>
        <v>0</v>
      </c>
      <c r="L253" s="2">
        <f>0</f>
        <v>0</v>
      </c>
      <c r="M253" s="2"/>
      <c r="N253" s="2"/>
      <c r="O253" s="2"/>
      <c r="P253" s="2"/>
      <c r="Q253" s="42">
        <f t="shared" si="98"/>
        <v>0</v>
      </c>
      <c r="R253" s="43">
        <f t="shared" si="100"/>
        <v>0</v>
      </c>
      <c r="S253" s="44"/>
      <c r="T253" s="44"/>
      <c r="U253" s="44">
        <f t="shared" si="94"/>
        <v>22</v>
      </c>
      <c r="V253" s="45">
        <f t="shared" si="95"/>
        <v>0</v>
      </c>
      <c r="W253" s="45">
        <f t="shared" si="96"/>
        <v>0</v>
      </c>
      <c r="X253" s="45">
        <f t="shared" si="97"/>
        <v>218.02</v>
      </c>
    </row>
    <row r="254" spans="1:24" ht="36" x14ac:dyDescent="0.2">
      <c r="A254" s="7" t="s">
        <v>611</v>
      </c>
      <c r="B254" s="8" t="s">
        <v>612</v>
      </c>
      <c r="C254" s="7" t="s">
        <v>613</v>
      </c>
      <c r="D254" s="8" t="s">
        <v>18</v>
      </c>
      <c r="E254" s="8" t="s">
        <v>158</v>
      </c>
      <c r="F254" s="39">
        <v>2</v>
      </c>
      <c r="G254" s="39">
        <v>47.69</v>
      </c>
      <c r="H254" s="39">
        <v>58.41</v>
      </c>
      <c r="I254" s="40">
        <v>95.38</v>
      </c>
      <c r="J254" s="41">
        <v>116.82</v>
      </c>
      <c r="K254" s="41">
        <f>0</f>
        <v>0</v>
      </c>
      <c r="L254" s="2">
        <f>0</f>
        <v>0</v>
      </c>
      <c r="M254" s="2"/>
      <c r="N254" s="2"/>
      <c r="O254" s="2"/>
      <c r="P254" s="2"/>
      <c r="Q254" s="42">
        <f t="shared" si="98"/>
        <v>0</v>
      </c>
      <c r="R254" s="43">
        <f t="shared" si="100"/>
        <v>0</v>
      </c>
      <c r="S254" s="44"/>
      <c r="T254" s="44"/>
      <c r="U254" s="44">
        <f t="shared" si="94"/>
        <v>2</v>
      </c>
      <c r="V254" s="45">
        <f t="shared" si="95"/>
        <v>0</v>
      </c>
      <c r="W254" s="45">
        <f t="shared" si="96"/>
        <v>0</v>
      </c>
      <c r="X254" s="45">
        <f t="shared" si="97"/>
        <v>116.82</v>
      </c>
    </row>
    <row r="255" spans="1:24" ht="24" x14ac:dyDescent="0.2">
      <c r="A255" s="7" t="s">
        <v>614</v>
      </c>
      <c r="B255" s="8" t="s">
        <v>615</v>
      </c>
      <c r="C255" s="7" t="s">
        <v>616</v>
      </c>
      <c r="D255" s="8" t="s">
        <v>18</v>
      </c>
      <c r="E255" s="8" t="s">
        <v>158</v>
      </c>
      <c r="F255" s="39">
        <v>7</v>
      </c>
      <c r="G255" s="39">
        <v>43.34</v>
      </c>
      <c r="H255" s="39">
        <v>53.08</v>
      </c>
      <c r="I255" s="40">
        <v>303.38</v>
      </c>
      <c r="J255" s="41">
        <v>371.56</v>
      </c>
      <c r="K255" s="41">
        <f>0</f>
        <v>0</v>
      </c>
      <c r="L255" s="2">
        <f>0</f>
        <v>0</v>
      </c>
      <c r="M255" s="2"/>
      <c r="N255" s="2">
        <f>F255</f>
        <v>7</v>
      </c>
      <c r="O255" s="2"/>
      <c r="P255" s="2"/>
      <c r="Q255" s="42">
        <f t="shared" si="98"/>
        <v>7</v>
      </c>
      <c r="R255" s="43">
        <f t="shared" si="100"/>
        <v>1</v>
      </c>
      <c r="S255" s="44"/>
      <c r="T255" s="44"/>
      <c r="U255" s="44">
        <f t="shared" si="94"/>
        <v>7</v>
      </c>
      <c r="V255" s="45">
        <f t="shared" si="95"/>
        <v>0</v>
      </c>
      <c r="W255" s="45">
        <f t="shared" si="96"/>
        <v>0</v>
      </c>
      <c r="X255" s="45">
        <f t="shared" si="97"/>
        <v>371.56</v>
      </c>
    </row>
    <row r="256" spans="1:24" ht="48" x14ac:dyDescent="0.2">
      <c r="A256" s="7" t="s">
        <v>617</v>
      </c>
      <c r="B256" s="8" t="s">
        <v>618</v>
      </c>
      <c r="C256" s="7" t="s">
        <v>619</v>
      </c>
      <c r="D256" s="8" t="s">
        <v>18</v>
      </c>
      <c r="E256" s="8" t="s">
        <v>158</v>
      </c>
      <c r="F256" s="39">
        <v>1</v>
      </c>
      <c r="G256" s="39">
        <v>214.69</v>
      </c>
      <c r="H256" s="39">
        <v>262.93</v>
      </c>
      <c r="I256" s="40">
        <v>214.69</v>
      </c>
      <c r="J256" s="41">
        <v>262.93</v>
      </c>
      <c r="K256" s="41">
        <f>0</f>
        <v>0</v>
      </c>
      <c r="L256" s="2">
        <f>0</f>
        <v>0</v>
      </c>
      <c r="M256" s="2"/>
      <c r="N256" s="2">
        <f>F256</f>
        <v>1</v>
      </c>
      <c r="O256" s="2"/>
      <c r="P256" s="2"/>
      <c r="Q256" s="42">
        <f t="shared" si="98"/>
        <v>1</v>
      </c>
      <c r="R256" s="43">
        <f t="shared" si="100"/>
        <v>1</v>
      </c>
      <c r="S256" s="44"/>
      <c r="T256" s="44"/>
      <c r="U256" s="44">
        <f t="shared" si="94"/>
        <v>1</v>
      </c>
      <c r="V256" s="45">
        <f t="shared" si="95"/>
        <v>0</v>
      </c>
      <c r="W256" s="45">
        <f t="shared" si="96"/>
        <v>0</v>
      </c>
      <c r="X256" s="45">
        <f t="shared" si="97"/>
        <v>262.93</v>
      </c>
    </row>
    <row r="257" spans="1:24" x14ac:dyDescent="0.2">
      <c r="A257" s="48" t="s">
        <v>620</v>
      </c>
      <c r="B257" s="269" t="s">
        <v>621</v>
      </c>
      <c r="C257" s="269"/>
      <c r="D257" s="269"/>
      <c r="E257" s="269"/>
      <c r="F257" s="269"/>
      <c r="G257" s="269"/>
      <c r="H257" s="269"/>
      <c r="I257" s="49">
        <v>12216.92</v>
      </c>
      <c r="J257" s="50">
        <v>14962.02</v>
      </c>
      <c r="K257" s="51"/>
      <c r="L257" s="51"/>
      <c r="M257" s="51"/>
      <c r="N257" s="51"/>
      <c r="O257" s="51"/>
      <c r="P257" s="51"/>
      <c r="Q257" s="42"/>
      <c r="R257" s="43"/>
      <c r="S257" s="44"/>
      <c r="T257" s="44"/>
      <c r="U257" s="44"/>
      <c r="V257" s="53">
        <f>SUM(V258:V263)</f>
        <v>0</v>
      </c>
      <c r="W257" s="53">
        <f>SUM(W258:W263)</f>
        <v>1238.24</v>
      </c>
      <c r="X257" s="53">
        <f>SUM(X258:X263)</f>
        <v>13723.779999999999</v>
      </c>
    </row>
    <row r="258" spans="1:24" ht="36" x14ac:dyDescent="0.2">
      <c r="A258" s="7" t="s">
        <v>622</v>
      </c>
      <c r="B258" s="8" t="s">
        <v>623</v>
      </c>
      <c r="C258" s="7" t="s">
        <v>624</v>
      </c>
      <c r="D258" s="8" t="s">
        <v>18</v>
      </c>
      <c r="E258" s="8" t="s">
        <v>158</v>
      </c>
      <c r="F258" s="39">
        <v>4</v>
      </c>
      <c r="G258" s="39">
        <v>694.32</v>
      </c>
      <c r="H258" s="39">
        <v>850.33</v>
      </c>
      <c r="I258" s="40">
        <v>2777.28</v>
      </c>
      <c r="J258" s="41">
        <v>3401.32</v>
      </c>
      <c r="K258" s="41">
        <f>0</f>
        <v>0</v>
      </c>
      <c r="L258" s="2">
        <f>0</f>
        <v>0</v>
      </c>
      <c r="M258" s="2"/>
      <c r="N258" s="2"/>
      <c r="O258" s="2"/>
      <c r="P258" s="2"/>
      <c r="Q258" s="42">
        <f t="shared" si="98"/>
        <v>0</v>
      </c>
      <c r="R258" s="43">
        <f t="shared" ref="R258:R263" si="106">Q258/F258</f>
        <v>0</v>
      </c>
      <c r="S258" s="44"/>
      <c r="T258" s="44"/>
      <c r="U258" s="44">
        <f t="shared" si="94"/>
        <v>4</v>
      </c>
      <c r="V258" s="45">
        <f t="shared" si="95"/>
        <v>0</v>
      </c>
      <c r="W258" s="45">
        <f t="shared" si="96"/>
        <v>0</v>
      </c>
      <c r="X258" s="45">
        <f t="shared" si="97"/>
        <v>3401.32</v>
      </c>
    </row>
    <row r="259" spans="1:24" ht="36" x14ac:dyDescent="0.2">
      <c r="A259" s="7" t="s">
        <v>625</v>
      </c>
      <c r="B259" s="8" t="s">
        <v>626</v>
      </c>
      <c r="C259" s="7" t="s">
        <v>627</v>
      </c>
      <c r="D259" s="8" t="s">
        <v>18</v>
      </c>
      <c r="E259" s="8" t="s">
        <v>158</v>
      </c>
      <c r="F259" s="39">
        <v>4</v>
      </c>
      <c r="G259" s="39">
        <v>252.76</v>
      </c>
      <c r="H259" s="39">
        <v>309.56</v>
      </c>
      <c r="I259" s="40">
        <v>1011.04</v>
      </c>
      <c r="J259" s="41">
        <v>1238.24</v>
      </c>
      <c r="K259" s="41">
        <f>0</f>
        <v>0</v>
      </c>
      <c r="L259" s="2">
        <f>0</f>
        <v>0</v>
      </c>
      <c r="M259" s="2"/>
      <c r="N259" s="2"/>
      <c r="O259" s="2"/>
      <c r="P259" s="2"/>
      <c r="Q259" s="42">
        <f t="shared" si="98"/>
        <v>0</v>
      </c>
      <c r="R259" s="43">
        <f t="shared" si="106"/>
        <v>0</v>
      </c>
      <c r="S259" s="44"/>
      <c r="T259" s="44">
        <f>F259</f>
        <v>4</v>
      </c>
      <c r="U259" s="44">
        <f t="shared" si="94"/>
        <v>0</v>
      </c>
      <c r="V259" s="45">
        <f t="shared" si="95"/>
        <v>0</v>
      </c>
      <c r="W259" s="45">
        <f t="shared" si="96"/>
        <v>1238.24</v>
      </c>
      <c r="X259" s="45">
        <f t="shared" si="97"/>
        <v>0</v>
      </c>
    </row>
    <row r="260" spans="1:24" ht="60" x14ac:dyDescent="0.2">
      <c r="A260" s="7" t="s">
        <v>628</v>
      </c>
      <c r="B260" s="8" t="s">
        <v>629</v>
      </c>
      <c r="C260" s="7" t="s">
        <v>630</v>
      </c>
      <c r="D260" s="8" t="s">
        <v>18</v>
      </c>
      <c r="E260" s="8" t="s">
        <v>158</v>
      </c>
      <c r="F260" s="39">
        <v>4</v>
      </c>
      <c r="G260" s="39">
        <v>658.03</v>
      </c>
      <c r="H260" s="39">
        <v>805.89</v>
      </c>
      <c r="I260" s="40">
        <v>2632.12</v>
      </c>
      <c r="J260" s="41">
        <v>3223.56</v>
      </c>
      <c r="K260" s="41">
        <f>0</f>
        <v>0</v>
      </c>
      <c r="L260" s="2">
        <f>0</f>
        <v>0</v>
      </c>
      <c r="M260" s="2"/>
      <c r="N260" s="2"/>
      <c r="O260" s="2"/>
      <c r="P260" s="2">
        <v>4</v>
      </c>
      <c r="Q260" s="42">
        <f t="shared" si="98"/>
        <v>4</v>
      </c>
      <c r="R260" s="43">
        <f t="shared" si="106"/>
        <v>1</v>
      </c>
      <c r="S260" s="44"/>
      <c r="T260" s="44"/>
      <c r="U260" s="44">
        <f t="shared" si="94"/>
        <v>4</v>
      </c>
      <c r="V260" s="45">
        <f t="shared" si="95"/>
        <v>0</v>
      </c>
      <c r="W260" s="45">
        <f t="shared" si="96"/>
        <v>0</v>
      </c>
      <c r="X260" s="45">
        <f t="shared" si="97"/>
        <v>3223.56</v>
      </c>
    </row>
    <row r="261" spans="1:24" ht="36" x14ac:dyDescent="0.2">
      <c r="A261" s="7" t="s">
        <v>631</v>
      </c>
      <c r="B261" s="8" t="s">
        <v>632</v>
      </c>
      <c r="C261" s="7" t="s">
        <v>633</v>
      </c>
      <c r="D261" s="8" t="s">
        <v>18</v>
      </c>
      <c r="E261" s="8" t="s">
        <v>158</v>
      </c>
      <c r="F261" s="39">
        <v>4</v>
      </c>
      <c r="G261" s="39">
        <v>54.17</v>
      </c>
      <c r="H261" s="39">
        <v>66.34</v>
      </c>
      <c r="I261" s="40">
        <v>216.68</v>
      </c>
      <c r="J261" s="41">
        <v>265.36</v>
      </c>
      <c r="K261" s="41">
        <f>0</f>
        <v>0</v>
      </c>
      <c r="L261" s="2">
        <f>0</f>
        <v>0</v>
      </c>
      <c r="M261" s="2"/>
      <c r="N261" s="2"/>
      <c r="O261" s="2"/>
      <c r="P261" s="2"/>
      <c r="Q261" s="42">
        <f t="shared" si="98"/>
        <v>0</v>
      </c>
      <c r="R261" s="43">
        <f t="shared" si="106"/>
        <v>0</v>
      </c>
      <c r="S261" s="44"/>
      <c r="T261" s="44"/>
      <c r="U261" s="44">
        <f t="shared" si="94"/>
        <v>4</v>
      </c>
      <c r="V261" s="45">
        <f t="shared" si="95"/>
        <v>0</v>
      </c>
      <c r="W261" s="45">
        <f t="shared" si="96"/>
        <v>0</v>
      </c>
      <c r="X261" s="45">
        <f t="shared" si="97"/>
        <v>265.36</v>
      </c>
    </row>
    <row r="262" spans="1:24" ht="24" x14ac:dyDescent="0.2">
      <c r="A262" s="7" t="s">
        <v>634</v>
      </c>
      <c r="B262" s="8" t="s">
        <v>635</v>
      </c>
      <c r="C262" s="7" t="s">
        <v>636</v>
      </c>
      <c r="D262" s="8" t="s">
        <v>18</v>
      </c>
      <c r="E262" s="8" t="s">
        <v>158</v>
      </c>
      <c r="F262" s="39">
        <v>4</v>
      </c>
      <c r="G262" s="39">
        <v>24.88</v>
      </c>
      <c r="H262" s="39">
        <v>30.47</v>
      </c>
      <c r="I262" s="40">
        <v>99.52</v>
      </c>
      <c r="J262" s="41">
        <v>121.88</v>
      </c>
      <c r="K262" s="41">
        <f>0</f>
        <v>0</v>
      </c>
      <c r="L262" s="2">
        <f>0</f>
        <v>0</v>
      </c>
      <c r="M262" s="2"/>
      <c r="N262" s="2"/>
      <c r="O262" s="2"/>
      <c r="P262" s="2"/>
      <c r="Q262" s="42">
        <f t="shared" si="98"/>
        <v>0</v>
      </c>
      <c r="R262" s="43">
        <f t="shared" si="106"/>
        <v>0</v>
      </c>
      <c r="S262" s="44"/>
      <c r="T262" s="44"/>
      <c r="U262" s="44">
        <f t="shared" si="94"/>
        <v>4</v>
      </c>
      <c r="V262" s="45">
        <f t="shared" si="95"/>
        <v>0</v>
      </c>
      <c r="W262" s="45">
        <f t="shared" si="96"/>
        <v>0</v>
      </c>
      <c r="X262" s="45">
        <f t="shared" si="97"/>
        <v>121.88</v>
      </c>
    </row>
    <row r="263" spans="1:24" ht="36" x14ac:dyDescent="0.2">
      <c r="A263" s="7" t="s">
        <v>637</v>
      </c>
      <c r="B263" s="8" t="s">
        <v>638</v>
      </c>
      <c r="C263" s="7" t="s">
        <v>639</v>
      </c>
      <c r="D263" s="8" t="s">
        <v>18</v>
      </c>
      <c r="E263" s="8" t="s">
        <v>158</v>
      </c>
      <c r="F263" s="39">
        <v>18</v>
      </c>
      <c r="G263" s="39">
        <v>304.45999999999998</v>
      </c>
      <c r="H263" s="39">
        <v>372.87</v>
      </c>
      <c r="I263" s="40">
        <v>5480.28</v>
      </c>
      <c r="J263" s="41">
        <v>6711.66</v>
      </c>
      <c r="K263" s="41">
        <f>0</f>
        <v>0</v>
      </c>
      <c r="L263" s="2">
        <f>0</f>
        <v>0</v>
      </c>
      <c r="M263" s="2"/>
      <c r="N263" s="2"/>
      <c r="O263" s="2"/>
      <c r="P263" s="2"/>
      <c r="Q263" s="42">
        <f t="shared" si="98"/>
        <v>0</v>
      </c>
      <c r="R263" s="43">
        <f t="shared" si="106"/>
        <v>0</v>
      </c>
      <c r="S263" s="44"/>
      <c r="T263" s="44"/>
      <c r="U263" s="44">
        <f t="shared" si="94"/>
        <v>18</v>
      </c>
      <c r="V263" s="45">
        <f t="shared" si="95"/>
        <v>0</v>
      </c>
      <c r="W263" s="45">
        <f t="shared" si="96"/>
        <v>0</v>
      </c>
      <c r="X263" s="45">
        <f t="shared" si="97"/>
        <v>6711.66</v>
      </c>
    </row>
    <row r="264" spans="1:24" x14ac:dyDescent="0.2">
      <c r="A264" s="48" t="s">
        <v>640</v>
      </c>
      <c r="B264" s="269" t="s">
        <v>641</v>
      </c>
      <c r="C264" s="269"/>
      <c r="D264" s="269"/>
      <c r="E264" s="269"/>
      <c r="F264" s="269"/>
      <c r="G264" s="269"/>
      <c r="H264" s="269"/>
      <c r="I264" s="49">
        <v>7425.38</v>
      </c>
      <c r="J264" s="50">
        <v>9093.89</v>
      </c>
      <c r="K264" s="51"/>
      <c r="L264" s="51"/>
      <c r="M264" s="51"/>
      <c r="N264" s="51"/>
      <c r="O264" s="51"/>
      <c r="P264" s="51"/>
      <c r="Q264" s="42"/>
      <c r="R264" s="43"/>
      <c r="S264" s="44"/>
      <c r="T264" s="44"/>
      <c r="U264" s="44"/>
      <c r="V264" s="53">
        <f>SUM(V265:V272)</f>
        <v>0</v>
      </c>
      <c r="W264" s="53">
        <f t="shared" ref="W264" si="107">SUM(W265:W272)</f>
        <v>619.12</v>
      </c>
      <c r="X264" s="53">
        <f>SUM(X265:X272)</f>
        <v>8474.7699999999986</v>
      </c>
    </row>
    <row r="265" spans="1:24" ht="24" x14ac:dyDescent="0.2">
      <c r="A265" s="7" t="s">
        <v>642</v>
      </c>
      <c r="B265" s="8" t="s">
        <v>643</v>
      </c>
      <c r="C265" s="7" t="s">
        <v>644</v>
      </c>
      <c r="D265" s="8" t="s">
        <v>18</v>
      </c>
      <c r="E265" s="8" t="s">
        <v>158</v>
      </c>
      <c r="F265" s="39">
        <v>2</v>
      </c>
      <c r="G265" s="39">
        <v>502.28</v>
      </c>
      <c r="H265" s="39">
        <v>615.14</v>
      </c>
      <c r="I265" s="40">
        <v>1004.56</v>
      </c>
      <c r="J265" s="41">
        <v>1230.28</v>
      </c>
      <c r="K265" s="41">
        <f>0</f>
        <v>0</v>
      </c>
      <c r="L265" s="2">
        <f>0</f>
        <v>0</v>
      </c>
      <c r="M265" s="2"/>
      <c r="N265" s="2"/>
      <c r="O265" s="2"/>
      <c r="P265" s="2"/>
      <c r="Q265" s="42">
        <f t="shared" si="98"/>
        <v>0</v>
      </c>
      <c r="R265" s="43">
        <f t="shared" ref="R265:R272" si="108">Q265/F265</f>
        <v>0</v>
      </c>
      <c r="S265" s="44"/>
      <c r="T265" s="44"/>
      <c r="U265" s="44">
        <f t="shared" si="94"/>
        <v>2</v>
      </c>
      <c r="V265" s="45">
        <f t="shared" si="95"/>
        <v>0</v>
      </c>
      <c r="W265" s="45">
        <f t="shared" si="96"/>
        <v>0</v>
      </c>
      <c r="X265" s="45">
        <f t="shared" si="97"/>
        <v>1230.28</v>
      </c>
    </row>
    <row r="266" spans="1:24" ht="36" x14ac:dyDescent="0.2">
      <c r="A266" s="7" t="s">
        <v>645</v>
      </c>
      <c r="B266" s="8" t="s">
        <v>626</v>
      </c>
      <c r="C266" s="7" t="s">
        <v>627</v>
      </c>
      <c r="D266" s="8" t="s">
        <v>18</v>
      </c>
      <c r="E266" s="8" t="s">
        <v>158</v>
      </c>
      <c r="F266" s="39">
        <v>2</v>
      </c>
      <c r="G266" s="39">
        <v>252.76</v>
      </c>
      <c r="H266" s="39">
        <v>309.56</v>
      </c>
      <c r="I266" s="40">
        <v>505.52</v>
      </c>
      <c r="J266" s="41">
        <v>619.12</v>
      </c>
      <c r="K266" s="41">
        <f>0</f>
        <v>0</v>
      </c>
      <c r="L266" s="2">
        <f>0</f>
        <v>0</v>
      </c>
      <c r="M266" s="2"/>
      <c r="N266" s="2"/>
      <c r="O266" s="2"/>
      <c r="P266" s="2"/>
      <c r="Q266" s="42">
        <f t="shared" si="98"/>
        <v>0</v>
      </c>
      <c r="R266" s="43">
        <f t="shared" si="108"/>
        <v>0</v>
      </c>
      <c r="S266" s="44"/>
      <c r="T266" s="44">
        <f>F266</f>
        <v>2</v>
      </c>
      <c r="U266" s="44">
        <f>F266+S266-T266</f>
        <v>0</v>
      </c>
      <c r="V266" s="45">
        <f t="shared" si="95"/>
        <v>0</v>
      </c>
      <c r="W266" s="45">
        <f t="shared" si="96"/>
        <v>619.12</v>
      </c>
      <c r="X266" s="45">
        <f t="shared" si="97"/>
        <v>0</v>
      </c>
    </row>
    <row r="267" spans="1:24" ht="36" x14ac:dyDescent="0.2">
      <c r="A267" s="7" t="s">
        <v>646</v>
      </c>
      <c r="B267" s="8" t="s">
        <v>647</v>
      </c>
      <c r="C267" s="7" t="s">
        <v>648</v>
      </c>
      <c r="D267" s="8" t="s">
        <v>18</v>
      </c>
      <c r="E267" s="8" t="s">
        <v>158</v>
      </c>
      <c r="F267" s="39">
        <v>5</v>
      </c>
      <c r="G267" s="39">
        <v>322.24</v>
      </c>
      <c r="H267" s="39">
        <v>394.65</v>
      </c>
      <c r="I267" s="40">
        <v>1611.2</v>
      </c>
      <c r="J267" s="41">
        <v>1973.25</v>
      </c>
      <c r="K267" s="41">
        <f>0</f>
        <v>0</v>
      </c>
      <c r="L267" s="2">
        <f>0</f>
        <v>0</v>
      </c>
      <c r="M267" s="2"/>
      <c r="N267" s="2"/>
      <c r="O267" s="2"/>
      <c r="P267" s="2">
        <v>5</v>
      </c>
      <c r="Q267" s="42">
        <f t="shared" si="98"/>
        <v>5</v>
      </c>
      <c r="R267" s="43">
        <f t="shared" si="108"/>
        <v>1</v>
      </c>
      <c r="S267" s="44"/>
      <c r="T267" s="44"/>
      <c r="U267" s="44">
        <f t="shared" si="94"/>
        <v>5</v>
      </c>
      <c r="V267" s="45">
        <f t="shared" si="95"/>
        <v>0</v>
      </c>
      <c r="W267" s="45">
        <f t="shared" si="96"/>
        <v>0</v>
      </c>
      <c r="X267" s="45">
        <f t="shared" si="97"/>
        <v>1973.25</v>
      </c>
    </row>
    <row r="268" spans="1:24" ht="36" x14ac:dyDescent="0.2">
      <c r="A268" s="7" t="s">
        <v>649</v>
      </c>
      <c r="B268" s="8" t="s">
        <v>632</v>
      </c>
      <c r="C268" s="7" t="s">
        <v>633</v>
      </c>
      <c r="D268" s="8" t="s">
        <v>18</v>
      </c>
      <c r="E268" s="8" t="s">
        <v>158</v>
      </c>
      <c r="F268" s="39">
        <v>5</v>
      </c>
      <c r="G268" s="39">
        <v>54.17</v>
      </c>
      <c r="H268" s="39">
        <v>66.34</v>
      </c>
      <c r="I268" s="40">
        <v>270.85000000000002</v>
      </c>
      <c r="J268" s="41">
        <v>331.7</v>
      </c>
      <c r="K268" s="41">
        <f>0</f>
        <v>0</v>
      </c>
      <c r="L268" s="2">
        <f>0</f>
        <v>0</v>
      </c>
      <c r="M268" s="2"/>
      <c r="N268" s="2"/>
      <c r="O268" s="2"/>
      <c r="P268" s="2"/>
      <c r="Q268" s="42">
        <f t="shared" si="98"/>
        <v>0</v>
      </c>
      <c r="R268" s="43">
        <f t="shared" si="108"/>
        <v>0</v>
      </c>
      <c r="S268" s="44"/>
      <c r="T268" s="44"/>
      <c r="U268" s="44">
        <f t="shared" si="94"/>
        <v>5</v>
      </c>
      <c r="V268" s="45">
        <f t="shared" si="95"/>
        <v>0</v>
      </c>
      <c r="W268" s="45">
        <f t="shared" si="96"/>
        <v>0</v>
      </c>
      <c r="X268" s="45">
        <f t="shared" si="97"/>
        <v>331.7</v>
      </c>
    </row>
    <row r="269" spans="1:24" ht="24" x14ac:dyDescent="0.2">
      <c r="A269" s="7" t="s">
        <v>650</v>
      </c>
      <c r="B269" s="8" t="s">
        <v>635</v>
      </c>
      <c r="C269" s="7" t="s">
        <v>636</v>
      </c>
      <c r="D269" s="8" t="s">
        <v>18</v>
      </c>
      <c r="E269" s="8" t="s">
        <v>158</v>
      </c>
      <c r="F269" s="39">
        <v>3</v>
      </c>
      <c r="G269" s="39">
        <v>24.88</v>
      </c>
      <c r="H269" s="39">
        <v>30.47</v>
      </c>
      <c r="I269" s="40">
        <v>74.64</v>
      </c>
      <c r="J269" s="41">
        <v>91.41</v>
      </c>
      <c r="K269" s="41">
        <f>0</f>
        <v>0</v>
      </c>
      <c r="L269" s="2">
        <f>0</f>
        <v>0</v>
      </c>
      <c r="M269" s="2"/>
      <c r="N269" s="2"/>
      <c r="O269" s="2"/>
      <c r="P269" s="2"/>
      <c r="Q269" s="42">
        <f t="shared" si="98"/>
        <v>0</v>
      </c>
      <c r="R269" s="43">
        <f t="shared" si="108"/>
        <v>0</v>
      </c>
      <c r="S269" s="44"/>
      <c r="T269" s="44"/>
      <c r="U269" s="44">
        <f t="shared" si="94"/>
        <v>3</v>
      </c>
      <c r="V269" s="45">
        <f t="shared" si="95"/>
        <v>0</v>
      </c>
      <c r="W269" s="45">
        <f t="shared" si="96"/>
        <v>0</v>
      </c>
      <c r="X269" s="45">
        <f t="shared" si="97"/>
        <v>91.41</v>
      </c>
    </row>
    <row r="270" spans="1:24" ht="24" x14ac:dyDescent="0.2">
      <c r="A270" s="7" t="s">
        <v>651</v>
      </c>
      <c r="B270" s="8" t="s">
        <v>652</v>
      </c>
      <c r="C270" s="7" t="s">
        <v>653</v>
      </c>
      <c r="D270" s="8" t="s">
        <v>18</v>
      </c>
      <c r="E270" s="8" t="s">
        <v>158</v>
      </c>
      <c r="F270" s="39">
        <v>2</v>
      </c>
      <c r="G270" s="39">
        <v>101.07</v>
      </c>
      <c r="H270" s="39">
        <v>123.78</v>
      </c>
      <c r="I270" s="40">
        <v>202.14</v>
      </c>
      <c r="J270" s="41">
        <v>247.56</v>
      </c>
      <c r="K270" s="41">
        <f>0</f>
        <v>0</v>
      </c>
      <c r="L270" s="2">
        <f>0</f>
        <v>0</v>
      </c>
      <c r="M270" s="2"/>
      <c r="N270" s="2"/>
      <c r="O270" s="2"/>
      <c r="P270" s="2"/>
      <c r="Q270" s="42">
        <f t="shared" si="98"/>
        <v>0</v>
      </c>
      <c r="R270" s="43">
        <f t="shared" si="108"/>
        <v>0</v>
      </c>
      <c r="S270" s="44"/>
      <c r="T270" s="44"/>
      <c r="U270" s="44">
        <f t="shared" si="94"/>
        <v>2</v>
      </c>
      <c r="V270" s="45">
        <f t="shared" si="95"/>
        <v>0</v>
      </c>
      <c r="W270" s="45">
        <f t="shared" si="96"/>
        <v>0</v>
      </c>
      <c r="X270" s="45">
        <f t="shared" si="97"/>
        <v>247.56</v>
      </c>
    </row>
    <row r="271" spans="1:24" ht="24" x14ac:dyDescent="0.2">
      <c r="A271" s="7" t="s">
        <v>654</v>
      </c>
      <c r="B271" s="8" t="s">
        <v>655</v>
      </c>
      <c r="C271" s="7" t="s">
        <v>656</v>
      </c>
      <c r="D271" s="8" t="s">
        <v>13</v>
      </c>
      <c r="E271" s="8" t="s">
        <v>14</v>
      </c>
      <c r="F271" s="39">
        <v>6.13</v>
      </c>
      <c r="G271" s="39">
        <v>437.01</v>
      </c>
      <c r="H271" s="39">
        <v>535.21</v>
      </c>
      <c r="I271" s="40">
        <v>2678.87</v>
      </c>
      <c r="J271" s="41">
        <v>3280.84</v>
      </c>
      <c r="K271" s="41">
        <f>0</f>
        <v>0</v>
      </c>
      <c r="L271" s="2">
        <f>0</f>
        <v>0</v>
      </c>
      <c r="M271" s="2"/>
      <c r="N271" s="2"/>
      <c r="O271" s="2"/>
      <c r="P271" s="2"/>
      <c r="Q271" s="42">
        <f t="shared" si="98"/>
        <v>0</v>
      </c>
      <c r="R271" s="43">
        <f t="shared" si="108"/>
        <v>0</v>
      </c>
      <c r="S271" s="44"/>
      <c r="T271" s="44"/>
      <c r="U271" s="44">
        <f t="shared" si="94"/>
        <v>6.13</v>
      </c>
      <c r="V271" s="45">
        <f t="shared" si="95"/>
        <v>0</v>
      </c>
      <c r="W271" s="45">
        <f t="shared" si="96"/>
        <v>0</v>
      </c>
      <c r="X271" s="45">
        <f t="shared" si="97"/>
        <v>3280.84</v>
      </c>
    </row>
    <row r="272" spans="1:24" ht="36" x14ac:dyDescent="0.2">
      <c r="A272" s="7" t="s">
        <v>657</v>
      </c>
      <c r="B272" s="8" t="s">
        <v>148</v>
      </c>
      <c r="C272" s="7" t="s">
        <v>149</v>
      </c>
      <c r="D272" s="8" t="s">
        <v>18</v>
      </c>
      <c r="E272" s="8" t="s">
        <v>19</v>
      </c>
      <c r="F272" s="39">
        <v>1.92</v>
      </c>
      <c r="G272" s="39">
        <v>561.25</v>
      </c>
      <c r="H272" s="39">
        <v>687.36</v>
      </c>
      <c r="I272" s="40">
        <v>1077.5999999999999</v>
      </c>
      <c r="J272" s="41">
        <v>1319.73</v>
      </c>
      <c r="K272" s="41">
        <f>0</f>
        <v>0</v>
      </c>
      <c r="L272" s="2">
        <f>0</f>
        <v>0</v>
      </c>
      <c r="M272" s="2"/>
      <c r="N272" s="2"/>
      <c r="O272" s="2"/>
      <c r="P272" s="2">
        <v>1.92</v>
      </c>
      <c r="Q272" s="42">
        <f t="shared" si="98"/>
        <v>1.92</v>
      </c>
      <c r="R272" s="43">
        <f t="shared" si="108"/>
        <v>1</v>
      </c>
      <c r="S272" s="44"/>
      <c r="T272" s="44"/>
      <c r="U272" s="44">
        <f t="shared" si="94"/>
        <v>1.92</v>
      </c>
      <c r="V272" s="45">
        <f t="shared" si="95"/>
        <v>0</v>
      </c>
      <c r="W272" s="45">
        <f t="shared" si="96"/>
        <v>0</v>
      </c>
      <c r="X272" s="45">
        <f t="shared" si="97"/>
        <v>1319.73</v>
      </c>
    </row>
    <row r="273" spans="1:24" x14ac:dyDescent="0.2">
      <c r="A273" s="48" t="s">
        <v>658</v>
      </c>
      <c r="B273" s="269" t="s">
        <v>659</v>
      </c>
      <c r="C273" s="269"/>
      <c r="D273" s="269"/>
      <c r="E273" s="269"/>
      <c r="F273" s="269"/>
      <c r="G273" s="269"/>
      <c r="H273" s="269"/>
      <c r="I273" s="49">
        <v>6073.31</v>
      </c>
      <c r="J273" s="50">
        <v>7437.98</v>
      </c>
      <c r="K273" s="51"/>
      <c r="L273" s="51"/>
      <c r="M273" s="51"/>
      <c r="N273" s="51"/>
      <c r="O273" s="51"/>
      <c r="P273" s="51"/>
      <c r="Q273" s="42"/>
      <c r="R273" s="43"/>
      <c r="S273" s="44"/>
      <c r="T273" s="44"/>
      <c r="U273" s="44"/>
      <c r="V273" s="53">
        <f>SUM(V274:V281)</f>
        <v>0</v>
      </c>
      <c r="W273" s="53">
        <f>SUM(W274:W281)</f>
        <v>928.68</v>
      </c>
      <c r="X273" s="53">
        <f>SUM(X274:X281)</f>
        <v>6509.2999999999993</v>
      </c>
    </row>
    <row r="274" spans="1:24" ht="48" x14ac:dyDescent="0.2">
      <c r="A274" s="7" t="s">
        <v>660</v>
      </c>
      <c r="B274" s="8" t="s">
        <v>661</v>
      </c>
      <c r="C274" s="7" t="s">
        <v>662</v>
      </c>
      <c r="D274" s="8" t="s">
        <v>18</v>
      </c>
      <c r="E274" s="8" t="s">
        <v>158</v>
      </c>
      <c r="F274" s="39">
        <v>3</v>
      </c>
      <c r="G274" s="39">
        <v>280.42</v>
      </c>
      <c r="H274" s="39">
        <v>343.43</v>
      </c>
      <c r="I274" s="40">
        <v>841.26</v>
      </c>
      <c r="J274" s="41">
        <v>1030.29</v>
      </c>
      <c r="K274" s="41">
        <f>0</f>
        <v>0</v>
      </c>
      <c r="L274" s="2">
        <f>0</f>
        <v>0</v>
      </c>
      <c r="M274" s="2"/>
      <c r="N274" s="2"/>
      <c r="O274" s="2"/>
      <c r="P274" s="2"/>
      <c r="Q274" s="42">
        <f t="shared" si="98"/>
        <v>0</v>
      </c>
      <c r="R274" s="43">
        <f t="shared" ref="R274:R281" si="109">Q274/F274</f>
        <v>0</v>
      </c>
      <c r="S274" s="44"/>
      <c r="T274" s="44"/>
      <c r="U274" s="44">
        <f t="shared" si="94"/>
        <v>3</v>
      </c>
      <c r="V274" s="45">
        <f t="shared" si="95"/>
        <v>0</v>
      </c>
      <c r="W274" s="45">
        <f t="shared" si="96"/>
        <v>0</v>
      </c>
      <c r="X274" s="45">
        <f t="shared" si="97"/>
        <v>1030.29</v>
      </c>
    </row>
    <row r="275" spans="1:24" ht="36" x14ac:dyDescent="0.2">
      <c r="A275" s="7" t="s">
        <v>663</v>
      </c>
      <c r="B275" s="8" t="s">
        <v>626</v>
      </c>
      <c r="C275" s="7" t="s">
        <v>627</v>
      </c>
      <c r="D275" s="8" t="s">
        <v>18</v>
      </c>
      <c r="E275" s="8" t="s">
        <v>158</v>
      </c>
      <c r="F275" s="39">
        <v>3</v>
      </c>
      <c r="G275" s="39">
        <v>252.76</v>
      </c>
      <c r="H275" s="39">
        <v>309.56</v>
      </c>
      <c r="I275" s="40">
        <v>758.28</v>
      </c>
      <c r="J275" s="41">
        <v>928.68</v>
      </c>
      <c r="K275" s="41">
        <f>0</f>
        <v>0</v>
      </c>
      <c r="L275" s="2">
        <f>0</f>
        <v>0</v>
      </c>
      <c r="M275" s="2"/>
      <c r="N275" s="2"/>
      <c r="O275" s="2"/>
      <c r="P275" s="2"/>
      <c r="Q275" s="42">
        <f t="shared" si="98"/>
        <v>0</v>
      </c>
      <c r="R275" s="43">
        <f t="shared" si="109"/>
        <v>0</v>
      </c>
      <c r="S275" s="44"/>
      <c r="T275" s="44">
        <f>F275</f>
        <v>3</v>
      </c>
      <c r="U275" s="44">
        <f t="shared" si="94"/>
        <v>0</v>
      </c>
      <c r="V275" s="45">
        <f t="shared" si="95"/>
        <v>0</v>
      </c>
      <c r="W275" s="45">
        <f t="shared" si="96"/>
        <v>928.68</v>
      </c>
      <c r="X275" s="45">
        <f t="shared" si="97"/>
        <v>0</v>
      </c>
    </row>
    <row r="276" spans="1:24" ht="36" x14ac:dyDescent="0.2">
      <c r="A276" s="7" t="s">
        <v>664</v>
      </c>
      <c r="B276" s="8" t="s">
        <v>647</v>
      </c>
      <c r="C276" s="7" t="s">
        <v>648</v>
      </c>
      <c r="D276" s="8" t="s">
        <v>18</v>
      </c>
      <c r="E276" s="8" t="s">
        <v>158</v>
      </c>
      <c r="F276" s="39">
        <v>3</v>
      </c>
      <c r="G276" s="39">
        <v>322.24</v>
      </c>
      <c r="H276" s="39">
        <v>394.65</v>
      </c>
      <c r="I276" s="40">
        <v>966.72</v>
      </c>
      <c r="J276" s="41">
        <v>1183.95</v>
      </c>
      <c r="K276" s="41">
        <f>0</f>
        <v>0</v>
      </c>
      <c r="L276" s="2">
        <f>0</f>
        <v>0</v>
      </c>
      <c r="M276" s="2"/>
      <c r="N276" s="2"/>
      <c r="O276" s="2"/>
      <c r="P276" s="2">
        <v>3</v>
      </c>
      <c r="Q276" s="42">
        <f t="shared" si="98"/>
        <v>3</v>
      </c>
      <c r="R276" s="43">
        <f t="shared" si="109"/>
        <v>1</v>
      </c>
      <c r="S276" s="44"/>
      <c r="T276" s="44"/>
      <c r="U276" s="44">
        <f t="shared" si="94"/>
        <v>3</v>
      </c>
      <c r="V276" s="45">
        <f t="shared" si="95"/>
        <v>0</v>
      </c>
      <c r="W276" s="45">
        <f t="shared" si="96"/>
        <v>0</v>
      </c>
      <c r="X276" s="45">
        <f t="shared" si="97"/>
        <v>1183.95</v>
      </c>
    </row>
    <row r="277" spans="1:24" ht="36" x14ac:dyDescent="0.2">
      <c r="A277" s="7" t="s">
        <v>665</v>
      </c>
      <c r="B277" s="8" t="s">
        <v>632</v>
      </c>
      <c r="C277" s="7" t="s">
        <v>633</v>
      </c>
      <c r="D277" s="8" t="s">
        <v>18</v>
      </c>
      <c r="E277" s="8" t="s">
        <v>158</v>
      </c>
      <c r="F277" s="39">
        <v>3</v>
      </c>
      <c r="G277" s="39">
        <v>54.17</v>
      </c>
      <c r="H277" s="39">
        <v>66.34</v>
      </c>
      <c r="I277" s="40">
        <v>162.51</v>
      </c>
      <c r="J277" s="41">
        <v>199.02</v>
      </c>
      <c r="K277" s="41">
        <f>0</f>
        <v>0</v>
      </c>
      <c r="L277" s="2">
        <f>0</f>
        <v>0</v>
      </c>
      <c r="M277" s="2"/>
      <c r="N277" s="2"/>
      <c r="O277" s="2"/>
      <c r="P277" s="2"/>
      <c r="Q277" s="42">
        <f t="shared" si="98"/>
        <v>0</v>
      </c>
      <c r="R277" s="43">
        <f t="shared" si="109"/>
        <v>0</v>
      </c>
      <c r="S277" s="44"/>
      <c r="T277" s="44"/>
      <c r="U277" s="44">
        <f t="shared" si="94"/>
        <v>3</v>
      </c>
      <c r="V277" s="45">
        <f t="shared" si="95"/>
        <v>0</v>
      </c>
      <c r="W277" s="45">
        <f t="shared" si="96"/>
        <v>0</v>
      </c>
      <c r="X277" s="45">
        <f t="shared" si="97"/>
        <v>199.02</v>
      </c>
    </row>
    <row r="278" spans="1:24" ht="24" x14ac:dyDescent="0.2">
      <c r="A278" s="7" t="s">
        <v>666</v>
      </c>
      <c r="B278" s="8" t="s">
        <v>635</v>
      </c>
      <c r="C278" s="7" t="s">
        <v>636</v>
      </c>
      <c r="D278" s="8" t="s">
        <v>18</v>
      </c>
      <c r="E278" s="8" t="s">
        <v>158</v>
      </c>
      <c r="F278" s="39">
        <v>3</v>
      </c>
      <c r="G278" s="39">
        <v>24.88</v>
      </c>
      <c r="H278" s="39">
        <v>30.47</v>
      </c>
      <c r="I278" s="40">
        <v>74.64</v>
      </c>
      <c r="J278" s="41">
        <v>91.41</v>
      </c>
      <c r="K278" s="41">
        <f>0</f>
        <v>0</v>
      </c>
      <c r="L278" s="2">
        <f>0</f>
        <v>0</v>
      </c>
      <c r="M278" s="2"/>
      <c r="N278" s="2"/>
      <c r="O278" s="2"/>
      <c r="P278" s="2"/>
      <c r="Q278" s="42">
        <f t="shared" si="98"/>
        <v>0</v>
      </c>
      <c r="R278" s="43">
        <f t="shared" si="109"/>
        <v>0</v>
      </c>
      <c r="S278" s="44"/>
      <c r="T278" s="44"/>
      <c r="U278" s="44">
        <f t="shared" si="94"/>
        <v>3</v>
      </c>
      <c r="V278" s="45">
        <f t="shared" si="95"/>
        <v>0</v>
      </c>
      <c r="W278" s="45">
        <f t="shared" si="96"/>
        <v>0</v>
      </c>
      <c r="X278" s="45">
        <f t="shared" si="97"/>
        <v>91.41</v>
      </c>
    </row>
    <row r="279" spans="1:24" ht="24" x14ac:dyDescent="0.2">
      <c r="A279" s="7" t="s">
        <v>667</v>
      </c>
      <c r="B279" s="8" t="s">
        <v>652</v>
      </c>
      <c r="C279" s="7" t="s">
        <v>653</v>
      </c>
      <c r="D279" s="8" t="s">
        <v>18</v>
      </c>
      <c r="E279" s="8" t="s">
        <v>158</v>
      </c>
      <c r="F279" s="39">
        <v>2</v>
      </c>
      <c r="G279" s="39">
        <v>101.07</v>
      </c>
      <c r="H279" s="39">
        <v>123.78</v>
      </c>
      <c r="I279" s="40">
        <v>202.14</v>
      </c>
      <c r="J279" s="41">
        <v>247.56</v>
      </c>
      <c r="K279" s="41">
        <f>0</f>
        <v>0</v>
      </c>
      <c r="L279" s="2">
        <f>0</f>
        <v>0</v>
      </c>
      <c r="M279" s="2"/>
      <c r="N279" s="2"/>
      <c r="O279" s="2"/>
      <c r="P279" s="2"/>
      <c r="Q279" s="42">
        <f t="shared" si="98"/>
        <v>0</v>
      </c>
      <c r="R279" s="43">
        <f t="shared" si="109"/>
        <v>0</v>
      </c>
      <c r="S279" s="44"/>
      <c r="T279" s="44"/>
      <c r="U279" s="44">
        <f t="shared" si="94"/>
        <v>2</v>
      </c>
      <c r="V279" s="45">
        <f t="shared" si="95"/>
        <v>0</v>
      </c>
      <c r="W279" s="45">
        <f t="shared" si="96"/>
        <v>0</v>
      </c>
      <c r="X279" s="45">
        <f t="shared" si="97"/>
        <v>247.56</v>
      </c>
    </row>
    <row r="280" spans="1:24" ht="24" x14ac:dyDescent="0.2">
      <c r="A280" s="7" t="s">
        <v>668</v>
      </c>
      <c r="B280" s="8" t="s">
        <v>655</v>
      </c>
      <c r="C280" s="7" t="s">
        <v>656</v>
      </c>
      <c r="D280" s="8" t="s">
        <v>13</v>
      </c>
      <c r="E280" s="8" t="s">
        <v>14</v>
      </c>
      <c r="F280" s="39">
        <v>1.9</v>
      </c>
      <c r="G280" s="39">
        <v>437.01</v>
      </c>
      <c r="H280" s="39">
        <v>535.21</v>
      </c>
      <c r="I280" s="40">
        <v>830.32</v>
      </c>
      <c r="J280" s="41">
        <v>1016.9</v>
      </c>
      <c r="K280" s="41">
        <f>0</f>
        <v>0</v>
      </c>
      <c r="L280" s="2">
        <f>0</f>
        <v>0</v>
      </c>
      <c r="M280" s="2"/>
      <c r="N280" s="2"/>
      <c r="O280" s="2"/>
      <c r="P280" s="2">
        <v>1.9</v>
      </c>
      <c r="Q280" s="42">
        <f t="shared" si="98"/>
        <v>1.9</v>
      </c>
      <c r="R280" s="43">
        <f t="shared" si="109"/>
        <v>1</v>
      </c>
      <c r="S280" s="44"/>
      <c r="T280" s="44"/>
      <c r="U280" s="44">
        <f t="shared" si="94"/>
        <v>1.9</v>
      </c>
      <c r="V280" s="45">
        <f t="shared" si="95"/>
        <v>0</v>
      </c>
      <c r="W280" s="45">
        <f t="shared" si="96"/>
        <v>0</v>
      </c>
      <c r="X280" s="45">
        <f t="shared" si="97"/>
        <v>1016.9</v>
      </c>
    </row>
    <row r="281" spans="1:24" ht="24" x14ac:dyDescent="0.2">
      <c r="A281" s="7" t="s">
        <v>669</v>
      </c>
      <c r="B281" s="8" t="s">
        <v>655</v>
      </c>
      <c r="C281" s="7" t="s">
        <v>656</v>
      </c>
      <c r="D281" s="8" t="s">
        <v>13</v>
      </c>
      <c r="E281" s="8" t="s">
        <v>14</v>
      </c>
      <c r="F281" s="39">
        <v>5.12</v>
      </c>
      <c r="G281" s="39">
        <v>437</v>
      </c>
      <c r="H281" s="39">
        <v>535.19000000000005</v>
      </c>
      <c r="I281" s="40">
        <v>2237.44</v>
      </c>
      <c r="J281" s="41">
        <v>2740.17</v>
      </c>
      <c r="K281" s="41">
        <f>0</f>
        <v>0</v>
      </c>
      <c r="L281" s="2">
        <f>0</f>
        <v>0</v>
      </c>
      <c r="M281" s="2"/>
      <c r="N281" s="2"/>
      <c r="O281" s="2"/>
      <c r="P281" s="2">
        <v>5.12</v>
      </c>
      <c r="Q281" s="42">
        <f t="shared" si="98"/>
        <v>5.12</v>
      </c>
      <c r="R281" s="43">
        <f t="shared" si="109"/>
        <v>1</v>
      </c>
      <c r="S281" s="44"/>
      <c r="T281" s="44"/>
      <c r="U281" s="44">
        <f t="shared" si="94"/>
        <v>5.12</v>
      </c>
      <c r="V281" s="45">
        <f t="shared" si="95"/>
        <v>0</v>
      </c>
      <c r="W281" s="45">
        <f t="shared" si="96"/>
        <v>0</v>
      </c>
      <c r="X281" s="45">
        <f t="shared" si="97"/>
        <v>2740.17</v>
      </c>
    </row>
    <row r="282" spans="1:24" x14ac:dyDescent="0.2">
      <c r="A282" s="48" t="s">
        <v>670</v>
      </c>
      <c r="B282" s="269" t="s">
        <v>671</v>
      </c>
      <c r="C282" s="269"/>
      <c r="D282" s="269"/>
      <c r="E282" s="269"/>
      <c r="F282" s="269"/>
      <c r="G282" s="269"/>
      <c r="H282" s="269"/>
      <c r="I282" s="49">
        <v>8511.42</v>
      </c>
      <c r="J282" s="50">
        <v>10423.969999999999</v>
      </c>
      <c r="K282" s="51"/>
      <c r="L282" s="51"/>
      <c r="M282" s="51"/>
      <c r="N282" s="51"/>
      <c r="O282" s="51"/>
      <c r="P282" s="51"/>
      <c r="Q282" s="42"/>
      <c r="R282" s="43"/>
      <c r="S282" s="44"/>
      <c r="T282" s="44"/>
      <c r="U282" s="44"/>
      <c r="V282" s="53">
        <f>SUM(V283:V287)</f>
        <v>0</v>
      </c>
      <c r="W282" s="53">
        <f t="shared" ref="W282" si="110">SUM(W283:W287)</f>
        <v>0</v>
      </c>
      <c r="X282" s="53">
        <f>SUM(X283:X287)</f>
        <v>10423.970000000001</v>
      </c>
    </row>
    <row r="283" spans="1:24" ht="36" x14ac:dyDescent="0.2">
      <c r="A283" s="7" t="s">
        <v>672</v>
      </c>
      <c r="B283" s="8" t="s">
        <v>647</v>
      </c>
      <c r="C283" s="7" t="s">
        <v>648</v>
      </c>
      <c r="D283" s="8" t="s">
        <v>18</v>
      </c>
      <c r="E283" s="8" t="s">
        <v>158</v>
      </c>
      <c r="F283" s="39">
        <v>1</v>
      </c>
      <c r="G283" s="39">
        <v>322.24</v>
      </c>
      <c r="H283" s="39">
        <v>394.65</v>
      </c>
      <c r="I283" s="40">
        <v>322.24</v>
      </c>
      <c r="J283" s="41">
        <v>394.65</v>
      </c>
      <c r="K283" s="41">
        <f>0</f>
        <v>0</v>
      </c>
      <c r="L283" s="2">
        <f>0</f>
        <v>0</v>
      </c>
      <c r="M283" s="2"/>
      <c r="N283" s="2"/>
      <c r="O283" s="2"/>
      <c r="P283" s="2">
        <v>1</v>
      </c>
      <c r="Q283" s="42">
        <f t="shared" si="98"/>
        <v>1</v>
      </c>
      <c r="R283" s="43">
        <f>Q283/F283</f>
        <v>1</v>
      </c>
      <c r="S283" s="44"/>
      <c r="T283" s="44"/>
      <c r="U283" s="44">
        <f t="shared" si="94"/>
        <v>1</v>
      </c>
      <c r="V283" s="45">
        <f t="shared" si="95"/>
        <v>0</v>
      </c>
      <c r="W283" s="45">
        <f t="shared" si="96"/>
        <v>0</v>
      </c>
      <c r="X283" s="45">
        <f t="shared" si="97"/>
        <v>394.65</v>
      </c>
    </row>
    <row r="284" spans="1:24" ht="48" x14ac:dyDescent="0.2">
      <c r="A284" s="7" t="s">
        <v>673</v>
      </c>
      <c r="B284" s="8" t="s">
        <v>674</v>
      </c>
      <c r="C284" s="7" t="s">
        <v>675</v>
      </c>
      <c r="D284" s="8" t="s">
        <v>18</v>
      </c>
      <c r="E284" s="8" t="s">
        <v>158</v>
      </c>
      <c r="F284" s="39">
        <v>4</v>
      </c>
      <c r="G284" s="39">
        <v>724.46</v>
      </c>
      <c r="H284" s="39">
        <v>887.25</v>
      </c>
      <c r="I284" s="40">
        <v>2897.84</v>
      </c>
      <c r="J284" s="41">
        <v>3549</v>
      </c>
      <c r="K284" s="41">
        <f>0</f>
        <v>0</v>
      </c>
      <c r="L284" s="2">
        <f>0</f>
        <v>0</v>
      </c>
      <c r="M284" s="2"/>
      <c r="N284" s="2"/>
      <c r="O284" s="2"/>
      <c r="P284" s="2"/>
      <c r="Q284" s="42">
        <f t="shared" si="98"/>
        <v>0</v>
      </c>
      <c r="R284" s="43">
        <f>Q284/F284</f>
        <v>0</v>
      </c>
      <c r="S284" s="44"/>
      <c r="T284" s="44"/>
      <c r="U284" s="44">
        <f t="shared" si="94"/>
        <v>4</v>
      </c>
      <c r="V284" s="45">
        <f t="shared" si="95"/>
        <v>0</v>
      </c>
      <c r="W284" s="45">
        <f t="shared" si="96"/>
        <v>0</v>
      </c>
      <c r="X284" s="45">
        <f t="shared" si="97"/>
        <v>3549</v>
      </c>
    </row>
    <row r="285" spans="1:24" ht="36" x14ac:dyDescent="0.2">
      <c r="A285" s="7" t="s">
        <v>676</v>
      </c>
      <c r="B285" s="8" t="s">
        <v>632</v>
      </c>
      <c r="C285" s="7" t="s">
        <v>633</v>
      </c>
      <c r="D285" s="8" t="s">
        <v>18</v>
      </c>
      <c r="E285" s="8" t="s">
        <v>158</v>
      </c>
      <c r="F285" s="39">
        <v>5</v>
      </c>
      <c r="G285" s="39">
        <v>54.17</v>
      </c>
      <c r="H285" s="39">
        <v>66.34</v>
      </c>
      <c r="I285" s="40">
        <v>270.85000000000002</v>
      </c>
      <c r="J285" s="41">
        <v>331.7</v>
      </c>
      <c r="K285" s="41">
        <f>0</f>
        <v>0</v>
      </c>
      <c r="L285" s="2">
        <f>0</f>
        <v>0</v>
      </c>
      <c r="M285" s="2"/>
      <c r="N285" s="2"/>
      <c r="O285" s="2"/>
      <c r="P285" s="2"/>
      <c r="Q285" s="42">
        <f t="shared" si="98"/>
        <v>0</v>
      </c>
      <c r="R285" s="43">
        <f>Q285/F285</f>
        <v>0</v>
      </c>
      <c r="S285" s="44"/>
      <c r="T285" s="44"/>
      <c r="U285" s="44">
        <f t="shared" si="94"/>
        <v>5</v>
      </c>
      <c r="V285" s="45">
        <f t="shared" si="95"/>
        <v>0</v>
      </c>
      <c r="W285" s="45">
        <f t="shared" si="96"/>
        <v>0</v>
      </c>
      <c r="X285" s="45">
        <f t="shared" si="97"/>
        <v>331.7</v>
      </c>
    </row>
    <row r="286" spans="1:24" ht="24" x14ac:dyDescent="0.2">
      <c r="A286" s="7" t="s">
        <v>677</v>
      </c>
      <c r="B286" s="8" t="s">
        <v>678</v>
      </c>
      <c r="C286" s="7" t="s">
        <v>679</v>
      </c>
      <c r="D286" s="8" t="s">
        <v>18</v>
      </c>
      <c r="E286" s="8" t="s">
        <v>158</v>
      </c>
      <c r="F286" s="39">
        <v>11</v>
      </c>
      <c r="G286" s="39">
        <v>39.659999999999997</v>
      </c>
      <c r="H286" s="39">
        <v>48.57</v>
      </c>
      <c r="I286" s="40">
        <v>436.26</v>
      </c>
      <c r="J286" s="41">
        <v>534.27</v>
      </c>
      <c r="K286" s="41">
        <f>0</f>
        <v>0</v>
      </c>
      <c r="L286" s="2">
        <f>0</f>
        <v>0</v>
      </c>
      <c r="M286" s="2"/>
      <c r="N286" s="2"/>
      <c r="O286" s="2"/>
      <c r="P286" s="2"/>
      <c r="Q286" s="42">
        <f t="shared" si="98"/>
        <v>0</v>
      </c>
      <c r="R286" s="43">
        <f>Q286/F286</f>
        <v>0</v>
      </c>
      <c r="S286" s="44"/>
      <c r="T286" s="44"/>
      <c r="U286" s="44">
        <f t="shared" si="94"/>
        <v>11</v>
      </c>
      <c r="V286" s="45">
        <f>ROUND(H286*S286,2)</f>
        <v>0</v>
      </c>
      <c r="W286" s="45">
        <f t="shared" si="96"/>
        <v>0</v>
      </c>
      <c r="X286" s="45">
        <f t="shared" si="97"/>
        <v>534.27</v>
      </c>
    </row>
    <row r="287" spans="1:24" ht="24" x14ac:dyDescent="0.2">
      <c r="A287" s="7" t="s">
        <v>680</v>
      </c>
      <c r="B287" s="8" t="s">
        <v>655</v>
      </c>
      <c r="C287" s="7" t="s">
        <v>656</v>
      </c>
      <c r="D287" s="8" t="s">
        <v>13</v>
      </c>
      <c r="E287" s="8" t="s">
        <v>14</v>
      </c>
      <c r="F287" s="39">
        <v>10.49</v>
      </c>
      <c r="G287" s="39">
        <v>437.01</v>
      </c>
      <c r="H287" s="39">
        <v>535.21</v>
      </c>
      <c r="I287" s="40">
        <v>4584.2299999999996</v>
      </c>
      <c r="J287" s="41">
        <v>5614.35</v>
      </c>
      <c r="K287" s="41">
        <f>0</f>
        <v>0</v>
      </c>
      <c r="L287" s="2">
        <f>0</f>
        <v>0</v>
      </c>
      <c r="M287" s="2"/>
      <c r="N287" s="2"/>
      <c r="O287" s="2"/>
      <c r="P287" s="2">
        <v>10.49</v>
      </c>
      <c r="Q287" s="42">
        <f t="shared" si="98"/>
        <v>10.49</v>
      </c>
      <c r="R287" s="43">
        <f>Q287/F287</f>
        <v>1</v>
      </c>
      <c r="S287" s="44"/>
      <c r="T287" s="44"/>
      <c r="U287" s="44">
        <f t="shared" si="94"/>
        <v>10.49</v>
      </c>
      <c r="V287" s="45">
        <f t="shared" si="95"/>
        <v>0</v>
      </c>
      <c r="W287" s="45">
        <f t="shared" si="96"/>
        <v>0</v>
      </c>
      <c r="X287" s="45">
        <f t="shared" si="97"/>
        <v>5614.35</v>
      </c>
    </row>
    <row r="288" spans="1:24" x14ac:dyDescent="0.2">
      <c r="A288" s="48" t="s">
        <v>681</v>
      </c>
      <c r="B288" s="269" t="s">
        <v>682</v>
      </c>
      <c r="C288" s="269"/>
      <c r="D288" s="269"/>
      <c r="E288" s="269"/>
      <c r="F288" s="269"/>
      <c r="G288" s="269"/>
      <c r="H288" s="269"/>
      <c r="I288" s="49">
        <v>4969.9799999999996</v>
      </c>
      <c r="J288" s="50">
        <v>6088.84</v>
      </c>
      <c r="K288" s="51"/>
      <c r="L288" s="51"/>
      <c r="M288" s="51"/>
      <c r="N288" s="51"/>
      <c r="O288" s="51"/>
      <c r="P288" s="51"/>
      <c r="Q288" s="42"/>
      <c r="R288" s="43"/>
      <c r="S288" s="44"/>
      <c r="T288" s="44"/>
      <c r="U288" s="44"/>
      <c r="V288" s="53">
        <f>SUM(V289:V292)</f>
        <v>0</v>
      </c>
      <c r="W288" s="53">
        <f t="shared" ref="W288" si="111">SUM(W289:W292)</f>
        <v>0</v>
      </c>
      <c r="X288" s="53">
        <f>SUM(X289:X292)</f>
        <v>6088.84</v>
      </c>
    </row>
    <row r="289" spans="1:24" ht="24" x14ac:dyDescent="0.2">
      <c r="A289" s="7" t="s">
        <v>683</v>
      </c>
      <c r="B289" s="8" t="s">
        <v>684</v>
      </c>
      <c r="C289" s="7" t="s">
        <v>685</v>
      </c>
      <c r="D289" s="8" t="s">
        <v>18</v>
      </c>
      <c r="E289" s="8" t="s">
        <v>158</v>
      </c>
      <c r="F289" s="39">
        <v>4</v>
      </c>
      <c r="G289" s="39">
        <v>320.22000000000003</v>
      </c>
      <c r="H289" s="39">
        <v>392.17</v>
      </c>
      <c r="I289" s="40">
        <v>1280.8800000000001</v>
      </c>
      <c r="J289" s="41">
        <v>1568.68</v>
      </c>
      <c r="K289" s="41">
        <f>0</f>
        <v>0</v>
      </c>
      <c r="L289" s="2">
        <f>0</f>
        <v>0</v>
      </c>
      <c r="M289" s="2"/>
      <c r="N289" s="2"/>
      <c r="O289" s="2"/>
      <c r="P289" s="2"/>
      <c r="Q289" s="42">
        <f t="shared" si="98"/>
        <v>0</v>
      </c>
      <c r="R289" s="43">
        <f>Q289/F289</f>
        <v>0</v>
      </c>
      <c r="S289" s="44"/>
      <c r="T289" s="44"/>
      <c r="U289" s="44">
        <f t="shared" ref="U289:U292" si="112">F289+S289-T289</f>
        <v>4</v>
      </c>
      <c r="V289" s="45">
        <f t="shared" ref="V289:V292" si="113">ROUND(H289*S289,2)</f>
        <v>0</v>
      </c>
      <c r="W289" s="45">
        <f t="shared" ref="W289:W292" si="114">ROUND(H289*T289,2)</f>
        <v>0</v>
      </c>
      <c r="X289" s="45">
        <f t="shared" ref="X289:X292" si="115">ROUND(H289*U289,2)</f>
        <v>1568.68</v>
      </c>
    </row>
    <row r="290" spans="1:24" ht="36" x14ac:dyDescent="0.2">
      <c r="A290" s="7" t="s">
        <v>686</v>
      </c>
      <c r="B290" s="8" t="s">
        <v>687</v>
      </c>
      <c r="C290" s="7" t="s">
        <v>688</v>
      </c>
      <c r="D290" s="8" t="s">
        <v>18</v>
      </c>
      <c r="E290" s="8" t="s">
        <v>158</v>
      </c>
      <c r="F290" s="39">
        <v>4</v>
      </c>
      <c r="G290" s="39">
        <v>282.24</v>
      </c>
      <c r="H290" s="39">
        <v>345.66</v>
      </c>
      <c r="I290" s="40">
        <v>1128.96</v>
      </c>
      <c r="J290" s="41">
        <v>1382.64</v>
      </c>
      <c r="K290" s="41">
        <f>0</f>
        <v>0</v>
      </c>
      <c r="L290" s="2">
        <f>0</f>
        <v>0</v>
      </c>
      <c r="M290" s="2"/>
      <c r="N290" s="2"/>
      <c r="O290" s="2"/>
      <c r="P290" s="2"/>
      <c r="Q290" s="42">
        <f t="shared" si="98"/>
        <v>0</v>
      </c>
      <c r="R290" s="43">
        <f>Q290/F290</f>
        <v>0</v>
      </c>
      <c r="S290" s="44"/>
      <c r="T290" s="44"/>
      <c r="U290" s="44">
        <f t="shared" si="112"/>
        <v>4</v>
      </c>
      <c r="V290" s="45">
        <f t="shared" si="113"/>
        <v>0</v>
      </c>
      <c r="W290" s="45">
        <f t="shared" si="114"/>
        <v>0</v>
      </c>
      <c r="X290" s="45">
        <f t="shared" si="115"/>
        <v>1382.64</v>
      </c>
    </row>
    <row r="291" spans="1:24" ht="24" x14ac:dyDescent="0.2">
      <c r="A291" s="7" t="s">
        <v>689</v>
      </c>
      <c r="B291" s="14" t="s">
        <v>690</v>
      </c>
      <c r="C291" s="15" t="s">
        <v>691</v>
      </c>
      <c r="D291" s="14" t="s">
        <v>18</v>
      </c>
      <c r="E291" s="14" t="s">
        <v>19</v>
      </c>
      <c r="F291" s="57">
        <v>12</v>
      </c>
      <c r="G291" s="57">
        <v>55.58</v>
      </c>
      <c r="H291" s="57">
        <v>68.069999999999993</v>
      </c>
      <c r="I291" s="58">
        <v>666.96</v>
      </c>
      <c r="J291" s="59">
        <v>816.84</v>
      </c>
      <c r="K291" s="59">
        <f>0</f>
        <v>0</v>
      </c>
      <c r="L291" s="60">
        <f>0</f>
        <v>0</v>
      </c>
      <c r="M291" s="60"/>
      <c r="N291" s="60"/>
      <c r="O291" s="60"/>
      <c r="P291" s="60"/>
      <c r="Q291" s="61">
        <f t="shared" si="98"/>
        <v>0</v>
      </c>
      <c r="R291" s="62">
        <f>Q291/F291</f>
        <v>0</v>
      </c>
      <c r="S291" s="63"/>
      <c r="T291" s="63"/>
      <c r="U291" s="63">
        <f t="shared" si="112"/>
        <v>12</v>
      </c>
      <c r="V291" s="64">
        <f t="shared" si="113"/>
        <v>0</v>
      </c>
      <c r="W291" s="64">
        <f t="shared" si="114"/>
        <v>0</v>
      </c>
      <c r="X291" s="64">
        <f t="shared" si="115"/>
        <v>816.84</v>
      </c>
    </row>
    <row r="292" spans="1:24" x14ac:dyDescent="0.2">
      <c r="A292" s="15" t="s">
        <v>692</v>
      </c>
      <c r="B292" s="11" t="s">
        <v>693</v>
      </c>
      <c r="C292" s="10" t="s">
        <v>694</v>
      </c>
      <c r="D292" s="11" t="s">
        <v>18</v>
      </c>
      <c r="E292" s="11" t="s">
        <v>19</v>
      </c>
      <c r="F292" s="41">
        <v>763.38</v>
      </c>
      <c r="G292" s="41">
        <v>2.48</v>
      </c>
      <c r="H292" s="41">
        <v>3.04</v>
      </c>
      <c r="I292" s="41">
        <v>1893.18</v>
      </c>
      <c r="J292" s="41">
        <v>2320.6799999999998</v>
      </c>
      <c r="K292" s="41">
        <f>0</f>
        <v>0</v>
      </c>
      <c r="L292" s="2">
        <f>0</f>
        <v>0</v>
      </c>
      <c r="M292" s="2"/>
      <c r="N292" s="2"/>
      <c r="O292" s="2"/>
      <c r="P292" s="2"/>
      <c r="Q292" s="42">
        <f t="shared" si="98"/>
        <v>0</v>
      </c>
      <c r="R292" s="43">
        <f>Q292/F292</f>
        <v>0</v>
      </c>
      <c r="S292" s="44"/>
      <c r="T292" s="44"/>
      <c r="U292" s="44">
        <f t="shared" si="112"/>
        <v>763.38</v>
      </c>
      <c r="V292" s="45">
        <f t="shared" si="113"/>
        <v>0</v>
      </c>
      <c r="W292" s="45">
        <f t="shared" si="114"/>
        <v>0</v>
      </c>
      <c r="X292" s="45">
        <f t="shared" si="115"/>
        <v>2320.6799999999998</v>
      </c>
    </row>
    <row r="293" spans="1:24" x14ac:dyDescent="0.2">
      <c r="A293" s="104">
        <v>28</v>
      </c>
      <c r="B293" s="250" t="s">
        <v>1119</v>
      </c>
      <c r="C293" s="251"/>
      <c r="D293" s="251"/>
      <c r="E293" s="251"/>
      <c r="F293" s="251"/>
      <c r="G293" s="251"/>
      <c r="H293" s="251"/>
      <c r="I293" s="133"/>
      <c r="J293" s="134"/>
      <c r="K293" s="90"/>
      <c r="L293" s="90"/>
      <c r="M293" s="90"/>
      <c r="N293" s="90"/>
      <c r="O293" s="90"/>
      <c r="P293" s="90"/>
      <c r="Q293" s="61"/>
      <c r="R293" s="62"/>
      <c r="S293" s="63"/>
      <c r="T293" s="63"/>
      <c r="U293" s="63"/>
      <c r="V293" s="135">
        <f>V294+V296+V302+V308+V314+V319+V321+V324</f>
        <v>22301.920000000002</v>
      </c>
      <c r="W293" s="135">
        <f t="shared" ref="W293:X293" si="116">W294+W296+W302+W308+W314+W319+W321+W324</f>
        <v>0</v>
      </c>
      <c r="X293" s="135">
        <f t="shared" si="116"/>
        <v>22301.920000000002</v>
      </c>
    </row>
    <row r="294" spans="1:24" x14ac:dyDescent="0.2">
      <c r="A294" s="104" t="s">
        <v>1068</v>
      </c>
      <c r="B294" s="286" t="s">
        <v>1118</v>
      </c>
      <c r="C294" s="269"/>
      <c r="D294" s="269"/>
      <c r="E294" s="269"/>
      <c r="F294" s="269"/>
      <c r="G294" s="269"/>
      <c r="H294" s="269"/>
      <c r="I294" s="133"/>
      <c r="J294" s="134"/>
      <c r="K294" s="90"/>
      <c r="L294" s="90"/>
      <c r="M294" s="90"/>
      <c r="N294" s="90"/>
      <c r="O294" s="90"/>
      <c r="P294" s="90"/>
      <c r="Q294" s="61"/>
      <c r="R294" s="62"/>
      <c r="S294" s="63"/>
      <c r="T294" s="63"/>
      <c r="U294" s="63"/>
      <c r="V294" s="135">
        <f>SUM(V295)</f>
        <v>1678.2</v>
      </c>
      <c r="W294" s="135">
        <f>SUM(W295)</f>
        <v>0</v>
      </c>
      <c r="X294" s="135">
        <f>SUM(X295)</f>
        <v>1678.2</v>
      </c>
    </row>
    <row r="295" spans="1:24" ht="24" x14ac:dyDescent="0.2">
      <c r="A295" s="10" t="s">
        <v>1074</v>
      </c>
      <c r="B295" s="8" t="s">
        <v>31</v>
      </c>
      <c r="C295" s="7" t="s">
        <v>32</v>
      </c>
      <c r="D295" s="8" t="s">
        <v>18</v>
      </c>
      <c r="E295" s="8" t="s">
        <v>29</v>
      </c>
      <c r="F295" s="39"/>
      <c r="G295" s="39">
        <v>59.58</v>
      </c>
      <c r="H295" s="39">
        <v>72.97</v>
      </c>
      <c r="I295" s="40"/>
      <c r="J295" s="41"/>
      <c r="K295" s="41">
        <f>0</f>
        <v>0</v>
      </c>
      <c r="L295" s="2">
        <f>0</f>
        <v>0</v>
      </c>
      <c r="M295" s="2"/>
      <c r="N295" s="2"/>
      <c r="O295" s="2"/>
      <c r="P295" s="2"/>
      <c r="Q295" s="42">
        <f t="shared" ref="Q295:Q302" si="117">K295+L295+M295+N295+O295+P295</f>
        <v>0</v>
      </c>
      <c r="R295" s="43" t="e">
        <f>Q295/F295</f>
        <v>#DIV/0!</v>
      </c>
      <c r="S295" s="44">
        <f>MEMORIAL!AJ1409</f>
        <v>22.9985</v>
      </c>
      <c r="T295" s="44"/>
      <c r="U295" s="44">
        <f>F295+S295-T295</f>
        <v>22.9985</v>
      </c>
      <c r="V295" s="45">
        <f>ROUND(H295*S295,2)</f>
        <v>1678.2</v>
      </c>
      <c r="W295" s="45">
        <f>ROUND(H295*T295,2)</f>
        <v>0</v>
      </c>
      <c r="X295" s="45">
        <f>ROUND(H295*U295,2)</f>
        <v>1678.2</v>
      </c>
    </row>
    <row r="296" spans="1:24" x14ac:dyDescent="0.2">
      <c r="A296" s="104" t="s">
        <v>1069</v>
      </c>
      <c r="B296" s="286" t="s">
        <v>1073</v>
      </c>
      <c r="C296" s="269"/>
      <c r="D296" s="269"/>
      <c r="E296" s="269"/>
      <c r="F296" s="269"/>
      <c r="G296" s="269"/>
      <c r="H296" s="269"/>
      <c r="I296" s="56"/>
      <c r="J296" s="41"/>
      <c r="K296" s="41"/>
      <c r="L296" s="2"/>
      <c r="M296" s="2"/>
      <c r="N296" s="2"/>
      <c r="O296" s="2"/>
      <c r="P296" s="2"/>
      <c r="Q296" s="42"/>
      <c r="R296" s="43"/>
      <c r="S296" s="44"/>
      <c r="T296" s="44"/>
      <c r="U296" s="44"/>
      <c r="V296" s="53">
        <f>SUM(V297:V301)</f>
        <v>1853.2799999999997</v>
      </c>
      <c r="W296" s="53">
        <f>SUM(W297:W301)</f>
        <v>0</v>
      </c>
      <c r="X296" s="53">
        <f>SUM(X297:X301)</f>
        <v>1853.2799999999997</v>
      </c>
    </row>
    <row r="297" spans="1:24" ht="24" x14ac:dyDescent="0.2">
      <c r="A297" s="10" t="s">
        <v>1075</v>
      </c>
      <c r="B297" s="8" t="s">
        <v>40</v>
      </c>
      <c r="C297" s="7" t="s">
        <v>41</v>
      </c>
      <c r="D297" s="8" t="s">
        <v>18</v>
      </c>
      <c r="E297" s="8" t="s">
        <v>29</v>
      </c>
      <c r="F297" s="39"/>
      <c r="G297" s="39">
        <v>551.70000000000005</v>
      </c>
      <c r="H297" s="39">
        <v>675.67</v>
      </c>
      <c r="I297" s="40"/>
      <c r="J297" s="41"/>
      <c r="K297" s="41">
        <f>0</f>
        <v>0</v>
      </c>
      <c r="L297" s="2">
        <f>0</f>
        <v>0</v>
      </c>
      <c r="M297" s="2"/>
      <c r="N297" s="2"/>
      <c r="O297" s="2"/>
      <c r="P297" s="2"/>
      <c r="Q297" s="42">
        <f t="shared" si="117"/>
        <v>0</v>
      </c>
      <c r="R297" s="43" t="e">
        <f>Q297/F297</f>
        <v>#DIV/0!</v>
      </c>
      <c r="S297" s="44">
        <f>MEMORIAL!AJ1415</f>
        <v>0.13600000000000001</v>
      </c>
      <c r="T297" s="44"/>
      <c r="U297" s="44">
        <f t="shared" ref="U297:U318" si="118">F297+S297-T297</f>
        <v>0.13600000000000001</v>
      </c>
      <c r="V297" s="45">
        <f>ROUND(H297*S297,2)</f>
        <v>91.89</v>
      </c>
      <c r="W297" s="45">
        <f t="shared" ref="W297:W318" si="119">ROUND(H297*T297,2)</f>
        <v>0</v>
      </c>
      <c r="X297" s="45">
        <f t="shared" ref="X297:X318" si="120">ROUND(H297*U297,2)</f>
        <v>91.89</v>
      </c>
    </row>
    <row r="298" spans="1:24" ht="36" x14ac:dyDescent="0.2">
      <c r="A298" s="10" t="s">
        <v>1076</v>
      </c>
      <c r="B298" s="8" t="s">
        <v>43</v>
      </c>
      <c r="C298" s="7" t="s">
        <v>44</v>
      </c>
      <c r="D298" s="8" t="s">
        <v>18</v>
      </c>
      <c r="E298" s="8" t="s">
        <v>19</v>
      </c>
      <c r="F298" s="39"/>
      <c r="G298" s="39">
        <v>160.47999999999999</v>
      </c>
      <c r="H298" s="39">
        <v>196.54</v>
      </c>
      <c r="I298" s="40"/>
      <c r="J298" s="41"/>
      <c r="K298" s="41">
        <f>0</f>
        <v>0</v>
      </c>
      <c r="L298" s="2">
        <f>0</f>
        <v>0</v>
      </c>
      <c r="M298" s="2"/>
      <c r="N298" s="2"/>
      <c r="O298" s="2"/>
      <c r="P298" s="2"/>
      <c r="Q298" s="42">
        <f t="shared" si="117"/>
        <v>0</v>
      </c>
      <c r="R298" s="43" t="e">
        <f>Q298/F298</f>
        <v>#DIV/0!</v>
      </c>
      <c r="S298" s="44">
        <f>MEMORIAL!AJ1420</f>
        <v>4.4800000000000004</v>
      </c>
      <c r="T298" s="44"/>
      <c r="U298" s="44">
        <f t="shared" si="118"/>
        <v>4.4800000000000004</v>
      </c>
      <c r="V298" s="45">
        <f t="shared" ref="V298:V318" si="121">ROUND(H298*S298,2)</f>
        <v>880.5</v>
      </c>
      <c r="W298" s="45">
        <f t="shared" si="119"/>
        <v>0</v>
      </c>
      <c r="X298" s="45">
        <f t="shared" si="120"/>
        <v>880.5</v>
      </c>
    </row>
    <row r="299" spans="1:24" ht="36" x14ac:dyDescent="0.2">
      <c r="A299" s="10" t="s">
        <v>1077</v>
      </c>
      <c r="B299" s="8" t="s">
        <v>46</v>
      </c>
      <c r="C299" s="7" t="s">
        <v>47</v>
      </c>
      <c r="D299" s="8" t="s">
        <v>18</v>
      </c>
      <c r="E299" s="8" t="s">
        <v>29</v>
      </c>
      <c r="F299" s="39"/>
      <c r="G299" s="39">
        <v>451.82</v>
      </c>
      <c r="H299" s="39">
        <v>553.34</v>
      </c>
      <c r="I299" s="40"/>
      <c r="J299" s="41"/>
      <c r="K299" s="41"/>
      <c r="L299" s="2"/>
      <c r="M299" s="2"/>
      <c r="N299" s="2"/>
      <c r="O299" s="2"/>
      <c r="P299" s="2"/>
      <c r="Q299" s="42"/>
      <c r="R299" s="43"/>
      <c r="S299" s="44">
        <f>MEMORIAL!AJ1425</f>
        <v>0.54400000000000004</v>
      </c>
      <c r="T299" s="44"/>
      <c r="U299" s="44">
        <f t="shared" si="118"/>
        <v>0.54400000000000004</v>
      </c>
      <c r="V299" s="45">
        <f t="shared" si="121"/>
        <v>301.02</v>
      </c>
      <c r="W299" s="45">
        <f t="shared" si="119"/>
        <v>0</v>
      </c>
      <c r="X299" s="45">
        <f t="shared" si="120"/>
        <v>301.02</v>
      </c>
    </row>
    <row r="300" spans="1:24" ht="24" x14ac:dyDescent="0.2">
      <c r="A300" s="10" t="s">
        <v>1078</v>
      </c>
      <c r="B300" s="8" t="s">
        <v>49</v>
      </c>
      <c r="C300" s="7" t="s">
        <v>50</v>
      </c>
      <c r="D300" s="8" t="s">
        <v>18</v>
      </c>
      <c r="E300" s="8" t="s">
        <v>29</v>
      </c>
      <c r="F300" s="39"/>
      <c r="G300" s="39">
        <v>205.96</v>
      </c>
      <c r="H300" s="39">
        <v>252.24</v>
      </c>
      <c r="I300" s="40"/>
      <c r="J300" s="41"/>
      <c r="K300" s="41"/>
      <c r="L300" s="2"/>
      <c r="M300" s="2"/>
      <c r="N300" s="2"/>
      <c r="O300" s="2"/>
      <c r="P300" s="2"/>
      <c r="Q300" s="42"/>
      <c r="R300" s="43"/>
      <c r="S300" s="44">
        <f>MEMORIAL!AJ1430</f>
        <v>0.54400000000000004</v>
      </c>
      <c r="T300" s="44"/>
      <c r="U300" s="44">
        <f t="shared" si="118"/>
        <v>0.54400000000000004</v>
      </c>
      <c r="V300" s="45">
        <f t="shared" si="121"/>
        <v>137.22</v>
      </c>
      <c r="W300" s="45">
        <f t="shared" si="119"/>
        <v>0</v>
      </c>
      <c r="X300" s="45">
        <f t="shared" si="120"/>
        <v>137.22</v>
      </c>
    </row>
    <row r="301" spans="1:24" ht="24" x14ac:dyDescent="0.2">
      <c r="A301" s="10" t="s">
        <v>1079</v>
      </c>
      <c r="B301" s="8" t="s">
        <v>52</v>
      </c>
      <c r="C301" s="7" t="s">
        <v>53</v>
      </c>
      <c r="D301" s="8" t="s">
        <v>18</v>
      </c>
      <c r="E301" s="8" t="s">
        <v>54</v>
      </c>
      <c r="F301" s="39"/>
      <c r="G301" s="39">
        <v>15.37</v>
      </c>
      <c r="H301" s="39">
        <v>18.82</v>
      </c>
      <c r="I301" s="40"/>
      <c r="J301" s="41"/>
      <c r="K301" s="41"/>
      <c r="L301" s="2"/>
      <c r="M301" s="2"/>
      <c r="N301" s="2"/>
      <c r="O301" s="2"/>
      <c r="P301" s="2"/>
      <c r="Q301" s="42"/>
      <c r="R301" s="43"/>
      <c r="S301" s="44">
        <f>MEMORIAL!AJ1435</f>
        <v>23.520000000000003</v>
      </c>
      <c r="T301" s="44"/>
      <c r="U301" s="44">
        <f t="shared" si="118"/>
        <v>23.520000000000003</v>
      </c>
      <c r="V301" s="45">
        <f t="shared" si="121"/>
        <v>442.65</v>
      </c>
      <c r="W301" s="45">
        <f t="shared" si="119"/>
        <v>0</v>
      </c>
      <c r="X301" s="45">
        <f t="shared" si="120"/>
        <v>442.65</v>
      </c>
    </row>
    <row r="302" spans="1:24" x14ac:dyDescent="0.2">
      <c r="A302" s="136" t="s">
        <v>1070</v>
      </c>
      <c r="B302" s="250" t="s">
        <v>1080</v>
      </c>
      <c r="C302" s="251"/>
      <c r="D302" s="251"/>
      <c r="E302" s="251"/>
      <c r="F302" s="251"/>
      <c r="G302" s="251"/>
      <c r="H302" s="251"/>
      <c r="I302" s="59"/>
      <c r="J302" s="59"/>
      <c r="K302" s="41">
        <f>0</f>
        <v>0</v>
      </c>
      <c r="L302" s="2">
        <f>0</f>
        <v>0</v>
      </c>
      <c r="M302" s="2"/>
      <c r="N302" s="2"/>
      <c r="O302" s="2"/>
      <c r="P302" s="2"/>
      <c r="Q302" s="42">
        <f t="shared" si="117"/>
        <v>0</v>
      </c>
      <c r="R302" s="43" t="e">
        <f>Q302/F302</f>
        <v>#DIV/0!</v>
      </c>
      <c r="S302" s="44"/>
      <c r="T302" s="44"/>
      <c r="U302" s="44"/>
      <c r="V302" s="53">
        <f>SUM(V303:V307)</f>
        <v>4787.99</v>
      </c>
      <c r="W302" s="53">
        <f>SUM(W303:W307)</f>
        <v>0</v>
      </c>
      <c r="X302" s="53">
        <f>SUM(X303:X307)</f>
        <v>4787.99</v>
      </c>
    </row>
    <row r="303" spans="1:24" ht="24" x14ac:dyDescent="0.2">
      <c r="A303" s="10" t="s">
        <v>1081</v>
      </c>
      <c r="B303" s="8" t="s">
        <v>101</v>
      </c>
      <c r="C303" s="7" t="s">
        <v>102</v>
      </c>
      <c r="D303" s="8" t="s">
        <v>18</v>
      </c>
      <c r="E303" s="8" t="s">
        <v>19</v>
      </c>
      <c r="F303" s="39"/>
      <c r="G303" s="39">
        <v>96.01</v>
      </c>
      <c r="H303" s="39">
        <v>117.58</v>
      </c>
      <c r="I303" s="40"/>
      <c r="J303" s="41"/>
      <c r="K303" s="41"/>
      <c r="L303" s="2"/>
      <c r="M303" s="2"/>
      <c r="N303" s="2"/>
      <c r="O303" s="2"/>
      <c r="P303" s="2"/>
      <c r="Q303" s="42"/>
      <c r="R303" s="43"/>
      <c r="S303" s="44">
        <f>MEMORIAL!AJ1441</f>
        <v>10.48</v>
      </c>
      <c r="T303" s="44"/>
      <c r="U303" s="44">
        <f>F303+S303-T303</f>
        <v>10.48</v>
      </c>
      <c r="V303" s="45">
        <f t="shared" si="121"/>
        <v>1232.24</v>
      </c>
      <c r="W303" s="45">
        <f t="shared" si="119"/>
        <v>0</v>
      </c>
      <c r="X303" s="45">
        <f t="shared" si="120"/>
        <v>1232.24</v>
      </c>
    </row>
    <row r="304" spans="1:24" ht="36" x14ac:dyDescent="0.2">
      <c r="A304" s="10" t="s">
        <v>1082</v>
      </c>
      <c r="B304" s="8" t="s">
        <v>46</v>
      </c>
      <c r="C304" s="7" t="s">
        <v>47</v>
      </c>
      <c r="D304" s="8" t="s">
        <v>18</v>
      </c>
      <c r="E304" s="8" t="s">
        <v>29</v>
      </c>
      <c r="F304" s="39"/>
      <c r="G304" s="39">
        <v>451.82</v>
      </c>
      <c r="H304" s="39">
        <v>553.34</v>
      </c>
      <c r="I304" s="40"/>
      <c r="J304" s="41"/>
      <c r="K304" s="41"/>
      <c r="L304" s="2"/>
      <c r="M304" s="2"/>
      <c r="N304" s="2"/>
      <c r="O304" s="2"/>
      <c r="P304" s="2"/>
      <c r="Q304" s="42"/>
      <c r="R304" s="43"/>
      <c r="S304" s="44">
        <f>MEMORIAL!AJ1446</f>
        <v>2.0960000000000001</v>
      </c>
      <c r="T304" s="44"/>
      <c r="U304" s="44">
        <f t="shared" si="118"/>
        <v>2.0960000000000001</v>
      </c>
      <c r="V304" s="45">
        <f t="shared" si="121"/>
        <v>1159.8</v>
      </c>
      <c r="W304" s="45">
        <f t="shared" si="119"/>
        <v>0</v>
      </c>
      <c r="X304" s="45">
        <f t="shared" si="120"/>
        <v>1159.8</v>
      </c>
    </row>
    <row r="305" spans="1:24" ht="24" x14ac:dyDescent="0.2">
      <c r="A305" s="10" t="s">
        <v>1083</v>
      </c>
      <c r="B305" s="8" t="s">
        <v>49</v>
      </c>
      <c r="C305" s="7" t="s">
        <v>50</v>
      </c>
      <c r="D305" s="8" t="s">
        <v>18</v>
      </c>
      <c r="E305" s="8" t="s">
        <v>29</v>
      </c>
      <c r="F305" s="39"/>
      <c r="G305" s="39">
        <v>205.96</v>
      </c>
      <c r="H305" s="39">
        <v>252.24</v>
      </c>
      <c r="I305" s="40"/>
      <c r="J305" s="41"/>
      <c r="K305" s="41"/>
      <c r="L305" s="2"/>
      <c r="M305" s="2"/>
      <c r="N305" s="2"/>
      <c r="O305" s="2"/>
      <c r="P305" s="2"/>
      <c r="Q305" s="42"/>
      <c r="R305" s="43"/>
      <c r="S305" s="44">
        <f>MEMORIAL!AJ1451</f>
        <v>2.0960000000000001</v>
      </c>
      <c r="T305" s="44"/>
      <c r="U305" s="44">
        <f t="shared" si="118"/>
        <v>2.0960000000000001</v>
      </c>
      <c r="V305" s="45">
        <f t="shared" si="121"/>
        <v>528.70000000000005</v>
      </c>
      <c r="W305" s="45">
        <f t="shared" si="119"/>
        <v>0</v>
      </c>
      <c r="X305" s="45">
        <f t="shared" si="120"/>
        <v>528.70000000000005</v>
      </c>
    </row>
    <row r="306" spans="1:24" ht="36" x14ac:dyDescent="0.2">
      <c r="A306" s="10" t="s">
        <v>1084</v>
      </c>
      <c r="B306" s="8" t="s">
        <v>109</v>
      </c>
      <c r="C306" s="7" t="s">
        <v>110</v>
      </c>
      <c r="D306" s="8" t="s">
        <v>18</v>
      </c>
      <c r="E306" s="8" t="s">
        <v>54</v>
      </c>
      <c r="F306" s="39"/>
      <c r="G306" s="39">
        <v>13.02</v>
      </c>
      <c r="H306" s="39">
        <v>15.95</v>
      </c>
      <c r="I306" s="40"/>
      <c r="J306" s="41"/>
      <c r="K306" s="41"/>
      <c r="L306" s="2"/>
      <c r="M306" s="2"/>
      <c r="N306" s="2"/>
      <c r="O306" s="2"/>
      <c r="P306" s="2"/>
      <c r="Q306" s="42"/>
      <c r="R306" s="43"/>
      <c r="S306" s="44">
        <f>MEMORIAL!AJ1456</f>
        <v>82.792000000000002</v>
      </c>
      <c r="T306" s="44"/>
      <c r="U306" s="44">
        <f t="shared" si="118"/>
        <v>82.792000000000002</v>
      </c>
      <c r="V306" s="45">
        <f t="shared" si="121"/>
        <v>1320.53</v>
      </c>
      <c r="W306" s="45">
        <f t="shared" si="119"/>
        <v>0</v>
      </c>
      <c r="X306" s="45">
        <f t="shared" si="120"/>
        <v>1320.53</v>
      </c>
    </row>
    <row r="307" spans="1:24" ht="36" x14ac:dyDescent="0.2">
      <c r="A307" s="10" t="s">
        <v>1085</v>
      </c>
      <c r="B307" s="8" t="s">
        <v>96</v>
      </c>
      <c r="C307" s="7" t="s">
        <v>97</v>
      </c>
      <c r="D307" s="8" t="s">
        <v>18</v>
      </c>
      <c r="E307" s="8" t="s">
        <v>54</v>
      </c>
      <c r="F307" s="39"/>
      <c r="G307" s="39">
        <v>13.6</v>
      </c>
      <c r="H307" s="39">
        <v>16.66</v>
      </c>
      <c r="I307" s="40"/>
      <c r="J307" s="41"/>
      <c r="K307" s="41"/>
      <c r="L307" s="2"/>
      <c r="M307" s="2"/>
      <c r="N307" s="2"/>
      <c r="O307" s="2"/>
      <c r="P307" s="2"/>
      <c r="Q307" s="42"/>
      <c r="R307" s="43"/>
      <c r="S307" s="44">
        <f>MEMORIAL!AJ1461</f>
        <v>32.816373333333338</v>
      </c>
      <c r="T307" s="44"/>
      <c r="U307" s="44">
        <f>F307+S307-T307</f>
        <v>32.816373333333338</v>
      </c>
      <c r="V307" s="45">
        <f t="shared" si="121"/>
        <v>546.72</v>
      </c>
      <c r="W307" s="45">
        <f t="shared" si="119"/>
        <v>0</v>
      </c>
      <c r="X307" s="45">
        <f t="shared" si="120"/>
        <v>546.72</v>
      </c>
    </row>
    <row r="308" spans="1:24" x14ac:dyDescent="0.2">
      <c r="A308" s="136" t="s">
        <v>1071</v>
      </c>
      <c r="B308" s="250" t="s">
        <v>80</v>
      </c>
      <c r="C308" s="251"/>
      <c r="D308" s="251"/>
      <c r="E308" s="251"/>
      <c r="F308" s="251"/>
      <c r="G308" s="251"/>
      <c r="H308" s="251"/>
      <c r="I308" s="41"/>
      <c r="J308" s="41"/>
      <c r="K308" s="41"/>
      <c r="L308" s="2"/>
      <c r="M308" s="2"/>
      <c r="N308" s="2"/>
      <c r="O308" s="2"/>
      <c r="P308" s="2"/>
      <c r="Q308" s="42"/>
      <c r="R308" s="43"/>
      <c r="S308" s="44"/>
      <c r="T308" s="44"/>
      <c r="U308" s="44"/>
      <c r="V308" s="53">
        <f>SUM(V309:V313)</f>
        <v>3010.19</v>
      </c>
      <c r="W308" s="53">
        <f>SUM(W309:W313)</f>
        <v>0</v>
      </c>
      <c r="X308" s="53">
        <f>SUM(X309:X313)</f>
        <v>3010.19</v>
      </c>
    </row>
    <row r="309" spans="1:24" ht="48" x14ac:dyDescent="0.2">
      <c r="A309" s="10" t="s">
        <v>1086</v>
      </c>
      <c r="B309" s="8" t="s">
        <v>82</v>
      </c>
      <c r="C309" s="7" t="s">
        <v>83</v>
      </c>
      <c r="D309" s="8" t="s">
        <v>18</v>
      </c>
      <c r="E309" s="8" t="s">
        <v>19</v>
      </c>
      <c r="F309" s="39"/>
      <c r="G309" s="39">
        <v>41.17</v>
      </c>
      <c r="H309" s="39">
        <v>50.42</v>
      </c>
      <c r="I309" s="40"/>
      <c r="J309" s="41"/>
      <c r="K309" s="41"/>
      <c r="L309" s="2"/>
      <c r="M309" s="2"/>
      <c r="N309" s="2"/>
      <c r="O309" s="2"/>
      <c r="P309" s="2"/>
      <c r="Q309" s="42"/>
      <c r="R309" s="43"/>
      <c r="S309" s="44">
        <f>MEMORIAL!AJ1467</f>
        <v>19.200000000000003</v>
      </c>
      <c r="T309" s="44"/>
      <c r="U309" s="44">
        <f t="shared" si="118"/>
        <v>19.200000000000003</v>
      </c>
      <c r="V309" s="45">
        <f t="shared" si="121"/>
        <v>968.06</v>
      </c>
      <c r="W309" s="45">
        <f t="shared" si="119"/>
        <v>0</v>
      </c>
      <c r="X309" s="45">
        <f t="shared" si="120"/>
        <v>968.06</v>
      </c>
    </row>
    <row r="310" spans="1:24" ht="36" x14ac:dyDescent="0.2">
      <c r="A310" s="10" t="s">
        <v>1087</v>
      </c>
      <c r="B310" s="8" t="s">
        <v>46</v>
      </c>
      <c r="C310" s="7" t="s">
        <v>47</v>
      </c>
      <c r="D310" s="8" t="s">
        <v>18</v>
      </c>
      <c r="E310" s="8" t="s">
        <v>29</v>
      </c>
      <c r="F310" s="39"/>
      <c r="G310" s="39">
        <v>451.82</v>
      </c>
      <c r="H310" s="39">
        <v>553.34</v>
      </c>
      <c r="I310" s="40"/>
      <c r="J310" s="41"/>
      <c r="K310" s="41"/>
      <c r="L310" s="2"/>
      <c r="M310" s="2"/>
      <c r="N310" s="2"/>
      <c r="O310" s="2"/>
      <c r="P310" s="2"/>
      <c r="Q310" s="42"/>
      <c r="R310" s="43"/>
      <c r="S310" s="44">
        <f>MEMORIAL!AJ1472</f>
        <v>0.96000000000000019</v>
      </c>
      <c r="T310" s="44"/>
      <c r="U310" s="44">
        <f t="shared" si="118"/>
        <v>0.96000000000000019</v>
      </c>
      <c r="V310" s="45">
        <f t="shared" si="121"/>
        <v>531.21</v>
      </c>
      <c r="W310" s="45">
        <f t="shared" si="119"/>
        <v>0</v>
      </c>
      <c r="X310" s="45">
        <f t="shared" si="120"/>
        <v>531.21</v>
      </c>
    </row>
    <row r="311" spans="1:24" ht="24" x14ac:dyDescent="0.2">
      <c r="A311" s="10" t="s">
        <v>1088</v>
      </c>
      <c r="B311" s="8" t="s">
        <v>49</v>
      </c>
      <c r="C311" s="7" t="s">
        <v>50</v>
      </c>
      <c r="D311" s="8" t="s">
        <v>18</v>
      </c>
      <c r="E311" s="8" t="s">
        <v>29</v>
      </c>
      <c r="F311" s="39"/>
      <c r="G311" s="39">
        <v>205.96</v>
      </c>
      <c r="H311" s="39">
        <v>252.24</v>
      </c>
      <c r="I311" s="40"/>
      <c r="J311" s="41"/>
      <c r="K311" s="41"/>
      <c r="L311" s="2"/>
      <c r="M311" s="2"/>
      <c r="N311" s="2"/>
      <c r="O311" s="2"/>
      <c r="P311" s="2"/>
      <c r="Q311" s="42"/>
      <c r="R311" s="43"/>
      <c r="S311" s="44">
        <f>MEMORIAL!AJ1477</f>
        <v>0.96000000000000019</v>
      </c>
      <c r="T311" s="44"/>
      <c r="U311" s="44">
        <f t="shared" si="118"/>
        <v>0.96000000000000019</v>
      </c>
      <c r="V311" s="45">
        <f t="shared" si="121"/>
        <v>242.15</v>
      </c>
      <c r="W311" s="45">
        <f t="shared" si="119"/>
        <v>0</v>
      </c>
      <c r="X311" s="45">
        <f t="shared" si="120"/>
        <v>242.15</v>
      </c>
    </row>
    <row r="312" spans="1:24" ht="36" x14ac:dyDescent="0.2">
      <c r="A312" s="10" t="s">
        <v>1089</v>
      </c>
      <c r="B312" s="8" t="s">
        <v>87</v>
      </c>
      <c r="C312" s="7" t="s">
        <v>88</v>
      </c>
      <c r="D312" s="8" t="s">
        <v>18</v>
      </c>
      <c r="E312" s="8" t="s">
        <v>54</v>
      </c>
      <c r="F312" s="39"/>
      <c r="G312" s="39">
        <v>11.83</v>
      </c>
      <c r="H312" s="39">
        <v>14.49</v>
      </c>
      <c r="I312" s="40"/>
      <c r="J312" s="41"/>
      <c r="K312" s="41"/>
      <c r="L312" s="2"/>
      <c r="M312" s="2"/>
      <c r="N312" s="2"/>
      <c r="O312" s="2"/>
      <c r="P312" s="2"/>
      <c r="Q312" s="42"/>
      <c r="R312" s="43"/>
      <c r="S312" s="44">
        <f>MEMORIAL!AJ1482</f>
        <v>59.231999999999999</v>
      </c>
      <c r="T312" s="44"/>
      <c r="U312" s="44">
        <f t="shared" si="118"/>
        <v>59.231999999999999</v>
      </c>
      <c r="V312" s="45">
        <f t="shared" si="121"/>
        <v>858.27</v>
      </c>
      <c r="W312" s="45">
        <f t="shared" si="119"/>
        <v>0</v>
      </c>
      <c r="X312" s="45">
        <f t="shared" si="120"/>
        <v>858.27</v>
      </c>
    </row>
    <row r="313" spans="1:24" ht="36" x14ac:dyDescent="0.2">
      <c r="A313" s="17" t="s">
        <v>1090</v>
      </c>
      <c r="B313" s="14" t="s">
        <v>96</v>
      </c>
      <c r="C313" s="15" t="s">
        <v>97</v>
      </c>
      <c r="D313" s="14" t="s">
        <v>18</v>
      </c>
      <c r="E313" s="14" t="s">
        <v>54</v>
      </c>
      <c r="F313" s="57"/>
      <c r="G313" s="57">
        <v>13.6</v>
      </c>
      <c r="H313" s="57">
        <v>16.66</v>
      </c>
      <c r="I313" s="58"/>
      <c r="J313" s="59"/>
      <c r="K313" s="41"/>
      <c r="L313" s="2"/>
      <c r="M313" s="2"/>
      <c r="N313" s="2"/>
      <c r="O313" s="2"/>
      <c r="P313" s="2"/>
      <c r="Q313" s="42"/>
      <c r="R313" s="43"/>
      <c r="S313" s="44">
        <f>MEMORIAL!AJ1487</f>
        <v>24.64</v>
      </c>
      <c r="T313" s="44"/>
      <c r="U313" s="44">
        <f t="shared" si="118"/>
        <v>24.64</v>
      </c>
      <c r="V313" s="45">
        <f t="shared" si="121"/>
        <v>410.5</v>
      </c>
      <c r="W313" s="45">
        <f t="shared" si="119"/>
        <v>0</v>
      </c>
      <c r="X313" s="45">
        <f t="shared" si="120"/>
        <v>410.5</v>
      </c>
    </row>
    <row r="314" spans="1:24" x14ac:dyDescent="0.2">
      <c r="A314" s="104" t="s">
        <v>1072</v>
      </c>
      <c r="B314" s="252" t="s">
        <v>1091</v>
      </c>
      <c r="C314" s="252"/>
      <c r="D314" s="252"/>
      <c r="E314" s="252"/>
      <c r="F314" s="252"/>
      <c r="G314" s="252"/>
      <c r="H314" s="252"/>
      <c r="I314" s="41"/>
      <c r="J314" s="41"/>
      <c r="K314" s="41"/>
      <c r="L314" s="2"/>
      <c r="M314" s="2"/>
      <c r="N314" s="2"/>
      <c r="O314" s="2"/>
      <c r="P314" s="2"/>
      <c r="Q314" s="42"/>
      <c r="R314" s="43"/>
      <c r="S314" s="44"/>
      <c r="T314" s="44"/>
      <c r="U314" s="44"/>
      <c r="V314" s="53">
        <f>SUM(V315:V318)</f>
        <v>4580.8100000000004</v>
      </c>
      <c r="W314" s="53">
        <f>SUM(W315:W318)</f>
        <v>0</v>
      </c>
      <c r="X314" s="53">
        <f>SUM(X315:X318)</f>
        <v>4580.8100000000004</v>
      </c>
    </row>
    <row r="315" spans="1:24" ht="36" x14ac:dyDescent="0.2">
      <c r="A315" s="132" t="s">
        <v>1092</v>
      </c>
      <c r="B315" s="8" t="s">
        <v>129</v>
      </c>
      <c r="C315" s="7" t="s">
        <v>130</v>
      </c>
      <c r="D315" s="8" t="s">
        <v>18</v>
      </c>
      <c r="E315" s="8" t="s">
        <v>19</v>
      </c>
      <c r="F315" s="39"/>
      <c r="G315" s="39">
        <v>149.19</v>
      </c>
      <c r="H315" s="39">
        <v>182.71</v>
      </c>
      <c r="I315" s="40"/>
      <c r="J315" s="41"/>
      <c r="K315" s="41"/>
      <c r="L315" s="2"/>
      <c r="M315" s="2"/>
      <c r="N315" s="2"/>
      <c r="O315" s="2"/>
      <c r="P315" s="2"/>
      <c r="Q315" s="42"/>
      <c r="R315" s="43"/>
      <c r="S315" s="44">
        <f>MEMORIAL!AJ1492</f>
        <v>10.8775</v>
      </c>
      <c r="T315" s="44"/>
      <c r="U315" s="44">
        <f t="shared" si="118"/>
        <v>10.8775</v>
      </c>
      <c r="V315" s="45">
        <f t="shared" si="121"/>
        <v>1987.43</v>
      </c>
      <c r="W315" s="45">
        <f t="shared" si="119"/>
        <v>0</v>
      </c>
      <c r="X315" s="45">
        <f t="shared" si="120"/>
        <v>1987.43</v>
      </c>
    </row>
    <row r="316" spans="1:24" ht="24" x14ac:dyDescent="0.2">
      <c r="A316" s="132" t="s">
        <v>1093</v>
      </c>
      <c r="B316" s="8" t="s">
        <v>101</v>
      </c>
      <c r="C316" s="7" t="s">
        <v>102</v>
      </c>
      <c r="D316" s="8" t="s">
        <v>18</v>
      </c>
      <c r="E316" s="8" t="s">
        <v>19</v>
      </c>
      <c r="F316" s="39"/>
      <c r="G316" s="39">
        <v>96.01</v>
      </c>
      <c r="H316" s="39">
        <v>117.58</v>
      </c>
      <c r="I316" s="40"/>
      <c r="J316" s="41"/>
      <c r="K316" s="41"/>
      <c r="L316" s="2"/>
      <c r="M316" s="2"/>
      <c r="N316" s="2"/>
      <c r="O316" s="2"/>
      <c r="P316" s="2"/>
      <c r="Q316" s="42"/>
      <c r="R316" s="43"/>
      <c r="S316" s="44">
        <f>MEMORIAL!AJ1496</f>
        <v>10.8775</v>
      </c>
      <c r="T316" s="44"/>
      <c r="U316" s="44">
        <f t="shared" si="118"/>
        <v>10.8775</v>
      </c>
      <c r="V316" s="45">
        <f t="shared" si="121"/>
        <v>1278.98</v>
      </c>
      <c r="W316" s="45">
        <f t="shared" si="119"/>
        <v>0</v>
      </c>
      <c r="X316" s="45">
        <f t="shared" si="120"/>
        <v>1278.98</v>
      </c>
    </row>
    <row r="317" spans="1:24" ht="36" x14ac:dyDescent="0.2">
      <c r="A317" s="132" t="s">
        <v>1094</v>
      </c>
      <c r="B317" s="8" t="s">
        <v>46</v>
      </c>
      <c r="C317" s="7" t="s">
        <v>47</v>
      </c>
      <c r="D317" s="8" t="s">
        <v>18</v>
      </c>
      <c r="E317" s="8" t="s">
        <v>29</v>
      </c>
      <c r="F317" s="39"/>
      <c r="G317" s="39">
        <v>451.82</v>
      </c>
      <c r="H317" s="39">
        <v>553.34</v>
      </c>
      <c r="I317" s="40"/>
      <c r="J317" s="41"/>
      <c r="K317" s="41"/>
      <c r="L317" s="2"/>
      <c r="M317" s="2"/>
      <c r="N317" s="2"/>
      <c r="O317" s="2"/>
      <c r="P317" s="2"/>
      <c r="Q317" s="42"/>
      <c r="R317" s="43"/>
      <c r="S317" s="44">
        <f>MEMORIAL!AJ1500</f>
        <v>1.6316249999999997</v>
      </c>
      <c r="T317" s="44"/>
      <c r="U317" s="44">
        <f t="shared" si="118"/>
        <v>1.6316249999999997</v>
      </c>
      <c r="V317" s="45">
        <f t="shared" si="121"/>
        <v>902.84</v>
      </c>
      <c r="W317" s="45">
        <f t="shared" si="119"/>
        <v>0</v>
      </c>
      <c r="X317" s="45">
        <f t="shared" si="120"/>
        <v>902.84</v>
      </c>
    </row>
    <row r="318" spans="1:24" ht="24" x14ac:dyDescent="0.2">
      <c r="A318" s="140" t="s">
        <v>1095</v>
      </c>
      <c r="B318" s="14" t="s">
        <v>49</v>
      </c>
      <c r="C318" s="15" t="s">
        <v>50</v>
      </c>
      <c r="D318" s="14" t="s">
        <v>18</v>
      </c>
      <c r="E318" s="14" t="s">
        <v>29</v>
      </c>
      <c r="F318" s="57"/>
      <c r="G318" s="57">
        <v>205.96</v>
      </c>
      <c r="H318" s="57">
        <v>252.24</v>
      </c>
      <c r="I318" s="58"/>
      <c r="J318" s="59"/>
      <c r="K318" s="59"/>
      <c r="L318" s="60"/>
      <c r="M318" s="60"/>
      <c r="N318" s="60"/>
      <c r="O318" s="60"/>
      <c r="P318" s="60"/>
      <c r="Q318" s="61"/>
      <c r="R318" s="62"/>
      <c r="S318" s="63">
        <f>MEMORIAL!AJ1504</f>
        <v>1.6316249999999997</v>
      </c>
      <c r="T318" s="63"/>
      <c r="U318" s="63">
        <f t="shared" si="118"/>
        <v>1.6316249999999997</v>
      </c>
      <c r="V318" s="64">
        <f t="shared" si="121"/>
        <v>411.56</v>
      </c>
      <c r="W318" s="64">
        <f t="shared" si="119"/>
        <v>0</v>
      </c>
      <c r="X318" s="64">
        <f t="shared" si="120"/>
        <v>411.56</v>
      </c>
    </row>
    <row r="319" spans="1:24" x14ac:dyDescent="0.2">
      <c r="A319" s="104" t="s">
        <v>1106</v>
      </c>
      <c r="B319" s="252" t="s">
        <v>1107</v>
      </c>
      <c r="C319" s="252"/>
      <c r="D319" s="252"/>
      <c r="E319" s="252"/>
      <c r="F319" s="252"/>
      <c r="G319" s="252"/>
      <c r="H319" s="252"/>
      <c r="I319" s="41"/>
      <c r="J319" s="41"/>
      <c r="K319" s="41"/>
      <c r="L319" s="2"/>
      <c r="M319" s="2"/>
      <c r="N319" s="2"/>
      <c r="O319" s="2"/>
      <c r="P319" s="2"/>
      <c r="Q319" s="42"/>
      <c r="R319" s="43"/>
      <c r="S319" s="44"/>
      <c r="T319" s="44"/>
      <c r="U319" s="63">
        <f t="shared" ref="U319:U323" si="122">F319+S319-T319</f>
        <v>0</v>
      </c>
      <c r="V319" s="135">
        <f>SUM(V320)</f>
        <v>3569.55</v>
      </c>
      <c r="W319" s="135">
        <f t="shared" ref="W319:X319" si="123">SUM(W320)</f>
        <v>0</v>
      </c>
      <c r="X319" s="135">
        <f t="shared" si="123"/>
        <v>3569.55</v>
      </c>
    </row>
    <row r="320" spans="1:24" ht="36" x14ac:dyDescent="0.2">
      <c r="A320" s="132" t="s">
        <v>1108</v>
      </c>
      <c r="B320" s="11" t="s">
        <v>145</v>
      </c>
      <c r="C320" s="10" t="s">
        <v>146</v>
      </c>
      <c r="D320" s="11" t="s">
        <v>18</v>
      </c>
      <c r="E320" s="11" t="s">
        <v>19</v>
      </c>
      <c r="F320" s="41"/>
      <c r="G320" s="41">
        <v>68.55</v>
      </c>
      <c r="H320" s="41">
        <v>83.95</v>
      </c>
      <c r="I320" s="41"/>
      <c r="J320" s="41"/>
      <c r="K320" s="41"/>
      <c r="L320" s="2"/>
      <c r="M320" s="2"/>
      <c r="N320" s="2"/>
      <c r="O320" s="2"/>
      <c r="P320" s="2"/>
      <c r="Q320" s="42"/>
      <c r="R320" s="43"/>
      <c r="S320" s="44">
        <f>MEMORIAL!AJ1510</f>
        <v>42.519999999999996</v>
      </c>
      <c r="T320" s="44"/>
      <c r="U320" s="44">
        <f t="shared" si="122"/>
        <v>42.519999999999996</v>
      </c>
      <c r="V320" s="45">
        <f t="shared" ref="V320:V323" si="124">ROUND(H320*S320,2)</f>
        <v>3569.55</v>
      </c>
      <c r="W320" s="64">
        <f t="shared" ref="W320:W323" si="125">ROUND(H320*T320,2)</f>
        <v>0</v>
      </c>
      <c r="X320" s="64">
        <f t="shared" ref="X320:X323" si="126">ROUND(H320*U320,2)</f>
        <v>3569.55</v>
      </c>
    </row>
    <row r="321" spans="1:27" x14ac:dyDescent="0.2">
      <c r="A321" s="104" t="s">
        <v>1109</v>
      </c>
      <c r="B321" s="252" t="s">
        <v>202</v>
      </c>
      <c r="C321" s="252"/>
      <c r="D321" s="252"/>
      <c r="E321" s="252"/>
      <c r="F321" s="252"/>
      <c r="G321" s="252"/>
      <c r="H321" s="252"/>
      <c r="I321" s="41"/>
      <c r="J321" s="41"/>
      <c r="K321" s="41"/>
      <c r="L321" s="2"/>
      <c r="M321" s="2"/>
      <c r="N321" s="2"/>
      <c r="O321" s="2"/>
      <c r="P321" s="2"/>
      <c r="Q321" s="42"/>
      <c r="R321" s="43"/>
      <c r="S321" s="44"/>
      <c r="T321" s="44"/>
      <c r="U321" s="44">
        <f t="shared" si="122"/>
        <v>0</v>
      </c>
      <c r="V321" s="53">
        <f>SUM(V322:V323)</f>
        <v>2392.1800000000003</v>
      </c>
      <c r="W321" s="53">
        <f>SUM(W322:W323)</f>
        <v>0</v>
      </c>
      <c r="X321" s="53">
        <f>SUM(X322:X323)</f>
        <v>2392.1800000000003</v>
      </c>
    </row>
    <row r="322" spans="1:27" ht="36" x14ac:dyDescent="0.2">
      <c r="A322" s="132" t="s">
        <v>1110</v>
      </c>
      <c r="B322" s="11" t="s">
        <v>204</v>
      </c>
      <c r="C322" s="10" t="s">
        <v>205</v>
      </c>
      <c r="D322" s="11" t="s">
        <v>18</v>
      </c>
      <c r="E322" s="11" t="s">
        <v>19</v>
      </c>
      <c r="F322" s="41"/>
      <c r="G322" s="41">
        <v>3.38</v>
      </c>
      <c r="H322" s="41">
        <v>4.1399999999999997</v>
      </c>
      <c r="I322" s="41"/>
      <c r="J322" s="41"/>
      <c r="K322" s="41"/>
      <c r="L322" s="2"/>
      <c r="M322" s="2"/>
      <c r="N322" s="2"/>
      <c r="O322" s="2"/>
      <c r="P322" s="2"/>
      <c r="Q322" s="42"/>
      <c r="R322" s="43"/>
      <c r="S322" s="44">
        <f>MEMORIAL!AJ1516</f>
        <v>60.12</v>
      </c>
      <c r="T322" s="44"/>
      <c r="U322" s="44">
        <f t="shared" si="122"/>
        <v>60.12</v>
      </c>
      <c r="V322" s="45">
        <f t="shared" si="124"/>
        <v>248.9</v>
      </c>
      <c r="W322" s="64">
        <f t="shared" si="125"/>
        <v>0</v>
      </c>
      <c r="X322" s="64">
        <f t="shared" si="126"/>
        <v>248.9</v>
      </c>
    </row>
    <row r="323" spans="1:27" ht="60" x14ac:dyDescent="0.2">
      <c r="A323" s="7" t="s">
        <v>215</v>
      </c>
      <c r="B323" s="8" t="s">
        <v>216</v>
      </c>
      <c r="C323" s="7" t="s">
        <v>217</v>
      </c>
      <c r="D323" s="8" t="s">
        <v>18</v>
      </c>
      <c r="E323" s="8" t="s">
        <v>19</v>
      </c>
      <c r="F323" s="39"/>
      <c r="G323" s="39">
        <v>29.11</v>
      </c>
      <c r="H323" s="39">
        <v>35.65</v>
      </c>
      <c r="I323" s="40"/>
      <c r="J323" s="41"/>
      <c r="K323" s="41"/>
      <c r="L323" s="2"/>
      <c r="M323" s="2"/>
      <c r="N323" s="2"/>
      <c r="O323" s="2"/>
      <c r="P323" s="2"/>
      <c r="Q323" s="42"/>
      <c r="R323" s="43"/>
      <c r="S323" s="44">
        <f>MEMORIAL!AJ1521</f>
        <v>60.12</v>
      </c>
      <c r="T323" s="44"/>
      <c r="U323" s="44">
        <f t="shared" si="122"/>
        <v>60.12</v>
      </c>
      <c r="V323" s="45">
        <f t="shared" si="124"/>
        <v>2143.2800000000002</v>
      </c>
      <c r="W323" s="45">
        <f t="shared" si="125"/>
        <v>0</v>
      </c>
      <c r="X323" s="45">
        <f t="shared" si="126"/>
        <v>2143.2800000000002</v>
      </c>
    </row>
    <row r="324" spans="1:27" x14ac:dyDescent="0.2">
      <c r="A324" s="104" t="s">
        <v>1112</v>
      </c>
      <c r="B324" s="252" t="s">
        <v>1114</v>
      </c>
      <c r="C324" s="252"/>
      <c r="D324" s="252"/>
      <c r="E324" s="252"/>
      <c r="F324" s="252"/>
      <c r="G324" s="252"/>
      <c r="H324" s="252"/>
      <c r="I324" s="41"/>
      <c r="J324" s="41"/>
      <c r="K324" s="41"/>
      <c r="L324" s="2"/>
      <c r="M324" s="2"/>
      <c r="N324" s="2"/>
      <c r="O324" s="2"/>
      <c r="P324" s="2"/>
      <c r="Q324" s="42"/>
      <c r="R324" s="43"/>
      <c r="S324" s="44"/>
      <c r="T324" s="44"/>
      <c r="U324" s="44"/>
      <c r="V324" s="53">
        <f>SUM(V325)</f>
        <v>429.72</v>
      </c>
      <c r="W324" s="53">
        <f>SUM(W325)</f>
        <v>0</v>
      </c>
      <c r="X324" s="53">
        <f>SUM(X325)</f>
        <v>429.72</v>
      </c>
    </row>
    <row r="325" spans="1:27" ht="24" x14ac:dyDescent="0.2">
      <c r="A325" s="132" t="s">
        <v>1113</v>
      </c>
      <c r="B325" s="8" t="s">
        <v>244</v>
      </c>
      <c r="C325" s="7" t="s">
        <v>245</v>
      </c>
      <c r="D325" s="8" t="s">
        <v>18</v>
      </c>
      <c r="E325" s="8" t="s">
        <v>19</v>
      </c>
      <c r="F325" s="39"/>
      <c r="G325" s="39">
        <v>26.67</v>
      </c>
      <c r="H325" s="39">
        <v>32.659999999999997</v>
      </c>
      <c r="I325" s="40"/>
      <c r="J325" s="41"/>
      <c r="K325" s="41"/>
      <c r="L325" s="2"/>
      <c r="M325" s="2"/>
      <c r="N325" s="2"/>
      <c r="O325" s="2"/>
      <c r="P325" s="2"/>
      <c r="Q325" s="42"/>
      <c r="R325" s="43"/>
      <c r="S325" s="44">
        <f>MEMORIAL!AJ1527</f>
        <v>13.157499999999999</v>
      </c>
      <c r="T325" s="44"/>
      <c r="U325" s="44">
        <f t="shared" ref="U325" si="127">F325+S325-T325</f>
        <v>13.157499999999999</v>
      </c>
      <c r="V325" s="45">
        <f t="shared" ref="V325" si="128">ROUND(H325*S325,2)</f>
        <v>429.72</v>
      </c>
      <c r="W325" s="45">
        <f t="shared" ref="W325" si="129">ROUND(H325*T325,2)</f>
        <v>0</v>
      </c>
      <c r="X325" s="45">
        <f t="shared" ref="X325" si="130">ROUND(H325*U325,2)</f>
        <v>429.72</v>
      </c>
    </row>
    <row r="326" spans="1:27" ht="15" x14ac:dyDescent="0.25">
      <c r="A326" s="65"/>
      <c r="B326" s="65"/>
      <c r="C326" s="65"/>
      <c r="D326" s="65"/>
      <c r="E326" s="65"/>
      <c r="F326" s="65"/>
      <c r="G326" s="65"/>
      <c r="J326" s="66"/>
      <c r="V326" s="67">
        <f>V8+V13+V19+V29+V36+V44+V54+V58+V66+V68+V72+V78+V81+V88+V95+V98+V107+V123+V127+V138+V193+V233+V257+V264+V273+V282+V288+V293</f>
        <v>348928.41</v>
      </c>
      <c r="W326" s="67">
        <f>W8+W13+W19+W29+W36+W44+W54+W58+W66+W68+W72+W78+W81+W88+W95+W98+W107+W123+W127+W138+W193+W233+W257+W264+W273+W282+W288+W293</f>
        <v>236252.53999999998</v>
      </c>
      <c r="X326" s="67">
        <f>X8+X13+X19+X29+X36+X44+X54+X58+X66+X68+X72+X78+X81+X88+X95+X98+X107+X123+X127+X138+X193+X233+X257+X264+X273+X282+X288+X293</f>
        <v>1025601.9100000001</v>
      </c>
      <c r="Y326" s="47"/>
    </row>
    <row r="327" spans="1:27" ht="15" x14ac:dyDescent="0.25">
      <c r="A327" s="65"/>
      <c r="B327" s="65"/>
      <c r="C327" s="65"/>
      <c r="D327" s="65"/>
      <c r="E327" s="65"/>
      <c r="F327" s="65"/>
      <c r="G327" s="65"/>
      <c r="J327" s="66"/>
      <c r="U327" s="66"/>
      <c r="V327" s="68"/>
      <c r="W327" s="68"/>
      <c r="X327" s="68"/>
      <c r="Y327" s="232"/>
    </row>
    <row r="328" spans="1:27" ht="15" x14ac:dyDescent="0.25">
      <c r="A328" s="65"/>
      <c r="B328" s="65"/>
      <c r="C328" s="65"/>
      <c r="D328" s="65"/>
      <c r="E328" s="65"/>
      <c r="F328" s="65"/>
      <c r="G328" s="65"/>
      <c r="J328" s="66"/>
      <c r="V328" s="68"/>
      <c r="W328" s="68"/>
      <c r="X328" s="68"/>
      <c r="Y328" s="47"/>
    </row>
    <row r="329" spans="1:27" ht="15" x14ac:dyDescent="0.25">
      <c r="A329" s="65"/>
      <c r="B329" s="65"/>
      <c r="C329" s="65"/>
      <c r="D329" s="65"/>
      <c r="E329" s="65"/>
      <c r="F329" s="65"/>
      <c r="G329" s="65"/>
      <c r="J329" s="66"/>
      <c r="V329" s="68"/>
      <c r="W329" s="68"/>
      <c r="X329" s="240"/>
      <c r="Y329" s="47"/>
    </row>
    <row r="330" spans="1:27" ht="15" x14ac:dyDescent="0.25">
      <c r="A330" s="65"/>
      <c r="B330" s="65"/>
      <c r="C330" s="65"/>
      <c r="D330" s="65"/>
      <c r="E330" s="65"/>
      <c r="F330" s="65"/>
      <c r="G330" s="65"/>
      <c r="J330" s="66"/>
      <c r="V330" s="68"/>
      <c r="W330" s="68"/>
      <c r="X330" s="68"/>
      <c r="Y330" s="47"/>
    </row>
    <row r="331" spans="1:27" x14ac:dyDescent="0.2">
      <c r="A331" s="114"/>
      <c r="B331" s="114"/>
      <c r="C331" s="114"/>
      <c r="D331" s="114"/>
      <c r="E331" s="114"/>
      <c r="F331" s="114"/>
      <c r="G331" s="114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6"/>
      <c r="U331" s="117"/>
      <c r="V331" s="117"/>
      <c r="W331" s="116"/>
      <c r="X331" s="116"/>
      <c r="Y331" s="118"/>
      <c r="Z331" s="117"/>
      <c r="AA331" s="115"/>
    </row>
    <row r="332" spans="1:27" x14ac:dyDescent="0.2">
      <c r="A332" s="114"/>
      <c r="B332" s="114"/>
      <c r="C332" s="114"/>
      <c r="D332" s="114"/>
      <c r="E332" s="114"/>
      <c r="F332" s="114"/>
      <c r="G332" s="114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9"/>
      <c r="U332" s="119"/>
      <c r="V332" s="120"/>
      <c r="W332" s="119"/>
      <c r="X332" s="119"/>
      <c r="Y332" s="119"/>
      <c r="Z332" s="120"/>
      <c r="AA332" s="115"/>
    </row>
    <row r="333" spans="1:27" ht="15.75" x14ac:dyDescent="0.25">
      <c r="A333" s="114"/>
      <c r="B333" s="114"/>
      <c r="C333" s="114"/>
      <c r="D333" s="114"/>
      <c r="E333" s="114"/>
      <c r="F333" s="114"/>
      <c r="G333" s="114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255"/>
      <c r="U333" s="255"/>
      <c r="V333" s="255"/>
      <c r="W333" s="121"/>
      <c r="X333" s="122"/>
      <c r="Y333" s="122"/>
      <c r="Z333" s="115"/>
      <c r="AA333" s="115"/>
    </row>
    <row r="334" spans="1:27" ht="15.75" x14ac:dyDescent="0.25">
      <c r="A334" s="114"/>
      <c r="B334" s="114"/>
      <c r="C334" s="253" t="s">
        <v>709</v>
      </c>
      <c r="D334" s="253"/>
      <c r="E334" s="25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1:27" ht="15.75" x14ac:dyDescent="0.25">
      <c r="A335" s="114"/>
      <c r="B335" s="114"/>
      <c r="C335" s="253"/>
      <c r="D335" s="253"/>
      <c r="E335" s="253"/>
      <c r="F335" s="123"/>
      <c r="G335" s="123"/>
      <c r="H335" s="253" t="s">
        <v>912</v>
      </c>
      <c r="I335" s="253"/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  <c r="AA335" s="253"/>
    </row>
    <row r="336" spans="1:27" ht="15.75" x14ac:dyDescent="0.25">
      <c r="A336" s="114"/>
      <c r="B336" s="114"/>
      <c r="C336" s="254" t="s">
        <v>706</v>
      </c>
      <c r="D336" s="254"/>
      <c r="E336" s="254"/>
      <c r="F336" s="123"/>
      <c r="G336" s="123"/>
      <c r="H336" s="254" t="s">
        <v>707</v>
      </c>
      <c r="I336" s="254"/>
      <c r="J336" s="25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254"/>
      <c r="Z336" s="254"/>
      <c r="AA336" s="254"/>
    </row>
    <row r="337" spans="1:27" ht="15.75" x14ac:dyDescent="0.25">
      <c r="A337" s="114"/>
      <c r="B337" s="114"/>
      <c r="C337" s="253" t="s">
        <v>710</v>
      </c>
      <c r="D337" s="253"/>
      <c r="E337" s="253"/>
      <c r="F337" s="123"/>
      <c r="G337" s="123"/>
      <c r="H337" s="254"/>
      <c r="I337" s="254"/>
      <c r="J337" s="25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254"/>
      <c r="Z337" s="254"/>
      <c r="AA337" s="254"/>
    </row>
    <row r="338" spans="1:27" ht="15.75" x14ac:dyDescent="0.25">
      <c r="A338" s="114"/>
      <c r="B338" s="114"/>
      <c r="C338" s="253" t="s">
        <v>913</v>
      </c>
      <c r="D338" s="253"/>
      <c r="E338" s="253"/>
      <c r="F338" s="123"/>
      <c r="G338" s="123"/>
      <c r="H338" s="253"/>
      <c r="I338" s="253"/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  <c r="AA338" s="253"/>
    </row>
    <row r="339" spans="1:27" ht="15" hidden="1" x14ac:dyDescent="0.25">
      <c r="A339" s="65"/>
      <c r="B339" s="65"/>
      <c r="C339" s="65"/>
      <c r="D339" s="65"/>
      <c r="E339" s="65"/>
      <c r="F339" s="65"/>
      <c r="G339" s="65"/>
      <c r="V339" s="68"/>
      <c r="W339" s="68"/>
      <c r="X339" s="68"/>
    </row>
    <row r="340" spans="1:27" hidden="1" x14ac:dyDescent="0.2">
      <c r="A340" s="65"/>
      <c r="B340" s="65"/>
      <c r="C340" s="65"/>
      <c r="D340" s="65"/>
      <c r="E340" s="65"/>
      <c r="F340" s="65"/>
      <c r="G340" s="65"/>
      <c r="T340" s="69"/>
      <c r="U340" s="70"/>
      <c r="V340" s="70"/>
      <c r="W340" s="69"/>
      <c r="X340" s="69"/>
      <c r="Y340" s="71">
        <f>W343+V326-W326</f>
        <v>1025601.8899999999</v>
      </c>
      <c r="Z340" s="70"/>
    </row>
    <row r="341" spans="1:27" hidden="1" x14ac:dyDescent="0.2">
      <c r="A341" s="65"/>
      <c r="B341" s="65"/>
      <c r="C341" s="65"/>
      <c r="D341" s="65"/>
      <c r="E341" s="65"/>
      <c r="F341" s="65"/>
      <c r="G341" s="65"/>
      <c r="T341" s="72"/>
      <c r="U341" s="72"/>
      <c r="V341" s="73"/>
      <c r="W341" s="72"/>
      <c r="X341" s="72"/>
      <c r="Y341" s="72"/>
      <c r="Z341" s="73"/>
    </row>
    <row r="342" spans="1:27" ht="15.75" hidden="1" customHeight="1" x14ac:dyDescent="0.25">
      <c r="A342" s="65"/>
      <c r="B342" s="65"/>
      <c r="C342" s="65"/>
      <c r="D342" s="65"/>
      <c r="E342" s="65"/>
      <c r="F342" s="65"/>
      <c r="G342" s="65"/>
      <c r="T342" s="256" t="s">
        <v>735</v>
      </c>
      <c r="U342" s="256"/>
      <c r="V342" s="256"/>
      <c r="W342" s="74">
        <v>931377.91</v>
      </c>
      <c r="X342" s="75"/>
      <c r="Y342" s="75"/>
    </row>
    <row r="343" spans="1:27" ht="15.75" hidden="1" customHeight="1" x14ac:dyDescent="0.25">
      <c r="A343" s="65"/>
      <c r="B343" s="65"/>
      <c r="C343" s="65"/>
      <c r="D343" s="65"/>
      <c r="E343" s="65"/>
      <c r="F343" s="65"/>
      <c r="G343" s="65"/>
      <c r="T343" s="256" t="s">
        <v>723</v>
      </c>
      <c r="U343" s="256"/>
      <c r="V343" s="256"/>
      <c r="W343" s="74">
        <v>912926.02</v>
      </c>
      <c r="X343" s="75"/>
      <c r="Y343" s="75"/>
    </row>
    <row r="344" spans="1:27" ht="15.75" hidden="1" customHeight="1" x14ac:dyDescent="0.25">
      <c r="A344" s="65"/>
      <c r="B344" s="65"/>
      <c r="C344" s="65"/>
      <c r="D344" s="65"/>
      <c r="E344" s="65"/>
      <c r="F344" s="65"/>
      <c r="G344" s="65"/>
      <c r="T344" s="256" t="s">
        <v>723</v>
      </c>
      <c r="U344" s="256"/>
      <c r="V344" s="256"/>
      <c r="W344" s="76">
        <f>W343/W342</f>
        <v>0.98018861108698618</v>
      </c>
      <c r="X344" s="75">
        <v>0.98018861099999999</v>
      </c>
      <c r="Y344" s="75"/>
    </row>
    <row r="345" spans="1:27" ht="15.75" hidden="1" customHeight="1" x14ac:dyDescent="0.25">
      <c r="A345" s="65"/>
      <c r="B345" s="65"/>
      <c r="C345" s="65"/>
      <c r="D345" s="65"/>
      <c r="E345" s="65"/>
      <c r="F345" s="65"/>
      <c r="G345" s="65"/>
      <c r="T345" s="256" t="s">
        <v>733</v>
      </c>
      <c r="U345" s="256"/>
      <c r="V345" s="256"/>
      <c r="W345" s="74">
        <f>AB291</f>
        <v>0</v>
      </c>
      <c r="Y345" s="75"/>
    </row>
    <row r="346" spans="1:27" ht="15.75" hidden="1" customHeight="1" x14ac:dyDescent="0.25">
      <c r="A346" s="65"/>
      <c r="B346" s="65"/>
      <c r="C346" s="65"/>
      <c r="D346" s="65"/>
      <c r="E346" s="65"/>
      <c r="F346" s="65"/>
      <c r="G346" s="65"/>
      <c r="T346" s="256" t="s">
        <v>736</v>
      </c>
      <c r="U346" s="256"/>
      <c r="V346" s="256"/>
      <c r="W346" s="74">
        <f>W342-W343</f>
        <v>18451.890000000014</v>
      </c>
      <c r="X346" s="75"/>
      <c r="Y346" s="75"/>
    </row>
    <row r="347" spans="1:27" ht="15.75" hidden="1" customHeight="1" x14ac:dyDescent="0.25">
      <c r="A347" s="65"/>
      <c r="B347" s="65"/>
      <c r="C347" s="65"/>
      <c r="D347" s="65"/>
      <c r="E347" s="65"/>
      <c r="F347" s="65"/>
      <c r="G347" s="65"/>
      <c r="T347" s="256" t="s">
        <v>737</v>
      </c>
      <c r="U347" s="256"/>
      <c r="V347" s="256"/>
      <c r="W347" s="74"/>
      <c r="X347" s="75"/>
      <c r="Y347" s="75"/>
    </row>
    <row r="348" spans="1:27" ht="15.75" hidden="1" customHeight="1" x14ac:dyDescent="0.25">
      <c r="A348" s="65"/>
      <c r="B348" s="65"/>
      <c r="C348" s="65"/>
      <c r="D348" s="65"/>
      <c r="E348" s="65"/>
      <c r="F348" s="65"/>
      <c r="G348" s="65"/>
      <c r="T348" s="256" t="s">
        <v>734</v>
      </c>
      <c r="U348" s="256"/>
      <c r="V348" s="256"/>
      <c r="W348" s="74"/>
      <c r="X348" s="75"/>
      <c r="Y348" s="75"/>
    </row>
    <row r="349" spans="1:27" x14ac:dyDescent="0.2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</row>
    <row r="350" spans="1:27" x14ac:dyDescent="0.2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</row>
    <row r="351" spans="1:27" hidden="1" x14ac:dyDescent="0.2">
      <c r="A351" s="78"/>
      <c r="B351" s="78"/>
      <c r="C351" s="78"/>
      <c r="D351" s="78"/>
      <c r="E351" s="78"/>
      <c r="F351" s="78"/>
      <c r="G351" s="78"/>
      <c r="H351" s="258" t="s">
        <v>695</v>
      </c>
      <c r="I351" s="258"/>
      <c r="J351" s="79">
        <v>167494.07</v>
      </c>
      <c r="K351" s="259" t="s">
        <v>701</v>
      </c>
      <c r="L351" s="260"/>
      <c r="M351" s="260"/>
      <c r="N351" s="260"/>
      <c r="O351" s="260"/>
      <c r="P351" s="260"/>
      <c r="Q351" s="260"/>
      <c r="R351" s="261"/>
      <c r="S351" s="80"/>
      <c r="T351" s="80"/>
      <c r="U351" s="80"/>
      <c r="V351" s="262">
        <f>SUM(V288+V282+V273+V264+V257+V233+V193+V138+V127+V123+V107+V98+V95+V88+V81+V78+V72+V68+V66+V58+V54+V44+V36+V29+V19+V13+V8)</f>
        <v>326626.49</v>
      </c>
      <c r="W351" s="263"/>
    </row>
    <row r="352" spans="1:27" hidden="1" x14ac:dyDescent="0.2">
      <c r="A352" s="78"/>
      <c r="B352" s="78"/>
      <c r="C352" s="78"/>
      <c r="D352" s="78"/>
      <c r="E352" s="78"/>
      <c r="F352" s="78"/>
      <c r="G352" s="78"/>
      <c r="H352" s="258" t="s">
        <v>696</v>
      </c>
      <c r="I352" s="258"/>
      <c r="J352" s="81">
        <f>SUM(I8,I13,I19,I29,I36,I44,I54,I58,I66,I68,I72,I78,I81,I88,I95,I98,I107,I123,I127,I138,I193,I233,I257,I264,I273,I282,I288)</f>
        <v>745431.95000000019</v>
      </c>
      <c r="K352" s="266" t="s">
        <v>724</v>
      </c>
      <c r="L352" s="267"/>
      <c r="M352" s="267"/>
      <c r="N352" s="267"/>
      <c r="O352" s="267"/>
      <c r="P352" s="267"/>
      <c r="Q352" s="267"/>
      <c r="R352" s="268"/>
      <c r="S352" s="82"/>
      <c r="T352" s="82"/>
      <c r="U352" s="82"/>
      <c r="V352" s="262">
        <f>W8+W13+W19+W29+W36+W44+W54+W66+W68+W72+W78+W81+W88+W95+W98+W107+W123+W127+W138+W193+W233+W257+W264+W273+W282+W288+W58</f>
        <v>236252.53999999998</v>
      </c>
      <c r="W352" s="263"/>
    </row>
    <row r="353" spans="1:23" ht="15" hidden="1" customHeight="1" x14ac:dyDescent="0.2">
      <c r="A353" s="78"/>
      <c r="B353" s="78"/>
      <c r="C353" s="78"/>
      <c r="D353" s="78"/>
      <c r="E353" s="78"/>
      <c r="F353" s="78"/>
      <c r="G353" s="78"/>
      <c r="H353" s="258" t="s">
        <v>697</v>
      </c>
      <c r="I353" s="258"/>
      <c r="J353" s="81">
        <f>J352+J351</f>
        <v>912926.02000000025</v>
      </c>
      <c r="K353" s="266" t="s">
        <v>702</v>
      </c>
      <c r="L353" s="267"/>
      <c r="M353" s="267"/>
      <c r="N353" s="267"/>
      <c r="O353" s="267"/>
      <c r="P353" s="267"/>
      <c r="Q353" s="267"/>
      <c r="R353" s="268"/>
      <c r="S353" s="82"/>
      <c r="T353" s="82"/>
      <c r="U353" s="82"/>
      <c r="V353" s="264">
        <f>V352/J353</f>
        <v>0.25878607337755571</v>
      </c>
      <c r="W353" s="265"/>
    </row>
    <row r="354" spans="1:23" x14ac:dyDescent="0.2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</row>
    <row r="355" spans="1:23" x14ac:dyDescent="0.2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</row>
    <row r="356" spans="1:23" x14ac:dyDescent="0.2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</row>
    <row r="357" spans="1:23" x14ac:dyDescent="0.2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83"/>
      <c r="S357" s="83"/>
      <c r="T357" s="83"/>
      <c r="U357" s="83"/>
      <c r="V357" s="78"/>
      <c r="W357" s="78"/>
    </row>
    <row r="358" spans="1:23" x14ac:dyDescent="0.2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</row>
    <row r="359" spans="1:23" x14ac:dyDescent="0.2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</row>
    <row r="360" spans="1:23" x14ac:dyDescent="0.2">
      <c r="A360" s="84"/>
      <c r="B360" s="84"/>
      <c r="C360" s="84"/>
      <c r="D360" s="84"/>
      <c r="E360" s="84"/>
      <c r="F360" s="84"/>
    </row>
    <row r="361" spans="1:23" ht="15.75" x14ac:dyDescent="0.25">
      <c r="A361" s="85"/>
      <c r="B361" s="85"/>
      <c r="C361" s="85"/>
      <c r="D361" s="85"/>
      <c r="E361" s="85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7"/>
      <c r="R361" s="87"/>
      <c r="S361" s="87"/>
      <c r="T361" s="87"/>
      <c r="U361" s="87"/>
      <c r="V361" s="87"/>
      <c r="W361" s="87"/>
    </row>
    <row r="362" spans="1:23" ht="15.75" x14ac:dyDescent="0.25">
      <c r="A362" s="85"/>
      <c r="B362" s="85"/>
      <c r="C362" s="85"/>
      <c r="D362" s="85"/>
      <c r="E362" s="85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7"/>
      <c r="R362" s="87"/>
      <c r="S362" s="87"/>
      <c r="T362" s="87"/>
      <c r="U362" s="87"/>
      <c r="V362" s="87"/>
      <c r="W362" s="87"/>
    </row>
    <row r="363" spans="1:23" ht="16.5" hidden="1" customHeight="1" x14ac:dyDescent="0.25">
      <c r="A363" s="85"/>
      <c r="B363" s="85"/>
      <c r="C363" s="85"/>
      <c r="D363" s="85"/>
      <c r="E363" s="85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</row>
    <row r="364" spans="1:23" ht="15.75" hidden="1" x14ac:dyDescent="0.25">
      <c r="A364" s="85"/>
      <c r="B364" s="257" t="s">
        <v>705</v>
      </c>
      <c r="C364" s="257"/>
      <c r="D364" s="257"/>
      <c r="E364" s="257"/>
      <c r="F364" s="257"/>
      <c r="G364" s="86"/>
      <c r="H364" s="86"/>
      <c r="I364" s="86"/>
      <c r="J364" s="86"/>
      <c r="K364" s="86"/>
      <c r="L364" s="257" t="s">
        <v>705</v>
      </c>
      <c r="M364" s="257"/>
      <c r="N364" s="257"/>
      <c r="O364" s="257"/>
      <c r="P364" s="257"/>
      <c r="Q364" s="257"/>
      <c r="R364" s="257"/>
      <c r="S364" s="257"/>
      <c r="T364" s="257"/>
      <c r="U364" s="257"/>
      <c r="V364" s="257"/>
      <c r="W364" s="257"/>
    </row>
    <row r="365" spans="1:23" ht="15.75" hidden="1" x14ac:dyDescent="0.25">
      <c r="A365" s="86"/>
      <c r="B365" s="257" t="s">
        <v>706</v>
      </c>
      <c r="C365" s="257"/>
      <c r="D365" s="257"/>
      <c r="E365" s="257"/>
      <c r="F365" s="257"/>
      <c r="G365" s="86"/>
      <c r="H365" s="86"/>
      <c r="I365" s="86"/>
      <c r="J365" s="86"/>
      <c r="K365" s="86"/>
      <c r="L365" s="257" t="s">
        <v>707</v>
      </c>
      <c r="M365" s="257"/>
      <c r="N365" s="257"/>
      <c r="O365" s="257"/>
      <c r="P365" s="257"/>
      <c r="Q365" s="257"/>
      <c r="R365" s="257"/>
      <c r="S365" s="257"/>
      <c r="T365" s="257"/>
      <c r="U365" s="257"/>
      <c r="V365" s="257"/>
      <c r="W365" s="257"/>
    </row>
    <row r="366" spans="1:23" ht="15.75" hidden="1" x14ac:dyDescent="0.25">
      <c r="A366" s="86"/>
      <c r="B366" s="257" t="s">
        <v>710</v>
      </c>
      <c r="C366" s="257"/>
      <c r="D366" s="257"/>
      <c r="E366" s="257"/>
      <c r="F366" s="257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</row>
    <row r="367" spans="1:23" ht="15.75" hidden="1" x14ac:dyDescent="0.25">
      <c r="A367" s="86"/>
      <c r="B367" s="257" t="s">
        <v>711</v>
      </c>
      <c r="C367" s="257"/>
      <c r="D367" s="257"/>
      <c r="E367" s="257"/>
      <c r="F367" s="257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</row>
    <row r="368" spans="1:23" ht="15.75" hidden="1" x14ac:dyDescent="0.25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257"/>
      <c r="M368" s="257"/>
      <c r="N368" s="257"/>
      <c r="O368" s="257"/>
      <c r="P368" s="257"/>
      <c r="Q368" s="257"/>
      <c r="R368" s="257"/>
      <c r="S368" s="257"/>
      <c r="T368" s="257"/>
      <c r="U368" s="257"/>
      <c r="V368" s="257"/>
      <c r="W368" s="257"/>
    </row>
    <row r="369" spans="1:23" ht="15.75" x14ac:dyDescent="0.25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</row>
    <row r="370" spans="1:23" ht="15.75" x14ac:dyDescent="0.25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</row>
    <row r="371" spans="1:23" ht="15.75" x14ac:dyDescent="0.25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</row>
    <row r="372" spans="1:23" ht="15.75" x14ac:dyDescent="0.25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</row>
  </sheetData>
  <mergeCells count="86">
    <mergeCell ref="B293:H293"/>
    <mergeCell ref="B294:H294"/>
    <mergeCell ref="B296:H296"/>
    <mergeCell ref="B302:H302"/>
    <mergeCell ref="B66:H66"/>
    <mergeCell ref="B68:H68"/>
    <mergeCell ref="B72:H72"/>
    <mergeCell ref="B78:H78"/>
    <mergeCell ref="B81:H81"/>
    <mergeCell ref="B88:H88"/>
    <mergeCell ref="B95:H95"/>
    <mergeCell ref="B98:H98"/>
    <mergeCell ref="B257:H257"/>
    <mergeCell ref="B264:H264"/>
    <mergeCell ref="B273:H273"/>
    <mergeCell ref="B107:H107"/>
    <mergeCell ref="V6:X6"/>
    <mergeCell ref="A5:X5"/>
    <mergeCell ref="A1:X1"/>
    <mergeCell ref="V2:W2"/>
    <mergeCell ref="V3:W3"/>
    <mergeCell ref="K2:L2"/>
    <mergeCell ref="A6:A7"/>
    <mergeCell ref="B4:V4"/>
    <mergeCell ref="B3:J3"/>
    <mergeCell ref="N6:R6"/>
    <mergeCell ref="F6:H6"/>
    <mergeCell ref="S6:U6"/>
    <mergeCell ref="B44:H44"/>
    <mergeCell ref="B54:H54"/>
    <mergeCell ref="B58:H58"/>
    <mergeCell ref="K3:L3"/>
    <mergeCell ref="B36:H36"/>
    <mergeCell ref="B6:B7"/>
    <mergeCell ref="I6:J6"/>
    <mergeCell ref="B8:H8"/>
    <mergeCell ref="B13:H13"/>
    <mergeCell ref="B19:H19"/>
    <mergeCell ref="B29:H29"/>
    <mergeCell ref="C6:C7"/>
    <mergeCell ref="D6:D7"/>
    <mergeCell ref="E6:E7"/>
    <mergeCell ref="B282:H282"/>
    <mergeCell ref="B288:H288"/>
    <mergeCell ref="B123:H123"/>
    <mergeCell ref="B127:H127"/>
    <mergeCell ref="B138:H138"/>
    <mergeCell ref="B193:H193"/>
    <mergeCell ref="B233:H233"/>
    <mergeCell ref="H351:I351"/>
    <mergeCell ref="V352:W352"/>
    <mergeCell ref="V353:W353"/>
    <mergeCell ref="K352:R352"/>
    <mergeCell ref="H353:I353"/>
    <mergeCell ref="K353:R353"/>
    <mergeCell ref="V351:W351"/>
    <mergeCell ref="T344:V344"/>
    <mergeCell ref="T342:V342"/>
    <mergeCell ref="T343:V343"/>
    <mergeCell ref="L368:W368"/>
    <mergeCell ref="B367:F367"/>
    <mergeCell ref="T345:V345"/>
    <mergeCell ref="T346:V346"/>
    <mergeCell ref="T347:V347"/>
    <mergeCell ref="T348:V348"/>
    <mergeCell ref="B364:F364"/>
    <mergeCell ref="L364:W364"/>
    <mergeCell ref="B365:F365"/>
    <mergeCell ref="L365:W365"/>
    <mergeCell ref="B366:F366"/>
    <mergeCell ref="H352:I352"/>
    <mergeCell ref="K351:R351"/>
    <mergeCell ref="B308:H308"/>
    <mergeCell ref="B314:H314"/>
    <mergeCell ref="C337:E337"/>
    <mergeCell ref="H337:AA337"/>
    <mergeCell ref="C338:E338"/>
    <mergeCell ref="H338:AA338"/>
    <mergeCell ref="T333:V333"/>
    <mergeCell ref="C334:E335"/>
    <mergeCell ref="H335:AA335"/>
    <mergeCell ref="C336:E336"/>
    <mergeCell ref="H336:AA336"/>
    <mergeCell ref="B319:H319"/>
    <mergeCell ref="B321:H321"/>
    <mergeCell ref="B324:H324"/>
  </mergeCells>
  <phoneticPr fontId="2" type="noConversion"/>
  <pageMargins left="0.96" right="0.77" top="0" bottom="0.13" header="0" footer="0.14000000000000001"/>
  <pageSetup paperSize="9" scale="51" fitToHeight="0" orientation="landscape" r:id="rId1"/>
  <rowBreaks count="4" manualBreakCount="4">
    <brk id="151" max="23" man="1"/>
    <brk id="189" max="23" man="1"/>
    <brk id="255" max="23" man="1"/>
    <brk id="295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3050-73FA-427E-9160-27201AD29BF1}">
  <sheetPr>
    <outlinePr summaryBelow="0"/>
  </sheetPr>
  <dimension ref="A1:EE1690"/>
  <sheetViews>
    <sheetView showGridLines="0" tabSelected="1" zoomScale="80" zoomScaleNormal="80" zoomScaleSheetLayoutView="50" workbookViewId="0">
      <selection activeCell="M33" sqref="M33"/>
    </sheetView>
  </sheetViews>
  <sheetFormatPr defaultRowHeight="12" x14ac:dyDescent="0.2"/>
  <cols>
    <col min="1" max="1" width="9.85546875" style="20" customWidth="1"/>
    <col min="2" max="2" width="15" style="20" customWidth="1"/>
    <col min="3" max="3" width="47.85546875" style="20" customWidth="1"/>
    <col min="4" max="4" width="5.42578125" style="20" customWidth="1"/>
    <col min="5" max="5" width="5" style="20" customWidth="1"/>
    <col min="6" max="6" width="5.7109375" style="20" customWidth="1"/>
    <col min="7" max="11" width="7.42578125" style="20" customWidth="1"/>
    <col min="12" max="12" width="6.42578125" style="20" customWidth="1"/>
    <col min="13" max="13" width="5.5703125" style="20" customWidth="1"/>
    <col min="14" max="35" width="7.42578125" style="20" customWidth="1"/>
    <col min="36" max="36" width="9.28515625" style="51" customWidth="1"/>
    <col min="37" max="134" width="9.140625" style="146"/>
    <col min="135" max="16384" width="9.140625" style="20"/>
  </cols>
  <sheetData>
    <row r="1" spans="1:36" ht="93.75" customHeight="1" x14ac:dyDescent="0.2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</row>
    <row r="2" spans="1:36" x14ac:dyDescent="0.2">
      <c r="A2" s="162" t="s">
        <v>698</v>
      </c>
      <c r="B2" s="340" t="s">
        <v>713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341"/>
      <c r="AI2" s="341"/>
      <c r="AJ2" s="342"/>
    </row>
    <row r="3" spans="1:36" x14ac:dyDescent="0.2">
      <c r="A3" s="163" t="s">
        <v>719</v>
      </c>
      <c r="B3" s="351" t="s">
        <v>721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  <c r="AA3" s="351"/>
      <c r="AB3" s="351"/>
      <c r="AC3" s="351"/>
      <c r="AD3" s="351"/>
      <c r="AE3" s="351"/>
      <c r="AF3" s="351"/>
      <c r="AG3" s="351"/>
      <c r="AH3" s="351"/>
      <c r="AI3" s="351"/>
      <c r="AJ3" s="351"/>
    </row>
    <row r="4" spans="1:36" x14ac:dyDescent="0.2">
      <c r="A4" s="164" t="s">
        <v>720</v>
      </c>
      <c r="B4" s="165" t="s">
        <v>703</v>
      </c>
      <c r="C4" s="166"/>
      <c r="D4" s="166"/>
      <c r="E4" s="166"/>
      <c r="F4" s="166"/>
      <c r="G4" s="167"/>
      <c r="H4" s="167"/>
      <c r="I4" s="167"/>
      <c r="J4" s="167"/>
      <c r="K4" s="167"/>
      <c r="L4" s="167"/>
      <c r="M4" s="343"/>
      <c r="N4" s="343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  <c r="AC4" s="343"/>
      <c r="AD4" s="343"/>
      <c r="AE4" s="343"/>
      <c r="AF4" s="343"/>
      <c r="AG4" s="343"/>
      <c r="AH4" s="343"/>
      <c r="AI4" s="344"/>
      <c r="AJ4" s="168">
        <v>0.22470000000000001</v>
      </c>
    </row>
    <row r="5" spans="1:36" x14ac:dyDescent="0.2">
      <c r="A5" s="273" t="s">
        <v>905</v>
      </c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1:36" x14ac:dyDescent="0.2">
      <c r="A6" s="32" t="s">
        <v>0</v>
      </c>
      <c r="B6" s="32" t="s">
        <v>1</v>
      </c>
      <c r="C6" s="32" t="s">
        <v>2</v>
      </c>
      <c r="D6" s="338" t="s">
        <v>742</v>
      </c>
      <c r="E6" s="339"/>
      <c r="F6" s="339"/>
      <c r="G6" s="339"/>
      <c r="H6" s="339"/>
      <c r="I6" s="339"/>
      <c r="J6" s="339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2" t="s">
        <v>4</v>
      </c>
    </row>
    <row r="7" spans="1:36" x14ac:dyDescent="0.2">
      <c r="A7" s="33" t="s">
        <v>8</v>
      </c>
      <c r="B7" s="272" t="s">
        <v>9</v>
      </c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  <c r="AA7" s="308"/>
      <c r="AB7" s="308"/>
      <c r="AC7" s="308"/>
      <c r="AD7" s="308"/>
      <c r="AE7" s="308"/>
      <c r="AF7" s="308"/>
      <c r="AG7" s="308"/>
      <c r="AH7" s="308"/>
      <c r="AI7" s="308"/>
      <c r="AJ7" s="272"/>
    </row>
    <row r="8" spans="1:36" ht="24" x14ac:dyDescent="0.2">
      <c r="A8" s="7" t="s">
        <v>10</v>
      </c>
      <c r="B8" s="89" t="s">
        <v>11</v>
      </c>
      <c r="C8" s="10" t="s">
        <v>12</v>
      </c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  <c r="Y8" s="345"/>
      <c r="Z8" s="345"/>
      <c r="AA8" s="345"/>
      <c r="AB8" s="345"/>
      <c r="AC8" s="345"/>
      <c r="AD8" s="345"/>
      <c r="AE8" s="345"/>
      <c r="AF8" s="345"/>
      <c r="AG8" s="345"/>
      <c r="AH8" s="345"/>
      <c r="AI8" s="345"/>
      <c r="AJ8" s="11" t="s">
        <v>14</v>
      </c>
    </row>
    <row r="9" spans="1:36" x14ac:dyDescent="0.2">
      <c r="A9" s="7"/>
      <c r="B9" s="89"/>
      <c r="C9" s="46" t="s">
        <v>1144</v>
      </c>
      <c r="D9" s="11">
        <v>4</v>
      </c>
      <c r="E9" s="11" t="s">
        <v>748</v>
      </c>
      <c r="F9" s="11">
        <v>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 t="s">
        <v>727</v>
      </c>
      <c r="AJ9" s="11">
        <f>D9*F9</f>
        <v>8</v>
      </c>
    </row>
    <row r="10" spans="1:36" ht="18.75" customHeight="1" x14ac:dyDescent="0.2">
      <c r="A10" s="7"/>
      <c r="B10" s="89"/>
      <c r="C10" s="10"/>
      <c r="D10" s="310" t="s">
        <v>743</v>
      </c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  <c r="AF10" s="311"/>
      <c r="AG10" s="311"/>
      <c r="AH10" s="312"/>
      <c r="AI10" s="11" t="s">
        <v>727</v>
      </c>
      <c r="AJ10" s="11">
        <f>AJ9</f>
        <v>8</v>
      </c>
    </row>
    <row r="11" spans="1:36" ht="36" x14ac:dyDescent="0.2">
      <c r="A11" s="7" t="s">
        <v>15</v>
      </c>
      <c r="B11" s="8" t="s">
        <v>16</v>
      </c>
      <c r="C11" s="93" t="s">
        <v>17</v>
      </c>
      <c r="D11" s="346"/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  <c r="AA11" s="347"/>
      <c r="AB11" s="347"/>
      <c r="AC11" s="347"/>
      <c r="AD11" s="347"/>
      <c r="AE11" s="347"/>
      <c r="AF11" s="347"/>
      <c r="AG11" s="347"/>
      <c r="AH11" s="347"/>
      <c r="AI11" s="348"/>
      <c r="AJ11" s="11" t="s">
        <v>19</v>
      </c>
    </row>
    <row r="12" spans="1:36" ht="36" x14ac:dyDescent="0.2">
      <c r="A12" s="7" t="s">
        <v>20</v>
      </c>
      <c r="B12" s="8" t="s">
        <v>21</v>
      </c>
      <c r="C12" s="7" t="s">
        <v>22</v>
      </c>
      <c r="D12" s="294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295"/>
      <c r="AF12" s="295"/>
      <c r="AG12" s="295"/>
      <c r="AH12" s="295"/>
      <c r="AI12" s="296"/>
      <c r="AJ12" s="11" t="s">
        <v>23</v>
      </c>
    </row>
    <row r="13" spans="1:36" ht="24" x14ac:dyDescent="0.2">
      <c r="A13" s="7" t="s">
        <v>896</v>
      </c>
      <c r="B13" s="8">
        <v>94342</v>
      </c>
      <c r="C13" s="7" t="s">
        <v>897</v>
      </c>
      <c r="D13" s="294"/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5"/>
      <c r="AD13" s="295"/>
      <c r="AE13" s="295"/>
      <c r="AF13" s="295"/>
      <c r="AG13" s="295"/>
      <c r="AH13" s="295"/>
      <c r="AI13" s="296"/>
      <c r="AJ13" s="11" t="s">
        <v>19</v>
      </c>
    </row>
    <row r="14" spans="1:36" x14ac:dyDescent="0.2">
      <c r="A14" s="48" t="s">
        <v>24</v>
      </c>
      <c r="B14" s="269" t="s">
        <v>25</v>
      </c>
      <c r="C14" s="269"/>
      <c r="D14" s="269"/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  <c r="AC14" s="269"/>
      <c r="AD14" s="269"/>
      <c r="AE14" s="269"/>
      <c r="AF14" s="269"/>
      <c r="AG14" s="269"/>
      <c r="AH14" s="269"/>
      <c r="AI14" s="269"/>
      <c r="AJ14" s="269"/>
    </row>
    <row r="15" spans="1:36" ht="24" x14ac:dyDescent="0.2">
      <c r="A15" s="7" t="s">
        <v>26</v>
      </c>
      <c r="B15" s="8" t="s">
        <v>27</v>
      </c>
      <c r="C15" s="7" t="s">
        <v>28</v>
      </c>
      <c r="D15" s="294"/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5"/>
      <c r="AC15" s="295"/>
      <c r="AD15" s="295"/>
      <c r="AE15" s="295"/>
      <c r="AF15" s="295"/>
      <c r="AG15" s="295"/>
      <c r="AH15" s="295"/>
      <c r="AI15" s="296"/>
      <c r="AJ15" s="11" t="s">
        <v>29</v>
      </c>
    </row>
    <row r="16" spans="1:36" ht="24" x14ac:dyDescent="0.2">
      <c r="A16" s="7" t="s">
        <v>30</v>
      </c>
      <c r="B16" s="8" t="s">
        <v>31</v>
      </c>
      <c r="C16" s="7" t="s">
        <v>32</v>
      </c>
      <c r="D16" s="294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295"/>
      <c r="AF16" s="295"/>
      <c r="AG16" s="295"/>
      <c r="AH16" s="295"/>
      <c r="AI16" s="296"/>
      <c r="AJ16" s="11" t="s">
        <v>29</v>
      </c>
    </row>
    <row r="17" spans="1:36" ht="48" x14ac:dyDescent="0.2">
      <c r="A17" s="7"/>
      <c r="B17" s="169"/>
      <c r="C17" s="170" t="s">
        <v>982</v>
      </c>
      <c r="D17" s="169">
        <v>0.6</v>
      </c>
      <c r="E17" s="169" t="s">
        <v>748</v>
      </c>
      <c r="F17" s="169">
        <v>0.75</v>
      </c>
      <c r="G17" s="169" t="s">
        <v>748</v>
      </c>
      <c r="H17" s="169">
        <v>1</v>
      </c>
      <c r="I17" s="169"/>
      <c r="J17" s="169"/>
      <c r="K17" s="169"/>
      <c r="L17" s="169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 t="s">
        <v>745</v>
      </c>
      <c r="AH17" s="172">
        <v>47</v>
      </c>
      <c r="AI17" s="173" t="s">
        <v>727</v>
      </c>
      <c r="AJ17" s="157">
        <f>(D17*F17*H17)*AH17</f>
        <v>21.15</v>
      </c>
    </row>
    <row r="18" spans="1:36" x14ac:dyDescent="0.2">
      <c r="A18" s="7"/>
      <c r="B18" s="169"/>
      <c r="C18" s="174" t="s">
        <v>983</v>
      </c>
      <c r="D18" s="169">
        <v>0.65</v>
      </c>
      <c r="E18" s="169" t="s">
        <v>748</v>
      </c>
      <c r="F18" s="169">
        <v>0.65</v>
      </c>
      <c r="G18" s="169" t="s">
        <v>748</v>
      </c>
      <c r="H18" s="169">
        <v>1</v>
      </c>
      <c r="I18" s="169"/>
      <c r="J18" s="169"/>
      <c r="K18" s="169"/>
      <c r="L18" s="169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 t="s">
        <v>745</v>
      </c>
      <c r="AH18" s="172">
        <v>2</v>
      </c>
      <c r="AI18" s="173" t="s">
        <v>727</v>
      </c>
      <c r="AJ18" s="157">
        <f t="shared" ref="AJ18:AJ23" si="0">(D18*F18*H18)*AH18</f>
        <v>0.84500000000000008</v>
      </c>
    </row>
    <row r="19" spans="1:36" x14ac:dyDescent="0.2">
      <c r="A19" s="7"/>
      <c r="B19" s="169"/>
      <c r="C19" s="174" t="s">
        <v>984</v>
      </c>
      <c r="D19" s="169">
        <v>0.55000000000000004</v>
      </c>
      <c r="E19" s="169" t="s">
        <v>748</v>
      </c>
      <c r="F19" s="169">
        <v>1</v>
      </c>
      <c r="G19" s="169" t="s">
        <v>748</v>
      </c>
      <c r="H19" s="169">
        <v>1</v>
      </c>
      <c r="I19" s="169"/>
      <c r="J19" s="169"/>
      <c r="K19" s="169"/>
      <c r="L19" s="169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 t="s">
        <v>745</v>
      </c>
      <c r="AH19" s="172">
        <v>1</v>
      </c>
      <c r="AI19" s="173" t="s">
        <v>727</v>
      </c>
      <c r="AJ19" s="157">
        <f>(D19*F19*H19)*AH19</f>
        <v>0.55000000000000004</v>
      </c>
    </row>
    <row r="20" spans="1:36" x14ac:dyDescent="0.2">
      <c r="A20" s="7"/>
      <c r="B20" s="169"/>
      <c r="C20" s="174" t="s">
        <v>985</v>
      </c>
      <c r="D20" s="169">
        <v>0.7</v>
      </c>
      <c r="E20" s="169" t="s">
        <v>748</v>
      </c>
      <c r="F20" s="169">
        <v>0.85</v>
      </c>
      <c r="G20" s="169" t="s">
        <v>748</v>
      </c>
      <c r="H20" s="169">
        <v>1</v>
      </c>
      <c r="I20" s="169"/>
      <c r="J20" s="169"/>
      <c r="K20" s="169"/>
      <c r="L20" s="169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 t="s">
        <v>745</v>
      </c>
      <c r="AH20" s="172">
        <v>5</v>
      </c>
      <c r="AI20" s="173" t="s">
        <v>727</v>
      </c>
      <c r="AJ20" s="157">
        <f t="shared" si="0"/>
        <v>2.9749999999999996</v>
      </c>
    </row>
    <row r="21" spans="1:36" x14ac:dyDescent="0.2">
      <c r="A21" s="7"/>
      <c r="B21" s="169"/>
      <c r="C21" s="174" t="s">
        <v>986</v>
      </c>
      <c r="D21" s="169">
        <v>0.75</v>
      </c>
      <c r="E21" s="169" t="s">
        <v>748</v>
      </c>
      <c r="F21" s="169">
        <v>0.75</v>
      </c>
      <c r="G21" s="169" t="s">
        <v>748</v>
      </c>
      <c r="H21" s="169">
        <v>1</v>
      </c>
      <c r="I21" s="169"/>
      <c r="J21" s="169"/>
      <c r="K21" s="169"/>
      <c r="L21" s="169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 t="s">
        <v>745</v>
      </c>
      <c r="AH21" s="172">
        <v>1</v>
      </c>
      <c r="AI21" s="173" t="s">
        <v>727</v>
      </c>
      <c r="AJ21" s="157">
        <f t="shared" si="0"/>
        <v>0.5625</v>
      </c>
    </row>
    <row r="22" spans="1:36" x14ac:dyDescent="0.2">
      <c r="A22" s="7"/>
      <c r="B22" s="169"/>
      <c r="C22" s="174" t="s">
        <v>987</v>
      </c>
      <c r="D22" s="169">
        <v>0.85</v>
      </c>
      <c r="E22" s="169" t="s">
        <v>748</v>
      </c>
      <c r="F22" s="169">
        <v>1</v>
      </c>
      <c r="G22" s="169" t="s">
        <v>748</v>
      </c>
      <c r="H22" s="169">
        <v>1</v>
      </c>
      <c r="I22" s="169"/>
      <c r="J22" s="169"/>
      <c r="K22" s="169"/>
      <c r="L22" s="169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 t="s">
        <v>745</v>
      </c>
      <c r="AH22" s="172">
        <v>1</v>
      </c>
      <c r="AI22" s="173" t="s">
        <v>727</v>
      </c>
      <c r="AJ22" s="157">
        <f t="shared" si="0"/>
        <v>0.85</v>
      </c>
    </row>
    <row r="23" spans="1:36" x14ac:dyDescent="0.2">
      <c r="A23" s="7"/>
      <c r="B23" s="169"/>
      <c r="C23" s="174" t="s">
        <v>988</v>
      </c>
      <c r="D23" s="169">
        <v>0.8</v>
      </c>
      <c r="E23" s="169" t="s">
        <v>748</v>
      </c>
      <c r="F23" s="169">
        <v>0.95</v>
      </c>
      <c r="G23" s="169" t="s">
        <v>745</v>
      </c>
      <c r="H23" s="169">
        <v>1</v>
      </c>
      <c r="I23" s="169"/>
      <c r="J23" s="169"/>
      <c r="K23" s="169"/>
      <c r="L23" s="169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 t="s">
        <v>745</v>
      </c>
      <c r="AH23" s="172">
        <v>3</v>
      </c>
      <c r="AI23" s="173" t="s">
        <v>727</v>
      </c>
      <c r="AJ23" s="157">
        <f t="shared" si="0"/>
        <v>2.2800000000000002</v>
      </c>
    </row>
    <row r="24" spans="1:36" x14ac:dyDescent="0.2">
      <c r="A24" s="7"/>
      <c r="B24" s="352" t="s">
        <v>743</v>
      </c>
      <c r="C24" s="353"/>
      <c r="D24" s="353"/>
      <c r="E24" s="353"/>
      <c r="F24" s="353"/>
      <c r="G24" s="353"/>
      <c r="H24" s="353"/>
      <c r="I24" s="353"/>
      <c r="J24" s="353"/>
      <c r="K24" s="353"/>
      <c r="L24" s="353"/>
      <c r="M24" s="353"/>
      <c r="N24" s="353"/>
      <c r="O24" s="353"/>
      <c r="P24" s="353"/>
      <c r="Q24" s="353"/>
      <c r="R24" s="353"/>
      <c r="S24" s="353"/>
      <c r="T24" s="353"/>
      <c r="U24" s="353"/>
      <c r="V24" s="353"/>
      <c r="W24" s="353"/>
      <c r="X24" s="353"/>
      <c r="Y24" s="353"/>
      <c r="Z24" s="353"/>
      <c r="AA24" s="353"/>
      <c r="AB24" s="353"/>
      <c r="AC24" s="353"/>
      <c r="AD24" s="353"/>
      <c r="AE24" s="353"/>
      <c r="AF24" s="353"/>
      <c r="AG24" s="353"/>
      <c r="AH24" s="354"/>
      <c r="AI24" s="173" t="s">
        <v>727</v>
      </c>
      <c r="AJ24" s="175">
        <f>SUM(AJ17:AJ23)</f>
        <v>29.212499999999999</v>
      </c>
    </row>
    <row r="25" spans="1:36" ht="12.75" customHeight="1" x14ac:dyDescent="0.2">
      <c r="A25" s="7"/>
      <c r="B25" s="115"/>
      <c r="C25" s="115"/>
      <c r="D25" s="358" t="s">
        <v>989</v>
      </c>
      <c r="E25" s="358"/>
      <c r="F25" s="358"/>
      <c r="G25" s="358"/>
      <c r="H25" s="358"/>
      <c r="I25" s="358"/>
      <c r="J25" s="358"/>
      <c r="K25" s="358"/>
      <c r="L25" s="358"/>
      <c r="M25" s="358"/>
      <c r="N25" s="358"/>
      <c r="O25" s="358"/>
      <c r="P25" s="358"/>
      <c r="Q25" s="358"/>
      <c r="R25" s="358"/>
      <c r="S25" s="358"/>
      <c r="T25" s="358"/>
      <c r="U25" s="358"/>
      <c r="V25" s="358"/>
      <c r="W25" s="358"/>
      <c r="X25" s="358"/>
      <c r="Y25" s="358"/>
      <c r="Z25" s="358"/>
      <c r="AA25" s="358"/>
      <c r="AB25" s="358"/>
      <c r="AC25" s="358"/>
      <c r="AD25" s="358"/>
      <c r="AE25" s="358"/>
      <c r="AF25" s="358"/>
      <c r="AG25" s="358"/>
      <c r="AH25" s="359"/>
      <c r="AI25" s="176"/>
      <c r="AJ25" s="157"/>
    </row>
    <row r="26" spans="1:36" x14ac:dyDescent="0.2">
      <c r="A26" s="9"/>
      <c r="B26" s="155"/>
      <c r="C26" s="154" t="s">
        <v>990</v>
      </c>
      <c r="D26" s="155">
        <v>5.0819999999999999</v>
      </c>
      <c r="E26" s="155" t="s">
        <v>764</v>
      </c>
      <c r="F26" s="155">
        <v>2.246</v>
      </c>
      <c r="G26" s="155" t="s">
        <v>764</v>
      </c>
      <c r="H26" s="155">
        <v>2.2989999999999999</v>
      </c>
      <c r="I26" s="155" t="s">
        <v>764</v>
      </c>
      <c r="J26" s="155">
        <v>4.641</v>
      </c>
      <c r="K26" s="155" t="s">
        <v>764</v>
      </c>
      <c r="L26" s="155">
        <v>2.1970000000000001</v>
      </c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 t="s">
        <v>745</v>
      </c>
      <c r="AF26" s="155">
        <v>0.15</v>
      </c>
      <c r="AG26" s="88" t="s">
        <v>745</v>
      </c>
      <c r="AH26" s="155">
        <v>0.3</v>
      </c>
      <c r="AI26" s="156" t="s">
        <v>727</v>
      </c>
      <c r="AJ26" s="157">
        <f>(D26+F26+H26+J26+L26+N26)*AF26*AH26</f>
        <v>0.74092499999999994</v>
      </c>
    </row>
    <row r="27" spans="1:36" x14ac:dyDescent="0.2">
      <c r="A27" s="9"/>
      <c r="B27" s="155"/>
      <c r="C27" s="154" t="s">
        <v>991</v>
      </c>
      <c r="D27" s="155">
        <v>2.9340000000000002</v>
      </c>
      <c r="E27" s="155" t="s">
        <v>764</v>
      </c>
      <c r="F27" s="155"/>
      <c r="G27" s="155" t="s">
        <v>764</v>
      </c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 t="s">
        <v>745</v>
      </c>
      <c r="AF27" s="155">
        <v>0.15</v>
      </c>
      <c r="AG27" s="88" t="s">
        <v>745</v>
      </c>
      <c r="AH27" s="155">
        <v>0.3</v>
      </c>
      <c r="AI27" s="156" t="s">
        <v>727</v>
      </c>
      <c r="AJ27" s="157">
        <f t="shared" ref="AJ27:AJ76" si="1">(D27+F27+H27+J27+L27+N27)*AF27*AH27</f>
        <v>0.13202999999999998</v>
      </c>
    </row>
    <row r="28" spans="1:36" x14ac:dyDescent="0.2">
      <c r="A28" s="9"/>
      <c r="B28" s="155"/>
      <c r="C28" s="154" t="s">
        <v>992</v>
      </c>
      <c r="D28" s="155">
        <v>3.657</v>
      </c>
      <c r="E28" s="155" t="s">
        <v>764</v>
      </c>
      <c r="F28" s="155"/>
      <c r="G28" s="155" t="s">
        <v>764</v>
      </c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 t="s">
        <v>745</v>
      </c>
      <c r="AF28" s="155">
        <v>0.15</v>
      </c>
      <c r="AG28" s="88" t="s">
        <v>745</v>
      </c>
      <c r="AH28" s="155">
        <v>0.3</v>
      </c>
      <c r="AI28" s="156" t="s">
        <v>727</v>
      </c>
      <c r="AJ28" s="157">
        <f t="shared" si="1"/>
        <v>0.16456499999999999</v>
      </c>
    </row>
    <row r="29" spans="1:36" x14ac:dyDescent="0.2">
      <c r="A29" s="9"/>
      <c r="B29" s="155"/>
      <c r="C29" s="154" t="s">
        <v>993</v>
      </c>
      <c r="D29" s="155">
        <v>4.5279999999999996</v>
      </c>
      <c r="E29" s="155" t="s">
        <v>764</v>
      </c>
      <c r="F29" s="155">
        <v>3.9119999999999999</v>
      </c>
      <c r="G29" s="155" t="s">
        <v>764</v>
      </c>
      <c r="H29" s="155">
        <v>1.5369999999999999</v>
      </c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 t="s">
        <v>745</v>
      </c>
      <c r="AF29" s="155">
        <v>0.15</v>
      </c>
      <c r="AG29" s="88" t="s">
        <v>745</v>
      </c>
      <c r="AH29" s="155">
        <v>0.3</v>
      </c>
      <c r="AI29" s="156" t="s">
        <v>727</v>
      </c>
      <c r="AJ29" s="157">
        <f t="shared" si="1"/>
        <v>0.448965</v>
      </c>
    </row>
    <row r="30" spans="1:36" x14ac:dyDescent="0.2">
      <c r="A30" s="9"/>
      <c r="B30" s="155"/>
      <c r="C30" s="154" t="s">
        <v>994</v>
      </c>
      <c r="D30" s="155">
        <v>4.641</v>
      </c>
      <c r="E30" s="155" t="s">
        <v>764</v>
      </c>
      <c r="F30" s="155">
        <v>2.1970000000000001</v>
      </c>
      <c r="G30" s="155" t="s">
        <v>764</v>
      </c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 t="s">
        <v>745</v>
      </c>
      <c r="AF30" s="155">
        <v>0.15</v>
      </c>
      <c r="AG30" s="88" t="s">
        <v>745</v>
      </c>
      <c r="AH30" s="155">
        <v>0.3</v>
      </c>
      <c r="AI30" s="156" t="s">
        <v>727</v>
      </c>
      <c r="AJ30" s="157">
        <f t="shared" si="1"/>
        <v>0.30770999999999998</v>
      </c>
    </row>
    <row r="31" spans="1:36" x14ac:dyDescent="0.2">
      <c r="A31" s="9"/>
      <c r="B31" s="155"/>
      <c r="C31" s="154" t="s">
        <v>995</v>
      </c>
      <c r="D31" s="155">
        <v>2.9340000000000002</v>
      </c>
      <c r="E31" s="155" t="s">
        <v>764</v>
      </c>
      <c r="F31" s="155"/>
      <c r="G31" s="155" t="s">
        <v>764</v>
      </c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 t="s">
        <v>745</v>
      </c>
      <c r="AF31" s="155">
        <v>0.15</v>
      </c>
      <c r="AG31" s="88" t="s">
        <v>745</v>
      </c>
      <c r="AH31" s="155">
        <v>0.3</v>
      </c>
      <c r="AI31" s="156" t="s">
        <v>727</v>
      </c>
      <c r="AJ31" s="157">
        <f t="shared" si="1"/>
        <v>0.13202999999999998</v>
      </c>
    </row>
    <row r="32" spans="1:36" x14ac:dyDescent="0.2">
      <c r="A32" s="9"/>
      <c r="B32" s="155"/>
      <c r="C32" s="154" t="s">
        <v>996</v>
      </c>
      <c r="D32" s="155">
        <v>3.8069999999999999</v>
      </c>
      <c r="E32" s="155" t="s">
        <v>764</v>
      </c>
      <c r="F32" s="155"/>
      <c r="G32" s="155" t="s">
        <v>764</v>
      </c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 t="s">
        <v>745</v>
      </c>
      <c r="AF32" s="155">
        <v>0.15</v>
      </c>
      <c r="AG32" s="88" t="s">
        <v>745</v>
      </c>
      <c r="AH32" s="155">
        <v>0.3</v>
      </c>
      <c r="AI32" s="156" t="s">
        <v>727</v>
      </c>
      <c r="AJ32" s="157">
        <f t="shared" si="1"/>
        <v>0.17131499999999997</v>
      </c>
    </row>
    <row r="33" spans="1:36" x14ac:dyDescent="0.2">
      <c r="A33" s="9"/>
      <c r="B33" s="155"/>
      <c r="C33" s="154" t="s">
        <v>997</v>
      </c>
      <c r="D33" s="155">
        <v>4.5529999999999999</v>
      </c>
      <c r="E33" s="155" t="s">
        <v>764</v>
      </c>
      <c r="F33" s="155">
        <v>3.9620000000000002</v>
      </c>
      <c r="G33" s="155" t="s">
        <v>764</v>
      </c>
      <c r="H33" s="155">
        <v>1.712</v>
      </c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 t="s">
        <v>745</v>
      </c>
      <c r="AF33" s="155">
        <v>0.15</v>
      </c>
      <c r="AG33" s="88" t="s">
        <v>745</v>
      </c>
      <c r="AH33" s="155">
        <v>0.3</v>
      </c>
      <c r="AI33" s="156" t="s">
        <v>727</v>
      </c>
      <c r="AJ33" s="157">
        <f t="shared" si="1"/>
        <v>0.46021499999999993</v>
      </c>
    </row>
    <row r="34" spans="1:36" x14ac:dyDescent="0.2">
      <c r="A34" s="9"/>
      <c r="B34" s="155"/>
      <c r="C34" s="154" t="s">
        <v>998</v>
      </c>
      <c r="D34" s="155">
        <v>5.157</v>
      </c>
      <c r="E34" s="155" t="s">
        <v>764</v>
      </c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 t="s">
        <v>745</v>
      </c>
      <c r="AF34" s="155">
        <v>0.15</v>
      </c>
      <c r="AG34" s="88" t="s">
        <v>745</v>
      </c>
      <c r="AH34" s="155">
        <v>0.3</v>
      </c>
      <c r="AI34" s="156" t="s">
        <v>727</v>
      </c>
      <c r="AJ34" s="157">
        <f t="shared" si="1"/>
        <v>0.23206499999999997</v>
      </c>
    </row>
    <row r="35" spans="1:36" x14ac:dyDescent="0.2">
      <c r="A35" s="9"/>
      <c r="B35" s="155"/>
      <c r="C35" s="154" t="s">
        <v>999</v>
      </c>
      <c r="D35" s="155">
        <v>0</v>
      </c>
      <c r="E35" s="155" t="s">
        <v>764</v>
      </c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 t="s">
        <v>745</v>
      </c>
      <c r="AF35" s="155">
        <v>0.15</v>
      </c>
      <c r="AG35" s="88" t="s">
        <v>745</v>
      </c>
      <c r="AH35" s="155">
        <v>0.3</v>
      </c>
      <c r="AI35" s="156" t="s">
        <v>727</v>
      </c>
      <c r="AJ35" s="157">
        <f t="shared" si="1"/>
        <v>0</v>
      </c>
    </row>
    <row r="36" spans="1:36" x14ac:dyDescent="0.2">
      <c r="A36" s="9"/>
      <c r="B36" s="155"/>
      <c r="C36" s="154" t="s">
        <v>1000</v>
      </c>
      <c r="D36" s="155">
        <v>2.3239999999999998</v>
      </c>
      <c r="E36" s="155" t="s">
        <v>764</v>
      </c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 t="s">
        <v>745</v>
      </c>
      <c r="AF36" s="155">
        <v>0.15</v>
      </c>
      <c r="AG36" s="88" t="s">
        <v>745</v>
      </c>
      <c r="AH36" s="155">
        <v>0.3</v>
      </c>
      <c r="AI36" s="156" t="s">
        <v>727</v>
      </c>
      <c r="AJ36" s="157">
        <f t="shared" si="1"/>
        <v>0.10457999999999999</v>
      </c>
    </row>
    <row r="37" spans="1:36" x14ac:dyDescent="0.2">
      <c r="A37" s="9"/>
      <c r="B37" s="155"/>
      <c r="C37" s="154" t="s">
        <v>1001</v>
      </c>
      <c r="D37" s="155">
        <v>2.2949999999999999</v>
      </c>
      <c r="E37" s="155" t="s">
        <v>764</v>
      </c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 t="s">
        <v>745</v>
      </c>
      <c r="AF37" s="155">
        <v>0.15</v>
      </c>
      <c r="AG37" s="88" t="s">
        <v>745</v>
      </c>
      <c r="AH37" s="155">
        <v>0.3</v>
      </c>
      <c r="AI37" s="156" t="s">
        <v>727</v>
      </c>
      <c r="AJ37" s="157">
        <f t="shared" si="1"/>
        <v>0.10327499999999999</v>
      </c>
    </row>
    <row r="38" spans="1:36" x14ac:dyDescent="0.2">
      <c r="A38" s="9"/>
      <c r="B38" s="155"/>
      <c r="C38" s="154" t="s">
        <v>1002</v>
      </c>
      <c r="D38" s="155">
        <v>0.92200000000000004</v>
      </c>
      <c r="E38" s="155" t="s">
        <v>764</v>
      </c>
      <c r="F38" s="155">
        <v>2.74</v>
      </c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 t="s">
        <v>745</v>
      </c>
      <c r="AF38" s="155">
        <v>0.15</v>
      </c>
      <c r="AG38" s="88" t="s">
        <v>745</v>
      </c>
      <c r="AH38" s="155">
        <v>0.3</v>
      </c>
      <c r="AI38" s="156" t="s">
        <v>727</v>
      </c>
      <c r="AJ38" s="157">
        <f t="shared" si="1"/>
        <v>0.16478999999999999</v>
      </c>
    </row>
    <row r="39" spans="1:36" x14ac:dyDescent="0.2">
      <c r="A39" s="9"/>
      <c r="B39" s="155"/>
      <c r="C39" s="154" t="s">
        <v>1003</v>
      </c>
      <c r="D39" s="155">
        <v>4.55</v>
      </c>
      <c r="E39" s="155" t="s">
        <v>764</v>
      </c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 t="s">
        <v>745</v>
      </c>
      <c r="AF39" s="155">
        <v>0.15</v>
      </c>
      <c r="AG39" s="88" t="s">
        <v>745</v>
      </c>
      <c r="AH39" s="155">
        <v>0.3</v>
      </c>
      <c r="AI39" s="156" t="s">
        <v>727</v>
      </c>
      <c r="AJ39" s="157">
        <f t="shared" si="1"/>
        <v>0.20474999999999999</v>
      </c>
    </row>
    <row r="40" spans="1:36" x14ac:dyDescent="0.2">
      <c r="A40" s="9"/>
      <c r="B40" s="155"/>
      <c r="C40" s="154" t="s">
        <v>1004</v>
      </c>
      <c r="D40" s="155">
        <v>3.9620000000000002</v>
      </c>
      <c r="E40" s="155" t="s">
        <v>764</v>
      </c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 t="s">
        <v>745</v>
      </c>
      <c r="AF40" s="155">
        <v>0.15</v>
      </c>
      <c r="AG40" s="88" t="s">
        <v>745</v>
      </c>
      <c r="AH40" s="155">
        <v>0.3</v>
      </c>
      <c r="AI40" s="156" t="s">
        <v>727</v>
      </c>
      <c r="AJ40" s="157">
        <f t="shared" si="1"/>
        <v>0.17829</v>
      </c>
    </row>
    <row r="41" spans="1:36" x14ac:dyDescent="0.2">
      <c r="A41" s="9"/>
      <c r="B41" s="155"/>
      <c r="C41" s="154" t="s">
        <v>1005</v>
      </c>
      <c r="D41" s="155">
        <v>3.371</v>
      </c>
      <c r="E41" s="155" t="s">
        <v>764</v>
      </c>
      <c r="F41" s="155">
        <v>3.9620000000000002</v>
      </c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 t="s">
        <v>745</v>
      </c>
      <c r="AF41" s="155">
        <v>0.15</v>
      </c>
      <c r="AG41" s="88" t="s">
        <v>745</v>
      </c>
      <c r="AH41" s="155">
        <v>0.3</v>
      </c>
      <c r="AI41" s="156" t="s">
        <v>727</v>
      </c>
      <c r="AJ41" s="157">
        <f t="shared" si="1"/>
        <v>0.32998499999999997</v>
      </c>
    </row>
    <row r="42" spans="1:36" x14ac:dyDescent="0.2">
      <c r="A42" s="9"/>
      <c r="B42" s="155"/>
      <c r="C42" s="154" t="s">
        <v>1006</v>
      </c>
      <c r="D42" s="155">
        <v>4.2969999999999997</v>
      </c>
      <c r="E42" s="155" t="s">
        <v>764</v>
      </c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 t="s">
        <v>745</v>
      </c>
      <c r="AF42" s="155">
        <v>0.15</v>
      </c>
      <c r="AG42" s="88" t="s">
        <v>745</v>
      </c>
      <c r="AH42" s="155">
        <v>0.3</v>
      </c>
      <c r="AI42" s="156" t="s">
        <v>727</v>
      </c>
      <c r="AJ42" s="157">
        <f t="shared" si="1"/>
        <v>0.19336499999999998</v>
      </c>
    </row>
    <row r="43" spans="1:36" x14ac:dyDescent="0.2">
      <c r="A43" s="9"/>
      <c r="B43" s="155"/>
      <c r="C43" s="154" t="s">
        <v>1007</v>
      </c>
      <c r="D43" s="155">
        <v>4.8</v>
      </c>
      <c r="E43" s="155" t="s">
        <v>764</v>
      </c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 t="s">
        <v>745</v>
      </c>
      <c r="AF43" s="155">
        <v>0.15</v>
      </c>
      <c r="AG43" s="88" t="s">
        <v>745</v>
      </c>
      <c r="AH43" s="155">
        <v>0.3</v>
      </c>
      <c r="AI43" s="156" t="s">
        <v>727</v>
      </c>
      <c r="AJ43" s="157">
        <f t="shared" si="1"/>
        <v>0.216</v>
      </c>
    </row>
    <row r="44" spans="1:36" x14ac:dyDescent="0.2">
      <c r="A44" s="9"/>
      <c r="B44" s="155"/>
      <c r="C44" s="154" t="s">
        <v>1008</v>
      </c>
      <c r="D44" s="155">
        <v>0.77200000000000002</v>
      </c>
      <c r="E44" s="155" t="s">
        <v>764</v>
      </c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 t="s">
        <v>745</v>
      </c>
      <c r="AF44" s="155">
        <v>0.15</v>
      </c>
      <c r="AG44" s="88" t="s">
        <v>745</v>
      </c>
      <c r="AH44" s="155">
        <v>0.3</v>
      </c>
      <c r="AI44" s="156" t="s">
        <v>727</v>
      </c>
      <c r="AJ44" s="157">
        <f t="shared" si="1"/>
        <v>3.474E-2</v>
      </c>
    </row>
    <row r="45" spans="1:36" x14ac:dyDescent="0.2">
      <c r="A45" s="9"/>
      <c r="B45" s="155"/>
      <c r="C45" s="154" t="s">
        <v>1009</v>
      </c>
      <c r="D45" s="155">
        <v>2.1219999999999999</v>
      </c>
      <c r="E45" s="155" t="s">
        <v>764</v>
      </c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 t="s">
        <v>745</v>
      </c>
      <c r="AF45" s="155">
        <v>0.15</v>
      </c>
      <c r="AG45" s="88" t="s">
        <v>745</v>
      </c>
      <c r="AH45" s="155">
        <v>0.3</v>
      </c>
      <c r="AI45" s="156" t="s">
        <v>727</v>
      </c>
      <c r="AJ45" s="157">
        <f t="shared" si="1"/>
        <v>9.5489999999999992E-2</v>
      </c>
    </row>
    <row r="46" spans="1:36" x14ac:dyDescent="0.2">
      <c r="A46" s="9"/>
      <c r="B46" s="155"/>
      <c r="C46" s="154" t="s">
        <v>1010</v>
      </c>
      <c r="D46" s="155">
        <v>6.8959999999999999</v>
      </c>
      <c r="E46" s="155" t="s">
        <v>764</v>
      </c>
      <c r="F46" s="155">
        <v>4.55</v>
      </c>
      <c r="G46" s="155" t="s">
        <v>764</v>
      </c>
      <c r="H46" s="155">
        <v>3.9620000000000002</v>
      </c>
      <c r="I46" s="155" t="s">
        <v>764</v>
      </c>
      <c r="J46" s="155">
        <v>3.371</v>
      </c>
      <c r="K46" s="155" t="s">
        <v>764</v>
      </c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 t="s">
        <v>745</v>
      </c>
      <c r="AF46" s="155">
        <v>0.15</v>
      </c>
      <c r="AG46" s="88" t="s">
        <v>745</v>
      </c>
      <c r="AH46" s="155">
        <v>0.3</v>
      </c>
      <c r="AI46" s="156" t="s">
        <v>727</v>
      </c>
      <c r="AJ46" s="157">
        <f t="shared" si="1"/>
        <v>0.845055</v>
      </c>
    </row>
    <row r="47" spans="1:36" x14ac:dyDescent="0.2">
      <c r="A47" s="9"/>
      <c r="B47" s="155"/>
      <c r="C47" s="154" t="s">
        <v>1011</v>
      </c>
      <c r="D47" s="155">
        <v>4.55</v>
      </c>
      <c r="E47" s="155" t="s">
        <v>764</v>
      </c>
      <c r="F47" s="155">
        <v>3.9620000000000002</v>
      </c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 t="s">
        <v>745</v>
      </c>
      <c r="AF47" s="155">
        <v>0.15</v>
      </c>
      <c r="AG47" s="88" t="s">
        <v>745</v>
      </c>
      <c r="AH47" s="155">
        <v>0.3</v>
      </c>
      <c r="AI47" s="156" t="s">
        <v>727</v>
      </c>
      <c r="AJ47" s="157">
        <f t="shared" si="1"/>
        <v>0.38303999999999999</v>
      </c>
    </row>
    <row r="48" spans="1:36" x14ac:dyDescent="0.2">
      <c r="A48" s="9"/>
      <c r="B48" s="155"/>
      <c r="C48" s="154" t="s">
        <v>1012</v>
      </c>
      <c r="D48" s="155">
        <v>4.1870000000000003</v>
      </c>
      <c r="E48" s="155" t="s">
        <v>764</v>
      </c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 t="s">
        <v>745</v>
      </c>
      <c r="AF48" s="155">
        <v>0.15</v>
      </c>
      <c r="AG48" s="88" t="s">
        <v>745</v>
      </c>
      <c r="AH48" s="155">
        <v>0.3</v>
      </c>
      <c r="AI48" s="156" t="s">
        <v>727</v>
      </c>
      <c r="AJ48" s="157">
        <f t="shared" si="1"/>
        <v>0.188415</v>
      </c>
    </row>
    <row r="49" spans="1:36" x14ac:dyDescent="0.2">
      <c r="A49" s="9"/>
      <c r="B49" s="155"/>
      <c r="C49" s="154" t="s">
        <v>1013</v>
      </c>
      <c r="D49" s="155">
        <v>2.7679999999999998</v>
      </c>
      <c r="E49" s="155" t="s">
        <v>764</v>
      </c>
      <c r="F49" s="155">
        <v>1.2490000000000001</v>
      </c>
      <c r="G49" s="155" t="s">
        <v>764</v>
      </c>
      <c r="H49" s="155">
        <v>2.5590000000000002</v>
      </c>
      <c r="I49" s="155" t="s">
        <v>764</v>
      </c>
      <c r="J49" s="155">
        <v>4.5590000000000002</v>
      </c>
      <c r="K49" s="155" t="s">
        <v>764</v>
      </c>
      <c r="L49" s="155">
        <v>3.9620000000000002</v>
      </c>
      <c r="M49" s="155" t="s">
        <v>764</v>
      </c>
      <c r="N49" s="155">
        <v>3.371</v>
      </c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 t="s">
        <v>745</v>
      </c>
      <c r="AF49" s="155">
        <v>0.15</v>
      </c>
      <c r="AG49" s="88" t="s">
        <v>745</v>
      </c>
      <c r="AH49" s="155">
        <v>0.3</v>
      </c>
      <c r="AI49" s="156" t="s">
        <v>727</v>
      </c>
      <c r="AJ49" s="157">
        <f t="shared" si="1"/>
        <v>0.83106000000000002</v>
      </c>
    </row>
    <row r="50" spans="1:36" x14ac:dyDescent="0.2">
      <c r="A50" s="9"/>
      <c r="B50" s="155"/>
      <c r="C50" s="154" t="s">
        <v>1014</v>
      </c>
      <c r="D50" s="155">
        <v>2.9169999999999998</v>
      </c>
      <c r="E50" s="155" t="s">
        <v>764</v>
      </c>
      <c r="F50" s="155">
        <v>5.1829999999999998</v>
      </c>
      <c r="G50" s="155" t="s">
        <v>764</v>
      </c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 t="s">
        <v>745</v>
      </c>
      <c r="AF50" s="155">
        <v>0.15</v>
      </c>
      <c r="AG50" s="88" t="s">
        <v>745</v>
      </c>
      <c r="AH50" s="155">
        <v>0.3</v>
      </c>
      <c r="AI50" s="156" t="s">
        <v>727</v>
      </c>
      <c r="AJ50" s="157">
        <f t="shared" si="1"/>
        <v>0.36449999999999994</v>
      </c>
    </row>
    <row r="51" spans="1:36" x14ac:dyDescent="0.2">
      <c r="A51" s="9"/>
      <c r="B51" s="155"/>
      <c r="C51" s="154" t="s">
        <v>1015</v>
      </c>
      <c r="D51" s="155">
        <v>1.5149999999999999</v>
      </c>
      <c r="E51" s="155" t="s">
        <v>764</v>
      </c>
      <c r="F51" s="155">
        <v>2.629</v>
      </c>
      <c r="G51" s="155" t="s">
        <v>764</v>
      </c>
      <c r="H51" s="155">
        <v>2.206</v>
      </c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 t="s">
        <v>745</v>
      </c>
      <c r="AF51" s="155">
        <v>0.15</v>
      </c>
      <c r="AG51" s="88" t="s">
        <v>745</v>
      </c>
      <c r="AH51" s="155">
        <v>0.3</v>
      </c>
      <c r="AI51" s="156" t="s">
        <v>727</v>
      </c>
      <c r="AJ51" s="157">
        <f t="shared" si="1"/>
        <v>0.28574999999999995</v>
      </c>
    </row>
    <row r="52" spans="1:36" x14ac:dyDescent="0.2">
      <c r="A52" s="9"/>
      <c r="B52" s="155"/>
      <c r="C52" s="154" t="s">
        <v>1016</v>
      </c>
      <c r="D52" s="155">
        <v>1.915</v>
      </c>
      <c r="E52" s="155" t="s">
        <v>764</v>
      </c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 t="s">
        <v>745</v>
      </c>
      <c r="AF52" s="155">
        <v>0.15</v>
      </c>
      <c r="AG52" s="88" t="s">
        <v>745</v>
      </c>
      <c r="AH52" s="155">
        <v>0.3</v>
      </c>
      <c r="AI52" s="156" t="s">
        <v>727</v>
      </c>
      <c r="AJ52" s="157">
        <f t="shared" si="1"/>
        <v>8.6175000000000002E-2</v>
      </c>
    </row>
    <row r="53" spans="1:36" x14ac:dyDescent="0.2">
      <c r="A53" s="9"/>
      <c r="B53" s="155"/>
      <c r="C53" s="154" t="s">
        <v>1017</v>
      </c>
      <c r="D53" s="155">
        <v>2.1789999999999998</v>
      </c>
      <c r="E53" s="155" t="s">
        <v>764</v>
      </c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 t="s">
        <v>745</v>
      </c>
      <c r="AF53" s="155">
        <v>0.15</v>
      </c>
      <c r="AG53" s="88" t="s">
        <v>745</v>
      </c>
      <c r="AH53" s="155">
        <v>0.3</v>
      </c>
      <c r="AI53" s="156" t="s">
        <v>727</v>
      </c>
      <c r="AJ53" s="157">
        <f t="shared" si="1"/>
        <v>9.8054999999999989E-2</v>
      </c>
    </row>
    <row r="54" spans="1:36" x14ac:dyDescent="0.2">
      <c r="A54" s="9"/>
      <c r="B54" s="155"/>
      <c r="C54" s="154" t="s">
        <v>1018</v>
      </c>
      <c r="D54" s="155">
        <v>1.5149999999999999</v>
      </c>
      <c r="E54" s="155" t="s">
        <v>764</v>
      </c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 t="s">
        <v>745</v>
      </c>
      <c r="AF54" s="155">
        <v>0.15</v>
      </c>
      <c r="AG54" s="88" t="s">
        <v>745</v>
      </c>
      <c r="AH54" s="155">
        <v>0.3</v>
      </c>
      <c r="AI54" s="156" t="s">
        <v>727</v>
      </c>
      <c r="AJ54" s="157">
        <f t="shared" si="1"/>
        <v>6.8174999999999986E-2</v>
      </c>
    </row>
    <row r="55" spans="1:36" x14ac:dyDescent="0.2">
      <c r="A55" s="9"/>
      <c r="B55" s="155"/>
      <c r="C55" s="154" t="s">
        <v>1019</v>
      </c>
      <c r="D55" s="155">
        <v>1.915</v>
      </c>
      <c r="E55" s="155" t="s">
        <v>764</v>
      </c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 t="s">
        <v>745</v>
      </c>
      <c r="AF55" s="155">
        <v>0.15</v>
      </c>
      <c r="AG55" s="88" t="s">
        <v>745</v>
      </c>
      <c r="AH55" s="155">
        <v>0.3</v>
      </c>
      <c r="AI55" s="156" t="s">
        <v>727</v>
      </c>
      <c r="AJ55" s="157">
        <f t="shared" si="1"/>
        <v>8.6175000000000002E-2</v>
      </c>
    </row>
    <row r="56" spans="1:36" x14ac:dyDescent="0.2">
      <c r="A56" s="9"/>
      <c r="B56" s="155"/>
      <c r="C56" s="154" t="s">
        <v>1020</v>
      </c>
      <c r="D56" s="155">
        <v>1.5149999999999999</v>
      </c>
      <c r="E56" s="155" t="s">
        <v>764</v>
      </c>
      <c r="F56" s="155">
        <v>2.7789999999999999</v>
      </c>
      <c r="G56" s="155" t="s">
        <v>764</v>
      </c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 t="s">
        <v>745</v>
      </c>
      <c r="AF56" s="155">
        <v>0.15</v>
      </c>
      <c r="AG56" s="88" t="s">
        <v>745</v>
      </c>
      <c r="AH56" s="155">
        <v>0.3</v>
      </c>
      <c r="AI56" s="156" t="s">
        <v>727</v>
      </c>
      <c r="AJ56" s="157">
        <f t="shared" si="1"/>
        <v>0.19322999999999996</v>
      </c>
    </row>
    <row r="57" spans="1:36" x14ac:dyDescent="0.2">
      <c r="A57" s="9"/>
      <c r="B57" s="155"/>
      <c r="C57" s="154" t="s">
        <v>1021</v>
      </c>
      <c r="D57" s="155">
        <v>2.1789999999999998</v>
      </c>
      <c r="E57" s="155" t="s">
        <v>764</v>
      </c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 t="s">
        <v>745</v>
      </c>
      <c r="AF57" s="155">
        <v>0.15</v>
      </c>
      <c r="AG57" s="88" t="s">
        <v>745</v>
      </c>
      <c r="AH57" s="155">
        <v>0.3</v>
      </c>
      <c r="AI57" s="156" t="s">
        <v>727</v>
      </c>
      <c r="AJ57" s="157">
        <f t="shared" si="1"/>
        <v>9.8054999999999989E-2</v>
      </c>
    </row>
    <row r="58" spans="1:36" x14ac:dyDescent="0.2">
      <c r="A58" s="9"/>
      <c r="B58" s="155"/>
      <c r="C58" s="154" t="s">
        <v>1022</v>
      </c>
      <c r="D58" s="155">
        <f>2.788-0.15</f>
        <v>2.6379999999999999</v>
      </c>
      <c r="E58" s="155" t="s">
        <v>764</v>
      </c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 t="s">
        <v>745</v>
      </c>
      <c r="AF58" s="155">
        <v>0.15</v>
      </c>
      <c r="AG58" s="88" t="s">
        <v>745</v>
      </c>
      <c r="AH58" s="155">
        <v>0.3</v>
      </c>
      <c r="AI58" s="156" t="s">
        <v>727</v>
      </c>
      <c r="AJ58" s="157">
        <f t="shared" si="1"/>
        <v>0.11871</v>
      </c>
    </row>
    <row r="59" spans="1:36" x14ac:dyDescent="0.2">
      <c r="A59" s="9"/>
      <c r="B59" s="155"/>
      <c r="C59" s="154" t="s">
        <v>1023</v>
      </c>
      <c r="D59" s="155">
        <v>1.6060000000000001</v>
      </c>
      <c r="E59" s="155" t="s">
        <v>764</v>
      </c>
      <c r="F59" s="155"/>
      <c r="G59" s="155"/>
      <c r="H59" s="155"/>
      <c r="I59" s="177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 t="s">
        <v>745</v>
      </c>
      <c r="AF59" s="155">
        <v>0.15</v>
      </c>
      <c r="AG59" s="88" t="s">
        <v>745</v>
      </c>
      <c r="AH59" s="155">
        <v>0.3</v>
      </c>
      <c r="AI59" s="156" t="s">
        <v>727</v>
      </c>
      <c r="AJ59" s="157">
        <f t="shared" si="1"/>
        <v>7.2270000000000001E-2</v>
      </c>
    </row>
    <row r="60" spans="1:36" x14ac:dyDescent="0.2">
      <c r="A60" s="9"/>
      <c r="B60" s="155"/>
      <c r="C60" s="154" t="s">
        <v>1024</v>
      </c>
      <c r="D60" s="155">
        <v>1.615</v>
      </c>
      <c r="E60" s="155" t="s">
        <v>764</v>
      </c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 t="s">
        <v>745</v>
      </c>
      <c r="AF60" s="155">
        <v>0.15</v>
      </c>
      <c r="AG60" s="88" t="s">
        <v>745</v>
      </c>
      <c r="AH60" s="155">
        <v>0.3</v>
      </c>
      <c r="AI60" s="156" t="s">
        <v>727</v>
      </c>
      <c r="AJ60" s="157">
        <f t="shared" si="1"/>
        <v>7.267499999999999E-2</v>
      </c>
    </row>
    <row r="61" spans="1:36" x14ac:dyDescent="0.2">
      <c r="A61" s="9"/>
      <c r="B61" s="155"/>
      <c r="C61" s="154" t="s">
        <v>1025</v>
      </c>
      <c r="D61" s="155">
        <v>2.7709999999999999</v>
      </c>
      <c r="E61" s="155" t="s">
        <v>764</v>
      </c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 t="s">
        <v>745</v>
      </c>
      <c r="AF61" s="155">
        <v>0.15</v>
      </c>
      <c r="AG61" s="88" t="s">
        <v>745</v>
      </c>
      <c r="AH61" s="155">
        <v>0.3</v>
      </c>
      <c r="AI61" s="156" t="s">
        <v>727</v>
      </c>
      <c r="AJ61" s="157">
        <f t="shared" si="1"/>
        <v>0.12469499999999999</v>
      </c>
    </row>
    <row r="62" spans="1:36" x14ac:dyDescent="0.2">
      <c r="A62" s="9"/>
      <c r="B62" s="155"/>
      <c r="C62" s="154" t="s">
        <v>1026</v>
      </c>
      <c r="D62" s="155">
        <v>2.2149999999999999</v>
      </c>
      <c r="E62" s="155" t="s">
        <v>764</v>
      </c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 t="s">
        <v>745</v>
      </c>
      <c r="AF62" s="155">
        <v>0.15</v>
      </c>
      <c r="AG62" s="88" t="s">
        <v>745</v>
      </c>
      <c r="AH62" s="155">
        <v>0.3</v>
      </c>
      <c r="AI62" s="156" t="s">
        <v>727</v>
      </c>
      <c r="AJ62" s="157">
        <f t="shared" si="1"/>
        <v>9.9675E-2</v>
      </c>
    </row>
    <row r="63" spans="1:36" x14ac:dyDescent="0.2">
      <c r="A63" s="9"/>
      <c r="B63" s="155"/>
      <c r="C63" s="154" t="s">
        <v>1027</v>
      </c>
      <c r="D63" s="155">
        <v>2.7879999999999998</v>
      </c>
      <c r="E63" s="155" t="s">
        <v>764</v>
      </c>
      <c r="F63" s="155">
        <v>1.6060000000000001</v>
      </c>
      <c r="G63" s="155" t="s">
        <v>764</v>
      </c>
      <c r="H63" s="155">
        <v>1.615</v>
      </c>
      <c r="I63" s="155" t="s">
        <v>764</v>
      </c>
      <c r="J63" s="155">
        <v>2.7709999999999999</v>
      </c>
      <c r="K63" s="155" t="s">
        <v>764</v>
      </c>
      <c r="L63" s="155">
        <v>2.2149999999999999</v>
      </c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 t="s">
        <v>745</v>
      </c>
      <c r="AF63" s="155">
        <v>0.15</v>
      </c>
      <c r="AG63" s="88" t="s">
        <v>745</v>
      </c>
      <c r="AH63" s="155">
        <v>0.3</v>
      </c>
      <c r="AI63" s="156" t="s">
        <v>727</v>
      </c>
      <c r="AJ63" s="157">
        <f t="shared" si="1"/>
        <v>0.49477500000000002</v>
      </c>
    </row>
    <row r="64" spans="1:36" x14ac:dyDescent="0.2">
      <c r="A64" s="9"/>
      <c r="B64" s="155"/>
      <c r="C64" s="154" t="s">
        <v>1028</v>
      </c>
      <c r="D64" s="155">
        <v>2.7879999999999998</v>
      </c>
      <c r="E64" s="155" t="s">
        <v>764</v>
      </c>
      <c r="F64" s="155">
        <v>1.6060000000000001</v>
      </c>
      <c r="G64" s="155" t="s">
        <v>764</v>
      </c>
      <c r="H64" s="155">
        <v>1.615</v>
      </c>
      <c r="I64" s="155" t="s">
        <v>764</v>
      </c>
      <c r="J64" s="155">
        <v>2.7709999999999999</v>
      </c>
      <c r="K64" s="155" t="s">
        <v>764</v>
      </c>
      <c r="L64" s="155">
        <v>2.2149999999999999</v>
      </c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 t="s">
        <v>745</v>
      </c>
      <c r="AF64" s="155">
        <v>0.15</v>
      </c>
      <c r="AG64" s="88" t="s">
        <v>745</v>
      </c>
      <c r="AH64" s="155">
        <v>0.3</v>
      </c>
      <c r="AI64" s="156" t="s">
        <v>727</v>
      </c>
      <c r="AJ64" s="157">
        <f>(D64+F64+H64+J64+L64+N64)*AF64*AH64</f>
        <v>0.49477500000000002</v>
      </c>
    </row>
    <row r="65" spans="1:36" x14ac:dyDescent="0.2">
      <c r="A65" s="9"/>
      <c r="B65" s="155"/>
      <c r="C65" s="154" t="s">
        <v>1029</v>
      </c>
      <c r="D65" s="155">
        <v>2.2149999999999999</v>
      </c>
      <c r="E65" s="155" t="s">
        <v>764</v>
      </c>
      <c r="F65" s="155">
        <v>0.874</v>
      </c>
      <c r="G65" s="155" t="s">
        <v>764</v>
      </c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 t="s">
        <v>745</v>
      </c>
      <c r="AF65" s="155">
        <v>0.15</v>
      </c>
      <c r="AG65" s="88" t="s">
        <v>745</v>
      </c>
      <c r="AH65" s="155">
        <v>0.3</v>
      </c>
      <c r="AI65" s="156" t="s">
        <v>727</v>
      </c>
      <c r="AJ65" s="157">
        <f t="shared" si="1"/>
        <v>0.13900499999999999</v>
      </c>
    </row>
    <row r="66" spans="1:36" x14ac:dyDescent="0.2">
      <c r="A66" s="9"/>
      <c r="B66" s="155"/>
      <c r="C66" s="154" t="s">
        <v>1030</v>
      </c>
      <c r="D66" s="155">
        <f>4.544-0.3</f>
        <v>4.2439999999999998</v>
      </c>
      <c r="E66" s="155" t="s">
        <v>764</v>
      </c>
      <c r="F66" s="155">
        <v>1.615</v>
      </c>
      <c r="G66" s="155" t="s">
        <v>764</v>
      </c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 t="s">
        <v>745</v>
      </c>
      <c r="AF66" s="155">
        <v>0.15</v>
      </c>
      <c r="AG66" s="88" t="s">
        <v>745</v>
      </c>
      <c r="AH66" s="155">
        <v>0.3</v>
      </c>
      <c r="AI66" s="156" t="s">
        <v>727</v>
      </c>
      <c r="AJ66" s="157">
        <f t="shared" si="1"/>
        <v>0.26365499999999997</v>
      </c>
    </row>
    <row r="67" spans="1:36" x14ac:dyDescent="0.2">
      <c r="A67" s="9"/>
      <c r="B67" s="155"/>
      <c r="C67" s="154" t="s">
        <v>1031</v>
      </c>
      <c r="D67" s="155">
        <v>2.4529999999999998</v>
      </c>
      <c r="E67" s="155" t="s">
        <v>764</v>
      </c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 t="s">
        <v>745</v>
      </c>
      <c r="AF67" s="155">
        <v>0.15</v>
      </c>
      <c r="AG67" s="88" t="s">
        <v>745</v>
      </c>
      <c r="AH67" s="155">
        <v>0.3</v>
      </c>
      <c r="AI67" s="156" t="s">
        <v>727</v>
      </c>
      <c r="AJ67" s="157">
        <f t="shared" si="1"/>
        <v>0.11038499999999998</v>
      </c>
    </row>
    <row r="68" spans="1:36" x14ac:dyDescent="0.2">
      <c r="A68" s="9"/>
      <c r="B68" s="155"/>
      <c r="C68" s="154" t="s">
        <v>1032</v>
      </c>
      <c r="D68" s="155">
        <f>6.309-0.3-0.3-0.3</f>
        <v>5.4090000000000007</v>
      </c>
      <c r="E68" s="155" t="s">
        <v>764</v>
      </c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 t="s">
        <v>745</v>
      </c>
      <c r="AF68" s="155">
        <v>0.15</v>
      </c>
      <c r="AG68" s="88" t="s">
        <v>745</v>
      </c>
      <c r="AH68" s="155">
        <v>0.3</v>
      </c>
      <c r="AI68" s="156" t="s">
        <v>727</v>
      </c>
      <c r="AJ68" s="157">
        <f t="shared" si="1"/>
        <v>0.24340500000000004</v>
      </c>
    </row>
    <row r="69" spans="1:36" x14ac:dyDescent="0.2">
      <c r="A69" s="9"/>
      <c r="B69" s="155"/>
      <c r="C69" s="154" t="s">
        <v>1033</v>
      </c>
      <c r="D69" s="155">
        <v>2.4529999999999998</v>
      </c>
      <c r="E69" s="155" t="s">
        <v>764</v>
      </c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 t="s">
        <v>745</v>
      </c>
      <c r="AF69" s="155">
        <v>0.15</v>
      </c>
      <c r="AG69" s="88" t="s">
        <v>745</v>
      </c>
      <c r="AH69" s="155">
        <v>0.3</v>
      </c>
      <c r="AI69" s="156" t="s">
        <v>727</v>
      </c>
      <c r="AJ69" s="157">
        <f t="shared" si="1"/>
        <v>0.11038499999999998</v>
      </c>
    </row>
    <row r="70" spans="1:36" x14ac:dyDescent="0.2">
      <c r="A70" s="9"/>
      <c r="B70" s="155"/>
      <c r="C70" s="154" t="s">
        <v>1034</v>
      </c>
      <c r="D70" s="155">
        <v>3.706</v>
      </c>
      <c r="E70" s="155" t="s">
        <v>764</v>
      </c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 t="s">
        <v>745</v>
      </c>
      <c r="AF70" s="155">
        <v>0.15</v>
      </c>
      <c r="AG70" s="88" t="s">
        <v>745</v>
      </c>
      <c r="AH70" s="155">
        <v>0.3</v>
      </c>
      <c r="AI70" s="156" t="s">
        <v>727</v>
      </c>
      <c r="AJ70" s="157">
        <f t="shared" si="1"/>
        <v>0.16676999999999997</v>
      </c>
    </row>
    <row r="71" spans="1:36" x14ac:dyDescent="0.2">
      <c r="A71" s="9"/>
      <c r="B71" s="155"/>
      <c r="C71" s="154" t="s">
        <v>1035</v>
      </c>
      <c r="D71" s="155">
        <v>4.6760000000000002</v>
      </c>
      <c r="E71" s="155" t="s">
        <v>764</v>
      </c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 t="s">
        <v>745</v>
      </c>
      <c r="AF71" s="155">
        <v>0.15</v>
      </c>
      <c r="AG71" s="88" t="s">
        <v>745</v>
      </c>
      <c r="AH71" s="155">
        <v>0.3</v>
      </c>
      <c r="AI71" s="156" t="s">
        <v>727</v>
      </c>
      <c r="AJ71" s="157">
        <f t="shared" si="1"/>
        <v>0.21042</v>
      </c>
    </row>
    <row r="72" spans="1:36" x14ac:dyDescent="0.2">
      <c r="A72" s="9"/>
      <c r="B72" s="155"/>
      <c r="C72" s="154" t="s">
        <v>1036</v>
      </c>
      <c r="D72" s="155">
        <f>6.309-0.6</f>
        <v>5.7090000000000005</v>
      </c>
      <c r="E72" s="155" t="s">
        <v>764</v>
      </c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 t="s">
        <v>745</v>
      </c>
      <c r="AF72" s="155">
        <v>0.15</v>
      </c>
      <c r="AG72" s="88" t="s">
        <v>745</v>
      </c>
      <c r="AH72" s="155">
        <v>0.3</v>
      </c>
      <c r="AI72" s="156" t="s">
        <v>727</v>
      </c>
      <c r="AJ72" s="157">
        <f t="shared" si="1"/>
        <v>0.25690499999999999</v>
      </c>
    </row>
    <row r="73" spans="1:36" x14ac:dyDescent="0.2">
      <c r="A73" s="9"/>
      <c r="B73" s="155"/>
      <c r="C73" s="154" t="s">
        <v>1037</v>
      </c>
      <c r="D73" s="155">
        <v>1.482</v>
      </c>
      <c r="E73" s="155" t="s">
        <v>764</v>
      </c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 t="s">
        <v>745</v>
      </c>
      <c r="AF73" s="155">
        <v>0.15</v>
      </c>
      <c r="AG73" s="88" t="s">
        <v>745</v>
      </c>
      <c r="AH73" s="155">
        <v>0.3</v>
      </c>
      <c r="AI73" s="156" t="s">
        <v>727</v>
      </c>
      <c r="AJ73" s="157">
        <f t="shared" si="1"/>
        <v>6.6689999999999999E-2</v>
      </c>
    </row>
    <row r="74" spans="1:36" x14ac:dyDescent="0.2">
      <c r="A74" s="9"/>
      <c r="B74" s="155"/>
      <c r="C74" s="154" t="s">
        <v>1038</v>
      </c>
      <c r="D74" s="155">
        <v>4.6760000000000002</v>
      </c>
      <c r="E74" s="155" t="s">
        <v>764</v>
      </c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 t="s">
        <v>745</v>
      </c>
      <c r="AF74" s="155">
        <v>0.15</v>
      </c>
      <c r="AG74" s="88" t="s">
        <v>745</v>
      </c>
      <c r="AH74" s="155">
        <v>0.3</v>
      </c>
      <c r="AI74" s="156" t="s">
        <v>727</v>
      </c>
      <c r="AJ74" s="157">
        <f t="shared" si="1"/>
        <v>0.21042</v>
      </c>
    </row>
    <row r="75" spans="1:36" x14ac:dyDescent="0.2">
      <c r="A75" s="9"/>
      <c r="B75" s="155"/>
      <c r="C75" s="154" t="s">
        <v>1039</v>
      </c>
      <c r="D75" s="155">
        <f>6.309-0.6</f>
        <v>5.7090000000000005</v>
      </c>
      <c r="E75" s="155" t="s">
        <v>764</v>
      </c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 t="s">
        <v>745</v>
      </c>
      <c r="AF75" s="155">
        <v>0.15</v>
      </c>
      <c r="AG75" s="88" t="s">
        <v>745</v>
      </c>
      <c r="AH75" s="155">
        <v>0.3</v>
      </c>
      <c r="AI75" s="156" t="s">
        <v>727</v>
      </c>
      <c r="AJ75" s="157">
        <f t="shared" si="1"/>
        <v>0.25690499999999999</v>
      </c>
    </row>
    <row r="76" spans="1:36" x14ac:dyDescent="0.2">
      <c r="A76" s="9"/>
      <c r="B76" s="155"/>
      <c r="C76" s="154" t="s">
        <v>1040</v>
      </c>
      <c r="D76" s="155">
        <v>3.7589999999999999</v>
      </c>
      <c r="E76" s="155" t="s">
        <v>764</v>
      </c>
      <c r="F76" s="155">
        <v>2.4</v>
      </c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 t="s">
        <v>745</v>
      </c>
      <c r="AF76" s="155">
        <v>0.15</v>
      </c>
      <c r="AG76" s="88" t="s">
        <v>745</v>
      </c>
      <c r="AH76" s="155">
        <v>0.3</v>
      </c>
      <c r="AI76" s="156" t="s">
        <v>727</v>
      </c>
      <c r="AJ76" s="157">
        <f t="shared" si="1"/>
        <v>0.27715499999999998</v>
      </c>
    </row>
    <row r="77" spans="1:36" x14ac:dyDescent="0.2">
      <c r="A77" s="9"/>
      <c r="B77" s="155"/>
      <c r="C77" s="154" t="s">
        <v>1041</v>
      </c>
      <c r="D77" s="155">
        <v>3.7589999999999999</v>
      </c>
      <c r="E77" s="155" t="s">
        <v>764</v>
      </c>
      <c r="F77" s="155">
        <v>2.25</v>
      </c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 t="s">
        <v>745</v>
      </c>
      <c r="AF77" s="155">
        <v>0.15</v>
      </c>
      <c r="AG77" s="88" t="s">
        <v>745</v>
      </c>
      <c r="AH77" s="155">
        <v>0.3</v>
      </c>
      <c r="AI77" s="156" t="s">
        <v>727</v>
      </c>
      <c r="AJ77" s="157">
        <f>(D77+F77+H77+J77+L77+N77)*AF77*AH77</f>
        <v>0.27040500000000001</v>
      </c>
    </row>
    <row r="78" spans="1:36" x14ac:dyDescent="0.2">
      <c r="A78" s="9"/>
      <c r="B78" s="155"/>
      <c r="C78" s="154"/>
      <c r="D78" s="309" t="s">
        <v>743</v>
      </c>
      <c r="E78" s="309"/>
      <c r="F78" s="309"/>
      <c r="G78" s="309"/>
      <c r="H78" s="309"/>
      <c r="I78" s="309"/>
      <c r="J78" s="309"/>
      <c r="K78" s="309"/>
      <c r="L78" s="309"/>
      <c r="M78" s="309"/>
      <c r="N78" s="309"/>
      <c r="O78" s="309"/>
      <c r="P78" s="309"/>
      <c r="Q78" s="309"/>
      <c r="R78" s="309"/>
      <c r="S78" s="309"/>
      <c r="T78" s="309"/>
      <c r="U78" s="309"/>
      <c r="V78" s="309"/>
      <c r="W78" s="309"/>
      <c r="X78" s="309"/>
      <c r="Y78" s="309"/>
      <c r="Z78" s="309"/>
      <c r="AA78" s="309"/>
      <c r="AB78" s="309"/>
      <c r="AC78" s="309"/>
      <c r="AD78" s="309"/>
      <c r="AE78" s="309"/>
      <c r="AF78" s="309"/>
      <c r="AG78" s="309"/>
      <c r="AH78" s="309"/>
      <c r="AI78" s="156" t="s">
        <v>727</v>
      </c>
      <c r="AJ78" s="175">
        <f>SUM(AJ26:AJ77)</f>
        <v>12.002849999999997</v>
      </c>
    </row>
    <row r="79" spans="1:36" ht="12.75" customHeight="1" x14ac:dyDescent="0.2">
      <c r="A79" s="9"/>
      <c r="B79" s="155"/>
      <c r="C79" s="179"/>
      <c r="D79" s="331" t="s">
        <v>1049</v>
      </c>
      <c r="E79" s="331"/>
      <c r="F79" s="331"/>
      <c r="G79" s="331"/>
      <c r="H79" s="331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156"/>
      <c r="AJ79" s="157"/>
    </row>
    <row r="80" spans="1:36" x14ac:dyDescent="0.2">
      <c r="A80" s="9"/>
      <c r="B80" s="155"/>
      <c r="C80" s="154" t="s">
        <v>1042</v>
      </c>
      <c r="D80" s="155">
        <v>2.2000000000000002</v>
      </c>
      <c r="E80" s="155" t="s">
        <v>745</v>
      </c>
      <c r="F80" s="155">
        <v>7.35</v>
      </c>
      <c r="G80" s="155" t="s">
        <v>764</v>
      </c>
      <c r="H80" s="155">
        <v>2.2200000000000002</v>
      </c>
      <c r="I80" s="155" t="s">
        <v>745</v>
      </c>
      <c r="J80" s="155">
        <v>1.25</v>
      </c>
      <c r="K80" s="155" t="s">
        <v>764</v>
      </c>
      <c r="L80" s="155">
        <v>6</v>
      </c>
      <c r="M80" s="155" t="s">
        <v>745</v>
      </c>
      <c r="N80" s="155">
        <v>1.46</v>
      </c>
      <c r="O80" s="155" t="s">
        <v>764</v>
      </c>
      <c r="P80" s="155">
        <v>1.2</v>
      </c>
      <c r="Q80" s="155" t="s">
        <v>745</v>
      </c>
      <c r="R80" s="155">
        <v>19.95</v>
      </c>
      <c r="S80" s="155" t="s">
        <v>764</v>
      </c>
      <c r="T80" s="155">
        <v>4.05</v>
      </c>
      <c r="U80" s="155" t="s">
        <v>745</v>
      </c>
      <c r="V80" s="155">
        <v>3.85</v>
      </c>
      <c r="W80" s="155" t="s">
        <v>764</v>
      </c>
      <c r="X80" s="155">
        <v>0.63</v>
      </c>
      <c r="Y80" s="155" t="s">
        <v>745</v>
      </c>
      <c r="Z80" s="155">
        <v>4.6500000000000004</v>
      </c>
      <c r="AA80" s="155"/>
      <c r="AB80" s="155"/>
      <c r="AC80" s="155"/>
      <c r="AD80" s="155"/>
      <c r="AE80" s="155"/>
      <c r="AF80" s="155"/>
      <c r="AG80" s="88" t="s">
        <v>745</v>
      </c>
      <c r="AH80" s="158">
        <v>0.2</v>
      </c>
      <c r="AI80" s="156" t="s">
        <v>727</v>
      </c>
      <c r="AJ80" s="157">
        <f>(D80*F80+H80*J80+L80*N80+P80*R80+T80*V80+X80*Z80)*AH80</f>
        <v>14.0334</v>
      </c>
    </row>
    <row r="81" spans="1:36" x14ac:dyDescent="0.2">
      <c r="A81" s="9"/>
      <c r="B81" s="155"/>
      <c r="C81" s="154" t="s">
        <v>1043</v>
      </c>
      <c r="D81" s="155">
        <v>40</v>
      </c>
      <c r="E81" s="155" t="s">
        <v>745</v>
      </c>
      <c r="F81" s="155">
        <v>1.2</v>
      </c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88" t="s">
        <v>745</v>
      </c>
      <c r="AH81" s="155">
        <v>0.4</v>
      </c>
      <c r="AI81" s="156" t="s">
        <v>727</v>
      </c>
      <c r="AJ81" s="157">
        <f t="shared" ref="AJ81:AJ85" si="2">(D81*F81+H81*J81+L81*N81+P81*R81+T81*V81+X81*Z81)*AH81</f>
        <v>19.200000000000003</v>
      </c>
    </row>
    <row r="82" spans="1:36" x14ac:dyDescent="0.2">
      <c r="A82" s="9"/>
      <c r="B82" s="155"/>
      <c r="C82" s="154" t="s">
        <v>1044</v>
      </c>
      <c r="D82" s="155">
        <v>1.5</v>
      </c>
      <c r="E82" s="155" t="s">
        <v>745</v>
      </c>
      <c r="F82" s="155">
        <v>3.17</v>
      </c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88" t="s">
        <v>745</v>
      </c>
      <c r="AH82" s="155">
        <v>0.3</v>
      </c>
      <c r="AI82" s="156" t="s">
        <v>727</v>
      </c>
      <c r="AJ82" s="157">
        <f t="shared" si="2"/>
        <v>1.4264999999999999</v>
      </c>
    </row>
    <row r="83" spans="1:36" x14ac:dyDescent="0.2">
      <c r="A83" s="9"/>
      <c r="B83" s="155"/>
      <c r="C83" s="154" t="s">
        <v>1045</v>
      </c>
      <c r="D83" s="155">
        <v>15.1</v>
      </c>
      <c r="E83" s="155" t="s">
        <v>745</v>
      </c>
      <c r="F83" s="155">
        <v>3.3</v>
      </c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88" t="s">
        <v>745</v>
      </c>
      <c r="AH83" s="155">
        <v>0.3</v>
      </c>
      <c r="AI83" s="156" t="s">
        <v>727</v>
      </c>
      <c r="AJ83" s="157">
        <f t="shared" si="2"/>
        <v>14.948999999999998</v>
      </c>
    </row>
    <row r="84" spans="1:36" x14ac:dyDescent="0.2">
      <c r="A84" s="9"/>
      <c r="B84" s="155"/>
      <c r="C84" s="154" t="s">
        <v>789</v>
      </c>
      <c r="D84" s="155">
        <v>1.1000000000000001</v>
      </c>
      <c r="E84" s="155" t="s">
        <v>745</v>
      </c>
      <c r="F84" s="155">
        <v>3.7</v>
      </c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88" t="s">
        <v>745</v>
      </c>
      <c r="AH84" s="155">
        <v>0.3</v>
      </c>
      <c r="AI84" s="156" t="s">
        <v>727</v>
      </c>
      <c r="AJ84" s="157">
        <f t="shared" si="2"/>
        <v>1.2210000000000001</v>
      </c>
    </row>
    <row r="85" spans="1:36" x14ac:dyDescent="0.2">
      <c r="A85" s="9"/>
      <c r="B85" s="155"/>
      <c r="C85" s="154" t="s">
        <v>946</v>
      </c>
      <c r="D85" s="155">
        <v>2.8</v>
      </c>
      <c r="E85" s="155" t="s">
        <v>745</v>
      </c>
      <c r="F85" s="155">
        <v>2.8</v>
      </c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88" t="s">
        <v>745</v>
      </c>
      <c r="AH85" s="155">
        <v>0.3</v>
      </c>
      <c r="AI85" s="156" t="s">
        <v>727</v>
      </c>
      <c r="AJ85" s="157">
        <f t="shared" si="2"/>
        <v>2.3519999999999994</v>
      </c>
    </row>
    <row r="86" spans="1:36" x14ac:dyDescent="0.2">
      <c r="A86" s="9"/>
      <c r="B86" s="155"/>
      <c r="C86" s="181"/>
      <c r="D86" s="309" t="s">
        <v>743</v>
      </c>
      <c r="E86" s="309"/>
      <c r="F86" s="309"/>
      <c r="G86" s="309"/>
      <c r="H86" s="309"/>
      <c r="I86" s="309"/>
      <c r="J86" s="309"/>
      <c r="K86" s="309"/>
      <c r="L86" s="309"/>
      <c r="M86" s="309"/>
      <c r="N86" s="309"/>
      <c r="O86" s="309"/>
      <c r="P86" s="309"/>
      <c r="Q86" s="309"/>
      <c r="R86" s="309"/>
      <c r="S86" s="309"/>
      <c r="T86" s="309"/>
      <c r="U86" s="309"/>
      <c r="V86" s="309"/>
      <c r="W86" s="309"/>
      <c r="X86" s="309"/>
      <c r="Y86" s="309"/>
      <c r="Z86" s="309"/>
      <c r="AA86" s="309"/>
      <c r="AB86" s="309"/>
      <c r="AC86" s="309"/>
      <c r="AD86" s="309"/>
      <c r="AE86" s="309"/>
      <c r="AF86" s="309"/>
      <c r="AG86" s="309"/>
      <c r="AH86" s="309"/>
      <c r="AI86" s="156" t="s">
        <v>727</v>
      </c>
      <c r="AJ86" s="175">
        <f>SUM(AJ80:AJ85)</f>
        <v>53.181899999999992</v>
      </c>
    </row>
    <row r="87" spans="1:36" ht="12.75" customHeight="1" x14ac:dyDescent="0.2">
      <c r="A87" s="9"/>
      <c r="B87" s="155"/>
      <c r="C87" s="181"/>
      <c r="D87" s="309" t="s">
        <v>959</v>
      </c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309"/>
      <c r="AB87" s="309"/>
      <c r="AC87" s="309"/>
      <c r="AD87" s="309"/>
      <c r="AE87" s="309"/>
      <c r="AF87" s="309"/>
      <c r="AG87" s="309"/>
      <c r="AH87" s="309"/>
      <c r="AI87" s="156" t="s">
        <v>727</v>
      </c>
      <c r="AJ87" s="175">
        <f>AJ24+AJ78+AJ86</f>
        <v>94.397249999999985</v>
      </c>
    </row>
    <row r="88" spans="1:36" ht="24" x14ac:dyDescent="0.2">
      <c r="A88" s="9" t="s">
        <v>33</v>
      </c>
      <c r="B88" s="11" t="s">
        <v>27</v>
      </c>
      <c r="C88" s="10" t="s">
        <v>28</v>
      </c>
      <c r="D88" s="335"/>
      <c r="E88" s="336"/>
      <c r="F88" s="336"/>
      <c r="G88" s="336"/>
      <c r="H88" s="336"/>
      <c r="I88" s="336"/>
      <c r="J88" s="336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  <c r="AA88" s="336"/>
      <c r="AB88" s="336"/>
      <c r="AC88" s="336"/>
      <c r="AD88" s="336"/>
      <c r="AE88" s="336"/>
      <c r="AF88" s="336"/>
      <c r="AG88" s="336"/>
      <c r="AH88" s="336"/>
      <c r="AI88" s="337"/>
      <c r="AJ88" s="11" t="s">
        <v>29</v>
      </c>
    </row>
    <row r="89" spans="1:36" x14ac:dyDescent="0.2">
      <c r="A89" s="9" t="s">
        <v>34</v>
      </c>
      <c r="B89" s="11" t="s">
        <v>35</v>
      </c>
      <c r="C89" s="10" t="s">
        <v>36</v>
      </c>
      <c r="D89" s="335"/>
      <c r="E89" s="336"/>
      <c r="F89" s="336"/>
      <c r="G89" s="336"/>
      <c r="H89" s="336"/>
      <c r="I89" s="336"/>
      <c r="J89" s="336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  <c r="AA89" s="336"/>
      <c r="AB89" s="336"/>
      <c r="AC89" s="336"/>
      <c r="AD89" s="336"/>
      <c r="AE89" s="336"/>
      <c r="AF89" s="336"/>
      <c r="AG89" s="336"/>
      <c r="AH89" s="336"/>
      <c r="AI89" s="337"/>
      <c r="AJ89" s="11" t="s">
        <v>29</v>
      </c>
    </row>
    <row r="90" spans="1:36" ht="26.25" customHeight="1" x14ac:dyDescent="0.2">
      <c r="A90" s="9" t="s">
        <v>896</v>
      </c>
      <c r="B90" s="11">
        <v>94342</v>
      </c>
      <c r="C90" s="10" t="s">
        <v>897</v>
      </c>
      <c r="D90" s="335"/>
      <c r="E90" s="336"/>
      <c r="F90" s="336"/>
      <c r="G90" s="336"/>
      <c r="H90" s="336"/>
      <c r="I90" s="336"/>
      <c r="J90" s="336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  <c r="AA90" s="336"/>
      <c r="AB90" s="336"/>
      <c r="AC90" s="336"/>
      <c r="AD90" s="336"/>
      <c r="AE90" s="336"/>
      <c r="AF90" s="336"/>
      <c r="AG90" s="336"/>
      <c r="AH90" s="336"/>
      <c r="AI90" s="337"/>
      <c r="AJ90" s="11" t="s">
        <v>29</v>
      </c>
    </row>
    <row r="91" spans="1:36" ht="26.25" customHeight="1" x14ac:dyDescent="0.2">
      <c r="A91" s="9" t="s">
        <v>898</v>
      </c>
      <c r="B91" s="11">
        <v>94342</v>
      </c>
      <c r="C91" s="10" t="s">
        <v>897</v>
      </c>
      <c r="D91" s="335"/>
      <c r="E91" s="336"/>
      <c r="F91" s="336"/>
      <c r="G91" s="336"/>
      <c r="H91" s="336"/>
      <c r="I91" s="336"/>
      <c r="J91" s="336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  <c r="AA91" s="336"/>
      <c r="AB91" s="336"/>
      <c r="AC91" s="336"/>
      <c r="AD91" s="336"/>
      <c r="AE91" s="336"/>
      <c r="AF91" s="336"/>
      <c r="AG91" s="336"/>
      <c r="AH91" s="336"/>
      <c r="AI91" s="337"/>
      <c r="AJ91" s="11" t="s">
        <v>29</v>
      </c>
    </row>
    <row r="92" spans="1:36" x14ac:dyDescent="0.2">
      <c r="A92" s="9"/>
      <c r="B92" s="11"/>
      <c r="C92" s="46" t="s">
        <v>885</v>
      </c>
      <c r="D92" s="11">
        <v>40</v>
      </c>
      <c r="E92" s="11" t="s">
        <v>745</v>
      </c>
      <c r="F92" s="11">
        <v>1.3</v>
      </c>
      <c r="G92" s="11"/>
      <c r="H92" s="11"/>
      <c r="I92" s="11"/>
      <c r="J92" s="11"/>
      <c r="K92" s="11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1" t="s">
        <v>748</v>
      </c>
      <c r="AH92" s="11">
        <f>0.35-0.05</f>
        <v>0.3</v>
      </c>
      <c r="AI92" s="147" t="s">
        <v>727</v>
      </c>
      <c r="AJ92" s="11">
        <f>(D92*F92+H92*J92+L92*N92)*AH92</f>
        <v>15.6</v>
      </c>
    </row>
    <row r="93" spans="1:36" x14ac:dyDescent="0.2">
      <c r="A93" s="9"/>
      <c r="B93" s="11"/>
      <c r="C93" s="46" t="s">
        <v>900</v>
      </c>
      <c r="D93" s="11">
        <v>2.2000000000000002</v>
      </c>
      <c r="E93" s="11" t="s">
        <v>745</v>
      </c>
      <c r="F93" s="88">
        <f>7.35-0.2</f>
        <v>7.1499999999999995</v>
      </c>
      <c r="G93" s="11" t="s">
        <v>764</v>
      </c>
      <c r="H93" s="11">
        <f>1.5-0.2</f>
        <v>1.3</v>
      </c>
      <c r="I93" s="11" t="s">
        <v>745</v>
      </c>
      <c r="J93" s="11">
        <v>6</v>
      </c>
      <c r="K93" s="11"/>
      <c r="L93" s="11"/>
      <c r="M93" s="11"/>
      <c r="N93" s="11"/>
      <c r="O93" s="11"/>
      <c r="P93" s="11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1" t="s">
        <v>748</v>
      </c>
      <c r="AH93" s="11">
        <v>0.05</v>
      </c>
      <c r="AI93" s="147" t="s">
        <v>727</v>
      </c>
      <c r="AJ93" s="11">
        <f>(D93*F93+H93*J93+L93*N93)*AH93</f>
        <v>1.1765000000000001</v>
      </c>
    </row>
    <row r="94" spans="1:36" x14ac:dyDescent="0.2">
      <c r="A94" s="9"/>
      <c r="B94" s="11"/>
      <c r="C94" s="46" t="s">
        <v>899</v>
      </c>
      <c r="D94" s="11">
        <v>19.95</v>
      </c>
      <c r="E94" s="11" t="s">
        <v>745</v>
      </c>
      <c r="F94" s="88">
        <f>1.2-0.2</f>
        <v>1</v>
      </c>
      <c r="G94" s="11" t="s">
        <v>764</v>
      </c>
      <c r="H94" s="11">
        <v>4.6500000000000004</v>
      </c>
      <c r="I94" s="11" t="s">
        <v>745</v>
      </c>
      <c r="J94" s="11">
        <v>0.63</v>
      </c>
      <c r="K94" s="11" t="s">
        <v>764</v>
      </c>
      <c r="L94" s="11">
        <f>4.05-0.2-0.2</f>
        <v>3.6499999999999995</v>
      </c>
      <c r="M94" s="11" t="s">
        <v>748</v>
      </c>
      <c r="N94" s="11">
        <v>3.85</v>
      </c>
      <c r="O94" s="11"/>
      <c r="P94" s="11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1" t="s">
        <v>748</v>
      </c>
      <c r="AH94" s="11">
        <v>0.05</v>
      </c>
      <c r="AI94" s="147" t="s">
        <v>727</v>
      </c>
      <c r="AJ94" s="11">
        <f>(D94*F94+H94*J94+L94*N94)*AH94</f>
        <v>1.8466000000000002</v>
      </c>
    </row>
    <row r="95" spans="1:36" x14ac:dyDescent="0.2">
      <c r="A95" s="9"/>
      <c r="B95" s="11"/>
      <c r="C95" s="46" t="s">
        <v>886</v>
      </c>
      <c r="D95" s="11">
        <v>3.17</v>
      </c>
      <c r="E95" s="11" t="s">
        <v>748</v>
      </c>
      <c r="F95" s="11">
        <f>1.5-0.4</f>
        <v>1.1000000000000001</v>
      </c>
      <c r="G95" s="11"/>
      <c r="H95" s="11"/>
      <c r="I95" s="11"/>
      <c r="J95" s="11"/>
      <c r="K95" s="11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1" t="s">
        <v>748</v>
      </c>
      <c r="AH95" s="11">
        <f>0.2-0.05</f>
        <v>0.15000000000000002</v>
      </c>
      <c r="AI95" s="147" t="s">
        <v>727</v>
      </c>
      <c r="AJ95" s="11">
        <f>(D95*F95+H95*J95+L95*N95)*AH95</f>
        <v>0.52305000000000013</v>
      </c>
    </row>
    <row r="96" spans="1:36" x14ac:dyDescent="0.2">
      <c r="A96" s="9"/>
      <c r="B96" s="11"/>
      <c r="C96" s="10"/>
      <c r="D96" s="287" t="s">
        <v>743</v>
      </c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287"/>
      <c r="AG96" s="287"/>
      <c r="AH96" s="287"/>
      <c r="AI96" s="287"/>
      <c r="AJ96" s="92">
        <f>SUM(AJ92:AJ95)</f>
        <v>19.146149999999999</v>
      </c>
    </row>
    <row r="97" spans="1:36" x14ac:dyDescent="0.2">
      <c r="A97" s="127" t="s">
        <v>37</v>
      </c>
      <c r="B97" s="252" t="s">
        <v>38</v>
      </c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/>
      <c r="AC97" s="252"/>
      <c r="AD97" s="252"/>
      <c r="AE97" s="252"/>
      <c r="AF97" s="252"/>
      <c r="AG97" s="252"/>
      <c r="AH97" s="252"/>
      <c r="AI97" s="252"/>
      <c r="AJ97" s="252"/>
    </row>
    <row r="98" spans="1:36" ht="24" x14ac:dyDescent="0.2">
      <c r="A98" s="9" t="s">
        <v>39</v>
      </c>
      <c r="B98" s="11" t="s">
        <v>40</v>
      </c>
      <c r="C98" s="10" t="s">
        <v>41</v>
      </c>
      <c r="D98" s="376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  <c r="AA98" s="292"/>
      <c r="AB98" s="292"/>
      <c r="AC98" s="292"/>
      <c r="AD98" s="292"/>
      <c r="AE98" s="292"/>
      <c r="AF98" s="292"/>
      <c r="AG98" s="292"/>
      <c r="AH98" s="292"/>
      <c r="AI98" s="293"/>
      <c r="AJ98" s="11" t="s">
        <v>29</v>
      </c>
    </row>
    <row r="99" spans="1:36" ht="48" x14ac:dyDescent="0.2">
      <c r="A99" s="9"/>
      <c r="B99" s="169"/>
      <c r="C99" s="170" t="s">
        <v>982</v>
      </c>
      <c r="D99" s="169">
        <v>0.6</v>
      </c>
      <c r="E99" s="169" t="s">
        <v>748</v>
      </c>
      <c r="F99" s="169">
        <v>0.75</v>
      </c>
      <c r="G99" s="169" t="s">
        <v>748</v>
      </c>
      <c r="H99" s="169">
        <v>0.05</v>
      </c>
      <c r="I99" s="169"/>
      <c r="J99" s="169"/>
      <c r="K99" s="169"/>
      <c r="L99" s="169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 t="s">
        <v>745</v>
      </c>
      <c r="AH99" s="172">
        <v>47</v>
      </c>
      <c r="AI99" s="173" t="s">
        <v>727</v>
      </c>
      <c r="AJ99" s="157">
        <f>(D99*F99*H99)*AH99</f>
        <v>1.0574999999999999</v>
      </c>
    </row>
    <row r="100" spans="1:36" x14ac:dyDescent="0.2">
      <c r="A100" s="9"/>
      <c r="B100" s="169"/>
      <c r="C100" s="174" t="s">
        <v>983</v>
      </c>
      <c r="D100" s="169">
        <v>0.65</v>
      </c>
      <c r="E100" s="169" t="s">
        <v>748</v>
      </c>
      <c r="F100" s="169">
        <v>0.65</v>
      </c>
      <c r="G100" s="169" t="s">
        <v>748</v>
      </c>
      <c r="H100" s="169">
        <v>0.05</v>
      </c>
      <c r="I100" s="169"/>
      <c r="J100" s="169"/>
      <c r="K100" s="169"/>
      <c r="L100" s="169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 t="s">
        <v>745</v>
      </c>
      <c r="AH100" s="172">
        <v>2</v>
      </c>
      <c r="AI100" s="173" t="s">
        <v>727</v>
      </c>
      <c r="AJ100" s="157">
        <f t="shared" ref="AJ100" si="3">(D100*F100*H100)*AH100</f>
        <v>4.225000000000001E-2</v>
      </c>
    </row>
    <row r="101" spans="1:36" x14ac:dyDescent="0.2">
      <c r="A101" s="9"/>
      <c r="B101" s="169"/>
      <c r="C101" s="174" t="s">
        <v>984</v>
      </c>
      <c r="D101" s="169">
        <v>0.55000000000000004</v>
      </c>
      <c r="E101" s="169" t="s">
        <v>748</v>
      </c>
      <c r="F101" s="169">
        <v>1</v>
      </c>
      <c r="G101" s="169" t="s">
        <v>748</v>
      </c>
      <c r="H101" s="169">
        <v>0.05</v>
      </c>
      <c r="I101" s="169"/>
      <c r="J101" s="169"/>
      <c r="K101" s="169"/>
      <c r="L101" s="169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 t="s">
        <v>745</v>
      </c>
      <c r="AH101" s="172">
        <v>1</v>
      </c>
      <c r="AI101" s="173" t="s">
        <v>727</v>
      </c>
      <c r="AJ101" s="157">
        <f>(D101*F101*H101)*AH101</f>
        <v>2.7500000000000004E-2</v>
      </c>
    </row>
    <row r="102" spans="1:36" x14ac:dyDescent="0.2">
      <c r="A102" s="9"/>
      <c r="B102" s="169"/>
      <c r="C102" s="174" t="s">
        <v>985</v>
      </c>
      <c r="D102" s="169">
        <v>0.7</v>
      </c>
      <c r="E102" s="169" t="s">
        <v>748</v>
      </c>
      <c r="F102" s="169">
        <v>0.85</v>
      </c>
      <c r="G102" s="169" t="s">
        <v>748</v>
      </c>
      <c r="H102" s="169">
        <v>0.05</v>
      </c>
      <c r="I102" s="169"/>
      <c r="J102" s="169"/>
      <c r="K102" s="169"/>
      <c r="L102" s="169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 t="s">
        <v>745</v>
      </c>
      <c r="AH102" s="172">
        <v>5</v>
      </c>
      <c r="AI102" s="173" t="s">
        <v>727</v>
      </c>
      <c r="AJ102" s="157">
        <f t="shared" ref="AJ102:AJ105" si="4">(D102*F102*H102)*AH102</f>
        <v>0.14874999999999999</v>
      </c>
    </row>
    <row r="103" spans="1:36" x14ac:dyDescent="0.2">
      <c r="A103" s="9"/>
      <c r="B103" s="169"/>
      <c r="C103" s="174" t="s">
        <v>986</v>
      </c>
      <c r="D103" s="169">
        <v>0.75</v>
      </c>
      <c r="E103" s="169" t="s">
        <v>748</v>
      </c>
      <c r="F103" s="169">
        <v>0.75</v>
      </c>
      <c r="G103" s="169" t="s">
        <v>748</v>
      </c>
      <c r="H103" s="169">
        <v>0.05</v>
      </c>
      <c r="I103" s="169"/>
      <c r="J103" s="169"/>
      <c r="K103" s="169"/>
      <c r="L103" s="169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 t="s">
        <v>745</v>
      </c>
      <c r="AH103" s="172">
        <v>1</v>
      </c>
      <c r="AI103" s="173" t="s">
        <v>727</v>
      </c>
      <c r="AJ103" s="157">
        <f t="shared" si="4"/>
        <v>2.8125000000000001E-2</v>
      </c>
    </row>
    <row r="104" spans="1:36" x14ac:dyDescent="0.2">
      <c r="A104" s="9"/>
      <c r="B104" s="169"/>
      <c r="C104" s="174" t="s">
        <v>987</v>
      </c>
      <c r="D104" s="169">
        <v>0.85</v>
      </c>
      <c r="E104" s="169" t="s">
        <v>748</v>
      </c>
      <c r="F104" s="169">
        <v>1</v>
      </c>
      <c r="G104" s="169" t="s">
        <v>748</v>
      </c>
      <c r="H104" s="169">
        <v>0.05</v>
      </c>
      <c r="I104" s="169"/>
      <c r="J104" s="169"/>
      <c r="K104" s="169"/>
      <c r="L104" s="169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 t="s">
        <v>745</v>
      </c>
      <c r="AH104" s="172">
        <v>1</v>
      </c>
      <c r="AI104" s="173" t="s">
        <v>727</v>
      </c>
      <c r="AJ104" s="157">
        <f t="shared" si="4"/>
        <v>4.2500000000000003E-2</v>
      </c>
    </row>
    <row r="105" spans="1:36" x14ac:dyDescent="0.2">
      <c r="A105" s="9"/>
      <c r="B105" s="169"/>
      <c r="C105" s="174" t="s">
        <v>988</v>
      </c>
      <c r="D105" s="169">
        <v>0.8</v>
      </c>
      <c r="E105" s="169" t="s">
        <v>748</v>
      </c>
      <c r="F105" s="169">
        <v>0.95</v>
      </c>
      <c r="G105" s="169" t="s">
        <v>745</v>
      </c>
      <c r="H105" s="169">
        <v>0.05</v>
      </c>
      <c r="I105" s="169"/>
      <c r="J105" s="169"/>
      <c r="K105" s="169"/>
      <c r="L105" s="169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 t="s">
        <v>745</v>
      </c>
      <c r="AH105" s="172">
        <v>3</v>
      </c>
      <c r="AI105" s="173" t="s">
        <v>727</v>
      </c>
      <c r="AJ105" s="157">
        <f t="shared" si="4"/>
        <v>0.11400000000000002</v>
      </c>
    </row>
    <row r="106" spans="1:36" x14ac:dyDescent="0.2">
      <c r="A106" s="9"/>
      <c r="B106" s="352" t="s">
        <v>743</v>
      </c>
      <c r="C106" s="353"/>
      <c r="D106" s="353"/>
      <c r="E106" s="353"/>
      <c r="F106" s="353"/>
      <c r="G106" s="353"/>
      <c r="H106" s="353"/>
      <c r="I106" s="353"/>
      <c r="J106" s="353"/>
      <c r="K106" s="353"/>
      <c r="L106" s="353"/>
      <c r="M106" s="353"/>
      <c r="N106" s="353"/>
      <c r="O106" s="353"/>
      <c r="P106" s="353"/>
      <c r="Q106" s="353"/>
      <c r="R106" s="353"/>
      <c r="S106" s="353"/>
      <c r="T106" s="353"/>
      <c r="U106" s="353"/>
      <c r="V106" s="353"/>
      <c r="W106" s="353"/>
      <c r="X106" s="353"/>
      <c r="Y106" s="353"/>
      <c r="Z106" s="353"/>
      <c r="AA106" s="353"/>
      <c r="AB106" s="353"/>
      <c r="AC106" s="353"/>
      <c r="AD106" s="353"/>
      <c r="AE106" s="353"/>
      <c r="AF106" s="353"/>
      <c r="AG106" s="353"/>
      <c r="AH106" s="354"/>
      <c r="AI106" s="173" t="s">
        <v>727</v>
      </c>
      <c r="AJ106" s="175">
        <f>SUM(AJ99:AJ105)</f>
        <v>1.4606249999999998</v>
      </c>
    </row>
    <row r="107" spans="1:36" ht="36" x14ac:dyDescent="0.2">
      <c r="A107" s="7" t="s">
        <v>42</v>
      </c>
      <c r="B107" s="96" t="s">
        <v>43</v>
      </c>
      <c r="C107" s="93" t="s">
        <v>44</v>
      </c>
      <c r="D107" s="294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  <c r="AE107" s="295"/>
      <c r="AF107" s="295"/>
      <c r="AG107" s="295"/>
      <c r="AH107" s="295"/>
      <c r="AI107" s="296"/>
      <c r="AJ107" s="11" t="s">
        <v>19</v>
      </c>
    </row>
    <row r="108" spans="1:36" ht="48" x14ac:dyDescent="0.2">
      <c r="A108" s="7"/>
      <c r="B108" s="169"/>
      <c r="C108" s="170" t="s">
        <v>982</v>
      </c>
      <c r="D108" s="169">
        <v>0.6</v>
      </c>
      <c r="E108" s="169" t="s">
        <v>764</v>
      </c>
      <c r="F108" s="169">
        <v>0.6</v>
      </c>
      <c r="G108" s="169" t="s">
        <v>764</v>
      </c>
      <c r="H108" s="169">
        <v>0.75</v>
      </c>
      <c r="I108" s="169" t="s">
        <v>764</v>
      </c>
      <c r="J108" s="169">
        <v>0.75</v>
      </c>
      <c r="K108" s="169"/>
      <c r="L108" s="169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82"/>
      <c r="AE108" s="171" t="s">
        <v>745</v>
      </c>
      <c r="AF108" s="171">
        <v>0.25</v>
      </c>
      <c r="AG108" s="171" t="s">
        <v>745</v>
      </c>
      <c r="AH108" s="172">
        <v>47</v>
      </c>
      <c r="AI108" s="173" t="s">
        <v>727</v>
      </c>
      <c r="AJ108" s="157">
        <f>(D108+F108+H108+J108)*AF108*AH108</f>
        <v>31.725000000000001</v>
      </c>
    </row>
    <row r="109" spans="1:36" x14ac:dyDescent="0.2">
      <c r="A109" s="7"/>
      <c r="B109" s="169"/>
      <c r="C109" s="174" t="s">
        <v>983</v>
      </c>
      <c r="D109" s="169">
        <v>0.65</v>
      </c>
      <c r="E109" s="169" t="s">
        <v>764</v>
      </c>
      <c r="F109" s="169">
        <v>0.65</v>
      </c>
      <c r="G109" s="169" t="s">
        <v>764</v>
      </c>
      <c r="H109" s="169">
        <v>0.65</v>
      </c>
      <c r="I109" s="169" t="s">
        <v>764</v>
      </c>
      <c r="J109" s="169">
        <v>0.65</v>
      </c>
      <c r="K109" s="169"/>
      <c r="L109" s="169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 t="s">
        <v>745</v>
      </c>
      <c r="AF109" s="171">
        <v>0.25</v>
      </c>
      <c r="AG109" s="171" t="s">
        <v>745</v>
      </c>
      <c r="AH109" s="172">
        <v>2</v>
      </c>
      <c r="AI109" s="173" t="s">
        <v>727</v>
      </c>
      <c r="AJ109" s="157">
        <f t="shared" ref="AJ109:AJ114" si="5">(D109+F109+H109+J109)*AF109*AH109</f>
        <v>1.3</v>
      </c>
    </row>
    <row r="110" spans="1:36" x14ac:dyDescent="0.2">
      <c r="A110" s="7"/>
      <c r="B110" s="169"/>
      <c r="C110" s="174" t="s">
        <v>984</v>
      </c>
      <c r="D110" s="169">
        <v>0.55000000000000004</v>
      </c>
      <c r="E110" s="169" t="s">
        <v>764</v>
      </c>
      <c r="F110" s="169">
        <v>0.55000000000000004</v>
      </c>
      <c r="G110" s="169" t="s">
        <v>764</v>
      </c>
      <c r="H110" s="169">
        <v>1</v>
      </c>
      <c r="I110" s="169" t="s">
        <v>764</v>
      </c>
      <c r="J110" s="169">
        <v>1</v>
      </c>
      <c r="K110" s="169"/>
      <c r="L110" s="169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 t="s">
        <v>745</v>
      </c>
      <c r="AF110" s="171">
        <v>0.25</v>
      </c>
      <c r="AG110" s="171" t="s">
        <v>745</v>
      </c>
      <c r="AH110" s="172">
        <v>1</v>
      </c>
      <c r="AI110" s="173" t="s">
        <v>727</v>
      </c>
      <c r="AJ110" s="157">
        <f t="shared" si="5"/>
        <v>0.77500000000000002</v>
      </c>
    </row>
    <row r="111" spans="1:36" x14ac:dyDescent="0.2">
      <c r="A111" s="7"/>
      <c r="B111" s="169"/>
      <c r="C111" s="174" t="s">
        <v>985</v>
      </c>
      <c r="D111" s="169">
        <v>0.7</v>
      </c>
      <c r="E111" s="169" t="s">
        <v>764</v>
      </c>
      <c r="F111" s="169">
        <v>0.7</v>
      </c>
      <c r="G111" s="169" t="s">
        <v>764</v>
      </c>
      <c r="H111" s="169">
        <v>0.85</v>
      </c>
      <c r="I111" s="169" t="s">
        <v>764</v>
      </c>
      <c r="J111" s="169">
        <v>0.85</v>
      </c>
      <c r="K111" s="169"/>
      <c r="L111" s="169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 t="s">
        <v>745</v>
      </c>
      <c r="AF111" s="171">
        <v>0.25</v>
      </c>
      <c r="AG111" s="171" t="s">
        <v>745</v>
      </c>
      <c r="AH111" s="172">
        <v>5</v>
      </c>
      <c r="AI111" s="173" t="s">
        <v>727</v>
      </c>
      <c r="AJ111" s="157">
        <f t="shared" si="5"/>
        <v>3.875</v>
      </c>
    </row>
    <row r="112" spans="1:36" x14ac:dyDescent="0.2">
      <c r="A112" s="7"/>
      <c r="B112" s="169"/>
      <c r="C112" s="174" t="s">
        <v>986</v>
      </c>
      <c r="D112" s="169">
        <v>0.75</v>
      </c>
      <c r="E112" s="169" t="s">
        <v>764</v>
      </c>
      <c r="F112" s="169">
        <v>0.75</v>
      </c>
      <c r="G112" s="169" t="s">
        <v>764</v>
      </c>
      <c r="H112" s="169">
        <v>0.75</v>
      </c>
      <c r="I112" s="169" t="s">
        <v>764</v>
      </c>
      <c r="J112" s="169">
        <v>0.75</v>
      </c>
      <c r="K112" s="169"/>
      <c r="L112" s="169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 t="s">
        <v>745</v>
      </c>
      <c r="AF112" s="171">
        <v>0.25</v>
      </c>
      <c r="AG112" s="171" t="s">
        <v>745</v>
      </c>
      <c r="AH112" s="172">
        <v>1</v>
      </c>
      <c r="AI112" s="173" t="s">
        <v>727</v>
      </c>
      <c r="AJ112" s="157">
        <f t="shared" si="5"/>
        <v>0.75</v>
      </c>
    </row>
    <row r="113" spans="1:36" x14ac:dyDescent="0.2">
      <c r="A113" s="7"/>
      <c r="B113" s="169"/>
      <c r="C113" s="174" t="s">
        <v>987</v>
      </c>
      <c r="D113" s="169">
        <v>0.85</v>
      </c>
      <c r="E113" s="169" t="s">
        <v>764</v>
      </c>
      <c r="F113" s="169">
        <v>0.85</v>
      </c>
      <c r="G113" s="169" t="s">
        <v>764</v>
      </c>
      <c r="H113" s="169">
        <v>1</v>
      </c>
      <c r="I113" s="169" t="s">
        <v>764</v>
      </c>
      <c r="J113" s="169">
        <v>1</v>
      </c>
      <c r="K113" s="169"/>
      <c r="L113" s="169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 t="s">
        <v>745</v>
      </c>
      <c r="AF113" s="171">
        <v>0.25</v>
      </c>
      <c r="AG113" s="171" t="s">
        <v>745</v>
      </c>
      <c r="AH113" s="172">
        <v>1</v>
      </c>
      <c r="AI113" s="173" t="s">
        <v>727</v>
      </c>
      <c r="AJ113" s="157">
        <f t="shared" si="5"/>
        <v>0.92500000000000004</v>
      </c>
    </row>
    <row r="114" spans="1:36" x14ac:dyDescent="0.2">
      <c r="A114" s="15"/>
      <c r="B114" s="183"/>
      <c r="C114" s="184" t="s">
        <v>988</v>
      </c>
      <c r="D114" s="183">
        <v>0.8</v>
      </c>
      <c r="E114" s="183" t="s">
        <v>764</v>
      </c>
      <c r="F114" s="183">
        <v>0.8</v>
      </c>
      <c r="G114" s="183" t="s">
        <v>764</v>
      </c>
      <c r="H114" s="183">
        <v>0.95</v>
      </c>
      <c r="I114" s="183" t="s">
        <v>764</v>
      </c>
      <c r="J114" s="183">
        <v>0.95</v>
      </c>
      <c r="K114" s="183"/>
      <c r="L114" s="183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 t="s">
        <v>745</v>
      </c>
      <c r="AF114" s="185">
        <v>0.25</v>
      </c>
      <c r="AG114" s="185" t="s">
        <v>745</v>
      </c>
      <c r="AH114" s="186">
        <v>3</v>
      </c>
      <c r="AI114" s="173" t="s">
        <v>727</v>
      </c>
      <c r="AJ114" s="157">
        <f t="shared" si="5"/>
        <v>2.625</v>
      </c>
    </row>
    <row r="115" spans="1:36" x14ac:dyDescent="0.2">
      <c r="A115" s="101"/>
      <c r="B115" s="101"/>
      <c r="C115" s="101"/>
      <c r="D115" s="355" t="s">
        <v>743</v>
      </c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6"/>
      <c r="V115" s="356"/>
      <c r="W115" s="356"/>
      <c r="X115" s="356"/>
      <c r="Y115" s="356"/>
      <c r="Z115" s="356"/>
      <c r="AA115" s="356"/>
      <c r="AB115" s="356"/>
      <c r="AC115" s="356"/>
      <c r="AD115" s="356"/>
      <c r="AE115" s="356"/>
      <c r="AF115" s="356"/>
      <c r="AG115" s="356"/>
      <c r="AH115" s="357"/>
      <c r="AI115" s="187" t="s">
        <v>727</v>
      </c>
      <c r="AJ115" s="175">
        <f>SUM(AJ108:AJ114)</f>
        <v>41.974999999999994</v>
      </c>
    </row>
    <row r="116" spans="1:36" ht="36" x14ac:dyDescent="0.2">
      <c r="A116" s="132"/>
      <c r="B116" s="188"/>
      <c r="C116" s="189" t="s">
        <v>1053</v>
      </c>
      <c r="D116" s="155">
        <v>0.15</v>
      </c>
      <c r="E116" s="155" t="s">
        <v>764</v>
      </c>
      <c r="F116" s="155">
        <v>0.15</v>
      </c>
      <c r="G116" s="155" t="s">
        <v>764</v>
      </c>
      <c r="H116" s="155">
        <v>0.3</v>
      </c>
      <c r="I116" s="155" t="s">
        <v>764</v>
      </c>
      <c r="J116" s="155">
        <v>0.3</v>
      </c>
      <c r="K116" s="180"/>
      <c r="L116" s="180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90"/>
      <c r="AE116" s="155" t="s">
        <v>745</v>
      </c>
      <c r="AF116" s="155">
        <v>1</v>
      </c>
      <c r="AG116" s="155" t="s">
        <v>745</v>
      </c>
      <c r="AH116" s="191">
        <v>39</v>
      </c>
      <c r="AI116" s="156" t="s">
        <v>727</v>
      </c>
      <c r="AJ116" s="175">
        <f>(D116+F116+H116+J116)*AF116*AH116</f>
        <v>35.099999999999994</v>
      </c>
    </row>
    <row r="117" spans="1:36" x14ac:dyDescent="0.2">
      <c r="A117" s="10"/>
      <c r="B117" s="178"/>
      <c r="C117" s="192" t="s">
        <v>1054</v>
      </c>
      <c r="D117" s="155">
        <v>0.2</v>
      </c>
      <c r="E117" s="155" t="s">
        <v>764</v>
      </c>
      <c r="F117" s="155">
        <v>0.2</v>
      </c>
      <c r="G117" s="155" t="s">
        <v>764</v>
      </c>
      <c r="H117" s="155">
        <v>0.2</v>
      </c>
      <c r="I117" s="155" t="s">
        <v>764</v>
      </c>
      <c r="J117" s="155">
        <v>0.2</v>
      </c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55" t="s">
        <v>745</v>
      </c>
      <c r="AF117" s="155">
        <v>1</v>
      </c>
      <c r="AG117" s="155" t="s">
        <v>745</v>
      </c>
      <c r="AH117" s="191">
        <v>1</v>
      </c>
      <c r="AI117" s="156" t="s">
        <v>727</v>
      </c>
      <c r="AJ117" s="175">
        <f>(D117+F117+H117+J117)*AF117*AH117</f>
        <v>0.8</v>
      </c>
    </row>
    <row r="118" spans="1:36" x14ac:dyDescent="0.2">
      <c r="A118" s="10"/>
      <c r="B118" s="178"/>
      <c r="C118" s="192" t="s">
        <v>1055</v>
      </c>
      <c r="D118" s="155">
        <v>0.25</v>
      </c>
      <c r="E118" s="155" t="s">
        <v>764</v>
      </c>
      <c r="F118" s="155">
        <v>0.25</v>
      </c>
      <c r="G118" s="155" t="s">
        <v>764</v>
      </c>
      <c r="H118" s="155">
        <v>0.25</v>
      </c>
      <c r="I118" s="155" t="s">
        <v>764</v>
      </c>
      <c r="J118" s="155">
        <v>0.25</v>
      </c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55" t="s">
        <v>745</v>
      </c>
      <c r="AF118" s="155">
        <v>1</v>
      </c>
      <c r="AG118" s="155" t="s">
        <v>745</v>
      </c>
      <c r="AH118" s="191">
        <v>1</v>
      </c>
      <c r="AI118" s="156" t="s">
        <v>727</v>
      </c>
      <c r="AJ118" s="175">
        <f t="shared" ref="AJ118:AJ129" si="6">(D118+F118+H118+J118)*AF118*AH118</f>
        <v>1</v>
      </c>
    </row>
    <row r="119" spans="1:36" x14ac:dyDescent="0.2">
      <c r="A119" s="10"/>
      <c r="B119" s="178"/>
      <c r="C119" s="192" t="s">
        <v>1056</v>
      </c>
      <c r="D119" s="155">
        <v>0.15</v>
      </c>
      <c r="E119" s="155" t="s">
        <v>764</v>
      </c>
      <c r="F119" s="155">
        <v>0.15</v>
      </c>
      <c r="G119" s="155" t="s">
        <v>764</v>
      </c>
      <c r="H119" s="155">
        <v>0.3</v>
      </c>
      <c r="I119" s="155" t="s">
        <v>764</v>
      </c>
      <c r="J119" s="155">
        <v>0.3</v>
      </c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55" t="s">
        <v>745</v>
      </c>
      <c r="AF119" s="155">
        <v>1</v>
      </c>
      <c r="AG119" s="155" t="s">
        <v>745</v>
      </c>
      <c r="AH119" s="191">
        <v>1</v>
      </c>
      <c r="AI119" s="156" t="s">
        <v>727</v>
      </c>
      <c r="AJ119" s="175">
        <f t="shared" si="6"/>
        <v>0.89999999999999991</v>
      </c>
    </row>
    <row r="120" spans="1:36" x14ac:dyDescent="0.2">
      <c r="A120" s="10"/>
      <c r="B120" s="178"/>
      <c r="C120" s="192" t="s">
        <v>1057</v>
      </c>
      <c r="D120" s="155">
        <v>0.15</v>
      </c>
      <c r="E120" s="155" t="s">
        <v>764</v>
      </c>
      <c r="F120" s="155">
        <v>0.15</v>
      </c>
      <c r="G120" s="155" t="s">
        <v>764</v>
      </c>
      <c r="H120" s="155">
        <v>0.3</v>
      </c>
      <c r="I120" s="155" t="s">
        <v>764</v>
      </c>
      <c r="J120" s="155">
        <v>0.3</v>
      </c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55" t="s">
        <v>745</v>
      </c>
      <c r="AF120" s="155">
        <v>1</v>
      </c>
      <c r="AG120" s="155" t="s">
        <v>745</v>
      </c>
      <c r="AH120" s="191">
        <v>5</v>
      </c>
      <c r="AI120" s="156" t="s">
        <v>727</v>
      </c>
      <c r="AJ120" s="175">
        <f t="shared" si="6"/>
        <v>4.5</v>
      </c>
    </row>
    <row r="121" spans="1:36" x14ac:dyDescent="0.2">
      <c r="A121" s="10"/>
      <c r="B121" s="178"/>
      <c r="C121" s="192" t="s">
        <v>1058</v>
      </c>
      <c r="D121" s="155">
        <v>0.15</v>
      </c>
      <c r="E121" s="155" t="s">
        <v>764</v>
      </c>
      <c r="F121" s="155">
        <v>0.15</v>
      </c>
      <c r="G121" s="155" t="s">
        <v>764</v>
      </c>
      <c r="H121" s="155">
        <v>0.3</v>
      </c>
      <c r="I121" s="155" t="s">
        <v>764</v>
      </c>
      <c r="J121" s="155">
        <v>0.3</v>
      </c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55" t="s">
        <v>745</v>
      </c>
      <c r="AF121" s="155">
        <v>1</v>
      </c>
      <c r="AG121" s="155" t="s">
        <v>745</v>
      </c>
      <c r="AH121" s="191">
        <v>1</v>
      </c>
      <c r="AI121" s="156" t="s">
        <v>727</v>
      </c>
      <c r="AJ121" s="175">
        <f t="shared" si="6"/>
        <v>0.89999999999999991</v>
      </c>
    </row>
    <row r="122" spans="1:36" x14ac:dyDescent="0.2">
      <c r="A122" s="10"/>
      <c r="B122" s="178"/>
      <c r="C122" s="192" t="s">
        <v>1059</v>
      </c>
      <c r="D122" s="155">
        <v>0.15</v>
      </c>
      <c r="E122" s="155" t="s">
        <v>764</v>
      </c>
      <c r="F122" s="155">
        <v>0.15</v>
      </c>
      <c r="G122" s="155" t="s">
        <v>764</v>
      </c>
      <c r="H122" s="155">
        <v>0.3</v>
      </c>
      <c r="I122" s="155" t="s">
        <v>764</v>
      </c>
      <c r="J122" s="155">
        <v>0.3</v>
      </c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55" t="s">
        <v>745</v>
      </c>
      <c r="AF122" s="155">
        <v>1</v>
      </c>
      <c r="AG122" s="155" t="s">
        <v>745</v>
      </c>
      <c r="AH122" s="191">
        <v>1</v>
      </c>
      <c r="AI122" s="156" t="s">
        <v>727</v>
      </c>
      <c r="AJ122" s="175">
        <f t="shared" si="6"/>
        <v>0.89999999999999991</v>
      </c>
    </row>
    <row r="123" spans="1:36" x14ac:dyDescent="0.2">
      <c r="A123" s="10"/>
      <c r="B123" s="178"/>
      <c r="C123" s="193" t="s">
        <v>1050</v>
      </c>
      <c r="D123" s="154">
        <v>0.15</v>
      </c>
      <c r="E123" s="155" t="s">
        <v>764</v>
      </c>
      <c r="F123" s="154">
        <v>0.15</v>
      </c>
      <c r="G123" s="155" t="s">
        <v>764</v>
      </c>
      <c r="H123" s="155">
        <v>0.6</v>
      </c>
      <c r="I123" s="155" t="s">
        <v>764</v>
      </c>
      <c r="J123" s="155">
        <v>0.6</v>
      </c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55" t="s">
        <v>745</v>
      </c>
      <c r="AF123" s="155">
        <v>1</v>
      </c>
      <c r="AG123" s="155" t="s">
        <v>745</v>
      </c>
      <c r="AH123" s="191">
        <v>1</v>
      </c>
      <c r="AI123" s="156" t="s">
        <v>727</v>
      </c>
      <c r="AJ123" s="175">
        <f t="shared" si="6"/>
        <v>1.5</v>
      </c>
    </row>
    <row r="124" spans="1:36" x14ac:dyDescent="0.2">
      <c r="A124" s="10"/>
      <c r="B124" s="178"/>
      <c r="C124" s="194" t="s">
        <v>1060</v>
      </c>
      <c r="D124" s="155">
        <v>0.15</v>
      </c>
      <c r="E124" s="155" t="s">
        <v>764</v>
      </c>
      <c r="F124" s="155">
        <v>0.15</v>
      </c>
      <c r="G124" s="155" t="s">
        <v>764</v>
      </c>
      <c r="H124" s="155">
        <v>0.3</v>
      </c>
      <c r="I124" s="155" t="s">
        <v>764</v>
      </c>
      <c r="J124" s="155">
        <v>0.3</v>
      </c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55" t="s">
        <v>745</v>
      </c>
      <c r="AF124" s="155">
        <v>1</v>
      </c>
      <c r="AG124" s="155" t="s">
        <v>745</v>
      </c>
      <c r="AH124" s="191">
        <v>3</v>
      </c>
      <c r="AI124" s="156" t="s">
        <v>727</v>
      </c>
      <c r="AJ124" s="175">
        <f t="shared" si="6"/>
        <v>2.6999999999999997</v>
      </c>
    </row>
    <row r="125" spans="1:36" x14ac:dyDescent="0.2">
      <c r="A125" s="10"/>
      <c r="B125" s="178"/>
      <c r="C125" s="194" t="s">
        <v>1061</v>
      </c>
      <c r="D125" s="155">
        <v>0.15</v>
      </c>
      <c r="E125" s="155" t="s">
        <v>764</v>
      </c>
      <c r="F125" s="155">
        <v>0.15</v>
      </c>
      <c r="G125" s="155" t="s">
        <v>764</v>
      </c>
      <c r="H125" s="155">
        <v>0.3</v>
      </c>
      <c r="I125" s="155" t="s">
        <v>764</v>
      </c>
      <c r="J125" s="155">
        <v>0.3</v>
      </c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55" t="s">
        <v>745</v>
      </c>
      <c r="AF125" s="155">
        <v>1</v>
      </c>
      <c r="AG125" s="155" t="s">
        <v>745</v>
      </c>
      <c r="AH125" s="191">
        <v>2</v>
      </c>
      <c r="AI125" s="156" t="s">
        <v>727</v>
      </c>
      <c r="AJ125" s="175">
        <f t="shared" si="6"/>
        <v>1.7999999999999998</v>
      </c>
    </row>
    <row r="126" spans="1:36" x14ac:dyDescent="0.2">
      <c r="A126" s="10"/>
      <c r="B126" s="178"/>
      <c r="C126" s="194" t="s">
        <v>1051</v>
      </c>
      <c r="D126" s="155">
        <v>0.2</v>
      </c>
      <c r="E126" s="155"/>
      <c r="F126" s="155">
        <v>0.2</v>
      </c>
      <c r="G126" s="155"/>
      <c r="H126" s="155">
        <v>0.2</v>
      </c>
      <c r="I126" s="155"/>
      <c r="J126" s="155">
        <v>0.2</v>
      </c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55" t="s">
        <v>745</v>
      </c>
      <c r="AF126" s="155">
        <v>1</v>
      </c>
      <c r="AG126" s="155" t="s">
        <v>745</v>
      </c>
      <c r="AH126" s="191">
        <v>1</v>
      </c>
      <c r="AI126" s="156" t="s">
        <v>727</v>
      </c>
      <c r="AJ126" s="175">
        <f t="shared" si="6"/>
        <v>0.8</v>
      </c>
    </row>
    <row r="127" spans="1:36" x14ac:dyDescent="0.2">
      <c r="A127" s="10"/>
      <c r="B127" s="178"/>
      <c r="C127" s="194" t="s">
        <v>1062</v>
      </c>
      <c r="D127" s="155">
        <v>0.15</v>
      </c>
      <c r="E127" s="155" t="s">
        <v>764</v>
      </c>
      <c r="F127" s="155">
        <v>0.15</v>
      </c>
      <c r="G127" s="155" t="s">
        <v>764</v>
      </c>
      <c r="H127" s="155">
        <v>0.3</v>
      </c>
      <c r="I127" s="155" t="s">
        <v>764</v>
      </c>
      <c r="J127" s="155">
        <v>0.3</v>
      </c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55" t="s">
        <v>745</v>
      </c>
      <c r="AF127" s="155">
        <v>1</v>
      </c>
      <c r="AG127" s="155" t="s">
        <v>745</v>
      </c>
      <c r="AH127" s="191">
        <v>1</v>
      </c>
      <c r="AI127" s="156" t="s">
        <v>727</v>
      </c>
      <c r="AJ127" s="175">
        <f t="shared" si="6"/>
        <v>0.89999999999999991</v>
      </c>
    </row>
    <row r="128" spans="1:36" x14ac:dyDescent="0.2">
      <c r="A128" s="10"/>
      <c r="B128" s="178"/>
      <c r="C128" s="194" t="s">
        <v>1063</v>
      </c>
      <c r="D128" s="155">
        <v>0.15</v>
      </c>
      <c r="E128" s="155" t="s">
        <v>764</v>
      </c>
      <c r="F128" s="155">
        <v>0.15</v>
      </c>
      <c r="G128" s="155" t="s">
        <v>764</v>
      </c>
      <c r="H128" s="155">
        <v>0.3</v>
      </c>
      <c r="I128" s="155" t="s">
        <v>764</v>
      </c>
      <c r="J128" s="155">
        <v>0.3</v>
      </c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55" t="s">
        <v>745</v>
      </c>
      <c r="AF128" s="155">
        <v>1</v>
      </c>
      <c r="AG128" s="155" t="s">
        <v>745</v>
      </c>
      <c r="AH128" s="191">
        <v>2</v>
      </c>
      <c r="AI128" s="156" t="s">
        <v>727</v>
      </c>
      <c r="AJ128" s="175">
        <f t="shared" si="6"/>
        <v>1.7999999999999998</v>
      </c>
    </row>
    <row r="129" spans="1:36" x14ac:dyDescent="0.2">
      <c r="A129" s="10"/>
      <c r="B129" s="178"/>
      <c r="C129" s="194" t="s">
        <v>1052</v>
      </c>
      <c r="D129" s="155">
        <v>0.15</v>
      </c>
      <c r="E129" s="155" t="s">
        <v>764</v>
      </c>
      <c r="F129" s="155">
        <v>0.15</v>
      </c>
      <c r="G129" s="155" t="s">
        <v>764</v>
      </c>
      <c r="H129" s="155">
        <v>0.3</v>
      </c>
      <c r="I129" s="155" t="s">
        <v>764</v>
      </c>
      <c r="J129" s="155">
        <v>0.3</v>
      </c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55" t="s">
        <v>745</v>
      </c>
      <c r="AF129" s="155">
        <v>1</v>
      </c>
      <c r="AG129" s="155" t="s">
        <v>745</v>
      </c>
      <c r="AH129" s="191">
        <v>1</v>
      </c>
      <c r="AI129" s="156" t="s">
        <v>727</v>
      </c>
      <c r="AJ129" s="175">
        <f t="shared" si="6"/>
        <v>0.89999999999999991</v>
      </c>
    </row>
    <row r="130" spans="1:36" x14ac:dyDescent="0.2">
      <c r="A130" s="10"/>
      <c r="B130" s="11"/>
      <c r="C130" s="131"/>
      <c r="D130" s="309" t="s">
        <v>743</v>
      </c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  <c r="AA130" s="309"/>
      <c r="AB130" s="309"/>
      <c r="AC130" s="309"/>
      <c r="AD130" s="309"/>
      <c r="AE130" s="309"/>
      <c r="AF130" s="309"/>
      <c r="AG130" s="309"/>
      <c r="AH130" s="309"/>
      <c r="AI130" s="195" t="s">
        <v>727</v>
      </c>
      <c r="AJ130" s="175">
        <f>SUM(AJ116:AJ129)</f>
        <v>54.499999999999979</v>
      </c>
    </row>
    <row r="131" spans="1:36" x14ac:dyDescent="0.2">
      <c r="A131" s="10"/>
      <c r="B131" s="11"/>
      <c r="C131" s="10"/>
      <c r="D131" s="309" t="s">
        <v>743</v>
      </c>
      <c r="E131" s="309"/>
      <c r="F131" s="309"/>
      <c r="G131" s="309"/>
      <c r="H131" s="309"/>
      <c r="I131" s="309"/>
      <c r="J131" s="309"/>
      <c r="K131" s="309"/>
      <c r="L131" s="309"/>
      <c r="M131" s="309"/>
      <c r="N131" s="309"/>
      <c r="O131" s="309"/>
      <c r="P131" s="309"/>
      <c r="Q131" s="309"/>
      <c r="R131" s="309"/>
      <c r="S131" s="309"/>
      <c r="T131" s="309"/>
      <c r="U131" s="309"/>
      <c r="V131" s="309"/>
      <c r="W131" s="309"/>
      <c r="X131" s="309"/>
      <c r="Y131" s="309"/>
      <c r="Z131" s="309"/>
      <c r="AA131" s="309"/>
      <c r="AB131" s="309"/>
      <c r="AC131" s="309"/>
      <c r="AD131" s="309"/>
      <c r="AE131" s="309"/>
      <c r="AF131" s="309"/>
      <c r="AG131" s="309"/>
      <c r="AH131" s="309"/>
      <c r="AI131" s="195" t="s">
        <v>727</v>
      </c>
      <c r="AJ131" s="175">
        <f>AJ130+AJ115</f>
        <v>96.474999999999966</v>
      </c>
    </row>
    <row r="132" spans="1:36" ht="36" x14ac:dyDescent="0.2">
      <c r="A132" s="93" t="s">
        <v>45</v>
      </c>
      <c r="B132" s="96" t="s">
        <v>46</v>
      </c>
      <c r="C132" s="93" t="s">
        <v>47</v>
      </c>
      <c r="D132" s="371" t="s">
        <v>1064</v>
      </c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  <c r="AA132" s="372"/>
      <c r="AB132" s="372"/>
      <c r="AC132" s="372"/>
      <c r="AD132" s="372"/>
      <c r="AE132" s="372"/>
      <c r="AF132" s="372"/>
      <c r="AG132" s="372"/>
      <c r="AH132" s="372"/>
      <c r="AI132" s="307"/>
      <c r="AJ132" s="11" t="s">
        <v>29</v>
      </c>
    </row>
    <row r="133" spans="1:36" ht="24" x14ac:dyDescent="0.2">
      <c r="A133" s="7" t="s">
        <v>48</v>
      </c>
      <c r="B133" s="8" t="s">
        <v>49</v>
      </c>
      <c r="C133" s="7" t="s">
        <v>50</v>
      </c>
      <c r="D133" s="371" t="s">
        <v>1064</v>
      </c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  <c r="AA133" s="372"/>
      <c r="AB133" s="372"/>
      <c r="AC133" s="372"/>
      <c r="AD133" s="372"/>
      <c r="AE133" s="372"/>
      <c r="AF133" s="372"/>
      <c r="AG133" s="372"/>
      <c r="AH133" s="372"/>
      <c r="AI133" s="307"/>
      <c r="AJ133" s="11" t="s">
        <v>29</v>
      </c>
    </row>
    <row r="134" spans="1:36" ht="24" x14ac:dyDescent="0.2">
      <c r="A134" s="7" t="s">
        <v>51</v>
      </c>
      <c r="B134" s="8" t="s">
        <v>52</v>
      </c>
      <c r="C134" s="7" t="s">
        <v>53</v>
      </c>
      <c r="D134" s="371" t="s">
        <v>1064</v>
      </c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  <c r="AA134" s="372"/>
      <c r="AB134" s="372"/>
      <c r="AC134" s="372"/>
      <c r="AD134" s="372"/>
      <c r="AE134" s="372"/>
      <c r="AF134" s="372"/>
      <c r="AG134" s="372"/>
      <c r="AH134" s="372"/>
      <c r="AI134" s="307"/>
      <c r="AJ134" s="11" t="s">
        <v>54</v>
      </c>
    </row>
    <row r="135" spans="1:36" ht="24" x14ac:dyDescent="0.2">
      <c r="A135" s="7" t="s">
        <v>55</v>
      </c>
      <c r="B135" s="8" t="s">
        <v>56</v>
      </c>
      <c r="C135" s="7" t="s">
        <v>57</v>
      </c>
      <c r="D135" s="371" t="s">
        <v>1064</v>
      </c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  <c r="AA135" s="372"/>
      <c r="AB135" s="372"/>
      <c r="AC135" s="372"/>
      <c r="AD135" s="372"/>
      <c r="AE135" s="372"/>
      <c r="AF135" s="372"/>
      <c r="AG135" s="372"/>
      <c r="AH135" s="372"/>
      <c r="AI135" s="307"/>
      <c r="AJ135" s="11" t="s">
        <v>54</v>
      </c>
    </row>
    <row r="136" spans="1:36" ht="36" x14ac:dyDescent="0.2">
      <c r="A136" s="7" t="s">
        <v>58</v>
      </c>
      <c r="B136" s="8" t="s">
        <v>59</v>
      </c>
      <c r="C136" s="7" t="s">
        <v>60</v>
      </c>
      <c r="D136" s="371" t="s">
        <v>1064</v>
      </c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  <c r="AA136" s="372"/>
      <c r="AB136" s="372"/>
      <c r="AC136" s="372"/>
      <c r="AD136" s="372"/>
      <c r="AE136" s="372"/>
      <c r="AF136" s="372"/>
      <c r="AG136" s="372"/>
      <c r="AH136" s="372"/>
      <c r="AI136" s="307"/>
      <c r="AJ136" s="11" t="s">
        <v>54</v>
      </c>
    </row>
    <row r="137" spans="1:36" ht="24" x14ac:dyDescent="0.2">
      <c r="A137" s="7" t="s">
        <v>61</v>
      </c>
      <c r="B137" s="8" t="s">
        <v>62</v>
      </c>
      <c r="C137" s="7" t="s">
        <v>63</v>
      </c>
      <c r="D137" s="371" t="s">
        <v>1064</v>
      </c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  <c r="AA137" s="372"/>
      <c r="AB137" s="372"/>
      <c r="AC137" s="372"/>
      <c r="AD137" s="372"/>
      <c r="AE137" s="372"/>
      <c r="AF137" s="372"/>
      <c r="AG137" s="372"/>
      <c r="AH137" s="372"/>
      <c r="AI137" s="307"/>
      <c r="AJ137" s="11" t="s">
        <v>54</v>
      </c>
    </row>
    <row r="138" spans="1:36" ht="24" x14ac:dyDescent="0.2">
      <c r="A138" s="7" t="s">
        <v>64</v>
      </c>
      <c r="B138" s="8" t="s">
        <v>65</v>
      </c>
      <c r="C138" s="7" t="s">
        <v>66</v>
      </c>
      <c r="D138" s="371" t="s">
        <v>1064</v>
      </c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  <c r="AA138" s="372"/>
      <c r="AB138" s="372"/>
      <c r="AC138" s="372"/>
      <c r="AD138" s="372"/>
      <c r="AE138" s="372"/>
      <c r="AF138" s="372"/>
      <c r="AG138" s="372"/>
      <c r="AH138" s="372"/>
      <c r="AI138" s="307"/>
      <c r="AJ138" s="11" t="s">
        <v>54</v>
      </c>
    </row>
    <row r="139" spans="1:36" x14ac:dyDescent="0.2">
      <c r="A139" s="48" t="s">
        <v>67</v>
      </c>
      <c r="B139" s="269" t="s">
        <v>68</v>
      </c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</row>
    <row r="140" spans="1:36" ht="24" x14ac:dyDescent="0.2">
      <c r="A140" s="7" t="s">
        <v>69</v>
      </c>
      <c r="B140" s="8" t="s">
        <v>70</v>
      </c>
      <c r="C140" s="15" t="s">
        <v>71</v>
      </c>
      <c r="D140" s="377"/>
      <c r="E140" s="305"/>
      <c r="F140" s="305"/>
      <c r="G140" s="305"/>
      <c r="H140" s="305"/>
      <c r="I140" s="305"/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  <c r="AA140" s="305"/>
      <c r="AB140" s="305"/>
      <c r="AC140" s="305"/>
      <c r="AD140" s="305"/>
      <c r="AE140" s="305"/>
      <c r="AF140" s="305"/>
      <c r="AG140" s="305"/>
      <c r="AH140" s="305"/>
      <c r="AI140" s="306"/>
      <c r="AJ140" s="11" t="s">
        <v>19</v>
      </c>
    </row>
    <row r="141" spans="1:36" x14ac:dyDescent="0.2">
      <c r="A141" s="7"/>
      <c r="B141" s="89"/>
      <c r="C141" s="154" t="s">
        <v>990</v>
      </c>
      <c r="D141" s="155">
        <v>5.0819999999999999</v>
      </c>
      <c r="E141" s="155" t="s">
        <v>764</v>
      </c>
      <c r="F141" s="155">
        <v>2.246</v>
      </c>
      <c r="G141" s="155" t="s">
        <v>764</v>
      </c>
      <c r="H141" s="155">
        <v>2.2989999999999999</v>
      </c>
      <c r="I141" s="155" t="s">
        <v>764</v>
      </c>
      <c r="J141" s="155">
        <v>4.641</v>
      </c>
      <c r="K141" s="155" t="s">
        <v>764</v>
      </c>
      <c r="L141" s="155">
        <v>2.1970000000000001</v>
      </c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 t="s">
        <v>745</v>
      </c>
      <c r="AH141" s="155">
        <v>0.15</v>
      </c>
      <c r="AI141" s="156" t="s">
        <v>727</v>
      </c>
      <c r="AJ141" s="157">
        <f>(D141+F141+H141+J141+L141+N141)*AH141</f>
        <v>2.4697499999999999</v>
      </c>
    </row>
    <row r="142" spans="1:36" x14ac:dyDescent="0.2">
      <c r="A142" s="7"/>
      <c r="B142" s="89"/>
      <c r="C142" s="154" t="s">
        <v>991</v>
      </c>
      <c r="D142" s="155">
        <v>2.9340000000000002</v>
      </c>
      <c r="E142" s="155" t="s">
        <v>764</v>
      </c>
      <c r="F142" s="155"/>
      <c r="G142" s="155" t="s">
        <v>764</v>
      </c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 t="s">
        <v>745</v>
      </c>
      <c r="AH142" s="155">
        <v>0.15</v>
      </c>
      <c r="AI142" s="156" t="s">
        <v>727</v>
      </c>
      <c r="AJ142" s="157">
        <f t="shared" ref="AJ142:AJ192" si="7">(D142+F142+H142+J142+L142+N142)*AH142</f>
        <v>0.44009999999999999</v>
      </c>
    </row>
    <row r="143" spans="1:36" x14ac:dyDescent="0.2">
      <c r="A143" s="7"/>
      <c r="B143" s="89"/>
      <c r="C143" s="154" t="s">
        <v>992</v>
      </c>
      <c r="D143" s="155">
        <v>3.657</v>
      </c>
      <c r="E143" s="155" t="s">
        <v>764</v>
      </c>
      <c r="F143" s="155"/>
      <c r="G143" s="155" t="s">
        <v>764</v>
      </c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 t="s">
        <v>745</v>
      </c>
      <c r="AH143" s="155">
        <v>0.15</v>
      </c>
      <c r="AI143" s="156" t="s">
        <v>727</v>
      </c>
      <c r="AJ143" s="157">
        <f t="shared" si="7"/>
        <v>0.54854999999999998</v>
      </c>
    </row>
    <row r="144" spans="1:36" x14ac:dyDescent="0.2">
      <c r="A144" s="7"/>
      <c r="B144" s="89"/>
      <c r="C144" s="154" t="s">
        <v>993</v>
      </c>
      <c r="D144" s="155">
        <v>4.5279999999999996</v>
      </c>
      <c r="E144" s="155" t="s">
        <v>764</v>
      </c>
      <c r="F144" s="155">
        <v>3.9119999999999999</v>
      </c>
      <c r="G144" s="155" t="s">
        <v>764</v>
      </c>
      <c r="H144" s="155">
        <v>1.5369999999999999</v>
      </c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 t="s">
        <v>745</v>
      </c>
      <c r="AH144" s="155">
        <v>0.15</v>
      </c>
      <c r="AI144" s="156" t="s">
        <v>727</v>
      </c>
      <c r="AJ144" s="157">
        <f t="shared" si="7"/>
        <v>1.49655</v>
      </c>
    </row>
    <row r="145" spans="1:36" x14ac:dyDescent="0.2">
      <c r="A145" s="7"/>
      <c r="B145" s="89"/>
      <c r="C145" s="154" t="s">
        <v>994</v>
      </c>
      <c r="D145" s="155">
        <v>4.641</v>
      </c>
      <c r="E145" s="155" t="s">
        <v>764</v>
      </c>
      <c r="F145" s="155">
        <v>2.1970000000000001</v>
      </c>
      <c r="G145" s="155" t="s">
        <v>764</v>
      </c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 t="s">
        <v>745</v>
      </c>
      <c r="AH145" s="155">
        <v>0.15</v>
      </c>
      <c r="AI145" s="156" t="s">
        <v>727</v>
      </c>
      <c r="AJ145" s="157">
        <f t="shared" si="7"/>
        <v>1.0257000000000001</v>
      </c>
    </row>
    <row r="146" spans="1:36" x14ac:dyDescent="0.2">
      <c r="A146" s="7"/>
      <c r="B146" s="89"/>
      <c r="C146" s="154" t="s">
        <v>995</v>
      </c>
      <c r="D146" s="155">
        <v>2.9340000000000002</v>
      </c>
      <c r="E146" s="155" t="s">
        <v>764</v>
      </c>
      <c r="F146" s="155"/>
      <c r="G146" s="155" t="s">
        <v>764</v>
      </c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 t="s">
        <v>745</v>
      </c>
      <c r="AH146" s="155">
        <v>0.15</v>
      </c>
      <c r="AI146" s="156" t="s">
        <v>727</v>
      </c>
      <c r="AJ146" s="157">
        <f t="shared" si="7"/>
        <v>0.44009999999999999</v>
      </c>
    </row>
    <row r="147" spans="1:36" x14ac:dyDescent="0.2">
      <c r="A147" s="7"/>
      <c r="B147" s="89"/>
      <c r="C147" s="154" t="s">
        <v>996</v>
      </c>
      <c r="D147" s="155">
        <v>3.8069999999999999</v>
      </c>
      <c r="E147" s="155" t="s">
        <v>764</v>
      </c>
      <c r="F147" s="155"/>
      <c r="G147" s="155" t="s">
        <v>764</v>
      </c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 t="s">
        <v>745</v>
      </c>
      <c r="AH147" s="155">
        <v>0.15</v>
      </c>
      <c r="AI147" s="156" t="s">
        <v>727</v>
      </c>
      <c r="AJ147" s="157">
        <f t="shared" si="7"/>
        <v>0.57104999999999995</v>
      </c>
    </row>
    <row r="148" spans="1:36" x14ac:dyDescent="0.2">
      <c r="A148" s="7"/>
      <c r="B148" s="89"/>
      <c r="C148" s="154" t="s">
        <v>997</v>
      </c>
      <c r="D148" s="155">
        <v>4.5529999999999999</v>
      </c>
      <c r="E148" s="155" t="s">
        <v>764</v>
      </c>
      <c r="F148" s="155">
        <v>3.9620000000000002</v>
      </c>
      <c r="G148" s="155" t="s">
        <v>764</v>
      </c>
      <c r="H148" s="155">
        <v>1.712</v>
      </c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 t="s">
        <v>745</v>
      </c>
      <c r="AH148" s="155">
        <v>0.15</v>
      </c>
      <c r="AI148" s="156" t="s">
        <v>727</v>
      </c>
      <c r="AJ148" s="157">
        <f t="shared" si="7"/>
        <v>1.5340499999999999</v>
      </c>
    </row>
    <row r="149" spans="1:36" x14ac:dyDescent="0.2">
      <c r="A149" s="7"/>
      <c r="B149" s="89"/>
      <c r="C149" s="154" t="s">
        <v>998</v>
      </c>
      <c r="D149" s="155">
        <v>5.157</v>
      </c>
      <c r="E149" s="155" t="s">
        <v>764</v>
      </c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 t="s">
        <v>745</v>
      </c>
      <c r="AH149" s="155">
        <v>0.15</v>
      </c>
      <c r="AI149" s="156" t="s">
        <v>727</v>
      </c>
      <c r="AJ149" s="157">
        <f t="shared" si="7"/>
        <v>0.77354999999999996</v>
      </c>
    </row>
    <row r="150" spans="1:36" x14ac:dyDescent="0.2">
      <c r="A150" s="7"/>
      <c r="B150" s="89"/>
      <c r="C150" s="154" t="s">
        <v>999</v>
      </c>
      <c r="D150" s="155">
        <v>0</v>
      </c>
      <c r="E150" s="155" t="s">
        <v>764</v>
      </c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 t="s">
        <v>745</v>
      </c>
      <c r="AH150" s="155">
        <v>0.15</v>
      </c>
      <c r="AI150" s="156" t="s">
        <v>727</v>
      </c>
      <c r="AJ150" s="157">
        <f t="shared" si="7"/>
        <v>0</v>
      </c>
    </row>
    <row r="151" spans="1:36" x14ac:dyDescent="0.2">
      <c r="A151" s="7"/>
      <c r="B151" s="89"/>
      <c r="C151" s="154" t="s">
        <v>1000</v>
      </c>
      <c r="D151" s="155">
        <v>2.3239999999999998</v>
      </c>
      <c r="E151" s="155" t="s">
        <v>764</v>
      </c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 t="s">
        <v>745</v>
      </c>
      <c r="AH151" s="155">
        <v>0.15</v>
      </c>
      <c r="AI151" s="156" t="s">
        <v>727</v>
      </c>
      <c r="AJ151" s="157">
        <f t="shared" si="7"/>
        <v>0.34859999999999997</v>
      </c>
    </row>
    <row r="152" spans="1:36" x14ac:dyDescent="0.2">
      <c r="A152" s="7"/>
      <c r="B152" s="89"/>
      <c r="C152" s="154" t="s">
        <v>1001</v>
      </c>
      <c r="D152" s="155">
        <v>2.2949999999999999</v>
      </c>
      <c r="E152" s="155" t="s">
        <v>764</v>
      </c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 t="s">
        <v>745</v>
      </c>
      <c r="AH152" s="155">
        <v>0.15</v>
      </c>
      <c r="AI152" s="156" t="s">
        <v>727</v>
      </c>
      <c r="AJ152" s="157">
        <f t="shared" si="7"/>
        <v>0.34425</v>
      </c>
    </row>
    <row r="153" spans="1:36" x14ac:dyDescent="0.2">
      <c r="A153" s="7"/>
      <c r="B153" s="89"/>
      <c r="C153" s="154" t="s">
        <v>1002</v>
      </c>
      <c r="D153" s="155">
        <v>0.92200000000000004</v>
      </c>
      <c r="E153" s="155" t="s">
        <v>764</v>
      </c>
      <c r="F153" s="155">
        <v>2.74</v>
      </c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 t="s">
        <v>745</v>
      </c>
      <c r="AH153" s="155">
        <v>0.15</v>
      </c>
      <c r="AI153" s="156" t="s">
        <v>727</v>
      </c>
      <c r="AJ153" s="157">
        <f t="shared" si="7"/>
        <v>0.54930000000000001</v>
      </c>
    </row>
    <row r="154" spans="1:36" x14ac:dyDescent="0.2">
      <c r="A154" s="7"/>
      <c r="B154" s="89"/>
      <c r="C154" s="154" t="s">
        <v>1003</v>
      </c>
      <c r="D154" s="155">
        <v>4.55</v>
      </c>
      <c r="E154" s="155" t="s">
        <v>764</v>
      </c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 t="s">
        <v>745</v>
      </c>
      <c r="AH154" s="155">
        <v>0.15</v>
      </c>
      <c r="AI154" s="156" t="s">
        <v>727</v>
      </c>
      <c r="AJ154" s="157">
        <f t="shared" si="7"/>
        <v>0.6825</v>
      </c>
    </row>
    <row r="155" spans="1:36" x14ac:dyDescent="0.2">
      <c r="A155" s="7"/>
      <c r="B155" s="89"/>
      <c r="C155" s="154" t="s">
        <v>1004</v>
      </c>
      <c r="D155" s="155">
        <v>3.9620000000000002</v>
      </c>
      <c r="E155" s="155" t="s">
        <v>764</v>
      </c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 t="s">
        <v>745</v>
      </c>
      <c r="AH155" s="155">
        <v>0.15</v>
      </c>
      <c r="AI155" s="156" t="s">
        <v>727</v>
      </c>
      <c r="AJ155" s="157">
        <f t="shared" si="7"/>
        <v>0.59430000000000005</v>
      </c>
    </row>
    <row r="156" spans="1:36" x14ac:dyDescent="0.2">
      <c r="A156" s="7"/>
      <c r="B156" s="89"/>
      <c r="C156" s="154" t="s">
        <v>1005</v>
      </c>
      <c r="D156" s="155">
        <v>3.371</v>
      </c>
      <c r="E156" s="155" t="s">
        <v>764</v>
      </c>
      <c r="F156" s="155">
        <v>3.9620000000000002</v>
      </c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 t="s">
        <v>745</v>
      </c>
      <c r="AH156" s="155">
        <v>0.15</v>
      </c>
      <c r="AI156" s="156" t="s">
        <v>727</v>
      </c>
      <c r="AJ156" s="157">
        <f t="shared" si="7"/>
        <v>1.09995</v>
      </c>
    </row>
    <row r="157" spans="1:36" x14ac:dyDescent="0.2">
      <c r="A157" s="7"/>
      <c r="B157" s="89"/>
      <c r="C157" s="154" t="s">
        <v>1006</v>
      </c>
      <c r="D157" s="155">
        <v>4.2969999999999997</v>
      </c>
      <c r="E157" s="155" t="s">
        <v>764</v>
      </c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 t="s">
        <v>745</v>
      </c>
      <c r="AH157" s="155">
        <v>0.15</v>
      </c>
      <c r="AI157" s="156" t="s">
        <v>727</v>
      </c>
      <c r="AJ157" s="157">
        <f t="shared" si="7"/>
        <v>0.64454999999999996</v>
      </c>
    </row>
    <row r="158" spans="1:36" x14ac:dyDescent="0.2">
      <c r="A158" s="7"/>
      <c r="B158" s="89"/>
      <c r="C158" s="154" t="s">
        <v>1007</v>
      </c>
      <c r="D158" s="155">
        <v>4.8</v>
      </c>
      <c r="E158" s="155" t="s">
        <v>764</v>
      </c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 t="s">
        <v>745</v>
      </c>
      <c r="AH158" s="155">
        <v>0.15</v>
      </c>
      <c r="AI158" s="156" t="s">
        <v>727</v>
      </c>
      <c r="AJ158" s="157">
        <f t="shared" si="7"/>
        <v>0.72</v>
      </c>
    </row>
    <row r="159" spans="1:36" x14ac:dyDescent="0.2">
      <c r="A159" s="7"/>
      <c r="B159" s="89"/>
      <c r="C159" s="154" t="s">
        <v>1008</v>
      </c>
      <c r="D159" s="155">
        <v>0.77200000000000002</v>
      </c>
      <c r="E159" s="155" t="s">
        <v>764</v>
      </c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 t="s">
        <v>745</v>
      </c>
      <c r="AH159" s="155">
        <v>0.15</v>
      </c>
      <c r="AI159" s="156" t="s">
        <v>727</v>
      </c>
      <c r="AJ159" s="157">
        <f t="shared" si="7"/>
        <v>0.1158</v>
      </c>
    </row>
    <row r="160" spans="1:36" x14ac:dyDescent="0.2">
      <c r="A160" s="7"/>
      <c r="B160" s="89"/>
      <c r="C160" s="154" t="s">
        <v>1009</v>
      </c>
      <c r="D160" s="155">
        <v>2.1219999999999999</v>
      </c>
      <c r="E160" s="155" t="s">
        <v>764</v>
      </c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 t="s">
        <v>745</v>
      </c>
      <c r="AH160" s="155">
        <v>0.15</v>
      </c>
      <c r="AI160" s="156" t="s">
        <v>727</v>
      </c>
      <c r="AJ160" s="157">
        <f t="shared" si="7"/>
        <v>0.31829999999999997</v>
      </c>
    </row>
    <row r="161" spans="1:36" x14ac:dyDescent="0.2">
      <c r="A161" s="7"/>
      <c r="B161" s="89"/>
      <c r="C161" s="154" t="s">
        <v>1010</v>
      </c>
      <c r="D161" s="155">
        <v>6.8959999999999999</v>
      </c>
      <c r="E161" s="155" t="s">
        <v>764</v>
      </c>
      <c r="F161" s="155">
        <v>4.55</v>
      </c>
      <c r="G161" s="155" t="s">
        <v>764</v>
      </c>
      <c r="H161" s="155">
        <v>3.9620000000000002</v>
      </c>
      <c r="I161" s="155" t="s">
        <v>764</v>
      </c>
      <c r="J161" s="155">
        <v>3.371</v>
      </c>
      <c r="K161" s="155" t="s">
        <v>764</v>
      </c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 t="s">
        <v>745</v>
      </c>
      <c r="AH161" s="155">
        <v>0.15</v>
      </c>
      <c r="AI161" s="156" t="s">
        <v>727</v>
      </c>
      <c r="AJ161" s="157">
        <f t="shared" si="7"/>
        <v>2.8168500000000001</v>
      </c>
    </row>
    <row r="162" spans="1:36" x14ac:dyDescent="0.2">
      <c r="A162" s="7"/>
      <c r="B162" s="89"/>
      <c r="C162" s="154" t="s">
        <v>1011</v>
      </c>
      <c r="D162" s="155">
        <v>4.55</v>
      </c>
      <c r="E162" s="155" t="s">
        <v>764</v>
      </c>
      <c r="F162" s="155">
        <v>3.9620000000000002</v>
      </c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 t="s">
        <v>745</v>
      </c>
      <c r="AH162" s="155">
        <v>0.15</v>
      </c>
      <c r="AI162" s="156" t="s">
        <v>727</v>
      </c>
      <c r="AJ162" s="157">
        <f t="shared" si="7"/>
        <v>1.2767999999999999</v>
      </c>
    </row>
    <row r="163" spans="1:36" x14ac:dyDescent="0.2">
      <c r="A163" s="7"/>
      <c r="B163" s="89"/>
      <c r="C163" s="154" t="s">
        <v>1012</v>
      </c>
      <c r="D163" s="155">
        <v>4.1870000000000003</v>
      </c>
      <c r="E163" s="155" t="s">
        <v>764</v>
      </c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 t="s">
        <v>745</v>
      </c>
      <c r="AH163" s="155">
        <v>0.15</v>
      </c>
      <c r="AI163" s="156" t="s">
        <v>727</v>
      </c>
      <c r="AJ163" s="157">
        <f t="shared" si="7"/>
        <v>0.62805</v>
      </c>
    </row>
    <row r="164" spans="1:36" x14ac:dyDescent="0.2">
      <c r="A164" s="7"/>
      <c r="B164" s="89"/>
      <c r="C164" s="154" t="s">
        <v>1013</v>
      </c>
      <c r="D164" s="155">
        <v>2.7679999999999998</v>
      </c>
      <c r="E164" s="155" t="s">
        <v>764</v>
      </c>
      <c r="F164" s="155">
        <v>1.2490000000000001</v>
      </c>
      <c r="G164" s="155" t="s">
        <v>764</v>
      </c>
      <c r="H164" s="155">
        <v>2.5590000000000002</v>
      </c>
      <c r="I164" s="155" t="s">
        <v>764</v>
      </c>
      <c r="J164" s="155">
        <v>4.5590000000000002</v>
      </c>
      <c r="K164" s="155" t="s">
        <v>764</v>
      </c>
      <c r="L164" s="155">
        <v>3.9620000000000002</v>
      </c>
      <c r="M164" s="155" t="s">
        <v>764</v>
      </c>
      <c r="N164" s="155">
        <v>3.371</v>
      </c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 t="s">
        <v>745</v>
      </c>
      <c r="AH164" s="155">
        <v>0.15</v>
      </c>
      <c r="AI164" s="156" t="s">
        <v>727</v>
      </c>
      <c r="AJ164" s="157">
        <f t="shared" si="7"/>
        <v>2.7702</v>
      </c>
    </row>
    <row r="165" spans="1:36" x14ac:dyDescent="0.2">
      <c r="A165" s="7"/>
      <c r="B165" s="89"/>
      <c r="C165" s="154" t="s">
        <v>1014</v>
      </c>
      <c r="D165" s="155">
        <v>2.9169999999999998</v>
      </c>
      <c r="E165" s="155" t="s">
        <v>764</v>
      </c>
      <c r="F165" s="155">
        <v>5.1829999999999998</v>
      </c>
      <c r="G165" s="155" t="s">
        <v>764</v>
      </c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 t="s">
        <v>745</v>
      </c>
      <c r="AH165" s="155">
        <v>0.15</v>
      </c>
      <c r="AI165" s="156" t="s">
        <v>727</v>
      </c>
      <c r="AJ165" s="157">
        <f t="shared" si="7"/>
        <v>1.2149999999999999</v>
      </c>
    </row>
    <row r="166" spans="1:36" x14ac:dyDescent="0.2">
      <c r="A166" s="7"/>
      <c r="B166" s="89"/>
      <c r="C166" s="154" t="s">
        <v>1015</v>
      </c>
      <c r="D166" s="155">
        <v>1.5149999999999999</v>
      </c>
      <c r="E166" s="155" t="s">
        <v>764</v>
      </c>
      <c r="F166" s="155">
        <v>2.629</v>
      </c>
      <c r="G166" s="155" t="s">
        <v>764</v>
      </c>
      <c r="H166" s="155">
        <v>2.206</v>
      </c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 t="s">
        <v>745</v>
      </c>
      <c r="AH166" s="155">
        <v>0.15</v>
      </c>
      <c r="AI166" s="156" t="s">
        <v>727</v>
      </c>
      <c r="AJ166" s="157">
        <f t="shared" si="7"/>
        <v>0.9524999999999999</v>
      </c>
    </row>
    <row r="167" spans="1:36" x14ac:dyDescent="0.2">
      <c r="A167" s="7"/>
      <c r="B167" s="89"/>
      <c r="C167" s="154" t="s">
        <v>1016</v>
      </c>
      <c r="D167" s="155">
        <v>1.915</v>
      </c>
      <c r="E167" s="155" t="s">
        <v>764</v>
      </c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 t="s">
        <v>745</v>
      </c>
      <c r="AH167" s="155">
        <v>0.15</v>
      </c>
      <c r="AI167" s="156" t="s">
        <v>727</v>
      </c>
      <c r="AJ167" s="157">
        <f t="shared" si="7"/>
        <v>0.28725000000000001</v>
      </c>
    </row>
    <row r="168" spans="1:36" x14ac:dyDescent="0.2">
      <c r="A168" s="7"/>
      <c r="B168" s="89"/>
      <c r="C168" s="154" t="s">
        <v>1017</v>
      </c>
      <c r="D168" s="155">
        <v>2.1789999999999998</v>
      </c>
      <c r="E168" s="155" t="s">
        <v>764</v>
      </c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 t="s">
        <v>745</v>
      </c>
      <c r="AH168" s="155">
        <v>0.15</v>
      </c>
      <c r="AI168" s="156" t="s">
        <v>727</v>
      </c>
      <c r="AJ168" s="157">
        <f t="shared" si="7"/>
        <v>0.32684999999999997</v>
      </c>
    </row>
    <row r="169" spans="1:36" x14ac:dyDescent="0.2">
      <c r="A169" s="7"/>
      <c r="B169" s="89"/>
      <c r="C169" s="154" t="s">
        <v>1018</v>
      </c>
      <c r="D169" s="155">
        <v>1.5149999999999999</v>
      </c>
      <c r="E169" s="155" t="s">
        <v>764</v>
      </c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 t="s">
        <v>745</v>
      </c>
      <c r="AH169" s="155">
        <v>0.15</v>
      </c>
      <c r="AI169" s="156" t="s">
        <v>727</v>
      </c>
      <c r="AJ169" s="157">
        <f t="shared" si="7"/>
        <v>0.22724999999999998</v>
      </c>
    </row>
    <row r="170" spans="1:36" x14ac:dyDescent="0.2">
      <c r="A170" s="7"/>
      <c r="B170" s="89"/>
      <c r="C170" s="154" t="s">
        <v>1019</v>
      </c>
      <c r="D170" s="155">
        <v>1.915</v>
      </c>
      <c r="E170" s="155" t="s">
        <v>764</v>
      </c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 t="s">
        <v>745</v>
      </c>
      <c r="AH170" s="155">
        <v>0.15</v>
      </c>
      <c r="AI170" s="156" t="s">
        <v>727</v>
      </c>
      <c r="AJ170" s="157">
        <f t="shared" si="7"/>
        <v>0.28725000000000001</v>
      </c>
    </row>
    <row r="171" spans="1:36" x14ac:dyDescent="0.2">
      <c r="A171" s="7"/>
      <c r="B171" s="89"/>
      <c r="C171" s="154" t="s">
        <v>1020</v>
      </c>
      <c r="D171" s="155">
        <v>1.5149999999999999</v>
      </c>
      <c r="E171" s="155" t="s">
        <v>764</v>
      </c>
      <c r="F171" s="155">
        <v>2.7789999999999999</v>
      </c>
      <c r="G171" s="155" t="s">
        <v>764</v>
      </c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 t="s">
        <v>745</v>
      </c>
      <c r="AH171" s="155">
        <v>0.15</v>
      </c>
      <c r="AI171" s="156" t="s">
        <v>727</v>
      </c>
      <c r="AJ171" s="157">
        <f t="shared" si="7"/>
        <v>0.64409999999999989</v>
      </c>
    </row>
    <row r="172" spans="1:36" x14ac:dyDescent="0.2">
      <c r="A172" s="7"/>
      <c r="B172" s="89"/>
      <c r="C172" s="154" t="s">
        <v>1021</v>
      </c>
      <c r="D172" s="155">
        <v>2.1789999999999998</v>
      </c>
      <c r="E172" s="155" t="s">
        <v>764</v>
      </c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 t="s">
        <v>745</v>
      </c>
      <c r="AH172" s="155">
        <v>0.15</v>
      </c>
      <c r="AI172" s="156" t="s">
        <v>727</v>
      </c>
      <c r="AJ172" s="157">
        <f t="shared" si="7"/>
        <v>0.32684999999999997</v>
      </c>
    </row>
    <row r="173" spans="1:36" x14ac:dyDescent="0.2">
      <c r="A173" s="7"/>
      <c r="B173" s="89"/>
      <c r="C173" s="154" t="s">
        <v>1022</v>
      </c>
      <c r="D173" s="155">
        <f>2.788-0.15</f>
        <v>2.6379999999999999</v>
      </c>
      <c r="E173" s="155" t="s">
        <v>764</v>
      </c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 t="s">
        <v>745</v>
      </c>
      <c r="AH173" s="155">
        <v>0.15</v>
      </c>
      <c r="AI173" s="156" t="s">
        <v>727</v>
      </c>
      <c r="AJ173" s="157">
        <f t="shared" si="7"/>
        <v>0.3957</v>
      </c>
    </row>
    <row r="174" spans="1:36" x14ac:dyDescent="0.2">
      <c r="A174" s="7"/>
      <c r="B174" s="89"/>
      <c r="C174" s="154" t="s">
        <v>1023</v>
      </c>
      <c r="D174" s="155">
        <v>1.6060000000000001</v>
      </c>
      <c r="E174" s="155" t="s">
        <v>764</v>
      </c>
      <c r="F174" s="155"/>
      <c r="G174" s="155"/>
      <c r="H174" s="155"/>
      <c r="I174" s="177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 t="s">
        <v>745</v>
      </c>
      <c r="AH174" s="155">
        <v>0.15</v>
      </c>
      <c r="AI174" s="156" t="s">
        <v>727</v>
      </c>
      <c r="AJ174" s="157">
        <f t="shared" si="7"/>
        <v>0.2409</v>
      </c>
    </row>
    <row r="175" spans="1:36" x14ac:dyDescent="0.2">
      <c r="A175" s="7"/>
      <c r="B175" s="89"/>
      <c r="C175" s="154" t="s">
        <v>1024</v>
      </c>
      <c r="D175" s="155">
        <v>1.615</v>
      </c>
      <c r="E175" s="155" t="s">
        <v>764</v>
      </c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 t="s">
        <v>745</v>
      </c>
      <c r="AH175" s="155">
        <v>0.15</v>
      </c>
      <c r="AI175" s="156" t="s">
        <v>727</v>
      </c>
      <c r="AJ175" s="157">
        <f t="shared" si="7"/>
        <v>0.24224999999999999</v>
      </c>
    </row>
    <row r="176" spans="1:36" x14ac:dyDescent="0.2">
      <c r="A176" s="7"/>
      <c r="B176" s="89"/>
      <c r="C176" s="154" t="s">
        <v>1025</v>
      </c>
      <c r="D176" s="155">
        <v>2.7709999999999999</v>
      </c>
      <c r="E176" s="155" t="s">
        <v>764</v>
      </c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 t="s">
        <v>745</v>
      </c>
      <c r="AH176" s="155">
        <v>0.15</v>
      </c>
      <c r="AI176" s="156" t="s">
        <v>727</v>
      </c>
      <c r="AJ176" s="157">
        <f t="shared" si="7"/>
        <v>0.41564999999999996</v>
      </c>
    </row>
    <row r="177" spans="1:36" x14ac:dyDescent="0.2">
      <c r="A177" s="7"/>
      <c r="B177" s="89"/>
      <c r="C177" s="154" t="s">
        <v>1026</v>
      </c>
      <c r="D177" s="155">
        <v>2.2149999999999999</v>
      </c>
      <c r="E177" s="155" t="s">
        <v>764</v>
      </c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 t="s">
        <v>745</v>
      </c>
      <c r="AH177" s="155">
        <v>0.15</v>
      </c>
      <c r="AI177" s="156" t="s">
        <v>727</v>
      </c>
      <c r="AJ177" s="157">
        <f t="shared" si="7"/>
        <v>0.33224999999999999</v>
      </c>
    </row>
    <row r="178" spans="1:36" x14ac:dyDescent="0.2">
      <c r="A178" s="7"/>
      <c r="B178" s="89"/>
      <c r="C178" s="154" t="s">
        <v>1027</v>
      </c>
      <c r="D178" s="155">
        <v>2.7879999999999998</v>
      </c>
      <c r="E178" s="155" t="s">
        <v>764</v>
      </c>
      <c r="F178" s="155">
        <v>1.6060000000000001</v>
      </c>
      <c r="G178" s="155" t="s">
        <v>764</v>
      </c>
      <c r="H178" s="155">
        <v>1.615</v>
      </c>
      <c r="I178" s="155" t="s">
        <v>764</v>
      </c>
      <c r="J178" s="155">
        <v>2.7709999999999999</v>
      </c>
      <c r="K178" s="155" t="s">
        <v>764</v>
      </c>
      <c r="L178" s="155">
        <v>2.2149999999999999</v>
      </c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 t="s">
        <v>745</v>
      </c>
      <c r="AH178" s="155">
        <v>0.15</v>
      </c>
      <c r="AI178" s="156" t="s">
        <v>727</v>
      </c>
      <c r="AJ178" s="157">
        <f t="shared" si="7"/>
        <v>1.6492500000000001</v>
      </c>
    </row>
    <row r="179" spans="1:36" x14ac:dyDescent="0.2">
      <c r="A179" s="7"/>
      <c r="B179" s="89"/>
      <c r="C179" s="154" t="s">
        <v>1028</v>
      </c>
      <c r="D179" s="155">
        <v>2.7879999999999998</v>
      </c>
      <c r="E179" s="155" t="s">
        <v>764</v>
      </c>
      <c r="F179" s="155">
        <v>1.6060000000000001</v>
      </c>
      <c r="G179" s="155" t="s">
        <v>764</v>
      </c>
      <c r="H179" s="155">
        <v>1.615</v>
      </c>
      <c r="I179" s="155" t="s">
        <v>764</v>
      </c>
      <c r="J179" s="155">
        <v>2.7709999999999999</v>
      </c>
      <c r="K179" s="155" t="s">
        <v>764</v>
      </c>
      <c r="L179" s="155">
        <v>2.2149999999999999</v>
      </c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 t="s">
        <v>745</v>
      </c>
      <c r="AH179" s="155">
        <v>0.15</v>
      </c>
      <c r="AI179" s="156" t="s">
        <v>727</v>
      </c>
      <c r="AJ179" s="157">
        <f t="shared" si="7"/>
        <v>1.6492500000000001</v>
      </c>
    </row>
    <row r="180" spans="1:36" x14ac:dyDescent="0.2">
      <c r="A180" s="7"/>
      <c r="B180" s="89"/>
      <c r="C180" s="154" t="s">
        <v>1029</v>
      </c>
      <c r="D180" s="155">
        <v>2.2149999999999999</v>
      </c>
      <c r="E180" s="155" t="s">
        <v>764</v>
      </c>
      <c r="F180" s="155">
        <v>0.874</v>
      </c>
      <c r="G180" s="155" t="s">
        <v>764</v>
      </c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 t="s">
        <v>745</v>
      </c>
      <c r="AH180" s="155">
        <v>0.15</v>
      </c>
      <c r="AI180" s="156" t="s">
        <v>727</v>
      </c>
      <c r="AJ180" s="157">
        <f t="shared" si="7"/>
        <v>0.46334999999999998</v>
      </c>
    </row>
    <row r="181" spans="1:36" x14ac:dyDescent="0.2">
      <c r="A181" s="7"/>
      <c r="B181" s="89"/>
      <c r="C181" s="154" t="s">
        <v>1030</v>
      </c>
      <c r="D181" s="155">
        <f>4.544-0.3</f>
        <v>4.2439999999999998</v>
      </c>
      <c r="E181" s="155" t="s">
        <v>764</v>
      </c>
      <c r="F181" s="155">
        <v>1.615</v>
      </c>
      <c r="G181" s="155" t="s">
        <v>764</v>
      </c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 t="s">
        <v>745</v>
      </c>
      <c r="AH181" s="155">
        <v>0.15</v>
      </c>
      <c r="AI181" s="156" t="s">
        <v>727</v>
      </c>
      <c r="AJ181" s="157">
        <f t="shared" si="7"/>
        <v>0.87885000000000002</v>
      </c>
    </row>
    <row r="182" spans="1:36" x14ac:dyDescent="0.2">
      <c r="A182" s="7"/>
      <c r="B182" s="89"/>
      <c r="C182" s="154" t="s">
        <v>1031</v>
      </c>
      <c r="D182" s="155">
        <v>2.4529999999999998</v>
      </c>
      <c r="E182" s="155" t="s">
        <v>764</v>
      </c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 t="s">
        <v>745</v>
      </c>
      <c r="AH182" s="155">
        <v>0.15</v>
      </c>
      <c r="AI182" s="156" t="s">
        <v>727</v>
      </c>
      <c r="AJ182" s="157">
        <f t="shared" si="7"/>
        <v>0.36794999999999994</v>
      </c>
    </row>
    <row r="183" spans="1:36" x14ac:dyDescent="0.2">
      <c r="A183" s="7"/>
      <c r="B183" s="89"/>
      <c r="C183" s="154" t="s">
        <v>1032</v>
      </c>
      <c r="D183" s="155">
        <f>6.309-0.3-0.3-0.3</f>
        <v>5.4090000000000007</v>
      </c>
      <c r="E183" s="155" t="s">
        <v>764</v>
      </c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 t="s">
        <v>745</v>
      </c>
      <c r="AH183" s="155">
        <v>0.15</v>
      </c>
      <c r="AI183" s="156" t="s">
        <v>727</v>
      </c>
      <c r="AJ183" s="157">
        <f t="shared" si="7"/>
        <v>0.81135000000000013</v>
      </c>
    </row>
    <row r="184" spans="1:36" x14ac:dyDescent="0.2">
      <c r="A184" s="7"/>
      <c r="B184" s="89"/>
      <c r="C184" s="154" t="s">
        <v>1033</v>
      </c>
      <c r="D184" s="155">
        <v>2.4529999999999998</v>
      </c>
      <c r="E184" s="155" t="s">
        <v>764</v>
      </c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 t="s">
        <v>745</v>
      </c>
      <c r="AH184" s="155">
        <v>0.15</v>
      </c>
      <c r="AI184" s="156" t="s">
        <v>727</v>
      </c>
      <c r="AJ184" s="157">
        <f t="shared" si="7"/>
        <v>0.36794999999999994</v>
      </c>
    </row>
    <row r="185" spans="1:36" x14ac:dyDescent="0.2">
      <c r="A185" s="7"/>
      <c r="B185" s="89"/>
      <c r="C185" s="154" t="s">
        <v>1034</v>
      </c>
      <c r="D185" s="155">
        <v>3.706</v>
      </c>
      <c r="E185" s="155" t="s">
        <v>764</v>
      </c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 t="s">
        <v>745</v>
      </c>
      <c r="AH185" s="155">
        <v>0.15</v>
      </c>
      <c r="AI185" s="156" t="s">
        <v>727</v>
      </c>
      <c r="AJ185" s="157">
        <f t="shared" si="7"/>
        <v>0.55589999999999995</v>
      </c>
    </row>
    <row r="186" spans="1:36" x14ac:dyDescent="0.2">
      <c r="A186" s="7"/>
      <c r="B186" s="89"/>
      <c r="C186" s="154" t="s">
        <v>1035</v>
      </c>
      <c r="D186" s="155">
        <v>4.6760000000000002</v>
      </c>
      <c r="E186" s="155" t="s">
        <v>764</v>
      </c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 t="s">
        <v>745</v>
      </c>
      <c r="AH186" s="155">
        <v>0.15</v>
      </c>
      <c r="AI186" s="156" t="s">
        <v>727</v>
      </c>
      <c r="AJ186" s="157">
        <f t="shared" si="7"/>
        <v>0.70140000000000002</v>
      </c>
    </row>
    <row r="187" spans="1:36" x14ac:dyDescent="0.2">
      <c r="A187" s="7"/>
      <c r="B187" s="89"/>
      <c r="C187" s="154" t="s">
        <v>1036</v>
      </c>
      <c r="D187" s="155">
        <f>6.309-0.6</f>
        <v>5.7090000000000005</v>
      </c>
      <c r="E187" s="155" t="s">
        <v>764</v>
      </c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 t="s">
        <v>745</v>
      </c>
      <c r="AH187" s="155">
        <v>0.15</v>
      </c>
      <c r="AI187" s="156" t="s">
        <v>727</v>
      </c>
      <c r="AJ187" s="157">
        <f t="shared" si="7"/>
        <v>0.85635000000000006</v>
      </c>
    </row>
    <row r="188" spans="1:36" x14ac:dyDescent="0.2">
      <c r="A188" s="7"/>
      <c r="B188" s="89"/>
      <c r="C188" s="154" t="s">
        <v>1037</v>
      </c>
      <c r="D188" s="155">
        <v>1.482</v>
      </c>
      <c r="E188" s="155" t="s">
        <v>764</v>
      </c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 t="s">
        <v>745</v>
      </c>
      <c r="AH188" s="155">
        <v>0.15</v>
      </c>
      <c r="AI188" s="156" t="s">
        <v>727</v>
      </c>
      <c r="AJ188" s="157">
        <f t="shared" si="7"/>
        <v>0.2223</v>
      </c>
    </row>
    <row r="189" spans="1:36" x14ac:dyDescent="0.2">
      <c r="A189" s="7"/>
      <c r="B189" s="89"/>
      <c r="C189" s="154" t="s">
        <v>1038</v>
      </c>
      <c r="D189" s="155">
        <v>4.6760000000000002</v>
      </c>
      <c r="E189" s="155" t="s">
        <v>764</v>
      </c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 t="s">
        <v>745</v>
      </c>
      <c r="AH189" s="155">
        <v>0.15</v>
      </c>
      <c r="AI189" s="156" t="s">
        <v>727</v>
      </c>
      <c r="AJ189" s="157">
        <f t="shared" si="7"/>
        <v>0.70140000000000002</v>
      </c>
    </row>
    <row r="190" spans="1:36" x14ac:dyDescent="0.2">
      <c r="A190" s="7"/>
      <c r="B190" s="89"/>
      <c r="C190" s="154" t="s">
        <v>1039</v>
      </c>
      <c r="D190" s="155">
        <f>6.309-0.6</f>
        <v>5.7090000000000005</v>
      </c>
      <c r="E190" s="155" t="s">
        <v>764</v>
      </c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 t="s">
        <v>745</v>
      </c>
      <c r="AH190" s="155">
        <v>0.15</v>
      </c>
      <c r="AI190" s="156" t="s">
        <v>727</v>
      </c>
      <c r="AJ190" s="157">
        <f t="shared" si="7"/>
        <v>0.85635000000000006</v>
      </c>
    </row>
    <row r="191" spans="1:36" x14ac:dyDescent="0.2">
      <c r="A191" s="7"/>
      <c r="B191" s="89"/>
      <c r="C191" s="154" t="s">
        <v>1040</v>
      </c>
      <c r="D191" s="155">
        <v>3.7589999999999999</v>
      </c>
      <c r="E191" s="155" t="s">
        <v>764</v>
      </c>
      <c r="F191" s="155">
        <v>2.4</v>
      </c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 t="s">
        <v>745</v>
      </c>
      <c r="AH191" s="155">
        <v>0.15</v>
      </c>
      <c r="AI191" s="156" t="s">
        <v>727</v>
      </c>
      <c r="AJ191" s="157">
        <f t="shared" si="7"/>
        <v>0.92384999999999995</v>
      </c>
    </row>
    <row r="192" spans="1:36" x14ac:dyDescent="0.2">
      <c r="A192" s="7"/>
      <c r="B192" s="89"/>
      <c r="C192" s="154" t="s">
        <v>1041</v>
      </c>
      <c r="D192" s="155">
        <v>3.7589999999999999</v>
      </c>
      <c r="E192" s="155" t="s">
        <v>764</v>
      </c>
      <c r="F192" s="155">
        <v>2.25</v>
      </c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 t="s">
        <v>745</v>
      </c>
      <c r="AH192" s="155">
        <v>0.15</v>
      </c>
      <c r="AI192" s="156" t="s">
        <v>727</v>
      </c>
      <c r="AJ192" s="157">
        <f t="shared" si="7"/>
        <v>0.90134999999999998</v>
      </c>
    </row>
    <row r="193" spans="1:36" x14ac:dyDescent="0.2">
      <c r="A193" s="7"/>
      <c r="B193" s="89"/>
      <c r="C193" s="154"/>
      <c r="D193" s="309" t="s">
        <v>743</v>
      </c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309"/>
      <c r="AB193" s="309"/>
      <c r="AC193" s="309"/>
      <c r="AD193" s="309"/>
      <c r="AE193" s="309"/>
      <c r="AF193" s="309"/>
      <c r="AG193" s="309"/>
      <c r="AH193" s="309"/>
      <c r="AI193" s="156" t="s">
        <v>727</v>
      </c>
      <c r="AJ193" s="175">
        <f>SUM(AJ141:AJ192)</f>
        <v>40.009499999999996</v>
      </c>
    </row>
    <row r="194" spans="1:36" ht="36" x14ac:dyDescent="0.2">
      <c r="A194" s="7" t="s">
        <v>72</v>
      </c>
      <c r="B194" s="8" t="s">
        <v>73</v>
      </c>
      <c r="C194" s="7" t="s">
        <v>74</v>
      </c>
      <c r="D194" s="378"/>
      <c r="E194" s="336"/>
      <c r="F194" s="336"/>
      <c r="G194" s="336"/>
      <c r="H194" s="336"/>
      <c r="I194" s="336"/>
      <c r="J194" s="336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  <c r="AA194" s="336"/>
      <c r="AB194" s="336"/>
      <c r="AC194" s="336"/>
      <c r="AD194" s="336"/>
      <c r="AE194" s="336"/>
      <c r="AF194" s="336"/>
      <c r="AG194" s="336"/>
      <c r="AH194" s="336"/>
      <c r="AI194" s="337"/>
      <c r="AJ194" s="11" t="s">
        <v>19</v>
      </c>
    </row>
    <row r="195" spans="1:36" x14ac:dyDescent="0.2">
      <c r="A195" s="7"/>
      <c r="B195" s="8"/>
      <c r="C195" s="154" t="s">
        <v>990</v>
      </c>
      <c r="D195" s="155">
        <v>5.0819999999999999</v>
      </c>
      <c r="E195" s="155" t="s">
        <v>764</v>
      </c>
      <c r="F195" s="155">
        <v>2.246</v>
      </c>
      <c r="G195" s="155" t="s">
        <v>764</v>
      </c>
      <c r="H195" s="155">
        <v>2.2989999999999999</v>
      </c>
      <c r="I195" s="155" t="s">
        <v>764</v>
      </c>
      <c r="J195" s="155">
        <v>4.641</v>
      </c>
      <c r="K195" s="155" t="s">
        <v>764</v>
      </c>
      <c r="L195" s="155">
        <v>2.1970000000000001</v>
      </c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 t="s">
        <v>745</v>
      </c>
      <c r="AH195" s="155">
        <f>0.15+0.3+0.3</f>
        <v>0.75</v>
      </c>
      <c r="AI195" s="156" t="s">
        <v>727</v>
      </c>
      <c r="AJ195" s="157">
        <f>(D195+F195+H195+J195+L195+N195)*AH195</f>
        <v>12.348749999999999</v>
      </c>
    </row>
    <row r="196" spans="1:36" x14ac:dyDescent="0.2">
      <c r="A196" s="7"/>
      <c r="B196" s="8"/>
      <c r="C196" s="154" t="s">
        <v>991</v>
      </c>
      <c r="D196" s="155">
        <v>2.9340000000000002</v>
      </c>
      <c r="E196" s="155" t="s">
        <v>764</v>
      </c>
      <c r="F196" s="155"/>
      <c r="G196" s="155" t="s">
        <v>764</v>
      </c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 t="s">
        <v>745</v>
      </c>
      <c r="AH196" s="155">
        <f t="shared" ref="AH196:AH246" si="8">0.15+0.3+0.3</f>
        <v>0.75</v>
      </c>
      <c r="AI196" s="156" t="s">
        <v>727</v>
      </c>
      <c r="AJ196" s="157">
        <f t="shared" ref="AJ196:AJ246" si="9">(D196+F196+H196+J196+L196+N196)*AH196</f>
        <v>2.2004999999999999</v>
      </c>
    </row>
    <row r="197" spans="1:36" x14ac:dyDescent="0.2">
      <c r="A197" s="7"/>
      <c r="B197" s="8"/>
      <c r="C197" s="154" t="s">
        <v>992</v>
      </c>
      <c r="D197" s="155">
        <v>3.657</v>
      </c>
      <c r="E197" s="155" t="s">
        <v>764</v>
      </c>
      <c r="F197" s="155"/>
      <c r="G197" s="155" t="s">
        <v>764</v>
      </c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 t="s">
        <v>745</v>
      </c>
      <c r="AH197" s="155">
        <f t="shared" si="8"/>
        <v>0.75</v>
      </c>
      <c r="AI197" s="156" t="s">
        <v>727</v>
      </c>
      <c r="AJ197" s="157">
        <f t="shared" si="9"/>
        <v>2.74275</v>
      </c>
    </row>
    <row r="198" spans="1:36" x14ac:dyDescent="0.2">
      <c r="A198" s="7"/>
      <c r="B198" s="8"/>
      <c r="C198" s="154" t="s">
        <v>993</v>
      </c>
      <c r="D198" s="155">
        <v>4.5279999999999996</v>
      </c>
      <c r="E198" s="155" t="s">
        <v>764</v>
      </c>
      <c r="F198" s="155">
        <v>3.9119999999999999</v>
      </c>
      <c r="G198" s="155" t="s">
        <v>764</v>
      </c>
      <c r="H198" s="155">
        <v>1.5369999999999999</v>
      </c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 t="s">
        <v>745</v>
      </c>
      <c r="AH198" s="155">
        <f t="shared" si="8"/>
        <v>0.75</v>
      </c>
      <c r="AI198" s="156" t="s">
        <v>727</v>
      </c>
      <c r="AJ198" s="157">
        <f t="shared" si="9"/>
        <v>7.4827500000000002</v>
      </c>
    </row>
    <row r="199" spans="1:36" x14ac:dyDescent="0.2">
      <c r="A199" s="7"/>
      <c r="B199" s="8"/>
      <c r="C199" s="154" t="s">
        <v>994</v>
      </c>
      <c r="D199" s="155">
        <v>4.641</v>
      </c>
      <c r="E199" s="155" t="s">
        <v>764</v>
      </c>
      <c r="F199" s="155">
        <v>2.1970000000000001</v>
      </c>
      <c r="G199" s="155" t="s">
        <v>764</v>
      </c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 t="s">
        <v>745</v>
      </c>
      <c r="AH199" s="155">
        <f t="shared" si="8"/>
        <v>0.75</v>
      </c>
      <c r="AI199" s="156" t="s">
        <v>727</v>
      </c>
      <c r="AJ199" s="157">
        <f t="shared" si="9"/>
        <v>5.1284999999999998</v>
      </c>
    </row>
    <row r="200" spans="1:36" x14ac:dyDescent="0.2">
      <c r="A200" s="7"/>
      <c r="B200" s="8"/>
      <c r="C200" s="154" t="s">
        <v>995</v>
      </c>
      <c r="D200" s="155">
        <v>2.9340000000000002</v>
      </c>
      <c r="E200" s="155" t="s">
        <v>764</v>
      </c>
      <c r="F200" s="155"/>
      <c r="G200" s="155" t="s">
        <v>764</v>
      </c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 t="s">
        <v>745</v>
      </c>
      <c r="AH200" s="155">
        <f t="shared" si="8"/>
        <v>0.75</v>
      </c>
      <c r="AI200" s="156" t="s">
        <v>727</v>
      </c>
      <c r="AJ200" s="157">
        <f t="shared" si="9"/>
        <v>2.2004999999999999</v>
      </c>
    </row>
    <row r="201" spans="1:36" x14ac:dyDescent="0.2">
      <c r="A201" s="7"/>
      <c r="B201" s="8"/>
      <c r="C201" s="154" t="s">
        <v>996</v>
      </c>
      <c r="D201" s="155">
        <v>3.8069999999999999</v>
      </c>
      <c r="E201" s="155" t="s">
        <v>764</v>
      </c>
      <c r="F201" s="155"/>
      <c r="G201" s="155" t="s">
        <v>764</v>
      </c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 t="s">
        <v>745</v>
      </c>
      <c r="AH201" s="155">
        <f t="shared" si="8"/>
        <v>0.75</v>
      </c>
      <c r="AI201" s="156" t="s">
        <v>727</v>
      </c>
      <c r="AJ201" s="157">
        <f t="shared" si="9"/>
        <v>2.8552499999999998</v>
      </c>
    </row>
    <row r="202" spans="1:36" x14ac:dyDescent="0.2">
      <c r="A202" s="7"/>
      <c r="B202" s="8"/>
      <c r="C202" s="154" t="s">
        <v>997</v>
      </c>
      <c r="D202" s="155">
        <v>4.5529999999999999</v>
      </c>
      <c r="E202" s="155" t="s">
        <v>764</v>
      </c>
      <c r="F202" s="155">
        <v>3.9620000000000002</v>
      </c>
      <c r="G202" s="155" t="s">
        <v>764</v>
      </c>
      <c r="H202" s="155">
        <v>1.712</v>
      </c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 t="s">
        <v>745</v>
      </c>
      <c r="AH202" s="155">
        <f t="shared" si="8"/>
        <v>0.75</v>
      </c>
      <c r="AI202" s="156" t="s">
        <v>727</v>
      </c>
      <c r="AJ202" s="157">
        <f t="shared" si="9"/>
        <v>7.6702500000000002</v>
      </c>
    </row>
    <row r="203" spans="1:36" x14ac:dyDescent="0.2">
      <c r="A203" s="7"/>
      <c r="B203" s="8"/>
      <c r="C203" s="154" t="s">
        <v>998</v>
      </c>
      <c r="D203" s="155">
        <v>5.157</v>
      </c>
      <c r="E203" s="155" t="s">
        <v>764</v>
      </c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 t="s">
        <v>745</v>
      </c>
      <c r="AH203" s="155">
        <f t="shared" si="8"/>
        <v>0.75</v>
      </c>
      <c r="AI203" s="156" t="s">
        <v>727</v>
      </c>
      <c r="AJ203" s="157">
        <f t="shared" si="9"/>
        <v>3.86775</v>
      </c>
    </row>
    <row r="204" spans="1:36" x14ac:dyDescent="0.2">
      <c r="A204" s="7"/>
      <c r="B204" s="8"/>
      <c r="C204" s="154" t="s">
        <v>999</v>
      </c>
      <c r="D204" s="155">
        <v>0</v>
      </c>
      <c r="E204" s="155" t="s">
        <v>764</v>
      </c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 t="s">
        <v>745</v>
      </c>
      <c r="AH204" s="155">
        <f t="shared" si="8"/>
        <v>0.75</v>
      </c>
      <c r="AI204" s="156" t="s">
        <v>727</v>
      </c>
      <c r="AJ204" s="157">
        <f t="shared" si="9"/>
        <v>0</v>
      </c>
    </row>
    <row r="205" spans="1:36" x14ac:dyDescent="0.2">
      <c r="A205" s="7"/>
      <c r="B205" s="8"/>
      <c r="C205" s="154" t="s">
        <v>1000</v>
      </c>
      <c r="D205" s="155">
        <v>2.3239999999999998</v>
      </c>
      <c r="E205" s="155" t="s">
        <v>764</v>
      </c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 t="s">
        <v>745</v>
      </c>
      <c r="AH205" s="155">
        <f t="shared" si="8"/>
        <v>0.75</v>
      </c>
      <c r="AI205" s="156" t="s">
        <v>727</v>
      </c>
      <c r="AJ205" s="157">
        <f t="shared" si="9"/>
        <v>1.7429999999999999</v>
      </c>
    </row>
    <row r="206" spans="1:36" x14ac:dyDescent="0.2">
      <c r="A206" s="7"/>
      <c r="B206" s="8"/>
      <c r="C206" s="154" t="s">
        <v>1001</v>
      </c>
      <c r="D206" s="155">
        <v>2.2949999999999999</v>
      </c>
      <c r="E206" s="155" t="s">
        <v>764</v>
      </c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 t="s">
        <v>745</v>
      </c>
      <c r="AH206" s="155">
        <f t="shared" si="8"/>
        <v>0.75</v>
      </c>
      <c r="AI206" s="156" t="s">
        <v>727</v>
      </c>
      <c r="AJ206" s="157">
        <f t="shared" si="9"/>
        <v>1.7212499999999999</v>
      </c>
    </row>
    <row r="207" spans="1:36" x14ac:dyDescent="0.2">
      <c r="A207" s="7"/>
      <c r="B207" s="8"/>
      <c r="C207" s="154" t="s">
        <v>1002</v>
      </c>
      <c r="D207" s="155">
        <v>0.92200000000000004</v>
      </c>
      <c r="E207" s="155" t="s">
        <v>764</v>
      </c>
      <c r="F207" s="155">
        <v>2.74</v>
      </c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 t="s">
        <v>745</v>
      </c>
      <c r="AH207" s="155">
        <f t="shared" si="8"/>
        <v>0.75</v>
      </c>
      <c r="AI207" s="156" t="s">
        <v>727</v>
      </c>
      <c r="AJ207" s="157">
        <f t="shared" si="9"/>
        <v>2.7465000000000002</v>
      </c>
    </row>
    <row r="208" spans="1:36" x14ac:dyDescent="0.2">
      <c r="A208" s="7"/>
      <c r="B208" s="8"/>
      <c r="C208" s="154" t="s">
        <v>1003</v>
      </c>
      <c r="D208" s="155">
        <v>4.55</v>
      </c>
      <c r="E208" s="155" t="s">
        <v>764</v>
      </c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 t="s">
        <v>745</v>
      </c>
      <c r="AH208" s="155">
        <f t="shared" si="8"/>
        <v>0.75</v>
      </c>
      <c r="AI208" s="156" t="s">
        <v>727</v>
      </c>
      <c r="AJ208" s="157">
        <f t="shared" si="9"/>
        <v>3.4124999999999996</v>
      </c>
    </row>
    <row r="209" spans="1:36" x14ac:dyDescent="0.2">
      <c r="A209" s="7"/>
      <c r="B209" s="8"/>
      <c r="C209" s="154" t="s">
        <v>1004</v>
      </c>
      <c r="D209" s="155">
        <v>3.9620000000000002</v>
      </c>
      <c r="E209" s="155" t="s">
        <v>764</v>
      </c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 t="s">
        <v>745</v>
      </c>
      <c r="AH209" s="155">
        <f t="shared" si="8"/>
        <v>0.75</v>
      </c>
      <c r="AI209" s="156" t="s">
        <v>727</v>
      </c>
      <c r="AJ209" s="157">
        <f t="shared" si="9"/>
        <v>2.9715000000000003</v>
      </c>
    </row>
    <row r="210" spans="1:36" x14ac:dyDescent="0.2">
      <c r="A210" s="7"/>
      <c r="B210" s="8"/>
      <c r="C210" s="154" t="s">
        <v>1005</v>
      </c>
      <c r="D210" s="155">
        <v>3.371</v>
      </c>
      <c r="E210" s="155" t="s">
        <v>764</v>
      </c>
      <c r="F210" s="155">
        <v>3.9620000000000002</v>
      </c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 t="s">
        <v>745</v>
      </c>
      <c r="AH210" s="155">
        <f t="shared" si="8"/>
        <v>0.75</v>
      </c>
      <c r="AI210" s="156" t="s">
        <v>727</v>
      </c>
      <c r="AJ210" s="157">
        <f t="shared" si="9"/>
        <v>5.4997500000000006</v>
      </c>
    </row>
    <row r="211" spans="1:36" x14ac:dyDescent="0.2">
      <c r="A211" s="7"/>
      <c r="B211" s="8"/>
      <c r="C211" s="154" t="s">
        <v>1006</v>
      </c>
      <c r="D211" s="155">
        <v>4.2969999999999997</v>
      </c>
      <c r="E211" s="155" t="s">
        <v>764</v>
      </c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 t="s">
        <v>745</v>
      </c>
      <c r="AH211" s="155">
        <f t="shared" si="8"/>
        <v>0.75</v>
      </c>
      <c r="AI211" s="156" t="s">
        <v>727</v>
      </c>
      <c r="AJ211" s="157">
        <f t="shared" si="9"/>
        <v>3.2227499999999996</v>
      </c>
    </row>
    <row r="212" spans="1:36" x14ac:dyDescent="0.2">
      <c r="A212" s="7"/>
      <c r="B212" s="8"/>
      <c r="C212" s="154" t="s">
        <v>1007</v>
      </c>
      <c r="D212" s="155">
        <v>4.8</v>
      </c>
      <c r="E212" s="155" t="s">
        <v>764</v>
      </c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 t="s">
        <v>745</v>
      </c>
      <c r="AH212" s="155">
        <f t="shared" si="8"/>
        <v>0.75</v>
      </c>
      <c r="AI212" s="156" t="s">
        <v>727</v>
      </c>
      <c r="AJ212" s="157">
        <f t="shared" si="9"/>
        <v>3.5999999999999996</v>
      </c>
    </row>
    <row r="213" spans="1:36" x14ac:dyDescent="0.2">
      <c r="A213" s="7"/>
      <c r="B213" s="8"/>
      <c r="C213" s="154" t="s">
        <v>1008</v>
      </c>
      <c r="D213" s="155">
        <v>0.77200000000000002</v>
      </c>
      <c r="E213" s="155" t="s">
        <v>764</v>
      </c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 t="s">
        <v>745</v>
      </c>
      <c r="AH213" s="155">
        <f>0.15+0.3+0.3</f>
        <v>0.75</v>
      </c>
      <c r="AI213" s="156" t="s">
        <v>727</v>
      </c>
      <c r="AJ213" s="157">
        <f t="shared" si="9"/>
        <v>0.57899999999999996</v>
      </c>
    </row>
    <row r="214" spans="1:36" x14ac:dyDescent="0.2">
      <c r="A214" s="7"/>
      <c r="B214" s="8"/>
      <c r="C214" s="154" t="s">
        <v>1009</v>
      </c>
      <c r="D214" s="155">
        <v>2.1219999999999999</v>
      </c>
      <c r="E214" s="155" t="s">
        <v>764</v>
      </c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 t="s">
        <v>745</v>
      </c>
      <c r="AH214" s="155">
        <f t="shared" si="8"/>
        <v>0.75</v>
      </c>
      <c r="AI214" s="156" t="s">
        <v>727</v>
      </c>
      <c r="AJ214" s="157">
        <f t="shared" si="9"/>
        <v>1.5914999999999999</v>
      </c>
    </row>
    <row r="215" spans="1:36" x14ac:dyDescent="0.2">
      <c r="A215" s="7"/>
      <c r="B215" s="8"/>
      <c r="C215" s="154" t="s">
        <v>1010</v>
      </c>
      <c r="D215" s="155">
        <v>6.8959999999999999</v>
      </c>
      <c r="E215" s="155" t="s">
        <v>764</v>
      </c>
      <c r="F215" s="155">
        <v>4.55</v>
      </c>
      <c r="G215" s="155" t="s">
        <v>764</v>
      </c>
      <c r="H215" s="155">
        <v>3.9620000000000002</v>
      </c>
      <c r="I215" s="155" t="s">
        <v>764</v>
      </c>
      <c r="J215" s="155">
        <v>3.371</v>
      </c>
      <c r="K215" s="155" t="s">
        <v>764</v>
      </c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 t="s">
        <v>745</v>
      </c>
      <c r="AH215" s="155">
        <f t="shared" si="8"/>
        <v>0.75</v>
      </c>
      <c r="AI215" s="156" t="s">
        <v>727</v>
      </c>
      <c r="AJ215" s="157">
        <f t="shared" si="9"/>
        <v>14.084250000000001</v>
      </c>
    </row>
    <row r="216" spans="1:36" x14ac:dyDescent="0.2">
      <c r="A216" s="7"/>
      <c r="B216" s="8"/>
      <c r="C216" s="154" t="s">
        <v>1011</v>
      </c>
      <c r="D216" s="155">
        <v>4.55</v>
      </c>
      <c r="E216" s="155" t="s">
        <v>764</v>
      </c>
      <c r="F216" s="155">
        <v>3.9620000000000002</v>
      </c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 t="s">
        <v>745</v>
      </c>
      <c r="AH216" s="155">
        <f t="shared" si="8"/>
        <v>0.75</v>
      </c>
      <c r="AI216" s="156" t="s">
        <v>727</v>
      </c>
      <c r="AJ216" s="157">
        <f t="shared" si="9"/>
        <v>6.3840000000000003</v>
      </c>
    </row>
    <row r="217" spans="1:36" x14ac:dyDescent="0.2">
      <c r="A217" s="7"/>
      <c r="B217" s="8"/>
      <c r="C217" s="154" t="s">
        <v>1012</v>
      </c>
      <c r="D217" s="155">
        <v>4.1870000000000003</v>
      </c>
      <c r="E217" s="155" t="s">
        <v>764</v>
      </c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 t="s">
        <v>745</v>
      </c>
      <c r="AH217" s="155">
        <f t="shared" si="8"/>
        <v>0.75</v>
      </c>
      <c r="AI217" s="156" t="s">
        <v>727</v>
      </c>
      <c r="AJ217" s="157">
        <f t="shared" si="9"/>
        <v>3.14025</v>
      </c>
    </row>
    <row r="218" spans="1:36" x14ac:dyDescent="0.2">
      <c r="A218" s="7"/>
      <c r="B218" s="8"/>
      <c r="C218" s="154" t="s">
        <v>1013</v>
      </c>
      <c r="D218" s="155">
        <v>2.7679999999999998</v>
      </c>
      <c r="E218" s="155" t="s">
        <v>764</v>
      </c>
      <c r="F218" s="155">
        <v>1.2490000000000001</v>
      </c>
      <c r="G218" s="155" t="s">
        <v>764</v>
      </c>
      <c r="H218" s="155">
        <v>2.5590000000000002</v>
      </c>
      <c r="I218" s="155" t="s">
        <v>764</v>
      </c>
      <c r="J218" s="155">
        <v>4.5590000000000002</v>
      </c>
      <c r="K218" s="155" t="s">
        <v>764</v>
      </c>
      <c r="L218" s="155">
        <v>3.9620000000000002</v>
      </c>
      <c r="M218" s="155" t="s">
        <v>764</v>
      </c>
      <c r="N218" s="155">
        <v>3.371</v>
      </c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 t="s">
        <v>745</v>
      </c>
      <c r="AH218" s="155">
        <f t="shared" si="8"/>
        <v>0.75</v>
      </c>
      <c r="AI218" s="156" t="s">
        <v>727</v>
      </c>
      <c r="AJ218" s="157">
        <f t="shared" si="9"/>
        <v>13.850999999999999</v>
      </c>
    </row>
    <row r="219" spans="1:36" x14ac:dyDescent="0.2">
      <c r="A219" s="7"/>
      <c r="B219" s="8"/>
      <c r="C219" s="154" t="s">
        <v>1014</v>
      </c>
      <c r="D219" s="155">
        <v>2.9169999999999998</v>
      </c>
      <c r="E219" s="155" t="s">
        <v>764</v>
      </c>
      <c r="F219" s="155">
        <v>5.1829999999999998</v>
      </c>
      <c r="G219" s="155" t="s">
        <v>764</v>
      </c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 t="s">
        <v>745</v>
      </c>
      <c r="AH219" s="155">
        <f t="shared" si="8"/>
        <v>0.75</v>
      </c>
      <c r="AI219" s="156" t="s">
        <v>727</v>
      </c>
      <c r="AJ219" s="157">
        <f t="shared" si="9"/>
        <v>6.0749999999999993</v>
      </c>
    </row>
    <row r="220" spans="1:36" x14ac:dyDescent="0.2">
      <c r="A220" s="7"/>
      <c r="B220" s="8"/>
      <c r="C220" s="154" t="s">
        <v>1015</v>
      </c>
      <c r="D220" s="155">
        <v>1.5149999999999999</v>
      </c>
      <c r="E220" s="155" t="s">
        <v>764</v>
      </c>
      <c r="F220" s="155">
        <v>2.629</v>
      </c>
      <c r="G220" s="155" t="s">
        <v>764</v>
      </c>
      <c r="H220" s="155">
        <v>2.206</v>
      </c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 t="s">
        <v>745</v>
      </c>
      <c r="AH220" s="155">
        <f t="shared" si="8"/>
        <v>0.75</v>
      </c>
      <c r="AI220" s="156" t="s">
        <v>727</v>
      </c>
      <c r="AJ220" s="157">
        <f t="shared" si="9"/>
        <v>4.7624999999999993</v>
      </c>
    </row>
    <row r="221" spans="1:36" x14ac:dyDescent="0.2">
      <c r="A221" s="7"/>
      <c r="B221" s="8"/>
      <c r="C221" s="154" t="s">
        <v>1016</v>
      </c>
      <c r="D221" s="155">
        <v>1.915</v>
      </c>
      <c r="E221" s="155" t="s">
        <v>764</v>
      </c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 t="s">
        <v>745</v>
      </c>
      <c r="AH221" s="155">
        <f t="shared" si="8"/>
        <v>0.75</v>
      </c>
      <c r="AI221" s="156" t="s">
        <v>727</v>
      </c>
      <c r="AJ221" s="157">
        <f t="shared" si="9"/>
        <v>1.43625</v>
      </c>
    </row>
    <row r="222" spans="1:36" x14ac:dyDescent="0.2">
      <c r="A222" s="7"/>
      <c r="B222" s="8"/>
      <c r="C222" s="154" t="s">
        <v>1017</v>
      </c>
      <c r="D222" s="155">
        <v>2.1789999999999998</v>
      </c>
      <c r="E222" s="155" t="s">
        <v>764</v>
      </c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 t="s">
        <v>745</v>
      </c>
      <c r="AH222" s="155">
        <f t="shared" si="8"/>
        <v>0.75</v>
      </c>
      <c r="AI222" s="156" t="s">
        <v>727</v>
      </c>
      <c r="AJ222" s="157">
        <f t="shared" si="9"/>
        <v>1.6342499999999998</v>
      </c>
    </row>
    <row r="223" spans="1:36" x14ac:dyDescent="0.2">
      <c r="A223" s="7"/>
      <c r="B223" s="8"/>
      <c r="C223" s="154" t="s">
        <v>1018</v>
      </c>
      <c r="D223" s="155">
        <v>1.5149999999999999</v>
      </c>
      <c r="E223" s="155" t="s">
        <v>764</v>
      </c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 t="s">
        <v>745</v>
      </c>
      <c r="AH223" s="155">
        <f>0.15+0.3+0.3</f>
        <v>0.75</v>
      </c>
      <c r="AI223" s="156" t="s">
        <v>727</v>
      </c>
      <c r="AJ223" s="157">
        <f t="shared" si="9"/>
        <v>1.13625</v>
      </c>
    </row>
    <row r="224" spans="1:36" x14ac:dyDescent="0.2">
      <c r="A224" s="7"/>
      <c r="B224" s="8"/>
      <c r="C224" s="154" t="s">
        <v>1019</v>
      </c>
      <c r="D224" s="155">
        <v>1.915</v>
      </c>
      <c r="E224" s="155" t="s">
        <v>764</v>
      </c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 t="s">
        <v>745</v>
      </c>
      <c r="AH224" s="155">
        <f t="shared" si="8"/>
        <v>0.75</v>
      </c>
      <c r="AI224" s="156" t="s">
        <v>727</v>
      </c>
      <c r="AJ224" s="157">
        <f t="shared" si="9"/>
        <v>1.43625</v>
      </c>
    </row>
    <row r="225" spans="1:36" x14ac:dyDescent="0.2">
      <c r="A225" s="7"/>
      <c r="B225" s="8"/>
      <c r="C225" s="154" t="s">
        <v>1020</v>
      </c>
      <c r="D225" s="155">
        <v>1.5149999999999999</v>
      </c>
      <c r="E225" s="155" t="s">
        <v>764</v>
      </c>
      <c r="F225" s="155">
        <v>2.7789999999999999</v>
      </c>
      <c r="G225" s="155" t="s">
        <v>764</v>
      </c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 t="s">
        <v>745</v>
      </c>
      <c r="AH225" s="155">
        <f t="shared" si="8"/>
        <v>0.75</v>
      </c>
      <c r="AI225" s="156" t="s">
        <v>727</v>
      </c>
      <c r="AJ225" s="157">
        <f t="shared" si="9"/>
        <v>3.2204999999999995</v>
      </c>
    </row>
    <row r="226" spans="1:36" x14ac:dyDescent="0.2">
      <c r="A226" s="7"/>
      <c r="B226" s="8"/>
      <c r="C226" s="154" t="s">
        <v>1021</v>
      </c>
      <c r="D226" s="155">
        <v>2.1789999999999998</v>
      </c>
      <c r="E226" s="155" t="s">
        <v>764</v>
      </c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 t="s">
        <v>745</v>
      </c>
      <c r="AH226" s="155">
        <f t="shared" si="8"/>
        <v>0.75</v>
      </c>
      <c r="AI226" s="156" t="s">
        <v>727</v>
      </c>
      <c r="AJ226" s="157">
        <f t="shared" si="9"/>
        <v>1.6342499999999998</v>
      </c>
    </row>
    <row r="227" spans="1:36" x14ac:dyDescent="0.2">
      <c r="A227" s="7"/>
      <c r="B227" s="8"/>
      <c r="C227" s="154" t="s">
        <v>1022</v>
      </c>
      <c r="D227" s="155">
        <f>2.788-0.15</f>
        <v>2.6379999999999999</v>
      </c>
      <c r="E227" s="155" t="s">
        <v>764</v>
      </c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 t="s">
        <v>745</v>
      </c>
      <c r="AH227" s="155">
        <f t="shared" si="8"/>
        <v>0.75</v>
      </c>
      <c r="AI227" s="156" t="s">
        <v>727</v>
      </c>
      <c r="AJ227" s="157">
        <f t="shared" si="9"/>
        <v>1.9784999999999999</v>
      </c>
    </row>
    <row r="228" spans="1:36" x14ac:dyDescent="0.2">
      <c r="A228" s="7"/>
      <c r="B228" s="8"/>
      <c r="C228" s="154" t="s">
        <v>1023</v>
      </c>
      <c r="D228" s="155">
        <v>1.6060000000000001</v>
      </c>
      <c r="E228" s="155" t="s">
        <v>764</v>
      </c>
      <c r="F228" s="155"/>
      <c r="G228" s="155"/>
      <c r="H228" s="155"/>
      <c r="I228" s="177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 t="s">
        <v>745</v>
      </c>
      <c r="AH228" s="155">
        <f t="shared" si="8"/>
        <v>0.75</v>
      </c>
      <c r="AI228" s="156" t="s">
        <v>727</v>
      </c>
      <c r="AJ228" s="157">
        <f t="shared" si="9"/>
        <v>1.2045000000000001</v>
      </c>
    </row>
    <row r="229" spans="1:36" x14ac:dyDescent="0.2">
      <c r="A229" s="7"/>
      <c r="B229" s="8"/>
      <c r="C229" s="154" t="s">
        <v>1024</v>
      </c>
      <c r="D229" s="155">
        <v>1.615</v>
      </c>
      <c r="E229" s="155" t="s">
        <v>764</v>
      </c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 t="s">
        <v>745</v>
      </c>
      <c r="AH229" s="155">
        <f t="shared" si="8"/>
        <v>0.75</v>
      </c>
      <c r="AI229" s="156" t="s">
        <v>727</v>
      </c>
      <c r="AJ229" s="157">
        <f t="shared" si="9"/>
        <v>1.2112499999999999</v>
      </c>
    </row>
    <row r="230" spans="1:36" x14ac:dyDescent="0.2">
      <c r="A230" s="7"/>
      <c r="B230" s="8"/>
      <c r="C230" s="154" t="s">
        <v>1025</v>
      </c>
      <c r="D230" s="155">
        <v>2.7709999999999999</v>
      </c>
      <c r="E230" s="155" t="s">
        <v>764</v>
      </c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 t="s">
        <v>745</v>
      </c>
      <c r="AH230" s="155">
        <f t="shared" si="8"/>
        <v>0.75</v>
      </c>
      <c r="AI230" s="156" t="s">
        <v>727</v>
      </c>
      <c r="AJ230" s="157">
        <f t="shared" si="9"/>
        <v>2.0782499999999997</v>
      </c>
    </row>
    <row r="231" spans="1:36" x14ac:dyDescent="0.2">
      <c r="A231" s="7"/>
      <c r="B231" s="8"/>
      <c r="C231" s="154" t="s">
        <v>1026</v>
      </c>
      <c r="D231" s="155">
        <v>2.2149999999999999</v>
      </c>
      <c r="E231" s="155" t="s">
        <v>764</v>
      </c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 t="s">
        <v>745</v>
      </c>
      <c r="AH231" s="155">
        <f t="shared" si="8"/>
        <v>0.75</v>
      </c>
      <c r="AI231" s="156" t="s">
        <v>727</v>
      </c>
      <c r="AJ231" s="157">
        <f t="shared" si="9"/>
        <v>1.6612499999999999</v>
      </c>
    </row>
    <row r="232" spans="1:36" x14ac:dyDescent="0.2">
      <c r="A232" s="7"/>
      <c r="B232" s="8"/>
      <c r="C232" s="154" t="s">
        <v>1027</v>
      </c>
      <c r="D232" s="155">
        <v>2.7879999999999998</v>
      </c>
      <c r="E232" s="155" t="s">
        <v>764</v>
      </c>
      <c r="F232" s="155">
        <v>1.6060000000000001</v>
      </c>
      <c r="G232" s="155" t="s">
        <v>764</v>
      </c>
      <c r="H232" s="155">
        <v>1.615</v>
      </c>
      <c r="I232" s="155" t="s">
        <v>764</v>
      </c>
      <c r="J232" s="155">
        <v>2.7709999999999999</v>
      </c>
      <c r="K232" s="155" t="s">
        <v>764</v>
      </c>
      <c r="L232" s="155">
        <v>2.2149999999999999</v>
      </c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 t="s">
        <v>745</v>
      </c>
      <c r="AH232" s="155">
        <f t="shared" si="8"/>
        <v>0.75</v>
      </c>
      <c r="AI232" s="156" t="s">
        <v>727</v>
      </c>
      <c r="AJ232" s="157">
        <f t="shared" si="9"/>
        <v>8.2462499999999999</v>
      </c>
    </row>
    <row r="233" spans="1:36" x14ac:dyDescent="0.2">
      <c r="A233" s="7"/>
      <c r="B233" s="8"/>
      <c r="C233" s="154" t="s">
        <v>1028</v>
      </c>
      <c r="D233" s="155">
        <v>2.7879999999999998</v>
      </c>
      <c r="E233" s="155" t="s">
        <v>764</v>
      </c>
      <c r="F233" s="155">
        <v>1.6060000000000001</v>
      </c>
      <c r="G233" s="155" t="s">
        <v>764</v>
      </c>
      <c r="H233" s="155">
        <v>1.615</v>
      </c>
      <c r="I233" s="155" t="s">
        <v>764</v>
      </c>
      <c r="J233" s="155">
        <v>2.7709999999999999</v>
      </c>
      <c r="K233" s="155" t="s">
        <v>764</v>
      </c>
      <c r="L233" s="155">
        <v>2.2149999999999999</v>
      </c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 t="s">
        <v>745</v>
      </c>
      <c r="AH233" s="155">
        <f t="shared" si="8"/>
        <v>0.75</v>
      </c>
      <c r="AI233" s="156" t="s">
        <v>727</v>
      </c>
      <c r="AJ233" s="157">
        <f t="shared" si="9"/>
        <v>8.2462499999999999</v>
      </c>
    </row>
    <row r="234" spans="1:36" x14ac:dyDescent="0.2">
      <c r="A234" s="7"/>
      <c r="B234" s="8"/>
      <c r="C234" s="154" t="s">
        <v>1029</v>
      </c>
      <c r="D234" s="155">
        <v>2.2149999999999999</v>
      </c>
      <c r="E234" s="155" t="s">
        <v>764</v>
      </c>
      <c r="F234" s="155">
        <v>0.874</v>
      </c>
      <c r="G234" s="155" t="s">
        <v>764</v>
      </c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 t="s">
        <v>745</v>
      </c>
      <c r="AH234" s="155">
        <f t="shared" si="8"/>
        <v>0.75</v>
      </c>
      <c r="AI234" s="156" t="s">
        <v>727</v>
      </c>
      <c r="AJ234" s="157">
        <f t="shared" si="9"/>
        <v>2.3167499999999999</v>
      </c>
    </row>
    <row r="235" spans="1:36" x14ac:dyDescent="0.2">
      <c r="A235" s="7"/>
      <c r="B235" s="8"/>
      <c r="C235" s="154" t="s">
        <v>1030</v>
      </c>
      <c r="D235" s="155">
        <f>4.544-0.3</f>
        <v>4.2439999999999998</v>
      </c>
      <c r="E235" s="155" t="s">
        <v>764</v>
      </c>
      <c r="F235" s="155">
        <v>1.615</v>
      </c>
      <c r="G235" s="155" t="s">
        <v>764</v>
      </c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 t="s">
        <v>745</v>
      </c>
      <c r="AH235" s="155">
        <f t="shared" si="8"/>
        <v>0.75</v>
      </c>
      <c r="AI235" s="156" t="s">
        <v>727</v>
      </c>
      <c r="AJ235" s="157">
        <f t="shared" si="9"/>
        <v>4.3942499999999995</v>
      </c>
    </row>
    <row r="236" spans="1:36" x14ac:dyDescent="0.2">
      <c r="A236" s="7"/>
      <c r="B236" s="8"/>
      <c r="C236" s="154" t="s">
        <v>1031</v>
      </c>
      <c r="D236" s="155">
        <v>2.4529999999999998</v>
      </c>
      <c r="E236" s="155" t="s">
        <v>764</v>
      </c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 t="s">
        <v>745</v>
      </c>
      <c r="AH236" s="155">
        <f t="shared" si="8"/>
        <v>0.75</v>
      </c>
      <c r="AI236" s="156" t="s">
        <v>727</v>
      </c>
      <c r="AJ236" s="157">
        <f t="shared" si="9"/>
        <v>1.83975</v>
      </c>
    </row>
    <row r="237" spans="1:36" x14ac:dyDescent="0.2">
      <c r="A237" s="7"/>
      <c r="B237" s="8"/>
      <c r="C237" s="154" t="s">
        <v>1032</v>
      </c>
      <c r="D237" s="155">
        <f>6.309-0.3-0.3-0.3</f>
        <v>5.4090000000000007</v>
      </c>
      <c r="E237" s="155" t="s">
        <v>764</v>
      </c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 t="s">
        <v>745</v>
      </c>
      <c r="AH237" s="155">
        <f t="shared" si="8"/>
        <v>0.75</v>
      </c>
      <c r="AI237" s="156" t="s">
        <v>727</v>
      </c>
      <c r="AJ237" s="157">
        <f t="shared" si="9"/>
        <v>4.056750000000001</v>
      </c>
    </row>
    <row r="238" spans="1:36" x14ac:dyDescent="0.2">
      <c r="A238" s="7"/>
      <c r="B238" s="8"/>
      <c r="C238" s="154" t="s">
        <v>1033</v>
      </c>
      <c r="D238" s="155">
        <v>2.4529999999999998</v>
      </c>
      <c r="E238" s="155" t="s">
        <v>764</v>
      </c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 t="s">
        <v>745</v>
      </c>
      <c r="AH238" s="155">
        <f t="shared" si="8"/>
        <v>0.75</v>
      </c>
      <c r="AI238" s="156" t="s">
        <v>727</v>
      </c>
      <c r="AJ238" s="157">
        <f t="shared" si="9"/>
        <v>1.83975</v>
      </c>
    </row>
    <row r="239" spans="1:36" x14ac:dyDescent="0.2">
      <c r="A239" s="7"/>
      <c r="B239" s="8"/>
      <c r="C239" s="154" t="s">
        <v>1034</v>
      </c>
      <c r="D239" s="155">
        <v>3.706</v>
      </c>
      <c r="E239" s="155" t="s">
        <v>764</v>
      </c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 t="s">
        <v>745</v>
      </c>
      <c r="AH239" s="155">
        <f t="shared" si="8"/>
        <v>0.75</v>
      </c>
      <c r="AI239" s="156" t="s">
        <v>727</v>
      </c>
      <c r="AJ239" s="157">
        <f t="shared" si="9"/>
        <v>2.7795000000000001</v>
      </c>
    </row>
    <row r="240" spans="1:36" x14ac:dyDescent="0.2">
      <c r="A240" s="7"/>
      <c r="B240" s="8"/>
      <c r="C240" s="154" t="s">
        <v>1035</v>
      </c>
      <c r="D240" s="155">
        <v>4.6760000000000002</v>
      </c>
      <c r="E240" s="155" t="s">
        <v>764</v>
      </c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 t="s">
        <v>745</v>
      </c>
      <c r="AH240" s="155">
        <f>0.15+0.3+0.3</f>
        <v>0.75</v>
      </c>
      <c r="AI240" s="156" t="s">
        <v>727</v>
      </c>
      <c r="AJ240" s="157">
        <f t="shared" si="9"/>
        <v>3.5070000000000001</v>
      </c>
    </row>
    <row r="241" spans="1:36" x14ac:dyDescent="0.2">
      <c r="A241" s="7"/>
      <c r="B241" s="8"/>
      <c r="C241" s="154" t="s">
        <v>1036</v>
      </c>
      <c r="D241" s="155">
        <f>6.309-0.6</f>
        <v>5.7090000000000005</v>
      </c>
      <c r="E241" s="155" t="s">
        <v>764</v>
      </c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 t="s">
        <v>745</v>
      </c>
      <c r="AH241" s="155">
        <f t="shared" si="8"/>
        <v>0.75</v>
      </c>
      <c r="AI241" s="156" t="s">
        <v>727</v>
      </c>
      <c r="AJ241" s="157">
        <f t="shared" si="9"/>
        <v>4.2817500000000006</v>
      </c>
    </row>
    <row r="242" spans="1:36" x14ac:dyDescent="0.2">
      <c r="A242" s="7"/>
      <c r="B242" s="8"/>
      <c r="C242" s="154" t="s">
        <v>1037</v>
      </c>
      <c r="D242" s="155">
        <v>1.482</v>
      </c>
      <c r="E242" s="155" t="s">
        <v>764</v>
      </c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 t="s">
        <v>745</v>
      </c>
      <c r="AH242" s="155">
        <f t="shared" si="8"/>
        <v>0.75</v>
      </c>
      <c r="AI242" s="156" t="s">
        <v>727</v>
      </c>
      <c r="AJ242" s="157">
        <f t="shared" si="9"/>
        <v>1.1114999999999999</v>
      </c>
    </row>
    <row r="243" spans="1:36" x14ac:dyDescent="0.2">
      <c r="A243" s="7"/>
      <c r="B243" s="8"/>
      <c r="C243" s="154" t="s">
        <v>1038</v>
      </c>
      <c r="D243" s="155">
        <v>4.6760000000000002</v>
      </c>
      <c r="E243" s="155" t="s">
        <v>764</v>
      </c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 t="s">
        <v>745</v>
      </c>
      <c r="AH243" s="155">
        <f t="shared" si="8"/>
        <v>0.75</v>
      </c>
      <c r="AI243" s="156" t="s">
        <v>727</v>
      </c>
      <c r="AJ243" s="157">
        <f t="shared" si="9"/>
        <v>3.5070000000000001</v>
      </c>
    </row>
    <row r="244" spans="1:36" x14ac:dyDescent="0.2">
      <c r="A244" s="7"/>
      <c r="B244" s="8"/>
      <c r="C244" s="154" t="s">
        <v>1039</v>
      </c>
      <c r="D244" s="155">
        <f>6.309-0.6</f>
        <v>5.7090000000000005</v>
      </c>
      <c r="E244" s="155" t="s">
        <v>764</v>
      </c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 t="s">
        <v>745</v>
      </c>
      <c r="AH244" s="155">
        <f t="shared" si="8"/>
        <v>0.75</v>
      </c>
      <c r="AI244" s="156" t="s">
        <v>727</v>
      </c>
      <c r="AJ244" s="157">
        <f t="shared" si="9"/>
        <v>4.2817500000000006</v>
      </c>
    </row>
    <row r="245" spans="1:36" x14ac:dyDescent="0.2">
      <c r="A245" s="7"/>
      <c r="B245" s="8"/>
      <c r="C245" s="154" t="s">
        <v>1040</v>
      </c>
      <c r="D245" s="155">
        <v>3.7589999999999999</v>
      </c>
      <c r="E245" s="155" t="s">
        <v>764</v>
      </c>
      <c r="F245" s="155">
        <v>2.4</v>
      </c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 t="s">
        <v>745</v>
      </c>
      <c r="AH245" s="155">
        <f t="shared" si="8"/>
        <v>0.75</v>
      </c>
      <c r="AI245" s="156" t="s">
        <v>727</v>
      </c>
      <c r="AJ245" s="157">
        <f t="shared" si="9"/>
        <v>4.6192500000000001</v>
      </c>
    </row>
    <row r="246" spans="1:36" x14ac:dyDescent="0.2">
      <c r="A246" s="7"/>
      <c r="B246" s="8"/>
      <c r="C246" s="154" t="s">
        <v>1041</v>
      </c>
      <c r="D246" s="155">
        <v>3.7589999999999999</v>
      </c>
      <c r="E246" s="155" t="s">
        <v>764</v>
      </c>
      <c r="F246" s="155">
        <v>2.25</v>
      </c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 t="s">
        <v>745</v>
      </c>
      <c r="AH246" s="155">
        <f t="shared" si="8"/>
        <v>0.75</v>
      </c>
      <c r="AI246" s="156" t="s">
        <v>727</v>
      </c>
      <c r="AJ246" s="157">
        <f t="shared" si="9"/>
        <v>4.5067500000000003</v>
      </c>
    </row>
    <row r="247" spans="1:36" x14ac:dyDescent="0.2">
      <c r="A247" s="7"/>
      <c r="B247" s="14"/>
      <c r="C247" s="229"/>
      <c r="D247" s="360" t="s">
        <v>743</v>
      </c>
      <c r="E247" s="360"/>
      <c r="F247" s="360"/>
      <c r="G247" s="360"/>
      <c r="H247" s="360"/>
      <c r="I247" s="360"/>
      <c r="J247" s="360"/>
      <c r="K247" s="360"/>
      <c r="L247" s="360"/>
      <c r="M247" s="360"/>
      <c r="N247" s="360"/>
      <c r="O247" s="360"/>
      <c r="P247" s="360"/>
      <c r="Q247" s="360"/>
      <c r="R247" s="360"/>
      <c r="S247" s="360"/>
      <c r="T247" s="360"/>
      <c r="U247" s="360"/>
      <c r="V247" s="360"/>
      <c r="W247" s="360"/>
      <c r="X247" s="360"/>
      <c r="Y247" s="360"/>
      <c r="Z247" s="360"/>
      <c r="AA247" s="360"/>
      <c r="AB247" s="360"/>
      <c r="AC247" s="360"/>
      <c r="AD247" s="360"/>
      <c r="AE247" s="360"/>
      <c r="AF247" s="360"/>
      <c r="AG247" s="360"/>
      <c r="AH247" s="360"/>
      <c r="AI247" s="230" t="s">
        <v>727</v>
      </c>
      <c r="AJ247" s="231">
        <f>SUM(AJ195:AJ246)*1.1</f>
        <v>220.05225000000004</v>
      </c>
    </row>
    <row r="248" spans="1:36" ht="36" x14ac:dyDescent="0.2">
      <c r="A248" s="9" t="s">
        <v>75</v>
      </c>
      <c r="B248" s="11" t="s">
        <v>46</v>
      </c>
      <c r="C248" s="10" t="s">
        <v>47</v>
      </c>
      <c r="D248" s="335"/>
      <c r="E248" s="336"/>
      <c r="F248" s="336"/>
      <c r="G248" s="336"/>
      <c r="H248" s="336"/>
      <c r="I248" s="336"/>
      <c r="J248" s="336"/>
      <c r="K248" s="336"/>
      <c r="L248" s="336"/>
      <c r="M248" s="336"/>
      <c r="N248" s="336"/>
      <c r="O248" s="336"/>
      <c r="P248" s="336"/>
      <c r="Q248" s="336"/>
      <c r="R248" s="336"/>
      <c r="S248" s="336"/>
      <c r="T248" s="336"/>
      <c r="U248" s="336"/>
      <c r="V248" s="336"/>
      <c r="W248" s="336"/>
      <c r="X248" s="336"/>
      <c r="Y248" s="336"/>
      <c r="Z248" s="336"/>
      <c r="AA248" s="336"/>
      <c r="AB248" s="336"/>
      <c r="AC248" s="336"/>
      <c r="AD248" s="336"/>
      <c r="AE248" s="336"/>
      <c r="AF248" s="336"/>
      <c r="AG248" s="336"/>
      <c r="AH248" s="336"/>
      <c r="AI248" s="337"/>
      <c r="AJ248" s="11" t="s">
        <v>29</v>
      </c>
    </row>
    <row r="249" spans="1:36" x14ac:dyDescent="0.2">
      <c r="A249" s="9"/>
      <c r="B249" s="11"/>
      <c r="C249" s="154" t="s">
        <v>990</v>
      </c>
      <c r="D249" s="155">
        <v>5.0819999999999999</v>
      </c>
      <c r="E249" s="155" t="s">
        <v>764</v>
      </c>
      <c r="F249" s="155">
        <v>2.246</v>
      </c>
      <c r="G249" s="155" t="s">
        <v>764</v>
      </c>
      <c r="H249" s="155">
        <v>2.2989999999999999</v>
      </c>
      <c r="I249" s="155" t="s">
        <v>764</v>
      </c>
      <c r="J249" s="155">
        <v>4.641</v>
      </c>
      <c r="K249" s="155" t="s">
        <v>764</v>
      </c>
      <c r="L249" s="155">
        <v>2.1970000000000001</v>
      </c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51"/>
      <c r="AF249" s="155">
        <v>0.15</v>
      </c>
      <c r="AG249" s="155" t="s">
        <v>745</v>
      </c>
      <c r="AH249" s="155">
        <v>0.3</v>
      </c>
      <c r="AI249" s="158" t="s">
        <v>727</v>
      </c>
      <c r="AJ249" s="157">
        <f>(D249+F249+H249+J249+L249+N249)*AH249*AF249</f>
        <v>0.74092499999999994</v>
      </c>
    </row>
    <row r="250" spans="1:36" x14ac:dyDescent="0.2">
      <c r="A250" s="9"/>
      <c r="B250" s="11"/>
      <c r="C250" s="154" t="s">
        <v>991</v>
      </c>
      <c r="D250" s="155">
        <v>2.9340000000000002</v>
      </c>
      <c r="E250" s="155" t="s">
        <v>764</v>
      </c>
      <c r="F250" s="155"/>
      <c r="G250" s="155" t="s">
        <v>764</v>
      </c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51"/>
      <c r="AF250" s="155">
        <v>0.15</v>
      </c>
      <c r="AG250" s="155" t="s">
        <v>745</v>
      </c>
      <c r="AH250" s="155">
        <v>0.3</v>
      </c>
      <c r="AI250" s="158" t="s">
        <v>727</v>
      </c>
      <c r="AJ250" s="157">
        <f t="shared" ref="AJ250:AJ300" si="10">(D250+F250+H250+J250+L250+N250)*AH250*AF250</f>
        <v>0.13202999999999998</v>
      </c>
    </row>
    <row r="251" spans="1:36" x14ac:dyDescent="0.2">
      <c r="A251" s="9"/>
      <c r="B251" s="11"/>
      <c r="C251" s="154" t="s">
        <v>992</v>
      </c>
      <c r="D251" s="155">
        <v>3.657</v>
      </c>
      <c r="E251" s="155" t="s">
        <v>764</v>
      </c>
      <c r="F251" s="155"/>
      <c r="G251" s="155" t="s">
        <v>764</v>
      </c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51"/>
      <c r="AF251" s="155">
        <v>0.15</v>
      </c>
      <c r="AG251" s="155" t="s">
        <v>745</v>
      </c>
      <c r="AH251" s="155">
        <v>0.3</v>
      </c>
      <c r="AI251" s="158" t="s">
        <v>727</v>
      </c>
      <c r="AJ251" s="157">
        <f t="shared" si="10"/>
        <v>0.16456499999999999</v>
      </c>
    </row>
    <row r="252" spans="1:36" x14ac:dyDescent="0.2">
      <c r="A252" s="9"/>
      <c r="B252" s="11"/>
      <c r="C252" s="154" t="s">
        <v>993</v>
      </c>
      <c r="D252" s="155">
        <v>4.5279999999999996</v>
      </c>
      <c r="E252" s="155" t="s">
        <v>764</v>
      </c>
      <c r="F252" s="155">
        <v>3.9119999999999999</v>
      </c>
      <c r="G252" s="155" t="s">
        <v>764</v>
      </c>
      <c r="H252" s="155">
        <v>1.5369999999999999</v>
      </c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51"/>
      <c r="AF252" s="155">
        <v>0.15</v>
      </c>
      <c r="AG252" s="155" t="s">
        <v>745</v>
      </c>
      <c r="AH252" s="155">
        <v>0.3</v>
      </c>
      <c r="AI252" s="158" t="s">
        <v>727</v>
      </c>
      <c r="AJ252" s="157">
        <f t="shared" si="10"/>
        <v>0.448965</v>
      </c>
    </row>
    <row r="253" spans="1:36" x14ac:dyDescent="0.2">
      <c r="A253" s="9"/>
      <c r="B253" s="11"/>
      <c r="C253" s="154" t="s">
        <v>994</v>
      </c>
      <c r="D253" s="155">
        <v>4.641</v>
      </c>
      <c r="E253" s="155" t="s">
        <v>764</v>
      </c>
      <c r="F253" s="155">
        <v>2.1970000000000001</v>
      </c>
      <c r="G253" s="155" t="s">
        <v>764</v>
      </c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51"/>
      <c r="AF253" s="155">
        <v>0.15</v>
      </c>
      <c r="AG253" s="155" t="s">
        <v>745</v>
      </c>
      <c r="AH253" s="155">
        <v>0.3</v>
      </c>
      <c r="AI253" s="158" t="s">
        <v>727</v>
      </c>
      <c r="AJ253" s="157">
        <f t="shared" si="10"/>
        <v>0.30770999999999998</v>
      </c>
    </row>
    <row r="254" spans="1:36" x14ac:dyDescent="0.2">
      <c r="A254" s="9"/>
      <c r="B254" s="11"/>
      <c r="C254" s="154" t="s">
        <v>995</v>
      </c>
      <c r="D254" s="155">
        <v>2.9340000000000002</v>
      </c>
      <c r="E254" s="155" t="s">
        <v>764</v>
      </c>
      <c r="F254" s="155"/>
      <c r="G254" s="155" t="s">
        <v>764</v>
      </c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51"/>
      <c r="AF254" s="155">
        <v>0.15</v>
      </c>
      <c r="AG254" s="155" t="s">
        <v>745</v>
      </c>
      <c r="AH254" s="155">
        <v>0.3</v>
      </c>
      <c r="AI254" s="158" t="s">
        <v>727</v>
      </c>
      <c r="AJ254" s="157">
        <f t="shared" si="10"/>
        <v>0.13202999999999998</v>
      </c>
    </row>
    <row r="255" spans="1:36" x14ac:dyDescent="0.2">
      <c r="A255" s="9"/>
      <c r="B255" s="11"/>
      <c r="C255" s="154" t="s">
        <v>996</v>
      </c>
      <c r="D255" s="155">
        <v>3.8069999999999999</v>
      </c>
      <c r="E255" s="155" t="s">
        <v>764</v>
      </c>
      <c r="F255" s="155"/>
      <c r="G255" s="155" t="s">
        <v>764</v>
      </c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51"/>
      <c r="AF255" s="155">
        <v>0.15</v>
      </c>
      <c r="AG255" s="155" t="s">
        <v>745</v>
      </c>
      <c r="AH255" s="155">
        <v>0.3</v>
      </c>
      <c r="AI255" s="158" t="s">
        <v>727</v>
      </c>
      <c r="AJ255" s="157">
        <f t="shared" si="10"/>
        <v>0.17131499999999997</v>
      </c>
    </row>
    <row r="256" spans="1:36" x14ac:dyDescent="0.2">
      <c r="A256" s="9"/>
      <c r="B256" s="11"/>
      <c r="C256" s="154" t="s">
        <v>997</v>
      </c>
      <c r="D256" s="155">
        <v>4.5529999999999999</v>
      </c>
      <c r="E256" s="155" t="s">
        <v>764</v>
      </c>
      <c r="F256" s="155">
        <v>3.9620000000000002</v>
      </c>
      <c r="G256" s="155" t="s">
        <v>764</v>
      </c>
      <c r="H256" s="155">
        <v>1.712</v>
      </c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51"/>
      <c r="AF256" s="155">
        <v>0.15</v>
      </c>
      <c r="AG256" s="155" t="s">
        <v>745</v>
      </c>
      <c r="AH256" s="155">
        <v>0.3</v>
      </c>
      <c r="AI256" s="158" t="s">
        <v>727</v>
      </c>
      <c r="AJ256" s="157">
        <f t="shared" si="10"/>
        <v>0.46021499999999993</v>
      </c>
    </row>
    <row r="257" spans="1:36" x14ac:dyDescent="0.2">
      <c r="A257" s="9"/>
      <c r="B257" s="11"/>
      <c r="C257" s="154" t="s">
        <v>998</v>
      </c>
      <c r="D257" s="155">
        <v>5.157</v>
      </c>
      <c r="E257" s="155" t="s">
        <v>764</v>
      </c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51"/>
      <c r="AF257" s="155">
        <v>0.15</v>
      </c>
      <c r="AG257" s="155" t="s">
        <v>745</v>
      </c>
      <c r="AH257" s="155">
        <v>0.3</v>
      </c>
      <c r="AI257" s="158" t="s">
        <v>727</v>
      </c>
      <c r="AJ257" s="157">
        <f t="shared" si="10"/>
        <v>0.23206499999999997</v>
      </c>
    </row>
    <row r="258" spans="1:36" x14ac:dyDescent="0.2">
      <c r="A258" s="9"/>
      <c r="B258" s="11"/>
      <c r="C258" s="154" t="s">
        <v>999</v>
      </c>
      <c r="D258" s="155">
        <v>0</v>
      </c>
      <c r="E258" s="155" t="s">
        <v>764</v>
      </c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51"/>
      <c r="AF258" s="155">
        <v>0.15</v>
      </c>
      <c r="AG258" s="155" t="s">
        <v>745</v>
      </c>
      <c r="AH258" s="155">
        <v>0.3</v>
      </c>
      <c r="AI258" s="158" t="s">
        <v>727</v>
      </c>
      <c r="AJ258" s="157">
        <f t="shared" si="10"/>
        <v>0</v>
      </c>
    </row>
    <row r="259" spans="1:36" x14ac:dyDescent="0.2">
      <c r="A259" s="9"/>
      <c r="B259" s="11"/>
      <c r="C259" s="154" t="s">
        <v>1000</v>
      </c>
      <c r="D259" s="155">
        <v>2.3239999999999998</v>
      </c>
      <c r="E259" s="155" t="s">
        <v>764</v>
      </c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51"/>
      <c r="AF259" s="155">
        <v>0.15</v>
      </c>
      <c r="AG259" s="155" t="s">
        <v>745</v>
      </c>
      <c r="AH259" s="155">
        <v>0.3</v>
      </c>
      <c r="AI259" s="158" t="s">
        <v>727</v>
      </c>
      <c r="AJ259" s="157">
        <f t="shared" si="10"/>
        <v>0.10457999999999999</v>
      </c>
    </row>
    <row r="260" spans="1:36" x14ac:dyDescent="0.2">
      <c r="A260" s="9"/>
      <c r="B260" s="11"/>
      <c r="C260" s="154" t="s">
        <v>1001</v>
      </c>
      <c r="D260" s="155">
        <v>2.2949999999999999</v>
      </c>
      <c r="E260" s="155" t="s">
        <v>764</v>
      </c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51"/>
      <c r="AF260" s="155">
        <v>0.15</v>
      </c>
      <c r="AG260" s="155" t="s">
        <v>745</v>
      </c>
      <c r="AH260" s="155">
        <v>0.3</v>
      </c>
      <c r="AI260" s="158" t="s">
        <v>727</v>
      </c>
      <c r="AJ260" s="157">
        <f t="shared" si="10"/>
        <v>0.10327499999999999</v>
      </c>
    </row>
    <row r="261" spans="1:36" x14ac:dyDescent="0.2">
      <c r="A261" s="9"/>
      <c r="B261" s="11"/>
      <c r="C261" s="154" t="s">
        <v>1002</v>
      </c>
      <c r="D261" s="155">
        <v>0.92200000000000004</v>
      </c>
      <c r="E261" s="155" t="s">
        <v>764</v>
      </c>
      <c r="F261" s="155">
        <v>2.74</v>
      </c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51"/>
      <c r="AF261" s="155">
        <v>0.15</v>
      </c>
      <c r="AG261" s="155" t="s">
        <v>745</v>
      </c>
      <c r="AH261" s="155">
        <v>0.3</v>
      </c>
      <c r="AI261" s="158" t="s">
        <v>727</v>
      </c>
      <c r="AJ261" s="157">
        <f t="shared" si="10"/>
        <v>0.16478999999999999</v>
      </c>
    </row>
    <row r="262" spans="1:36" x14ac:dyDescent="0.2">
      <c r="A262" s="9"/>
      <c r="B262" s="11"/>
      <c r="C262" s="154" t="s">
        <v>1003</v>
      </c>
      <c r="D262" s="155">
        <v>4.55</v>
      </c>
      <c r="E262" s="155" t="s">
        <v>764</v>
      </c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51"/>
      <c r="AF262" s="155">
        <v>0.15</v>
      </c>
      <c r="AG262" s="155" t="s">
        <v>745</v>
      </c>
      <c r="AH262" s="155">
        <v>0.3</v>
      </c>
      <c r="AI262" s="158" t="s">
        <v>727</v>
      </c>
      <c r="AJ262" s="157">
        <f t="shared" si="10"/>
        <v>0.20474999999999999</v>
      </c>
    </row>
    <row r="263" spans="1:36" x14ac:dyDescent="0.2">
      <c r="A263" s="9"/>
      <c r="B263" s="11"/>
      <c r="C263" s="154" t="s">
        <v>1004</v>
      </c>
      <c r="D263" s="155">
        <v>3.9620000000000002</v>
      </c>
      <c r="E263" s="155" t="s">
        <v>764</v>
      </c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51"/>
      <c r="AF263" s="155">
        <v>0.15</v>
      </c>
      <c r="AG263" s="155" t="s">
        <v>745</v>
      </c>
      <c r="AH263" s="155">
        <v>0.3</v>
      </c>
      <c r="AI263" s="158" t="s">
        <v>727</v>
      </c>
      <c r="AJ263" s="157">
        <f t="shared" si="10"/>
        <v>0.17829</v>
      </c>
    </row>
    <row r="264" spans="1:36" x14ac:dyDescent="0.2">
      <c r="A264" s="9"/>
      <c r="B264" s="11"/>
      <c r="C264" s="154" t="s">
        <v>1005</v>
      </c>
      <c r="D264" s="155">
        <v>3.371</v>
      </c>
      <c r="E264" s="155" t="s">
        <v>764</v>
      </c>
      <c r="F264" s="155">
        <v>3.9620000000000002</v>
      </c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51"/>
      <c r="AF264" s="155">
        <v>0.15</v>
      </c>
      <c r="AG264" s="155" t="s">
        <v>745</v>
      </c>
      <c r="AH264" s="155">
        <v>0.3</v>
      </c>
      <c r="AI264" s="158" t="s">
        <v>727</v>
      </c>
      <c r="AJ264" s="157">
        <f t="shared" si="10"/>
        <v>0.32998499999999997</v>
      </c>
    </row>
    <row r="265" spans="1:36" x14ac:dyDescent="0.2">
      <c r="A265" s="9"/>
      <c r="B265" s="11"/>
      <c r="C265" s="154" t="s">
        <v>1006</v>
      </c>
      <c r="D265" s="155">
        <v>4.2969999999999997</v>
      </c>
      <c r="E265" s="155" t="s">
        <v>764</v>
      </c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51"/>
      <c r="AF265" s="155">
        <v>0.15</v>
      </c>
      <c r="AG265" s="155" t="s">
        <v>745</v>
      </c>
      <c r="AH265" s="155">
        <v>0.3</v>
      </c>
      <c r="AI265" s="158" t="s">
        <v>727</v>
      </c>
      <c r="AJ265" s="157">
        <f t="shared" si="10"/>
        <v>0.19336499999999998</v>
      </c>
    </row>
    <row r="266" spans="1:36" x14ac:dyDescent="0.2">
      <c r="A266" s="9"/>
      <c r="B266" s="11"/>
      <c r="C266" s="154" t="s">
        <v>1007</v>
      </c>
      <c r="D266" s="155">
        <v>4.8</v>
      </c>
      <c r="E266" s="155" t="s">
        <v>764</v>
      </c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51"/>
      <c r="AF266" s="155">
        <v>0.15</v>
      </c>
      <c r="AG266" s="155" t="s">
        <v>745</v>
      </c>
      <c r="AH266" s="155">
        <v>0.3</v>
      </c>
      <c r="AI266" s="158" t="s">
        <v>727</v>
      </c>
      <c r="AJ266" s="157">
        <f t="shared" si="10"/>
        <v>0.216</v>
      </c>
    </row>
    <row r="267" spans="1:36" x14ac:dyDescent="0.2">
      <c r="A267" s="9"/>
      <c r="B267" s="11"/>
      <c r="C267" s="154" t="s">
        <v>1008</v>
      </c>
      <c r="D267" s="155">
        <v>0.77200000000000002</v>
      </c>
      <c r="E267" s="155" t="s">
        <v>764</v>
      </c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51"/>
      <c r="AF267" s="155">
        <v>0.15</v>
      </c>
      <c r="AG267" s="155" t="s">
        <v>745</v>
      </c>
      <c r="AH267" s="155">
        <v>0.3</v>
      </c>
      <c r="AI267" s="158" t="s">
        <v>727</v>
      </c>
      <c r="AJ267" s="157">
        <f t="shared" si="10"/>
        <v>3.474E-2</v>
      </c>
    </row>
    <row r="268" spans="1:36" x14ac:dyDescent="0.2">
      <c r="A268" s="9"/>
      <c r="B268" s="11"/>
      <c r="C268" s="154" t="s">
        <v>1009</v>
      </c>
      <c r="D268" s="155">
        <v>2.1219999999999999</v>
      </c>
      <c r="E268" s="155" t="s">
        <v>764</v>
      </c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51"/>
      <c r="AF268" s="155">
        <v>0.15</v>
      </c>
      <c r="AG268" s="155" t="s">
        <v>745</v>
      </c>
      <c r="AH268" s="155">
        <v>0.3</v>
      </c>
      <c r="AI268" s="158" t="s">
        <v>727</v>
      </c>
      <c r="AJ268" s="157">
        <f t="shared" si="10"/>
        <v>9.5489999999999992E-2</v>
      </c>
    </row>
    <row r="269" spans="1:36" x14ac:dyDescent="0.2">
      <c r="A269" s="9"/>
      <c r="B269" s="11"/>
      <c r="C269" s="154" t="s">
        <v>1010</v>
      </c>
      <c r="D269" s="155">
        <v>6.8959999999999999</v>
      </c>
      <c r="E269" s="155" t="s">
        <v>764</v>
      </c>
      <c r="F269" s="155">
        <v>4.55</v>
      </c>
      <c r="G269" s="155" t="s">
        <v>764</v>
      </c>
      <c r="H269" s="155">
        <v>3.9620000000000002</v>
      </c>
      <c r="I269" s="155" t="s">
        <v>764</v>
      </c>
      <c r="J269" s="155">
        <v>3.371</v>
      </c>
      <c r="K269" s="155" t="s">
        <v>764</v>
      </c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51"/>
      <c r="AF269" s="155">
        <v>0.15</v>
      </c>
      <c r="AG269" s="155" t="s">
        <v>745</v>
      </c>
      <c r="AH269" s="155">
        <v>0.3</v>
      </c>
      <c r="AI269" s="158" t="s">
        <v>727</v>
      </c>
      <c r="AJ269" s="157">
        <f t="shared" si="10"/>
        <v>0.845055</v>
      </c>
    </row>
    <row r="270" spans="1:36" x14ac:dyDescent="0.2">
      <c r="A270" s="9"/>
      <c r="B270" s="11"/>
      <c r="C270" s="154" t="s">
        <v>1011</v>
      </c>
      <c r="D270" s="155">
        <v>4.55</v>
      </c>
      <c r="E270" s="155" t="s">
        <v>764</v>
      </c>
      <c r="F270" s="155">
        <v>3.9620000000000002</v>
      </c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51"/>
      <c r="AF270" s="155">
        <v>0.15</v>
      </c>
      <c r="AG270" s="155" t="s">
        <v>745</v>
      </c>
      <c r="AH270" s="155">
        <v>0.3</v>
      </c>
      <c r="AI270" s="158" t="s">
        <v>727</v>
      </c>
      <c r="AJ270" s="157">
        <f t="shared" si="10"/>
        <v>0.38303999999999999</v>
      </c>
    </row>
    <row r="271" spans="1:36" x14ac:dyDescent="0.2">
      <c r="A271" s="9"/>
      <c r="B271" s="11"/>
      <c r="C271" s="154" t="s">
        <v>1012</v>
      </c>
      <c r="D271" s="155">
        <v>4.1870000000000003</v>
      </c>
      <c r="E271" s="155" t="s">
        <v>764</v>
      </c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51"/>
      <c r="AF271" s="155">
        <v>0.15</v>
      </c>
      <c r="AG271" s="155" t="s">
        <v>745</v>
      </c>
      <c r="AH271" s="155">
        <v>0.3</v>
      </c>
      <c r="AI271" s="158" t="s">
        <v>727</v>
      </c>
      <c r="AJ271" s="157">
        <f t="shared" si="10"/>
        <v>0.188415</v>
      </c>
    </row>
    <row r="272" spans="1:36" x14ac:dyDescent="0.2">
      <c r="A272" s="9"/>
      <c r="B272" s="11"/>
      <c r="C272" s="154" t="s">
        <v>1013</v>
      </c>
      <c r="D272" s="155">
        <v>2.7679999999999998</v>
      </c>
      <c r="E272" s="155" t="s">
        <v>764</v>
      </c>
      <c r="F272" s="155">
        <v>1.2490000000000001</v>
      </c>
      <c r="G272" s="155" t="s">
        <v>764</v>
      </c>
      <c r="H272" s="155">
        <v>2.5590000000000002</v>
      </c>
      <c r="I272" s="155" t="s">
        <v>764</v>
      </c>
      <c r="J272" s="155">
        <v>4.5590000000000002</v>
      </c>
      <c r="K272" s="155" t="s">
        <v>764</v>
      </c>
      <c r="L272" s="155">
        <v>3.9620000000000002</v>
      </c>
      <c r="M272" s="155" t="s">
        <v>764</v>
      </c>
      <c r="N272" s="155">
        <v>3.371</v>
      </c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51"/>
      <c r="AF272" s="155">
        <v>0.15</v>
      </c>
      <c r="AG272" s="155" t="s">
        <v>745</v>
      </c>
      <c r="AH272" s="155">
        <v>0.3</v>
      </c>
      <c r="AI272" s="158" t="s">
        <v>727</v>
      </c>
      <c r="AJ272" s="157">
        <f t="shared" si="10"/>
        <v>0.83106000000000002</v>
      </c>
    </row>
    <row r="273" spans="1:36" x14ac:dyDescent="0.2">
      <c r="A273" s="9"/>
      <c r="B273" s="11"/>
      <c r="C273" s="154" t="s">
        <v>1014</v>
      </c>
      <c r="D273" s="155">
        <v>2.9169999999999998</v>
      </c>
      <c r="E273" s="155" t="s">
        <v>764</v>
      </c>
      <c r="F273" s="155">
        <v>5.1829999999999998</v>
      </c>
      <c r="G273" s="155" t="s">
        <v>764</v>
      </c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51"/>
      <c r="AF273" s="155">
        <v>0.15</v>
      </c>
      <c r="AG273" s="155" t="s">
        <v>745</v>
      </c>
      <c r="AH273" s="155">
        <v>0.3</v>
      </c>
      <c r="AI273" s="158" t="s">
        <v>727</v>
      </c>
      <c r="AJ273" s="157">
        <f t="shared" si="10"/>
        <v>0.36449999999999994</v>
      </c>
    </row>
    <row r="274" spans="1:36" x14ac:dyDescent="0.2">
      <c r="A274" s="9"/>
      <c r="B274" s="11"/>
      <c r="C274" s="154" t="s">
        <v>1015</v>
      </c>
      <c r="D274" s="155">
        <v>1.5149999999999999</v>
      </c>
      <c r="E274" s="155" t="s">
        <v>764</v>
      </c>
      <c r="F274" s="155">
        <v>2.629</v>
      </c>
      <c r="G274" s="155" t="s">
        <v>764</v>
      </c>
      <c r="H274" s="155">
        <v>2.206</v>
      </c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51"/>
      <c r="AF274" s="155">
        <v>0.15</v>
      </c>
      <c r="AG274" s="155" t="s">
        <v>745</v>
      </c>
      <c r="AH274" s="155">
        <v>0.3</v>
      </c>
      <c r="AI274" s="158" t="s">
        <v>727</v>
      </c>
      <c r="AJ274" s="157">
        <f t="shared" si="10"/>
        <v>0.28574999999999995</v>
      </c>
    </row>
    <row r="275" spans="1:36" x14ac:dyDescent="0.2">
      <c r="A275" s="9"/>
      <c r="B275" s="11"/>
      <c r="C275" s="154" t="s">
        <v>1016</v>
      </c>
      <c r="D275" s="155">
        <v>1.915</v>
      </c>
      <c r="E275" s="155" t="s">
        <v>764</v>
      </c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51"/>
      <c r="AF275" s="155">
        <v>0.15</v>
      </c>
      <c r="AG275" s="155" t="s">
        <v>745</v>
      </c>
      <c r="AH275" s="155">
        <v>0.3</v>
      </c>
      <c r="AI275" s="158" t="s">
        <v>727</v>
      </c>
      <c r="AJ275" s="157">
        <f t="shared" si="10"/>
        <v>8.6175000000000002E-2</v>
      </c>
    </row>
    <row r="276" spans="1:36" x14ac:dyDescent="0.2">
      <c r="A276" s="9"/>
      <c r="B276" s="11"/>
      <c r="C276" s="154" t="s">
        <v>1017</v>
      </c>
      <c r="D276" s="155">
        <v>2.1789999999999998</v>
      </c>
      <c r="E276" s="155" t="s">
        <v>764</v>
      </c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51"/>
      <c r="AF276" s="155">
        <v>0.15</v>
      </c>
      <c r="AG276" s="155" t="s">
        <v>745</v>
      </c>
      <c r="AH276" s="155">
        <v>0.3</v>
      </c>
      <c r="AI276" s="158" t="s">
        <v>727</v>
      </c>
      <c r="AJ276" s="157">
        <f t="shared" si="10"/>
        <v>9.8054999999999989E-2</v>
      </c>
    </row>
    <row r="277" spans="1:36" x14ac:dyDescent="0.2">
      <c r="A277" s="9"/>
      <c r="B277" s="11"/>
      <c r="C277" s="154" t="s">
        <v>1018</v>
      </c>
      <c r="D277" s="155">
        <v>1.5149999999999999</v>
      </c>
      <c r="E277" s="155" t="s">
        <v>764</v>
      </c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51"/>
      <c r="AF277" s="155">
        <v>0.15</v>
      </c>
      <c r="AG277" s="155" t="s">
        <v>745</v>
      </c>
      <c r="AH277" s="155">
        <v>0.3</v>
      </c>
      <c r="AI277" s="158" t="s">
        <v>727</v>
      </c>
      <c r="AJ277" s="157">
        <f t="shared" si="10"/>
        <v>6.8174999999999986E-2</v>
      </c>
    </row>
    <row r="278" spans="1:36" x14ac:dyDescent="0.2">
      <c r="A278" s="9"/>
      <c r="B278" s="11"/>
      <c r="C278" s="154" t="s">
        <v>1019</v>
      </c>
      <c r="D278" s="155">
        <v>1.915</v>
      </c>
      <c r="E278" s="155" t="s">
        <v>764</v>
      </c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51"/>
      <c r="AF278" s="155">
        <v>0.15</v>
      </c>
      <c r="AG278" s="155" t="s">
        <v>745</v>
      </c>
      <c r="AH278" s="155">
        <v>0.3</v>
      </c>
      <c r="AI278" s="158" t="s">
        <v>727</v>
      </c>
      <c r="AJ278" s="157">
        <f t="shared" si="10"/>
        <v>8.6175000000000002E-2</v>
      </c>
    </row>
    <row r="279" spans="1:36" x14ac:dyDescent="0.2">
      <c r="A279" s="9"/>
      <c r="B279" s="11"/>
      <c r="C279" s="154" t="s">
        <v>1020</v>
      </c>
      <c r="D279" s="155">
        <v>1.5149999999999999</v>
      </c>
      <c r="E279" s="155" t="s">
        <v>764</v>
      </c>
      <c r="F279" s="155">
        <v>2.7789999999999999</v>
      </c>
      <c r="G279" s="155" t="s">
        <v>764</v>
      </c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51"/>
      <c r="AF279" s="155">
        <v>0.15</v>
      </c>
      <c r="AG279" s="155" t="s">
        <v>745</v>
      </c>
      <c r="AH279" s="155">
        <v>0.3</v>
      </c>
      <c r="AI279" s="158" t="s">
        <v>727</v>
      </c>
      <c r="AJ279" s="157">
        <f t="shared" si="10"/>
        <v>0.19322999999999996</v>
      </c>
    </row>
    <row r="280" spans="1:36" x14ac:dyDescent="0.2">
      <c r="A280" s="9"/>
      <c r="B280" s="11"/>
      <c r="C280" s="154" t="s">
        <v>1021</v>
      </c>
      <c r="D280" s="155">
        <v>2.1789999999999998</v>
      </c>
      <c r="E280" s="155" t="s">
        <v>764</v>
      </c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51"/>
      <c r="AF280" s="155">
        <v>0.15</v>
      </c>
      <c r="AG280" s="155" t="s">
        <v>745</v>
      </c>
      <c r="AH280" s="155">
        <v>0.3</v>
      </c>
      <c r="AI280" s="158" t="s">
        <v>727</v>
      </c>
      <c r="AJ280" s="157">
        <f t="shared" si="10"/>
        <v>9.8054999999999989E-2</v>
      </c>
    </row>
    <row r="281" spans="1:36" x14ac:dyDescent="0.2">
      <c r="A281" s="9"/>
      <c r="B281" s="11"/>
      <c r="C281" s="154" t="s">
        <v>1022</v>
      </c>
      <c r="D281" s="155">
        <f>2.788-0.15</f>
        <v>2.6379999999999999</v>
      </c>
      <c r="E281" s="155" t="s">
        <v>764</v>
      </c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51"/>
      <c r="AF281" s="155">
        <v>0.15</v>
      </c>
      <c r="AG281" s="155" t="s">
        <v>745</v>
      </c>
      <c r="AH281" s="155">
        <v>0.3</v>
      </c>
      <c r="AI281" s="158" t="s">
        <v>727</v>
      </c>
      <c r="AJ281" s="157">
        <f t="shared" si="10"/>
        <v>0.11871</v>
      </c>
    </row>
    <row r="282" spans="1:36" x14ac:dyDescent="0.2">
      <c r="A282" s="9"/>
      <c r="B282" s="11"/>
      <c r="C282" s="154" t="s">
        <v>1023</v>
      </c>
      <c r="D282" s="155">
        <v>1.6060000000000001</v>
      </c>
      <c r="E282" s="155" t="s">
        <v>764</v>
      </c>
      <c r="F282" s="155"/>
      <c r="G282" s="155"/>
      <c r="H282" s="155"/>
      <c r="I282" s="177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51"/>
      <c r="AF282" s="155">
        <v>0.15</v>
      </c>
      <c r="AG282" s="155" t="s">
        <v>745</v>
      </c>
      <c r="AH282" s="155">
        <v>0.3</v>
      </c>
      <c r="AI282" s="158" t="s">
        <v>727</v>
      </c>
      <c r="AJ282" s="157">
        <f t="shared" si="10"/>
        <v>7.2270000000000001E-2</v>
      </c>
    </row>
    <row r="283" spans="1:36" x14ac:dyDescent="0.2">
      <c r="A283" s="9"/>
      <c r="B283" s="11"/>
      <c r="C283" s="154" t="s">
        <v>1024</v>
      </c>
      <c r="D283" s="155">
        <v>1.615</v>
      </c>
      <c r="E283" s="155" t="s">
        <v>764</v>
      </c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51"/>
      <c r="AF283" s="155">
        <v>0.15</v>
      </c>
      <c r="AG283" s="155" t="s">
        <v>745</v>
      </c>
      <c r="AH283" s="155">
        <v>0.3</v>
      </c>
      <c r="AI283" s="158" t="s">
        <v>727</v>
      </c>
      <c r="AJ283" s="157">
        <f t="shared" si="10"/>
        <v>7.267499999999999E-2</v>
      </c>
    </row>
    <row r="284" spans="1:36" x14ac:dyDescent="0.2">
      <c r="A284" s="9"/>
      <c r="B284" s="11"/>
      <c r="C284" s="154" t="s">
        <v>1025</v>
      </c>
      <c r="D284" s="155">
        <v>2.7709999999999999</v>
      </c>
      <c r="E284" s="155" t="s">
        <v>764</v>
      </c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51"/>
      <c r="AF284" s="155">
        <v>0.15</v>
      </c>
      <c r="AG284" s="155" t="s">
        <v>745</v>
      </c>
      <c r="AH284" s="155">
        <v>0.3</v>
      </c>
      <c r="AI284" s="158" t="s">
        <v>727</v>
      </c>
      <c r="AJ284" s="157">
        <f t="shared" si="10"/>
        <v>0.12469499999999999</v>
      </c>
    </row>
    <row r="285" spans="1:36" x14ac:dyDescent="0.2">
      <c r="A285" s="9"/>
      <c r="B285" s="11"/>
      <c r="C285" s="154" t="s">
        <v>1026</v>
      </c>
      <c r="D285" s="155">
        <v>2.2149999999999999</v>
      </c>
      <c r="E285" s="155" t="s">
        <v>764</v>
      </c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51"/>
      <c r="AF285" s="155">
        <v>0.15</v>
      </c>
      <c r="AG285" s="155" t="s">
        <v>745</v>
      </c>
      <c r="AH285" s="155">
        <v>0.3</v>
      </c>
      <c r="AI285" s="158" t="s">
        <v>727</v>
      </c>
      <c r="AJ285" s="157">
        <f t="shared" si="10"/>
        <v>9.9675E-2</v>
      </c>
    </row>
    <row r="286" spans="1:36" x14ac:dyDescent="0.2">
      <c r="A286" s="9"/>
      <c r="B286" s="11"/>
      <c r="C286" s="154" t="s">
        <v>1027</v>
      </c>
      <c r="D286" s="155">
        <v>2.7879999999999998</v>
      </c>
      <c r="E286" s="155" t="s">
        <v>764</v>
      </c>
      <c r="F286" s="155">
        <v>1.6060000000000001</v>
      </c>
      <c r="G286" s="155" t="s">
        <v>764</v>
      </c>
      <c r="H286" s="155">
        <v>1.615</v>
      </c>
      <c r="I286" s="155" t="s">
        <v>764</v>
      </c>
      <c r="J286" s="155">
        <v>2.7709999999999999</v>
      </c>
      <c r="K286" s="155" t="s">
        <v>764</v>
      </c>
      <c r="L286" s="155">
        <v>2.2149999999999999</v>
      </c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51"/>
      <c r="AF286" s="155">
        <v>0.15</v>
      </c>
      <c r="AG286" s="155" t="s">
        <v>745</v>
      </c>
      <c r="AH286" s="155">
        <v>0.3</v>
      </c>
      <c r="AI286" s="158" t="s">
        <v>727</v>
      </c>
      <c r="AJ286" s="157">
        <f t="shared" si="10"/>
        <v>0.49477500000000002</v>
      </c>
    </row>
    <row r="287" spans="1:36" x14ac:dyDescent="0.2">
      <c r="A287" s="9"/>
      <c r="B287" s="11"/>
      <c r="C287" s="154" t="s">
        <v>1028</v>
      </c>
      <c r="D287" s="155">
        <v>2.7879999999999998</v>
      </c>
      <c r="E287" s="155" t="s">
        <v>764</v>
      </c>
      <c r="F287" s="155">
        <v>1.6060000000000001</v>
      </c>
      <c r="G287" s="155" t="s">
        <v>764</v>
      </c>
      <c r="H287" s="155">
        <v>1.615</v>
      </c>
      <c r="I287" s="155" t="s">
        <v>764</v>
      </c>
      <c r="J287" s="155">
        <v>2.7709999999999999</v>
      </c>
      <c r="K287" s="155" t="s">
        <v>764</v>
      </c>
      <c r="L287" s="155">
        <v>2.2149999999999999</v>
      </c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51"/>
      <c r="AF287" s="155">
        <v>0.15</v>
      </c>
      <c r="AG287" s="155" t="s">
        <v>745</v>
      </c>
      <c r="AH287" s="155">
        <v>0.3</v>
      </c>
      <c r="AI287" s="158" t="s">
        <v>727</v>
      </c>
      <c r="AJ287" s="157">
        <f t="shared" si="10"/>
        <v>0.49477500000000002</v>
      </c>
    </row>
    <row r="288" spans="1:36" x14ac:dyDescent="0.2">
      <c r="A288" s="9"/>
      <c r="B288" s="11"/>
      <c r="C288" s="154" t="s">
        <v>1029</v>
      </c>
      <c r="D288" s="155">
        <v>2.2149999999999999</v>
      </c>
      <c r="E288" s="155" t="s">
        <v>764</v>
      </c>
      <c r="F288" s="155">
        <v>0.874</v>
      </c>
      <c r="G288" s="155" t="s">
        <v>764</v>
      </c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51"/>
      <c r="AF288" s="155">
        <v>0.15</v>
      </c>
      <c r="AG288" s="155" t="s">
        <v>745</v>
      </c>
      <c r="AH288" s="155">
        <v>0.3</v>
      </c>
      <c r="AI288" s="158" t="s">
        <v>727</v>
      </c>
      <c r="AJ288" s="157">
        <f t="shared" si="10"/>
        <v>0.13900499999999999</v>
      </c>
    </row>
    <row r="289" spans="1:36" x14ac:dyDescent="0.2">
      <c r="A289" s="9"/>
      <c r="B289" s="11"/>
      <c r="C289" s="154" t="s">
        <v>1030</v>
      </c>
      <c r="D289" s="155">
        <f>4.544-0.3</f>
        <v>4.2439999999999998</v>
      </c>
      <c r="E289" s="155" t="s">
        <v>764</v>
      </c>
      <c r="F289" s="155">
        <v>1.615</v>
      </c>
      <c r="G289" s="155" t="s">
        <v>764</v>
      </c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51"/>
      <c r="AF289" s="155">
        <v>0.15</v>
      </c>
      <c r="AG289" s="155" t="s">
        <v>745</v>
      </c>
      <c r="AH289" s="155">
        <v>0.3</v>
      </c>
      <c r="AI289" s="158" t="s">
        <v>727</v>
      </c>
      <c r="AJ289" s="157">
        <f t="shared" si="10"/>
        <v>0.26365499999999997</v>
      </c>
    </row>
    <row r="290" spans="1:36" x14ac:dyDescent="0.2">
      <c r="A290" s="9"/>
      <c r="B290" s="11"/>
      <c r="C290" s="154" t="s">
        <v>1031</v>
      </c>
      <c r="D290" s="155">
        <v>2.4529999999999998</v>
      </c>
      <c r="E290" s="155" t="s">
        <v>764</v>
      </c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51"/>
      <c r="AF290" s="155">
        <v>0.15</v>
      </c>
      <c r="AG290" s="155" t="s">
        <v>745</v>
      </c>
      <c r="AH290" s="155">
        <v>0.3</v>
      </c>
      <c r="AI290" s="158" t="s">
        <v>727</v>
      </c>
      <c r="AJ290" s="157">
        <f t="shared" si="10"/>
        <v>0.11038499999999998</v>
      </c>
    </row>
    <row r="291" spans="1:36" x14ac:dyDescent="0.2">
      <c r="A291" s="9"/>
      <c r="B291" s="11"/>
      <c r="C291" s="154" t="s">
        <v>1032</v>
      </c>
      <c r="D291" s="155">
        <f>6.309-0.3-0.3-0.3</f>
        <v>5.4090000000000007</v>
      </c>
      <c r="E291" s="155" t="s">
        <v>764</v>
      </c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51"/>
      <c r="AF291" s="155">
        <v>0.15</v>
      </c>
      <c r="AG291" s="155" t="s">
        <v>745</v>
      </c>
      <c r="AH291" s="155">
        <v>0.3</v>
      </c>
      <c r="AI291" s="158" t="s">
        <v>727</v>
      </c>
      <c r="AJ291" s="157">
        <f t="shared" si="10"/>
        <v>0.24340500000000004</v>
      </c>
    </row>
    <row r="292" spans="1:36" x14ac:dyDescent="0.2">
      <c r="A292" s="9"/>
      <c r="B292" s="11"/>
      <c r="C292" s="154" t="s">
        <v>1033</v>
      </c>
      <c r="D292" s="155">
        <v>2.4529999999999998</v>
      </c>
      <c r="E292" s="155" t="s">
        <v>764</v>
      </c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51"/>
      <c r="AF292" s="155">
        <v>0.15</v>
      </c>
      <c r="AG292" s="155" t="s">
        <v>745</v>
      </c>
      <c r="AH292" s="155">
        <v>0.3</v>
      </c>
      <c r="AI292" s="158" t="s">
        <v>727</v>
      </c>
      <c r="AJ292" s="157">
        <f t="shared" si="10"/>
        <v>0.11038499999999998</v>
      </c>
    </row>
    <row r="293" spans="1:36" x14ac:dyDescent="0.2">
      <c r="A293" s="9"/>
      <c r="B293" s="11"/>
      <c r="C293" s="154" t="s">
        <v>1034</v>
      </c>
      <c r="D293" s="155">
        <v>3.706</v>
      </c>
      <c r="E293" s="155" t="s">
        <v>764</v>
      </c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51"/>
      <c r="AF293" s="155">
        <v>0.15</v>
      </c>
      <c r="AG293" s="155" t="s">
        <v>745</v>
      </c>
      <c r="AH293" s="155">
        <v>0.3</v>
      </c>
      <c r="AI293" s="158" t="s">
        <v>727</v>
      </c>
      <c r="AJ293" s="157">
        <f t="shared" si="10"/>
        <v>0.16676999999999997</v>
      </c>
    </row>
    <row r="294" spans="1:36" x14ac:dyDescent="0.2">
      <c r="A294" s="9"/>
      <c r="B294" s="11"/>
      <c r="C294" s="154" t="s">
        <v>1035</v>
      </c>
      <c r="D294" s="155">
        <v>4.6760000000000002</v>
      </c>
      <c r="E294" s="155" t="s">
        <v>764</v>
      </c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51"/>
      <c r="AF294" s="155">
        <v>0.15</v>
      </c>
      <c r="AG294" s="155" t="s">
        <v>745</v>
      </c>
      <c r="AH294" s="155">
        <v>0.3</v>
      </c>
      <c r="AI294" s="158" t="s">
        <v>727</v>
      </c>
      <c r="AJ294" s="157">
        <f t="shared" si="10"/>
        <v>0.21042</v>
      </c>
    </row>
    <row r="295" spans="1:36" x14ac:dyDescent="0.2">
      <c r="A295" s="9"/>
      <c r="B295" s="11"/>
      <c r="C295" s="154" t="s">
        <v>1036</v>
      </c>
      <c r="D295" s="155">
        <f>6.309-0.6</f>
        <v>5.7090000000000005</v>
      </c>
      <c r="E295" s="155" t="s">
        <v>764</v>
      </c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51"/>
      <c r="AF295" s="155">
        <v>0.15</v>
      </c>
      <c r="AG295" s="155" t="s">
        <v>745</v>
      </c>
      <c r="AH295" s="155">
        <v>0.3</v>
      </c>
      <c r="AI295" s="158" t="s">
        <v>727</v>
      </c>
      <c r="AJ295" s="157">
        <f t="shared" si="10"/>
        <v>0.25690499999999999</v>
      </c>
    </row>
    <row r="296" spans="1:36" x14ac:dyDescent="0.2">
      <c r="A296" s="9"/>
      <c r="B296" s="11"/>
      <c r="C296" s="154" t="s">
        <v>1037</v>
      </c>
      <c r="D296" s="155">
        <v>1.482</v>
      </c>
      <c r="E296" s="155" t="s">
        <v>764</v>
      </c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51"/>
      <c r="AF296" s="155">
        <v>0.15</v>
      </c>
      <c r="AG296" s="155" t="s">
        <v>745</v>
      </c>
      <c r="AH296" s="155">
        <v>0.3</v>
      </c>
      <c r="AI296" s="158" t="s">
        <v>727</v>
      </c>
      <c r="AJ296" s="157">
        <f t="shared" si="10"/>
        <v>6.6689999999999999E-2</v>
      </c>
    </row>
    <row r="297" spans="1:36" x14ac:dyDescent="0.2">
      <c r="A297" s="9"/>
      <c r="B297" s="11"/>
      <c r="C297" s="154" t="s">
        <v>1038</v>
      </c>
      <c r="D297" s="155">
        <v>4.6760000000000002</v>
      </c>
      <c r="E297" s="155" t="s">
        <v>764</v>
      </c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51"/>
      <c r="AF297" s="155">
        <v>0.15</v>
      </c>
      <c r="AG297" s="155" t="s">
        <v>745</v>
      </c>
      <c r="AH297" s="155">
        <v>0.3</v>
      </c>
      <c r="AI297" s="158" t="s">
        <v>727</v>
      </c>
      <c r="AJ297" s="157">
        <f t="shared" si="10"/>
        <v>0.21042</v>
      </c>
    </row>
    <row r="298" spans="1:36" x14ac:dyDescent="0.2">
      <c r="A298" s="9"/>
      <c r="B298" s="11"/>
      <c r="C298" s="154" t="s">
        <v>1039</v>
      </c>
      <c r="D298" s="155">
        <f>6.309-0.6</f>
        <v>5.7090000000000005</v>
      </c>
      <c r="E298" s="155" t="s">
        <v>764</v>
      </c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51"/>
      <c r="AF298" s="155">
        <v>0.15</v>
      </c>
      <c r="AG298" s="155" t="s">
        <v>745</v>
      </c>
      <c r="AH298" s="155">
        <v>0.3</v>
      </c>
      <c r="AI298" s="158" t="s">
        <v>727</v>
      </c>
      <c r="AJ298" s="157">
        <f t="shared" si="10"/>
        <v>0.25690499999999999</v>
      </c>
    </row>
    <row r="299" spans="1:36" x14ac:dyDescent="0.2">
      <c r="A299" s="9"/>
      <c r="B299" s="11"/>
      <c r="C299" s="154" t="s">
        <v>1040</v>
      </c>
      <c r="D299" s="155">
        <v>3.7589999999999999</v>
      </c>
      <c r="E299" s="155" t="s">
        <v>764</v>
      </c>
      <c r="F299" s="155">
        <v>2.4</v>
      </c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51"/>
      <c r="AF299" s="155">
        <v>0.15</v>
      </c>
      <c r="AG299" s="155" t="s">
        <v>745</v>
      </c>
      <c r="AH299" s="155">
        <v>0.3</v>
      </c>
      <c r="AI299" s="158" t="s">
        <v>727</v>
      </c>
      <c r="AJ299" s="157">
        <f t="shared" si="10"/>
        <v>0.27715499999999998</v>
      </c>
    </row>
    <row r="300" spans="1:36" x14ac:dyDescent="0.2">
      <c r="A300" s="9"/>
      <c r="B300" s="11"/>
      <c r="C300" s="154" t="s">
        <v>1041</v>
      </c>
      <c r="D300" s="155">
        <v>3.7589999999999999</v>
      </c>
      <c r="E300" s="155" t="s">
        <v>764</v>
      </c>
      <c r="F300" s="155">
        <v>2.25</v>
      </c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51"/>
      <c r="AF300" s="155">
        <v>0.15</v>
      </c>
      <c r="AG300" s="155" t="s">
        <v>745</v>
      </c>
      <c r="AH300" s="155">
        <v>0.3</v>
      </c>
      <c r="AI300" s="158" t="s">
        <v>727</v>
      </c>
      <c r="AJ300" s="157">
        <f t="shared" si="10"/>
        <v>0.27040500000000001</v>
      </c>
    </row>
    <row r="301" spans="1:36" x14ac:dyDescent="0.2">
      <c r="A301" s="9"/>
      <c r="B301" s="11"/>
      <c r="C301" s="154"/>
      <c r="D301" s="309" t="s">
        <v>1065</v>
      </c>
      <c r="E301" s="309"/>
      <c r="F301" s="309"/>
      <c r="G301" s="309"/>
      <c r="H301" s="309"/>
      <c r="I301" s="309"/>
      <c r="J301" s="309"/>
      <c r="K301" s="309"/>
      <c r="L301" s="309"/>
      <c r="M301" s="309"/>
      <c r="N301" s="309"/>
      <c r="O301" s="309"/>
      <c r="P301" s="309"/>
      <c r="Q301" s="309"/>
      <c r="R301" s="309"/>
      <c r="S301" s="309"/>
      <c r="T301" s="309"/>
      <c r="U301" s="309"/>
      <c r="V301" s="309"/>
      <c r="W301" s="309"/>
      <c r="X301" s="309"/>
      <c r="Y301" s="309"/>
      <c r="Z301" s="309"/>
      <c r="AA301" s="309"/>
      <c r="AB301" s="309"/>
      <c r="AC301" s="309"/>
      <c r="AD301" s="309"/>
      <c r="AE301" s="309"/>
      <c r="AF301" s="309"/>
      <c r="AG301" s="309"/>
      <c r="AH301" s="309"/>
      <c r="AI301" s="158" t="s">
        <v>727</v>
      </c>
      <c r="AJ301" s="175">
        <f>SUM(AJ249:AJ300)*1.1</f>
        <v>13.203134999999998</v>
      </c>
    </row>
    <row r="302" spans="1:36" ht="24" x14ac:dyDescent="0.2">
      <c r="A302" s="9" t="s">
        <v>76</v>
      </c>
      <c r="B302" s="11" t="s">
        <v>49</v>
      </c>
      <c r="C302" s="10" t="s">
        <v>50</v>
      </c>
      <c r="D302" s="252" t="s">
        <v>1066</v>
      </c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  <c r="AA302" s="252"/>
      <c r="AB302" s="252"/>
      <c r="AC302" s="252"/>
      <c r="AD302" s="252"/>
      <c r="AE302" s="252"/>
      <c r="AF302" s="252"/>
      <c r="AG302" s="252"/>
      <c r="AH302" s="252"/>
      <c r="AI302" s="252"/>
      <c r="AJ302" s="11" t="s">
        <v>29</v>
      </c>
    </row>
    <row r="303" spans="1:36" ht="24" x14ac:dyDescent="0.2">
      <c r="A303" s="9" t="s">
        <v>77</v>
      </c>
      <c r="B303" s="11" t="s">
        <v>52</v>
      </c>
      <c r="C303" s="10" t="s">
        <v>53</v>
      </c>
      <c r="D303" s="252" t="s">
        <v>1064</v>
      </c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  <c r="AA303" s="252"/>
      <c r="AB303" s="252"/>
      <c r="AC303" s="252"/>
      <c r="AD303" s="252"/>
      <c r="AE303" s="252"/>
      <c r="AF303" s="252"/>
      <c r="AG303" s="252"/>
      <c r="AH303" s="252"/>
      <c r="AI303" s="252"/>
      <c r="AJ303" s="11" t="s">
        <v>54</v>
      </c>
    </row>
    <row r="304" spans="1:36" ht="24" x14ac:dyDescent="0.2">
      <c r="A304" s="9" t="s">
        <v>78</v>
      </c>
      <c r="B304" s="11" t="s">
        <v>65</v>
      </c>
      <c r="C304" s="10" t="s">
        <v>66</v>
      </c>
      <c r="D304" s="252" t="s">
        <v>1064</v>
      </c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  <c r="AA304" s="252"/>
      <c r="AB304" s="252"/>
      <c r="AC304" s="252"/>
      <c r="AD304" s="252"/>
      <c r="AE304" s="252"/>
      <c r="AF304" s="252"/>
      <c r="AG304" s="252"/>
      <c r="AH304" s="252"/>
      <c r="AI304" s="252"/>
      <c r="AJ304" s="11" t="s">
        <v>54</v>
      </c>
    </row>
    <row r="305" spans="1:36" x14ac:dyDescent="0.2">
      <c r="A305" s="127" t="s">
        <v>79</v>
      </c>
      <c r="B305" s="252" t="s">
        <v>80</v>
      </c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  <c r="AA305" s="252"/>
      <c r="AB305" s="252"/>
      <c r="AC305" s="252"/>
      <c r="AD305" s="252"/>
      <c r="AE305" s="252"/>
      <c r="AF305" s="252"/>
      <c r="AG305" s="252"/>
      <c r="AH305" s="252"/>
      <c r="AI305" s="252"/>
      <c r="AJ305" s="252"/>
    </row>
    <row r="306" spans="1:36" ht="48" x14ac:dyDescent="0.2">
      <c r="A306" s="9" t="s">
        <v>81</v>
      </c>
      <c r="B306" s="11" t="s">
        <v>82</v>
      </c>
      <c r="C306" s="10" t="s">
        <v>83</v>
      </c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  <c r="AA306" s="252"/>
      <c r="AB306" s="252"/>
      <c r="AC306" s="252"/>
      <c r="AD306" s="252"/>
      <c r="AE306" s="252"/>
      <c r="AF306" s="252"/>
      <c r="AG306" s="252"/>
      <c r="AH306" s="252"/>
      <c r="AI306" s="252"/>
      <c r="AJ306" s="11" t="s">
        <v>19</v>
      </c>
    </row>
    <row r="307" spans="1:36" ht="36" x14ac:dyDescent="0.2">
      <c r="A307" s="9" t="s">
        <v>84</v>
      </c>
      <c r="B307" s="11" t="s">
        <v>46</v>
      </c>
      <c r="C307" s="10" t="s">
        <v>47</v>
      </c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  <c r="AA307" s="252"/>
      <c r="AB307" s="252"/>
      <c r="AC307" s="252"/>
      <c r="AD307" s="252"/>
      <c r="AE307" s="252"/>
      <c r="AF307" s="252"/>
      <c r="AG307" s="252"/>
      <c r="AH307" s="252"/>
      <c r="AI307" s="252"/>
      <c r="AJ307" s="11" t="s">
        <v>29</v>
      </c>
    </row>
    <row r="308" spans="1:36" ht="12.75" customHeight="1" x14ac:dyDescent="0.2">
      <c r="A308" s="9" t="s">
        <v>85</v>
      </c>
      <c r="B308" s="11" t="s">
        <v>49</v>
      </c>
      <c r="C308" s="10" t="s">
        <v>50</v>
      </c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  <c r="AA308" s="252"/>
      <c r="AB308" s="252"/>
      <c r="AC308" s="252"/>
      <c r="AD308" s="252"/>
      <c r="AE308" s="252"/>
      <c r="AF308" s="252"/>
      <c r="AG308" s="252"/>
      <c r="AH308" s="252"/>
      <c r="AI308" s="252"/>
      <c r="AJ308" s="11" t="s">
        <v>29</v>
      </c>
    </row>
    <row r="309" spans="1:36" ht="36" x14ac:dyDescent="0.2">
      <c r="A309" s="9" t="s">
        <v>86</v>
      </c>
      <c r="B309" s="11" t="s">
        <v>87</v>
      </c>
      <c r="C309" s="10" t="s">
        <v>88</v>
      </c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  <c r="AA309" s="252"/>
      <c r="AB309" s="252"/>
      <c r="AC309" s="252"/>
      <c r="AD309" s="252"/>
      <c r="AE309" s="252"/>
      <c r="AF309" s="252"/>
      <c r="AG309" s="252"/>
      <c r="AH309" s="252"/>
      <c r="AI309" s="252"/>
      <c r="AJ309" s="11" t="s">
        <v>54</v>
      </c>
    </row>
    <row r="310" spans="1:36" ht="36" x14ac:dyDescent="0.2">
      <c r="A310" s="7" t="s">
        <v>89</v>
      </c>
      <c r="B310" s="96" t="s">
        <v>90</v>
      </c>
      <c r="C310" s="93" t="s">
        <v>91</v>
      </c>
      <c r="D310" s="371"/>
      <c r="E310" s="372"/>
      <c r="F310" s="372"/>
      <c r="G310" s="372"/>
      <c r="H310" s="372"/>
      <c r="I310" s="372"/>
      <c r="J310" s="372"/>
      <c r="K310" s="372"/>
      <c r="L310" s="372"/>
      <c r="M310" s="372"/>
      <c r="N310" s="372"/>
      <c r="O310" s="372"/>
      <c r="P310" s="372"/>
      <c r="Q310" s="372"/>
      <c r="R310" s="372"/>
      <c r="S310" s="372"/>
      <c r="T310" s="372"/>
      <c r="U310" s="372"/>
      <c r="V310" s="372"/>
      <c r="W310" s="372"/>
      <c r="X310" s="372"/>
      <c r="Y310" s="372"/>
      <c r="Z310" s="372"/>
      <c r="AA310" s="372"/>
      <c r="AB310" s="372"/>
      <c r="AC310" s="372"/>
      <c r="AD310" s="372"/>
      <c r="AE310" s="372"/>
      <c r="AF310" s="372"/>
      <c r="AG310" s="372"/>
      <c r="AH310" s="372"/>
      <c r="AI310" s="373"/>
      <c r="AJ310" s="95" t="s">
        <v>54</v>
      </c>
    </row>
    <row r="311" spans="1:36" ht="36" x14ac:dyDescent="0.2">
      <c r="A311" s="7" t="s">
        <v>92</v>
      </c>
      <c r="B311" s="8" t="s">
        <v>93</v>
      </c>
      <c r="C311" s="7" t="s">
        <v>94</v>
      </c>
      <c r="D311" s="332"/>
      <c r="E311" s="333"/>
      <c r="F311" s="333"/>
      <c r="G311" s="333"/>
      <c r="H311" s="333"/>
      <c r="I311" s="333"/>
      <c r="J311" s="333"/>
      <c r="K311" s="333"/>
      <c r="L311" s="333"/>
      <c r="M311" s="333"/>
      <c r="N311" s="333"/>
      <c r="O311" s="333"/>
      <c r="P311" s="333"/>
      <c r="Q311" s="333"/>
      <c r="R311" s="333"/>
      <c r="S311" s="333"/>
      <c r="T311" s="333"/>
      <c r="U311" s="333"/>
      <c r="V311" s="333"/>
      <c r="W311" s="333"/>
      <c r="X311" s="333"/>
      <c r="Y311" s="333"/>
      <c r="Z311" s="333"/>
      <c r="AA311" s="333"/>
      <c r="AB311" s="333"/>
      <c r="AC311" s="333"/>
      <c r="AD311" s="333"/>
      <c r="AE311" s="333"/>
      <c r="AF311" s="333"/>
      <c r="AG311" s="333"/>
      <c r="AH311" s="333"/>
      <c r="AI311" s="334"/>
      <c r="AJ311" s="11" t="s">
        <v>54</v>
      </c>
    </row>
    <row r="312" spans="1:36" ht="36" x14ac:dyDescent="0.2">
      <c r="A312" s="7" t="s">
        <v>95</v>
      </c>
      <c r="B312" s="8" t="s">
        <v>96</v>
      </c>
      <c r="C312" s="7" t="s">
        <v>97</v>
      </c>
      <c r="D312" s="332"/>
      <c r="E312" s="333"/>
      <c r="F312" s="333"/>
      <c r="G312" s="333"/>
      <c r="H312" s="333"/>
      <c r="I312" s="333"/>
      <c r="J312" s="333"/>
      <c r="K312" s="333"/>
      <c r="L312" s="333"/>
      <c r="M312" s="333"/>
      <c r="N312" s="333"/>
      <c r="O312" s="333"/>
      <c r="P312" s="333"/>
      <c r="Q312" s="333"/>
      <c r="R312" s="333"/>
      <c r="S312" s="333"/>
      <c r="T312" s="333"/>
      <c r="U312" s="333"/>
      <c r="V312" s="333"/>
      <c r="W312" s="333"/>
      <c r="X312" s="333"/>
      <c r="Y312" s="333"/>
      <c r="Z312" s="333"/>
      <c r="AA312" s="333"/>
      <c r="AB312" s="333"/>
      <c r="AC312" s="333"/>
      <c r="AD312" s="333"/>
      <c r="AE312" s="333"/>
      <c r="AF312" s="333"/>
      <c r="AG312" s="333"/>
      <c r="AH312" s="333"/>
      <c r="AI312" s="334"/>
      <c r="AJ312" s="11" t="s">
        <v>54</v>
      </c>
    </row>
    <row r="313" spans="1:36" x14ac:dyDescent="0.2">
      <c r="A313" s="48" t="s">
        <v>98</v>
      </c>
      <c r="B313" s="269" t="s">
        <v>99</v>
      </c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  <c r="AA313" s="269"/>
      <c r="AB313" s="269"/>
      <c r="AC313" s="269"/>
      <c r="AD313" s="269"/>
      <c r="AE313" s="269"/>
      <c r="AF313" s="269"/>
      <c r="AG313" s="269"/>
      <c r="AH313" s="269"/>
      <c r="AI313" s="269"/>
      <c r="AJ313" s="269"/>
    </row>
    <row r="314" spans="1:36" ht="24" x14ac:dyDescent="0.2">
      <c r="A314" s="7" t="s">
        <v>100</v>
      </c>
      <c r="B314" s="8" t="s">
        <v>101</v>
      </c>
      <c r="C314" s="7" t="s">
        <v>102</v>
      </c>
      <c r="D314" s="332"/>
      <c r="E314" s="333"/>
      <c r="F314" s="333"/>
      <c r="G314" s="333"/>
      <c r="H314" s="333"/>
      <c r="I314" s="333"/>
      <c r="J314" s="333"/>
      <c r="K314" s="333"/>
      <c r="L314" s="333"/>
      <c r="M314" s="333"/>
      <c r="N314" s="333"/>
      <c r="O314" s="333"/>
      <c r="P314" s="333"/>
      <c r="Q314" s="333"/>
      <c r="R314" s="333"/>
      <c r="S314" s="333"/>
      <c r="T314" s="333"/>
      <c r="U314" s="333"/>
      <c r="V314" s="333"/>
      <c r="W314" s="333"/>
      <c r="X314" s="333"/>
      <c r="Y314" s="333"/>
      <c r="Z314" s="333"/>
      <c r="AA314" s="333"/>
      <c r="AB314" s="333"/>
      <c r="AC314" s="333"/>
      <c r="AD314" s="333"/>
      <c r="AE314" s="333"/>
      <c r="AF314" s="333"/>
      <c r="AG314" s="333"/>
      <c r="AH314" s="333"/>
      <c r="AI314" s="334"/>
      <c r="AJ314" s="11" t="s">
        <v>19</v>
      </c>
    </row>
    <row r="315" spans="1:36" ht="36" x14ac:dyDescent="0.2">
      <c r="A315" s="7" t="s">
        <v>103</v>
      </c>
      <c r="B315" s="8" t="s">
        <v>46</v>
      </c>
      <c r="C315" s="7" t="s">
        <v>47</v>
      </c>
      <c r="D315" s="332"/>
      <c r="E315" s="333"/>
      <c r="F315" s="333"/>
      <c r="G315" s="333"/>
      <c r="H315" s="333"/>
      <c r="I315" s="333"/>
      <c r="J315" s="333"/>
      <c r="K315" s="333"/>
      <c r="L315" s="333"/>
      <c r="M315" s="333"/>
      <c r="N315" s="333"/>
      <c r="O315" s="333"/>
      <c r="P315" s="333"/>
      <c r="Q315" s="333"/>
      <c r="R315" s="333"/>
      <c r="S315" s="333"/>
      <c r="T315" s="333"/>
      <c r="U315" s="333"/>
      <c r="V315" s="333"/>
      <c r="W315" s="333"/>
      <c r="X315" s="333"/>
      <c r="Y315" s="333"/>
      <c r="Z315" s="333"/>
      <c r="AA315" s="333"/>
      <c r="AB315" s="333"/>
      <c r="AC315" s="333"/>
      <c r="AD315" s="333"/>
      <c r="AE315" s="333"/>
      <c r="AF315" s="333"/>
      <c r="AG315" s="333"/>
      <c r="AH315" s="333"/>
      <c r="AI315" s="334"/>
      <c r="AJ315" s="11" t="s">
        <v>29</v>
      </c>
    </row>
    <row r="316" spans="1:36" ht="24" x14ac:dyDescent="0.2">
      <c r="A316" s="7" t="s">
        <v>104</v>
      </c>
      <c r="B316" s="8" t="s">
        <v>49</v>
      </c>
      <c r="C316" s="7" t="s">
        <v>50</v>
      </c>
      <c r="D316" s="332"/>
      <c r="E316" s="333"/>
      <c r="F316" s="333"/>
      <c r="G316" s="333"/>
      <c r="H316" s="333"/>
      <c r="I316" s="333"/>
      <c r="J316" s="333"/>
      <c r="K316" s="333"/>
      <c r="L316" s="333"/>
      <c r="M316" s="333"/>
      <c r="N316" s="333"/>
      <c r="O316" s="333"/>
      <c r="P316" s="333"/>
      <c r="Q316" s="333"/>
      <c r="R316" s="333"/>
      <c r="S316" s="333"/>
      <c r="T316" s="333"/>
      <c r="U316" s="333"/>
      <c r="V316" s="333"/>
      <c r="W316" s="333"/>
      <c r="X316" s="333"/>
      <c r="Y316" s="333"/>
      <c r="Z316" s="333"/>
      <c r="AA316" s="333"/>
      <c r="AB316" s="333"/>
      <c r="AC316" s="333"/>
      <c r="AD316" s="333"/>
      <c r="AE316" s="333"/>
      <c r="AF316" s="333"/>
      <c r="AG316" s="333"/>
      <c r="AH316" s="333"/>
      <c r="AI316" s="334"/>
      <c r="AJ316" s="11" t="s">
        <v>29</v>
      </c>
    </row>
    <row r="317" spans="1:36" ht="36" x14ac:dyDescent="0.2">
      <c r="A317" s="7" t="s">
        <v>105</v>
      </c>
      <c r="B317" s="8" t="s">
        <v>106</v>
      </c>
      <c r="C317" s="7" t="s">
        <v>107</v>
      </c>
      <c r="D317" s="332"/>
      <c r="E317" s="333"/>
      <c r="F317" s="333"/>
      <c r="G317" s="333"/>
      <c r="H317" s="333"/>
      <c r="I317" s="333"/>
      <c r="J317" s="333"/>
      <c r="K317" s="333"/>
      <c r="L317" s="333"/>
      <c r="M317" s="333"/>
      <c r="N317" s="333"/>
      <c r="O317" s="333"/>
      <c r="P317" s="333"/>
      <c r="Q317" s="333"/>
      <c r="R317" s="333"/>
      <c r="S317" s="333"/>
      <c r="T317" s="333"/>
      <c r="U317" s="333"/>
      <c r="V317" s="333"/>
      <c r="W317" s="333"/>
      <c r="X317" s="333"/>
      <c r="Y317" s="333"/>
      <c r="Z317" s="333"/>
      <c r="AA317" s="333"/>
      <c r="AB317" s="333"/>
      <c r="AC317" s="333"/>
      <c r="AD317" s="333"/>
      <c r="AE317" s="333"/>
      <c r="AF317" s="333"/>
      <c r="AG317" s="333"/>
      <c r="AH317" s="333"/>
      <c r="AI317" s="334"/>
      <c r="AJ317" s="11" t="s">
        <v>54</v>
      </c>
    </row>
    <row r="318" spans="1:36" ht="36" x14ac:dyDescent="0.2">
      <c r="A318" s="7" t="s">
        <v>108</v>
      </c>
      <c r="B318" s="8" t="s">
        <v>109</v>
      </c>
      <c r="C318" s="7" t="s">
        <v>110</v>
      </c>
      <c r="D318" s="332"/>
      <c r="E318" s="333"/>
      <c r="F318" s="333"/>
      <c r="G318" s="333"/>
      <c r="H318" s="333"/>
      <c r="I318" s="333"/>
      <c r="J318" s="333"/>
      <c r="K318" s="333"/>
      <c r="L318" s="333"/>
      <c r="M318" s="333"/>
      <c r="N318" s="333"/>
      <c r="O318" s="333"/>
      <c r="P318" s="333"/>
      <c r="Q318" s="333"/>
      <c r="R318" s="333"/>
      <c r="S318" s="333"/>
      <c r="T318" s="333"/>
      <c r="U318" s="333"/>
      <c r="V318" s="333"/>
      <c r="W318" s="333"/>
      <c r="X318" s="333"/>
      <c r="Y318" s="333"/>
      <c r="Z318" s="333"/>
      <c r="AA318" s="333"/>
      <c r="AB318" s="333"/>
      <c r="AC318" s="333"/>
      <c r="AD318" s="333"/>
      <c r="AE318" s="333"/>
      <c r="AF318" s="333"/>
      <c r="AG318" s="333"/>
      <c r="AH318" s="333"/>
      <c r="AI318" s="334"/>
      <c r="AJ318" s="11" t="s">
        <v>54</v>
      </c>
    </row>
    <row r="319" spans="1:36" ht="36" x14ac:dyDescent="0.2">
      <c r="A319" s="7" t="s">
        <v>111</v>
      </c>
      <c r="B319" s="8" t="s">
        <v>87</v>
      </c>
      <c r="C319" s="7" t="s">
        <v>88</v>
      </c>
      <c r="D319" s="332"/>
      <c r="E319" s="333"/>
      <c r="F319" s="333"/>
      <c r="G319" s="333"/>
      <c r="H319" s="333"/>
      <c r="I319" s="333"/>
      <c r="J319" s="333"/>
      <c r="K319" s="333"/>
      <c r="L319" s="333"/>
      <c r="M319" s="333"/>
      <c r="N319" s="333"/>
      <c r="O319" s="333"/>
      <c r="P319" s="333"/>
      <c r="Q319" s="333"/>
      <c r="R319" s="333"/>
      <c r="S319" s="333"/>
      <c r="T319" s="333"/>
      <c r="U319" s="333"/>
      <c r="V319" s="333"/>
      <c r="W319" s="333"/>
      <c r="X319" s="333"/>
      <c r="Y319" s="333"/>
      <c r="Z319" s="333"/>
      <c r="AA319" s="333"/>
      <c r="AB319" s="333"/>
      <c r="AC319" s="333"/>
      <c r="AD319" s="333"/>
      <c r="AE319" s="333"/>
      <c r="AF319" s="333"/>
      <c r="AG319" s="333"/>
      <c r="AH319" s="333"/>
      <c r="AI319" s="334"/>
      <c r="AJ319" s="11" t="s">
        <v>54</v>
      </c>
    </row>
    <row r="320" spans="1:36" ht="36" x14ac:dyDescent="0.2">
      <c r="A320" s="7" t="s">
        <v>112</v>
      </c>
      <c r="B320" s="8" t="s">
        <v>90</v>
      </c>
      <c r="C320" s="7" t="s">
        <v>91</v>
      </c>
      <c r="D320" s="332"/>
      <c r="E320" s="333"/>
      <c r="F320" s="333"/>
      <c r="G320" s="333"/>
      <c r="H320" s="333"/>
      <c r="I320" s="333"/>
      <c r="J320" s="333"/>
      <c r="K320" s="333"/>
      <c r="L320" s="333"/>
      <c r="M320" s="333"/>
      <c r="N320" s="333"/>
      <c r="O320" s="333"/>
      <c r="P320" s="333"/>
      <c r="Q320" s="333"/>
      <c r="R320" s="333"/>
      <c r="S320" s="333"/>
      <c r="T320" s="333"/>
      <c r="U320" s="333"/>
      <c r="V320" s="333"/>
      <c r="W320" s="333"/>
      <c r="X320" s="333"/>
      <c r="Y320" s="333"/>
      <c r="Z320" s="333"/>
      <c r="AA320" s="333"/>
      <c r="AB320" s="333"/>
      <c r="AC320" s="333"/>
      <c r="AD320" s="333"/>
      <c r="AE320" s="333"/>
      <c r="AF320" s="333"/>
      <c r="AG320" s="333"/>
      <c r="AH320" s="333"/>
      <c r="AI320" s="334"/>
      <c r="AJ320" s="11" t="s">
        <v>54</v>
      </c>
    </row>
    <row r="321" spans="1:36" ht="36" x14ac:dyDescent="0.2">
      <c r="A321" s="7" t="s">
        <v>113</v>
      </c>
      <c r="B321" s="8" t="s">
        <v>93</v>
      </c>
      <c r="C321" s="7" t="s">
        <v>94</v>
      </c>
      <c r="D321" s="332"/>
      <c r="E321" s="333"/>
      <c r="F321" s="333"/>
      <c r="G321" s="333"/>
      <c r="H321" s="333"/>
      <c r="I321" s="333"/>
      <c r="J321" s="333"/>
      <c r="K321" s="333"/>
      <c r="L321" s="333"/>
      <c r="M321" s="333"/>
      <c r="N321" s="333"/>
      <c r="O321" s="333"/>
      <c r="P321" s="333"/>
      <c r="Q321" s="333"/>
      <c r="R321" s="333"/>
      <c r="S321" s="333"/>
      <c r="T321" s="333"/>
      <c r="U321" s="333"/>
      <c r="V321" s="333"/>
      <c r="W321" s="333"/>
      <c r="X321" s="333"/>
      <c r="Y321" s="333"/>
      <c r="Z321" s="333"/>
      <c r="AA321" s="333"/>
      <c r="AB321" s="333"/>
      <c r="AC321" s="333"/>
      <c r="AD321" s="333"/>
      <c r="AE321" s="333"/>
      <c r="AF321" s="333"/>
      <c r="AG321" s="333"/>
      <c r="AH321" s="333"/>
      <c r="AI321" s="334"/>
      <c r="AJ321" s="11" t="s">
        <v>54</v>
      </c>
    </row>
    <row r="322" spans="1:36" ht="36" x14ac:dyDescent="0.2">
      <c r="A322" s="7" t="s">
        <v>114</v>
      </c>
      <c r="B322" s="8" t="s">
        <v>96</v>
      </c>
      <c r="C322" s="7" t="s">
        <v>97</v>
      </c>
      <c r="D322" s="332"/>
      <c r="E322" s="333"/>
      <c r="F322" s="333"/>
      <c r="G322" s="333"/>
      <c r="H322" s="333"/>
      <c r="I322" s="333"/>
      <c r="J322" s="333"/>
      <c r="K322" s="333"/>
      <c r="L322" s="333"/>
      <c r="M322" s="333"/>
      <c r="N322" s="333"/>
      <c r="O322" s="333"/>
      <c r="P322" s="333"/>
      <c r="Q322" s="333"/>
      <c r="R322" s="333"/>
      <c r="S322" s="333"/>
      <c r="T322" s="333"/>
      <c r="U322" s="333"/>
      <c r="V322" s="333"/>
      <c r="W322" s="333"/>
      <c r="X322" s="333"/>
      <c r="Y322" s="333"/>
      <c r="Z322" s="333"/>
      <c r="AA322" s="333"/>
      <c r="AB322" s="333"/>
      <c r="AC322" s="333"/>
      <c r="AD322" s="333"/>
      <c r="AE322" s="333"/>
      <c r="AF322" s="333"/>
      <c r="AG322" s="333"/>
      <c r="AH322" s="333"/>
      <c r="AI322" s="334"/>
      <c r="AJ322" s="11" t="s">
        <v>54</v>
      </c>
    </row>
    <row r="323" spans="1:36" x14ac:dyDescent="0.2">
      <c r="A323" s="48" t="s">
        <v>115</v>
      </c>
      <c r="B323" s="269" t="s">
        <v>116</v>
      </c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  <c r="AA323" s="269"/>
      <c r="AB323" s="269"/>
      <c r="AC323" s="269"/>
      <c r="AD323" s="269"/>
      <c r="AE323" s="269"/>
      <c r="AF323" s="269"/>
      <c r="AG323" s="269"/>
      <c r="AH323" s="269"/>
      <c r="AI323" s="269"/>
      <c r="AJ323" s="269"/>
    </row>
    <row r="324" spans="1:36" ht="24" x14ac:dyDescent="0.2">
      <c r="A324" s="7" t="s">
        <v>117</v>
      </c>
      <c r="B324" s="8" t="s">
        <v>118</v>
      </c>
      <c r="C324" s="7" t="s">
        <v>119</v>
      </c>
      <c r="D324" s="294"/>
      <c r="E324" s="295"/>
      <c r="F324" s="295"/>
      <c r="G324" s="295"/>
      <c r="H324" s="295"/>
      <c r="I324" s="295"/>
      <c r="J324" s="295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  <c r="Y324" s="295"/>
      <c r="Z324" s="295"/>
      <c r="AA324" s="295"/>
      <c r="AB324" s="295"/>
      <c r="AC324" s="295"/>
      <c r="AD324" s="295"/>
      <c r="AE324" s="295"/>
      <c r="AF324" s="295"/>
      <c r="AG324" s="295"/>
      <c r="AH324" s="295"/>
      <c r="AI324" s="296"/>
      <c r="AJ324" s="11" t="s">
        <v>23</v>
      </c>
    </row>
    <row r="325" spans="1:36" ht="24" x14ac:dyDescent="0.2">
      <c r="A325" s="7" t="s">
        <v>120</v>
      </c>
      <c r="B325" s="8" t="s">
        <v>121</v>
      </c>
      <c r="C325" s="7" t="s">
        <v>122</v>
      </c>
      <c r="D325" s="294"/>
      <c r="E325" s="295"/>
      <c r="F325" s="295"/>
      <c r="G325" s="295"/>
      <c r="H325" s="295"/>
      <c r="I325" s="295"/>
      <c r="J325" s="295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  <c r="Y325" s="295"/>
      <c r="Z325" s="295"/>
      <c r="AA325" s="295"/>
      <c r="AB325" s="295"/>
      <c r="AC325" s="295"/>
      <c r="AD325" s="295"/>
      <c r="AE325" s="295"/>
      <c r="AF325" s="295"/>
      <c r="AG325" s="295"/>
      <c r="AH325" s="295"/>
      <c r="AI325" s="296"/>
      <c r="AJ325" s="11" t="s">
        <v>23</v>
      </c>
    </row>
    <row r="326" spans="1:36" ht="24" x14ac:dyDescent="0.2">
      <c r="A326" s="7" t="s">
        <v>123</v>
      </c>
      <c r="B326" s="8" t="s">
        <v>124</v>
      </c>
      <c r="C326" s="7" t="s">
        <v>125</v>
      </c>
      <c r="D326" s="294"/>
      <c r="E326" s="295"/>
      <c r="F326" s="295"/>
      <c r="G326" s="295"/>
      <c r="H326" s="295"/>
      <c r="I326" s="295"/>
      <c r="J326" s="295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  <c r="AA326" s="295"/>
      <c r="AB326" s="295"/>
      <c r="AC326" s="295"/>
      <c r="AD326" s="295"/>
      <c r="AE326" s="295"/>
      <c r="AF326" s="295"/>
      <c r="AG326" s="295"/>
      <c r="AH326" s="295"/>
      <c r="AI326" s="296"/>
      <c r="AJ326" s="11" t="s">
        <v>23</v>
      </c>
    </row>
    <row r="327" spans="1:36" x14ac:dyDescent="0.2">
      <c r="A327" s="48" t="s">
        <v>126</v>
      </c>
      <c r="B327" s="269" t="s">
        <v>127</v>
      </c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  <c r="AA327" s="269"/>
      <c r="AB327" s="269"/>
      <c r="AC327" s="269"/>
      <c r="AD327" s="269"/>
      <c r="AE327" s="269"/>
      <c r="AF327" s="269"/>
      <c r="AG327" s="269"/>
      <c r="AH327" s="269"/>
      <c r="AI327" s="269"/>
      <c r="AJ327" s="269"/>
    </row>
    <row r="328" spans="1:36" ht="48" x14ac:dyDescent="0.2">
      <c r="A328" s="7" t="s">
        <v>128</v>
      </c>
      <c r="B328" s="8" t="s">
        <v>129</v>
      </c>
      <c r="C328" s="7" t="s">
        <v>130</v>
      </c>
      <c r="D328" s="294"/>
      <c r="E328" s="295"/>
      <c r="F328" s="295"/>
      <c r="G328" s="295"/>
      <c r="H328" s="295"/>
      <c r="I328" s="295"/>
      <c r="J328" s="295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  <c r="Y328" s="295"/>
      <c r="Z328" s="295"/>
      <c r="AA328" s="295"/>
      <c r="AB328" s="295"/>
      <c r="AC328" s="295"/>
      <c r="AD328" s="295"/>
      <c r="AE328" s="295"/>
      <c r="AF328" s="295"/>
      <c r="AG328" s="295"/>
      <c r="AH328" s="295"/>
      <c r="AI328" s="296"/>
      <c r="AJ328" s="11" t="s">
        <v>19</v>
      </c>
    </row>
    <row r="329" spans="1:36" ht="24" x14ac:dyDescent="0.2">
      <c r="A329" s="7" t="s">
        <v>131</v>
      </c>
      <c r="B329" s="8" t="s">
        <v>101</v>
      </c>
      <c r="C329" s="7" t="s">
        <v>102</v>
      </c>
      <c r="D329" s="294"/>
      <c r="E329" s="295"/>
      <c r="F329" s="295"/>
      <c r="G329" s="295"/>
      <c r="H329" s="295"/>
      <c r="I329" s="295"/>
      <c r="J329" s="295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  <c r="Y329" s="295"/>
      <c r="Z329" s="295"/>
      <c r="AA329" s="295"/>
      <c r="AB329" s="295"/>
      <c r="AC329" s="295"/>
      <c r="AD329" s="295"/>
      <c r="AE329" s="295"/>
      <c r="AF329" s="295"/>
      <c r="AG329" s="295"/>
      <c r="AH329" s="295"/>
      <c r="AI329" s="296"/>
      <c r="AJ329" s="11" t="s">
        <v>19</v>
      </c>
    </row>
    <row r="330" spans="1:36" ht="36" x14ac:dyDescent="0.2">
      <c r="A330" s="7" t="s">
        <v>132</v>
      </c>
      <c r="B330" s="8" t="s">
        <v>46</v>
      </c>
      <c r="C330" s="7" t="s">
        <v>47</v>
      </c>
      <c r="D330" s="294"/>
      <c r="E330" s="295"/>
      <c r="F330" s="295"/>
      <c r="G330" s="295"/>
      <c r="H330" s="295"/>
      <c r="I330" s="295"/>
      <c r="J330" s="295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  <c r="Y330" s="295"/>
      <c r="Z330" s="295"/>
      <c r="AA330" s="295"/>
      <c r="AB330" s="295"/>
      <c r="AC330" s="295"/>
      <c r="AD330" s="295"/>
      <c r="AE330" s="295"/>
      <c r="AF330" s="295"/>
      <c r="AG330" s="295"/>
      <c r="AH330" s="295"/>
      <c r="AI330" s="296"/>
      <c r="AJ330" s="11" t="s">
        <v>29</v>
      </c>
    </row>
    <row r="331" spans="1:36" ht="24" x14ac:dyDescent="0.2">
      <c r="A331" s="7" t="s">
        <v>133</v>
      </c>
      <c r="B331" s="8" t="s">
        <v>49</v>
      </c>
      <c r="C331" s="7" t="s">
        <v>50</v>
      </c>
      <c r="D331" s="294"/>
      <c r="E331" s="295"/>
      <c r="F331" s="295"/>
      <c r="G331" s="295"/>
      <c r="H331" s="295"/>
      <c r="I331" s="295"/>
      <c r="J331" s="295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  <c r="Y331" s="295"/>
      <c r="Z331" s="295"/>
      <c r="AA331" s="295"/>
      <c r="AB331" s="295"/>
      <c r="AC331" s="295"/>
      <c r="AD331" s="295"/>
      <c r="AE331" s="295"/>
      <c r="AF331" s="295"/>
      <c r="AG331" s="295"/>
      <c r="AH331" s="295"/>
      <c r="AI331" s="296"/>
      <c r="AJ331" s="11" t="s">
        <v>29</v>
      </c>
    </row>
    <row r="332" spans="1:36" ht="36" x14ac:dyDescent="0.2">
      <c r="A332" s="7" t="s">
        <v>134</v>
      </c>
      <c r="B332" s="8" t="s">
        <v>109</v>
      </c>
      <c r="C332" s="7" t="s">
        <v>110</v>
      </c>
      <c r="D332" s="294"/>
      <c r="E332" s="295"/>
      <c r="F332" s="295"/>
      <c r="G332" s="295"/>
      <c r="H332" s="295"/>
      <c r="I332" s="295"/>
      <c r="J332" s="295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  <c r="Y332" s="295"/>
      <c r="Z332" s="295"/>
      <c r="AA332" s="295"/>
      <c r="AB332" s="295"/>
      <c r="AC332" s="295"/>
      <c r="AD332" s="295"/>
      <c r="AE332" s="295"/>
      <c r="AF332" s="295"/>
      <c r="AG332" s="295"/>
      <c r="AH332" s="295"/>
      <c r="AI332" s="296"/>
      <c r="AJ332" s="11" t="s">
        <v>54</v>
      </c>
    </row>
    <row r="333" spans="1:36" ht="36" x14ac:dyDescent="0.2">
      <c r="A333" s="7" t="s">
        <v>135</v>
      </c>
      <c r="B333" s="8" t="s">
        <v>87</v>
      </c>
      <c r="C333" s="7" t="s">
        <v>88</v>
      </c>
      <c r="D333" s="294"/>
      <c r="E333" s="295"/>
      <c r="F333" s="295"/>
      <c r="G333" s="295"/>
      <c r="H333" s="295"/>
      <c r="I333" s="295"/>
      <c r="J333" s="295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  <c r="Y333" s="295"/>
      <c r="Z333" s="295"/>
      <c r="AA333" s="295"/>
      <c r="AB333" s="295"/>
      <c r="AC333" s="295"/>
      <c r="AD333" s="295"/>
      <c r="AE333" s="295"/>
      <c r="AF333" s="295"/>
      <c r="AG333" s="295"/>
      <c r="AH333" s="295"/>
      <c r="AI333" s="296"/>
      <c r="AJ333" s="11" t="s">
        <v>54</v>
      </c>
    </row>
    <row r="334" spans="1:36" ht="36" x14ac:dyDescent="0.2">
      <c r="A334" s="7" t="s">
        <v>136</v>
      </c>
      <c r="B334" s="8" t="s">
        <v>96</v>
      </c>
      <c r="C334" s="7" t="s">
        <v>97</v>
      </c>
      <c r="D334" s="294"/>
      <c r="E334" s="295"/>
      <c r="F334" s="295"/>
      <c r="G334" s="295"/>
      <c r="H334" s="295"/>
      <c r="I334" s="295"/>
      <c r="J334" s="295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  <c r="Y334" s="295"/>
      <c r="Z334" s="295"/>
      <c r="AA334" s="295"/>
      <c r="AB334" s="295"/>
      <c r="AC334" s="295"/>
      <c r="AD334" s="295"/>
      <c r="AE334" s="295"/>
      <c r="AF334" s="295"/>
      <c r="AG334" s="295"/>
      <c r="AH334" s="295"/>
      <c r="AI334" s="296"/>
      <c r="AJ334" s="11" t="s">
        <v>54</v>
      </c>
    </row>
    <row r="335" spans="1:36" x14ac:dyDescent="0.2">
      <c r="A335" s="48" t="s">
        <v>137</v>
      </c>
      <c r="B335" s="269" t="s">
        <v>138</v>
      </c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  <c r="AA335" s="269"/>
      <c r="AB335" s="269"/>
      <c r="AC335" s="269"/>
      <c r="AD335" s="269"/>
      <c r="AE335" s="269"/>
      <c r="AF335" s="269"/>
      <c r="AG335" s="269"/>
      <c r="AH335" s="269"/>
      <c r="AI335" s="269"/>
      <c r="AJ335" s="269"/>
    </row>
    <row r="336" spans="1:36" ht="36" x14ac:dyDescent="0.2">
      <c r="A336" s="7" t="s">
        <v>139</v>
      </c>
      <c r="B336" s="8" t="s">
        <v>140</v>
      </c>
      <c r="C336" s="7" t="s">
        <v>141</v>
      </c>
      <c r="D336" s="294"/>
      <c r="E336" s="295"/>
      <c r="F336" s="295"/>
      <c r="G336" s="295"/>
      <c r="H336" s="295"/>
      <c r="I336" s="295"/>
      <c r="J336" s="295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  <c r="Y336" s="295"/>
      <c r="Z336" s="295"/>
      <c r="AA336" s="295"/>
      <c r="AB336" s="295"/>
      <c r="AC336" s="295"/>
      <c r="AD336" s="295"/>
      <c r="AE336" s="295"/>
      <c r="AF336" s="295"/>
      <c r="AG336" s="295"/>
      <c r="AH336" s="295"/>
      <c r="AI336" s="296"/>
      <c r="AJ336" s="11" t="s">
        <v>19</v>
      </c>
    </row>
    <row r="337" spans="1:36" x14ac:dyDescent="0.2">
      <c r="A337" s="48" t="s">
        <v>142</v>
      </c>
      <c r="B337" s="269" t="s">
        <v>143</v>
      </c>
      <c r="C337" s="269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</row>
    <row r="338" spans="1:36" ht="48" x14ac:dyDescent="0.2">
      <c r="A338" s="7" t="s">
        <v>144</v>
      </c>
      <c r="B338" s="8" t="s">
        <v>145</v>
      </c>
      <c r="C338" s="9" t="s">
        <v>146</v>
      </c>
      <c r="D338" s="335"/>
      <c r="E338" s="336"/>
      <c r="F338" s="336"/>
      <c r="G338" s="336"/>
      <c r="H338" s="336"/>
      <c r="I338" s="336"/>
      <c r="J338" s="336"/>
      <c r="K338" s="336"/>
      <c r="L338" s="336"/>
      <c r="M338" s="336"/>
      <c r="N338" s="336"/>
      <c r="O338" s="336"/>
      <c r="P338" s="336"/>
      <c r="Q338" s="336"/>
      <c r="R338" s="336"/>
      <c r="S338" s="336"/>
      <c r="T338" s="336"/>
      <c r="U338" s="336"/>
      <c r="V338" s="336"/>
      <c r="W338" s="336"/>
      <c r="X338" s="336"/>
      <c r="Y338" s="336"/>
      <c r="Z338" s="336"/>
      <c r="AA338" s="336"/>
      <c r="AB338" s="336"/>
      <c r="AC338" s="336"/>
      <c r="AD338" s="336"/>
      <c r="AE338" s="336"/>
      <c r="AF338" s="336"/>
      <c r="AG338" s="336"/>
      <c r="AH338" s="336"/>
      <c r="AI338" s="337"/>
      <c r="AJ338" s="11" t="s">
        <v>19</v>
      </c>
    </row>
    <row r="339" spans="1:36" ht="12.75" customHeight="1" x14ac:dyDescent="0.2">
      <c r="A339" s="7"/>
      <c r="B339" s="8"/>
      <c r="C339" s="196"/>
      <c r="D339" s="331" t="s">
        <v>914</v>
      </c>
      <c r="E339" s="331"/>
      <c r="F339" s="331"/>
      <c r="G339" s="331"/>
      <c r="H339" s="331"/>
      <c r="I339" s="331"/>
      <c r="J339" s="331"/>
      <c r="K339" s="331"/>
      <c r="L339" s="331"/>
      <c r="M339" s="331"/>
      <c r="N339" s="331"/>
      <c r="O339" s="331"/>
      <c r="P339" s="331"/>
      <c r="Q339" s="331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31"/>
      <c r="AD339" s="331"/>
      <c r="AE339" s="331"/>
      <c r="AF339" s="331"/>
      <c r="AG339" s="331"/>
      <c r="AH339" s="331"/>
      <c r="AI339" s="156"/>
      <c r="AJ339" s="157"/>
    </row>
    <row r="340" spans="1:36" x14ac:dyDescent="0.2">
      <c r="A340" s="7"/>
      <c r="B340" s="8"/>
      <c r="C340" s="193" t="s">
        <v>915</v>
      </c>
      <c r="D340" s="155">
        <v>4.6500000000000004</v>
      </c>
      <c r="E340" s="155" t="s">
        <v>764</v>
      </c>
      <c r="F340" s="155">
        <v>2.82</v>
      </c>
      <c r="G340" s="155" t="s">
        <v>764</v>
      </c>
      <c r="H340" s="155">
        <v>2.35</v>
      </c>
      <c r="I340" s="155" t="s">
        <v>764</v>
      </c>
      <c r="J340" s="155">
        <v>4.75</v>
      </c>
      <c r="K340" s="155" t="s">
        <v>764</v>
      </c>
      <c r="L340" s="155">
        <v>2.25</v>
      </c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 t="s">
        <v>745</v>
      </c>
      <c r="AH340" s="158">
        <v>2.7</v>
      </c>
      <c r="AI340" s="156" t="s">
        <v>727</v>
      </c>
      <c r="AJ340" s="158">
        <f>(D340+F340+H340+J340+L340+N340+P340+P340+P340+R340+T340+V340+X340)*AH340</f>
        <v>45.414000000000001</v>
      </c>
    </row>
    <row r="341" spans="1:36" x14ac:dyDescent="0.2">
      <c r="A341" s="7"/>
      <c r="B341" s="8"/>
      <c r="C341" s="193" t="s">
        <v>916</v>
      </c>
      <c r="D341" s="155">
        <v>2.25</v>
      </c>
      <c r="E341" s="155" t="s">
        <v>764</v>
      </c>
      <c r="F341" s="155">
        <v>3.8069999999999999</v>
      </c>
      <c r="G341" s="155" t="s">
        <v>764</v>
      </c>
      <c r="H341" s="155"/>
      <c r="I341" s="155" t="s">
        <v>764</v>
      </c>
      <c r="J341" s="155"/>
      <c r="K341" s="155" t="s">
        <v>764</v>
      </c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 t="s">
        <v>745</v>
      </c>
      <c r="AH341" s="158">
        <v>2.7</v>
      </c>
      <c r="AI341" s="156" t="s">
        <v>727</v>
      </c>
      <c r="AJ341" s="158">
        <f t="shared" ref="AJ341:AJ349" si="11">(D341+F341+H341+J341+L341+N341+P341+P341+P341+R341+T341+V341+X341)*AH341</f>
        <v>16.353900000000003</v>
      </c>
    </row>
    <row r="342" spans="1:36" x14ac:dyDescent="0.2">
      <c r="A342" s="7"/>
      <c r="B342" s="8"/>
      <c r="C342" s="193" t="s">
        <v>917</v>
      </c>
      <c r="D342" s="155">
        <v>2.25</v>
      </c>
      <c r="E342" s="155" t="s">
        <v>764</v>
      </c>
      <c r="F342" s="155">
        <v>2.25</v>
      </c>
      <c r="G342" s="155" t="s">
        <v>764</v>
      </c>
      <c r="H342" s="155">
        <v>2.85</v>
      </c>
      <c r="I342" s="155" t="s">
        <v>764</v>
      </c>
      <c r="J342" s="155">
        <v>2.35</v>
      </c>
      <c r="K342" s="155" t="s">
        <v>764</v>
      </c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 t="s">
        <v>745</v>
      </c>
      <c r="AH342" s="158">
        <v>2.7</v>
      </c>
      <c r="AI342" s="156" t="s">
        <v>727</v>
      </c>
      <c r="AJ342" s="158">
        <f t="shared" si="11"/>
        <v>26.19</v>
      </c>
    </row>
    <row r="343" spans="1:36" x14ac:dyDescent="0.2">
      <c r="A343" s="7"/>
      <c r="B343" s="8"/>
      <c r="C343" s="193" t="s">
        <v>918</v>
      </c>
      <c r="D343" s="155">
        <v>3</v>
      </c>
      <c r="E343" s="155" t="s">
        <v>764</v>
      </c>
      <c r="F343" s="155">
        <v>3.75</v>
      </c>
      <c r="G343" s="155" t="s">
        <v>764</v>
      </c>
      <c r="H343" s="155">
        <v>4.59</v>
      </c>
      <c r="I343" s="155" t="s">
        <v>764</v>
      </c>
      <c r="J343" s="155">
        <v>4</v>
      </c>
      <c r="K343" s="155" t="s">
        <v>764</v>
      </c>
      <c r="L343" s="155">
        <v>1.6</v>
      </c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 t="s">
        <v>745</v>
      </c>
      <c r="AH343" s="158">
        <v>2.7</v>
      </c>
      <c r="AI343" s="156" t="s">
        <v>727</v>
      </c>
      <c r="AJ343" s="158">
        <f t="shared" si="11"/>
        <v>45.738000000000007</v>
      </c>
    </row>
    <row r="344" spans="1:36" x14ac:dyDescent="0.2">
      <c r="A344" s="7"/>
      <c r="B344" s="8"/>
      <c r="C344" s="193" t="s">
        <v>919</v>
      </c>
      <c r="D344" s="155">
        <v>3</v>
      </c>
      <c r="E344" s="155" t="s">
        <v>764</v>
      </c>
      <c r="F344" s="155">
        <v>3.9</v>
      </c>
      <c r="G344" s="155" t="s">
        <v>764</v>
      </c>
      <c r="H344" s="155"/>
      <c r="I344" s="155" t="s">
        <v>764</v>
      </c>
      <c r="J344" s="155"/>
      <c r="K344" s="155" t="s">
        <v>764</v>
      </c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 t="s">
        <v>745</v>
      </c>
      <c r="AH344" s="158">
        <v>2.7</v>
      </c>
      <c r="AI344" s="156" t="s">
        <v>727</v>
      </c>
      <c r="AJ344" s="158">
        <f t="shared" si="11"/>
        <v>18.630000000000003</v>
      </c>
    </row>
    <row r="345" spans="1:36" x14ac:dyDescent="0.2">
      <c r="A345" s="7"/>
      <c r="B345" s="8"/>
      <c r="C345" s="193" t="s">
        <v>920</v>
      </c>
      <c r="D345" s="155">
        <v>3.9</v>
      </c>
      <c r="E345" s="155" t="s">
        <v>764</v>
      </c>
      <c r="F345" s="155">
        <v>2.85</v>
      </c>
      <c r="G345" s="155" t="s">
        <v>764</v>
      </c>
      <c r="H345" s="155">
        <v>1.95</v>
      </c>
      <c r="I345" s="155" t="s">
        <v>764</v>
      </c>
      <c r="J345" s="155">
        <v>1.95</v>
      </c>
      <c r="K345" s="155" t="s">
        <v>764</v>
      </c>
      <c r="L345" s="155">
        <v>3.45</v>
      </c>
      <c r="M345" s="155" t="s">
        <v>764</v>
      </c>
      <c r="N345" s="155">
        <v>4.05</v>
      </c>
      <c r="O345" s="155" t="s">
        <v>764</v>
      </c>
      <c r="P345" s="155">
        <v>2.98</v>
      </c>
      <c r="Q345" s="155" t="s">
        <v>764</v>
      </c>
      <c r="R345" s="155">
        <v>1.2</v>
      </c>
      <c r="S345" s="155" t="s">
        <v>764</v>
      </c>
      <c r="T345" s="155">
        <v>3.8</v>
      </c>
      <c r="U345" s="155" t="s">
        <v>764</v>
      </c>
      <c r="V345" s="155">
        <v>0.72</v>
      </c>
      <c r="W345" s="155" t="s">
        <v>764</v>
      </c>
      <c r="X345" s="155">
        <v>2.25</v>
      </c>
      <c r="Y345" s="155"/>
      <c r="Z345" s="155"/>
      <c r="AA345" s="155"/>
      <c r="AB345" s="179"/>
      <c r="AC345" s="179"/>
      <c r="AD345" s="179"/>
      <c r="AE345" s="155"/>
      <c r="AF345" s="155"/>
      <c r="AG345" s="155" t="s">
        <v>745</v>
      </c>
      <c r="AH345" s="158">
        <v>2.7</v>
      </c>
      <c r="AI345" s="156" t="s">
        <v>727</v>
      </c>
      <c r="AJ345" s="158">
        <f>(D345+F345+H345+J345+L345+N345+P345+P345+P345+R345+T345+V345+X345)*AH345</f>
        <v>94.661999999999992</v>
      </c>
    </row>
    <row r="346" spans="1:36" x14ac:dyDescent="0.2">
      <c r="A346" s="7"/>
      <c r="B346" s="8"/>
      <c r="C346" s="193" t="s">
        <v>921</v>
      </c>
      <c r="D346" s="155">
        <v>4.2</v>
      </c>
      <c r="E346" s="155" t="s">
        <v>764</v>
      </c>
      <c r="F346" s="155">
        <v>2.5499999999999998</v>
      </c>
      <c r="G346" s="155" t="s">
        <v>764</v>
      </c>
      <c r="H346" s="155"/>
      <c r="I346" s="155" t="s">
        <v>764</v>
      </c>
      <c r="J346" s="155"/>
      <c r="K346" s="155" t="s">
        <v>764</v>
      </c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 t="s">
        <v>745</v>
      </c>
      <c r="AH346" s="158">
        <v>2.7</v>
      </c>
      <c r="AI346" s="156" t="s">
        <v>727</v>
      </c>
      <c r="AJ346" s="158">
        <f t="shared" si="11"/>
        <v>18.225000000000001</v>
      </c>
    </row>
    <row r="347" spans="1:36" x14ac:dyDescent="0.2">
      <c r="A347" s="7"/>
      <c r="B347" s="8"/>
      <c r="C347" s="193" t="s">
        <v>922</v>
      </c>
      <c r="D347" s="155">
        <v>1.95</v>
      </c>
      <c r="E347" s="155" t="s">
        <v>764</v>
      </c>
      <c r="F347" s="155">
        <v>1.95</v>
      </c>
      <c r="G347" s="155" t="s">
        <v>764</v>
      </c>
      <c r="H347" s="155"/>
      <c r="I347" s="155" t="s">
        <v>764</v>
      </c>
      <c r="J347" s="155"/>
      <c r="K347" s="155" t="s">
        <v>764</v>
      </c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 t="s">
        <v>745</v>
      </c>
      <c r="AH347" s="158">
        <v>2.7</v>
      </c>
      <c r="AI347" s="156" t="s">
        <v>727</v>
      </c>
      <c r="AJ347" s="158">
        <f t="shared" si="11"/>
        <v>10.530000000000001</v>
      </c>
    </row>
    <row r="348" spans="1:36" x14ac:dyDescent="0.2">
      <c r="A348" s="7"/>
      <c r="B348" s="8"/>
      <c r="C348" s="193" t="s">
        <v>923</v>
      </c>
      <c r="D348" s="155">
        <v>2.7</v>
      </c>
      <c r="E348" s="155" t="s">
        <v>764</v>
      </c>
      <c r="F348" s="155">
        <v>0.4</v>
      </c>
      <c r="G348" s="155" t="s">
        <v>764</v>
      </c>
      <c r="H348" s="155">
        <v>3.45</v>
      </c>
      <c r="I348" s="155" t="s">
        <v>764</v>
      </c>
      <c r="J348" s="155"/>
      <c r="K348" s="155" t="s">
        <v>764</v>
      </c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 t="s">
        <v>745</v>
      </c>
      <c r="AH348" s="158">
        <v>2.7</v>
      </c>
      <c r="AI348" s="156" t="s">
        <v>727</v>
      </c>
      <c r="AJ348" s="158">
        <f>(D348+F348+H348+J348+L348+N348+P348+P348+P348+R348+T348+V348+X348)*AH348</f>
        <v>17.685000000000002</v>
      </c>
    </row>
    <row r="349" spans="1:36" x14ac:dyDescent="0.2">
      <c r="A349" s="7"/>
      <c r="B349" s="8"/>
      <c r="C349" s="193" t="s">
        <v>924</v>
      </c>
      <c r="D349" s="155">
        <v>1.05</v>
      </c>
      <c r="E349" s="155" t="s">
        <v>764</v>
      </c>
      <c r="F349" s="155">
        <v>2.5499999999999998</v>
      </c>
      <c r="G349" s="155" t="s">
        <v>764</v>
      </c>
      <c r="H349" s="155">
        <v>4.05</v>
      </c>
      <c r="I349" s="155" t="s">
        <v>764</v>
      </c>
      <c r="J349" s="155">
        <v>3.45</v>
      </c>
      <c r="K349" s="155" t="s">
        <v>764</v>
      </c>
      <c r="L349" s="155">
        <v>2.98</v>
      </c>
      <c r="M349" s="155" t="s">
        <v>764</v>
      </c>
      <c r="N349" s="155">
        <v>5.78</v>
      </c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 t="s">
        <v>745</v>
      </c>
      <c r="AH349" s="158">
        <v>2.7</v>
      </c>
      <c r="AI349" s="156" t="s">
        <v>727</v>
      </c>
      <c r="AJ349" s="158">
        <f t="shared" si="11"/>
        <v>53.622</v>
      </c>
    </row>
    <row r="350" spans="1:36" ht="12.75" customHeight="1" x14ac:dyDescent="0.2">
      <c r="A350" s="7"/>
      <c r="B350" s="8"/>
      <c r="C350" s="193"/>
      <c r="D350" s="309" t="s">
        <v>925</v>
      </c>
      <c r="E350" s="309"/>
      <c r="F350" s="309"/>
      <c r="G350" s="309"/>
      <c r="H350" s="309"/>
      <c r="I350" s="309"/>
      <c r="J350" s="309"/>
      <c r="K350" s="309"/>
      <c r="L350" s="309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  <c r="X350" s="309"/>
      <c r="Y350" s="309"/>
      <c r="Z350" s="309"/>
      <c r="AA350" s="309"/>
      <c r="AB350" s="309"/>
      <c r="AC350" s="309"/>
      <c r="AD350" s="309"/>
      <c r="AE350" s="309"/>
      <c r="AF350" s="309"/>
      <c r="AG350" s="309"/>
      <c r="AH350" s="309"/>
      <c r="AI350" s="197" t="s">
        <v>727</v>
      </c>
      <c r="AJ350" s="198">
        <f>SUM(AJ340:AJ349)</f>
        <v>347.04990000000009</v>
      </c>
    </row>
    <row r="351" spans="1:36" ht="12.75" customHeight="1" x14ac:dyDescent="0.2">
      <c r="A351" s="7"/>
      <c r="B351" s="8"/>
      <c r="C351" s="196"/>
      <c r="D351" s="331" t="s">
        <v>926</v>
      </c>
      <c r="E351" s="331"/>
      <c r="F351" s="331"/>
      <c r="G351" s="331"/>
      <c r="H351" s="331"/>
      <c r="I351" s="331"/>
      <c r="J351" s="331"/>
      <c r="K351" s="331"/>
      <c r="L351" s="331"/>
      <c r="M351" s="331"/>
      <c r="N351" s="331"/>
      <c r="O351" s="331"/>
      <c r="P351" s="331"/>
      <c r="Q351" s="331"/>
      <c r="R351" s="331"/>
      <c r="S351" s="331"/>
      <c r="T351" s="331"/>
      <c r="U351" s="331"/>
      <c r="V351" s="331"/>
      <c r="W351" s="331"/>
      <c r="X351" s="331"/>
      <c r="Y351" s="331"/>
      <c r="Z351" s="331"/>
      <c r="AA351" s="331"/>
      <c r="AB351" s="331"/>
      <c r="AC351" s="331"/>
      <c r="AD351" s="331"/>
      <c r="AE351" s="331"/>
      <c r="AF351" s="331"/>
      <c r="AG351" s="331"/>
      <c r="AH351" s="331"/>
      <c r="AI351" s="156"/>
      <c r="AJ351" s="157"/>
    </row>
    <row r="352" spans="1:36" x14ac:dyDescent="0.2">
      <c r="A352" s="7"/>
      <c r="B352" s="8"/>
      <c r="C352" s="193" t="s">
        <v>927</v>
      </c>
      <c r="D352" s="155">
        <v>1.915</v>
      </c>
      <c r="E352" s="155" t="s">
        <v>764</v>
      </c>
      <c r="F352" s="155">
        <v>2.1789999999999998</v>
      </c>
      <c r="G352" s="155" t="s">
        <v>764</v>
      </c>
      <c r="H352" s="155">
        <v>2.206</v>
      </c>
      <c r="I352" s="155" t="s">
        <v>764</v>
      </c>
      <c r="J352" s="155">
        <v>2.629</v>
      </c>
      <c r="K352" s="155" t="s">
        <v>764</v>
      </c>
      <c r="L352" s="155">
        <v>1.5189999999999999</v>
      </c>
      <c r="M352" s="155" t="s">
        <v>764</v>
      </c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 t="s">
        <v>745</v>
      </c>
      <c r="AH352" s="158">
        <v>2.7</v>
      </c>
      <c r="AI352" s="156" t="s">
        <v>727</v>
      </c>
      <c r="AJ352" s="158">
        <f>(D352+F352+H352+J352+L352+N352)*AH352</f>
        <v>28.209599999999998</v>
      </c>
    </row>
    <row r="353" spans="1:36" x14ac:dyDescent="0.2">
      <c r="A353" s="7"/>
      <c r="B353" s="8"/>
      <c r="C353" s="193" t="s">
        <v>928</v>
      </c>
      <c r="D353" s="155">
        <v>1.915</v>
      </c>
      <c r="E353" s="155" t="s">
        <v>764</v>
      </c>
      <c r="F353" s="155">
        <v>2.1789999999999998</v>
      </c>
      <c r="G353" s="155" t="s">
        <v>764</v>
      </c>
      <c r="H353" s="155">
        <f>2.206-0.15</f>
        <v>2.056</v>
      </c>
      <c r="I353" s="155" t="s">
        <v>764</v>
      </c>
      <c r="J353" s="155">
        <v>2.7789999999999999</v>
      </c>
      <c r="K353" s="155" t="s">
        <v>764</v>
      </c>
      <c r="L353" s="155">
        <v>1.5149999999999999</v>
      </c>
      <c r="M353" s="155" t="s">
        <v>764</v>
      </c>
      <c r="N353" s="155">
        <v>1.615</v>
      </c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 t="s">
        <v>745</v>
      </c>
      <c r="AH353" s="158">
        <v>2.7</v>
      </c>
      <c r="AI353" s="156" t="s">
        <v>727</v>
      </c>
      <c r="AJ353" s="158">
        <f t="shared" ref="AJ353:AJ360" si="12">(D353+F353+H353+J353+L353+N353)*AH353</f>
        <v>32.5593</v>
      </c>
    </row>
    <row r="354" spans="1:36" x14ac:dyDescent="0.2">
      <c r="A354" s="7"/>
      <c r="B354" s="8"/>
      <c r="C354" s="193" t="s">
        <v>929</v>
      </c>
      <c r="D354" s="155">
        <v>2.2149999999999999</v>
      </c>
      <c r="E354" s="155" t="s">
        <v>764</v>
      </c>
      <c r="F354" s="155">
        <v>2.7709999999999999</v>
      </c>
      <c r="G354" s="155" t="s">
        <v>764</v>
      </c>
      <c r="H354" s="155">
        <v>1.615</v>
      </c>
      <c r="I354" s="155" t="s">
        <v>764</v>
      </c>
      <c r="J354" s="155">
        <v>1.6060000000000001</v>
      </c>
      <c r="K354" s="155" t="s">
        <v>764</v>
      </c>
      <c r="L354" s="155">
        <v>2.7879999999999998</v>
      </c>
      <c r="M354" s="155" t="s">
        <v>764</v>
      </c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 t="s">
        <v>745</v>
      </c>
      <c r="AH354" s="158">
        <v>2.7</v>
      </c>
      <c r="AI354" s="156" t="s">
        <v>727</v>
      </c>
      <c r="AJ354" s="158">
        <f t="shared" si="12"/>
        <v>29.686500000000006</v>
      </c>
    </row>
    <row r="355" spans="1:36" x14ac:dyDescent="0.2">
      <c r="A355" s="7"/>
      <c r="B355" s="8"/>
      <c r="C355" s="193" t="s">
        <v>930</v>
      </c>
      <c r="D355" s="155">
        <v>2.7890000000000001</v>
      </c>
      <c r="E355" s="155" t="s">
        <v>764</v>
      </c>
      <c r="F355" s="155">
        <f>1.606-0.15</f>
        <v>1.4560000000000002</v>
      </c>
      <c r="G355" s="155" t="s">
        <v>764</v>
      </c>
      <c r="H355" s="155">
        <f>1.615-0.15</f>
        <v>1.4650000000000001</v>
      </c>
      <c r="I355" s="155" t="s">
        <v>764</v>
      </c>
      <c r="J355" s="155">
        <v>2.25</v>
      </c>
      <c r="K355" s="155" t="s">
        <v>764</v>
      </c>
      <c r="L355" s="155"/>
      <c r="M355" s="155" t="s">
        <v>764</v>
      </c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 t="s">
        <v>745</v>
      </c>
      <c r="AH355" s="158">
        <v>2.7</v>
      </c>
      <c r="AI355" s="156" t="s">
        <v>727</v>
      </c>
      <c r="AJ355" s="158">
        <f t="shared" si="12"/>
        <v>21.492000000000001</v>
      </c>
    </row>
    <row r="356" spans="1:36" x14ac:dyDescent="0.2">
      <c r="A356" s="7"/>
      <c r="B356" s="8"/>
      <c r="C356" s="193" t="s">
        <v>931</v>
      </c>
      <c r="D356" s="155">
        <v>2.7890000000000001</v>
      </c>
      <c r="E356" s="155" t="s">
        <v>764</v>
      </c>
      <c r="F356" s="155">
        <f>1.606-0.15</f>
        <v>1.4560000000000002</v>
      </c>
      <c r="G356" s="155" t="s">
        <v>764</v>
      </c>
      <c r="H356" s="155">
        <f>1.615-0.15</f>
        <v>1.4650000000000001</v>
      </c>
      <c r="I356" s="155" t="s">
        <v>764</v>
      </c>
      <c r="J356" s="155"/>
      <c r="K356" s="155" t="s">
        <v>764</v>
      </c>
      <c r="L356" s="155"/>
      <c r="M356" s="155" t="s">
        <v>764</v>
      </c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 t="s">
        <v>745</v>
      </c>
      <c r="AH356" s="158">
        <v>2.7</v>
      </c>
      <c r="AI356" s="156" t="s">
        <v>727</v>
      </c>
      <c r="AJ356" s="158">
        <f t="shared" si="12"/>
        <v>15.417000000000002</v>
      </c>
    </row>
    <row r="357" spans="1:36" x14ac:dyDescent="0.2">
      <c r="A357" s="7"/>
      <c r="B357" s="8"/>
      <c r="C357" s="193" t="s">
        <v>932</v>
      </c>
      <c r="D357" s="155">
        <v>1.615</v>
      </c>
      <c r="E357" s="155" t="s">
        <v>764</v>
      </c>
      <c r="F357" s="155">
        <v>1.6850000000000001</v>
      </c>
      <c r="G357" s="155" t="s">
        <v>764</v>
      </c>
      <c r="H357" s="155">
        <v>2.5590000000000002</v>
      </c>
      <c r="I357" s="155" t="s">
        <v>764</v>
      </c>
      <c r="J357" s="155">
        <f>3.706-0.45-0.15-0.15</f>
        <v>2.956</v>
      </c>
      <c r="K357" s="155" t="s">
        <v>764</v>
      </c>
      <c r="L357" s="155"/>
      <c r="M357" s="155" t="s">
        <v>764</v>
      </c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 t="s">
        <v>745</v>
      </c>
      <c r="AH357" s="158">
        <v>2.7</v>
      </c>
      <c r="AI357" s="156" t="s">
        <v>727</v>
      </c>
      <c r="AJ357" s="158">
        <f t="shared" si="12"/>
        <v>23.8005</v>
      </c>
    </row>
    <row r="358" spans="1:36" x14ac:dyDescent="0.2">
      <c r="A358" s="7"/>
      <c r="B358" s="8"/>
      <c r="C358" s="193" t="s">
        <v>933</v>
      </c>
      <c r="D358" s="155">
        <v>2.1</v>
      </c>
      <c r="E358" s="155" t="s">
        <v>764</v>
      </c>
      <c r="F358" s="155">
        <v>1.65</v>
      </c>
      <c r="G358" s="155" t="s">
        <v>764</v>
      </c>
      <c r="H358" s="155">
        <v>1.95</v>
      </c>
      <c r="I358" s="155" t="s">
        <v>764</v>
      </c>
      <c r="J358" s="155">
        <v>3.8</v>
      </c>
      <c r="K358" s="155" t="s">
        <v>764</v>
      </c>
      <c r="L358" s="155"/>
      <c r="M358" s="155" t="s">
        <v>764</v>
      </c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 t="s">
        <v>745</v>
      </c>
      <c r="AH358" s="158">
        <v>2.7</v>
      </c>
      <c r="AI358" s="156" t="s">
        <v>727</v>
      </c>
      <c r="AJ358" s="158">
        <f t="shared" si="12"/>
        <v>25.650000000000002</v>
      </c>
    </row>
    <row r="359" spans="1:36" x14ac:dyDescent="0.2">
      <c r="A359" s="7"/>
      <c r="B359" s="8"/>
      <c r="C359" s="193" t="s">
        <v>934</v>
      </c>
      <c r="D359" s="155">
        <v>3.92</v>
      </c>
      <c r="E359" s="155" t="s">
        <v>764</v>
      </c>
      <c r="F359" s="155">
        <v>1.95</v>
      </c>
      <c r="G359" s="155" t="s">
        <v>764</v>
      </c>
      <c r="H359" s="155">
        <v>4.49</v>
      </c>
      <c r="I359" s="155" t="s">
        <v>764</v>
      </c>
      <c r="J359" s="155">
        <v>0.8</v>
      </c>
      <c r="K359" s="155" t="s">
        <v>764</v>
      </c>
      <c r="L359" s="155">
        <v>1.66</v>
      </c>
      <c r="M359" s="155" t="s">
        <v>764</v>
      </c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 t="s">
        <v>745</v>
      </c>
      <c r="AH359" s="158">
        <v>2.7</v>
      </c>
      <c r="AI359" s="156" t="s">
        <v>727</v>
      </c>
      <c r="AJ359" s="158">
        <f t="shared" si="12"/>
        <v>34.614000000000004</v>
      </c>
    </row>
    <row r="360" spans="1:36" x14ac:dyDescent="0.2">
      <c r="A360" s="7"/>
      <c r="B360" s="8"/>
      <c r="C360" s="193" t="s">
        <v>935</v>
      </c>
      <c r="D360" s="155">
        <v>3.9</v>
      </c>
      <c r="E360" s="155" t="s">
        <v>764</v>
      </c>
      <c r="F360" s="155">
        <v>1.95</v>
      </c>
      <c r="G360" s="155" t="s">
        <v>764</v>
      </c>
      <c r="H360" s="155">
        <v>3.69</v>
      </c>
      <c r="I360" s="155" t="s">
        <v>764</v>
      </c>
      <c r="J360" s="155">
        <v>2.46</v>
      </c>
      <c r="K360" s="155" t="s">
        <v>764</v>
      </c>
      <c r="L360" s="155"/>
      <c r="M360" s="155" t="s">
        <v>764</v>
      </c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 t="s">
        <v>745</v>
      </c>
      <c r="AH360" s="158">
        <v>2.7</v>
      </c>
      <c r="AI360" s="156" t="s">
        <v>727</v>
      </c>
      <c r="AJ360" s="158">
        <f t="shared" si="12"/>
        <v>32.400000000000006</v>
      </c>
    </row>
    <row r="361" spans="1:36" x14ac:dyDescent="0.2">
      <c r="A361" s="7"/>
      <c r="B361" s="8"/>
      <c r="C361" s="193" t="s">
        <v>936</v>
      </c>
      <c r="D361" s="155">
        <v>3.54</v>
      </c>
      <c r="E361" s="155" t="s">
        <v>764</v>
      </c>
      <c r="F361" s="155">
        <v>2.31</v>
      </c>
      <c r="G361" s="155" t="s">
        <v>764</v>
      </c>
      <c r="H361" s="155"/>
      <c r="I361" s="155" t="s">
        <v>764</v>
      </c>
      <c r="J361" s="155"/>
      <c r="K361" s="155" t="s">
        <v>764</v>
      </c>
      <c r="L361" s="155"/>
      <c r="M361" s="155" t="s">
        <v>764</v>
      </c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 t="s">
        <v>745</v>
      </c>
      <c r="AH361" s="158">
        <v>2.7</v>
      </c>
      <c r="AI361" s="156" t="s">
        <v>727</v>
      </c>
      <c r="AJ361" s="158">
        <f>(D361+F361+H361+J361+L361+N361)*AH361</f>
        <v>15.795</v>
      </c>
    </row>
    <row r="362" spans="1:36" ht="12.75" customHeight="1" x14ac:dyDescent="0.2">
      <c r="A362" s="7"/>
      <c r="B362" s="8"/>
      <c r="C362" s="196"/>
      <c r="D362" s="309" t="s">
        <v>937</v>
      </c>
      <c r="E362" s="309"/>
      <c r="F362" s="309"/>
      <c r="G362" s="309"/>
      <c r="H362" s="309"/>
      <c r="I362" s="309"/>
      <c r="J362" s="309"/>
      <c r="K362" s="309"/>
      <c r="L362" s="309"/>
      <c r="M362" s="309"/>
      <c r="N362" s="309"/>
      <c r="O362" s="309"/>
      <c r="P362" s="309"/>
      <c r="Q362" s="309"/>
      <c r="R362" s="309"/>
      <c r="S362" s="309"/>
      <c r="T362" s="309"/>
      <c r="U362" s="309"/>
      <c r="V362" s="309"/>
      <c r="W362" s="309"/>
      <c r="X362" s="309"/>
      <c r="Y362" s="309"/>
      <c r="Z362" s="309"/>
      <c r="AA362" s="309"/>
      <c r="AB362" s="309"/>
      <c r="AC362" s="309"/>
      <c r="AD362" s="309"/>
      <c r="AE362" s="309"/>
      <c r="AF362" s="309"/>
      <c r="AG362" s="309"/>
      <c r="AH362" s="309"/>
      <c r="AI362" s="156" t="s">
        <v>727</v>
      </c>
      <c r="AJ362" s="198">
        <f>SUM(AJ352:AJ361)</f>
        <v>259.62390000000005</v>
      </c>
    </row>
    <row r="363" spans="1:36" ht="12.75" customHeight="1" x14ac:dyDescent="0.2">
      <c r="A363" s="7"/>
      <c r="B363" s="8"/>
      <c r="C363" s="196"/>
      <c r="D363" s="331" t="s">
        <v>938</v>
      </c>
      <c r="E363" s="331"/>
      <c r="F363" s="331"/>
      <c r="G363" s="331"/>
      <c r="H363" s="331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/>
      <c r="X363" s="331"/>
      <c r="Y363" s="331"/>
      <c r="Z363" s="331"/>
      <c r="AA363" s="331"/>
      <c r="AB363" s="331"/>
      <c r="AC363" s="331"/>
      <c r="AD363" s="331"/>
      <c r="AE363" s="331"/>
      <c r="AF363" s="331"/>
      <c r="AG363" s="331"/>
      <c r="AH363" s="331"/>
      <c r="AI363" s="156"/>
      <c r="AJ363" s="157"/>
    </row>
    <row r="364" spans="1:36" x14ac:dyDescent="0.2">
      <c r="A364" s="7"/>
      <c r="B364" s="8"/>
      <c r="C364" s="193" t="s">
        <v>939</v>
      </c>
      <c r="D364" s="155">
        <v>100.65</v>
      </c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 t="s">
        <v>745</v>
      </c>
      <c r="AH364" s="158">
        <v>1.3</v>
      </c>
      <c r="AI364" s="156" t="s">
        <v>727</v>
      </c>
      <c r="AJ364" s="158">
        <f>(D364+F364+H364+J364+L364+N364+P364+R364+T364)*AH364</f>
        <v>130.845</v>
      </c>
    </row>
    <row r="365" spans="1:36" x14ac:dyDescent="0.2">
      <c r="A365" s="7"/>
      <c r="B365" s="8"/>
      <c r="C365" s="193" t="s">
        <v>940</v>
      </c>
      <c r="D365" s="155">
        <v>65.400000000000006</v>
      </c>
      <c r="E365" s="199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 t="s">
        <v>745</v>
      </c>
      <c r="AH365" s="158">
        <v>0.2</v>
      </c>
      <c r="AI365" s="156" t="s">
        <v>727</v>
      </c>
      <c r="AJ365" s="158">
        <f t="shared" ref="AJ365:AJ373" si="13">(D365+F365+H365+J365+L365+N365+P365+R365+T365)*AH365</f>
        <v>13.080000000000002</v>
      </c>
    </row>
    <row r="366" spans="1:36" x14ac:dyDescent="0.2">
      <c r="A366" s="7"/>
      <c r="B366" s="8"/>
      <c r="C366" s="193" t="s">
        <v>941</v>
      </c>
      <c r="D366" s="155">
        <v>0.64</v>
      </c>
      <c r="E366" s="155" t="s">
        <v>764</v>
      </c>
      <c r="F366" s="155">
        <v>0.64</v>
      </c>
      <c r="G366" s="155" t="s">
        <v>764</v>
      </c>
      <c r="H366" s="155">
        <v>0.86</v>
      </c>
      <c r="I366" s="155" t="s">
        <v>764</v>
      </c>
      <c r="J366" s="155">
        <v>0.86</v>
      </c>
      <c r="K366" s="155" t="s">
        <v>764</v>
      </c>
      <c r="L366" s="155">
        <v>0.5</v>
      </c>
      <c r="M366" s="155" t="s">
        <v>764</v>
      </c>
      <c r="N366" s="155">
        <v>0.99</v>
      </c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 t="s">
        <v>745</v>
      </c>
      <c r="AH366" s="158">
        <v>0.8</v>
      </c>
      <c r="AI366" s="156" t="s">
        <v>727</v>
      </c>
      <c r="AJ366" s="158">
        <f t="shared" si="13"/>
        <v>3.5920000000000005</v>
      </c>
    </row>
    <row r="367" spans="1:36" x14ac:dyDescent="0.2">
      <c r="A367" s="7"/>
      <c r="B367" s="8"/>
      <c r="C367" s="193" t="s">
        <v>942</v>
      </c>
      <c r="D367" s="155">
        <v>0.7</v>
      </c>
      <c r="E367" s="155" t="s">
        <v>764</v>
      </c>
      <c r="F367" s="155">
        <v>0.7</v>
      </c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 t="s">
        <v>745</v>
      </c>
      <c r="AH367" s="158">
        <v>0.84</v>
      </c>
      <c r="AI367" s="156" t="s">
        <v>727</v>
      </c>
      <c r="AJ367" s="158">
        <f t="shared" si="13"/>
        <v>1.1759999999999999</v>
      </c>
    </row>
    <row r="368" spans="1:36" x14ac:dyDescent="0.2">
      <c r="A368" s="7"/>
      <c r="B368" s="8"/>
      <c r="C368" s="193" t="s">
        <v>790</v>
      </c>
      <c r="D368" s="155">
        <v>2.9830000000000001</v>
      </c>
      <c r="E368" s="155" t="s">
        <v>764</v>
      </c>
      <c r="F368" s="200">
        <v>2.9830000000000001</v>
      </c>
      <c r="G368" s="155" t="s">
        <v>764</v>
      </c>
      <c r="H368" s="155">
        <v>2.92</v>
      </c>
      <c r="I368" s="155" t="s">
        <v>764</v>
      </c>
      <c r="J368" s="155">
        <v>2.92</v>
      </c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 t="s">
        <v>745</v>
      </c>
      <c r="AH368" s="158">
        <v>2.5</v>
      </c>
      <c r="AI368" s="156" t="s">
        <v>727</v>
      </c>
      <c r="AJ368" s="158">
        <f t="shared" si="13"/>
        <v>29.514999999999997</v>
      </c>
    </row>
    <row r="369" spans="1:36" x14ac:dyDescent="0.2">
      <c r="A369" s="7"/>
      <c r="B369" s="8"/>
      <c r="C369" s="201" t="s">
        <v>943</v>
      </c>
      <c r="D369" s="155">
        <v>2.2000000000000002</v>
      </c>
      <c r="E369" s="155" t="s">
        <v>764</v>
      </c>
      <c r="F369" s="200">
        <v>7.35</v>
      </c>
      <c r="G369" s="155" t="s">
        <v>764</v>
      </c>
      <c r="H369" s="155">
        <v>2.2000000000000002</v>
      </c>
      <c r="I369" s="155" t="s">
        <v>764</v>
      </c>
      <c r="J369" s="155">
        <v>6</v>
      </c>
      <c r="K369" s="155" t="s">
        <v>764</v>
      </c>
      <c r="L369" s="155">
        <v>24</v>
      </c>
      <c r="M369" s="155" t="s">
        <v>764</v>
      </c>
      <c r="N369" s="155">
        <v>3.85</v>
      </c>
      <c r="O369" s="155" t="s">
        <v>764</v>
      </c>
      <c r="P369" s="155">
        <v>2.65</v>
      </c>
      <c r="Q369" s="155" t="s">
        <v>745</v>
      </c>
      <c r="R369" s="155">
        <v>0.63</v>
      </c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 t="s">
        <v>745</v>
      </c>
      <c r="AH369" s="158">
        <v>0.3</v>
      </c>
      <c r="AI369" s="156" t="s">
        <v>727</v>
      </c>
      <c r="AJ369" s="158">
        <f t="shared" si="13"/>
        <v>14.664</v>
      </c>
    </row>
    <row r="370" spans="1:36" x14ac:dyDescent="0.2">
      <c r="A370" s="7"/>
      <c r="B370" s="8"/>
      <c r="C370" s="194" t="s">
        <v>944</v>
      </c>
      <c r="D370" s="155">
        <v>1.86</v>
      </c>
      <c r="E370" s="155" t="s">
        <v>764</v>
      </c>
      <c r="F370" s="200">
        <v>3.3</v>
      </c>
      <c r="G370" s="155" t="s">
        <v>764</v>
      </c>
      <c r="H370" s="155">
        <v>8.33</v>
      </c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 t="s">
        <v>745</v>
      </c>
      <c r="AH370" s="158">
        <v>2</v>
      </c>
      <c r="AI370" s="156" t="s">
        <v>727</v>
      </c>
      <c r="AJ370" s="158">
        <f t="shared" si="13"/>
        <v>26.98</v>
      </c>
    </row>
    <row r="371" spans="1:36" x14ac:dyDescent="0.2">
      <c r="A371" s="7"/>
      <c r="B371" s="8"/>
      <c r="C371" s="194" t="s">
        <v>944</v>
      </c>
      <c r="D371" s="155">
        <v>2.2000000000000002</v>
      </c>
      <c r="E371" s="155" t="s">
        <v>764</v>
      </c>
      <c r="F371" s="200">
        <v>12.43</v>
      </c>
      <c r="G371" s="155" t="s">
        <v>764</v>
      </c>
      <c r="H371" s="155">
        <v>5.25</v>
      </c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 t="s">
        <v>745</v>
      </c>
      <c r="AH371" s="158">
        <v>0.6</v>
      </c>
      <c r="AI371" s="156" t="s">
        <v>727</v>
      </c>
      <c r="AJ371" s="158">
        <f t="shared" si="13"/>
        <v>11.927999999999999</v>
      </c>
    </row>
    <row r="372" spans="1:36" x14ac:dyDescent="0.2">
      <c r="A372" s="7"/>
      <c r="B372" s="8"/>
      <c r="C372" s="194" t="s">
        <v>945</v>
      </c>
      <c r="D372" s="155">
        <v>1.1000000000000001</v>
      </c>
      <c r="E372" s="155" t="s">
        <v>764</v>
      </c>
      <c r="F372" s="200">
        <v>1.1000000000000001</v>
      </c>
      <c r="G372" s="155" t="s">
        <v>764</v>
      </c>
      <c r="H372" s="155">
        <v>1.1000000000000001</v>
      </c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 t="s">
        <v>745</v>
      </c>
      <c r="AH372" s="158">
        <v>2</v>
      </c>
      <c r="AI372" s="156" t="s">
        <v>727</v>
      </c>
      <c r="AJ372" s="158">
        <f t="shared" si="13"/>
        <v>6.6000000000000005</v>
      </c>
    </row>
    <row r="373" spans="1:36" x14ac:dyDescent="0.2">
      <c r="A373" s="7"/>
      <c r="B373" s="8"/>
      <c r="C373" s="194" t="s">
        <v>819</v>
      </c>
      <c r="D373" s="155">
        <v>2.25</v>
      </c>
      <c r="E373" s="155" t="s">
        <v>764</v>
      </c>
      <c r="F373" s="200">
        <v>0.2</v>
      </c>
      <c r="G373" s="155" t="s">
        <v>764</v>
      </c>
      <c r="H373" s="155">
        <v>0.2</v>
      </c>
      <c r="I373" s="155" t="s">
        <v>764</v>
      </c>
      <c r="J373" s="155">
        <v>2.25</v>
      </c>
      <c r="K373" s="155" t="s">
        <v>764</v>
      </c>
      <c r="L373" s="155">
        <v>0.2</v>
      </c>
      <c r="M373" s="155" t="s">
        <v>764</v>
      </c>
      <c r="N373" s="155">
        <v>0.2</v>
      </c>
      <c r="O373" s="155" t="s">
        <v>764</v>
      </c>
      <c r="P373" s="155">
        <v>2.8</v>
      </c>
      <c r="Q373" s="155" t="s">
        <v>764</v>
      </c>
      <c r="R373" s="155">
        <v>0.2</v>
      </c>
      <c r="S373" s="155" t="s">
        <v>764</v>
      </c>
      <c r="T373" s="155">
        <v>0.2</v>
      </c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 t="s">
        <v>745</v>
      </c>
      <c r="AH373" s="158">
        <v>0.4</v>
      </c>
      <c r="AI373" s="156" t="s">
        <v>727</v>
      </c>
      <c r="AJ373" s="158">
        <f t="shared" si="13"/>
        <v>3.4000000000000004</v>
      </c>
    </row>
    <row r="374" spans="1:36" ht="12.75" customHeight="1" x14ac:dyDescent="0.2">
      <c r="A374" s="7"/>
      <c r="B374" s="8"/>
      <c r="C374" s="202"/>
      <c r="D374" s="331" t="s">
        <v>947</v>
      </c>
      <c r="E374" s="331"/>
      <c r="F374" s="331"/>
      <c r="G374" s="331"/>
      <c r="H374" s="331"/>
      <c r="I374" s="331"/>
      <c r="J374" s="331"/>
      <c r="K374" s="331"/>
      <c r="L374" s="331"/>
      <c r="M374" s="331"/>
      <c r="N374" s="331"/>
      <c r="O374" s="331"/>
      <c r="P374" s="331"/>
      <c r="Q374" s="331"/>
      <c r="R374" s="331"/>
      <c r="S374" s="331"/>
      <c r="T374" s="331"/>
      <c r="U374" s="331"/>
      <c r="V374" s="331"/>
      <c r="W374" s="331"/>
      <c r="X374" s="331"/>
      <c r="Y374" s="331"/>
      <c r="Z374" s="331"/>
      <c r="AA374" s="331"/>
      <c r="AB374" s="331"/>
      <c r="AC374" s="331"/>
      <c r="AD374" s="331"/>
      <c r="AE374" s="331"/>
      <c r="AF374" s="331"/>
      <c r="AG374" s="331"/>
      <c r="AH374" s="331"/>
      <c r="AI374" s="156" t="s">
        <v>727</v>
      </c>
      <c r="AJ374" s="198">
        <f>SUM(AJ364:AJ373)</f>
        <v>241.77999999999997</v>
      </c>
    </row>
    <row r="375" spans="1:36" ht="12.75" customHeight="1" x14ac:dyDescent="0.2">
      <c r="A375" s="7"/>
      <c r="B375" s="8"/>
      <c r="C375" s="203"/>
      <c r="D375" s="331" t="s">
        <v>795</v>
      </c>
      <c r="E375" s="331"/>
      <c r="F375" s="331"/>
      <c r="G375" s="331"/>
      <c r="H375" s="331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/>
      <c r="X375" s="331"/>
      <c r="Y375" s="331"/>
      <c r="Z375" s="331"/>
      <c r="AA375" s="331"/>
      <c r="AB375" s="331"/>
      <c r="AC375" s="331"/>
      <c r="AD375" s="331"/>
      <c r="AE375" s="331"/>
      <c r="AF375" s="331"/>
      <c r="AG375" s="331"/>
      <c r="AH375" s="331"/>
      <c r="AI375" s="331"/>
      <c r="AJ375" s="157"/>
    </row>
    <row r="376" spans="1:36" x14ac:dyDescent="0.2">
      <c r="A376" s="7"/>
      <c r="B376" s="8"/>
      <c r="C376" s="193" t="s">
        <v>958</v>
      </c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80"/>
      <c r="AI376" s="204"/>
      <c r="AJ376" s="157"/>
    </row>
    <row r="377" spans="1:36" x14ac:dyDescent="0.2">
      <c r="A377" s="7"/>
      <c r="B377" s="8"/>
      <c r="C377" s="193" t="s">
        <v>948</v>
      </c>
      <c r="D377" s="155">
        <v>0.8</v>
      </c>
      <c r="E377" s="155" t="s">
        <v>745</v>
      </c>
      <c r="F377" s="155">
        <v>2.1</v>
      </c>
      <c r="G377" s="155" t="s">
        <v>727</v>
      </c>
      <c r="H377" s="155">
        <f>D377*F377</f>
        <v>1.6800000000000002</v>
      </c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205">
        <v>3</v>
      </c>
      <c r="AI377" s="156" t="s">
        <v>727</v>
      </c>
      <c r="AJ377" s="158">
        <f>H377*AH377</f>
        <v>5.0400000000000009</v>
      </c>
    </row>
    <row r="378" spans="1:36" x14ac:dyDescent="0.2">
      <c r="A378" s="7"/>
      <c r="B378" s="8"/>
      <c r="C378" s="193" t="s">
        <v>949</v>
      </c>
      <c r="D378" s="155">
        <v>0.8</v>
      </c>
      <c r="E378" s="155" t="s">
        <v>745</v>
      </c>
      <c r="F378" s="155">
        <v>2.1</v>
      </c>
      <c r="G378" s="155" t="s">
        <v>727</v>
      </c>
      <c r="H378" s="155">
        <f t="shared" ref="H378:H381" si="14">D378*F378</f>
        <v>1.6800000000000002</v>
      </c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205">
        <v>6</v>
      </c>
      <c r="AI378" s="156" t="s">
        <v>727</v>
      </c>
      <c r="AJ378" s="158">
        <f t="shared" ref="AJ378:AJ381" si="15">H378*AH378</f>
        <v>10.080000000000002</v>
      </c>
    </row>
    <row r="379" spans="1:36" x14ac:dyDescent="0.2">
      <c r="A379" s="7"/>
      <c r="B379" s="8"/>
      <c r="C379" s="193" t="s">
        <v>950</v>
      </c>
      <c r="D379" s="155">
        <v>0.8</v>
      </c>
      <c r="E379" s="155" t="s">
        <v>745</v>
      </c>
      <c r="F379" s="155">
        <v>2.1</v>
      </c>
      <c r="G379" s="155" t="s">
        <v>727</v>
      </c>
      <c r="H379" s="155">
        <f t="shared" si="14"/>
        <v>1.6800000000000002</v>
      </c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205">
        <v>2</v>
      </c>
      <c r="AI379" s="156" t="s">
        <v>727</v>
      </c>
      <c r="AJ379" s="158">
        <f t="shared" si="15"/>
        <v>3.3600000000000003</v>
      </c>
    </row>
    <row r="380" spans="1:36" x14ac:dyDescent="0.2">
      <c r="A380" s="7"/>
      <c r="B380" s="8"/>
      <c r="C380" s="193" t="s">
        <v>951</v>
      </c>
      <c r="D380" s="155">
        <v>0.8</v>
      </c>
      <c r="E380" s="155" t="s">
        <v>745</v>
      </c>
      <c r="F380" s="155">
        <v>2.1</v>
      </c>
      <c r="G380" s="155" t="s">
        <v>727</v>
      </c>
      <c r="H380" s="155">
        <f t="shared" si="14"/>
        <v>1.6800000000000002</v>
      </c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205">
        <v>7</v>
      </c>
      <c r="AI380" s="156" t="s">
        <v>727</v>
      </c>
      <c r="AJ380" s="158">
        <f t="shared" si="15"/>
        <v>11.760000000000002</v>
      </c>
    </row>
    <row r="381" spans="1:36" x14ac:dyDescent="0.2">
      <c r="A381" s="7"/>
      <c r="B381" s="8"/>
      <c r="C381" s="193" t="s">
        <v>952</v>
      </c>
      <c r="D381" s="155">
        <v>0.8</v>
      </c>
      <c r="E381" s="155" t="s">
        <v>745</v>
      </c>
      <c r="F381" s="155">
        <v>1</v>
      </c>
      <c r="G381" s="155" t="s">
        <v>727</v>
      </c>
      <c r="H381" s="155">
        <f t="shared" si="14"/>
        <v>0.8</v>
      </c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205">
        <v>2</v>
      </c>
      <c r="AI381" s="156" t="s">
        <v>727</v>
      </c>
      <c r="AJ381" s="158">
        <f t="shared" si="15"/>
        <v>1.6</v>
      </c>
    </row>
    <row r="382" spans="1:36" x14ac:dyDescent="0.2">
      <c r="A382" s="7"/>
      <c r="B382" s="8"/>
      <c r="C382" s="193" t="s">
        <v>953</v>
      </c>
      <c r="D382" s="350"/>
      <c r="E382" s="350"/>
      <c r="F382" s="350"/>
      <c r="G382" s="350"/>
      <c r="H382" s="350"/>
      <c r="I382" s="350"/>
      <c r="J382" s="350"/>
      <c r="K382" s="350"/>
      <c r="L382" s="350"/>
      <c r="M382" s="350"/>
      <c r="N382" s="350"/>
      <c r="O382" s="350"/>
      <c r="P382" s="350"/>
      <c r="Q382" s="350"/>
      <c r="R382" s="350"/>
      <c r="S382" s="350"/>
      <c r="T382" s="350"/>
      <c r="U382" s="350"/>
      <c r="V382" s="350"/>
      <c r="W382" s="350"/>
      <c r="X382" s="350"/>
      <c r="Y382" s="350"/>
      <c r="Z382" s="350"/>
      <c r="AA382" s="350"/>
      <c r="AB382" s="350"/>
      <c r="AC382" s="350"/>
      <c r="AD382" s="350"/>
      <c r="AE382" s="350"/>
      <c r="AF382" s="350"/>
      <c r="AG382" s="350"/>
      <c r="AH382" s="350"/>
      <c r="AI382" s="156"/>
      <c r="AJ382" s="158"/>
    </row>
    <row r="383" spans="1:36" x14ac:dyDescent="0.2">
      <c r="A383" s="7"/>
      <c r="B383" s="8"/>
      <c r="C383" s="196"/>
      <c r="D383" s="155">
        <v>0.8</v>
      </c>
      <c r="E383" s="155" t="s">
        <v>748</v>
      </c>
      <c r="F383" s="155">
        <v>2.1</v>
      </c>
      <c r="G383" s="155" t="s">
        <v>727</v>
      </c>
      <c r="H383" s="155">
        <f t="shared" ref="H383:H387" si="16">D383*F383</f>
        <v>1.6800000000000002</v>
      </c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7">
        <v>4</v>
      </c>
      <c r="AI383" s="156" t="s">
        <v>727</v>
      </c>
      <c r="AJ383" s="158">
        <f t="shared" ref="AJ383:AJ384" si="17">H383*AH383</f>
        <v>6.7200000000000006</v>
      </c>
    </row>
    <row r="384" spans="1:36" x14ac:dyDescent="0.2">
      <c r="A384" s="7"/>
      <c r="B384" s="8"/>
      <c r="C384" s="196"/>
      <c r="D384" s="155">
        <v>1.66</v>
      </c>
      <c r="E384" s="155" t="s">
        <v>748</v>
      </c>
      <c r="F384" s="155">
        <v>2</v>
      </c>
      <c r="G384" s="155" t="s">
        <v>727</v>
      </c>
      <c r="H384" s="155">
        <f t="shared" si="16"/>
        <v>3.32</v>
      </c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7">
        <v>2</v>
      </c>
      <c r="AI384" s="156" t="s">
        <v>727</v>
      </c>
      <c r="AJ384" s="158">
        <f t="shared" si="17"/>
        <v>6.64</v>
      </c>
    </row>
    <row r="385" spans="1:36" x14ac:dyDescent="0.2">
      <c r="A385" s="7"/>
      <c r="B385" s="8"/>
      <c r="C385" s="193" t="s">
        <v>954</v>
      </c>
      <c r="D385" s="350"/>
      <c r="E385" s="350"/>
      <c r="F385" s="350"/>
      <c r="G385" s="350"/>
      <c r="H385" s="350"/>
      <c r="I385" s="350"/>
      <c r="J385" s="350"/>
      <c r="K385" s="350"/>
      <c r="L385" s="350"/>
      <c r="M385" s="350"/>
      <c r="N385" s="350"/>
      <c r="O385" s="350"/>
      <c r="P385" s="350"/>
      <c r="Q385" s="350"/>
      <c r="R385" s="350"/>
      <c r="S385" s="350"/>
      <c r="T385" s="350"/>
      <c r="U385" s="350"/>
      <c r="V385" s="350"/>
      <c r="W385" s="350"/>
      <c r="X385" s="350"/>
      <c r="Y385" s="350"/>
      <c r="Z385" s="350"/>
      <c r="AA385" s="350"/>
      <c r="AB385" s="350"/>
      <c r="AC385" s="350"/>
      <c r="AD385" s="350"/>
      <c r="AE385" s="350"/>
      <c r="AF385" s="350"/>
      <c r="AG385" s="350"/>
      <c r="AH385" s="350"/>
      <c r="AI385" s="156"/>
      <c r="AJ385" s="158"/>
    </row>
    <row r="386" spans="1:36" x14ac:dyDescent="0.2">
      <c r="A386" s="7"/>
      <c r="B386" s="8"/>
      <c r="C386" s="196"/>
      <c r="D386" s="155">
        <v>0.6</v>
      </c>
      <c r="E386" s="155" t="s">
        <v>748</v>
      </c>
      <c r="F386" s="155">
        <v>0.6</v>
      </c>
      <c r="G386" s="155" t="s">
        <v>727</v>
      </c>
      <c r="H386" s="155">
        <f t="shared" si="16"/>
        <v>0.36</v>
      </c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7">
        <v>27</v>
      </c>
      <c r="AI386" s="156" t="s">
        <v>727</v>
      </c>
      <c r="AJ386" s="158">
        <f>H386*AH386</f>
        <v>9.7199999999999989</v>
      </c>
    </row>
    <row r="387" spans="1:36" x14ac:dyDescent="0.2">
      <c r="A387" s="7"/>
      <c r="B387" s="8"/>
      <c r="C387" s="196"/>
      <c r="D387" s="200">
        <v>0.6</v>
      </c>
      <c r="E387" s="179"/>
      <c r="F387" s="200">
        <v>0.9</v>
      </c>
      <c r="G387" s="155" t="s">
        <v>727</v>
      </c>
      <c r="H387" s="155">
        <f t="shared" si="16"/>
        <v>0.54</v>
      </c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7">
        <v>4</v>
      </c>
      <c r="AI387" s="156" t="s">
        <v>727</v>
      </c>
      <c r="AJ387" s="158">
        <f t="shared" ref="AJ387:AJ390" si="18">H387*AH387</f>
        <v>2.16</v>
      </c>
    </row>
    <row r="388" spans="1:36" x14ac:dyDescent="0.2">
      <c r="A388" s="7"/>
      <c r="B388" s="8"/>
      <c r="C388" s="196"/>
      <c r="D388" s="155">
        <v>1.2</v>
      </c>
      <c r="E388" s="155" t="s">
        <v>748</v>
      </c>
      <c r="F388" s="155">
        <v>1.2</v>
      </c>
      <c r="G388" s="155" t="s">
        <v>727</v>
      </c>
      <c r="H388" s="155">
        <f>D388*F388</f>
        <v>1.44</v>
      </c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7">
        <v>7</v>
      </c>
      <c r="AI388" s="156" t="s">
        <v>727</v>
      </c>
      <c r="AJ388" s="158">
        <f t="shared" si="18"/>
        <v>10.08</v>
      </c>
    </row>
    <row r="389" spans="1:36" x14ac:dyDescent="0.2">
      <c r="A389" s="7"/>
      <c r="B389" s="8"/>
      <c r="C389" s="202"/>
      <c r="D389" s="155">
        <v>1.8</v>
      </c>
      <c r="E389" s="155" t="s">
        <v>748</v>
      </c>
      <c r="F389" s="155">
        <v>1.2</v>
      </c>
      <c r="G389" s="155" t="s">
        <v>727</v>
      </c>
      <c r="H389" s="155">
        <f>D389*F389</f>
        <v>2.16</v>
      </c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7">
        <v>1</v>
      </c>
      <c r="AI389" s="156" t="s">
        <v>727</v>
      </c>
      <c r="AJ389" s="158">
        <f t="shared" si="18"/>
        <v>2.16</v>
      </c>
    </row>
    <row r="390" spans="1:36" x14ac:dyDescent="0.2">
      <c r="A390" s="7"/>
      <c r="B390" s="8"/>
      <c r="C390" s="202"/>
      <c r="D390" s="155">
        <v>1.8</v>
      </c>
      <c r="E390" s="155" t="s">
        <v>748</v>
      </c>
      <c r="F390" s="155">
        <v>1.6</v>
      </c>
      <c r="G390" s="155" t="s">
        <v>727</v>
      </c>
      <c r="H390" s="155">
        <f>D390*F390</f>
        <v>2.8800000000000003</v>
      </c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7">
        <v>7</v>
      </c>
      <c r="AI390" s="156" t="s">
        <v>727</v>
      </c>
      <c r="AJ390" s="158">
        <f t="shared" si="18"/>
        <v>20.160000000000004</v>
      </c>
    </row>
    <row r="391" spans="1:36" ht="12.75" customHeight="1" x14ac:dyDescent="0.2">
      <c r="A391" s="7"/>
      <c r="B391" s="8"/>
      <c r="C391" s="202"/>
      <c r="D391" s="309" t="s">
        <v>955</v>
      </c>
      <c r="E391" s="309"/>
      <c r="F391" s="309"/>
      <c r="G391" s="309"/>
      <c r="H391" s="309"/>
      <c r="I391" s="309"/>
      <c r="J391" s="309"/>
      <c r="K391" s="309"/>
      <c r="L391" s="309"/>
      <c r="M391" s="309"/>
      <c r="N391" s="309"/>
      <c r="O391" s="309"/>
      <c r="P391" s="309"/>
      <c r="Q391" s="309"/>
      <c r="R391" s="309"/>
      <c r="S391" s="309"/>
      <c r="T391" s="309"/>
      <c r="U391" s="309"/>
      <c r="V391" s="309"/>
      <c r="W391" s="309"/>
      <c r="X391" s="309"/>
      <c r="Y391" s="309"/>
      <c r="Z391" s="309"/>
      <c r="AA391" s="309"/>
      <c r="AB391" s="309"/>
      <c r="AC391" s="309"/>
      <c r="AD391" s="309"/>
      <c r="AE391" s="309"/>
      <c r="AF391" s="309"/>
      <c r="AG391" s="309"/>
      <c r="AH391" s="309"/>
      <c r="AI391" s="197" t="s">
        <v>727</v>
      </c>
      <c r="AJ391" s="198">
        <f>SUM(AJ377:AJ390)</f>
        <v>89.480000000000018</v>
      </c>
    </row>
    <row r="392" spans="1:36" ht="12.75" customHeight="1" x14ac:dyDescent="0.2">
      <c r="A392" s="7"/>
      <c r="B392" s="8"/>
      <c r="C392" s="206"/>
      <c r="D392" s="309" t="s">
        <v>956</v>
      </c>
      <c r="E392" s="309"/>
      <c r="F392" s="309"/>
      <c r="G392" s="309"/>
      <c r="H392" s="309"/>
      <c r="I392" s="309"/>
      <c r="J392" s="309"/>
      <c r="K392" s="309"/>
      <c r="L392" s="309"/>
      <c r="M392" s="309"/>
      <c r="N392" s="309"/>
      <c r="O392" s="309"/>
      <c r="P392" s="309"/>
      <c r="Q392" s="309"/>
      <c r="R392" s="309"/>
      <c r="S392" s="309"/>
      <c r="T392" s="309"/>
      <c r="U392" s="309"/>
      <c r="V392" s="309"/>
      <c r="W392" s="309"/>
      <c r="X392" s="309"/>
      <c r="Y392" s="309"/>
      <c r="Z392" s="309"/>
      <c r="AA392" s="309"/>
      <c r="AB392" s="309"/>
      <c r="AC392" s="309"/>
      <c r="AD392" s="309"/>
      <c r="AE392" s="309"/>
      <c r="AF392" s="309"/>
      <c r="AG392" s="309"/>
      <c r="AH392" s="309"/>
      <c r="AI392" s="156" t="s">
        <v>727</v>
      </c>
      <c r="AJ392" s="198">
        <f>(AJ350+AJ362+AJ374)-AJ391</f>
        <v>758.9738000000001</v>
      </c>
    </row>
    <row r="393" spans="1:36" ht="36" x14ac:dyDescent="0.2">
      <c r="A393" s="7" t="s">
        <v>147</v>
      </c>
      <c r="B393" s="8" t="s">
        <v>148</v>
      </c>
      <c r="C393" s="7" t="s">
        <v>149</v>
      </c>
      <c r="D393" s="291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  <c r="AA393" s="292"/>
      <c r="AB393" s="292"/>
      <c r="AC393" s="292"/>
      <c r="AD393" s="292"/>
      <c r="AE393" s="292"/>
      <c r="AF393" s="292"/>
      <c r="AG393" s="292"/>
      <c r="AH393" s="292"/>
      <c r="AI393" s="293"/>
      <c r="AJ393" s="11" t="s">
        <v>19</v>
      </c>
    </row>
    <row r="394" spans="1:36" ht="48" x14ac:dyDescent="0.2">
      <c r="A394" s="15" t="s">
        <v>150</v>
      </c>
      <c r="B394" s="14" t="s">
        <v>151</v>
      </c>
      <c r="C394" s="15" t="s">
        <v>152</v>
      </c>
      <c r="D394" s="291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  <c r="AA394" s="292"/>
      <c r="AB394" s="292"/>
      <c r="AC394" s="292"/>
      <c r="AD394" s="292"/>
      <c r="AE394" s="292"/>
      <c r="AF394" s="292"/>
      <c r="AG394" s="292"/>
      <c r="AH394" s="292"/>
      <c r="AI394" s="293"/>
      <c r="AJ394" s="11" t="s">
        <v>23</v>
      </c>
    </row>
    <row r="395" spans="1:36" x14ac:dyDescent="0.2">
      <c r="A395" s="10"/>
      <c r="B395" s="11"/>
      <c r="C395" s="154" t="s">
        <v>869</v>
      </c>
      <c r="D395" s="155">
        <v>20</v>
      </c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 t="s">
        <v>745</v>
      </c>
      <c r="AH395" s="158">
        <v>1</v>
      </c>
      <c r="AI395" s="156" t="s">
        <v>727</v>
      </c>
      <c r="AJ395" s="157">
        <f>D395*AH395</f>
        <v>20</v>
      </c>
    </row>
    <row r="396" spans="1:36" x14ac:dyDescent="0.2">
      <c r="A396" s="10"/>
      <c r="B396" s="11"/>
      <c r="C396" s="154" t="s">
        <v>870</v>
      </c>
      <c r="D396" s="155">
        <v>20</v>
      </c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 t="s">
        <v>745</v>
      </c>
      <c r="AH396" s="158">
        <v>1</v>
      </c>
      <c r="AI396" s="156" t="s">
        <v>727</v>
      </c>
      <c r="AJ396" s="157">
        <f t="shared" ref="AJ396" si="19">D396*AH396</f>
        <v>20</v>
      </c>
    </row>
    <row r="397" spans="1:36" x14ac:dyDescent="0.2">
      <c r="A397" s="10"/>
      <c r="B397" s="11"/>
      <c r="C397" s="154" t="s">
        <v>871</v>
      </c>
      <c r="D397" s="155">
        <v>39.700000000000003</v>
      </c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 t="s">
        <v>745</v>
      </c>
      <c r="AH397" s="158">
        <v>1</v>
      </c>
      <c r="AI397" s="156" t="s">
        <v>727</v>
      </c>
      <c r="AJ397" s="157">
        <f>D397*AH397</f>
        <v>39.700000000000003</v>
      </c>
    </row>
    <row r="398" spans="1:36" x14ac:dyDescent="0.2">
      <c r="A398" s="10"/>
      <c r="B398" s="11"/>
      <c r="C398" s="181"/>
      <c r="D398" s="309" t="s">
        <v>959</v>
      </c>
      <c r="E398" s="309"/>
      <c r="F398" s="309"/>
      <c r="G398" s="309"/>
      <c r="H398" s="309"/>
      <c r="I398" s="309"/>
      <c r="J398" s="309"/>
      <c r="K398" s="309"/>
      <c r="L398" s="309"/>
      <c r="M398" s="309"/>
      <c r="N398" s="309"/>
      <c r="O398" s="309"/>
      <c r="P398" s="309"/>
      <c r="Q398" s="309"/>
      <c r="R398" s="309"/>
      <c r="S398" s="309"/>
      <c r="T398" s="309"/>
      <c r="U398" s="309"/>
      <c r="V398" s="309"/>
      <c r="W398" s="309"/>
      <c r="X398" s="309"/>
      <c r="Y398" s="309"/>
      <c r="Z398" s="309"/>
      <c r="AA398" s="309"/>
      <c r="AB398" s="309"/>
      <c r="AC398" s="309"/>
      <c r="AD398" s="309"/>
      <c r="AE398" s="309"/>
      <c r="AF398" s="309"/>
      <c r="AG398" s="309"/>
      <c r="AH398" s="309"/>
      <c r="AI398" s="197" t="s">
        <v>727</v>
      </c>
      <c r="AJ398" s="175">
        <f>SUM(AJ395:AJ397)</f>
        <v>79.7</v>
      </c>
    </row>
    <row r="399" spans="1:36" x14ac:dyDescent="0.2">
      <c r="A399" s="48" t="s">
        <v>153</v>
      </c>
      <c r="B399" s="332" t="s">
        <v>154</v>
      </c>
      <c r="C399" s="333"/>
      <c r="D399" s="372"/>
      <c r="E399" s="372"/>
      <c r="F399" s="372"/>
      <c r="G399" s="372"/>
      <c r="H399" s="372"/>
      <c r="I399" s="372"/>
      <c r="J399" s="372"/>
      <c r="K399" s="372"/>
      <c r="L399" s="372"/>
      <c r="M399" s="372"/>
      <c r="N399" s="372"/>
      <c r="O399" s="372"/>
      <c r="P399" s="372"/>
      <c r="Q399" s="372"/>
      <c r="R399" s="372"/>
      <c r="S399" s="372"/>
      <c r="T399" s="372"/>
      <c r="U399" s="372"/>
      <c r="V399" s="372"/>
      <c r="W399" s="372"/>
      <c r="X399" s="372"/>
      <c r="Y399" s="372"/>
      <c r="Z399" s="372"/>
      <c r="AA399" s="372"/>
      <c r="AB399" s="372"/>
      <c r="AC399" s="372"/>
      <c r="AD399" s="372"/>
      <c r="AE399" s="372"/>
      <c r="AF399" s="372"/>
      <c r="AG399" s="372"/>
      <c r="AH399" s="372"/>
      <c r="AI399" s="372"/>
      <c r="AJ399" s="307"/>
    </row>
    <row r="400" spans="1:36" ht="60" x14ac:dyDescent="0.2">
      <c r="A400" s="7" t="s">
        <v>155</v>
      </c>
      <c r="B400" s="8" t="s">
        <v>156</v>
      </c>
      <c r="C400" s="7" t="s">
        <v>157</v>
      </c>
      <c r="D400" s="294"/>
      <c r="E400" s="295"/>
      <c r="F400" s="295"/>
      <c r="G400" s="295"/>
      <c r="H400" s="295"/>
      <c r="I400" s="295"/>
      <c r="J400" s="295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295"/>
      <c r="AA400" s="295"/>
      <c r="AB400" s="295"/>
      <c r="AC400" s="295"/>
      <c r="AD400" s="295"/>
      <c r="AE400" s="295"/>
      <c r="AF400" s="295"/>
      <c r="AG400" s="295"/>
      <c r="AH400" s="295"/>
      <c r="AI400" s="296"/>
      <c r="AJ400" s="11" t="s">
        <v>158</v>
      </c>
    </row>
    <row r="401" spans="1:36" ht="60" x14ac:dyDescent="0.2">
      <c r="A401" s="7" t="s">
        <v>159</v>
      </c>
      <c r="B401" s="8" t="s">
        <v>160</v>
      </c>
      <c r="C401" s="7" t="s">
        <v>161</v>
      </c>
      <c r="D401" s="294"/>
      <c r="E401" s="295"/>
      <c r="F401" s="295"/>
      <c r="G401" s="295"/>
      <c r="H401" s="295"/>
      <c r="I401" s="295"/>
      <c r="J401" s="295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  <c r="Y401" s="295"/>
      <c r="Z401" s="295"/>
      <c r="AA401" s="295"/>
      <c r="AB401" s="295"/>
      <c r="AC401" s="295"/>
      <c r="AD401" s="295"/>
      <c r="AE401" s="295"/>
      <c r="AF401" s="295"/>
      <c r="AG401" s="295"/>
      <c r="AH401" s="295"/>
      <c r="AI401" s="296"/>
      <c r="AJ401" s="11" t="s">
        <v>158</v>
      </c>
    </row>
    <row r="402" spans="1:36" ht="60" x14ac:dyDescent="0.2">
      <c r="A402" s="7" t="s">
        <v>162</v>
      </c>
      <c r="B402" s="8" t="s">
        <v>156</v>
      </c>
      <c r="C402" s="7" t="s">
        <v>157</v>
      </c>
      <c r="D402" s="294"/>
      <c r="E402" s="295"/>
      <c r="F402" s="295"/>
      <c r="G402" s="295"/>
      <c r="H402" s="295"/>
      <c r="I402" s="295"/>
      <c r="J402" s="295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  <c r="AA402" s="295"/>
      <c r="AB402" s="295"/>
      <c r="AC402" s="295"/>
      <c r="AD402" s="295"/>
      <c r="AE402" s="295"/>
      <c r="AF402" s="295"/>
      <c r="AG402" s="295"/>
      <c r="AH402" s="295"/>
      <c r="AI402" s="296"/>
      <c r="AJ402" s="11" t="s">
        <v>158</v>
      </c>
    </row>
    <row r="403" spans="1:36" ht="60" x14ac:dyDescent="0.2">
      <c r="A403" s="7" t="s">
        <v>738</v>
      </c>
      <c r="B403" s="8">
        <v>100690</v>
      </c>
      <c r="C403" s="7" t="s">
        <v>739</v>
      </c>
      <c r="D403" s="294"/>
      <c r="E403" s="295"/>
      <c r="F403" s="295"/>
      <c r="G403" s="295"/>
      <c r="H403" s="295"/>
      <c r="I403" s="295"/>
      <c r="J403" s="295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295"/>
      <c r="AA403" s="295"/>
      <c r="AB403" s="295"/>
      <c r="AC403" s="295"/>
      <c r="AD403" s="295"/>
      <c r="AE403" s="295"/>
      <c r="AF403" s="295"/>
      <c r="AG403" s="295"/>
      <c r="AH403" s="295"/>
      <c r="AI403" s="296"/>
      <c r="AJ403" s="11" t="s">
        <v>158</v>
      </c>
    </row>
    <row r="404" spans="1:36" x14ac:dyDescent="0.2">
      <c r="A404" s="7"/>
      <c r="B404" s="8"/>
      <c r="C404" s="6" t="s">
        <v>822</v>
      </c>
      <c r="D404" s="8">
        <v>18</v>
      </c>
      <c r="E404" s="8"/>
      <c r="F404" s="8"/>
      <c r="G404" s="7"/>
      <c r="H404" s="9"/>
      <c r="I404" s="10"/>
      <c r="J404" s="10"/>
      <c r="K404" s="10"/>
      <c r="L404" s="51"/>
      <c r="M404" s="51"/>
      <c r="N404" s="5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47"/>
      <c r="AJ404" s="11">
        <f>D404</f>
        <v>18</v>
      </c>
    </row>
    <row r="405" spans="1:36" x14ac:dyDescent="0.2">
      <c r="A405" s="7"/>
      <c r="B405" s="8"/>
      <c r="C405" s="7"/>
      <c r="D405" s="316" t="s">
        <v>743</v>
      </c>
      <c r="E405" s="317"/>
      <c r="F405" s="317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  <c r="AA405" s="317"/>
      <c r="AB405" s="317"/>
      <c r="AC405" s="317"/>
      <c r="AD405" s="317"/>
      <c r="AE405" s="317"/>
      <c r="AF405" s="317"/>
      <c r="AG405" s="317"/>
      <c r="AH405" s="317"/>
      <c r="AI405" s="318"/>
      <c r="AJ405" s="92">
        <f>SUM(AJ404:AJ404)</f>
        <v>18</v>
      </c>
    </row>
    <row r="406" spans="1:36" x14ac:dyDescent="0.2">
      <c r="A406" s="7" t="s">
        <v>761</v>
      </c>
      <c r="B406" s="8">
        <v>4716</v>
      </c>
      <c r="C406" s="7" t="s">
        <v>741</v>
      </c>
      <c r="D406" s="297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  <c r="R406" s="298"/>
      <c r="S406" s="298"/>
      <c r="T406" s="298"/>
      <c r="U406" s="298"/>
      <c r="V406" s="298"/>
      <c r="W406" s="298"/>
      <c r="X406" s="298"/>
      <c r="Y406" s="298"/>
      <c r="Z406" s="298"/>
      <c r="AA406" s="298"/>
      <c r="AB406" s="298"/>
      <c r="AC406" s="298"/>
      <c r="AD406" s="298"/>
      <c r="AE406" s="298"/>
      <c r="AF406" s="298"/>
      <c r="AG406" s="298"/>
      <c r="AH406" s="298"/>
      <c r="AI406" s="299"/>
      <c r="AJ406" s="11" t="s">
        <v>19</v>
      </c>
    </row>
    <row r="407" spans="1:36" x14ac:dyDescent="0.2">
      <c r="A407" s="7"/>
      <c r="B407" s="8"/>
      <c r="C407" s="12" t="s">
        <v>755</v>
      </c>
      <c r="D407" s="11">
        <v>1.7</v>
      </c>
      <c r="E407" s="11" t="s">
        <v>745</v>
      </c>
      <c r="F407" s="11">
        <v>2</v>
      </c>
      <c r="G407" s="11"/>
      <c r="H407" s="11"/>
      <c r="I407" s="11"/>
      <c r="J407" s="11"/>
      <c r="K407" s="11"/>
      <c r="L407" s="88"/>
      <c r="M407" s="88"/>
      <c r="N407" s="88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 t="s">
        <v>748</v>
      </c>
      <c r="AH407" s="88">
        <v>4</v>
      </c>
      <c r="AI407" s="88" t="s">
        <v>727</v>
      </c>
      <c r="AJ407" s="11">
        <f t="shared" ref="AJ407:AJ414" si="20">(D407*F407)*AH407</f>
        <v>13.6</v>
      </c>
    </row>
    <row r="408" spans="1:36" x14ac:dyDescent="0.2">
      <c r="A408" s="7"/>
      <c r="B408" s="8"/>
      <c r="C408" s="12" t="s">
        <v>756</v>
      </c>
      <c r="D408" s="11">
        <v>12.43</v>
      </c>
      <c r="E408" s="11" t="s">
        <v>745</v>
      </c>
      <c r="F408" s="11">
        <v>1.4</v>
      </c>
      <c r="G408" s="11"/>
      <c r="H408" s="11"/>
      <c r="I408" s="11"/>
      <c r="J408" s="11"/>
      <c r="K408" s="11"/>
      <c r="L408" s="88"/>
      <c r="M408" s="88"/>
      <c r="N408" s="88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 t="s">
        <v>748</v>
      </c>
      <c r="AH408" s="88">
        <v>1</v>
      </c>
      <c r="AI408" s="88" t="s">
        <v>727</v>
      </c>
      <c r="AJ408" s="11">
        <f t="shared" si="20"/>
        <v>17.401999999999997</v>
      </c>
    </row>
    <row r="409" spans="1:36" x14ac:dyDescent="0.2">
      <c r="A409" s="7"/>
      <c r="B409" s="8"/>
      <c r="C409" s="12" t="s">
        <v>757</v>
      </c>
      <c r="D409" s="11">
        <v>4.95</v>
      </c>
      <c r="E409" s="11" t="s">
        <v>745</v>
      </c>
      <c r="F409" s="11">
        <v>1.4</v>
      </c>
      <c r="G409" s="11"/>
      <c r="H409" s="11"/>
      <c r="I409" s="11"/>
      <c r="J409" s="11"/>
      <c r="K409" s="11"/>
      <c r="L409" s="88"/>
      <c r="M409" s="88"/>
      <c r="N409" s="88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 t="s">
        <v>748</v>
      </c>
      <c r="AH409" s="88">
        <v>1</v>
      </c>
      <c r="AI409" s="88" t="s">
        <v>727</v>
      </c>
      <c r="AJ409" s="11">
        <f t="shared" si="20"/>
        <v>6.93</v>
      </c>
    </row>
    <row r="410" spans="1:36" x14ac:dyDescent="0.2">
      <c r="A410" s="7"/>
      <c r="B410" s="8"/>
      <c r="C410" s="12" t="s">
        <v>758</v>
      </c>
      <c r="D410" s="11">
        <v>2.2000000000000002</v>
      </c>
      <c r="E410" s="11" t="s">
        <v>748</v>
      </c>
      <c r="F410" s="11">
        <v>2</v>
      </c>
      <c r="G410" s="11"/>
      <c r="H410" s="11"/>
      <c r="I410" s="11"/>
      <c r="J410" s="11"/>
      <c r="K410" s="11"/>
      <c r="L410" s="88"/>
      <c r="M410" s="88"/>
      <c r="N410" s="88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 t="s">
        <v>748</v>
      </c>
      <c r="AH410" s="88">
        <v>1</v>
      </c>
      <c r="AI410" s="88" t="s">
        <v>727</v>
      </c>
      <c r="AJ410" s="11">
        <f t="shared" si="20"/>
        <v>4.4000000000000004</v>
      </c>
    </row>
    <row r="411" spans="1:36" x14ac:dyDescent="0.2">
      <c r="A411" s="7"/>
      <c r="B411" s="8"/>
      <c r="C411" s="12" t="s">
        <v>759</v>
      </c>
      <c r="D411" s="11">
        <v>1.2</v>
      </c>
      <c r="E411" s="11" t="s">
        <v>748</v>
      </c>
      <c r="F411" s="11">
        <v>2</v>
      </c>
      <c r="G411" s="11"/>
      <c r="H411" s="11"/>
      <c r="I411" s="11"/>
      <c r="J411" s="11"/>
      <c r="K411" s="11"/>
      <c r="L411" s="88"/>
      <c r="M411" s="88"/>
      <c r="N411" s="88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 t="s">
        <v>748</v>
      </c>
      <c r="AH411" s="88">
        <v>1</v>
      </c>
      <c r="AI411" s="88" t="s">
        <v>727</v>
      </c>
      <c r="AJ411" s="11">
        <f t="shared" si="20"/>
        <v>2.4</v>
      </c>
    </row>
    <row r="412" spans="1:36" x14ac:dyDescent="0.2">
      <c r="A412" s="7"/>
      <c r="B412" s="8"/>
      <c r="C412" s="12" t="s">
        <v>875</v>
      </c>
      <c r="D412" s="11">
        <v>1.8</v>
      </c>
      <c r="E412" s="11" t="s">
        <v>745</v>
      </c>
      <c r="F412" s="11">
        <v>2</v>
      </c>
      <c r="G412" s="11"/>
      <c r="H412" s="11"/>
      <c r="I412" s="11"/>
      <c r="J412" s="11"/>
      <c r="K412" s="11"/>
      <c r="L412" s="88"/>
      <c r="M412" s="88"/>
      <c r="N412" s="88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 t="s">
        <v>745</v>
      </c>
      <c r="AH412" s="88">
        <v>2</v>
      </c>
      <c r="AI412" s="88" t="s">
        <v>727</v>
      </c>
      <c r="AJ412" s="11">
        <f t="shared" si="20"/>
        <v>7.2</v>
      </c>
    </row>
    <row r="413" spans="1:36" x14ac:dyDescent="0.2">
      <c r="A413" s="7"/>
      <c r="B413" s="8"/>
      <c r="C413" s="12" t="s">
        <v>876</v>
      </c>
      <c r="D413" s="11">
        <v>1.2</v>
      </c>
      <c r="E413" s="11" t="s">
        <v>745</v>
      </c>
      <c r="F413" s="11">
        <v>2</v>
      </c>
      <c r="G413" s="11"/>
      <c r="H413" s="11"/>
      <c r="I413" s="11"/>
      <c r="J413" s="11"/>
      <c r="K413" s="11"/>
      <c r="L413" s="88"/>
      <c r="M413" s="88"/>
      <c r="N413" s="88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 t="s">
        <v>745</v>
      </c>
      <c r="AH413" s="88">
        <v>1</v>
      </c>
      <c r="AI413" s="88" t="s">
        <v>727</v>
      </c>
      <c r="AJ413" s="11">
        <f t="shared" si="20"/>
        <v>2.4</v>
      </c>
    </row>
    <row r="414" spans="1:36" x14ac:dyDescent="0.2">
      <c r="A414" s="7"/>
      <c r="B414" s="8"/>
      <c r="C414" s="12" t="s">
        <v>1117</v>
      </c>
      <c r="D414" s="11">
        <v>0.8</v>
      </c>
      <c r="E414" s="11" t="s">
        <v>745</v>
      </c>
      <c r="F414" s="11">
        <v>2</v>
      </c>
      <c r="G414" s="11"/>
      <c r="H414" s="11"/>
      <c r="I414" s="11"/>
      <c r="J414" s="11"/>
      <c r="K414" s="11"/>
      <c r="L414" s="88"/>
      <c r="M414" s="88"/>
      <c r="N414" s="88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 t="s">
        <v>745</v>
      </c>
      <c r="AH414" s="88">
        <v>1</v>
      </c>
      <c r="AI414" s="88" t="s">
        <v>727</v>
      </c>
      <c r="AJ414" s="11">
        <f t="shared" si="20"/>
        <v>1.6</v>
      </c>
    </row>
    <row r="415" spans="1:36" x14ac:dyDescent="0.2">
      <c r="A415" s="7"/>
      <c r="B415" s="8"/>
      <c r="C415" s="9"/>
      <c r="D415" s="290" t="s">
        <v>743</v>
      </c>
      <c r="E415" s="290"/>
      <c r="F415" s="290"/>
      <c r="G415" s="290"/>
      <c r="H415" s="290"/>
      <c r="I415" s="290"/>
      <c r="J415" s="290"/>
      <c r="K415" s="290"/>
      <c r="L415" s="290"/>
      <c r="M415" s="290"/>
      <c r="N415" s="290"/>
      <c r="O415" s="290"/>
      <c r="P415" s="290"/>
      <c r="Q415" s="290"/>
      <c r="R415" s="290"/>
      <c r="S415" s="290"/>
      <c r="T415" s="290"/>
      <c r="U415" s="290"/>
      <c r="V415" s="290"/>
      <c r="W415" s="290"/>
      <c r="X415" s="290"/>
      <c r="Y415" s="290"/>
      <c r="Z415" s="290"/>
      <c r="AA415" s="290"/>
      <c r="AB415" s="290"/>
      <c r="AC415" s="290"/>
      <c r="AD415" s="290"/>
      <c r="AE415" s="290"/>
      <c r="AF415" s="290"/>
      <c r="AG415" s="290"/>
      <c r="AH415" s="290"/>
      <c r="AI415" s="290"/>
      <c r="AJ415" s="92">
        <f>SUM(AJ407:AJ413)</f>
        <v>54.331999999999994</v>
      </c>
    </row>
    <row r="416" spans="1:36" x14ac:dyDescent="0.2">
      <c r="A416" s="48" t="s">
        <v>163</v>
      </c>
      <c r="B416" s="269" t="s">
        <v>164</v>
      </c>
      <c r="C416" s="269"/>
      <c r="D416" s="308"/>
      <c r="E416" s="308"/>
      <c r="F416" s="308"/>
      <c r="G416" s="308"/>
      <c r="H416" s="308"/>
      <c r="I416" s="308"/>
      <c r="J416" s="308"/>
      <c r="K416" s="308"/>
      <c r="L416" s="308"/>
      <c r="M416" s="308"/>
      <c r="N416" s="308"/>
      <c r="O416" s="308"/>
      <c r="P416" s="308"/>
      <c r="Q416" s="308"/>
      <c r="R416" s="308"/>
      <c r="S416" s="308"/>
      <c r="T416" s="308"/>
      <c r="U416" s="308"/>
      <c r="V416" s="308"/>
      <c r="W416" s="308"/>
      <c r="X416" s="308"/>
      <c r="Y416" s="308"/>
      <c r="Z416" s="308"/>
      <c r="AA416" s="308"/>
      <c r="AB416" s="308"/>
      <c r="AC416" s="308"/>
      <c r="AD416" s="308"/>
      <c r="AE416" s="308"/>
      <c r="AF416" s="308"/>
      <c r="AG416" s="308"/>
      <c r="AH416" s="308"/>
      <c r="AI416" s="308"/>
      <c r="AJ416" s="269"/>
    </row>
    <row r="417" spans="1:36" ht="48" x14ac:dyDescent="0.2">
      <c r="A417" s="7" t="s">
        <v>165</v>
      </c>
      <c r="B417" s="8" t="s">
        <v>166</v>
      </c>
      <c r="C417" s="9" t="s">
        <v>167</v>
      </c>
      <c r="D417" s="335"/>
      <c r="E417" s="336"/>
      <c r="F417" s="336"/>
      <c r="G417" s="336"/>
      <c r="H417" s="336"/>
      <c r="I417" s="336"/>
      <c r="J417" s="336"/>
      <c r="K417" s="336"/>
      <c r="L417" s="336"/>
      <c r="M417" s="336"/>
      <c r="N417" s="336"/>
      <c r="O417" s="336"/>
      <c r="P417" s="336"/>
      <c r="Q417" s="336"/>
      <c r="R417" s="336"/>
      <c r="S417" s="336"/>
      <c r="T417" s="336"/>
      <c r="U417" s="336"/>
      <c r="V417" s="336"/>
      <c r="W417" s="336"/>
      <c r="X417" s="336"/>
      <c r="Y417" s="336"/>
      <c r="Z417" s="336"/>
      <c r="AA417" s="336"/>
      <c r="AB417" s="336"/>
      <c r="AC417" s="336"/>
      <c r="AD417" s="336"/>
      <c r="AE417" s="336"/>
      <c r="AF417" s="336"/>
      <c r="AG417" s="336"/>
      <c r="AH417" s="336"/>
      <c r="AI417" s="337"/>
      <c r="AJ417" s="11" t="s">
        <v>158</v>
      </c>
    </row>
    <row r="418" spans="1:36" ht="36" x14ac:dyDescent="0.2">
      <c r="A418" s="7" t="s">
        <v>909</v>
      </c>
      <c r="B418" s="8">
        <v>91341</v>
      </c>
      <c r="C418" s="9" t="s">
        <v>740</v>
      </c>
      <c r="D418" s="335"/>
      <c r="E418" s="336"/>
      <c r="F418" s="336"/>
      <c r="G418" s="336"/>
      <c r="H418" s="336"/>
      <c r="I418" s="336"/>
      <c r="J418" s="336"/>
      <c r="K418" s="336"/>
      <c r="L418" s="336"/>
      <c r="M418" s="336"/>
      <c r="N418" s="336"/>
      <c r="O418" s="336"/>
      <c r="P418" s="336"/>
      <c r="Q418" s="336"/>
      <c r="R418" s="336"/>
      <c r="S418" s="336"/>
      <c r="T418" s="336"/>
      <c r="U418" s="336"/>
      <c r="V418" s="336"/>
      <c r="W418" s="336"/>
      <c r="X418" s="336"/>
      <c r="Y418" s="336"/>
      <c r="Z418" s="336"/>
      <c r="AA418" s="336"/>
      <c r="AB418" s="336"/>
      <c r="AC418" s="336"/>
      <c r="AD418" s="336"/>
      <c r="AE418" s="336"/>
      <c r="AF418" s="336"/>
      <c r="AG418" s="336"/>
      <c r="AH418" s="336"/>
      <c r="AI418" s="337"/>
      <c r="AJ418" s="11"/>
    </row>
    <row r="419" spans="1:36" x14ac:dyDescent="0.2">
      <c r="A419" s="7"/>
      <c r="B419" s="8"/>
      <c r="C419" s="12" t="s">
        <v>744</v>
      </c>
      <c r="D419" s="11">
        <v>0.8</v>
      </c>
      <c r="E419" s="11" t="s">
        <v>745</v>
      </c>
      <c r="F419" s="11">
        <v>1</v>
      </c>
      <c r="G419" s="10"/>
      <c r="H419" s="10"/>
      <c r="I419" s="10"/>
      <c r="J419" s="10"/>
      <c r="K419" s="10"/>
      <c r="L419" s="51"/>
      <c r="M419" s="51"/>
      <c r="N419" s="5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 t="s">
        <v>748</v>
      </c>
      <c r="AH419" s="88">
        <v>5</v>
      </c>
      <c r="AI419" s="88" t="s">
        <v>727</v>
      </c>
      <c r="AJ419" s="11">
        <f>(D419*F419)*AH419</f>
        <v>4</v>
      </c>
    </row>
    <row r="420" spans="1:36" x14ac:dyDescent="0.2">
      <c r="A420" s="7"/>
      <c r="B420" s="8"/>
      <c r="C420" s="12" t="s">
        <v>746</v>
      </c>
      <c r="D420" s="11">
        <v>0.8</v>
      </c>
      <c r="E420" s="11" t="s">
        <v>748</v>
      </c>
      <c r="F420" s="11">
        <v>2.1</v>
      </c>
      <c r="G420" s="10"/>
      <c r="H420" s="10"/>
      <c r="I420" s="10"/>
      <c r="J420" s="10"/>
      <c r="K420" s="10"/>
      <c r="L420" s="51"/>
      <c r="M420" s="51"/>
      <c r="N420" s="5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 t="s">
        <v>748</v>
      </c>
      <c r="AH420" s="88">
        <v>2</v>
      </c>
      <c r="AI420" s="88" t="s">
        <v>727</v>
      </c>
      <c r="AJ420" s="11">
        <f>(D420*F420)*AH420</f>
        <v>3.3600000000000003</v>
      </c>
    </row>
    <row r="421" spans="1:36" x14ac:dyDescent="0.2">
      <c r="A421" s="7"/>
      <c r="B421" s="8"/>
      <c r="C421" s="12" t="s">
        <v>747</v>
      </c>
      <c r="D421" s="11">
        <v>0.8</v>
      </c>
      <c r="E421" s="11" t="s">
        <v>748</v>
      </c>
      <c r="F421" s="11">
        <v>2.1</v>
      </c>
      <c r="G421" s="10"/>
      <c r="H421" s="10"/>
      <c r="I421" s="10"/>
      <c r="J421" s="10"/>
      <c r="K421" s="10"/>
      <c r="L421" s="51"/>
      <c r="M421" s="51"/>
      <c r="N421" s="5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 t="s">
        <v>748</v>
      </c>
      <c r="AH421" s="88">
        <v>2</v>
      </c>
      <c r="AI421" s="88" t="s">
        <v>727</v>
      </c>
      <c r="AJ421" s="11">
        <f>(D421*F421)*AH421</f>
        <v>3.3600000000000003</v>
      </c>
    </row>
    <row r="422" spans="1:36" x14ac:dyDescent="0.2">
      <c r="A422" s="7"/>
      <c r="B422" s="8"/>
      <c r="C422" s="9"/>
      <c r="D422" s="287" t="s">
        <v>743</v>
      </c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  <c r="O422" s="287"/>
      <c r="P422" s="287"/>
      <c r="Q422" s="287"/>
      <c r="R422" s="287"/>
      <c r="S422" s="287"/>
      <c r="T422" s="287"/>
      <c r="U422" s="287"/>
      <c r="V422" s="287"/>
      <c r="W422" s="287"/>
      <c r="X422" s="287"/>
      <c r="Y422" s="287"/>
      <c r="Z422" s="287"/>
      <c r="AA422" s="287"/>
      <c r="AB422" s="287"/>
      <c r="AC422" s="287"/>
      <c r="AD422" s="287"/>
      <c r="AE422" s="287"/>
      <c r="AF422" s="287"/>
      <c r="AG422" s="287"/>
      <c r="AH422" s="287"/>
      <c r="AI422" s="287"/>
      <c r="AJ422" s="92">
        <f>SUM(AJ419:AJ421)</f>
        <v>10.72</v>
      </c>
    </row>
    <row r="423" spans="1:36" x14ac:dyDescent="0.2">
      <c r="A423" s="48" t="s">
        <v>168</v>
      </c>
      <c r="B423" s="269" t="s">
        <v>169</v>
      </c>
      <c r="C423" s="269"/>
      <c r="D423" s="272"/>
      <c r="E423" s="272"/>
      <c r="F423" s="272"/>
      <c r="G423" s="272"/>
      <c r="H423" s="272"/>
      <c r="I423" s="272"/>
      <c r="J423" s="272"/>
      <c r="K423" s="272"/>
      <c r="L423" s="272"/>
      <c r="M423" s="272"/>
      <c r="N423" s="272"/>
      <c r="O423" s="272"/>
      <c r="P423" s="272"/>
      <c r="Q423" s="272"/>
      <c r="R423" s="272"/>
      <c r="S423" s="272"/>
      <c r="T423" s="272"/>
      <c r="U423" s="272"/>
      <c r="V423" s="272"/>
      <c r="W423" s="272"/>
      <c r="X423" s="272"/>
      <c r="Y423" s="272"/>
      <c r="Z423" s="272"/>
      <c r="AA423" s="272"/>
      <c r="AB423" s="272"/>
      <c r="AC423" s="272"/>
      <c r="AD423" s="272"/>
      <c r="AE423" s="272"/>
      <c r="AF423" s="272"/>
      <c r="AG423" s="272"/>
      <c r="AH423" s="272"/>
      <c r="AI423" s="272"/>
      <c r="AJ423" s="269"/>
    </row>
    <row r="424" spans="1:36" ht="48" x14ac:dyDescent="0.2">
      <c r="A424" s="7" t="s">
        <v>170</v>
      </c>
      <c r="B424" s="8" t="s">
        <v>171</v>
      </c>
      <c r="C424" s="7" t="s">
        <v>172</v>
      </c>
      <c r="D424" s="294"/>
      <c r="E424" s="295"/>
      <c r="F424" s="295"/>
      <c r="G424" s="295"/>
      <c r="H424" s="295"/>
      <c r="I424" s="295"/>
      <c r="J424" s="295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  <c r="Y424" s="295"/>
      <c r="Z424" s="295"/>
      <c r="AA424" s="295"/>
      <c r="AB424" s="295"/>
      <c r="AC424" s="295"/>
      <c r="AD424" s="295"/>
      <c r="AE424" s="295"/>
      <c r="AF424" s="295"/>
      <c r="AG424" s="295"/>
      <c r="AH424" s="295"/>
      <c r="AI424" s="296"/>
      <c r="AJ424" s="11" t="s">
        <v>19</v>
      </c>
    </row>
    <row r="425" spans="1:36" ht="48" x14ac:dyDescent="0.2">
      <c r="A425" s="7" t="s">
        <v>173</v>
      </c>
      <c r="B425" s="8" t="s">
        <v>171</v>
      </c>
      <c r="C425" s="7" t="s">
        <v>172</v>
      </c>
      <c r="D425" s="294"/>
      <c r="E425" s="295"/>
      <c r="F425" s="295"/>
      <c r="G425" s="295"/>
      <c r="H425" s="295"/>
      <c r="I425" s="295"/>
      <c r="J425" s="295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  <c r="Y425" s="295"/>
      <c r="Z425" s="295"/>
      <c r="AA425" s="295"/>
      <c r="AB425" s="295"/>
      <c r="AC425" s="295"/>
      <c r="AD425" s="295"/>
      <c r="AE425" s="295"/>
      <c r="AF425" s="295"/>
      <c r="AG425" s="295"/>
      <c r="AH425" s="295"/>
      <c r="AI425" s="296"/>
      <c r="AJ425" s="11" t="s">
        <v>19</v>
      </c>
    </row>
    <row r="426" spans="1:36" ht="48" x14ac:dyDescent="0.2">
      <c r="A426" s="7" t="s">
        <v>174</v>
      </c>
      <c r="B426" s="8" t="s">
        <v>171</v>
      </c>
      <c r="C426" s="7" t="s">
        <v>172</v>
      </c>
      <c r="D426" s="294"/>
      <c r="E426" s="295"/>
      <c r="F426" s="295"/>
      <c r="G426" s="295"/>
      <c r="H426" s="295"/>
      <c r="I426" s="295"/>
      <c r="J426" s="295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  <c r="Y426" s="295"/>
      <c r="Z426" s="295"/>
      <c r="AA426" s="295"/>
      <c r="AB426" s="295"/>
      <c r="AC426" s="295"/>
      <c r="AD426" s="295"/>
      <c r="AE426" s="295"/>
      <c r="AF426" s="295"/>
      <c r="AG426" s="295"/>
      <c r="AH426" s="295"/>
      <c r="AI426" s="296"/>
      <c r="AJ426" s="11" t="s">
        <v>19</v>
      </c>
    </row>
    <row r="427" spans="1:36" ht="48" x14ac:dyDescent="0.2">
      <c r="A427" s="7" t="s">
        <v>175</v>
      </c>
      <c r="B427" s="8" t="s">
        <v>176</v>
      </c>
      <c r="C427" s="7" t="s">
        <v>177</v>
      </c>
      <c r="D427" s="294"/>
      <c r="E427" s="295"/>
      <c r="F427" s="295"/>
      <c r="G427" s="295"/>
      <c r="H427" s="295"/>
      <c r="I427" s="295"/>
      <c r="J427" s="295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  <c r="Y427" s="295"/>
      <c r="Z427" s="295"/>
      <c r="AA427" s="295"/>
      <c r="AB427" s="295"/>
      <c r="AC427" s="295"/>
      <c r="AD427" s="295"/>
      <c r="AE427" s="295"/>
      <c r="AF427" s="295"/>
      <c r="AG427" s="295"/>
      <c r="AH427" s="295"/>
      <c r="AI427" s="296"/>
      <c r="AJ427" s="11" t="s">
        <v>19</v>
      </c>
    </row>
    <row r="428" spans="1:36" ht="48" x14ac:dyDescent="0.2">
      <c r="A428" s="7" t="s">
        <v>178</v>
      </c>
      <c r="B428" s="8" t="s">
        <v>176</v>
      </c>
      <c r="C428" s="7" t="s">
        <v>177</v>
      </c>
      <c r="D428" s="294"/>
      <c r="E428" s="295"/>
      <c r="F428" s="295"/>
      <c r="G428" s="295"/>
      <c r="H428" s="295"/>
      <c r="I428" s="295"/>
      <c r="J428" s="295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  <c r="Y428" s="295"/>
      <c r="Z428" s="295"/>
      <c r="AA428" s="295"/>
      <c r="AB428" s="295"/>
      <c r="AC428" s="295"/>
      <c r="AD428" s="295"/>
      <c r="AE428" s="295"/>
      <c r="AF428" s="295"/>
      <c r="AG428" s="295"/>
      <c r="AH428" s="295"/>
      <c r="AI428" s="296"/>
      <c r="AJ428" s="11" t="s">
        <v>19</v>
      </c>
    </row>
    <row r="429" spans="1:36" ht="48" x14ac:dyDescent="0.2">
      <c r="A429" s="7" t="s">
        <v>179</v>
      </c>
      <c r="B429" s="14" t="s">
        <v>180</v>
      </c>
      <c r="C429" s="15" t="s">
        <v>181</v>
      </c>
      <c r="D429" s="294"/>
      <c r="E429" s="295"/>
      <c r="F429" s="295"/>
      <c r="G429" s="295"/>
      <c r="H429" s="295"/>
      <c r="I429" s="295"/>
      <c r="J429" s="295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  <c r="Y429" s="295"/>
      <c r="Z429" s="295"/>
      <c r="AA429" s="295"/>
      <c r="AB429" s="295"/>
      <c r="AC429" s="295"/>
      <c r="AD429" s="295"/>
      <c r="AE429" s="295"/>
      <c r="AF429" s="295"/>
      <c r="AG429" s="295"/>
      <c r="AH429" s="295"/>
      <c r="AI429" s="296"/>
      <c r="AJ429" s="11" t="s">
        <v>19</v>
      </c>
    </row>
    <row r="430" spans="1:36" ht="48" x14ac:dyDescent="0.2">
      <c r="A430" s="9" t="s">
        <v>760</v>
      </c>
      <c r="B430" s="11">
        <v>94570</v>
      </c>
      <c r="C430" s="10" t="s">
        <v>181</v>
      </c>
      <c r="D430" s="294"/>
      <c r="E430" s="295"/>
      <c r="F430" s="295"/>
      <c r="G430" s="295"/>
      <c r="H430" s="295"/>
      <c r="I430" s="295"/>
      <c r="J430" s="295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  <c r="Y430" s="295"/>
      <c r="Z430" s="295"/>
      <c r="AA430" s="295"/>
      <c r="AB430" s="295"/>
      <c r="AC430" s="295"/>
      <c r="AD430" s="295"/>
      <c r="AE430" s="295"/>
      <c r="AF430" s="295"/>
      <c r="AG430" s="295"/>
      <c r="AH430" s="295"/>
      <c r="AI430" s="296"/>
      <c r="AJ430" s="11"/>
    </row>
    <row r="431" spans="1:36" x14ac:dyDescent="0.2">
      <c r="A431" s="9"/>
      <c r="B431" s="11"/>
      <c r="C431" s="46" t="s">
        <v>749</v>
      </c>
      <c r="D431" s="11">
        <v>0.6</v>
      </c>
      <c r="E431" s="11" t="s">
        <v>745</v>
      </c>
      <c r="F431" s="11">
        <v>0.6</v>
      </c>
      <c r="G431" s="10"/>
      <c r="H431" s="10"/>
      <c r="I431" s="10"/>
      <c r="J431" s="10"/>
      <c r="K431" s="10"/>
      <c r="L431" s="51"/>
      <c r="M431" s="51"/>
      <c r="N431" s="5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 t="s">
        <v>748</v>
      </c>
      <c r="AI431" s="147">
        <v>27</v>
      </c>
      <c r="AJ431" s="11">
        <f>(D431*F431)*AI431</f>
        <v>9.7199999999999989</v>
      </c>
    </row>
    <row r="432" spans="1:36" x14ac:dyDescent="0.2">
      <c r="A432" s="9"/>
      <c r="B432" s="11"/>
      <c r="C432" s="46" t="s">
        <v>750</v>
      </c>
      <c r="D432" s="11">
        <v>0.6</v>
      </c>
      <c r="E432" s="11" t="s">
        <v>745</v>
      </c>
      <c r="F432" s="11">
        <v>0.9</v>
      </c>
      <c r="G432" s="10"/>
      <c r="H432" s="10"/>
      <c r="I432" s="10"/>
      <c r="J432" s="10"/>
      <c r="K432" s="10"/>
      <c r="L432" s="51"/>
      <c r="M432" s="51"/>
      <c r="N432" s="5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 t="s">
        <v>748</v>
      </c>
      <c r="AI432" s="147">
        <v>4</v>
      </c>
      <c r="AJ432" s="11">
        <f>(D432*F432)*AI432</f>
        <v>2.16</v>
      </c>
    </row>
    <row r="433" spans="1:36" x14ac:dyDescent="0.2">
      <c r="A433" s="9"/>
      <c r="B433" s="11"/>
      <c r="C433" s="46" t="s">
        <v>751</v>
      </c>
      <c r="D433" s="11">
        <v>1.2</v>
      </c>
      <c r="E433" s="11" t="s">
        <v>745</v>
      </c>
      <c r="F433" s="11">
        <v>1.2</v>
      </c>
      <c r="G433" s="10"/>
      <c r="H433" s="10"/>
      <c r="I433" s="10"/>
      <c r="J433" s="10"/>
      <c r="K433" s="10"/>
      <c r="L433" s="51"/>
      <c r="M433" s="51"/>
      <c r="N433" s="5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 t="s">
        <v>748</v>
      </c>
      <c r="AI433" s="147">
        <v>7</v>
      </c>
      <c r="AJ433" s="11">
        <f>(D433*F433)*AI433</f>
        <v>10.08</v>
      </c>
    </row>
    <row r="434" spans="1:36" x14ac:dyDescent="0.2">
      <c r="A434" s="9"/>
      <c r="B434" s="11"/>
      <c r="C434" s="46" t="s">
        <v>752</v>
      </c>
      <c r="D434" s="11">
        <v>1.8</v>
      </c>
      <c r="E434" s="11" t="s">
        <v>748</v>
      </c>
      <c r="F434" s="11">
        <v>1.2</v>
      </c>
      <c r="G434" s="10"/>
      <c r="H434" s="10"/>
      <c r="I434" s="10"/>
      <c r="J434" s="10"/>
      <c r="K434" s="10"/>
      <c r="L434" s="51"/>
      <c r="M434" s="51"/>
      <c r="N434" s="5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 t="s">
        <v>748</v>
      </c>
      <c r="AI434" s="147">
        <v>1</v>
      </c>
      <c r="AJ434" s="11">
        <f>(D434*F434)*AI434</f>
        <v>2.16</v>
      </c>
    </row>
    <row r="435" spans="1:36" x14ac:dyDescent="0.2">
      <c r="A435" s="9"/>
      <c r="B435" s="11"/>
      <c r="C435" s="46" t="s">
        <v>753</v>
      </c>
      <c r="D435" s="11">
        <v>1.8</v>
      </c>
      <c r="E435" s="11" t="s">
        <v>748</v>
      </c>
      <c r="F435" s="11">
        <v>1.6</v>
      </c>
      <c r="G435" s="10"/>
      <c r="H435" s="10"/>
      <c r="I435" s="10"/>
      <c r="J435" s="10"/>
      <c r="K435" s="10"/>
      <c r="L435" s="51"/>
      <c r="M435" s="51"/>
      <c r="N435" s="5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 t="s">
        <v>748</v>
      </c>
      <c r="AI435" s="147">
        <v>6</v>
      </c>
      <c r="AJ435" s="11">
        <f>(D435*F435)*AI435</f>
        <v>17.28</v>
      </c>
    </row>
    <row r="436" spans="1:36" x14ac:dyDescent="0.2">
      <c r="A436" s="9"/>
      <c r="B436" s="11"/>
      <c r="C436" s="10"/>
      <c r="D436" s="287" t="s">
        <v>743</v>
      </c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  <c r="O436" s="287"/>
      <c r="P436" s="287"/>
      <c r="Q436" s="287"/>
      <c r="R436" s="287"/>
      <c r="S436" s="287"/>
      <c r="T436" s="287"/>
      <c r="U436" s="287"/>
      <c r="V436" s="287"/>
      <c r="W436" s="287"/>
      <c r="X436" s="287"/>
      <c r="Y436" s="287"/>
      <c r="Z436" s="287"/>
      <c r="AA436" s="287"/>
      <c r="AB436" s="287"/>
      <c r="AC436" s="287"/>
      <c r="AD436" s="287"/>
      <c r="AE436" s="287"/>
      <c r="AF436" s="287"/>
      <c r="AG436" s="287"/>
      <c r="AH436" s="287"/>
      <c r="AI436" s="287"/>
      <c r="AJ436" s="92">
        <f>SUM(AJ431:AJ435)</f>
        <v>41.400000000000006</v>
      </c>
    </row>
    <row r="437" spans="1:36" x14ac:dyDescent="0.2">
      <c r="A437" s="127" t="s">
        <v>182</v>
      </c>
      <c r="B437" s="252" t="s">
        <v>183</v>
      </c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  <c r="AA437" s="252"/>
      <c r="AB437" s="252"/>
      <c r="AC437" s="252"/>
      <c r="AD437" s="252"/>
      <c r="AE437" s="252"/>
      <c r="AF437" s="252"/>
      <c r="AG437" s="252"/>
      <c r="AH437" s="252"/>
      <c r="AI437" s="252"/>
      <c r="AJ437" s="252"/>
    </row>
    <row r="438" spans="1:36" ht="36" x14ac:dyDescent="0.2">
      <c r="A438" s="16" t="s">
        <v>184</v>
      </c>
      <c r="B438" s="18" t="s">
        <v>185</v>
      </c>
      <c r="C438" s="17" t="s">
        <v>186</v>
      </c>
      <c r="D438" s="335"/>
      <c r="E438" s="336"/>
      <c r="F438" s="336"/>
      <c r="G438" s="336"/>
      <c r="H438" s="336"/>
      <c r="I438" s="336"/>
      <c r="J438" s="336"/>
      <c r="K438" s="336"/>
      <c r="L438" s="336"/>
      <c r="M438" s="336"/>
      <c r="N438" s="336"/>
      <c r="O438" s="336"/>
      <c r="P438" s="336"/>
      <c r="Q438" s="336"/>
      <c r="R438" s="336"/>
      <c r="S438" s="336"/>
      <c r="T438" s="336"/>
      <c r="U438" s="336"/>
      <c r="V438" s="336"/>
      <c r="W438" s="336"/>
      <c r="X438" s="336"/>
      <c r="Y438" s="336"/>
      <c r="Z438" s="336"/>
      <c r="AA438" s="336"/>
      <c r="AB438" s="336"/>
      <c r="AC438" s="336"/>
      <c r="AD438" s="336"/>
      <c r="AE438" s="336"/>
      <c r="AF438" s="336"/>
      <c r="AG438" s="336"/>
      <c r="AH438" s="336"/>
      <c r="AI438" s="337"/>
      <c r="AJ438" s="18" t="s">
        <v>19</v>
      </c>
    </row>
    <row r="439" spans="1:36" x14ac:dyDescent="0.2">
      <c r="A439" s="10"/>
      <c r="B439" s="11"/>
      <c r="C439" s="46" t="s">
        <v>1137</v>
      </c>
      <c r="D439" s="11">
        <v>2.63</v>
      </c>
      <c r="E439" s="11" t="s">
        <v>745</v>
      </c>
      <c r="F439" s="11">
        <v>18.350000000000001</v>
      </c>
      <c r="G439" s="11" t="s">
        <v>764</v>
      </c>
      <c r="H439" s="11">
        <v>2.63</v>
      </c>
      <c r="I439" s="11" t="s">
        <v>745</v>
      </c>
      <c r="J439" s="11">
        <v>18.350000000000001</v>
      </c>
      <c r="K439" s="11"/>
      <c r="L439" s="11"/>
      <c r="M439" s="11"/>
      <c r="N439" s="11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19"/>
      <c r="AF439" s="19"/>
      <c r="AG439" s="19"/>
      <c r="AH439" s="92"/>
      <c r="AI439" s="92" t="s">
        <v>727</v>
      </c>
      <c r="AJ439" s="11">
        <f>(D439*F439+H439*J439+L439*N439)</f>
        <v>96.521000000000001</v>
      </c>
    </row>
    <row r="440" spans="1:36" x14ac:dyDescent="0.2">
      <c r="A440" s="10"/>
      <c r="B440" s="11"/>
      <c r="C440" s="46" t="s">
        <v>1138</v>
      </c>
      <c r="D440" s="11">
        <v>3.22</v>
      </c>
      <c r="E440" s="11" t="s">
        <v>745</v>
      </c>
      <c r="F440" s="11">
        <v>20.149999999999999</v>
      </c>
      <c r="G440" s="11" t="s">
        <v>764</v>
      </c>
      <c r="H440" s="11">
        <v>3.22</v>
      </c>
      <c r="I440" s="11" t="s">
        <v>745</v>
      </c>
      <c r="J440" s="11">
        <v>20.149999999999999</v>
      </c>
      <c r="K440" s="11"/>
      <c r="L440" s="11"/>
      <c r="M440" s="11"/>
      <c r="N440" s="11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19"/>
      <c r="AF440" s="19"/>
      <c r="AG440" s="19"/>
      <c r="AH440" s="92"/>
      <c r="AI440" s="92" t="s">
        <v>727</v>
      </c>
      <c r="AJ440" s="11">
        <f t="shared" ref="AJ440:AJ443" si="21">(D440*F440+H440*J440+L440*N440)</f>
        <v>129.76599999999999</v>
      </c>
    </row>
    <row r="441" spans="1:36" x14ac:dyDescent="0.2">
      <c r="A441" s="10"/>
      <c r="B441" s="11"/>
      <c r="C441" s="46" t="s">
        <v>1139</v>
      </c>
      <c r="D441" s="11">
        <v>3.03</v>
      </c>
      <c r="E441" s="11" t="s">
        <v>745</v>
      </c>
      <c r="F441" s="11">
        <v>18.149999999999999</v>
      </c>
      <c r="G441" s="11" t="s">
        <v>764</v>
      </c>
      <c r="H441" s="11">
        <v>3.03</v>
      </c>
      <c r="I441" s="11" t="s">
        <v>745</v>
      </c>
      <c r="J441" s="11">
        <v>18.149999999999999</v>
      </c>
      <c r="K441" s="11"/>
      <c r="L441" s="11"/>
      <c r="M441" s="11"/>
      <c r="N441" s="11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19"/>
      <c r="AF441" s="19"/>
      <c r="AG441" s="19"/>
      <c r="AH441" s="92"/>
      <c r="AI441" s="92" t="s">
        <v>727</v>
      </c>
      <c r="AJ441" s="11">
        <f t="shared" si="21"/>
        <v>109.98899999999999</v>
      </c>
    </row>
    <row r="442" spans="1:36" x14ac:dyDescent="0.2">
      <c r="A442" s="10"/>
      <c r="B442" s="11"/>
      <c r="C442" s="46" t="s">
        <v>1143</v>
      </c>
      <c r="D442" s="11">
        <v>3.22</v>
      </c>
      <c r="E442" s="11" t="s">
        <v>745</v>
      </c>
      <c r="F442" s="11">
        <v>8.4499999999999993</v>
      </c>
      <c r="G442" s="11" t="s">
        <v>764</v>
      </c>
      <c r="H442" s="11">
        <v>5.23</v>
      </c>
      <c r="I442" s="11" t="s">
        <v>745</v>
      </c>
      <c r="J442" s="11">
        <v>3.22</v>
      </c>
      <c r="K442" s="11" t="s">
        <v>764</v>
      </c>
      <c r="L442" s="11">
        <v>3.13</v>
      </c>
      <c r="M442" s="11" t="s">
        <v>745</v>
      </c>
      <c r="N442" s="11">
        <v>0.82</v>
      </c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19"/>
      <c r="AF442" s="19"/>
      <c r="AG442" s="19"/>
      <c r="AH442" s="92"/>
      <c r="AI442" s="92" t="s">
        <v>727</v>
      </c>
      <c r="AJ442" s="11">
        <f t="shared" si="21"/>
        <v>46.616199999999999</v>
      </c>
    </row>
    <row r="443" spans="1:36" x14ac:dyDescent="0.2">
      <c r="A443" s="10"/>
      <c r="B443" s="11"/>
      <c r="C443" s="46" t="s">
        <v>1141</v>
      </c>
      <c r="D443" s="11">
        <v>3.28</v>
      </c>
      <c r="E443" s="11" t="s">
        <v>745</v>
      </c>
      <c r="F443" s="11">
        <v>2.5499999999999998</v>
      </c>
      <c r="G443" s="11"/>
      <c r="H443" s="11"/>
      <c r="I443" s="11"/>
      <c r="J443" s="11"/>
      <c r="K443" s="11"/>
      <c r="L443" s="11"/>
      <c r="M443" s="11"/>
      <c r="N443" s="11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19"/>
      <c r="AF443" s="19"/>
      <c r="AG443" s="19"/>
      <c r="AH443" s="92"/>
      <c r="AI443" s="92" t="s">
        <v>727</v>
      </c>
      <c r="AJ443" s="11">
        <f t="shared" si="21"/>
        <v>8.363999999999999</v>
      </c>
    </row>
    <row r="444" spans="1:36" x14ac:dyDescent="0.2">
      <c r="A444" s="10"/>
      <c r="B444" s="11"/>
      <c r="C444" s="10"/>
      <c r="D444" s="287" t="s">
        <v>743</v>
      </c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  <c r="O444" s="287"/>
      <c r="P444" s="287"/>
      <c r="Q444" s="287"/>
      <c r="R444" s="287"/>
      <c r="S444" s="287"/>
      <c r="T444" s="287"/>
      <c r="U444" s="287"/>
      <c r="V444" s="287"/>
      <c r="W444" s="287"/>
      <c r="X444" s="287"/>
      <c r="Y444" s="287"/>
      <c r="Z444" s="287"/>
      <c r="AA444" s="287"/>
      <c r="AB444" s="287"/>
      <c r="AC444" s="287"/>
      <c r="AD444" s="287"/>
      <c r="AE444" s="287"/>
      <c r="AF444" s="287"/>
      <c r="AG444" s="287"/>
      <c r="AH444" s="287"/>
      <c r="AI444" s="92" t="s">
        <v>727</v>
      </c>
      <c r="AJ444" s="92">
        <f>SUM(AJ439:AJ443)</f>
        <v>391.25619999999992</v>
      </c>
    </row>
    <row r="445" spans="1:36" ht="48" x14ac:dyDescent="0.2">
      <c r="A445" s="10" t="s">
        <v>187</v>
      </c>
      <c r="B445" s="11" t="s">
        <v>188</v>
      </c>
      <c r="C445" s="10" t="s">
        <v>189</v>
      </c>
      <c r="D445" s="335"/>
      <c r="E445" s="336"/>
      <c r="F445" s="336"/>
      <c r="G445" s="336"/>
      <c r="H445" s="336"/>
      <c r="I445" s="336"/>
      <c r="J445" s="336"/>
      <c r="K445" s="336"/>
      <c r="L445" s="336"/>
      <c r="M445" s="336"/>
      <c r="N445" s="336"/>
      <c r="O445" s="336"/>
      <c r="P445" s="336"/>
      <c r="Q445" s="336"/>
      <c r="R445" s="336"/>
      <c r="S445" s="336"/>
      <c r="T445" s="336"/>
      <c r="U445" s="336"/>
      <c r="V445" s="336"/>
      <c r="W445" s="336"/>
      <c r="X445" s="336"/>
      <c r="Y445" s="336"/>
      <c r="Z445" s="336"/>
      <c r="AA445" s="336"/>
      <c r="AB445" s="336"/>
      <c r="AC445" s="336"/>
      <c r="AD445" s="336"/>
      <c r="AE445" s="336"/>
      <c r="AF445" s="336"/>
      <c r="AG445" s="336"/>
      <c r="AH445" s="336"/>
      <c r="AI445" s="337"/>
      <c r="AJ445" s="11" t="s">
        <v>23</v>
      </c>
    </row>
    <row r="446" spans="1:36" ht="36" x14ac:dyDescent="0.2">
      <c r="A446" s="10" t="s">
        <v>190</v>
      </c>
      <c r="B446" s="11" t="s">
        <v>191</v>
      </c>
      <c r="C446" s="10" t="s">
        <v>192</v>
      </c>
      <c r="D446" s="335"/>
      <c r="E446" s="336"/>
      <c r="F446" s="336"/>
      <c r="G446" s="336"/>
      <c r="H446" s="336"/>
      <c r="I446" s="336"/>
      <c r="J446" s="336"/>
      <c r="K446" s="336"/>
      <c r="L446" s="336"/>
      <c r="M446" s="336"/>
      <c r="N446" s="336"/>
      <c r="O446" s="336"/>
      <c r="P446" s="336"/>
      <c r="Q446" s="336"/>
      <c r="R446" s="336"/>
      <c r="S446" s="336"/>
      <c r="T446" s="336"/>
      <c r="U446" s="336"/>
      <c r="V446" s="336"/>
      <c r="W446" s="336"/>
      <c r="X446" s="336"/>
      <c r="Y446" s="336"/>
      <c r="Z446" s="336"/>
      <c r="AA446" s="336"/>
      <c r="AB446" s="336"/>
      <c r="AC446" s="336"/>
      <c r="AD446" s="336"/>
      <c r="AE446" s="336"/>
      <c r="AF446" s="336"/>
      <c r="AG446" s="336"/>
      <c r="AH446" s="336"/>
      <c r="AI446" s="337"/>
      <c r="AJ446" s="11" t="s">
        <v>23</v>
      </c>
    </row>
    <row r="447" spans="1:36" x14ac:dyDescent="0.2">
      <c r="A447" s="93"/>
      <c r="B447" s="96"/>
      <c r="C447" s="236" t="s">
        <v>1142</v>
      </c>
      <c r="D447" s="96">
        <v>19.850000000000001</v>
      </c>
      <c r="E447" s="96" t="s">
        <v>764</v>
      </c>
      <c r="F447" s="96">
        <v>18.350000000000001</v>
      </c>
      <c r="G447" s="96" t="s">
        <v>764</v>
      </c>
      <c r="H447" s="96">
        <v>8.08</v>
      </c>
      <c r="I447" s="96" t="s">
        <v>764</v>
      </c>
      <c r="J447" s="96">
        <v>17.55</v>
      </c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237"/>
      <c r="AH447" s="237"/>
      <c r="AI447" s="238" t="s">
        <v>727</v>
      </c>
      <c r="AJ447" s="95">
        <f>D447+F447+H447+J447</f>
        <v>63.83</v>
      </c>
    </row>
    <row r="448" spans="1:36" x14ac:dyDescent="0.2">
      <c r="A448" s="7"/>
      <c r="B448" s="8"/>
      <c r="C448" s="7"/>
      <c r="D448" s="328" t="s">
        <v>743</v>
      </c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  <c r="AA448" s="329"/>
      <c r="AB448" s="329"/>
      <c r="AC448" s="329"/>
      <c r="AD448" s="329"/>
      <c r="AE448" s="329"/>
      <c r="AF448" s="329"/>
      <c r="AG448" s="329"/>
      <c r="AH448" s="379"/>
      <c r="AI448" s="126" t="s">
        <v>727</v>
      </c>
      <c r="AJ448" s="11">
        <f>AJ447</f>
        <v>63.83</v>
      </c>
    </row>
    <row r="449" spans="1:36" x14ac:dyDescent="0.2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15"/>
      <c r="AH449" s="15"/>
      <c r="AI449" s="16"/>
      <c r="AJ449" s="11"/>
    </row>
    <row r="450" spans="1:36" x14ac:dyDescent="0.2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15"/>
      <c r="AH450" s="15"/>
      <c r="AI450" s="16"/>
      <c r="AJ450" s="11"/>
    </row>
    <row r="451" spans="1:36" ht="24" x14ac:dyDescent="0.2">
      <c r="A451" s="7" t="s">
        <v>844</v>
      </c>
      <c r="B451" s="8">
        <v>96109</v>
      </c>
      <c r="C451" s="7" t="s">
        <v>845</v>
      </c>
      <c r="D451" s="297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  <c r="R451" s="298"/>
      <c r="S451" s="298"/>
      <c r="T451" s="298"/>
      <c r="U451" s="298"/>
      <c r="V451" s="298"/>
      <c r="W451" s="298"/>
      <c r="X451" s="298"/>
      <c r="Y451" s="298"/>
      <c r="Z451" s="298"/>
      <c r="AA451" s="298"/>
      <c r="AB451" s="298"/>
      <c r="AC451" s="298"/>
      <c r="AD451" s="298"/>
      <c r="AE451" s="298"/>
      <c r="AF451" s="298"/>
      <c r="AG451" s="298"/>
      <c r="AH451" s="298"/>
      <c r="AI451" s="299"/>
      <c r="AJ451" s="11" t="s">
        <v>19</v>
      </c>
    </row>
    <row r="452" spans="1:36" x14ac:dyDescent="0.2">
      <c r="A452" s="7"/>
      <c r="B452" s="8"/>
      <c r="C452" s="207" t="s">
        <v>763</v>
      </c>
      <c r="D452" s="96">
        <v>3</v>
      </c>
      <c r="E452" s="96" t="s">
        <v>748</v>
      </c>
      <c r="F452" s="96">
        <v>2.2200000000000002</v>
      </c>
      <c r="G452" s="96"/>
      <c r="H452" s="96"/>
      <c r="I452" s="96"/>
      <c r="J452" s="96"/>
      <c r="K452" s="96"/>
      <c r="L452" s="96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9"/>
      <c r="AG452" s="11" t="s">
        <v>748</v>
      </c>
      <c r="AH452" s="11">
        <v>1</v>
      </c>
      <c r="AI452" s="88" t="s">
        <v>727</v>
      </c>
      <c r="AJ452" s="11">
        <f t="shared" ref="AJ452:AJ476" si="22">(D452*F452+H452*J452)*AH452</f>
        <v>6.66</v>
      </c>
    </row>
    <row r="453" spans="1:36" x14ac:dyDescent="0.2">
      <c r="A453" s="7"/>
      <c r="B453" s="8"/>
      <c r="C453" s="207" t="s">
        <v>765</v>
      </c>
      <c r="D453" s="96">
        <v>2.8</v>
      </c>
      <c r="E453" s="96" t="s">
        <v>748</v>
      </c>
      <c r="F453" s="96">
        <v>2.2200000000000002</v>
      </c>
      <c r="G453" s="96"/>
      <c r="H453" s="96"/>
      <c r="I453" s="96"/>
      <c r="J453" s="96"/>
      <c r="K453" s="96"/>
      <c r="L453" s="96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9"/>
      <c r="AG453" s="11" t="s">
        <v>748</v>
      </c>
      <c r="AH453" s="11">
        <v>1</v>
      </c>
      <c r="AI453" s="88" t="s">
        <v>727</v>
      </c>
      <c r="AJ453" s="11">
        <f t="shared" si="22"/>
        <v>6.2160000000000002</v>
      </c>
    </row>
    <row r="454" spans="1:36" x14ac:dyDescent="0.2">
      <c r="A454" s="7"/>
      <c r="B454" s="8"/>
      <c r="C454" s="208" t="s">
        <v>766</v>
      </c>
      <c r="D454" s="96">
        <v>3.9</v>
      </c>
      <c r="E454" s="96" t="s">
        <v>748</v>
      </c>
      <c r="F454" s="96">
        <v>2.23</v>
      </c>
      <c r="G454" s="96"/>
      <c r="H454" s="96"/>
      <c r="I454" s="96"/>
      <c r="J454" s="96"/>
      <c r="K454" s="96"/>
      <c r="L454" s="96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9"/>
      <c r="AG454" s="11" t="s">
        <v>748</v>
      </c>
      <c r="AH454" s="11">
        <v>1</v>
      </c>
      <c r="AI454" s="88" t="s">
        <v>727</v>
      </c>
      <c r="AJ454" s="11">
        <f t="shared" si="22"/>
        <v>8.6969999999999992</v>
      </c>
    </row>
    <row r="455" spans="1:36" x14ac:dyDescent="0.2">
      <c r="A455" s="7"/>
      <c r="B455" s="8"/>
      <c r="C455" s="208" t="s">
        <v>813</v>
      </c>
      <c r="D455" s="96">
        <v>1.02</v>
      </c>
      <c r="E455" s="96" t="s">
        <v>745</v>
      </c>
      <c r="F455" s="96">
        <v>1.85</v>
      </c>
      <c r="G455" s="96"/>
      <c r="H455" s="96"/>
      <c r="I455" s="96"/>
      <c r="J455" s="96"/>
      <c r="K455" s="96"/>
      <c r="L455" s="96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9"/>
      <c r="AG455" s="11" t="s">
        <v>748</v>
      </c>
      <c r="AH455" s="11">
        <v>1</v>
      </c>
      <c r="AI455" s="88" t="s">
        <v>727</v>
      </c>
      <c r="AJ455" s="11">
        <f t="shared" si="22"/>
        <v>1.8870000000000002</v>
      </c>
    </row>
    <row r="456" spans="1:36" x14ac:dyDescent="0.2">
      <c r="A456" s="7"/>
      <c r="B456" s="8"/>
      <c r="C456" s="208" t="s">
        <v>814</v>
      </c>
      <c r="D456" s="96">
        <v>1.5</v>
      </c>
      <c r="E456" s="96" t="s">
        <v>745</v>
      </c>
      <c r="F456" s="96">
        <v>2.85</v>
      </c>
      <c r="G456" s="96" t="s">
        <v>764</v>
      </c>
      <c r="H456" s="96">
        <v>0.85</v>
      </c>
      <c r="I456" s="96" t="s">
        <v>745</v>
      </c>
      <c r="J456" s="96">
        <v>1.17</v>
      </c>
      <c r="K456" s="96"/>
      <c r="L456" s="96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9"/>
      <c r="AG456" s="11" t="s">
        <v>748</v>
      </c>
      <c r="AH456" s="11">
        <v>1</v>
      </c>
      <c r="AI456" s="88" t="s">
        <v>727</v>
      </c>
      <c r="AJ456" s="11">
        <f t="shared" si="22"/>
        <v>5.2695000000000007</v>
      </c>
    </row>
    <row r="457" spans="1:36" x14ac:dyDescent="0.2">
      <c r="A457" s="7"/>
      <c r="B457" s="8"/>
      <c r="C457" s="208" t="s">
        <v>800</v>
      </c>
      <c r="D457" s="96">
        <v>2.85</v>
      </c>
      <c r="E457" s="96" t="s">
        <v>745</v>
      </c>
      <c r="F457" s="96">
        <v>2.25</v>
      </c>
      <c r="G457" s="96"/>
      <c r="H457" s="96"/>
      <c r="I457" s="96"/>
      <c r="J457" s="96"/>
      <c r="K457" s="96"/>
      <c r="L457" s="96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9"/>
      <c r="AG457" s="11" t="s">
        <v>748</v>
      </c>
      <c r="AH457" s="11">
        <v>1</v>
      </c>
      <c r="AI457" s="88" t="s">
        <v>727</v>
      </c>
      <c r="AJ457" s="11">
        <f t="shared" si="22"/>
        <v>6.4125000000000005</v>
      </c>
    </row>
    <row r="458" spans="1:36" x14ac:dyDescent="0.2">
      <c r="A458" s="7"/>
      <c r="B458" s="8"/>
      <c r="C458" s="208" t="s">
        <v>801</v>
      </c>
      <c r="D458" s="96">
        <v>2.25</v>
      </c>
      <c r="E458" s="96" t="s">
        <v>745</v>
      </c>
      <c r="F458" s="96">
        <v>1.05</v>
      </c>
      <c r="G458" s="96"/>
      <c r="H458" s="96"/>
      <c r="I458" s="96"/>
      <c r="J458" s="96"/>
      <c r="K458" s="96"/>
      <c r="L458" s="96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9"/>
      <c r="AG458" s="11" t="s">
        <v>748</v>
      </c>
      <c r="AH458" s="11">
        <v>1</v>
      </c>
      <c r="AI458" s="88" t="s">
        <v>727</v>
      </c>
      <c r="AJ458" s="11">
        <f t="shared" si="22"/>
        <v>2.3625000000000003</v>
      </c>
    </row>
    <row r="459" spans="1:36" x14ac:dyDescent="0.2">
      <c r="A459" s="7"/>
      <c r="B459" s="8"/>
      <c r="C459" s="208" t="s">
        <v>815</v>
      </c>
      <c r="D459" s="96">
        <v>1.8</v>
      </c>
      <c r="E459" s="96" t="s">
        <v>745</v>
      </c>
      <c r="F459" s="96">
        <v>2.85</v>
      </c>
      <c r="G459" s="96"/>
      <c r="H459" s="96"/>
      <c r="I459" s="96"/>
      <c r="J459" s="96"/>
      <c r="K459" s="96"/>
      <c r="L459" s="96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9"/>
      <c r="AG459" s="11" t="s">
        <v>748</v>
      </c>
      <c r="AH459" s="11">
        <v>1</v>
      </c>
      <c r="AI459" s="88" t="s">
        <v>727</v>
      </c>
      <c r="AJ459" s="11">
        <f t="shared" si="22"/>
        <v>5.13</v>
      </c>
    </row>
    <row r="460" spans="1:36" x14ac:dyDescent="0.2">
      <c r="A460" s="7"/>
      <c r="B460" s="8"/>
      <c r="C460" s="208" t="s">
        <v>803</v>
      </c>
      <c r="D460" s="96">
        <v>7.05</v>
      </c>
      <c r="E460" s="96" t="s">
        <v>745</v>
      </c>
      <c r="F460" s="96">
        <v>2.85</v>
      </c>
      <c r="G460" s="96" t="s">
        <v>764</v>
      </c>
      <c r="H460" s="96">
        <v>3.65</v>
      </c>
      <c r="I460" s="96" t="s">
        <v>745</v>
      </c>
      <c r="J460" s="96">
        <v>1.8</v>
      </c>
      <c r="K460" s="96"/>
      <c r="L460" s="96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9"/>
      <c r="AG460" s="11" t="s">
        <v>748</v>
      </c>
      <c r="AH460" s="11">
        <v>1</v>
      </c>
      <c r="AI460" s="88" t="s">
        <v>727</v>
      </c>
      <c r="AJ460" s="11">
        <f t="shared" si="22"/>
        <v>26.662500000000001</v>
      </c>
    </row>
    <row r="461" spans="1:36" x14ac:dyDescent="0.2">
      <c r="A461" s="7"/>
      <c r="B461" s="8"/>
      <c r="C461" s="208" t="s">
        <v>804</v>
      </c>
      <c r="D461" s="96">
        <v>2.85</v>
      </c>
      <c r="E461" s="96" t="s">
        <v>745</v>
      </c>
      <c r="F461" s="96">
        <v>1.57</v>
      </c>
      <c r="G461" s="96"/>
      <c r="H461" s="96"/>
      <c r="I461" s="96"/>
      <c r="J461" s="96"/>
      <c r="K461" s="96"/>
      <c r="L461" s="96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9"/>
      <c r="AG461" s="11" t="s">
        <v>748</v>
      </c>
      <c r="AH461" s="11">
        <v>1</v>
      </c>
      <c r="AI461" s="88" t="s">
        <v>727</v>
      </c>
      <c r="AJ461" s="11">
        <f t="shared" si="22"/>
        <v>4.4744999999999999</v>
      </c>
    </row>
    <row r="462" spans="1:36" x14ac:dyDescent="0.2">
      <c r="A462" s="7"/>
      <c r="B462" s="8"/>
      <c r="C462" s="208" t="s">
        <v>767</v>
      </c>
      <c r="D462" s="96">
        <v>6.75</v>
      </c>
      <c r="E462" s="96" t="s">
        <v>745</v>
      </c>
      <c r="F462" s="96">
        <v>4.6500000000000004</v>
      </c>
      <c r="G462" s="96"/>
      <c r="H462" s="96"/>
      <c r="I462" s="96"/>
      <c r="J462" s="96"/>
      <c r="K462" s="96"/>
      <c r="L462" s="96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9"/>
      <c r="AG462" s="11" t="s">
        <v>748</v>
      </c>
      <c r="AH462" s="11">
        <v>1</v>
      </c>
      <c r="AI462" s="88" t="s">
        <v>727</v>
      </c>
      <c r="AJ462" s="11">
        <f t="shared" si="22"/>
        <v>31.387500000000003</v>
      </c>
    </row>
    <row r="463" spans="1:36" x14ac:dyDescent="0.2">
      <c r="A463" s="7"/>
      <c r="B463" s="8"/>
      <c r="C463" s="208" t="s">
        <v>768</v>
      </c>
      <c r="D463" s="96">
        <v>1.95</v>
      </c>
      <c r="E463" s="96" t="s">
        <v>745</v>
      </c>
      <c r="F463" s="96">
        <v>2.25</v>
      </c>
      <c r="G463" s="96"/>
      <c r="H463" s="96"/>
      <c r="I463" s="96"/>
      <c r="J463" s="96"/>
      <c r="K463" s="96"/>
      <c r="L463" s="96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9"/>
      <c r="AG463" s="11" t="s">
        <v>748</v>
      </c>
      <c r="AH463" s="11">
        <v>1</v>
      </c>
      <c r="AI463" s="88" t="s">
        <v>727</v>
      </c>
      <c r="AJ463" s="11">
        <f t="shared" si="22"/>
        <v>4.3875000000000002</v>
      </c>
    </row>
    <row r="464" spans="1:36" x14ac:dyDescent="0.2">
      <c r="A464" s="7"/>
      <c r="B464" s="8"/>
      <c r="C464" s="208" t="s">
        <v>769</v>
      </c>
      <c r="D464" s="96">
        <v>1.95</v>
      </c>
      <c r="E464" s="96" t="s">
        <v>745</v>
      </c>
      <c r="F464" s="96">
        <v>2.25</v>
      </c>
      <c r="G464" s="96"/>
      <c r="H464" s="96"/>
      <c r="I464" s="96"/>
      <c r="J464" s="96"/>
      <c r="K464" s="96"/>
      <c r="L464" s="96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9"/>
      <c r="AG464" s="11" t="s">
        <v>748</v>
      </c>
      <c r="AH464" s="11">
        <v>1</v>
      </c>
      <c r="AI464" s="88" t="s">
        <v>727</v>
      </c>
      <c r="AJ464" s="11">
        <f t="shared" si="22"/>
        <v>4.3875000000000002</v>
      </c>
    </row>
    <row r="465" spans="1:36" x14ac:dyDescent="0.2">
      <c r="A465" s="7"/>
      <c r="B465" s="8"/>
      <c r="C465" s="208" t="s">
        <v>770</v>
      </c>
      <c r="D465" s="96">
        <v>4.05</v>
      </c>
      <c r="E465" s="96" t="s">
        <v>745</v>
      </c>
      <c r="F465" s="96">
        <v>4.05</v>
      </c>
      <c r="G465" s="96"/>
      <c r="H465" s="96"/>
      <c r="I465" s="96"/>
      <c r="J465" s="96"/>
      <c r="K465" s="96"/>
      <c r="L465" s="96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9"/>
      <c r="AG465" s="11" t="s">
        <v>748</v>
      </c>
      <c r="AH465" s="11">
        <v>1</v>
      </c>
      <c r="AI465" s="88" t="s">
        <v>727</v>
      </c>
      <c r="AJ465" s="11">
        <f t="shared" si="22"/>
        <v>16.4025</v>
      </c>
    </row>
    <row r="466" spans="1:36" x14ac:dyDescent="0.2">
      <c r="A466" s="7"/>
      <c r="B466" s="8"/>
      <c r="C466" s="208" t="s">
        <v>771</v>
      </c>
      <c r="D466" s="96">
        <v>10.75</v>
      </c>
      <c r="E466" s="96" t="s">
        <v>745</v>
      </c>
      <c r="F466" s="96">
        <v>5.25</v>
      </c>
      <c r="G466" s="96"/>
      <c r="H466" s="96"/>
      <c r="I466" s="96"/>
      <c r="J466" s="96"/>
      <c r="K466" s="96"/>
      <c r="L466" s="96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9"/>
      <c r="AG466" s="11" t="s">
        <v>748</v>
      </c>
      <c r="AH466" s="11">
        <v>1</v>
      </c>
      <c r="AI466" s="88" t="s">
        <v>727</v>
      </c>
      <c r="AJ466" s="11">
        <f t="shared" si="22"/>
        <v>56.4375</v>
      </c>
    </row>
    <row r="467" spans="1:36" x14ac:dyDescent="0.2">
      <c r="A467" s="7"/>
      <c r="B467" s="8"/>
      <c r="C467" s="208" t="s">
        <v>772</v>
      </c>
      <c r="D467" s="96">
        <v>3.42</v>
      </c>
      <c r="E467" s="96" t="s">
        <v>745</v>
      </c>
      <c r="F467" s="96">
        <v>4.71</v>
      </c>
      <c r="G467" s="96"/>
      <c r="H467" s="96"/>
      <c r="I467" s="96"/>
      <c r="J467" s="96"/>
      <c r="K467" s="96"/>
      <c r="L467" s="96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9"/>
      <c r="AG467" s="11" t="s">
        <v>748</v>
      </c>
      <c r="AH467" s="11">
        <v>1</v>
      </c>
      <c r="AI467" s="88" t="s">
        <v>727</v>
      </c>
      <c r="AJ467" s="11">
        <f t="shared" si="22"/>
        <v>16.1082</v>
      </c>
    </row>
    <row r="468" spans="1:36" x14ac:dyDescent="0.2">
      <c r="A468" s="7"/>
      <c r="B468" s="8"/>
      <c r="C468" s="208" t="s">
        <v>773</v>
      </c>
      <c r="D468" s="96">
        <v>3.45</v>
      </c>
      <c r="E468" s="96" t="s">
        <v>745</v>
      </c>
      <c r="F468" s="96">
        <v>1.65</v>
      </c>
      <c r="G468" s="96"/>
      <c r="H468" s="96"/>
      <c r="I468" s="96"/>
      <c r="J468" s="96"/>
      <c r="K468" s="96"/>
      <c r="L468" s="96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9"/>
      <c r="AG468" s="11" t="s">
        <v>748</v>
      </c>
      <c r="AH468" s="11">
        <v>1</v>
      </c>
      <c r="AI468" s="88" t="s">
        <v>727</v>
      </c>
      <c r="AJ468" s="11">
        <f t="shared" si="22"/>
        <v>5.6924999999999999</v>
      </c>
    </row>
    <row r="469" spans="1:36" x14ac:dyDescent="0.2">
      <c r="A469" s="7"/>
      <c r="B469" s="8"/>
      <c r="C469" s="208" t="s">
        <v>774</v>
      </c>
      <c r="D469" s="96">
        <v>2.25</v>
      </c>
      <c r="E469" s="96" t="s">
        <v>745</v>
      </c>
      <c r="F469" s="96">
        <v>3.42</v>
      </c>
      <c r="G469" s="96"/>
      <c r="H469" s="96"/>
      <c r="I469" s="96"/>
      <c r="J469" s="96"/>
      <c r="K469" s="96"/>
      <c r="L469" s="96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9"/>
      <c r="AG469" s="11" t="s">
        <v>748</v>
      </c>
      <c r="AH469" s="11">
        <v>1</v>
      </c>
      <c r="AI469" s="88" t="s">
        <v>727</v>
      </c>
      <c r="AJ469" s="11">
        <f t="shared" si="22"/>
        <v>7.6950000000000003</v>
      </c>
    </row>
    <row r="470" spans="1:36" x14ac:dyDescent="0.2">
      <c r="A470" s="7"/>
      <c r="B470" s="8"/>
      <c r="C470" s="208" t="s">
        <v>775</v>
      </c>
      <c r="D470" s="96">
        <v>5.4</v>
      </c>
      <c r="E470" s="96" t="s">
        <v>745</v>
      </c>
      <c r="F470" s="96">
        <v>3.8</v>
      </c>
      <c r="G470" s="96"/>
      <c r="H470" s="96"/>
      <c r="I470" s="96"/>
      <c r="J470" s="96"/>
      <c r="K470" s="96"/>
      <c r="L470" s="96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9"/>
      <c r="AG470" s="11" t="s">
        <v>748</v>
      </c>
      <c r="AH470" s="11">
        <v>1</v>
      </c>
      <c r="AI470" s="88" t="s">
        <v>727</v>
      </c>
      <c r="AJ470" s="11">
        <f t="shared" si="22"/>
        <v>20.52</v>
      </c>
    </row>
    <row r="471" spans="1:36" x14ac:dyDescent="0.2">
      <c r="A471" s="7"/>
      <c r="B471" s="8"/>
      <c r="C471" s="208" t="s">
        <v>776</v>
      </c>
      <c r="D471" s="96">
        <v>2.35</v>
      </c>
      <c r="E471" s="96" t="s">
        <v>745</v>
      </c>
      <c r="F471" s="96">
        <v>4.79</v>
      </c>
      <c r="G471" s="96"/>
      <c r="H471" s="96"/>
      <c r="I471" s="96"/>
      <c r="J471" s="96"/>
      <c r="K471" s="96"/>
      <c r="L471" s="96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9"/>
      <c r="AG471" s="11" t="s">
        <v>748</v>
      </c>
      <c r="AH471" s="11">
        <v>1</v>
      </c>
      <c r="AI471" s="88" t="s">
        <v>727</v>
      </c>
      <c r="AJ471" s="11">
        <f t="shared" si="22"/>
        <v>11.256500000000001</v>
      </c>
    </row>
    <row r="472" spans="1:36" x14ac:dyDescent="0.2">
      <c r="A472" s="7"/>
      <c r="B472" s="8"/>
      <c r="C472" s="208" t="s">
        <v>777</v>
      </c>
      <c r="D472" s="96">
        <v>7.95</v>
      </c>
      <c r="E472" s="96" t="s">
        <v>745</v>
      </c>
      <c r="F472" s="96">
        <v>2.5</v>
      </c>
      <c r="G472" s="96" t="s">
        <v>764</v>
      </c>
      <c r="H472" s="96">
        <v>0.8</v>
      </c>
      <c r="I472" s="96" t="s">
        <v>745</v>
      </c>
      <c r="J472" s="96">
        <v>1.2</v>
      </c>
      <c r="K472" s="96"/>
      <c r="L472" s="96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9"/>
      <c r="AG472" s="11" t="s">
        <v>748</v>
      </c>
      <c r="AH472" s="11">
        <v>1</v>
      </c>
      <c r="AI472" s="88" t="s">
        <v>727</v>
      </c>
      <c r="AJ472" s="11">
        <f t="shared" si="22"/>
        <v>20.835000000000001</v>
      </c>
    </row>
    <row r="473" spans="1:36" x14ac:dyDescent="0.2">
      <c r="A473" s="7"/>
      <c r="B473" s="8"/>
      <c r="C473" s="208" t="s">
        <v>778</v>
      </c>
      <c r="D473" s="96">
        <v>4.9000000000000004</v>
      </c>
      <c r="E473" s="96" t="s">
        <v>745</v>
      </c>
      <c r="F473" s="96">
        <v>4.79</v>
      </c>
      <c r="G473" s="96" t="s">
        <v>764</v>
      </c>
      <c r="H473" s="96">
        <v>1.66</v>
      </c>
      <c r="I473" s="96" t="s">
        <v>745</v>
      </c>
      <c r="J473" s="96">
        <v>4.17</v>
      </c>
      <c r="K473" s="96"/>
      <c r="L473" s="96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9"/>
      <c r="AG473" s="11" t="s">
        <v>748</v>
      </c>
      <c r="AH473" s="11">
        <v>1</v>
      </c>
      <c r="AI473" s="88" t="s">
        <v>727</v>
      </c>
      <c r="AJ473" s="11">
        <f t="shared" si="22"/>
        <v>30.393200000000004</v>
      </c>
    </row>
    <row r="474" spans="1:36" x14ac:dyDescent="0.2">
      <c r="A474" s="7"/>
      <c r="B474" s="8"/>
      <c r="C474" s="208" t="s">
        <v>780</v>
      </c>
      <c r="D474" s="96">
        <v>2.25</v>
      </c>
      <c r="E474" s="96" t="s">
        <v>745</v>
      </c>
      <c r="F474" s="96">
        <v>6.45</v>
      </c>
      <c r="G474" s="96"/>
      <c r="H474" s="96"/>
      <c r="I474" s="96"/>
      <c r="J474" s="96"/>
      <c r="K474" s="96"/>
      <c r="L474" s="96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9"/>
      <c r="AG474" s="11" t="s">
        <v>748</v>
      </c>
      <c r="AH474" s="11">
        <v>1</v>
      </c>
      <c r="AI474" s="88" t="s">
        <v>727</v>
      </c>
      <c r="AJ474" s="11">
        <f t="shared" si="22"/>
        <v>14.512500000000001</v>
      </c>
    </row>
    <row r="475" spans="1:36" x14ac:dyDescent="0.2">
      <c r="A475" s="7"/>
      <c r="B475" s="8"/>
      <c r="C475" s="208" t="s">
        <v>781</v>
      </c>
      <c r="D475" s="96">
        <v>5.3</v>
      </c>
      <c r="E475" s="96" t="s">
        <v>745</v>
      </c>
      <c r="F475" s="96">
        <v>5.65</v>
      </c>
      <c r="G475" s="96" t="s">
        <v>764</v>
      </c>
      <c r="H475" s="96">
        <v>3.95</v>
      </c>
      <c r="I475" s="96" t="s">
        <v>745</v>
      </c>
      <c r="J475" s="96">
        <v>0.8</v>
      </c>
      <c r="K475" s="96"/>
      <c r="L475" s="96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9"/>
      <c r="AG475" s="11" t="s">
        <v>748</v>
      </c>
      <c r="AH475" s="11">
        <v>1</v>
      </c>
      <c r="AI475" s="88" t="s">
        <v>727</v>
      </c>
      <c r="AJ475" s="11">
        <f t="shared" si="22"/>
        <v>33.105000000000004</v>
      </c>
    </row>
    <row r="476" spans="1:36" x14ac:dyDescent="0.2">
      <c r="A476" s="7"/>
      <c r="B476" s="8"/>
      <c r="C476" s="209" t="s">
        <v>782</v>
      </c>
      <c r="D476" s="96">
        <v>2.98</v>
      </c>
      <c r="E476" s="96" t="s">
        <v>745</v>
      </c>
      <c r="F476" s="96">
        <v>6.45</v>
      </c>
      <c r="G476" s="96"/>
      <c r="H476" s="96"/>
      <c r="I476" s="96"/>
      <c r="J476" s="96"/>
      <c r="K476" s="96"/>
      <c r="L476" s="96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9"/>
      <c r="AG476" s="11" t="s">
        <v>748</v>
      </c>
      <c r="AH476" s="11">
        <v>1</v>
      </c>
      <c r="AI476" s="88" t="s">
        <v>727</v>
      </c>
      <c r="AJ476" s="11">
        <f t="shared" si="22"/>
        <v>19.221</v>
      </c>
    </row>
    <row r="477" spans="1:36" x14ac:dyDescent="0.2">
      <c r="A477" s="7"/>
      <c r="B477" s="8"/>
      <c r="C477" s="7"/>
      <c r="D477" s="328" t="s">
        <v>743</v>
      </c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  <c r="AA477" s="329"/>
      <c r="AB477" s="329"/>
      <c r="AC477" s="329"/>
      <c r="AD477" s="329"/>
      <c r="AE477" s="329"/>
      <c r="AF477" s="329"/>
      <c r="AG477" s="317"/>
      <c r="AH477" s="317"/>
      <c r="AI477" s="318"/>
      <c r="AJ477" s="92">
        <f>SUM(AJ452:AJ476)</f>
        <v>366.11289999999997</v>
      </c>
    </row>
    <row r="478" spans="1:36" ht="55.5" customHeight="1" x14ac:dyDescent="0.2">
      <c r="A478" s="7" t="s">
        <v>1130</v>
      </c>
      <c r="B478" s="14">
        <v>92544</v>
      </c>
      <c r="C478" s="15" t="s">
        <v>1132</v>
      </c>
      <c r="D478" s="377"/>
      <c r="E478" s="305"/>
      <c r="F478" s="305"/>
      <c r="G478" s="305"/>
      <c r="H478" s="305"/>
      <c r="I478" s="305"/>
      <c r="J478" s="305"/>
      <c r="K478" s="305"/>
      <c r="L478" s="305"/>
      <c r="M478" s="305"/>
      <c r="N478" s="305"/>
      <c r="O478" s="305"/>
      <c r="P478" s="305"/>
      <c r="Q478" s="305"/>
      <c r="R478" s="305"/>
      <c r="S478" s="305"/>
      <c r="T478" s="305"/>
      <c r="U478" s="305"/>
      <c r="V478" s="305"/>
      <c r="W478" s="305"/>
      <c r="X478" s="305"/>
      <c r="Y478" s="305"/>
      <c r="Z478" s="305"/>
      <c r="AA478" s="305"/>
      <c r="AB478" s="305"/>
      <c r="AC478" s="305"/>
      <c r="AD478" s="305"/>
      <c r="AE478" s="305"/>
      <c r="AF478" s="305"/>
      <c r="AG478" s="305"/>
      <c r="AH478" s="305"/>
      <c r="AI478" s="306"/>
      <c r="AJ478" s="18" t="s">
        <v>19</v>
      </c>
    </row>
    <row r="479" spans="1:36" x14ac:dyDescent="0.2">
      <c r="A479" s="9"/>
      <c r="B479" s="11"/>
      <c r="C479" s="46" t="s">
        <v>1137</v>
      </c>
      <c r="D479" s="11">
        <v>2.63</v>
      </c>
      <c r="E479" s="11" t="s">
        <v>745</v>
      </c>
      <c r="F479" s="11">
        <v>18.350000000000001</v>
      </c>
      <c r="G479" s="11" t="s">
        <v>764</v>
      </c>
      <c r="H479" s="11">
        <v>2.63</v>
      </c>
      <c r="I479" s="11" t="s">
        <v>745</v>
      </c>
      <c r="J479" s="11">
        <v>18.350000000000001</v>
      </c>
      <c r="K479" s="11"/>
      <c r="L479" s="11"/>
      <c r="M479" s="11"/>
      <c r="N479" s="11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19"/>
      <c r="AF479" s="19"/>
      <c r="AG479" s="19"/>
      <c r="AH479" s="92"/>
      <c r="AI479" s="92" t="s">
        <v>727</v>
      </c>
      <c r="AJ479" s="11">
        <f>(D479*F479+H479*J479+L479*N479)</f>
        <v>96.521000000000001</v>
      </c>
    </row>
    <row r="480" spans="1:36" x14ac:dyDescent="0.2">
      <c r="A480" s="9"/>
      <c r="B480" s="11"/>
      <c r="C480" s="46" t="s">
        <v>1138</v>
      </c>
      <c r="D480" s="11">
        <v>3.22</v>
      </c>
      <c r="E480" s="11" t="s">
        <v>745</v>
      </c>
      <c r="F480" s="11">
        <v>20.149999999999999</v>
      </c>
      <c r="G480" s="11" t="s">
        <v>764</v>
      </c>
      <c r="H480" s="11">
        <v>3.22</v>
      </c>
      <c r="I480" s="11" t="s">
        <v>745</v>
      </c>
      <c r="J480" s="11">
        <v>20.149999999999999</v>
      </c>
      <c r="K480" s="11"/>
      <c r="L480" s="11"/>
      <c r="M480" s="11"/>
      <c r="N480" s="11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19"/>
      <c r="AF480" s="19"/>
      <c r="AG480" s="19"/>
      <c r="AH480" s="92"/>
      <c r="AI480" s="92" t="s">
        <v>727</v>
      </c>
      <c r="AJ480" s="11">
        <f t="shared" ref="AJ480:AJ482" si="23">(D480*F480+H480*J480+L480*N480)</f>
        <v>129.76599999999999</v>
      </c>
    </row>
    <row r="481" spans="1:36" x14ac:dyDescent="0.2">
      <c r="A481" s="9"/>
      <c r="B481" s="11"/>
      <c r="C481" s="46" t="s">
        <v>1139</v>
      </c>
      <c r="D481" s="11">
        <v>3.03</v>
      </c>
      <c r="E481" s="11" t="s">
        <v>745</v>
      </c>
      <c r="F481" s="11">
        <v>18.149999999999999</v>
      </c>
      <c r="G481" s="11" t="s">
        <v>764</v>
      </c>
      <c r="H481" s="11">
        <v>3.03</v>
      </c>
      <c r="I481" s="11" t="s">
        <v>745</v>
      </c>
      <c r="J481" s="11">
        <v>18.149999999999999</v>
      </c>
      <c r="K481" s="11"/>
      <c r="L481" s="11"/>
      <c r="M481" s="11"/>
      <c r="N481" s="11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19"/>
      <c r="AF481" s="19"/>
      <c r="AG481" s="19"/>
      <c r="AH481" s="92"/>
      <c r="AI481" s="92" t="s">
        <v>727</v>
      </c>
      <c r="AJ481" s="11">
        <f t="shared" si="23"/>
        <v>109.98899999999999</v>
      </c>
    </row>
    <row r="482" spans="1:36" x14ac:dyDescent="0.2">
      <c r="A482" s="9"/>
      <c r="B482" s="11"/>
      <c r="C482" s="46" t="s">
        <v>1143</v>
      </c>
      <c r="D482" s="11">
        <v>3.22</v>
      </c>
      <c r="E482" s="11" t="s">
        <v>745</v>
      </c>
      <c r="F482" s="11">
        <v>8.4499999999999993</v>
      </c>
      <c r="G482" s="11" t="s">
        <v>764</v>
      </c>
      <c r="H482" s="11">
        <v>5.23</v>
      </c>
      <c r="I482" s="11" t="s">
        <v>745</v>
      </c>
      <c r="J482" s="11">
        <v>3.22</v>
      </c>
      <c r="K482" s="11" t="s">
        <v>764</v>
      </c>
      <c r="L482" s="11">
        <v>3.13</v>
      </c>
      <c r="M482" s="11" t="s">
        <v>745</v>
      </c>
      <c r="N482" s="11">
        <v>0.82</v>
      </c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19"/>
      <c r="AF482" s="19"/>
      <c r="AG482" s="19"/>
      <c r="AH482" s="92"/>
      <c r="AI482" s="92" t="s">
        <v>727</v>
      </c>
      <c r="AJ482" s="11">
        <f t="shared" si="23"/>
        <v>46.616199999999999</v>
      </c>
    </row>
    <row r="483" spans="1:36" x14ac:dyDescent="0.2">
      <c r="A483" s="9"/>
      <c r="B483" s="11"/>
      <c r="C483" s="46" t="s">
        <v>1141</v>
      </c>
      <c r="D483" s="11">
        <v>3.28</v>
      </c>
      <c r="E483" s="11" t="s">
        <v>745</v>
      </c>
      <c r="F483" s="11">
        <v>2.5499999999999998</v>
      </c>
      <c r="G483" s="11"/>
      <c r="H483" s="11"/>
      <c r="I483" s="11"/>
      <c r="J483" s="11"/>
      <c r="K483" s="11"/>
      <c r="L483" s="11"/>
      <c r="M483" s="11"/>
      <c r="N483" s="11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19"/>
      <c r="AF483" s="19"/>
      <c r="AG483" s="19"/>
      <c r="AH483" s="92"/>
      <c r="AI483" s="92" t="s">
        <v>727</v>
      </c>
      <c r="AJ483" s="11">
        <f t="shared" ref="AJ483" si="24">(D483*F483+H483*J483+L483*N483)</f>
        <v>8.363999999999999</v>
      </c>
    </row>
    <row r="484" spans="1:36" x14ac:dyDescent="0.2">
      <c r="A484" s="9"/>
      <c r="B484" s="11"/>
      <c r="C484" s="10"/>
      <c r="D484" s="361" t="s">
        <v>743</v>
      </c>
      <c r="E484" s="362"/>
      <c r="F484" s="362"/>
      <c r="G484" s="362"/>
      <c r="H484" s="362"/>
      <c r="I484" s="362"/>
      <c r="J484" s="362"/>
      <c r="K484" s="362"/>
      <c r="L484" s="362"/>
      <c r="M484" s="362"/>
      <c r="N484" s="362"/>
      <c r="O484" s="362"/>
      <c r="P484" s="362"/>
      <c r="Q484" s="362"/>
      <c r="R484" s="362"/>
      <c r="S484" s="362"/>
      <c r="T484" s="362"/>
      <c r="U484" s="362"/>
      <c r="V484" s="362"/>
      <c r="W484" s="362"/>
      <c r="X484" s="362"/>
      <c r="Y484" s="362"/>
      <c r="Z484" s="362"/>
      <c r="AA484" s="362"/>
      <c r="AB484" s="362"/>
      <c r="AC484" s="362"/>
      <c r="AD484" s="362"/>
      <c r="AE484" s="362"/>
      <c r="AF484" s="362"/>
      <c r="AG484" s="362"/>
      <c r="AH484" s="363"/>
      <c r="AI484" s="92" t="s">
        <v>727</v>
      </c>
      <c r="AJ484" s="92">
        <f>SUM(AJ479:AJ483)</f>
        <v>391.25619999999992</v>
      </c>
    </row>
    <row r="485" spans="1:36" ht="24" x14ac:dyDescent="0.2">
      <c r="A485" s="15" t="s">
        <v>1131</v>
      </c>
      <c r="B485" s="14" t="s">
        <v>1134</v>
      </c>
      <c r="C485" s="15" t="s">
        <v>1133</v>
      </c>
      <c r="D485" s="364"/>
      <c r="E485" s="365"/>
      <c r="F485" s="365"/>
      <c r="G485" s="365"/>
      <c r="H485" s="365"/>
      <c r="I485" s="365"/>
      <c r="J485" s="365"/>
      <c r="K485" s="365"/>
      <c r="L485" s="365"/>
      <c r="M485" s="365"/>
      <c r="N485" s="365"/>
      <c r="O485" s="365"/>
      <c r="P485" s="365"/>
      <c r="Q485" s="365"/>
      <c r="R485" s="365"/>
      <c r="S485" s="365"/>
      <c r="T485" s="365"/>
      <c r="U485" s="365"/>
      <c r="V485" s="365"/>
      <c r="W485" s="365"/>
      <c r="X485" s="365"/>
      <c r="Y485" s="365"/>
      <c r="Z485" s="365"/>
      <c r="AA485" s="365"/>
      <c r="AB485" s="365"/>
      <c r="AC485" s="365"/>
      <c r="AD485" s="365"/>
      <c r="AE485" s="365"/>
      <c r="AF485" s="365"/>
      <c r="AG485" s="365"/>
      <c r="AH485" s="365"/>
      <c r="AI485" s="366"/>
      <c r="AJ485" s="18" t="s">
        <v>19</v>
      </c>
    </row>
    <row r="486" spans="1:36" x14ac:dyDescent="0.2">
      <c r="A486" s="10"/>
      <c r="B486" s="11"/>
      <c r="C486" s="46" t="s">
        <v>1137</v>
      </c>
      <c r="D486" s="11">
        <v>2.63</v>
      </c>
      <c r="E486" s="11" t="s">
        <v>764</v>
      </c>
      <c r="F486" s="11">
        <v>18.350000000000001</v>
      </c>
      <c r="G486" s="11" t="s">
        <v>764</v>
      </c>
      <c r="H486" s="11">
        <v>2.63</v>
      </c>
      <c r="I486" s="11" t="s">
        <v>764</v>
      </c>
      <c r="J486" s="11">
        <v>18.350000000000001</v>
      </c>
      <c r="K486" s="11" t="s">
        <v>764</v>
      </c>
      <c r="L486" s="11">
        <v>2.63</v>
      </c>
      <c r="M486" s="11" t="s">
        <v>764</v>
      </c>
      <c r="N486" s="11">
        <v>2.63</v>
      </c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19"/>
      <c r="AF486" s="19"/>
      <c r="AG486" s="19"/>
      <c r="AH486" s="92"/>
      <c r="AI486" s="92" t="s">
        <v>727</v>
      </c>
      <c r="AJ486" s="11">
        <f>(D486+F486+H486+J486+L486+N486+P486+R486)</f>
        <v>47.220000000000006</v>
      </c>
    </row>
    <row r="487" spans="1:36" x14ac:dyDescent="0.2">
      <c r="A487" s="10"/>
      <c r="B487" s="11"/>
      <c r="C487" s="46" t="s">
        <v>1138</v>
      </c>
      <c r="D487" s="11">
        <v>3.22</v>
      </c>
      <c r="E487" s="11" t="s">
        <v>764</v>
      </c>
      <c r="F487" s="11">
        <v>20.149999999999999</v>
      </c>
      <c r="G487" s="11" t="s">
        <v>764</v>
      </c>
      <c r="H487" s="11">
        <v>3.22</v>
      </c>
      <c r="I487" s="11" t="s">
        <v>764</v>
      </c>
      <c r="J487" s="11">
        <v>20.149999999999999</v>
      </c>
      <c r="K487" s="11" t="s">
        <v>764</v>
      </c>
      <c r="L487" s="11">
        <v>3.22</v>
      </c>
      <c r="M487" s="11" t="s">
        <v>764</v>
      </c>
      <c r="N487" s="11">
        <v>3.22</v>
      </c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19"/>
      <c r="AF487" s="19"/>
      <c r="AG487" s="19"/>
      <c r="AH487" s="92"/>
      <c r="AI487" s="92" t="s">
        <v>727</v>
      </c>
      <c r="AJ487" s="11">
        <f t="shared" ref="AJ487:AJ489" si="25">(D487+F487+H487+J487+L487+N487+P487+R487)</f>
        <v>53.179999999999993</v>
      </c>
    </row>
    <row r="488" spans="1:36" x14ac:dyDescent="0.2">
      <c r="A488" s="10"/>
      <c r="B488" s="11"/>
      <c r="C488" s="46" t="s">
        <v>1139</v>
      </c>
      <c r="D488" s="11">
        <v>3.03</v>
      </c>
      <c r="E488" s="11" t="s">
        <v>764</v>
      </c>
      <c r="F488" s="11">
        <v>18.149999999999999</v>
      </c>
      <c r="G488" s="11" t="s">
        <v>764</v>
      </c>
      <c r="H488" s="11">
        <v>3.03</v>
      </c>
      <c r="I488" s="11" t="s">
        <v>764</v>
      </c>
      <c r="J488" s="11">
        <v>18.149999999999999</v>
      </c>
      <c r="K488" s="11" t="s">
        <v>764</v>
      </c>
      <c r="L488" s="11">
        <v>3.03</v>
      </c>
      <c r="M488" s="11" t="s">
        <v>764</v>
      </c>
      <c r="N488" s="11">
        <v>3.03</v>
      </c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19"/>
      <c r="AF488" s="19"/>
      <c r="AG488" s="19"/>
      <c r="AH488" s="92"/>
      <c r="AI488" s="92" t="s">
        <v>727</v>
      </c>
      <c r="AJ488" s="11">
        <f t="shared" si="25"/>
        <v>48.42</v>
      </c>
    </row>
    <row r="489" spans="1:36" x14ac:dyDescent="0.2">
      <c r="A489" s="10"/>
      <c r="B489" s="11"/>
      <c r="C489" s="46" t="s">
        <v>1140</v>
      </c>
      <c r="D489" s="11">
        <v>3.23</v>
      </c>
      <c r="E489" s="11" t="s">
        <v>764</v>
      </c>
      <c r="F489" s="11">
        <v>8.4499999999999993</v>
      </c>
      <c r="G489" s="11" t="s">
        <v>764</v>
      </c>
      <c r="H489" s="11">
        <v>3.22</v>
      </c>
      <c r="I489" s="11" t="s">
        <v>764</v>
      </c>
      <c r="J489" s="11">
        <v>3.23</v>
      </c>
      <c r="K489" s="11" t="s">
        <v>764</v>
      </c>
      <c r="L489" s="11">
        <v>5.32</v>
      </c>
      <c r="M489" s="11" t="s">
        <v>764</v>
      </c>
      <c r="N489" s="11">
        <v>2.4</v>
      </c>
      <c r="O489" s="11" t="s">
        <v>764</v>
      </c>
      <c r="P489" s="11">
        <v>3.13</v>
      </c>
      <c r="Q489" s="11" t="s">
        <v>764</v>
      </c>
      <c r="R489" s="11">
        <v>0.85</v>
      </c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19"/>
      <c r="AF489" s="19"/>
      <c r="AG489" s="19"/>
      <c r="AH489" s="92"/>
      <c r="AI489" s="92" t="s">
        <v>727</v>
      </c>
      <c r="AJ489" s="11">
        <f t="shared" si="25"/>
        <v>29.83</v>
      </c>
    </row>
    <row r="490" spans="1:36" x14ac:dyDescent="0.2">
      <c r="A490" s="10"/>
      <c r="B490" s="11"/>
      <c r="C490" s="10"/>
      <c r="D490" s="361" t="s">
        <v>743</v>
      </c>
      <c r="E490" s="362"/>
      <c r="F490" s="362"/>
      <c r="G490" s="362"/>
      <c r="H490" s="362"/>
      <c r="I490" s="362"/>
      <c r="J490" s="362"/>
      <c r="K490" s="362"/>
      <c r="L490" s="362"/>
      <c r="M490" s="362"/>
      <c r="N490" s="362"/>
      <c r="O490" s="362"/>
      <c r="P490" s="362"/>
      <c r="Q490" s="362"/>
      <c r="R490" s="362"/>
      <c r="S490" s="362"/>
      <c r="T490" s="362"/>
      <c r="U490" s="362"/>
      <c r="V490" s="362"/>
      <c r="W490" s="362"/>
      <c r="X490" s="362"/>
      <c r="Y490" s="362"/>
      <c r="Z490" s="362"/>
      <c r="AA490" s="362"/>
      <c r="AB490" s="362"/>
      <c r="AC490" s="362"/>
      <c r="AD490" s="362"/>
      <c r="AE490" s="362"/>
      <c r="AF490" s="362"/>
      <c r="AG490" s="362"/>
      <c r="AH490" s="363"/>
      <c r="AI490" s="92" t="s">
        <v>727</v>
      </c>
      <c r="AJ490" s="92">
        <f>SUM(AJ486:AJ489)</f>
        <v>178.64999999999998</v>
      </c>
    </row>
    <row r="491" spans="1:36" x14ac:dyDescent="0.2">
      <c r="A491" s="104" t="s">
        <v>193</v>
      </c>
      <c r="B491" s="252" t="s">
        <v>194</v>
      </c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  <c r="AA491" s="252"/>
      <c r="AB491" s="252"/>
      <c r="AC491" s="252"/>
      <c r="AD491" s="252"/>
      <c r="AE491" s="252"/>
      <c r="AF491" s="252"/>
      <c r="AG491" s="252"/>
      <c r="AH491" s="252"/>
      <c r="AI491" s="252"/>
      <c r="AJ491" s="252"/>
    </row>
    <row r="492" spans="1:36" ht="36" x14ac:dyDescent="0.2">
      <c r="A492" s="94" t="s">
        <v>195</v>
      </c>
      <c r="B492" s="95" t="s">
        <v>196</v>
      </c>
      <c r="C492" s="132" t="s">
        <v>197</v>
      </c>
      <c r="D492" s="335"/>
      <c r="E492" s="336"/>
      <c r="F492" s="336"/>
      <c r="G492" s="336"/>
      <c r="H492" s="336"/>
      <c r="I492" s="336"/>
      <c r="J492" s="336"/>
      <c r="K492" s="336"/>
      <c r="L492" s="336"/>
      <c r="M492" s="336"/>
      <c r="N492" s="336"/>
      <c r="O492" s="336"/>
      <c r="P492" s="336"/>
      <c r="Q492" s="336"/>
      <c r="R492" s="336"/>
      <c r="S492" s="336"/>
      <c r="T492" s="336"/>
      <c r="U492" s="336"/>
      <c r="V492" s="336"/>
      <c r="W492" s="336"/>
      <c r="X492" s="336"/>
      <c r="Y492" s="336"/>
      <c r="Z492" s="336"/>
      <c r="AA492" s="336"/>
      <c r="AB492" s="336"/>
      <c r="AC492" s="336"/>
      <c r="AD492" s="336"/>
      <c r="AE492" s="336"/>
      <c r="AF492" s="336"/>
      <c r="AG492" s="336"/>
      <c r="AH492" s="336"/>
      <c r="AI492" s="337"/>
      <c r="AJ492" s="95" t="s">
        <v>19</v>
      </c>
    </row>
    <row r="493" spans="1:36" ht="24" x14ac:dyDescent="0.2">
      <c r="A493" s="9" t="s">
        <v>198</v>
      </c>
      <c r="B493" s="11" t="s">
        <v>199</v>
      </c>
      <c r="C493" s="10" t="s">
        <v>200</v>
      </c>
      <c r="D493" s="335"/>
      <c r="E493" s="336"/>
      <c r="F493" s="336"/>
      <c r="G493" s="336"/>
      <c r="H493" s="336"/>
      <c r="I493" s="336"/>
      <c r="J493" s="336"/>
      <c r="K493" s="336"/>
      <c r="L493" s="336"/>
      <c r="M493" s="336"/>
      <c r="N493" s="336"/>
      <c r="O493" s="336"/>
      <c r="P493" s="336"/>
      <c r="Q493" s="336"/>
      <c r="R493" s="336"/>
      <c r="S493" s="336"/>
      <c r="T493" s="336"/>
      <c r="U493" s="336"/>
      <c r="V493" s="336"/>
      <c r="W493" s="336"/>
      <c r="X493" s="336"/>
      <c r="Y493" s="336"/>
      <c r="Z493" s="336"/>
      <c r="AA493" s="336"/>
      <c r="AB493" s="336"/>
      <c r="AC493" s="336"/>
      <c r="AD493" s="336"/>
      <c r="AE493" s="336"/>
      <c r="AF493" s="336"/>
      <c r="AG493" s="336"/>
      <c r="AH493" s="336"/>
      <c r="AI493" s="337"/>
      <c r="AJ493" s="11" t="s">
        <v>19</v>
      </c>
    </row>
    <row r="494" spans="1:36" x14ac:dyDescent="0.2">
      <c r="A494" s="127" t="s">
        <v>201</v>
      </c>
      <c r="B494" s="252" t="s">
        <v>202</v>
      </c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  <c r="AA494" s="252"/>
      <c r="AB494" s="252"/>
      <c r="AC494" s="252"/>
      <c r="AD494" s="252"/>
      <c r="AE494" s="252"/>
      <c r="AF494" s="252"/>
      <c r="AG494" s="252"/>
      <c r="AH494" s="252"/>
      <c r="AI494" s="252"/>
      <c r="AJ494" s="252"/>
    </row>
    <row r="495" spans="1:36" ht="48" x14ac:dyDescent="0.2">
      <c r="A495" s="9" t="s">
        <v>203</v>
      </c>
      <c r="B495" s="11" t="s">
        <v>204</v>
      </c>
      <c r="C495" s="10" t="s">
        <v>205</v>
      </c>
      <c r="D495" s="335"/>
      <c r="E495" s="336"/>
      <c r="F495" s="336"/>
      <c r="G495" s="336"/>
      <c r="H495" s="336"/>
      <c r="I495" s="336"/>
      <c r="J495" s="336"/>
      <c r="K495" s="336"/>
      <c r="L495" s="336"/>
      <c r="M495" s="336"/>
      <c r="N495" s="336"/>
      <c r="O495" s="336"/>
      <c r="P495" s="336"/>
      <c r="Q495" s="336"/>
      <c r="R495" s="336"/>
      <c r="S495" s="336"/>
      <c r="T495" s="336"/>
      <c r="U495" s="336"/>
      <c r="V495" s="336"/>
      <c r="W495" s="336"/>
      <c r="X495" s="336"/>
      <c r="Y495" s="336"/>
      <c r="Z495" s="336"/>
      <c r="AA495" s="336"/>
      <c r="AB495" s="336"/>
      <c r="AC495" s="336"/>
      <c r="AD495" s="336"/>
      <c r="AE495" s="336"/>
      <c r="AF495" s="336"/>
      <c r="AG495" s="336"/>
      <c r="AH495" s="336"/>
      <c r="AI495" s="337"/>
      <c r="AJ495" s="11" t="s">
        <v>19</v>
      </c>
    </row>
    <row r="496" spans="1:36" x14ac:dyDescent="0.2">
      <c r="A496" s="9"/>
      <c r="B496" s="11"/>
      <c r="C496" s="179"/>
      <c r="D496" s="331" t="s">
        <v>960</v>
      </c>
      <c r="E496" s="331"/>
      <c r="F496" s="331"/>
      <c r="G496" s="331"/>
      <c r="H496" s="331"/>
      <c r="I496" s="331"/>
      <c r="J496" s="331"/>
      <c r="K496" s="331"/>
      <c r="L496" s="331"/>
      <c r="M496" s="331"/>
      <c r="N496" s="331"/>
      <c r="O496" s="331"/>
      <c r="P496" s="331"/>
      <c r="Q496" s="331"/>
      <c r="R496" s="331"/>
      <c r="S496" s="331"/>
      <c r="T496" s="331"/>
      <c r="U496" s="331"/>
      <c r="V496" s="331"/>
      <c r="W496" s="331"/>
      <c r="X496" s="331"/>
      <c r="Y496" s="331"/>
      <c r="Z496" s="331"/>
      <c r="AA496" s="331"/>
      <c r="AB496" s="331"/>
      <c r="AC496" s="331"/>
      <c r="AD496" s="331"/>
      <c r="AE496" s="331"/>
      <c r="AF496" s="331"/>
      <c r="AG496" s="331"/>
      <c r="AH496" s="331"/>
      <c r="AI496" s="331"/>
      <c r="AJ496" s="331"/>
    </row>
    <row r="497" spans="1:36" x14ac:dyDescent="0.2">
      <c r="A497" s="9"/>
      <c r="B497" s="11"/>
      <c r="C497" s="154" t="s">
        <v>763</v>
      </c>
      <c r="D497" s="155">
        <v>3</v>
      </c>
      <c r="E497" s="155" t="s">
        <v>764</v>
      </c>
      <c r="F497" s="155">
        <v>3</v>
      </c>
      <c r="G497" s="155" t="s">
        <v>764</v>
      </c>
      <c r="H497" s="155">
        <v>2.23</v>
      </c>
      <c r="I497" s="155" t="s">
        <v>764</v>
      </c>
      <c r="J497" s="155">
        <v>2.23</v>
      </c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 t="s">
        <v>745</v>
      </c>
      <c r="AF497" s="155">
        <v>2.7</v>
      </c>
      <c r="AG497" s="155" t="s">
        <v>745</v>
      </c>
      <c r="AH497" s="158">
        <v>1</v>
      </c>
      <c r="AI497" s="158" t="s">
        <v>727</v>
      </c>
      <c r="AJ497" s="157">
        <f>(D497+F497+H497+J497+L497+N497+P497)*AF497*AH497</f>
        <v>28.242000000000004</v>
      </c>
    </row>
    <row r="498" spans="1:36" x14ac:dyDescent="0.2">
      <c r="A498" s="9"/>
      <c r="B498" s="11"/>
      <c r="C498" s="154" t="s">
        <v>765</v>
      </c>
      <c r="D498" s="155">
        <v>2.8</v>
      </c>
      <c r="E498" s="155" t="s">
        <v>764</v>
      </c>
      <c r="F498" s="155">
        <v>2.8</v>
      </c>
      <c r="G498" s="155" t="s">
        <v>764</v>
      </c>
      <c r="H498" s="155">
        <v>2.23</v>
      </c>
      <c r="I498" s="155" t="s">
        <v>764</v>
      </c>
      <c r="J498" s="155">
        <v>2.23</v>
      </c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 t="s">
        <v>745</v>
      </c>
      <c r="AF498" s="155">
        <v>2.7</v>
      </c>
      <c r="AG498" s="155" t="s">
        <v>745</v>
      </c>
      <c r="AH498" s="158">
        <v>1</v>
      </c>
      <c r="AI498" s="158" t="s">
        <v>727</v>
      </c>
      <c r="AJ498" s="157">
        <f t="shared" ref="AJ498:AJ526" si="26">(D498+F498+H498+J498+L498+N498+P498)*AF498*AH498</f>
        <v>27.162000000000003</v>
      </c>
    </row>
    <row r="499" spans="1:36" x14ac:dyDescent="0.2">
      <c r="A499" s="9"/>
      <c r="B499" s="11"/>
      <c r="C499" s="154" t="s">
        <v>766</v>
      </c>
      <c r="D499" s="155">
        <v>3.9</v>
      </c>
      <c r="E499" s="155" t="s">
        <v>764</v>
      </c>
      <c r="F499" s="155">
        <v>3.9</v>
      </c>
      <c r="G499" s="155" t="s">
        <v>764</v>
      </c>
      <c r="H499" s="155">
        <v>2.0699999999999998</v>
      </c>
      <c r="I499" s="155" t="s">
        <v>764</v>
      </c>
      <c r="J499" s="155">
        <v>2.0699999999999998</v>
      </c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 t="s">
        <v>745</v>
      </c>
      <c r="AF499" s="155">
        <v>2.7</v>
      </c>
      <c r="AG499" s="155" t="s">
        <v>745</v>
      </c>
      <c r="AH499" s="158">
        <v>1</v>
      </c>
      <c r="AI499" s="158" t="s">
        <v>727</v>
      </c>
      <c r="AJ499" s="157">
        <f t="shared" si="26"/>
        <v>32.238</v>
      </c>
    </row>
    <row r="500" spans="1:36" x14ac:dyDescent="0.2">
      <c r="A500" s="9"/>
      <c r="B500" s="11"/>
      <c r="C500" s="154" t="s">
        <v>813</v>
      </c>
      <c r="D500" s="155">
        <v>1.02</v>
      </c>
      <c r="E500" s="155" t="s">
        <v>764</v>
      </c>
      <c r="F500" s="155">
        <v>1.02</v>
      </c>
      <c r="G500" s="155" t="s">
        <v>764</v>
      </c>
      <c r="H500" s="155">
        <v>1.85</v>
      </c>
      <c r="I500" s="155" t="s">
        <v>764</v>
      </c>
      <c r="J500" s="155">
        <v>1.85</v>
      </c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 t="s">
        <v>745</v>
      </c>
      <c r="AF500" s="155">
        <v>2.7</v>
      </c>
      <c r="AG500" s="155" t="s">
        <v>745</v>
      </c>
      <c r="AH500" s="158">
        <v>1</v>
      </c>
      <c r="AI500" s="158" t="s">
        <v>727</v>
      </c>
      <c r="AJ500" s="157">
        <f t="shared" si="26"/>
        <v>15.498000000000001</v>
      </c>
    </row>
    <row r="501" spans="1:36" x14ac:dyDescent="0.2">
      <c r="A501" s="9"/>
      <c r="B501" s="11"/>
      <c r="C501" s="154" t="s">
        <v>814</v>
      </c>
      <c r="D501" s="155">
        <v>2.67</v>
      </c>
      <c r="E501" s="155" t="s">
        <v>764</v>
      </c>
      <c r="F501" s="155">
        <v>2.85</v>
      </c>
      <c r="G501" s="155" t="s">
        <v>764</v>
      </c>
      <c r="H501" s="155">
        <v>1.5</v>
      </c>
      <c r="I501" s="155" t="s">
        <v>764</v>
      </c>
      <c r="J501" s="155">
        <v>2</v>
      </c>
      <c r="K501" s="155" t="s">
        <v>764</v>
      </c>
      <c r="L501" s="155">
        <v>1.17</v>
      </c>
      <c r="M501" s="155" t="s">
        <v>764</v>
      </c>
      <c r="N501" s="155">
        <v>0.85</v>
      </c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 t="s">
        <v>745</v>
      </c>
      <c r="AF501" s="155">
        <v>2.7</v>
      </c>
      <c r="AG501" s="155" t="s">
        <v>745</v>
      </c>
      <c r="AH501" s="158">
        <v>1</v>
      </c>
      <c r="AI501" s="158" t="s">
        <v>727</v>
      </c>
      <c r="AJ501" s="157">
        <f t="shared" si="26"/>
        <v>29.808</v>
      </c>
    </row>
    <row r="502" spans="1:36" x14ac:dyDescent="0.2">
      <c r="A502" s="9"/>
      <c r="B502" s="11"/>
      <c r="C502" s="154" t="s">
        <v>800</v>
      </c>
      <c r="D502" s="155">
        <v>2.25</v>
      </c>
      <c r="E502" s="155" t="s">
        <v>764</v>
      </c>
      <c r="F502" s="155">
        <v>2.25</v>
      </c>
      <c r="G502" s="155" t="s">
        <v>764</v>
      </c>
      <c r="H502" s="155">
        <v>2.85</v>
      </c>
      <c r="I502" s="155" t="s">
        <v>764</v>
      </c>
      <c r="J502" s="155">
        <v>2.85</v>
      </c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 t="s">
        <v>745</v>
      </c>
      <c r="AF502" s="155">
        <v>2.7</v>
      </c>
      <c r="AG502" s="155" t="s">
        <v>745</v>
      </c>
      <c r="AH502" s="158">
        <v>1</v>
      </c>
      <c r="AI502" s="158" t="s">
        <v>727</v>
      </c>
      <c r="AJ502" s="157">
        <f t="shared" si="26"/>
        <v>27.54</v>
      </c>
    </row>
    <row r="503" spans="1:36" x14ac:dyDescent="0.2">
      <c r="A503" s="9"/>
      <c r="B503" s="11"/>
      <c r="C503" s="154" t="s">
        <v>801</v>
      </c>
      <c r="D503" s="155">
        <v>1.05</v>
      </c>
      <c r="E503" s="155" t="s">
        <v>764</v>
      </c>
      <c r="F503" s="155">
        <v>1.05</v>
      </c>
      <c r="G503" s="155" t="s">
        <v>764</v>
      </c>
      <c r="H503" s="155">
        <v>2.1</v>
      </c>
      <c r="I503" s="155" t="s">
        <v>764</v>
      </c>
      <c r="J503" s="155">
        <v>2.1</v>
      </c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 t="s">
        <v>745</v>
      </c>
      <c r="AF503" s="155">
        <v>2.7</v>
      </c>
      <c r="AG503" s="155" t="s">
        <v>745</v>
      </c>
      <c r="AH503" s="158">
        <v>1</v>
      </c>
      <c r="AI503" s="158" t="s">
        <v>727</v>
      </c>
      <c r="AJ503" s="157">
        <f t="shared" si="26"/>
        <v>17.010000000000002</v>
      </c>
    </row>
    <row r="504" spans="1:36" x14ac:dyDescent="0.2">
      <c r="A504" s="9"/>
      <c r="B504" s="11"/>
      <c r="C504" s="154" t="s">
        <v>815</v>
      </c>
      <c r="D504" s="155">
        <v>1.8</v>
      </c>
      <c r="E504" s="155" t="s">
        <v>764</v>
      </c>
      <c r="F504" s="155">
        <v>1.8</v>
      </c>
      <c r="G504" s="155" t="s">
        <v>764</v>
      </c>
      <c r="H504" s="155">
        <v>2.85</v>
      </c>
      <c r="I504" s="155" t="s">
        <v>764</v>
      </c>
      <c r="J504" s="155">
        <v>2.85</v>
      </c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 t="s">
        <v>745</v>
      </c>
      <c r="AF504" s="155">
        <v>2.7</v>
      </c>
      <c r="AG504" s="155" t="s">
        <v>745</v>
      </c>
      <c r="AH504" s="158">
        <v>1</v>
      </c>
      <c r="AI504" s="158" t="s">
        <v>727</v>
      </c>
      <c r="AJ504" s="157">
        <f t="shared" si="26"/>
        <v>25.110000000000003</v>
      </c>
    </row>
    <row r="505" spans="1:36" x14ac:dyDescent="0.2">
      <c r="A505" s="9"/>
      <c r="B505" s="11"/>
      <c r="C505" s="154" t="s">
        <v>803</v>
      </c>
      <c r="D505" s="155">
        <v>2.7</v>
      </c>
      <c r="E505" s="155" t="s">
        <v>764</v>
      </c>
      <c r="F505" s="155">
        <v>7.05</v>
      </c>
      <c r="G505" s="155" t="s">
        <v>764</v>
      </c>
      <c r="H505" s="155">
        <v>4.6500000000000004</v>
      </c>
      <c r="I505" s="155" t="s">
        <v>764</v>
      </c>
      <c r="J505" s="155">
        <v>3.86</v>
      </c>
      <c r="K505" s="155" t="s">
        <v>764</v>
      </c>
      <c r="L505" s="155">
        <v>1.5</v>
      </c>
      <c r="M505" s="155" t="s">
        <v>764</v>
      </c>
      <c r="N505" s="155">
        <v>0.4</v>
      </c>
      <c r="O505" s="155" t="s">
        <v>764</v>
      </c>
      <c r="P505" s="155">
        <v>3.4</v>
      </c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 t="s">
        <v>745</v>
      </c>
      <c r="AF505" s="155">
        <v>2.7</v>
      </c>
      <c r="AG505" s="155" t="s">
        <v>745</v>
      </c>
      <c r="AH505" s="158">
        <v>1</v>
      </c>
      <c r="AI505" s="158" t="s">
        <v>727</v>
      </c>
      <c r="AJ505" s="157">
        <f t="shared" si="26"/>
        <v>63.612000000000002</v>
      </c>
    </row>
    <row r="506" spans="1:36" x14ac:dyDescent="0.2">
      <c r="A506" s="9"/>
      <c r="B506" s="11"/>
      <c r="C506" s="154" t="s">
        <v>804</v>
      </c>
      <c r="D506" s="155">
        <v>1.57</v>
      </c>
      <c r="E506" s="155" t="s">
        <v>764</v>
      </c>
      <c r="F506" s="155">
        <v>1.57</v>
      </c>
      <c r="G506" s="155" t="s">
        <v>764</v>
      </c>
      <c r="H506" s="155">
        <v>2.85</v>
      </c>
      <c r="I506" s="155" t="s">
        <v>764</v>
      </c>
      <c r="J506" s="155">
        <v>2.85</v>
      </c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 t="s">
        <v>745</v>
      </c>
      <c r="AF506" s="155">
        <v>2.7</v>
      </c>
      <c r="AG506" s="155" t="s">
        <v>745</v>
      </c>
      <c r="AH506" s="158">
        <v>1</v>
      </c>
      <c r="AI506" s="158" t="s">
        <v>727</v>
      </c>
      <c r="AJ506" s="157">
        <f t="shared" si="26"/>
        <v>23.868000000000002</v>
      </c>
    </row>
    <row r="507" spans="1:36" x14ac:dyDescent="0.2">
      <c r="A507" s="9"/>
      <c r="B507" s="11"/>
      <c r="C507" s="154" t="s">
        <v>767</v>
      </c>
      <c r="D507" s="155">
        <v>6.75</v>
      </c>
      <c r="E507" s="155" t="s">
        <v>764</v>
      </c>
      <c r="F507" s="155">
        <v>6.75</v>
      </c>
      <c r="G507" s="155"/>
      <c r="H507" s="155"/>
      <c r="I507" s="155"/>
      <c r="J507" s="155"/>
      <c r="K507" s="155"/>
      <c r="L507" s="155"/>
      <c r="M507" s="155"/>
      <c r="N507" s="177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 t="s">
        <v>745</v>
      </c>
      <c r="AF507" s="155">
        <v>2.7</v>
      </c>
      <c r="AG507" s="155" t="s">
        <v>745</v>
      </c>
      <c r="AH507" s="158">
        <v>1</v>
      </c>
      <c r="AI507" s="158" t="s">
        <v>727</v>
      </c>
      <c r="AJ507" s="157">
        <f t="shared" si="26"/>
        <v>36.450000000000003</v>
      </c>
    </row>
    <row r="508" spans="1:36" x14ac:dyDescent="0.2">
      <c r="A508" s="9"/>
      <c r="B508" s="11"/>
      <c r="C508" s="154" t="s">
        <v>768</v>
      </c>
      <c r="D508" s="155">
        <v>2.25</v>
      </c>
      <c r="E508" s="155" t="s">
        <v>764</v>
      </c>
      <c r="F508" s="155">
        <v>2.25</v>
      </c>
      <c r="G508" s="155" t="s">
        <v>764</v>
      </c>
      <c r="H508" s="155">
        <v>1.95</v>
      </c>
      <c r="I508" s="155" t="s">
        <v>764</v>
      </c>
      <c r="J508" s="155">
        <v>1.95</v>
      </c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 t="s">
        <v>745</v>
      </c>
      <c r="AF508" s="155">
        <v>2.7</v>
      </c>
      <c r="AG508" s="155" t="s">
        <v>745</v>
      </c>
      <c r="AH508" s="158">
        <v>1</v>
      </c>
      <c r="AI508" s="158" t="s">
        <v>727</v>
      </c>
      <c r="AJ508" s="157">
        <f t="shared" si="26"/>
        <v>22.680000000000003</v>
      </c>
    </row>
    <row r="509" spans="1:36" x14ac:dyDescent="0.2">
      <c r="A509" s="9"/>
      <c r="B509" s="11"/>
      <c r="C509" s="154" t="s">
        <v>769</v>
      </c>
      <c r="D509" s="155">
        <v>2.25</v>
      </c>
      <c r="E509" s="155" t="s">
        <v>764</v>
      </c>
      <c r="F509" s="155">
        <v>2.25</v>
      </c>
      <c r="G509" s="155" t="s">
        <v>764</v>
      </c>
      <c r="H509" s="155">
        <v>1.95</v>
      </c>
      <c r="I509" s="155" t="s">
        <v>764</v>
      </c>
      <c r="J509" s="155">
        <v>1.95</v>
      </c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 t="s">
        <v>745</v>
      </c>
      <c r="AF509" s="155">
        <v>2.7</v>
      </c>
      <c r="AG509" s="155" t="s">
        <v>745</v>
      </c>
      <c r="AH509" s="158">
        <v>1</v>
      </c>
      <c r="AI509" s="158" t="s">
        <v>727</v>
      </c>
      <c r="AJ509" s="157">
        <f t="shared" si="26"/>
        <v>22.680000000000003</v>
      </c>
    </row>
    <row r="510" spans="1:36" x14ac:dyDescent="0.2">
      <c r="A510" s="9"/>
      <c r="B510" s="11"/>
      <c r="C510" s="154" t="s">
        <v>770</v>
      </c>
      <c r="D510" s="155">
        <v>4.05</v>
      </c>
      <c r="E510" s="155" t="s">
        <v>764</v>
      </c>
      <c r="F510" s="155">
        <v>4.05</v>
      </c>
      <c r="G510" s="155" t="s">
        <v>764</v>
      </c>
      <c r="H510" s="155">
        <v>4.05</v>
      </c>
      <c r="I510" s="155" t="s">
        <v>764</v>
      </c>
      <c r="J510" s="155">
        <v>4.05</v>
      </c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 t="s">
        <v>745</v>
      </c>
      <c r="AF510" s="155">
        <v>2.7</v>
      </c>
      <c r="AG510" s="155" t="s">
        <v>745</v>
      </c>
      <c r="AH510" s="158">
        <v>1</v>
      </c>
      <c r="AI510" s="158" t="s">
        <v>727</v>
      </c>
      <c r="AJ510" s="157">
        <f t="shared" si="26"/>
        <v>43.74</v>
      </c>
    </row>
    <row r="511" spans="1:36" x14ac:dyDescent="0.2">
      <c r="A511" s="9"/>
      <c r="B511" s="11"/>
      <c r="C511" s="154" t="s">
        <v>771</v>
      </c>
      <c r="D511" s="155">
        <v>5.25</v>
      </c>
      <c r="E511" s="155" t="s">
        <v>764</v>
      </c>
      <c r="F511" s="155">
        <v>10.75</v>
      </c>
      <c r="G511" s="155" t="s">
        <v>764</v>
      </c>
      <c r="H511" s="155">
        <v>2.5499999999999998</v>
      </c>
      <c r="I511" s="155" t="s">
        <v>764</v>
      </c>
      <c r="J511" s="155">
        <v>6.1</v>
      </c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 t="s">
        <v>745</v>
      </c>
      <c r="AF511" s="155">
        <v>2.7</v>
      </c>
      <c r="AG511" s="155" t="s">
        <v>745</v>
      </c>
      <c r="AH511" s="158">
        <v>1</v>
      </c>
      <c r="AI511" s="158" t="s">
        <v>727</v>
      </c>
      <c r="AJ511" s="157">
        <f t="shared" si="26"/>
        <v>66.555000000000007</v>
      </c>
    </row>
    <row r="512" spans="1:36" x14ac:dyDescent="0.2">
      <c r="A512" s="9"/>
      <c r="B512" s="11"/>
      <c r="C512" s="154" t="s">
        <v>772</v>
      </c>
      <c r="D512" s="155">
        <v>4.6500000000000004</v>
      </c>
      <c r="E512" s="155" t="s">
        <v>764</v>
      </c>
      <c r="F512" s="155">
        <v>4.6500000000000004</v>
      </c>
      <c r="G512" s="155" t="s">
        <v>764</v>
      </c>
      <c r="H512" s="155">
        <v>3.45</v>
      </c>
      <c r="I512" s="155" t="s">
        <v>764</v>
      </c>
      <c r="J512" s="155">
        <v>3.45</v>
      </c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 t="s">
        <v>745</v>
      </c>
      <c r="AF512" s="155">
        <v>2.7</v>
      </c>
      <c r="AG512" s="155" t="s">
        <v>745</v>
      </c>
      <c r="AH512" s="158">
        <v>1</v>
      </c>
      <c r="AI512" s="158" t="s">
        <v>727</v>
      </c>
      <c r="AJ512" s="157">
        <f t="shared" si="26"/>
        <v>43.74</v>
      </c>
    </row>
    <row r="513" spans="1:36" x14ac:dyDescent="0.2">
      <c r="A513" s="9"/>
      <c r="B513" s="11"/>
      <c r="C513" s="154" t="s">
        <v>773</v>
      </c>
      <c r="D513" s="155">
        <v>1.65</v>
      </c>
      <c r="E513" s="155" t="s">
        <v>764</v>
      </c>
      <c r="F513" s="155">
        <v>1.65</v>
      </c>
      <c r="G513" s="155" t="s">
        <v>764</v>
      </c>
      <c r="H513" s="155">
        <v>3.45</v>
      </c>
      <c r="I513" s="155" t="s">
        <v>764</v>
      </c>
      <c r="J513" s="155">
        <v>3.45</v>
      </c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 t="s">
        <v>745</v>
      </c>
      <c r="AF513" s="155">
        <v>2.7</v>
      </c>
      <c r="AG513" s="155" t="s">
        <v>745</v>
      </c>
      <c r="AH513" s="158">
        <v>1</v>
      </c>
      <c r="AI513" s="158" t="s">
        <v>727</v>
      </c>
      <c r="AJ513" s="157">
        <f t="shared" si="26"/>
        <v>27.54</v>
      </c>
    </row>
    <row r="514" spans="1:36" x14ac:dyDescent="0.2">
      <c r="A514" s="9"/>
      <c r="B514" s="11"/>
      <c r="C514" s="154" t="s">
        <v>774</v>
      </c>
      <c r="D514" s="155">
        <v>3.42</v>
      </c>
      <c r="E514" s="155" t="s">
        <v>764</v>
      </c>
      <c r="F514" s="200">
        <v>3.42</v>
      </c>
      <c r="G514" s="155" t="s">
        <v>764</v>
      </c>
      <c r="H514" s="155">
        <v>2.2400000000000002</v>
      </c>
      <c r="I514" s="155" t="s">
        <v>764</v>
      </c>
      <c r="J514" s="155">
        <v>2.2400000000000002</v>
      </c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 t="s">
        <v>745</v>
      </c>
      <c r="AF514" s="155">
        <v>2.7</v>
      </c>
      <c r="AG514" s="155" t="s">
        <v>745</v>
      </c>
      <c r="AH514" s="158">
        <v>1</v>
      </c>
      <c r="AI514" s="158" t="s">
        <v>727</v>
      </c>
      <c r="AJ514" s="157">
        <f t="shared" si="26"/>
        <v>30.564000000000004</v>
      </c>
    </row>
    <row r="515" spans="1:36" x14ac:dyDescent="0.2">
      <c r="A515" s="9"/>
      <c r="B515" s="11"/>
      <c r="C515" s="154" t="s">
        <v>775</v>
      </c>
      <c r="D515" s="155">
        <v>5.39</v>
      </c>
      <c r="E515" s="155" t="s">
        <v>764</v>
      </c>
      <c r="F515" s="155">
        <v>5.39</v>
      </c>
      <c r="G515" s="155" t="s">
        <v>764</v>
      </c>
      <c r="H515" s="155">
        <v>3.8</v>
      </c>
      <c r="I515" s="155" t="s">
        <v>764</v>
      </c>
      <c r="J515" s="155">
        <v>3.8</v>
      </c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 t="s">
        <v>745</v>
      </c>
      <c r="AF515" s="155">
        <v>2.7</v>
      </c>
      <c r="AG515" s="155" t="s">
        <v>745</v>
      </c>
      <c r="AH515" s="158">
        <v>1</v>
      </c>
      <c r="AI515" s="158" t="s">
        <v>727</v>
      </c>
      <c r="AJ515" s="157">
        <f t="shared" si="26"/>
        <v>49.625999999999998</v>
      </c>
    </row>
    <row r="516" spans="1:36" x14ac:dyDescent="0.2">
      <c r="A516" s="9"/>
      <c r="B516" s="11"/>
      <c r="C516" s="154" t="s">
        <v>776</v>
      </c>
      <c r="D516" s="155">
        <v>4.79</v>
      </c>
      <c r="E516" s="155" t="s">
        <v>764</v>
      </c>
      <c r="F516" s="155">
        <v>4.79</v>
      </c>
      <c r="G516" s="155" t="s">
        <v>764</v>
      </c>
      <c r="H516" s="155">
        <v>1.64</v>
      </c>
      <c r="I516" s="155" t="s">
        <v>764</v>
      </c>
      <c r="J516" s="155">
        <v>1.64</v>
      </c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 t="s">
        <v>745</v>
      </c>
      <c r="AF516" s="155">
        <v>2.7</v>
      </c>
      <c r="AG516" s="155" t="s">
        <v>745</v>
      </c>
      <c r="AH516" s="158">
        <v>1</v>
      </c>
      <c r="AI516" s="158" t="s">
        <v>727</v>
      </c>
      <c r="AJ516" s="157">
        <f t="shared" si="26"/>
        <v>34.722000000000008</v>
      </c>
    </row>
    <row r="517" spans="1:36" x14ac:dyDescent="0.2">
      <c r="A517" s="9"/>
      <c r="B517" s="11"/>
      <c r="C517" s="154" t="s">
        <v>777</v>
      </c>
      <c r="D517" s="155">
        <v>7.95</v>
      </c>
      <c r="E517" s="155" t="s">
        <v>764</v>
      </c>
      <c r="F517" s="155">
        <v>1</v>
      </c>
      <c r="G517" s="155" t="s">
        <v>764</v>
      </c>
      <c r="H517" s="155">
        <v>3.23</v>
      </c>
      <c r="I517" s="155" t="s">
        <v>764</v>
      </c>
      <c r="J517" s="155">
        <v>1.51</v>
      </c>
      <c r="K517" s="155" t="s">
        <v>764</v>
      </c>
      <c r="L517" s="155">
        <v>11.18</v>
      </c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 t="s">
        <v>745</v>
      </c>
      <c r="AF517" s="155">
        <v>2.7</v>
      </c>
      <c r="AG517" s="155" t="s">
        <v>745</v>
      </c>
      <c r="AH517" s="158">
        <v>1</v>
      </c>
      <c r="AI517" s="158" t="s">
        <v>727</v>
      </c>
      <c r="AJ517" s="157">
        <f t="shared" si="26"/>
        <v>67.149000000000001</v>
      </c>
    </row>
    <row r="518" spans="1:36" x14ac:dyDescent="0.2">
      <c r="A518" s="9"/>
      <c r="B518" s="11"/>
      <c r="C518" s="154" t="s">
        <v>778</v>
      </c>
      <c r="D518" s="155">
        <v>0.73</v>
      </c>
      <c r="E518" s="155" t="s">
        <v>764</v>
      </c>
      <c r="F518" s="155">
        <v>4.79</v>
      </c>
      <c r="G518" s="155" t="s">
        <v>764</v>
      </c>
      <c r="H518" s="155">
        <v>4.9000000000000004</v>
      </c>
      <c r="I518" s="155" t="s">
        <v>764</v>
      </c>
      <c r="J518" s="155">
        <v>6.45</v>
      </c>
      <c r="K518" s="155" t="s">
        <v>764</v>
      </c>
      <c r="L518" s="155">
        <v>4.17</v>
      </c>
      <c r="M518" s="155" t="s">
        <v>764</v>
      </c>
      <c r="N518" s="155">
        <v>1.66</v>
      </c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 t="s">
        <v>745</v>
      </c>
      <c r="AF518" s="155">
        <v>2.7</v>
      </c>
      <c r="AG518" s="155" t="s">
        <v>745</v>
      </c>
      <c r="AH518" s="158">
        <v>1</v>
      </c>
      <c r="AI518" s="158" t="s">
        <v>727</v>
      </c>
      <c r="AJ518" s="157">
        <f>(D518+F518+H518+J518+L518+N518+P518)*AF518*AH518</f>
        <v>61.29</v>
      </c>
    </row>
    <row r="519" spans="1:36" x14ac:dyDescent="0.2">
      <c r="A519" s="9"/>
      <c r="B519" s="11"/>
      <c r="C519" s="154" t="s">
        <v>780</v>
      </c>
      <c r="D519" s="155">
        <v>6.45</v>
      </c>
      <c r="E519" s="155" t="s">
        <v>764</v>
      </c>
      <c r="F519" s="155">
        <v>6.45</v>
      </c>
      <c r="G519" s="155" t="s">
        <v>764</v>
      </c>
      <c r="H519" s="155">
        <v>2.25</v>
      </c>
      <c r="I519" s="155" t="s">
        <v>764</v>
      </c>
      <c r="J519" s="155">
        <v>2.25</v>
      </c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 t="s">
        <v>745</v>
      </c>
      <c r="AF519" s="155">
        <v>2.7</v>
      </c>
      <c r="AG519" s="155" t="s">
        <v>745</v>
      </c>
      <c r="AH519" s="158">
        <v>1</v>
      </c>
      <c r="AI519" s="158" t="s">
        <v>727</v>
      </c>
      <c r="AJ519" s="157">
        <f t="shared" si="26"/>
        <v>46.98</v>
      </c>
    </row>
    <row r="520" spans="1:36" x14ac:dyDescent="0.2">
      <c r="A520" s="9"/>
      <c r="B520" s="11"/>
      <c r="C520" s="154" t="s">
        <v>781</v>
      </c>
      <c r="D520" s="155">
        <v>6.45</v>
      </c>
      <c r="E520" s="155" t="s">
        <v>764</v>
      </c>
      <c r="F520" s="200">
        <v>6.45</v>
      </c>
      <c r="G520" s="155" t="s">
        <v>764</v>
      </c>
      <c r="H520" s="155">
        <v>5.3</v>
      </c>
      <c r="I520" s="155" t="s">
        <v>764</v>
      </c>
      <c r="J520" s="155">
        <v>5.3</v>
      </c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 t="s">
        <v>745</v>
      </c>
      <c r="AF520" s="155">
        <v>2.7</v>
      </c>
      <c r="AG520" s="155" t="s">
        <v>745</v>
      </c>
      <c r="AH520" s="158">
        <v>1</v>
      </c>
      <c r="AI520" s="158" t="s">
        <v>727</v>
      </c>
      <c r="AJ520" s="157">
        <f t="shared" si="26"/>
        <v>63.45</v>
      </c>
    </row>
    <row r="521" spans="1:36" x14ac:dyDescent="0.2">
      <c r="A521" s="9"/>
      <c r="B521" s="11"/>
      <c r="C521" s="154" t="s">
        <v>782</v>
      </c>
      <c r="D521" s="155">
        <v>6.45</v>
      </c>
      <c r="E521" s="155" t="s">
        <v>764</v>
      </c>
      <c r="F521" s="155">
        <v>6.45</v>
      </c>
      <c r="G521" s="155" t="s">
        <v>764</v>
      </c>
      <c r="H521" s="155">
        <v>2.98</v>
      </c>
      <c r="I521" s="155" t="s">
        <v>764</v>
      </c>
      <c r="J521" s="155">
        <v>2.98</v>
      </c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 t="s">
        <v>745</v>
      </c>
      <c r="AF521" s="155">
        <v>2.7</v>
      </c>
      <c r="AG521" s="155" t="s">
        <v>745</v>
      </c>
      <c r="AH521" s="158">
        <v>1</v>
      </c>
      <c r="AI521" s="158" t="s">
        <v>727</v>
      </c>
      <c r="AJ521" s="157">
        <f t="shared" si="26"/>
        <v>50.922000000000004</v>
      </c>
    </row>
    <row r="522" spans="1:36" x14ac:dyDescent="0.2">
      <c r="A522" s="9"/>
      <c r="B522" s="11"/>
      <c r="C522" s="154" t="s">
        <v>816</v>
      </c>
      <c r="D522" s="155">
        <v>0.6</v>
      </c>
      <c r="E522" s="155" t="s">
        <v>764</v>
      </c>
      <c r="F522" s="155">
        <v>0.5</v>
      </c>
      <c r="G522" s="155" t="s">
        <v>764</v>
      </c>
      <c r="H522" s="155">
        <v>0.6</v>
      </c>
      <c r="I522" s="155" t="s">
        <v>764</v>
      </c>
      <c r="J522" s="155">
        <v>0.86</v>
      </c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 t="s">
        <v>745</v>
      </c>
      <c r="AF522" s="155">
        <v>0.9</v>
      </c>
      <c r="AG522" s="155" t="s">
        <v>745</v>
      </c>
      <c r="AH522" s="158">
        <v>2</v>
      </c>
      <c r="AI522" s="158" t="s">
        <v>727</v>
      </c>
      <c r="AJ522" s="157">
        <f t="shared" si="26"/>
        <v>4.6080000000000005</v>
      </c>
    </row>
    <row r="523" spans="1:36" x14ac:dyDescent="0.2">
      <c r="A523" s="9"/>
      <c r="B523" s="11"/>
      <c r="C523" s="154" t="s">
        <v>817</v>
      </c>
      <c r="D523" s="155">
        <v>0.57999999999999996</v>
      </c>
      <c r="E523" s="155" t="s">
        <v>764</v>
      </c>
      <c r="F523" s="155">
        <v>1</v>
      </c>
      <c r="G523" s="155" t="s">
        <v>764</v>
      </c>
      <c r="H523" s="155">
        <v>0.53</v>
      </c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 t="s">
        <v>745</v>
      </c>
      <c r="AF523" s="155">
        <v>0.9</v>
      </c>
      <c r="AG523" s="155" t="s">
        <v>745</v>
      </c>
      <c r="AH523" s="158">
        <v>2</v>
      </c>
      <c r="AI523" s="158" t="s">
        <v>727</v>
      </c>
      <c r="AJ523" s="157">
        <f t="shared" si="26"/>
        <v>3.7980000000000005</v>
      </c>
    </row>
    <row r="524" spans="1:36" x14ac:dyDescent="0.2">
      <c r="A524" s="9"/>
      <c r="B524" s="11"/>
      <c r="C524" s="154" t="s">
        <v>818</v>
      </c>
      <c r="D524" s="155">
        <v>0.7</v>
      </c>
      <c r="E524" s="155" t="s">
        <v>764</v>
      </c>
      <c r="F524" s="155">
        <v>0.7</v>
      </c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 t="s">
        <v>745</v>
      </c>
      <c r="AF524" s="155">
        <v>0.9</v>
      </c>
      <c r="AG524" s="155" t="s">
        <v>745</v>
      </c>
      <c r="AH524" s="158">
        <v>2</v>
      </c>
      <c r="AI524" s="158" t="s">
        <v>727</v>
      </c>
      <c r="AJ524" s="157">
        <f t="shared" si="26"/>
        <v>2.52</v>
      </c>
    </row>
    <row r="525" spans="1:36" x14ac:dyDescent="0.2">
      <c r="A525" s="9"/>
      <c r="B525" s="11"/>
      <c r="C525" s="154" t="s">
        <v>1116</v>
      </c>
      <c r="D525" s="155">
        <v>6.75</v>
      </c>
      <c r="E525" s="155" t="s">
        <v>764</v>
      </c>
      <c r="F525" s="155">
        <v>6.75</v>
      </c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 t="s">
        <v>745</v>
      </c>
      <c r="AF525" s="155">
        <v>3</v>
      </c>
      <c r="AG525" s="155" t="s">
        <v>745</v>
      </c>
      <c r="AH525" s="158">
        <v>1</v>
      </c>
      <c r="AI525" s="158" t="s">
        <v>727</v>
      </c>
      <c r="AJ525" s="157">
        <f t="shared" ref="AJ525" si="27">(D525+F525+H525+J525+L525)*AF525*AH525</f>
        <v>40.5</v>
      </c>
    </row>
    <row r="526" spans="1:36" x14ac:dyDescent="0.2">
      <c r="A526" s="9"/>
      <c r="B526" s="11"/>
      <c r="C526" s="154" t="s">
        <v>819</v>
      </c>
      <c r="D526" s="155">
        <v>2.25</v>
      </c>
      <c r="E526" s="155" t="s">
        <v>764</v>
      </c>
      <c r="F526" s="155">
        <v>2.25</v>
      </c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 t="s">
        <v>745</v>
      </c>
      <c r="AF526" s="155">
        <v>0.3</v>
      </c>
      <c r="AG526" s="155" t="s">
        <v>745</v>
      </c>
      <c r="AH526" s="158">
        <v>2</v>
      </c>
      <c r="AI526" s="158" t="s">
        <v>727</v>
      </c>
      <c r="AJ526" s="157">
        <f t="shared" si="26"/>
        <v>2.6999999999999997</v>
      </c>
    </row>
    <row r="527" spans="1:36" x14ac:dyDescent="0.2">
      <c r="A527" s="7"/>
      <c r="B527" s="96"/>
      <c r="C527" s="233"/>
      <c r="D527" s="349" t="s">
        <v>962</v>
      </c>
      <c r="E527" s="349"/>
      <c r="F527" s="349"/>
      <c r="G527" s="349"/>
      <c r="H527" s="349"/>
      <c r="I527" s="349"/>
      <c r="J527" s="349"/>
      <c r="K527" s="349"/>
      <c r="L527" s="349"/>
      <c r="M527" s="349"/>
      <c r="N527" s="349"/>
      <c r="O527" s="349"/>
      <c r="P527" s="349"/>
      <c r="Q527" s="349"/>
      <c r="R527" s="349"/>
      <c r="S527" s="349"/>
      <c r="T527" s="349"/>
      <c r="U527" s="349"/>
      <c r="V527" s="349"/>
      <c r="W527" s="349"/>
      <c r="X527" s="349"/>
      <c r="Y527" s="349"/>
      <c r="Z527" s="349"/>
      <c r="AA527" s="349"/>
      <c r="AB527" s="349"/>
      <c r="AC527" s="349"/>
      <c r="AD527" s="349"/>
      <c r="AE527" s="349"/>
      <c r="AF527" s="349"/>
      <c r="AG527" s="349"/>
      <c r="AH527" s="349"/>
      <c r="AI527" s="234" t="s">
        <v>727</v>
      </c>
      <c r="AJ527" s="235">
        <f>SUM(AJ497:AJ526)</f>
        <v>1012.3019999999999</v>
      </c>
    </row>
    <row r="528" spans="1:36" x14ac:dyDescent="0.2">
      <c r="A528" s="7"/>
      <c r="B528" s="8"/>
      <c r="C528" s="196"/>
      <c r="D528" s="331" t="s">
        <v>963</v>
      </c>
      <c r="E528" s="331"/>
      <c r="F528" s="331"/>
      <c r="G528" s="331"/>
      <c r="H528" s="331"/>
      <c r="I528" s="331"/>
      <c r="J528" s="331"/>
      <c r="K528" s="331"/>
      <c r="L528" s="331"/>
      <c r="M528" s="331"/>
      <c r="N528" s="331"/>
      <c r="O528" s="331"/>
      <c r="P528" s="331"/>
      <c r="Q528" s="331"/>
      <c r="R528" s="331"/>
      <c r="S528" s="331"/>
      <c r="T528" s="331"/>
      <c r="U528" s="331"/>
      <c r="V528" s="331"/>
      <c r="W528" s="331"/>
      <c r="X528" s="331"/>
      <c r="Y528" s="331"/>
      <c r="Z528" s="331"/>
      <c r="AA528" s="331"/>
      <c r="AB528" s="331"/>
      <c r="AC528" s="331"/>
      <c r="AD528" s="331"/>
      <c r="AE528" s="331"/>
      <c r="AF528" s="331"/>
      <c r="AG528" s="331"/>
      <c r="AH528" s="331"/>
      <c r="AI528" s="331"/>
      <c r="AJ528" s="157"/>
    </row>
    <row r="529" spans="1:36" x14ac:dyDescent="0.2">
      <c r="A529" s="7"/>
      <c r="B529" s="8"/>
      <c r="C529" s="193" t="s">
        <v>965</v>
      </c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80"/>
      <c r="AI529" s="204"/>
      <c r="AJ529" s="157"/>
    </row>
    <row r="530" spans="1:36" x14ac:dyDescent="0.2">
      <c r="A530" s="7"/>
      <c r="B530" s="8"/>
      <c r="C530" s="193" t="s">
        <v>948</v>
      </c>
      <c r="D530" s="155">
        <v>0.8</v>
      </c>
      <c r="E530" s="155" t="s">
        <v>745</v>
      </c>
      <c r="F530" s="155">
        <v>2.1</v>
      </c>
      <c r="G530" s="155" t="s">
        <v>727</v>
      </c>
      <c r="H530" s="155">
        <f>D530*F530</f>
        <v>1.6800000000000002</v>
      </c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205">
        <v>6</v>
      </c>
      <c r="AI530" s="156" t="s">
        <v>727</v>
      </c>
      <c r="AJ530" s="158">
        <f>H530*AH530</f>
        <v>10.080000000000002</v>
      </c>
    </row>
    <row r="531" spans="1:36" x14ac:dyDescent="0.2">
      <c r="A531" s="7"/>
      <c r="B531" s="8"/>
      <c r="C531" s="193" t="s">
        <v>949</v>
      </c>
      <c r="D531" s="155">
        <v>0.8</v>
      </c>
      <c r="E531" s="155" t="s">
        <v>745</v>
      </c>
      <c r="F531" s="155">
        <v>2.1</v>
      </c>
      <c r="G531" s="155" t="s">
        <v>727</v>
      </c>
      <c r="H531" s="155">
        <f t="shared" ref="H531:H533" si="28">D531*F531</f>
        <v>1.6800000000000002</v>
      </c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205">
        <v>12</v>
      </c>
      <c r="AI531" s="156" t="s">
        <v>727</v>
      </c>
      <c r="AJ531" s="158">
        <f t="shared" ref="AJ531:AJ533" si="29">H531*AH531</f>
        <v>20.160000000000004</v>
      </c>
    </row>
    <row r="532" spans="1:36" x14ac:dyDescent="0.2">
      <c r="A532" s="7"/>
      <c r="B532" s="8"/>
      <c r="C532" s="193" t="s">
        <v>950</v>
      </c>
      <c r="D532" s="155">
        <v>0.8</v>
      </c>
      <c r="E532" s="155" t="s">
        <v>745</v>
      </c>
      <c r="F532" s="155">
        <v>2.1</v>
      </c>
      <c r="G532" s="155" t="s">
        <v>727</v>
      </c>
      <c r="H532" s="155">
        <f t="shared" si="28"/>
        <v>1.6800000000000002</v>
      </c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205">
        <v>4</v>
      </c>
      <c r="AI532" s="156" t="s">
        <v>727</v>
      </c>
      <c r="AJ532" s="158">
        <f t="shared" si="29"/>
        <v>6.7200000000000006</v>
      </c>
    </row>
    <row r="533" spans="1:36" x14ac:dyDescent="0.2">
      <c r="A533" s="7"/>
      <c r="B533" s="8"/>
      <c r="C533" s="193" t="s">
        <v>951</v>
      </c>
      <c r="D533" s="155">
        <v>0.8</v>
      </c>
      <c r="E533" s="155" t="s">
        <v>745</v>
      </c>
      <c r="F533" s="155">
        <v>2.1</v>
      </c>
      <c r="G533" s="155" t="s">
        <v>727</v>
      </c>
      <c r="H533" s="155">
        <f t="shared" si="28"/>
        <v>1.6800000000000002</v>
      </c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205">
        <v>14</v>
      </c>
      <c r="AI533" s="156" t="s">
        <v>727</v>
      </c>
      <c r="AJ533" s="158">
        <f t="shared" si="29"/>
        <v>23.520000000000003</v>
      </c>
    </row>
    <row r="534" spans="1:36" x14ac:dyDescent="0.2">
      <c r="A534" s="7"/>
      <c r="B534" s="8"/>
      <c r="C534" s="193" t="s">
        <v>953</v>
      </c>
      <c r="D534" s="350"/>
      <c r="E534" s="350"/>
      <c r="F534" s="350"/>
      <c r="G534" s="350"/>
      <c r="H534" s="350"/>
      <c r="I534" s="350"/>
      <c r="J534" s="350"/>
      <c r="K534" s="350"/>
      <c r="L534" s="350"/>
      <c r="M534" s="350"/>
      <c r="N534" s="350"/>
      <c r="O534" s="350"/>
      <c r="P534" s="350"/>
      <c r="Q534" s="350"/>
      <c r="R534" s="350"/>
      <c r="S534" s="350"/>
      <c r="T534" s="350"/>
      <c r="U534" s="350"/>
      <c r="V534" s="350"/>
      <c r="W534" s="350"/>
      <c r="X534" s="350"/>
      <c r="Y534" s="350"/>
      <c r="Z534" s="350"/>
      <c r="AA534" s="350"/>
      <c r="AB534" s="350"/>
      <c r="AC534" s="350"/>
      <c r="AD534" s="350"/>
      <c r="AE534" s="350"/>
      <c r="AF534" s="350"/>
      <c r="AG534" s="350"/>
      <c r="AH534" s="350"/>
      <c r="AI534" s="156"/>
      <c r="AJ534" s="158"/>
    </row>
    <row r="535" spans="1:36" x14ac:dyDescent="0.2">
      <c r="A535" s="7"/>
      <c r="B535" s="8"/>
      <c r="C535" s="193" t="s">
        <v>828</v>
      </c>
      <c r="D535" s="155">
        <v>0.8</v>
      </c>
      <c r="E535" s="155" t="s">
        <v>748</v>
      </c>
      <c r="F535" s="155">
        <v>2.1</v>
      </c>
      <c r="G535" s="155" t="s">
        <v>727</v>
      </c>
      <c r="H535" s="155">
        <f t="shared" ref="H535:H536" si="30">D535*F535</f>
        <v>1.6800000000000002</v>
      </c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7">
        <v>2</v>
      </c>
      <c r="AI535" s="156" t="s">
        <v>727</v>
      </c>
      <c r="AJ535" s="158">
        <f t="shared" ref="AJ535:AJ536" si="31">H535*AH535</f>
        <v>3.3600000000000003</v>
      </c>
    </row>
    <row r="536" spans="1:36" x14ac:dyDescent="0.2">
      <c r="A536" s="7"/>
      <c r="B536" s="8"/>
      <c r="C536" s="193" t="s">
        <v>829</v>
      </c>
      <c r="D536" s="155">
        <v>0.8</v>
      </c>
      <c r="E536" s="155" t="s">
        <v>748</v>
      </c>
      <c r="F536" s="155">
        <v>2.1</v>
      </c>
      <c r="G536" s="155" t="s">
        <v>727</v>
      </c>
      <c r="H536" s="155">
        <f t="shared" si="30"/>
        <v>1.6800000000000002</v>
      </c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7">
        <v>2</v>
      </c>
      <c r="AI536" s="156" t="s">
        <v>727</v>
      </c>
      <c r="AJ536" s="158">
        <f t="shared" si="31"/>
        <v>3.3600000000000003</v>
      </c>
    </row>
    <row r="537" spans="1:36" x14ac:dyDescent="0.2">
      <c r="A537" s="7"/>
      <c r="B537" s="8"/>
      <c r="C537" s="193" t="s">
        <v>954</v>
      </c>
      <c r="D537" s="350"/>
      <c r="E537" s="350"/>
      <c r="F537" s="350"/>
      <c r="G537" s="350"/>
      <c r="H537" s="350"/>
      <c r="I537" s="350"/>
      <c r="J537" s="350"/>
      <c r="K537" s="350"/>
      <c r="L537" s="350"/>
      <c r="M537" s="350"/>
      <c r="N537" s="350"/>
      <c r="O537" s="350"/>
      <c r="P537" s="350"/>
      <c r="Q537" s="350"/>
      <c r="R537" s="350"/>
      <c r="S537" s="350"/>
      <c r="T537" s="350"/>
      <c r="U537" s="350"/>
      <c r="V537" s="350"/>
      <c r="W537" s="350"/>
      <c r="X537" s="350"/>
      <c r="Y537" s="350"/>
      <c r="Z537" s="350"/>
      <c r="AA537" s="350"/>
      <c r="AB537" s="350"/>
      <c r="AC537" s="350"/>
      <c r="AD537" s="350"/>
      <c r="AE537" s="350"/>
      <c r="AF537" s="350"/>
      <c r="AG537" s="350"/>
      <c r="AH537" s="350"/>
      <c r="AI537" s="156"/>
      <c r="AJ537" s="158"/>
    </row>
    <row r="538" spans="1:36" x14ac:dyDescent="0.2">
      <c r="A538" s="7"/>
      <c r="B538" s="8"/>
      <c r="C538" s="193" t="s">
        <v>749</v>
      </c>
      <c r="D538" s="155">
        <v>0.6</v>
      </c>
      <c r="E538" s="155" t="s">
        <v>748</v>
      </c>
      <c r="F538" s="155">
        <v>0.6</v>
      </c>
      <c r="G538" s="155" t="s">
        <v>727</v>
      </c>
      <c r="H538" s="155">
        <f t="shared" ref="H538:H539" si="32">D538*F538</f>
        <v>0.36</v>
      </c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7">
        <v>41</v>
      </c>
      <c r="AI538" s="156" t="s">
        <v>727</v>
      </c>
      <c r="AJ538" s="158">
        <f>H538*AH538</f>
        <v>14.76</v>
      </c>
    </row>
    <row r="539" spans="1:36" x14ac:dyDescent="0.2">
      <c r="A539" s="7"/>
      <c r="B539" s="8"/>
      <c r="C539" s="193" t="s">
        <v>750</v>
      </c>
      <c r="D539" s="200">
        <v>0.6</v>
      </c>
      <c r="E539" s="155" t="s">
        <v>748</v>
      </c>
      <c r="F539" s="200">
        <v>0.9</v>
      </c>
      <c r="G539" s="155" t="s">
        <v>727</v>
      </c>
      <c r="H539" s="155">
        <f t="shared" si="32"/>
        <v>0.54</v>
      </c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7">
        <v>7</v>
      </c>
      <c r="AI539" s="156" t="s">
        <v>727</v>
      </c>
      <c r="AJ539" s="158">
        <f t="shared" ref="AJ539:AJ542" si="33">H539*AH539</f>
        <v>3.7800000000000002</v>
      </c>
    </row>
    <row r="540" spans="1:36" x14ac:dyDescent="0.2">
      <c r="A540" s="7"/>
      <c r="B540" s="8"/>
      <c r="C540" s="193" t="s">
        <v>751</v>
      </c>
      <c r="D540" s="155">
        <v>1.2</v>
      </c>
      <c r="E540" s="155" t="s">
        <v>748</v>
      </c>
      <c r="F540" s="155">
        <v>1.2</v>
      </c>
      <c r="G540" s="155" t="s">
        <v>727</v>
      </c>
      <c r="H540" s="155">
        <f>D540*F540</f>
        <v>1.44</v>
      </c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7">
        <v>11</v>
      </c>
      <c r="AI540" s="156" t="s">
        <v>727</v>
      </c>
      <c r="AJ540" s="158">
        <f t="shared" si="33"/>
        <v>15.84</v>
      </c>
    </row>
    <row r="541" spans="1:36" x14ac:dyDescent="0.2">
      <c r="A541" s="7"/>
      <c r="B541" s="8"/>
      <c r="C541" s="193" t="s">
        <v>752</v>
      </c>
      <c r="D541" s="155">
        <v>1.8</v>
      </c>
      <c r="E541" s="155" t="s">
        <v>748</v>
      </c>
      <c r="F541" s="155">
        <v>1.2</v>
      </c>
      <c r="G541" s="155" t="s">
        <v>727</v>
      </c>
      <c r="H541" s="155">
        <f>D541*F541</f>
        <v>2.16</v>
      </c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7">
        <v>2</v>
      </c>
      <c r="AI541" s="156" t="s">
        <v>727</v>
      </c>
      <c r="AJ541" s="158">
        <f t="shared" si="33"/>
        <v>4.32</v>
      </c>
    </row>
    <row r="542" spans="1:36" x14ac:dyDescent="0.2">
      <c r="A542" s="7"/>
      <c r="B542" s="8"/>
      <c r="C542" s="193" t="s">
        <v>753</v>
      </c>
      <c r="D542" s="155">
        <v>1.8</v>
      </c>
      <c r="E542" s="155" t="s">
        <v>748</v>
      </c>
      <c r="F542" s="155">
        <v>1.6</v>
      </c>
      <c r="G542" s="155" t="s">
        <v>727</v>
      </c>
      <c r="H542" s="155">
        <f>D542*F542</f>
        <v>2.8800000000000003</v>
      </c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7">
        <v>6</v>
      </c>
      <c r="AI542" s="156" t="s">
        <v>727</v>
      </c>
      <c r="AJ542" s="158">
        <f t="shared" si="33"/>
        <v>17.28</v>
      </c>
    </row>
    <row r="543" spans="1:36" x14ac:dyDescent="0.2">
      <c r="A543" s="7"/>
      <c r="B543" s="8"/>
      <c r="C543" s="202"/>
      <c r="D543" s="309" t="s">
        <v>955</v>
      </c>
      <c r="E543" s="309"/>
      <c r="F543" s="309"/>
      <c r="G543" s="309"/>
      <c r="H543" s="309"/>
      <c r="I543" s="309"/>
      <c r="J543" s="309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  <c r="AA543" s="309"/>
      <c r="AB543" s="309"/>
      <c r="AC543" s="309"/>
      <c r="AD543" s="309"/>
      <c r="AE543" s="309"/>
      <c r="AF543" s="309"/>
      <c r="AG543" s="309"/>
      <c r="AH543" s="309"/>
      <c r="AI543" s="197" t="s">
        <v>727</v>
      </c>
      <c r="AJ543" s="198">
        <f>SUM(AJ530:AJ542)</f>
        <v>123.18000000000004</v>
      </c>
    </row>
    <row r="544" spans="1:36" x14ac:dyDescent="0.2">
      <c r="A544" s="7"/>
      <c r="B544" s="8"/>
      <c r="C544" s="202"/>
      <c r="D544" s="309" t="s">
        <v>964</v>
      </c>
      <c r="E544" s="309"/>
      <c r="F544" s="309"/>
      <c r="G544" s="309"/>
      <c r="H544" s="309"/>
      <c r="I544" s="309"/>
      <c r="J544" s="309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  <c r="AA544" s="309"/>
      <c r="AB544" s="309"/>
      <c r="AC544" s="309"/>
      <c r="AD544" s="309"/>
      <c r="AE544" s="309"/>
      <c r="AF544" s="309"/>
      <c r="AG544" s="309"/>
      <c r="AH544" s="309"/>
      <c r="AI544" s="156" t="s">
        <v>727</v>
      </c>
      <c r="AJ544" s="198">
        <f>AJ527-AJ543</f>
        <v>889.12199999999984</v>
      </c>
    </row>
    <row r="545" spans="1:37" ht="48" x14ac:dyDescent="0.2">
      <c r="A545" s="7" t="s">
        <v>206</v>
      </c>
      <c r="B545" s="8" t="s">
        <v>207</v>
      </c>
      <c r="C545" s="9" t="s">
        <v>208</v>
      </c>
      <c r="D545" s="345"/>
      <c r="E545" s="345"/>
      <c r="F545" s="345"/>
      <c r="G545" s="345"/>
      <c r="H545" s="345"/>
      <c r="I545" s="345"/>
      <c r="J545" s="345"/>
      <c r="K545" s="345"/>
      <c r="L545" s="345"/>
      <c r="M545" s="345"/>
      <c r="N545" s="345"/>
      <c r="O545" s="345"/>
      <c r="P545" s="345"/>
      <c r="Q545" s="345"/>
      <c r="R545" s="345"/>
      <c r="S545" s="345"/>
      <c r="T545" s="345"/>
      <c r="U545" s="345"/>
      <c r="V545" s="345"/>
      <c r="W545" s="345"/>
      <c r="X545" s="345"/>
      <c r="Y545" s="345"/>
      <c r="Z545" s="345"/>
      <c r="AA545" s="345"/>
      <c r="AB545" s="345"/>
      <c r="AC545" s="345"/>
      <c r="AD545" s="345"/>
      <c r="AE545" s="345"/>
      <c r="AF545" s="345"/>
      <c r="AG545" s="345"/>
      <c r="AH545" s="345"/>
      <c r="AI545" s="345"/>
      <c r="AJ545" s="11" t="s">
        <v>19</v>
      </c>
      <c r="AK545" s="228"/>
    </row>
    <row r="546" spans="1:37" x14ac:dyDescent="0.2">
      <c r="A546" s="7"/>
      <c r="B546" s="8"/>
      <c r="C546" s="210"/>
      <c r="D546" s="331" t="s">
        <v>967</v>
      </c>
      <c r="E546" s="331"/>
      <c r="F546" s="331"/>
      <c r="G546" s="331"/>
      <c r="H546" s="331"/>
      <c r="I546" s="331"/>
      <c r="J546" s="331"/>
      <c r="K546" s="331"/>
      <c r="L546" s="331"/>
      <c r="M546" s="331"/>
      <c r="N546" s="331"/>
      <c r="O546" s="331"/>
      <c r="P546" s="331"/>
      <c r="Q546" s="331"/>
      <c r="R546" s="331"/>
      <c r="S546" s="331"/>
      <c r="T546" s="331"/>
      <c r="U546" s="331"/>
      <c r="V546" s="331"/>
      <c r="W546" s="331"/>
      <c r="X546" s="331"/>
      <c r="Y546" s="331"/>
      <c r="Z546" s="331"/>
      <c r="AA546" s="331"/>
      <c r="AB546" s="331"/>
      <c r="AC546" s="331"/>
      <c r="AD546" s="331"/>
      <c r="AE546" s="331"/>
      <c r="AF546" s="331"/>
      <c r="AG546" s="331"/>
      <c r="AH546" s="331"/>
      <c r="AI546" s="331"/>
      <c r="AJ546" s="331"/>
    </row>
    <row r="547" spans="1:37" x14ac:dyDescent="0.2">
      <c r="A547" s="7"/>
      <c r="B547" s="8"/>
      <c r="C547" s="193" t="s">
        <v>785</v>
      </c>
      <c r="D547" s="155">
        <v>18.100000000000001</v>
      </c>
      <c r="E547" s="155" t="s">
        <v>764</v>
      </c>
      <c r="F547" s="155">
        <v>1.2</v>
      </c>
      <c r="G547" s="155" t="s">
        <v>764</v>
      </c>
      <c r="H547" s="155">
        <v>18.05</v>
      </c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 t="s">
        <v>745</v>
      </c>
      <c r="AF547" s="155">
        <v>2.7</v>
      </c>
      <c r="AG547" s="155" t="s">
        <v>745</v>
      </c>
      <c r="AH547" s="158">
        <v>1</v>
      </c>
      <c r="AI547" s="156" t="s">
        <v>727</v>
      </c>
      <c r="AJ547" s="157">
        <f>(D547+F547+H547+J547+L547)*AF547*AH547</f>
        <v>100.84500000000001</v>
      </c>
    </row>
    <row r="548" spans="1:37" x14ac:dyDescent="0.2">
      <c r="A548" s="7"/>
      <c r="B548" s="8"/>
      <c r="C548" s="193" t="s">
        <v>786</v>
      </c>
      <c r="D548" s="155">
        <v>4.3499999999999996</v>
      </c>
      <c r="E548" s="155" t="s">
        <v>764</v>
      </c>
      <c r="F548" s="155">
        <v>0.63</v>
      </c>
      <c r="G548" s="155" t="s">
        <v>764</v>
      </c>
      <c r="H548" s="155">
        <v>0.63</v>
      </c>
      <c r="I548" s="155" t="s">
        <v>764</v>
      </c>
      <c r="J548" s="155">
        <v>7.95</v>
      </c>
      <c r="K548" s="155" t="s">
        <v>764</v>
      </c>
      <c r="L548" s="155">
        <v>8.73</v>
      </c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 t="s">
        <v>745</v>
      </c>
      <c r="AF548" s="155">
        <v>2.7</v>
      </c>
      <c r="AG548" s="155" t="s">
        <v>745</v>
      </c>
      <c r="AH548" s="158">
        <v>1</v>
      </c>
      <c r="AI548" s="156" t="s">
        <v>727</v>
      </c>
      <c r="AJ548" s="157">
        <f t="shared" ref="AJ548:AJ550" si="34">(D548+F548+H548+J548+L548)*AF548*AH548</f>
        <v>60.183</v>
      </c>
    </row>
    <row r="549" spans="1:37" x14ac:dyDescent="0.2">
      <c r="A549" s="7"/>
      <c r="B549" s="8"/>
      <c r="C549" s="193" t="s">
        <v>787</v>
      </c>
      <c r="D549" s="155">
        <v>2.58</v>
      </c>
      <c r="E549" s="155" t="s">
        <v>764</v>
      </c>
      <c r="F549" s="155">
        <v>1.25</v>
      </c>
      <c r="G549" s="155" t="s">
        <v>764</v>
      </c>
      <c r="H549" s="155">
        <v>2.2200000000000002</v>
      </c>
      <c r="I549" s="155" t="s">
        <v>764</v>
      </c>
      <c r="J549" s="155">
        <v>1.25</v>
      </c>
      <c r="K549" s="155" t="s">
        <v>764</v>
      </c>
      <c r="L549" s="155">
        <v>7.35</v>
      </c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 t="s">
        <v>745</v>
      </c>
      <c r="AF549" s="155">
        <v>2.7</v>
      </c>
      <c r="AG549" s="155" t="s">
        <v>745</v>
      </c>
      <c r="AH549" s="158">
        <v>1</v>
      </c>
      <c r="AI549" s="156" t="s">
        <v>727</v>
      </c>
      <c r="AJ549" s="157">
        <f t="shared" si="34"/>
        <v>39.555000000000007</v>
      </c>
    </row>
    <row r="550" spans="1:37" x14ac:dyDescent="0.2">
      <c r="A550" s="7"/>
      <c r="B550" s="8"/>
      <c r="C550" s="193" t="s">
        <v>788</v>
      </c>
      <c r="D550" s="155">
        <v>6.75</v>
      </c>
      <c r="E550" s="155" t="s">
        <v>764</v>
      </c>
      <c r="F550" s="155">
        <v>3.42</v>
      </c>
      <c r="G550" s="155" t="s">
        <v>764</v>
      </c>
      <c r="H550" s="155">
        <v>6.6</v>
      </c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 t="s">
        <v>745</v>
      </c>
      <c r="AF550" s="155">
        <v>2.7</v>
      </c>
      <c r="AG550" s="155" t="s">
        <v>745</v>
      </c>
      <c r="AH550" s="158">
        <v>1</v>
      </c>
      <c r="AI550" s="156" t="s">
        <v>727</v>
      </c>
      <c r="AJ550" s="157">
        <f t="shared" si="34"/>
        <v>45.279000000000003</v>
      </c>
    </row>
    <row r="551" spans="1:37" x14ac:dyDescent="0.2">
      <c r="A551" s="7"/>
      <c r="B551" s="8"/>
      <c r="C551" s="193" t="s">
        <v>968</v>
      </c>
      <c r="D551" s="155">
        <v>37.35</v>
      </c>
      <c r="E551" s="155" t="s">
        <v>764</v>
      </c>
      <c r="F551" s="155">
        <v>25.68</v>
      </c>
      <c r="G551" s="155" t="s">
        <v>764</v>
      </c>
      <c r="H551" s="155">
        <v>14.65</v>
      </c>
      <c r="I551" s="155" t="s">
        <v>764</v>
      </c>
      <c r="J551" s="155">
        <v>16.77</v>
      </c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 t="s">
        <v>745</v>
      </c>
      <c r="AF551" s="155">
        <v>0.4</v>
      </c>
      <c r="AG551" s="155" t="s">
        <v>745</v>
      </c>
      <c r="AH551" s="158">
        <v>1</v>
      </c>
      <c r="AI551" s="156" t="s">
        <v>727</v>
      </c>
      <c r="AJ551" s="157">
        <f>(D551+F551+H551+J551+L551)*AF551*AH551</f>
        <v>37.78</v>
      </c>
    </row>
    <row r="552" spans="1:37" x14ac:dyDescent="0.2">
      <c r="A552" s="7"/>
      <c r="B552" s="8"/>
      <c r="C552" s="193" t="s">
        <v>973</v>
      </c>
      <c r="D552" s="155">
        <v>1.86</v>
      </c>
      <c r="E552" s="155" t="s">
        <v>764</v>
      </c>
      <c r="F552" s="155">
        <v>3.3</v>
      </c>
      <c r="G552" s="155" t="s">
        <v>764</v>
      </c>
      <c r="H552" s="155">
        <v>3.84</v>
      </c>
      <c r="I552" s="155" t="s">
        <v>764</v>
      </c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 t="s">
        <v>745</v>
      </c>
      <c r="AF552" s="155">
        <v>2</v>
      </c>
      <c r="AG552" s="155" t="s">
        <v>745</v>
      </c>
      <c r="AH552" s="158">
        <v>2</v>
      </c>
      <c r="AI552" s="156" t="s">
        <v>727</v>
      </c>
      <c r="AJ552" s="157">
        <f t="shared" ref="AJ552:AJ558" si="35">(D552+F552+H552+J552+L552)*AF552*AH552</f>
        <v>36</v>
      </c>
    </row>
    <row r="553" spans="1:37" x14ac:dyDescent="0.2">
      <c r="A553" s="7"/>
      <c r="B553" s="8"/>
      <c r="C553" s="193" t="s">
        <v>973</v>
      </c>
      <c r="D553" s="155">
        <v>2.2000000000000002</v>
      </c>
      <c r="E553" s="155" t="s">
        <v>764</v>
      </c>
      <c r="F553" s="155">
        <v>12.43</v>
      </c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 t="s">
        <v>745</v>
      </c>
      <c r="AF553" s="155">
        <v>0.6</v>
      </c>
      <c r="AG553" s="155" t="s">
        <v>745</v>
      </c>
      <c r="AH553" s="158">
        <v>2</v>
      </c>
      <c r="AI553" s="156" t="s">
        <v>727</v>
      </c>
      <c r="AJ553" s="157">
        <f t="shared" si="35"/>
        <v>17.555999999999997</v>
      </c>
    </row>
    <row r="554" spans="1:37" x14ac:dyDescent="0.2">
      <c r="A554" s="7"/>
      <c r="B554" s="8"/>
      <c r="C554" s="193" t="s">
        <v>790</v>
      </c>
      <c r="D554" s="155">
        <v>2.9830000000000001</v>
      </c>
      <c r="E554" s="155" t="s">
        <v>764</v>
      </c>
      <c r="F554" s="155">
        <v>2.9820000000000002</v>
      </c>
      <c r="G554" s="155" t="s">
        <v>764</v>
      </c>
      <c r="H554" s="155">
        <v>2.92</v>
      </c>
      <c r="I554" s="155" t="s">
        <v>764</v>
      </c>
      <c r="J554" s="155">
        <v>2.92</v>
      </c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 t="s">
        <v>745</v>
      </c>
      <c r="AF554" s="155">
        <v>2.5</v>
      </c>
      <c r="AG554" s="155" t="s">
        <v>745</v>
      </c>
      <c r="AH554" s="158">
        <v>1</v>
      </c>
      <c r="AI554" s="156" t="s">
        <v>727</v>
      </c>
      <c r="AJ554" s="157">
        <f>(D554+F554+H554+J554+L554+N554+P554)*AF554*AH554</f>
        <v>29.512499999999999</v>
      </c>
    </row>
    <row r="555" spans="1:37" x14ac:dyDescent="0.2">
      <c r="A555" s="7"/>
      <c r="B555" s="8"/>
      <c r="C555" s="193" t="s">
        <v>969</v>
      </c>
      <c r="D555" s="155">
        <v>1.1000000000000001</v>
      </c>
      <c r="E555" s="155" t="s">
        <v>764</v>
      </c>
      <c r="F555" s="155">
        <v>1.1000000000000001</v>
      </c>
      <c r="G555" s="155" t="s">
        <v>764</v>
      </c>
      <c r="H555" s="155">
        <v>1.1000000000000001</v>
      </c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 t="s">
        <v>745</v>
      </c>
      <c r="AF555" s="155">
        <v>2</v>
      </c>
      <c r="AG555" s="155" t="s">
        <v>745</v>
      </c>
      <c r="AH555" s="158">
        <v>2</v>
      </c>
      <c r="AI555" s="156" t="s">
        <v>727</v>
      </c>
      <c r="AJ555" s="157">
        <f>(D555+F555+H555+J555+L555)*AF555*AH555</f>
        <v>13.200000000000001</v>
      </c>
    </row>
    <row r="556" spans="1:37" x14ac:dyDescent="0.2">
      <c r="A556" s="7"/>
      <c r="B556" s="8"/>
      <c r="C556" s="193" t="s">
        <v>851</v>
      </c>
      <c r="D556" s="155">
        <v>116.3</v>
      </c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 t="s">
        <v>745</v>
      </c>
      <c r="AF556" s="155">
        <v>1.3</v>
      </c>
      <c r="AG556" s="155" t="s">
        <v>745</v>
      </c>
      <c r="AH556" s="158">
        <v>2</v>
      </c>
      <c r="AI556" s="156" t="s">
        <v>727</v>
      </c>
      <c r="AJ556" s="157">
        <f t="shared" si="35"/>
        <v>302.38</v>
      </c>
    </row>
    <row r="557" spans="1:37" x14ac:dyDescent="0.2">
      <c r="A557" s="7"/>
      <c r="B557" s="8"/>
      <c r="C557" s="193" t="s">
        <v>890</v>
      </c>
      <c r="D557" s="155">
        <v>83.75</v>
      </c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 t="s">
        <v>745</v>
      </c>
      <c r="AF557" s="155">
        <v>1.3</v>
      </c>
      <c r="AG557" s="155" t="s">
        <v>745</v>
      </c>
      <c r="AH557" s="158">
        <v>2</v>
      </c>
      <c r="AI557" s="156" t="s">
        <v>727</v>
      </c>
      <c r="AJ557" s="157">
        <f t="shared" si="35"/>
        <v>217.75</v>
      </c>
    </row>
    <row r="558" spans="1:37" x14ac:dyDescent="0.2">
      <c r="A558" s="7"/>
      <c r="B558" s="8"/>
      <c r="C558" s="193" t="s">
        <v>886</v>
      </c>
      <c r="D558" s="155">
        <v>1.5</v>
      </c>
      <c r="E558" s="155" t="s">
        <v>764</v>
      </c>
      <c r="F558" s="155">
        <v>3.2</v>
      </c>
      <c r="G558" s="155" t="s">
        <v>764</v>
      </c>
      <c r="H558" s="155">
        <v>1.5</v>
      </c>
      <c r="I558" s="155" t="s">
        <v>764</v>
      </c>
      <c r="J558" s="155">
        <v>3.2</v>
      </c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 t="s">
        <v>745</v>
      </c>
      <c r="AF558" s="155">
        <v>0.3</v>
      </c>
      <c r="AG558" s="155" t="s">
        <v>745</v>
      </c>
      <c r="AH558" s="158">
        <v>1</v>
      </c>
      <c r="AI558" s="156" t="s">
        <v>727</v>
      </c>
      <c r="AJ558" s="157">
        <f t="shared" si="35"/>
        <v>2.82</v>
      </c>
    </row>
    <row r="559" spans="1:37" x14ac:dyDescent="0.2">
      <c r="A559" s="7"/>
      <c r="B559" s="8"/>
      <c r="C559" s="210"/>
      <c r="D559" s="309" t="s">
        <v>970</v>
      </c>
      <c r="E559" s="309"/>
      <c r="F559" s="309"/>
      <c r="G559" s="309"/>
      <c r="H559" s="309"/>
      <c r="I559" s="309"/>
      <c r="J559" s="309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  <c r="AA559" s="309"/>
      <c r="AB559" s="309"/>
      <c r="AC559" s="309"/>
      <c r="AD559" s="309"/>
      <c r="AE559" s="309"/>
      <c r="AF559" s="309"/>
      <c r="AG559" s="309"/>
      <c r="AH559" s="309"/>
      <c r="AI559" s="156" t="s">
        <v>727</v>
      </c>
      <c r="AJ559" s="175">
        <f>SUM(AJ547:AJ558)</f>
        <v>902.86050000000012</v>
      </c>
    </row>
    <row r="560" spans="1:37" x14ac:dyDescent="0.2">
      <c r="A560" s="7"/>
      <c r="B560" s="8"/>
      <c r="C560" s="196"/>
      <c r="D560" s="331" t="s">
        <v>971</v>
      </c>
      <c r="E560" s="331"/>
      <c r="F560" s="331"/>
      <c r="G560" s="331"/>
      <c r="H560" s="331"/>
      <c r="I560" s="331"/>
      <c r="J560" s="331"/>
      <c r="K560" s="331"/>
      <c r="L560" s="331"/>
      <c r="M560" s="331"/>
      <c r="N560" s="331"/>
      <c r="O560" s="331"/>
      <c r="P560" s="331"/>
      <c r="Q560" s="331"/>
      <c r="R560" s="331"/>
      <c r="S560" s="331"/>
      <c r="T560" s="331"/>
      <c r="U560" s="331"/>
      <c r="V560" s="331"/>
      <c r="W560" s="331"/>
      <c r="X560" s="331"/>
      <c r="Y560" s="331"/>
      <c r="Z560" s="331"/>
      <c r="AA560" s="331"/>
      <c r="AB560" s="331"/>
      <c r="AC560" s="331"/>
      <c r="AD560" s="331"/>
      <c r="AE560" s="331"/>
      <c r="AF560" s="331"/>
      <c r="AG560" s="331"/>
      <c r="AH560" s="331"/>
      <c r="AI560" s="211"/>
      <c r="AJ560" s="157"/>
    </row>
    <row r="561" spans="1:36" x14ac:dyDescent="0.2">
      <c r="A561" s="7"/>
      <c r="B561" s="8"/>
      <c r="C561" s="193" t="s">
        <v>953</v>
      </c>
      <c r="D561" s="350"/>
      <c r="E561" s="350"/>
      <c r="F561" s="350"/>
      <c r="G561" s="350"/>
      <c r="H561" s="350"/>
      <c r="I561" s="350"/>
      <c r="J561" s="350"/>
      <c r="K561" s="350"/>
      <c r="L561" s="350"/>
      <c r="M561" s="350"/>
      <c r="N561" s="350"/>
      <c r="O561" s="350"/>
      <c r="P561" s="350"/>
      <c r="Q561" s="350"/>
      <c r="R561" s="350"/>
      <c r="S561" s="350"/>
      <c r="T561" s="350"/>
      <c r="U561" s="350"/>
      <c r="V561" s="350"/>
      <c r="W561" s="350"/>
      <c r="X561" s="350"/>
      <c r="Y561" s="350"/>
      <c r="Z561" s="350"/>
      <c r="AA561" s="350"/>
      <c r="AB561" s="350"/>
      <c r="AC561" s="350"/>
      <c r="AD561" s="350"/>
      <c r="AE561" s="350"/>
      <c r="AF561" s="350"/>
      <c r="AG561" s="350"/>
      <c r="AH561" s="350"/>
      <c r="AI561" s="156"/>
      <c r="AJ561" s="158"/>
    </row>
    <row r="562" spans="1:36" x14ac:dyDescent="0.2">
      <c r="A562" s="7"/>
      <c r="B562" s="8"/>
      <c r="C562" s="193" t="s">
        <v>828</v>
      </c>
      <c r="D562" s="155">
        <v>0.8</v>
      </c>
      <c r="E562" s="155" t="s">
        <v>748</v>
      </c>
      <c r="F562" s="155">
        <v>2.1</v>
      </c>
      <c r="G562" s="155" t="s">
        <v>727</v>
      </c>
      <c r="H562" s="155">
        <f t="shared" ref="H562:H563" si="36">D562*F562</f>
        <v>1.6800000000000002</v>
      </c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7">
        <v>2</v>
      </c>
      <c r="AI562" s="156" t="s">
        <v>727</v>
      </c>
      <c r="AJ562" s="158">
        <f t="shared" ref="AJ562:AJ563" si="37">H562*AH562</f>
        <v>3.3600000000000003</v>
      </c>
    </row>
    <row r="563" spans="1:36" x14ac:dyDescent="0.2">
      <c r="A563" s="7"/>
      <c r="B563" s="8"/>
      <c r="C563" s="193" t="s">
        <v>829</v>
      </c>
      <c r="D563" s="155">
        <v>1.66</v>
      </c>
      <c r="E563" s="155" t="s">
        <v>748</v>
      </c>
      <c r="F563" s="155">
        <v>2</v>
      </c>
      <c r="G563" s="155" t="s">
        <v>727</v>
      </c>
      <c r="H563" s="155">
        <f t="shared" si="36"/>
        <v>3.32</v>
      </c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7">
        <v>2</v>
      </c>
      <c r="AI563" s="156" t="s">
        <v>727</v>
      </c>
      <c r="AJ563" s="158">
        <f t="shared" si="37"/>
        <v>6.64</v>
      </c>
    </row>
    <row r="564" spans="1:36" x14ac:dyDescent="0.2">
      <c r="A564" s="7"/>
      <c r="B564" s="8"/>
      <c r="C564" s="193" t="s">
        <v>954</v>
      </c>
      <c r="D564" s="350"/>
      <c r="E564" s="350"/>
      <c r="F564" s="350"/>
      <c r="G564" s="350"/>
      <c r="H564" s="350"/>
      <c r="I564" s="350"/>
      <c r="J564" s="350"/>
      <c r="K564" s="350"/>
      <c r="L564" s="350"/>
      <c r="M564" s="350"/>
      <c r="N564" s="350"/>
      <c r="O564" s="350"/>
      <c r="P564" s="350"/>
      <c r="Q564" s="350"/>
      <c r="R564" s="350"/>
      <c r="S564" s="350"/>
      <c r="T564" s="350"/>
      <c r="U564" s="350"/>
      <c r="V564" s="350"/>
      <c r="W564" s="350"/>
      <c r="X564" s="350"/>
      <c r="Y564" s="350"/>
      <c r="Z564" s="350"/>
      <c r="AA564" s="350"/>
      <c r="AB564" s="350"/>
      <c r="AC564" s="350"/>
      <c r="AD564" s="350"/>
      <c r="AE564" s="350"/>
      <c r="AF564" s="350"/>
      <c r="AG564" s="350"/>
      <c r="AH564" s="350"/>
      <c r="AI564" s="156"/>
      <c r="AJ564" s="158"/>
    </row>
    <row r="565" spans="1:36" x14ac:dyDescent="0.2">
      <c r="A565" s="7"/>
      <c r="B565" s="8"/>
      <c r="C565" s="193" t="s">
        <v>749</v>
      </c>
      <c r="D565" s="155">
        <v>0.6</v>
      </c>
      <c r="E565" s="155" t="s">
        <v>748</v>
      </c>
      <c r="F565" s="155">
        <v>0.6</v>
      </c>
      <c r="G565" s="155" t="s">
        <v>727</v>
      </c>
      <c r="H565" s="155">
        <f t="shared" ref="H565:H566" si="38">D565*F565</f>
        <v>0.36</v>
      </c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7">
        <v>13</v>
      </c>
      <c r="AI565" s="156" t="s">
        <v>727</v>
      </c>
      <c r="AJ565" s="158">
        <f>H565*AH565</f>
        <v>4.68</v>
      </c>
    </row>
    <row r="566" spans="1:36" x14ac:dyDescent="0.2">
      <c r="A566" s="7"/>
      <c r="B566" s="8"/>
      <c r="C566" s="193" t="s">
        <v>750</v>
      </c>
      <c r="D566" s="200">
        <v>0.6</v>
      </c>
      <c r="E566" s="155" t="s">
        <v>748</v>
      </c>
      <c r="F566" s="200">
        <v>0.9</v>
      </c>
      <c r="G566" s="155" t="s">
        <v>727</v>
      </c>
      <c r="H566" s="155">
        <f t="shared" si="38"/>
        <v>0.54</v>
      </c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7">
        <v>1</v>
      </c>
      <c r="AI566" s="156" t="s">
        <v>727</v>
      </c>
      <c r="AJ566" s="158">
        <f t="shared" ref="AJ566:AJ569" si="39">H566*AH566</f>
        <v>0.54</v>
      </c>
    </row>
    <row r="567" spans="1:36" x14ac:dyDescent="0.2">
      <c r="A567" s="7"/>
      <c r="B567" s="8"/>
      <c r="C567" s="193" t="s">
        <v>751</v>
      </c>
      <c r="D567" s="155">
        <v>1.2</v>
      </c>
      <c r="E567" s="155" t="s">
        <v>748</v>
      </c>
      <c r="F567" s="155">
        <v>1.2</v>
      </c>
      <c r="G567" s="155" t="s">
        <v>727</v>
      </c>
      <c r="H567" s="155">
        <f>D567*F567</f>
        <v>1.44</v>
      </c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7">
        <v>3</v>
      </c>
      <c r="AI567" s="156" t="s">
        <v>727</v>
      </c>
      <c r="AJ567" s="158">
        <f t="shared" si="39"/>
        <v>4.32</v>
      </c>
    </row>
    <row r="568" spans="1:36" x14ac:dyDescent="0.2">
      <c r="A568" s="7"/>
      <c r="B568" s="8"/>
      <c r="C568" s="193" t="s">
        <v>752</v>
      </c>
      <c r="D568" s="155">
        <v>1.8</v>
      </c>
      <c r="E568" s="155" t="s">
        <v>748</v>
      </c>
      <c r="F568" s="155">
        <v>1.2</v>
      </c>
      <c r="G568" s="155" t="s">
        <v>727</v>
      </c>
      <c r="H568" s="155">
        <f>D568*F568</f>
        <v>2.16</v>
      </c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7">
        <v>0</v>
      </c>
      <c r="AI568" s="156" t="s">
        <v>727</v>
      </c>
      <c r="AJ568" s="158">
        <f t="shared" si="39"/>
        <v>0</v>
      </c>
    </row>
    <row r="569" spans="1:36" x14ac:dyDescent="0.2">
      <c r="A569" s="7"/>
      <c r="B569" s="8"/>
      <c r="C569" s="193" t="s">
        <v>753</v>
      </c>
      <c r="D569" s="155">
        <v>1.8</v>
      </c>
      <c r="E569" s="155" t="s">
        <v>748</v>
      </c>
      <c r="F569" s="155">
        <v>1.6</v>
      </c>
      <c r="G569" s="155" t="s">
        <v>727</v>
      </c>
      <c r="H569" s="155">
        <f>D569*F569</f>
        <v>2.8800000000000003</v>
      </c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7">
        <v>6</v>
      </c>
      <c r="AI569" s="156" t="s">
        <v>727</v>
      </c>
      <c r="AJ569" s="158">
        <f t="shared" si="39"/>
        <v>17.28</v>
      </c>
    </row>
    <row r="570" spans="1:36" x14ac:dyDescent="0.2">
      <c r="A570" s="7"/>
      <c r="B570" s="8"/>
      <c r="C570" s="202"/>
      <c r="D570" s="309" t="s">
        <v>955</v>
      </c>
      <c r="E570" s="309"/>
      <c r="F570" s="309"/>
      <c r="G570" s="309"/>
      <c r="H570" s="309"/>
      <c r="I570" s="309"/>
      <c r="J570" s="309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  <c r="AA570" s="309"/>
      <c r="AB570" s="309"/>
      <c r="AC570" s="309"/>
      <c r="AD570" s="309"/>
      <c r="AE570" s="309"/>
      <c r="AF570" s="309"/>
      <c r="AG570" s="309"/>
      <c r="AH570" s="309"/>
      <c r="AI570" s="197" t="s">
        <v>727</v>
      </c>
      <c r="AJ570" s="198">
        <f>SUM(AJ562:AJ569)</f>
        <v>36.82</v>
      </c>
    </row>
    <row r="571" spans="1:36" x14ac:dyDescent="0.2">
      <c r="A571" s="7"/>
      <c r="B571" s="8"/>
      <c r="C571" s="202"/>
      <c r="D571" s="309" t="s">
        <v>972</v>
      </c>
      <c r="E571" s="309"/>
      <c r="F571" s="309"/>
      <c r="G571" s="309"/>
      <c r="H571" s="309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  <c r="AA571" s="309"/>
      <c r="AB571" s="309"/>
      <c r="AC571" s="309"/>
      <c r="AD571" s="309"/>
      <c r="AE571" s="309"/>
      <c r="AF571" s="309"/>
      <c r="AG571" s="309"/>
      <c r="AH571" s="309"/>
      <c r="AI571" s="156" t="s">
        <v>727</v>
      </c>
      <c r="AJ571" s="198">
        <f>AJ559-AJ570</f>
        <v>866.04050000000007</v>
      </c>
    </row>
    <row r="572" spans="1:36" ht="36" x14ac:dyDescent="0.2">
      <c r="A572" s="7" t="s">
        <v>209</v>
      </c>
      <c r="B572" s="8" t="s">
        <v>210</v>
      </c>
      <c r="C572" s="7" t="s">
        <v>211</v>
      </c>
      <c r="D572" s="332" t="s">
        <v>966</v>
      </c>
      <c r="E572" s="333"/>
      <c r="F572" s="333"/>
      <c r="G572" s="333"/>
      <c r="H572" s="333"/>
      <c r="I572" s="333"/>
      <c r="J572" s="333"/>
      <c r="K572" s="333"/>
      <c r="L572" s="333"/>
      <c r="M572" s="333"/>
      <c r="N572" s="333"/>
      <c r="O572" s="333"/>
      <c r="P572" s="333"/>
      <c r="Q572" s="333"/>
      <c r="R572" s="333"/>
      <c r="S572" s="333"/>
      <c r="T572" s="333"/>
      <c r="U572" s="333"/>
      <c r="V572" s="333"/>
      <c r="W572" s="333"/>
      <c r="X572" s="333"/>
      <c r="Y572" s="333"/>
      <c r="Z572" s="333"/>
      <c r="AA572" s="333"/>
      <c r="AB572" s="333"/>
      <c r="AC572" s="333"/>
      <c r="AD572" s="333"/>
      <c r="AE572" s="333"/>
      <c r="AF572" s="333"/>
      <c r="AG572" s="333"/>
      <c r="AH572" s="333"/>
      <c r="AI572" s="286"/>
      <c r="AJ572" s="11" t="s">
        <v>19</v>
      </c>
    </row>
    <row r="573" spans="1:36" ht="60" x14ac:dyDescent="0.2">
      <c r="A573" s="7" t="s">
        <v>212</v>
      </c>
      <c r="B573" s="8" t="s">
        <v>213</v>
      </c>
      <c r="C573" s="7" t="s">
        <v>214</v>
      </c>
      <c r="D573" s="297"/>
      <c r="E573" s="298"/>
      <c r="F573" s="298"/>
      <c r="G573" s="298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  <c r="R573" s="298"/>
      <c r="S573" s="298"/>
      <c r="T573" s="298"/>
      <c r="U573" s="298"/>
      <c r="V573" s="298"/>
      <c r="W573" s="298"/>
      <c r="X573" s="298"/>
      <c r="Y573" s="298"/>
      <c r="Z573" s="298"/>
      <c r="AA573" s="298"/>
      <c r="AB573" s="298"/>
      <c r="AC573" s="298"/>
      <c r="AD573" s="298"/>
      <c r="AE573" s="298"/>
      <c r="AF573" s="298"/>
      <c r="AG573" s="298"/>
      <c r="AH573" s="298"/>
      <c r="AI573" s="370"/>
      <c r="AJ573" s="11" t="s">
        <v>19</v>
      </c>
    </row>
    <row r="574" spans="1:36" ht="12.75" customHeight="1" x14ac:dyDescent="0.2">
      <c r="A574" s="7"/>
      <c r="B574" s="8"/>
      <c r="C574" s="210"/>
      <c r="D574" s="331" t="s">
        <v>974</v>
      </c>
      <c r="E574" s="331"/>
      <c r="F574" s="331"/>
      <c r="G574" s="331"/>
      <c r="H574" s="331"/>
      <c r="I574" s="331"/>
      <c r="J574" s="331"/>
      <c r="K574" s="331"/>
      <c r="L574" s="331"/>
      <c r="M574" s="331"/>
      <c r="N574" s="331"/>
      <c r="O574" s="331"/>
      <c r="P574" s="331"/>
      <c r="Q574" s="331"/>
      <c r="R574" s="331"/>
      <c r="S574" s="331"/>
      <c r="T574" s="331"/>
      <c r="U574" s="331"/>
      <c r="V574" s="331"/>
      <c r="W574" s="331"/>
      <c r="X574" s="331"/>
      <c r="Y574" s="331"/>
      <c r="Z574" s="331"/>
      <c r="AA574" s="331"/>
      <c r="AB574" s="331"/>
      <c r="AC574" s="331"/>
      <c r="AD574" s="331"/>
      <c r="AE574" s="331"/>
      <c r="AF574" s="331"/>
      <c r="AG574" s="331"/>
      <c r="AH574" s="331"/>
      <c r="AI574" s="331"/>
      <c r="AJ574" s="331"/>
    </row>
    <row r="575" spans="1:36" x14ac:dyDescent="0.2">
      <c r="A575" s="7"/>
      <c r="B575" s="8"/>
      <c r="C575" s="193" t="s">
        <v>763</v>
      </c>
      <c r="D575" s="155">
        <v>3</v>
      </c>
      <c r="E575" s="155" t="s">
        <v>764</v>
      </c>
      <c r="F575" s="155">
        <v>3</v>
      </c>
      <c r="G575" s="155" t="s">
        <v>764</v>
      </c>
      <c r="H575" s="155">
        <v>2.23</v>
      </c>
      <c r="I575" s="155" t="s">
        <v>764</v>
      </c>
      <c r="J575" s="155">
        <v>2.23</v>
      </c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 t="s">
        <v>745</v>
      </c>
      <c r="AF575" s="155">
        <v>1.9</v>
      </c>
      <c r="AG575" s="155" t="s">
        <v>745</v>
      </c>
      <c r="AH575" s="158">
        <v>1</v>
      </c>
      <c r="AI575" s="156" t="s">
        <v>727</v>
      </c>
      <c r="AJ575" s="157">
        <f>(D575+F575+H575+J575+L575+N575+P575)*AF575*AH575</f>
        <v>19.874000000000002</v>
      </c>
    </row>
    <row r="576" spans="1:36" x14ac:dyDescent="0.2">
      <c r="A576" s="7"/>
      <c r="B576" s="8"/>
      <c r="C576" s="193" t="s">
        <v>765</v>
      </c>
      <c r="D576" s="155">
        <v>2.8</v>
      </c>
      <c r="E576" s="155" t="s">
        <v>764</v>
      </c>
      <c r="F576" s="155">
        <v>2.8</v>
      </c>
      <c r="G576" s="155" t="s">
        <v>764</v>
      </c>
      <c r="H576" s="155">
        <v>2.23</v>
      </c>
      <c r="I576" s="155" t="s">
        <v>764</v>
      </c>
      <c r="J576" s="155">
        <v>2.23</v>
      </c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 t="s">
        <v>745</v>
      </c>
      <c r="AF576" s="155">
        <v>1.9</v>
      </c>
      <c r="AG576" s="155" t="s">
        <v>745</v>
      </c>
      <c r="AH576" s="158">
        <v>1</v>
      </c>
      <c r="AI576" s="156" t="s">
        <v>727</v>
      </c>
      <c r="AJ576" s="157">
        <f t="shared" ref="AJ576:AJ604" si="40">(D576+F576+H576+J576+L576+N576+P576)*AF576*AH576</f>
        <v>19.114000000000001</v>
      </c>
    </row>
    <row r="577" spans="1:36" x14ac:dyDescent="0.2">
      <c r="A577" s="7"/>
      <c r="B577" s="8"/>
      <c r="C577" s="193" t="s">
        <v>766</v>
      </c>
      <c r="D577" s="155">
        <v>3.9</v>
      </c>
      <c r="E577" s="155" t="s">
        <v>764</v>
      </c>
      <c r="F577" s="155">
        <v>3.9</v>
      </c>
      <c r="G577" s="155" t="s">
        <v>764</v>
      </c>
      <c r="H577" s="155">
        <v>2.0699999999999998</v>
      </c>
      <c r="I577" s="155" t="s">
        <v>764</v>
      </c>
      <c r="J577" s="155">
        <v>2.0699999999999998</v>
      </c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 t="s">
        <v>745</v>
      </c>
      <c r="AF577" s="155">
        <v>1.3</v>
      </c>
      <c r="AG577" s="155" t="s">
        <v>745</v>
      </c>
      <c r="AH577" s="158">
        <v>1</v>
      </c>
      <c r="AI577" s="156" t="s">
        <v>727</v>
      </c>
      <c r="AJ577" s="157">
        <f t="shared" si="40"/>
        <v>15.522</v>
      </c>
    </row>
    <row r="578" spans="1:36" x14ac:dyDescent="0.2">
      <c r="A578" s="7"/>
      <c r="B578" s="8"/>
      <c r="C578" s="193" t="s">
        <v>813</v>
      </c>
      <c r="D578" s="155">
        <v>1.02</v>
      </c>
      <c r="E578" s="155" t="s">
        <v>764</v>
      </c>
      <c r="F578" s="155">
        <v>1.02</v>
      </c>
      <c r="G578" s="155" t="s">
        <v>764</v>
      </c>
      <c r="H578" s="155">
        <v>1.85</v>
      </c>
      <c r="I578" s="155" t="s">
        <v>764</v>
      </c>
      <c r="J578" s="155">
        <v>1.85</v>
      </c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 t="s">
        <v>745</v>
      </c>
      <c r="AF578" s="155">
        <v>2.7</v>
      </c>
      <c r="AG578" s="155" t="s">
        <v>745</v>
      </c>
      <c r="AH578" s="158">
        <v>1</v>
      </c>
      <c r="AI578" s="156" t="s">
        <v>727</v>
      </c>
      <c r="AJ578" s="157">
        <f t="shared" si="40"/>
        <v>15.498000000000001</v>
      </c>
    </row>
    <row r="579" spans="1:36" x14ac:dyDescent="0.2">
      <c r="A579" s="7"/>
      <c r="B579" s="8"/>
      <c r="C579" s="193" t="s">
        <v>814</v>
      </c>
      <c r="D579" s="155">
        <v>2.67</v>
      </c>
      <c r="E579" s="155" t="s">
        <v>764</v>
      </c>
      <c r="F579" s="155">
        <v>2.85</v>
      </c>
      <c r="G579" s="155" t="s">
        <v>764</v>
      </c>
      <c r="H579" s="155">
        <v>1.5</v>
      </c>
      <c r="I579" s="155" t="s">
        <v>764</v>
      </c>
      <c r="J579" s="155">
        <v>2</v>
      </c>
      <c r="K579" s="155" t="s">
        <v>764</v>
      </c>
      <c r="L579" s="155">
        <v>1.17</v>
      </c>
      <c r="M579" s="155" t="s">
        <v>764</v>
      </c>
      <c r="N579" s="155">
        <v>0.85</v>
      </c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 t="s">
        <v>745</v>
      </c>
      <c r="AF579" s="155">
        <v>2.7</v>
      </c>
      <c r="AG579" s="155" t="s">
        <v>745</v>
      </c>
      <c r="AH579" s="158">
        <v>1</v>
      </c>
      <c r="AI579" s="156" t="s">
        <v>727</v>
      </c>
      <c r="AJ579" s="157">
        <f t="shared" si="40"/>
        <v>29.808</v>
      </c>
    </row>
    <row r="580" spans="1:36" x14ac:dyDescent="0.2">
      <c r="A580" s="7"/>
      <c r="B580" s="8"/>
      <c r="C580" s="193" t="s">
        <v>800</v>
      </c>
      <c r="D580" s="155">
        <v>2.25</v>
      </c>
      <c r="E580" s="155" t="s">
        <v>764</v>
      </c>
      <c r="F580" s="155">
        <v>2.25</v>
      </c>
      <c r="G580" s="155" t="s">
        <v>764</v>
      </c>
      <c r="H580" s="155">
        <v>2.85</v>
      </c>
      <c r="I580" s="155" t="s">
        <v>764</v>
      </c>
      <c r="J580" s="155">
        <v>2.85</v>
      </c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 t="s">
        <v>745</v>
      </c>
      <c r="AF580" s="155">
        <v>2.7</v>
      </c>
      <c r="AG580" s="155" t="s">
        <v>745</v>
      </c>
      <c r="AH580" s="158">
        <v>1</v>
      </c>
      <c r="AI580" s="156" t="s">
        <v>727</v>
      </c>
      <c r="AJ580" s="157">
        <f t="shared" si="40"/>
        <v>27.54</v>
      </c>
    </row>
    <row r="581" spans="1:36" x14ac:dyDescent="0.2">
      <c r="A581" s="7"/>
      <c r="B581" s="8"/>
      <c r="C581" s="193" t="s">
        <v>801</v>
      </c>
      <c r="D581" s="155">
        <v>1.05</v>
      </c>
      <c r="E581" s="155" t="s">
        <v>764</v>
      </c>
      <c r="F581" s="155">
        <v>1.05</v>
      </c>
      <c r="G581" s="155" t="s">
        <v>764</v>
      </c>
      <c r="H581" s="155">
        <v>2.1</v>
      </c>
      <c r="I581" s="155" t="s">
        <v>764</v>
      </c>
      <c r="J581" s="155">
        <v>2.1</v>
      </c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 t="s">
        <v>745</v>
      </c>
      <c r="AF581" s="155">
        <v>2.7</v>
      </c>
      <c r="AG581" s="155" t="s">
        <v>745</v>
      </c>
      <c r="AH581" s="158">
        <v>1</v>
      </c>
      <c r="AI581" s="156" t="s">
        <v>727</v>
      </c>
      <c r="AJ581" s="157">
        <f t="shared" si="40"/>
        <v>17.010000000000002</v>
      </c>
    </row>
    <row r="582" spans="1:36" x14ac:dyDescent="0.2">
      <c r="A582" s="7"/>
      <c r="B582" s="8"/>
      <c r="C582" s="193" t="s">
        <v>815</v>
      </c>
      <c r="D582" s="155">
        <v>1.8</v>
      </c>
      <c r="E582" s="155" t="s">
        <v>764</v>
      </c>
      <c r="F582" s="155">
        <v>1.8</v>
      </c>
      <c r="G582" s="155" t="s">
        <v>764</v>
      </c>
      <c r="H582" s="155">
        <v>2.85</v>
      </c>
      <c r="I582" s="155" t="s">
        <v>764</v>
      </c>
      <c r="J582" s="155">
        <v>2.85</v>
      </c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 t="s">
        <v>745</v>
      </c>
      <c r="AF582" s="155">
        <v>2.7</v>
      </c>
      <c r="AG582" s="155" t="s">
        <v>745</v>
      </c>
      <c r="AH582" s="158">
        <v>1</v>
      </c>
      <c r="AI582" s="156" t="s">
        <v>727</v>
      </c>
      <c r="AJ582" s="157">
        <f t="shared" si="40"/>
        <v>25.110000000000003</v>
      </c>
    </row>
    <row r="583" spans="1:36" x14ac:dyDescent="0.2">
      <c r="A583" s="7"/>
      <c r="B583" s="8"/>
      <c r="C583" s="193" t="s">
        <v>803</v>
      </c>
      <c r="D583" s="155">
        <v>2.7</v>
      </c>
      <c r="E583" s="155" t="s">
        <v>764</v>
      </c>
      <c r="F583" s="155">
        <v>7.05</v>
      </c>
      <c r="G583" s="155" t="s">
        <v>764</v>
      </c>
      <c r="H583" s="155">
        <v>4.6500000000000004</v>
      </c>
      <c r="I583" s="155" t="s">
        <v>764</v>
      </c>
      <c r="J583" s="155">
        <v>3.86</v>
      </c>
      <c r="K583" s="155" t="s">
        <v>764</v>
      </c>
      <c r="L583" s="155">
        <v>1.5</v>
      </c>
      <c r="M583" s="155" t="s">
        <v>764</v>
      </c>
      <c r="N583" s="155">
        <v>0.4</v>
      </c>
      <c r="O583" s="155" t="s">
        <v>764</v>
      </c>
      <c r="P583" s="155">
        <v>3.4</v>
      </c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 t="s">
        <v>745</v>
      </c>
      <c r="AF583" s="155">
        <v>2.7</v>
      </c>
      <c r="AG583" s="155" t="s">
        <v>745</v>
      </c>
      <c r="AH583" s="158">
        <v>1</v>
      </c>
      <c r="AI583" s="156" t="s">
        <v>727</v>
      </c>
      <c r="AJ583" s="157">
        <f t="shared" si="40"/>
        <v>63.612000000000002</v>
      </c>
    </row>
    <row r="584" spans="1:36" x14ac:dyDescent="0.2">
      <c r="A584" s="7"/>
      <c r="B584" s="8"/>
      <c r="C584" s="193" t="s">
        <v>804</v>
      </c>
      <c r="D584" s="155">
        <v>1.57</v>
      </c>
      <c r="E584" s="155" t="s">
        <v>764</v>
      </c>
      <c r="F584" s="155">
        <v>1.57</v>
      </c>
      <c r="G584" s="155" t="s">
        <v>764</v>
      </c>
      <c r="H584" s="155">
        <v>2.85</v>
      </c>
      <c r="I584" s="155" t="s">
        <v>764</v>
      </c>
      <c r="J584" s="155">
        <v>2.85</v>
      </c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 t="s">
        <v>745</v>
      </c>
      <c r="AF584" s="155">
        <v>2.7</v>
      </c>
      <c r="AG584" s="155" t="s">
        <v>745</v>
      </c>
      <c r="AH584" s="158">
        <v>1</v>
      </c>
      <c r="AI584" s="156" t="s">
        <v>727</v>
      </c>
      <c r="AJ584" s="157">
        <f t="shared" si="40"/>
        <v>23.868000000000002</v>
      </c>
    </row>
    <row r="585" spans="1:36" x14ac:dyDescent="0.2">
      <c r="A585" s="7"/>
      <c r="B585" s="8"/>
      <c r="C585" s="193" t="s">
        <v>767</v>
      </c>
      <c r="D585" s="155">
        <v>6.75</v>
      </c>
      <c r="E585" s="155" t="s">
        <v>764</v>
      </c>
      <c r="F585" s="155">
        <v>6.75</v>
      </c>
      <c r="G585" s="155"/>
      <c r="H585" s="155"/>
      <c r="I585" s="155"/>
      <c r="J585" s="155"/>
      <c r="K585" s="155"/>
      <c r="L585" s="155"/>
      <c r="M585" s="155"/>
      <c r="N585" s="177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 t="s">
        <v>745</v>
      </c>
      <c r="AF585" s="155">
        <v>0.5</v>
      </c>
      <c r="AG585" s="155" t="s">
        <v>745</v>
      </c>
      <c r="AH585" s="158">
        <v>1</v>
      </c>
      <c r="AI585" s="156" t="s">
        <v>727</v>
      </c>
      <c r="AJ585" s="157">
        <f t="shared" si="40"/>
        <v>6.75</v>
      </c>
    </row>
    <row r="586" spans="1:36" x14ac:dyDescent="0.2">
      <c r="A586" s="7"/>
      <c r="B586" s="8"/>
      <c r="C586" s="193" t="s">
        <v>768</v>
      </c>
      <c r="D586" s="155">
        <v>2.25</v>
      </c>
      <c r="E586" s="155" t="s">
        <v>764</v>
      </c>
      <c r="F586" s="155">
        <v>2.25</v>
      </c>
      <c r="G586" s="155" t="s">
        <v>764</v>
      </c>
      <c r="H586" s="155">
        <v>1.95</v>
      </c>
      <c r="I586" s="155" t="s">
        <v>764</v>
      </c>
      <c r="J586" s="155">
        <v>1.95</v>
      </c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 t="s">
        <v>745</v>
      </c>
      <c r="AF586" s="155">
        <v>1.9</v>
      </c>
      <c r="AG586" s="155" t="s">
        <v>745</v>
      </c>
      <c r="AH586" s="158">
        <v>1</v>
      </c>
      <c r="AI586" s="156" t="s">
        <v>727</v>
      </c>
      <c r="AJ586" s="157">
        <f t="shared" si="40"/>
        <v>15.959999999999999</v>
      </c>
    </row>
    <row r="587" spans="1:36" x14ac:dyDescent="0.2">
      <c r="A587" s="7"/>
      <c r="B587" s="8"/>
      <c r="C587" s="193" t="s">
        <v>769</v>
      </c>
      <c r="D587" s="155">
        <v>2.25</v>
      </c>
      <c r="E587" s="155" t="s">
        <v>764</v>
      </c>
      <c r="F587" s="155">
        <v>2.25</v>
      </c>
      <c r="G587" s="155" t="s">
        <v>764</v>
      </c>
      <c r="H587" s="155">
        <v>1.95</v>
      </c>
      <c r="I587" s="155" t="s">
        <v>764</v>
      </c>
      <c r="J587" s="155">
        <v>1.95</v>
      </c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 t="s">
        <v>745</v>
      </c>
      <c r="AF587" s="155">
        <v>1.9</v>
      </c>
      <c r="AG587" s="155" t="s">
        <v>745</v>
      </c>
      <c r="AH587" s="158">
        <v>1</v>
      </c>
      <c r="AI587" s="156" t="s">
        <v>727</v>
      </c>
      <c r="AJ587" s="157">
        <f t="shared" si="40"/>
        <v>15.959999999999999</v>
      </c>
    </row>
    <row r="588" spans="1:36" x14ac:dyDescent="0.2">
      <c r="A588" s="7"/>
      <c r="B588" s="8"/>
      <c r="C588" s="193" t="s">
        <v>770</v>
      </c>
      <c r="D588" s="155">
        <v>4.05</v>
      </c>
      <c r="E588" s="155" t="s">
        <v>764</v>
      </c>
      <c r="F588" s="155">
        <v>4.05</v>
      </c>
      <c r="G588" s="155" t="s">
        <v>764</v>
      </c>
      <c r="H588" s="155">
        <v>4.05</v>
      </c>
      <c r="I588" s="155" t="s">
        <v>764</v>
      </c>
      <c r="J588" s="155">
        <v>4.05</v>
      </c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 t="s">
        <v>745</v>
      </c>
      <c r="AF588" s="155">
        <v>1.3</v>
      </c>
      <c r="AG588" s="155" t="s">
        <v>745</v>
      </c>
      <c r="AH588" s="158">
        <v>1</v>
      </c>
      <c r="AI588" s="156" t="s">
        <v>727</v>
      </c>
      <c r="AJ588" s="157">
        <f t="shared" si="40"/>
        <v>21.06</v>
      </c>
    </row>
    <row r="589" spans="1:36" x14ac:dyDescent="0.2">
      <c r="A589" s="7"/>
      <c r="B589" s="8"/>
      <c r="C589" s="193" t="s">
        <v>771</v>
      </c>
      <c r="D589" s="155">
        <v>5.25</v>
      </c>
      <c r="E589" s="155" t="s">
        <v>764</v>
      </c>
      <c r="F589" s="155">
        <v>10.75</v>
      </c>
      <c r="G589" s="155" t="s">
        <v>764</v>
      </c>
      <c r="H589" s="155">
        <v>2.5499999999999998</v>
      </c>
      <c r="I589" s="155" t="s">
        <v>764</v>
      </c>
      <c r="J589" s="155">
        <v>6.1</v>
      </c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 t="s">
        <v>745</v>
      </c>
      <c r="AF589" s="155">
        <v>0.5</v>
      </c>
      <c r="AG589" s="155" t="s">
        <v>745</v>
      </c>
      <c r="AH589" s="158">
        <v>1</v>
      </c>
      <c r="AI589" s="156" t="s">
        <v>727</v>
      </c>
      <c r="AJ589" s="157">
        <f t="shared" si="40"/>
        <v>12.324999999999999</v>
      </c>
    </row>
    <row r="590" spans="1:36" x14ac:dyDescent="0.2">
      <c r="A590" s="7"/>
      <c r="B590" s="8"/>
      <c r="C590" s="193" t="s">
        <v>772</v>
      </c>
      <c r="D590" s="155">
        <v>4.6500000000000004</v>
      </c>
      <c r="E590" s="155" t="s">
        <v>764</v>
      </c>
      <c r="F590" s="155">
        <v>4.6500000000000004</v>
      </c>
      <c r="G590" s="155" t="s">
        <v>764</v>
      </c>
      <c r="H590" s="155">
        <v>3.45</v>
      </c>
      <c r="I590" s="155" t="s">
        <v>764</v>
      </c>
      <c r="J590" s="155">
        <v>3.45</v>
      </c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 t="s">
        <v>745</v>
      </c>
      <c r="AF590" s="155">
        <v>1.3</v>
      </c>
      <c r="AG590" s="155" t="s">
        <v>745</v>
      </c>
      <c r="AH590" s="158">
        <v>1</v>
      </c>
      <c r="AI590" s="156" t="s">
        <v>727</v>
      </c>
      <c r="AJ590" s="157">
        <f t="shared" si="40"/>
        <v>21.06</v>
      </c>
    </row>
    <row r="591" spans="1:36" x14ac:dyDescent="0.2">
      <c r="A591" s="7"/>
      <c r="B591" s="8"/>
      <c r="C591" s="193" t="s">
        <v>774</v>
      </c>
      <c r="D591" s="155">
        <v>3.42</v>
      </c>
      <c r="E591" s="155" t="s">
        <v>764</v>
      </c>
      <c r="F591" s="200">
        <v>3.42</v>
      </c>
      <c r="G591" s="155" t="s">
        <v>764</v>
      </c>
      <c r="H591" s="155">
        <v>2.2400000000000002</v>
      </c>
      <c r="I591" s="155" t="s">
        <v>764</v>
      </c>
      <c r="J591" s="155">
        <v>2.2400000000000002</v>
      </c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 t="s">
        <v>745</v>
      </c>
      <c r="AF591" s="155">
        <v>1.3</v>
      </c>
      <c r="AG591" s="155" t="s">
        <v>745</v>
      </c>
      <c r="AH591" s="158">
        <v>1</v>
      </c>
      <c r="AI591" s="156" t="s">
        <v>727</v>
      </c>
      <c r="AJ591" s="157">
        <f t="shared" si="40"/>
        <v>14.716000000000001</v>
      </c>
    </row>
    <row r="592" spans="1:36" x14ac:dyDescent="0.2">
      <c r="A592" s="7"/>
      <c r="B592" s="8"/>
      <c r="C592" s="193" t="s">
        <v>775</v>
      </c>
      <c r="D592" s="155">
        <v>5.39</v>
      </c>
      <c r="E592" s="155" t="s">
        <v>764</v>
      </c>
      <c r="F592" s="155">
        <v>5.39</v>
      </c>
      <c r="G592" s="155" t="s">
        <v>764</v>
      </c>
      <c r="H592" s="155">
        <v>3.8</v>
      </c>
      <c r="I592" s="155" t="s">
        <v>764</v>
      </c>
      <c r="J592" s="155">
        <v>3.8</v>
      </c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 t="s">
        <v>745</v>
      </c>
      <c r="AF592" s="155">
        <v>1.3</v>
      </c>
      <c r="AG592" s="155" t="s">
        <v>745</v>
      </c>
      <c r="AH592" s="158">
        <v>1</v>
      </c>
      <c r="AI592" s="156" t="s">
        <v>727</v>
      </c>
      <c r="AJ592" s="157">
        <f t="shared" si="40"/>
        <v>23.893999999999998</v>
      </c>
    </row>
    <row r="593" spans="1:36" x14ac:dyDescent="0.2">
      <c r="A593" s="7"/>
      <c r="B593" s="8"/>
      <c r="C593" s="193" t="s">
        <v>776</v>
      </c>
      <c r="D593" s="155">
        <v>4.79</v>
      </c>
      <c r="E593" s="155" t="s">
        <v>764</v>
      </c>
      <c r="F593" s="155">
        <v>4.79</v>
      </c>
      <c r="G593" s="155" t="s">
        <v>764</v>
      </c>
      <c r="H593" s="155">
        <v>1.64</v>
      </c>
      <c r="I593" s="155" t="s">
        <v>764</v>
      </c>
      <c r="J593" s="155">
        <v>1.64</v>
      </c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 t="s">
        <v>745</v>
      </c>
      <c r="AF593" s="155">
        <v>1.3</v>
      </c>
      <c r="AG593" s="155" t="s">
        <v>745</v>
      </c>
      <c r="AH593" s="158">
        <v>1</v>
      </c>
      <c r="AI593" s="156" t="s">
        <v>727</v>
      </c>
      <c r="AJ593" s="157">
        <f t="shared" si="40"/>
        <v>16.718000000000004</v>
      </c>
    </row>
    <row r="594" spans="1:36" x14ac:dyDescent="0.2">
      <c r="A594" s="7"/>
      <c r="B594" s="8"/>
      <c r="C594" s="193" t="s">
        <v>777</v>
      </c>
      <c r="D594" s="155">
        <v>7.95</v>
      </c>
      <c r="E594" s="155" t="s">
        <v>764</v>
      </c>
      <c r="F594" s="155">
        <v>1</v>
      </c>
      <c r="G594" s="155" t="s">
        <v>764</v>
      </c>
      <c r="H594" s="155">
        <v>3.23</v>
      </c>
      <c r="I594" s="155" t="s">
        <v>764</v>
      </c>
      <c r="J594" s="155">
        <v>1.51</v>
      </c>
      <c r="K594" s="155" t="s">
        <v>764</v>
      </c>
      <c r="L594" s="155">
        <v>11.18</v>
      </c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 t="s">
        <v>745</v>
      </c>
      <c r="AF594" s="155">
        <v>0.5</v>
      </c>
      <c r="AG594" s="155" t="s">
        <v>745</v>
      </c>
      <c r="AH594" s="158">
        <v>1</v>
      </c>
      <c r="AI594" s="156" t="s">
        <v>727</v>
      </c>
      <c r="AJ594" s="157">
        <f t="shared" si="40"/>
        <v>12.434999999999999</v>
      </c>
    </row>
    <row r="595" spans="1:36" x14ac:dyDescent="0.2">
      <c r="A595" s="7"/>
      <c r="B595" s="8"/>
      <c r="C595" s="193" t="s">
        <v>778</v>
      </c>
      <c r="D595" s="155">
        <v>0.73</v>
      </c>
      <c r="E595" s="155" t="s">
        <v>764</v>
      </c>
      <c r="F595" s="155">
        <v>4.79</v>
      </c>
      <c r="G595" s="155" t="s">
        <v>764</v>
      </c>
      <c r="H595" s="155">
        <v>4.9000000000000004</v>
      </c>
      <c r="I595" s="155" t="s">
        <v>764</v>
      </c>
      <c r="J595" s="155">
        <v>6.45</v>
      </c>
      <c r="K595" s="155" t="s">
        <v>764</v>
      </c>
      <c r="L595" s="155">
        <v>4.17</v>
      </c>
      <c r="M595" s="155" t="s">
        <v>764</v>
      </c>
      <c r="N595" s="155">
        <v>1.66</v>
      </c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 t="s">
        <v>745</v>
      </c>
      <c r="AF595" s="155">
        <v>1.3</v>
      </c>
      <c r="AG595" s="155" t="s">
        <v>745</v>
      </c>
      <c r="AH595" s="158">
        <v>1</v>
      </c>
      <c r="AI595" s="156" t="s">
        <v>727</v>
      </c>
      <c r="AJ595" s="157">
        <f t="shared" si="40"/>
        <v>29.51</v>
      </c>
    </row>
    <row r="596" spans="1:36" x14ac:dyDescent="0.2">
      <c r="A596" s="7"/>
      <c r="B596" s="8"/>
      <c r="C596" s="193" t="s">
        <v>780</v>
      </c>
      <c r="D596" s="155">
        <v>6.45</v>
      </c>
      <c r="E596" s="155" t="s">
        <v>764</v>
      </c>
      <c r="F596" s="155">
        <v>6.45</v>
      </c>
      <c r="G596" s="155" t="s">
        <v>764</v>
      </c>
      <c r="H596" s="155">
        <v>2.25</v>
      </c>
      <c r="I596" s="155" t="s">
        <v>764</v>
      </c>
      <c r="J596" s="155">
        <v>2.25</v>
      </c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 t="s">
        <v>745</v>
      </c>
      <c r="AF596" s="155">
        <v>1.9</v>
      </c>
      <c r="AG596" s="155" t="s">
        <v>745</v>
      </c>
      <c r="AH596" s="158">
        <v>1</v>
      </c>
      <c r="AI596" s="156" t="s">
        <v>727</v>
      </c>
      <c r="AJ596" s="157">
        <f t="shared" si="40"/>
        <v>33.059999999999995</v>
      </c>
    </row>
    <row r="597" spans="1:36" x14ac:dyDescent="0.2">
      <c r="A597" s="7"/>
      <c r="B597" s="8"/>
      <c r="C597" s="193" t="s">
        <v>781</v>
      </c>
      <c r="D597" s="155">
        <v>6.45</v>
      </c>
      <c r="E597" s="155" t="s">
        <v>764</v>
      </c>
      <c r="F597" s="200">
        <v>6.45</v>
      </c>
      <c r="G597" s="155" t="s">
        <v>764</v>
      </c>
      <c r="H597" s="155">
        <v>5.3</v>
      </c>
      <c r="I597" s="155" t="s">
        <v>764</v>
      </c>
      <c r="J597" s="155">
        <v>5.3</v>
      </c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 t="s">
        <v>745</v>
      </c>
      <c r="AF597" s="155">
        <v>1.3</v>
      </c>
      <c r="AG597" s="155" t="s">
        <v>745</v>
      </c>
      <c r="AH597" s="158">
        <v>1</v>
      </c>
      <c r="AI597" s="156" t="s">
        <v>727</v>
      </c>
      <c r="AJ597" s="157">
        <f t="shared" si="40"/>
        <v>30.55</v>
      </c>
    </row>
    <row r="598" spans="1:36" x14ac:dyDescent="0.2">
      <c r="A598" s="7"/>
      <c r="B598" s="8"/>
      <c r="C598" s="193" t="s">
        <v>782</v>
      </c>
      <c r="D598" s="155">
        <v>6.45</v>
      </c>
      <c r="E598" s="155" t="s">
        <v>764</v>
      </c>
      <c r="F598" s="155">
        <v>6.45</v>
      </c>
      <c r="G598" s="155" t="s">
        <v>764</v>
      </c>
      <c r="H598" s="155">
        <v>2.98</v>
      </c>
      <c r="I598" s="155" t="s">
        <v>764</v>
      </c>
      <c r="J598" s="155">
        <v>2.98</v>
      </c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 t="s">
        <v>745</v>
      </c>
      <c r="AF598" s="155">
        <v>1.9</v>
      </c>
      <c r="AG598" s="155" t="s">
        <v>745</v>
      </c>
      <c r="AH598" s="158">
        <v>1</v>
      </c>
      <c r="AI598" s="156" t="s">
        <v>727</v>
      </c>
      <c r="AJ598" s="157">
        <f t="shared" si="40"/>
        <v>35.833999999999996</v>
      </c>
    </row>
    <row r="599" spans="1:36" x14ac:dyDescent="0.2">
      <c r="A599" s="7"/>
      <c r="B599" s="8"/>
      <c r="C599" s="193" t="s">
        <v>816</v>
      </c>
      <c r="D599" s="155">
        <v>0.6</v>
      </c>
      <c r="E599" s="155" t="s">
        <v>764</v>
      </c>
      <c r="F599" s="155">
        <v>0.5</v>
      </c>
      <c r="G599" s="155" t="s">
        <v>764</v>
      </c>
      <c r="H599" s="155">
        <v>0.6</v>
      </c>
      <c r="I599" s="155" t="s">
        <v>764</v>
      </c>
      <c r="J599" s="155">
        <v>0.86</v>
      </c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 t="s">
        <v>745</v>
      </c>
      <c r="AF599" s="155">
        <v>0.9</v>
      </c>
      <c r="AG599" s="155" t="s">
        <v>745</v>
      </c>
      <c r="AH599" s="158">
        <v>2</v>
      </c>
      <c r="AI599" s="156" t="s">
        <v>727</v>
      </c>
      <c r="AJ599" s="157">
        <f t="shared" si="40"/>
        <v>4.6080000000000005</v>
      </c>
    </row>
    <row r="600" spans="1:36" x14ac:dyDescent="0.2">
      <c r="A600" s="7"/>
      <c r="B600" s="8"/>
      <c r="C600" s="193" t="s">
        <v>817</v>
      </c>
      <c r="D600" s="155">
        <v>0.57999999999999996</v>
      </c>
      <c r="E600" s="155" t="s">
        <v>764</v>
      </c>
      <c r="F600" s="155">
        <v>1</v>
      </c>
      <c r="G600" s="155" t="s">
        <v>764</v>
      </c>
      <c r="H600" s="155">
        <v>0.53</v>
      </c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 t="s">
        <v>745</v>
      </c>
      <c r="AF600" s="155">
        <v>0.9</v>
      </c>
      <c r="AG600" s="155" t="s">
        <v>745</v>
      </c>
      <c r="AH600" s="158">
        <v>2</v>
      </c>
      <c r="AI600" s="156" t="s">
        <v>727</v>
      </c>
      <c r="AJ600" s="157">
        <f t="shared" si="40"/>
        <v>3.7980000000000005</v>
      </c>
    </row>
    <row r="601" spans="1:36" x14ac:dyDescent="0.2">
      <c r="A601" s="7"/>
      <c r="B601" s="8"/>
      <c r="C601" s="193" t="s">
        <v>818</v>
      </c>
      <c r="D601" s="155">
        <v>0.7</v>
      </c>
      <c r="E601" s="155" t="s">
        <v>764</v>
      </c>
      <c r="F601" s="155">
        <v>0.7</v>
      </c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 t="s">
        <v>745</v>
      </c>
      <c r="AF601" s="155">
        <v>0.84</v>
      </c>
      <c r="AG601" s="155" t="s">
        <v>745</v>
      </c>
      <c r="AH601" s="158">
        <v>2</v>
      </c>
      <c r="AI601" s="156" t="s">
        <v>727</v>
      </c>
      <c r="AJ601" s="157">
        <f t="shared" si="40"/>
        <v>2.3519999999999999</v>
      </c>
    </row>
    <row r="602" spans="1:36" x14ac:dyDescent="0.2">
      <c r="A602" s="7"/>
      <c r="B602" s="8"/>
      <c r="C602" s="193" t="s">
        <v>819</v>
      </c>
      <c r="D602" s="155">
        <v>2.25</v>
      </c>
      <c r="E602" s="155" t="s">
        <v>764</v>
      </c>
      <c r="F602" s="155">
        <v>2.25</v>
      </c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 t="s">
        <v>745</v>
      </c>
      <c r="AF602" s="155">
        <v>0.4</v>
      </c>
      <c r="AG602" s="155" t="s">
        <v>745</v>
      </c>
      <c r="AH602" s="158">
        <v>1</v>
      </c>
      <c r="AI602" s="156" t="s">
        <v>727</v>
      </c>
      <c r="AJ602" s="157">
        <f t="shared" si="40"/>
        <v>1.8</v>
      </c>
    </row>
    <row r="603" spans="1:36" x14ac:dyDescent="0.2">
      <c r="A603" s="7"/>
      <c r="B603" s="8"/>
      <c r="C603" s="193" t="s">
        <v>944</v>
      </c>
      <c r="D603" s="155">
        <v>1.86</v>
      </c>
      <c r="E603" s="155" t="s">
        <v>764</v>
      </c>
      <c r="F603" s="155">
        <v>3.3</v>
      </c>
      <c r="G603" s="155" t="s">
        <v>764</v>
      </c>
      <c r="H603" s="155">
        <v>3.84</v>
      </c>
      <c r="I603" s="155" t="s">
        <v>764</v>
      </c>
      <c r="J603" s="155">
        <v>8.33</v>
      </c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 t="s">
        <v>745</v>
      </c>
      <c r="AF603" s="155">
        <v>2</v>
      </c>
      <c r="AG603" s="155" t="s">
        <v>745</v>
      </c>
      <c r="AH603" s="158">
        <v>1</v>
      </c>
      <c r="AI603" s="156" t="s">
        <v>727</v>
      </c>
      <c r="AJ603" s="157">
        <f t="shared" si="40"/>
        <v>34.659999999999997</v>
      </c>
    </row>
    <row r="604" spans="1:36" x14ac:dyDescent="0.2">
      <c r="A604" s="7"/>
      <c r="B604" s="8"/>
      <c r="C604" s="193" t="s">
        <v>944</v>
      </c>
      <c r="D604" s="155">
        <v>2.2000000000000002</v>
      </c>
      <c r="E604" s="155" t="s">
        <v>764</v>
      </c>
      <c r="F604" s="155">
        <v>12.43</v>
      </c>
      <c r="G604" s="155" t="s">
        <v>764</v>
      </c>
      <c r="H604" s="155">
        <v>5.25</v>
      </c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 t="s">
        <v>745</v>
      </c>
      <c r="AF604" s="155">
        <v>0.6</v>
      </c>
      <c r="AG604" s="155" t="s">
        <v>745</v>
      </c>
      <c r="AH604" s="158">
        <v>1</v>
      </c>
      <c r="AI604" s="156" t="s">
        <v>727</v>
      </c>
      <c r="AJ604" s="157">
        <f t="shared" si="40"/>
        <v>11.927999999999999</v>
      </c>
    </row>
    <row r="605" spans="1:36" ht="12.75" customHeight="1" x14ac:dyDescent="0.2">
      <c r="A605" s="7"/>
      <c r="B605" s="8"/>
      <c r="C605" s="193"/>
      <c r="D605" s="331" t="s">
        <v>975</v>
      </c>
      <c r="E605" s="331"/>
      <c r="F605" s="331"/>
      <c r="G605" s="331"/>
      <c r="H605" s="331"/>
      <c r="I605" s="331"/>
      <c r="J605" s="331"/>
      <c r="K605" s="331"/>
      <c r="L605" s="331"/>
      <c r="M605" s="331"/>
      <c r="N605" s="331"/>
      <c r="O605" s="331"/>
      <c r="P605" s="331"/>
      <c r="Q605" s="331"/>
      <c r="R605" s="331"/>
      <c r="S605" s="331"/>
      <c r="T605" s="331"/>
      <c r="U605" s="331"/>
      <c r="V605" s="331"/>
      <c r="W605" s="331"/>
      <c r="X605" s="331"/>
      <c r="Y605" s="331"/>
      <c r="Z605" s="331"/>
      <c r="AA605" s="331"/>
      <c r="AB605" s="331"/>
      <c r="AC605" s="331"/>
      <c r="AD605" s="331"/>
      <c r="AE605" s="331"/>
      <c r="AF605" s="331"/>
      <c r="AG605" s="331"/>
      <c r="AH605" s="331"/>
      <c r="AI605" s="156" t="s">
        <v>727</v>
      </c>
      <c r="AJ605" s="175">
        <f>SUM(AJ575:AJ604)</f>
        <v>605.93399999999986</v>
      </c>
    </row>
    <row r="606" spans="1:36" ht="12.75" customHeight="1" x14ac:dyDescent="0.2">
      <c r="A606" s="7"/>
      <c r="B606" s="8"/>
      <c r="C606" s="210"/>
      <c r="D606" s="331" t="s">
        <v>976</v>
      </c>
      <c r="E606" s="331"/>
      <c r="F606" s="331"/>
      <c r="G606" s="331"/>
      <c r="H606" s="331"/>
      <c r="I606" s="331"/>
      <c r="J606" s="331"/>
      <c r="K606" s="331"/>
      <c r="L606" s="331"/>
      <c r="M606" s="331"/>
      <c r="N606" s="331"/>
      <c r="O606" s="331"/>
      <c r="P606" s="331"/>
      <c r="Q606" s="331"/>
      <c r="R606" s="331"/>
      <c r="S606" s="331"/>
      <c r="T606" s="331"/>
      <c r="U606" s="331"/>
      <c r="V606" s="331"/>
      <c r="W606" s="331"/>
      <c r="X606" s="331"/>
      <c r="Y606" s="331"/>
      <c r="Z606" s="331"/>
      <c r="AA606" s="331"/>
      <c r="AB606" s="331"/>
      <c r="AC606" s="331"/>
      <c r="AD606" s="331"/>
      <c r="AE606" s="331"/>
      <c r="AF606" s="331"/>
      <c r="AG606" s="331"/>
      <c r="AH606" s="331"/>
      <c r="AI606" s="211"/>
      <c r="AJ606" s="212"/>
    </row>
    <row r="607" spans="1:36" x14ac:dyDescent="0.2">
      <c r="A607" s="7"/>
      <c r="B607" s="8"/>
      <c r="C607" s="193" t="s">
        <v>785</v>
      </c>
      <c r="D607" s="155">
        <v>18.100000000000001</v>
      </c>
      <c r="E607" s="155" t="s">
        <v>764</v>
      </c>
      <c r="F607" s="155">
        <v>1.2</v>
      </c>
      <c r="G607" s="155" t="s">
        <v>764</v>
      </c>
      <c r="H607" s="155">
        <v>18.05</v>
      </c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 t="s">
        <v>745</v>
      </c>
      <c r="AF607" s="155">
        <v>0.5</v>
      </c>
      <c r="AG607" s="155" t="s">
        <v>745</v>
      </c>
      <c r="AH607" s="158">
        <v>1</v>
      </c>
      <c r="AI607" s="156" t="s">
        <v>727</v>
      </c>
      <c r="AJ607" s="157">
        <f>(D607+F607+H607+J607+L607)*AF607*AH607</f>
        <v>18.675000000000001</v>
      </c>
    </row>
    <row r="608" spans="1:36" x14ac:dyDescent="0.2">
      <c r="A608" s="7"/>
      <c r="B608" s="8"/>
      <c r="C608" s="193" t="s">
        <v>786</v>
      </c>
      <c r="D608" s="155">
        <v>4.3499999999999996</v>
      </c>
      <c r="E608" s="155" t="s">
        <v>764</v>
      </c>
      <c r="F608" s="155">
        <v>0.63</v>
      </c>
      <c r="G608" s="155" t="s">
        <v>764</v>
      </c>
      <c r="H608" s="155">
        <v>0.63</v>
      </c>
      <c r="I608" s="155" t="s">
        <v>764</v>
      </c>
      <c r="J608" s="155">
        <v>7.95</v>
      </c>
      <c r="K608" s="155" t="s">
        <v>764</v>
      </c>
      <c r="L608" s="155">
        <v>8.73</v>
      </c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 t="s">
        <v>745</v>
      </c>
      <c r="AF608" s="155">
        <v>0.5</v>
      </c>
      <c r="AG608" s="155" t="s">
        <v>745</v>
      </c>
      <c r="AH608" s="158">
        <v>1</v>
      </c>
      <c r="AI608" s="156" t="s">
        <v>727</v>
      </c>
      <c r="AJ608" s="157">
        <f t="shared" ref="AJ608:AJ612" si="41">(D608+F608+H608+J608+L608)*AF608*AH608</f>
        <v>11.145</v>
      </c>
    </row>
    <row r="609" spans="1:36" x14ac:dyDescent="0.2">
      <c r="A609" s="7"/>
      <c r="B609" s="8"/>
      <c r="C609" s="193" t="s">
        <v>787</v>
      </c>
      <c r="D609" s="155">
        <v>2.58</v>
      </c>
      <c r="E609" s="155" t="s">
        <v>764</v>
      </c>
      <c r="F609" s="155">
        <v>1.25</v>
      </c>
      <c r="G609" s="155" t="s">
        <v>764</v>
      </c>
      <c r="H609" s="155">
        <v>2.2200000000000002</v>
      </c>
      <c r="I609" s="155" t="s">
        <v>764</v>
      </c>
      <c r="J609" s="155">
        <v>1.25</v>
      </c>
      <c r="K609" s="155" t="s">
        <v>764</v>
      </c>
      <c r="L609" s="155">
        <v>7.35</v>
      </c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 t="s">
        <v>745</v>
      </c>
      <c r="AF609" s="155">
        <v>0.5</v>
      </c>
      <c r="AG609" s="155" t="s">
        <v>745</v>
      </c>
      <c r="AH609" s="158">
        <v>1</v>
      </c>
      <c r="AI609" s="156" t="s">
        <v>727</v>
      </c>
      <c r="AJ609" s="157">
        <f t="shared" si="41"/>
        <v>7.3250000000000002</v>
      </c>
    </row>
    <row r="610" spans="1:36" x14ac:dyDescent="0.2">
      <c r="A610" s="7"/>
      <c r="B610" s="8"/>
      <c r="C610" s="193" t="s">
        <v>788</v>
      </c>
      <c r="D610" s="155">
        <v>6.75</v>
      </c>
      <c r="E610" s="155" t="s">
        <v>764</v>
      </c>
      <c r="F610" s="155">
        <v>3.42</v>
      </c>
      <c r="G610" s="155" t="s">
        <v>764</v>
      </c>
      <c r="H610" s="155">
        <v>6.6</v>
      </c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 t="s">
        <v>745</v>
      </c>
      <c r="AF610" s="155">
        <v>0.5</v>
      </c>
      <c r="AG610" s="155" t="s">
        <v>745</v>
      </c>
      <c r="AH610" s="158">
        <v>1</v>
      </c>
      <c r="AI610" s="156" t="s">
        <v>727</v>
      </c>
      <c r="AJ610" s="157">
        <f t="shared" si="41"/>
        <v>8.3849999999999998</v>
      </c>
    </row>
    <row r="611" spans="1:36" x14ac:dyDescent="0.2">
      <c r="A611" s="7"/>
      <c r="B611" s="8"/>
      <c r="C611" s="193" t="s">
        <v>961</v>
      </c>
      <c r="D611" s="155">
        <v>6.75</v>
      </c>
      <c r="E611" s="155" t="s">
        <v>764</v>
      </c>
      <c r="F611" s="155">
        <v>6.75</v>
      </c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 t="s">
        <v>745</v>
      </c>
      <c r="AF611" s="155">
        <v>0.5</v>
      </c>
      <c r="AG611" s="155" t="s">
        <v>745</v>
      </c>
      <c r="AH611" s="158">
        <v>1</v>
      </c>
      <c r="AI611" s="156" t="s">
        <v>727</v>
      </c>
      <c r="AJ611" s="157">
        <f t="shared" si="41"/>
        <v>6.75</v>
      </c>
    </row>
    <row r="612" spans="1:36" x14ac:dyDescent="0.2">
      <c r="A612" s="7"/>
      <c r="B612" s="8"/>
      <c r="C612" s="193" t="s">
        <v>969</v>
      </c>
      <c r="D612" s="155">
        <v>1.1000000000000001</v>
      </c>
      <c r="E612" s="155" t="s">
        <v>764</v>
      </c>
      <c r="F612" s="155">
        <v>1.1000000000000001</v>
      </c>
      <c r="G612" s="155" t="s">
        <v>764</v>
      </c>
      <c r="H612" s="155">
        <v>1.1000000000000001</v>
      </c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 t="s">
        <v>745</v>
      </c>
      <c r="AF612" s="155">
        <v>2</v>
      </c>
      <c r="AG612" s="155" t="s">
        <v>745</v>
      </c>
      <c r="AH612" s="158">
        <v>2</v>
      </c>
      <c r="AI612" s="156" t="s">
        <v>727</v>
      </c>
      <c r="AJ612" s="157">
        <f t="shared" si="41"/>
        <v>13.200000000000001</v>
      </c>
    </row>
    <row r="613" spans="1:36" x14ac:dyDescent="0.2">
      <c r="A613" s="7"/>
      <c r="B613" s="8"/>
      <c r="C613" s="193" t="s">
        <v>790</v>
      </c>
      <c r="D613" s="155">
        <v>2.9830000000000001</v>
      </c>
      <c r="E613" s="155" t="s">
        <v>764</v>
      </c>
      <c r="F613" s="155">
        <v>2.9820000000000002</v>
      </c>
      <c r="G613" s="155" t="s">
        <v>764</v>
      </c>
      <c r="H613" s="155">
        <v>2.92</v>
      </c>
      <c r="I613" s="155" t="s">
        <v>764</v>
      </c>
      <c r="J613" s="155">
        <v>2.92</v>
      </c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 t="s">
        <v>745</v>
      </c>
      <c r="AF613" s="155">
        <v>2.5</v>
      </c>
      <c r="AG613" s="155" t="s">
        <v>745</v>
      </c>
      <c r="AH613" s="158">
        <v>1</v>
      </c>
      <c r="AI613" s="156" t="s">
        <v>727</v>
      </c>
      <c r="AJ613" s="157">
        <f>(D613+F613+H613+J613+L613+N613+P613)*AF613*AH613</f>
        <v>29.512499999999999</v>
      </c>
    </row>
    <row r="614" spans="1:36" x14ac:dyDescent="0.2">
      <c r="A614" s="7"/>
      <c r="B614" s="8"/>
      <c r="C614" s="193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8"/>
      <c r="AI614" s="156"/>
      <c r="AJ614" s="157"/>
    </row>
    <row r="615" spans="1:36" ht="12.75" customHeight="1" x14ac:dyDescent="0.2">
      <c r="A615" s="7"/>
      <c r="B615" s="8"/>
      <c r="C615" s="210"/>
      <c r="D615" s="309" t="s">
        <v>977</v>
      </c>
      <c r="E615" s="309"/>
      <c r="F615" s="309"/>
      <c r="G615" s="309"/>
      <c r="H615" s="309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  <c r="AA615" s="309"/>
      <c r="AB615" s="309"/>
      <c r="AC615" s="309"/>
      <c r="AD615" s="309"/>
      <c r="AE615" s="309"/>
      <c r="AF615" s="309"/>
      <c r="AG615" s="309"/>
      <c r="AH615" s="309"/>
      <c r="AI615" s="156" t="s">
        <v>727</v>
      </c>
      <c r="AJ615" s="175">
        <f>SUM(AJ607:AJ611)</f>
        <v>52.28</v>
      </c>
    </row>
    <row r="616" spans="1:36" ht="12.75" customHeight="1" x14ac:dyDescent="0.2">
      <c r="A616" s="7"/>
      <c r="B616" s="8"/>
      <c r="C616" s="210"/>
      <c r="D616" s="309" t="s">
        <v>978</v>
      </c>
      <c r="E616" s="309"/>
      <c r="F616" s="309"/>
      <c r="G616" s="309"/>
      <c r="H616" s="309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  <c r="AA616" s="309"/>
      <c r="AB616" s="309"/>
      <c r="AC616" s="309"/>
      <c r="AD616" s="309"/>
      <c r="AE616" s="309"/>
      <c r="AF616" s="309"/>
      <c r="AG616" s="309"/>
      <c r="AH616" s="309"/>
      <c r="AI616" s="156" t="s">
        <v>727</v>
      </c>
      <c r="AJ616" s="175">
        <f>AJ605+AJ615</f>
        <v>658.21399999999983</v>
      </c>
    </row>
    <row r="617" spans="1:36" ht="12.75" customHeight="1" x14ac:dyDescent="0.2">
      <c r="A617" s="7"/>
      <c r="B617" s="8"/>
      <c r="C617" s="196"/>
      <c r="D617" s="331" t="s">
        <v>795</v>
      </c>
      <c r="E617" s="331"/>
      <c r="F617" s="331"/>
      <c r="G617" s="331"/>
      <c r="H617" s="331"/>
      <c r="I617" s="331"/>
      <c r="J617" s="331"/>
      <c r="K617" s="331"/>
      <c r="L617" s="331"/>
      <c r="M617" s="331"/>
      <c r="N617" s="331"/>
      <c r="O617" s="331"/>
      <c r="P617" s="331"/>
      <c r="Q617" s="331"/>
      <c r="R617" s="331"/>
      <c r="S617" s="331"/>
      <c r="T617" s="331"/>
      <c r="U617" s="331"/>
      <c r="V617" s="331"/>
      <c r="W617" s="331"/>
      <c r="X617" s="331"/>
      <c r="Y617" s="331"/>
      <c r="Z617" s="331"/>
      <c r="AA617" s="331"/>
      <c r="AB617" s="331"/>
      <c r="AC617" s="331"/>
      <c r="AD617" s="331"/>
      <c r="AE617" s="331"/>
      <c r="AF617" s="331"/>
      <c r="AG617" s="331"/>
      <c r="AH617" s="331"/>
      <c r="AI617" s="331"/>
      <c r="AJ617" s="157"/>
    </row>
    <row r="618" spans="1:36" ht="12.75" customHeight="1" x14ac:dyDescent="0.2">
      <c r="A618" s="7"/>
      <c r="B618" s="8"/>
      <c r="C618" s="196"/>
      <c r="D618" s="331" t="s">
        <v>821</v>
      </c>
      <c r="E618" s="331"/>
      <c r="F618" s="331"/>
      <c r="G618" s="331"/>
      <c r="H618" s="331"/>
      <c r="I618" s="331"/>
      <c r="J618" s="331"/>
      <c r="K618" s="331"/>
      <c r="L618" s="331"/>
      <c r="M618" s="331"/>
      <c r="N618" s="331"/>
      <c r="O618" s="331"/>
      <c r="P618" s="331"/>
      <c r="Q618" s="331"/>
      <c r="R618" s="331"/>
      <c r="S618" s="331"/>
      <c r="T618" s="331"/>
      <c r="U618" s="331"/>
      <c r="V618" s="331"/>
      <c r="W618" s="331"/>
      <c r="X618" s="331"/>
      <c r="Y618" s="331"/>
      <c r="Z618" s="331"/>
      <c r="AA618" s="331"/>
      <c r="AB618" s="331"/>
      <c r="AC618" s="331"/>
      <c r="AD618" s="331"/>
      <c r="AE618" s="331"/>
      <c r="AF618" s="331"/>
      <c r="AG618" s="331"/>
      <c r="AH618" s="331"/>
      <c r="AI618" s="331"/>
      <c r="AJ618" s="157"/>
    </row>
    <row r="619" spans="1:36" x14ac:dyDescent="0.2">
      <c r="A619" s="7"/>
      <c r="B619" s="8"/>
      <c r="C619" s="193" t="s">
        <v>861</v>
      </c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80"/>
      <c r="AI619" s="204"/>
      <c r="AJ619" s="157"/>
    </row>
    <row r="620" spans="1:36" x14ac:dyDescent="0.2">
      <c r="A620" s="7"/>
      <c r="B620" s="8"/>
      <c r="C620" s="193" t="s">
        <v>749</v>
      </c>
      <c r="D620" s="155">
        <v>0.6</v>
      </c>
      <c r="E620" s="155" t="s">
        <v>745</v>
      </c>
      <c r="F620" s="155">
        <v>0.6</v>
      </c>
      <c r="G620" s="155" t="s">
        <v>727</v>
      </c>
      <c r="H620" s="155">
        <f>D620*F620</f>
        <v>0.36</v>
      </c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205">
        <v>6</v>
      </c>
      <c r="AI620" s="156" t="s">
        <v>727</v>
      </c>
      <c r="AJ620" s="158">
        <f>H620*AH620</f>
        <v>2.16</v>
      </c>
    </row>
    <row r="621" spans="1:36" x14ac:dyDescent="0.2">
      <c r="A621" s="7"/>
      <c r="B621" s="8"/>
      <c r="C621" s="193" t="s">
        <v>750</v>
      </c>
      <c r="D621" s="155">
        <v>0.6</v>
      </c>
      <c r="E621" s="155" t="s">
        <v>745</v>
      </c>
      <c r="F621" s="155">
        <v>0.9</v>
      </c>
      <c r="G621" s="155" t="s">
        <v>727</v>
      </c>
      <c r="H621" s="155">
        <f>D621*F621</f>
        <v>0.54</v>
      </c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205">
        <v>4</v>
      </c>
      <c r="AI621" s="156" t="s">
        <v>727</v>
      </c>
      <c r="AJ621" s="158">
        <f>H621*AH621</f>
        <v>2.16</v>
      </c>
    </row>
    <row r="622" spans="1:36" x14ac:dyDescent="0.2">
      <c r="A622" s="7"/>
      <c r="B622" s="8"/>
      <c r="C622" s="193" t="s">
        <v>822</v>
      </c>
      <c r="D622" s="350"/>
      <c r="E622" s="350"/>
      <c r="F622" s="350"/>
      <c r="G622" s="350"/>
      <c r="H622" s="350"/>
      <c r="I622" s="350"/>
      <c r="J622" s="350"/>
      <c r="K622" s="350"/>
      <c r="L622" s="350"/>
      <c r="M622" s="350"/>
      <c r="N622" s="350"/>
      <c r="O622" s="350"/>
      <c r="P622" s="350"/>
      <c r="Q622" s="350"/>
      <c r="R622" s="350"/>
      <c r="S622" s="350"/>
      <c r="T622" s="350"/>
      <c r="U622" s="350"/>
      <c r="V622" s="350"/>
      <c r="W622" s="350"/>
      <c r="X622" s="350"/>
      <c r="Y622" s="350"/>
      <c r="Z622" s="350"/>
      <c r="AA622" s="350"/>
      <c r="AB622" s="350"/>
      <c r="AC622" s="350"/>
      <c r="AD622" s="350"/>
      <c r="AE622" s="350"/>
      <c r="AF622" s="350"/>
      <c r="AG622" s="350"/>
      <c r="AH622" s="350"/>
      <c r="AI622" s="156"/>
      <c r="AJ622" s="158"/>
    </row>
    <row r="623" spans="1:36" x14ac:dyDescent="0.2">
      <c r="A623" s="7"/>
      <c r="B623" s="8"/>
      <c r="C623" s="193" t="s">
        <v>826</v>
      </c>
      <c r="D623" s="155">
        <v>0.8</v>
      </c>
      <c r="E623" s="155" t="s">
        <v>748</v>
      </c>
      <c r="F623" s="155">
        <v>2.1</v>
      </c>
      <c r="G623" s="155" t="s">
        <v>727</v>
      </c>
      <c r="H623" s="155">
        <f t="shared" ref="H623:H626" si="42">D623*F623</f>
        <v>1.6800000000000002</v>
      </c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7">
        <v>1</v>
      </c>
      <c r="AI623" s="156" t="s">
        <v>727</v>
      </c>
      <c r="AJ623" s="158">
        <f t="shared" ref="AJ623:AJ626" si="43">H623*AH623</f>
        <v>1.6800000000000002</v>
      </c>
    </row>
    <row r="624" spans="1:36" x14ac:dyDescent="0.2">
      <c r="A624" s="7"/>
      <c r="B624" s="8"/>
      <c r="C624" s="193" t="s">
        <v>827</v>
      </c>
      <c r="D624" s="155">
        <v>0.8</v>
      </c>
      <c r="E624" s="155" t="s">
        <v>748</v>
      </c>
      <c r="F624" s="155">
        <v>2.1</v>
      </c>
      <c r="G624" s="155" t="s">
        <v>727</v>
      </c>
      <c r="H624" s="155">
        <f t="shared" si="42"/>
        <v>1.6800000000000002</v>
      </c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7">
        <v>4</v>
      </c>
      <c r="AI624" s="156" t="s">
        <v>727</v>
      </c>
      <c r="AJ624" s="158">
        <f t="shared" si="43"/>
        <v>6.7200000000000006</v>
      </c>
    </row>
    <row r="625" spans="1:36" x14ac:dyDescent="0.2">
      <c r="A625" s="7"/>
      <c r="B625" s="8"/>
      <c r="C625" s="193" t="s">
        <v>979</v>
      </c>
      <c r="D625" s="155">
        <v>0.8</v>
      </c>
      <c r="E625" s="155" t="s">
        <v>748</v>
      </c>
      <c r="F625" s="155">
        <v>2.1</v>
      </c>
      <c r="G625" s="155" t="s">
        <v>727</v>
      </c>
      <c r="H625" s="155">
        <f t="shared" si="42"/>
        <v>1.6800000000000002</v>
      </c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7">
        <v>5</v>
      </c>
      <c r="AI625" s="156" t="s">
        <v>727</v>
      </c>
      <c r="AJ625" s="158">
        <f t="shared" si="43"/>
        <v>8.4</v>
      </c>
    </row>
    <row r="626" spans="1:36" x14ac:dyDescent="0.2">
      <c r="A626" s="7"/>
      <c r="B626" s="8"/>
      <c r="C626" s="193" t="s">
        <v>828</v>
      </c>
      <c r="D626" s="155">
        <v>0.8</v>
      </c>
      <c r="E626" s="155" t="s">
        <v>748</v>
      </c>
      <c r="F626" s="155">
        <v>2.1</v>
      </c>
      <c r="G626" s="155" t="s">
        <v>727</v>
      </c>
      <c r="H626" s="155">
        <f t="shared" si="42"/>
        <v>1.6800000000000002</v>
      </c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7">
        <v>1</v>
      </c>
      <c r="AI626" s="156" t="s">
        <v>727</v>
      </c>
      <c r="AJ626" s="158">
        <f t="shared" si="43"/>
        <v>1.6800000000000002</v>
      </c>
    </row>
    <row r="627" spans="1:36" ht="12.75" customHeight="1" x14ac:dyDescent="0.2">
      <c r="A627" s="7"/>
      <c r="B627" s="8"/>
      <c r="C627" s="210"/>
      <c r="D627" s="331" t="s">
        <v>824</v>
      </c>
      <c r="E627" s="331"/>
      <c r="F627" s="331"/>
      <c r="G627" s="331"/>
      <c r="H627" s="331"/>
      <c r="I627" s="331"/>
      <c r="J627" s="331"/>
      <c r="K627" s="331"/>
      <c r="L627" s="331"/>
      <c r="M627" s="331"/>
      <c r="N627" s="331"/>
      <c r="O627" s="331"/>
      <c r="P627" s="331"/>
      <c r="Q627" s="331"/>
      <c r="R627" s="331"/>
      <c r="S627" s="331"/>
      <c r="T627" s="331"/>
      <c r="U627" s="331"/>
      <c r="V627" s="331"/>
      <c r="W627" s="331"/>
      <c r="X627" s="331"/>
      <c r="Y627" s="331"/>
      <c r="Z627" s="331"/>
      <c r="AA627" s="331"/>
      <c r="AB627" s="331"/>
      <c r="AC627" s="331"/>
      <c r="AD627" s="331"/>
      <c r="AE627" s="331"/>
      <c r="AF627" s="331"/>
      <c r="AG627" s="331"/>
      <c r="AH627" s="331"/>
      <c r="AI627" s="331"/>
      <c r="AJ627" s="157"/>
    </row>
    <row r="628" spans="1:36" x14ac:dyDescent="0.2">
      <c r="A628" s="7"/>
      <c r="B628" s="8"/>
      <c r="C628" s="193" t="s">
        <v>861</v>
      </c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80"/>
      <c r="AI628" s="204"/>
      <c r="AJ628" s="157"/>
    </row>
    <row r="629" spans="1:36" x14ac:dyDescent="0.2">
      <c r="A629" s="7"/>
      <c r="B629" s="8"/>
      <c r="C629" s="193" t="s">
        <v>749</v>
      </c>
      <c r="D629" s="155">
        <v>0.4</v>
      </c>
      <c r="E629" s="155" t="s">
        <v>745</v>
      </c>
      <c r="F629" s="155">
        <v>0.6</v>
      </c>
      <c r="G629" s="155" t="s">
        <v>727</v>
      </c>
      <c r="H629" s="155">
        <f>D629*F629</f>
        <v>0.24</v>
      </c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205">
        <v>15</v>
      </c>
      <c r="AI629" s="156" t="s">
        <v>727</v>
      </c>
      <c r="AJ629" s="158">
        <f>H629*AH629</f>
        <v>3.5999999999999996</v>
      </c>
    </row>
    <row r="630" spans="1:36" x14ac:dyDescent="0.2">
      <c r="A630" s="7"/>
      <c r="B630" s="8"/>
      <c r="C630" s="193" t="s">
        <v>822</v>
      </c>
      <c r="D630" s="350"/>
      <c r="E630" s="350"/>
      <c r="F630" s="350"/>
      <c r="G630" s="350"/>
      <c r="H630" s="350"/>
      <c r="I630" s="350"/>
      <c r="J630" s="350"/>
      <c r="K630" s="350"/>
      <c r="L630" s="350"/>
      <c r="M630" s="350"/>
      <c r="N630" s="350"/>
      <c r="O630" s="350"/>
      <c r="P630" s="350"/>
      <c r="Q630" s="350"/>
      <c r="R630" s="350"/>
      <c r="S630" s="350"/>
      <c r="T630" s="350"/>
      <c r="U630" s="350"/>
      <c r="V630" s="350"/>
      <c r="W630" s="350"/>
      <c r="X630" s="350"/>
      <c r="Y630" s="350"/>
      <c r="Z630" s="350"/>
      <c r="AA630" s="350"/>
      <c r="AB630" s="350"/>
      <c r="AC630" s="350"/>
      <c r="AD630" s="350"/>
      <c r="AE630" s="350"/>
      <c r="AF630" s="350"/>
      <c r="AG630" s="350"/>
      <c r="AH630" s="350"/>
      <c r="AI630" s="156"/>
      <c r="AJ630" s="158"/>
    </row>
    <row r="631" spans="1:36" x14ac:dyDescent="0.2">
      <c r="A631" s="7"/>
      <c r="B631" s="8"/>
      <c r="C631" s="193" t="s">
        <v>863</v>
      </c>
      <c r="D631" s="155">
        <v>0.8</v>
      </c>
      <c r="E631" s="155" t="s">
        <v>748</v>
      </c>
      <c r="F631" s="155">
        <v>1.9</v>
      </c>
      <c r="G631" s="155" t="s">
        <v>727</v>
      </c>
      <c r="H631" s="155">
        <f t="shared" ref="H631" si="44">D631*F631</f>
        <v>1.52</v>
      </c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7">
        <v>5</v>
      </c>
      <c r="AI631" s="156" t="s">
        <v>727</v>
      </c>
      <c r="AJ631" s="158">
        <f>H631*AH631</f>
        <v>7.6</v>
      </c>
    </row>
    <row r="632" spans="1:36" x14ac:dyDescent="0.2">
      <c r="A632" s="7"/>
      <c r="B632" s="8"/>
      <c r="C632" s="193" t="s">
        <v>829</v>
      </c>
      <c r="D632" s="155">
        <v>0.8</v>
      </c>
      <c r="E632" s="155" t="s">
        <v>748</v>
      </c>
      <c r="F632" s="155">
        <v>1.9</v>
      </c>
      <c r="G632" s="155" t="s">
        <v>727</v>
      </c>
      <c r="H632" s="155">
        <f>D632*F632</f>
        <v>1.52</v>
      </c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55">
        <v>2</v>
      </c>
      <c r="AI632" s="156" t="s">
        <v>727</v>
      </c>
      <c r="AJ632" s="158">
        <f>H632*AH632</f>
        <v>3.04</v>
      </c>
    </row>
    <row r="633" spans="1:36" ht="12.75" customHeight="1" x14ac:dyDescent="0.2">
      <c r="A633" s="7"/>
      <c r="B633" s="8"/>
      <c r="C633" s="210"/>
      <c r="D633" s="331" t="s">
        <v>825</v>
      </c>
      <c r="E633" s="331"/>
      <c r="F633" s="331"/>
      <c r="G633" s="331"/>
      <c r="H633" s="331"/>
      <c r="I633" s="331"/>
      <c r="J633" s="331"/>
      <c r="K633" s="331"/>
      <c r="L633" s="331"/>
      <c r="M633" s="331"/>
      <c r="N633" s="331"/>
      <c r="O633" s="331"/>
      <c r="P633" s="331"/>
      <c r="Q633" s="331"/>
      <c r="R633" s="331"/>
      <c r="S633" s="331"/>
      <c r="T633" s="331"/>
      <c r="U633" s="331"/>
      <c r="V633" s="331"/>
      <c r="W633" s="331"/>
      <c r="X633" s="331"/>
      <c r="Y633" s="331"/>
      <c r="Z633" s="331"/>
      <c r="AA633" s="331"/>
      <c r="AB633" s="331"/>
      <c r="AC633" s="331"/>
      <c r="AD633" s="331"/>
      <c r="AE633" s="331"/>
      <c r="AF633" s="331"/>
      <c r="AG633" s="331"/>
      <c r="AH633" s="331"/>
      <c r="AI633" s="331"/>
      <c r="AJ633" s="157"/>
    </row>
    <row r="634" spans="1:36" x14ac:dyDescent="0.2">
      <c r="A634" s="7"/>
      <c r="B634" s="8"/>
      <c r="C634" s="193" t="s">
        <v>861</v>
      </c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80"/>
      <c r="AI634" s="204"/>
      <c r="AJ634" s="157"/>
    </row>
    <row r="635" spans="1:36" x14ac:dyDescent="0.2">
      <c r="A635" s="7"/>
      <c r="B635" s="8"/>
      <c r="C635" s="193" t="s">
        <v>749</v>
      </c>
      <c r="D635" s="155">
        <v>0</v>
      </c>
      <c r="E635" s="155" t="s">
        <v>745</v>
      </c>
      <c r="F635" s="155">
        <v>0</v>
      </c>
      <c r="G635" s="155" t="s">
        <v>727</v>
      </c>
      <c r="H635" s="155">
        <f>D635*F635</f>
        <v>0</v>
      </c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205">
        <v>3</v>
      </c>
      <c r="AI635" s="156" t="s">
        <v>727</v>
      </c>
      <c r="AJ635" s="158">
        <f>H635*AH635</f>
        <v>0</v>
      </c>
    </row>
    <row r="636" spans="1:36" x14ac:dyDescent="0.2">
      <c r="A636" s="7"/>
      <c r="B636" s="8"/>
      <c r="C636" s="193" t="s">
        <v>750</v>
      </c>
      <c r="D636" s="155">
        <v>0.6</v>
      </c>
      <c r="E636" s="155" t="s">
        <v>745</v>
      </c>
      <c r="F636" s="155">
        <v>0.1</v>
      </c>
      <c r="G636" s="155" t="s">
        <v>727</v>
      </c>
      <c r="H636" s="155">
        <f t="shared" ref="H636:H637" si="45">D636*F636</f>
        <v>0.06</v>
      </c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205">
        <v>5</v>
      </c>
      <c r="AI636" s="156" t="s">
        <v>727</v>
      </c>
      <c r="AJ636" s="158">
        <f t="shared" ref="AJ636:AJ641" si="46">H636*AH636</f>
        <v>0.3</v>
      </c>
    </row>
    <row r="637" spans="1:36" x14ac:dyDescent="0.2">
      <c r="A637" s="7"/>
      <c r="B637" s="8"/>
      <c r="C637" s="193" t="s">
        <v>752</v>
      </c>
      <c r="D637" s="155">
        <v>1.8</v>
      </c>
      <c r="E637" s="155" t="s">
        <v>745</v>
      </c>
      <c r="F637" s="155">
        <v>0.4</v>
      </c>
      <c r="G637" s="155" t="s">
        <v>727</v>
      </c>
      <c r="H637" s="155">
        <f t="shared" si="45"/>
        <v>0.72000000000000008</v>
      </c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205">
        <v>3</v>
      </c>
      <c r="AI637" s="156" t="s">
        <v>727</v>
      </c>
      <c r="AJ637" s="158">
        <f t="shared" si="46"/>
        <v>2.16</v>
      </c>
    </row>
    <row r="638" spans="1:36" x14ac:dyDescent="0.2">
      <c r="A638" s="7"/>
      <c r="B638" s="8"/>
      <c r="C638" s="193" t="s">
        <v>822</v>
      </c>
      <c r="D638" s="350"/>
      <c r="E638" s="350"/>
      <c r="F638" s="350"/>
      <c r="G638" s="350"/>
      <c r="H638" s="350"/>
      <c r="I638" s="350"/>
      <c r="J638" s="350"/>
      <c r="K638" s="350"/>
      <c r="L638" s="350"/>
      <c r="M638" s="350"/>
      <c r="N638" s="350"/>
      <c r="O638" s="350"/>
      <c r="P638" s="350"/>
      <c r="Q638" s="350"/>
      <c r="R638" s="350"/>
      <c r="S638" s="350"/>
      <c r="T638" s="350"/>
      <c r="U638" s="350"/>
      <c r="V638" s="350"/>
      <c r="W638" s="350"/>
      <c r="X638" s="350"/>
      <c r="Y638" s="350"/>
      <c r="Z638" s="350"/>
      <c r="AA638" s="350"/>
      <c r="AB638" s="350"/>
      <c r="AC638" s="350"/>
      <c r="AD638" s="350"/>
      <c r="AE638" s="350"/>
      <c r="AF638" s="350"/>
      <c r="AG638" s="350"/>
      <c r="AH638" s="350"/>
      <c r="AI638" s="156"/>
      <c r="AJ638" s="158"/>
    </row>
    <row r="639" spans="1:36" x14ac:dyDescent="0.2">
      <c r="A639" s="7"/>
      <c r="B639" s="8"/>
      <c r="C639" s="193" t="s">
        <v>826</v>
      </c>
      <c r="D639" s="155">
        <v>0.8</v>
      </c>
      <c r="E639" s="155" t="s">
        <v>748</v>
      </c>
      <c r="F639" s="155">
        <v>1.3</v>
      </c>
      <c r="G639" s="155" t="s">
        <v>727</v>
      </c>
      <c r="H639" s="155">
        <f t="shared" ref="H639:H641" si="47">D639*F639</f>
        <v>1.04</v>
      </c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7">
        <v>2</v>
      </c>
      <c r="AI639" s="156" t="s">
        <v>727</v>
      </c>
      <c r="AJ639" s="158">
        <f t="shared" si="46"/>
        <v>2.08</v>
      </c>
    </row>
    <row r="640" spans="1:36" x14ac:dyDescent="0.2">
      <c r="A640" s="7"/>
      <c r="B640" s="8"/>
      <c r="C640" s="193" t="s">
        <v>827</v>
      </c>
      <c r="D640" s="155">
        <v>0.8</v>
      </c>
      <c r="E640" s="155" t="s">
        <v>748</v>
      </c>
      <c r="F640" s="155">
        <v>1.3</v>
      </c>
      <c r="G640" s="155" t="s">
        <v>727</v>
      </c>
      <c r="H640" s="155">
        <f t="shared" si="47"/>
        <v>1.04</v>
      </c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7">
        <v>7</v>
      </c>
      <c r="AI640" s="156" t="s">
        <v>727</v>
      </c>
      <c r="AJ640" s="158">
        <f t="shared" si="46"/>
        <v>7.28</v>
      </c>
    </row>
    <row r="641" spans="1:36" x14ac:dyDescent="0.2">
      <c r="A641" s="7"/>
      <c r="B641" s="8"/>
      <c r="C641" s="193" t="s">
        <v>980</v>
      </c>
      <c r="D641" s="155">
        <v>0.8</v>
      </c>
      <c r="E641" s="155" t="s">
        <v>748</v>
      </c>
      <c r="F641" s="155">
        <v>1.3</v>
      </c>
      <c r="G641" s="155" t="s">
        <v>727</v>
      </c>
      <c r="H641" s="155">
        <f t="shared" si="47"/>
        <v>1.04</v>
      </c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7">
        <v>6</v>
      </c>
      <c r="AI641" s="156" t="s">
        <v>727</v>
      </c>
      <c r="AJ641" s="158">
        <f t="shared" si="46"/>
        <v>6.24</v>
      </c>
    </row>
    <row r="642" spans="1:36" ht="12.75" customHeight="1" x14ac:dyDescent="0.2">
      <c r="A642" s="7"/>
      <c r="B642" s="8"/>
      <c r="C642" s="210"/>
      <c r="D642" s="331" t="s">
        <v>862</v>
      </c>
      <c r="E642" s="331"/>
      <c r="F642" s="331"/>
      <c r="G642" s="331"/>
      <c r="H642" s="331"/>
      <c r="I642" s="331"/>
      <c r="J642" s="331"/>
      <c r="K642" s="331"/>
      <c r="L642" s="331"/>
      <c r="M642" s="331"/>
      <c r="N642" s="331"/>
      <c r="O642" s="331"/>
      <c r="P642" s="331"/>
      <c r="Q642" s="331"/>
      <c r="R642" s="331"/>
      <c r="S642" s="331"/>
      <c r="T642" s="331"/>
      <c r="U642" s="331"/>
      <c r="V642" s="331"/>
      <c r="W642" s="331"/>
      <c r="X642" s="331"/>
      <c r="Y642" s="331"/>
      <c r="Z642" s="331"/>
      <c r="AA642" s="331"/>
      <c r="AB642" s="331"/>
      <c r="AC642" s="331"/>
      <c r="AD642" s="331"/>
      <c r="AE642" s="331"/>
      <c r="AF642" s="331"/>
      <c r="AG642" s="331"/>
      <c r="AH642" s="331"/>
      <c r="AI642" s="331"/>
      <c r="AJ642" s="157"/>
    </row>
    <row r="643" spans="1:36" x14ac:dyDescent="0.2">
      <c r="A643" s="7"/>
      <c r="B643" s="8"/>
      <c r="C643" s="193" t="s">
        <v>822</v>
      </c>
      <c r="D643" s="350"/>
      <c r="E643" s="350"/>
      <c r="F643" s="350"/>
      <c r="G643" s="350"/>
      <c r="H643" s="350"/>
      <c r="I643" s="350"/>
      <c r="J643" s="350"/>
      <c r="K643" s="350"/>
      <c r="L643" s="350"/>
      <c r="M643" s="350"/>
      <c r="N643" s="350"/>
      <c r="O643" s="350"/>
      <c r="P643" s="350"/>
      <c r="Q643" s="350"/>
      <c r="R643" s="350"/>
      <c r="S643" s="350"/>
      <c r="T643" s="350"/>
      <c r="U643" s="350"/>
      <c r="V643" s="350"/>
      <c r="W643" s="350"/>
      <c r="X643" s="350"/>
      <c r="Y643" s="350"/>
      <c r="Z643" s="350"/>
      <c r="AA643" s="350"/>
      <c r="AB643" s="350"/>
      <c r="AC643" s="350"/>
      <c r="AD643" s="350"/>
      <c r="AE643" s="350"/>
      <c r="AF643" s="350"/>
      <c r="AG643" s="350"/>
      <c r="AH643" s="350"/>
      <c r="AI643" s="156"/>
      <c r="AJ643" s="158"/>
    </row>
    <row r="644" spans="1:36" x14ac:dyDescent="0.2">
      <c r="A644" s="7"/>
      <c r="B644" s="8"/>
      <c r="C644" s="193" t="s">
        <v>826</v>
      </c>
      <c r="D644" s="155">
        <v>0.8</v>
      </c>
      <c r="E644" s="155" t="s">
        <v>748</v>
      </c>
      <c r="F644" s="155">
        <v>1.3</v>
      </c>
      <c r="G644" s="155" t="s">
        <v>727</v>
      </c>
      <c r="H644" s="155">
        <f t="shared" ref="H644:H648" si="48">D644*F644</f>
        <v>1.04</v>
      </c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7">
        <v>2</v>
      </c>
      <c r="AI644" s="156" t="s">
        <v>727</v>
      </c>
      <c r="AJ644" s="158">
        <f t="shared" ref="AJ644:AJ648" si="49">H644*AH644</f>
        <v>2.08</v>
      </c>
    </row>
    <row r="645" spans="1:36" x14ac:dyDescent="0.2">
      <c r="A645" s="7"/>
      <c r="B645" s="8"/>
      <c r="C645" s="193" t="s">
        <v>863</v>
      </c>
      <c r="D645" s="155">
        <v>0.8</v>
      </c>
      <c r="E645" s="155" t="s">
        <v>748</v>
      </c>
      <c r="F645" s="155">
        <v>1.3</v>
      </c>
      <c r="G645" s="155" t="s">
        <v>727</v>
      </c>
      <c r="H645" s="155">
        <f t="shared" si="48"/>
        <v>1.04</v>
      </c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7">
        <v>2</v>
      </c>
      <c r="AI645" s="156" t="s">
        <v>727</v>
      </c>
      <c r="AJ645" s="158">
        <f t="shared" si="49"/>
        <v>2.08</v>
      </c>
    </row>
    <row r="646" spans="1:36" x14ac:dyDescent="0.2">
      <c r="A646" s="7"/>
      <c r="B646" s="8"/>
      <c r="C646" s="193" t="s">
        <v>979</v>
      </c>
      <c r="D646" s="155">
        <v>0.8</v>
      </c>
      <c r="E646" s="155" t="s">
        <v>748</v>
      </c>
      <c r="F646" s="155">
        <v>1.3</v>
      </c>
      <c r="G646" s="155" t="s">
        <v>727</v>
      </c>
      <c r="H646" s="155">
        <f t="shared" si="48"/>
        <v>1.04</v>
      </c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7">
        <v>3</v>
      </c>
      <c r="AI646" s="156" t="s">
        <v>727</v>
      </c>
      <c r="AJ646" s="158">
        <f t="shared" si="49"/>
        <v>3.12</v>
      </c>
    </row>
    <row r="647" spans="1:36" x14ac:dyDescent="0.2">
      <c r="A647" s="7"/>
      <c r="B647" s="8"/>
      <c r="C647" s="193" t="s">
        <v>828</v>
      </c>
      <c r="D647" s="155">
        <v>0.8</v>
      </c>
      <c r="E647" s="155" t="s">
        <v>748</v>
      </c>
      <c r="F647" s="155">
        <v>1.3</v>
      </c>
      <c r="G647" s="155" t="s">
        <v>727</v>
      </c>
      <c r="H647" s="155">
        <f t="shared" si="48"/>
        <v>1.04</v>
      </c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7">
        <v>2</v>
      </c>
      <c r="AI647" s="156" t="s">
        <v>727</v>
      </c>
      <c r="AJ647" s="158">
        <f t="shared" si="49"/>
        <v>2.08</v>
      </c>
    </row>
    <row r="648" spans="1:36" x14ac:dyDescent="0.2">
      <c r="A648" s="7"/>
      <c r="B648" s="8"/>
      <c r="C648" s="193" t="s">
        <v>829</v>
      </c>
      <c r="D648" s="155">
        <v>0.8</v>
      </c>
      <c r="E648" s="155" t="s">
        <v>748</v>
      </c>
      <c r="F648" s="155">
        <v>1.3</v>
      </c>
      <c r="G648" s="155" t="s">
        <v>727</v>
      </c>
      <c r="H648" s="155">
        <f t="shared" si="48"/>
        <v>1.04</v>
      </c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57">
        <v>2</v>
      </c>
      <c r="AI648" s="156" t="s">
        <v>727</v>
      </c>
      <c r="AJ648" s="158">
        <f t="shared" si="49"/>
        <v>2.08</v>
      </c>
    </row>
    <row r="649" spans="1:36" ht="12.75" customHeight="1" x14ac:dyDescent="0.2">
      <c r="A649" s="7"/>
      <c r="B649" s="8"/>
      <c r="C649" s="210"/>
      <c r="D649" s="309" t="s">
        <v>830</v>
      </c>
      <c r="E649" s="309"/>
      <c r="F649" s="309"/>
      <c r="G649" s="309"/>
      <c r="H649" s="309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  <c r="AA649" s="309"/>
      <c r="AB649" s="309"/>
      <c r="AC649" s="309"/>
      <c r="AD649" s="309"/>
      <c r="AE649" s="309"/>
      <c r="AF649" s="309"/>
      <c r="AG649" s="309"/>
      <c r="AH649" s="309"/>
      <c r="AI649" s="156" t="s">
        <v>727</v>
      </c>
      <c r="AJ649" s="198">
        <f>SUM(AJ620:AJ648)</f>
        <v>66.539999999999992</v>
      </c>
    </row>
    <row r="650" spans="1:36" ht="12.75" customHeight="1" x14ac:dyDescent="0.2">
      <c r="A650" s="7"/>
      <c r="B650" s="8"/>
      <c r="C650" s="213"/>
      <c r="D650" s="309" t="s">
        <v>981</v>
      </c>
      <c r="E650" s="309"/>
      <c r="F650" s="309"/>
      <c r="G650" s="309"/>
      <c r="H650" s="309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  <c r="AA650" s="309"/>
      <c r="AB650" s="309"/>
      <c r="AC650" s="309"/>
      <c r="AD650" s="309"/>
      <c r="AE650" s="309"/>
      <c r="AF650" s="309"/>
      <c r="AG650" s="309"/>
      <c r="AH650" s="309"/>
      <c r="AI650" s="156" t="s">
        <v>727</v>
      </c>
      <c r="AJ650" s="198">
        <f>AJ616-AJ649</f>
        <v>591.67399999999986</v>
      </c>
    </row>
    <row r="651" spans="1:36" ht="60" x14ac:dyDescent="0.2">
      <c r="A651" s="7" t="s">
        <v>215</v>
      </c>
      <c r="B651" s="8" t="s">
        <v>216</v>
      </c>
      <c r="C651" s="9" t="s">
        <v>217</v>
      </c>
      <c r="D651" s="335"/>
      <c r="E651" s="336"/>
      <c r="F651" s="336"/>
      <c r="G651" s="336"/>
      <c r="H651" s="336"/>
      <c r="I651" s="336"/>
      <c r="J651" s="336"/>
      <c r="K651" s="336"/>
      <c r="L651" s="336"/>
      <c r="M651" s="336"/>
      <c r="N651" s="336"/>
      <c r="O651" s="336"/>
      <c r="P651" s="336"/>
      <c r="Q651" s="336"/>
      <c r="R651" s="336"/>
      <c r="S651" s="336"/>
      <c r="T651" s="336"/>
      <c r="U651" s="336"/>
      <c r="V651" s="336"/>
      <c r="W651" s="336"/>
      <c r="X651" s="336"/>
      <c r="Y651" s="336"/>
      <c r="Z651" s="336"/>
      <c r="AA651" s="336"/>
      <c r="AB651" s="336"/>
      <c r="AC651" s="336"/>
      <c r="AD651" s="336"/>
      <c r="AE651" s="336"/>
      <c r="AF651" s="336"/>
      <c r="AG651" s="336"/>
      <c r="AH651" s="336"/>
      <c r="AI651" s="337"/>
      <c r="AJ651" s="11" t="s">
        <v>19</v>
      </c>
    </row>
    <row r="652" spans="1:36" ht="12" customHeight="1" x14ac:dyDescent="0.2">
      <c r="A652" s="7"/>
      <c r="B652" s="8"/>
      <c r="C652" s="128"/>
      <c r="D652" s="290" t="s">
        <v>894</v>
      </c>
      <c r="E652" s="290"/>
      <c r="F652" s="290"/>
      <c r="G652" s="290"/>
      <c r="H652" s="290"/>
      <c r="I652" s="290"/>
      <c r="J652" s="290"/>
      <c r="K652" s="290"/>
      <c r="L652" s="290"/>
      <c r="M652" s="290"/>
      <c r="N652" s="290"/>
      <c r="O652" s="290"/>
      <c r="P652" s="290"/>
      <c r="Q652" s="290"/>
      <c r="R652" s="290"/>
      <c r="S652" s="290"/>
      <c r="T652" s="290"/>
      <c r="U652" s="290"/>
      <c r="V652" s="290"/>
      <c r="W652" s="290"/>
      <c r="X652" s="290"/>
      <c r="Y652" s="290"/>
      <c r="Z652" s="290"/>
      <c r="AA652" s="290"/>
      <c r="AB652" s="290"/>
      <c r="AC652" s="290"/>
      <c r="AD652" s="290"/>
      <c r="AE652" s="290"/>
      <c r="AF652" s="290"/>
      <c r="AG652" s="290"/>
      <c r="AH652" s="290"/>
      <c r="AI652" s="290"/>
      <c r="AJ652" s="290"/>
    </row>
    <row r="653" spans="1:36" x14ac:dyDescent="0.2">
      <c r="A653" s="7"/>
      <c r="B653" s="8"/>
      <c r="C653" s="214" t="s">
        <v>785</v>
      </c>
      <c r="D653" s="11">
        <v>18.100000000000001</v>
      </c>
      <c r="E653" s="11" t="s">
        <v>764</v>
      </c>
      <c r="F653" s="11">
        <v>1.2</v>
      </c>
      <c r="G653" s="11" t="s">
        <v>764</v>
      </c>
      <c r="H653" s="11">
        <v>18.05</v>
      </c>
      <c r="I653" s="11"/>
      <c r="J653" s="11"/>
      <c r="K653" s="11"/>
      <c r="L653" s="11"/>
      <c r="M653" s="10"/>
      <c r="N653" s="10"/>
      <c r="O653" s="10"/>
      <c r="P653" s="10"/>
      <c r="Q653" s="11"/>
      <c r="R653" s="11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 t="s">
        <v>745</v>
      </c>
      <c r="AF653" s="88">
        <v>1</v>
      </c>
      <c r="AG653" s="11" t="s">
        <v>745</v>
      </c>
      <c r="AH653" s="11">
        <v>2.5</v>
      </c>
      <c r="AI653" s="88" t="s">
        <v>727</v>
      </c>
      <c r="AJ653" s="11">
        <f t="shared" ref="AJ653:AJ660" si="50">(D653+F653+H653+J653+L653)*AH653*AF653</f>
        <v>93.375</v>
      </c>
    </row>
    <row r="654" spans="1:36" ht="12.75" customHeight="1" x14ac:dyDescent="0.2">
      <c r="A654" s="7"/>
      <c r="B654" s="8"/>
      <c r="C654" s="208" t="s">
        <v>786</v>
      </c>
      <c r="D654" s="11">
        <v>4.3499999999999996</v>
      </c>
      <c r="E654" s="11" t="s">
        <v>764</v>
      </c>
      <c r="F654" s="11">
        <v>0.63</v>
      </c>
      <c r="G654" s="11" t="s">
        <v>764</v>
      </c>
      <c r="H654" s="11">
        <v>0.63</v>
      </c>
      <c r="I654" s="11" t="s">
        <v>764</v>
      </c>
      <c r="J654" s="11">
        <v>7.95</v>
      </c>
      <c r="K654" s="11" t="s">
        <v>764</v>
      </c>
      <c r="L654" s="11">
        <v>8.73</v>
      </c>
      <c r="M654" s="10"/>
      <c r="N654" s="10"/>
      <c r="O654" s="10"/>
      <c r="P654" s="10"/>
      <c r="Q654" s="11"/>
      <c r="R654" s="11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 t="s">
        <v>745</v>
      </c>
      <c r="AF654" s="88">
        <v>1</v>
      </c>
      <c r="AG654" s="11" t="s">
        <v>745</v>
      </c>
      <c r="AH654" s="11">
        <v>2.5</v>
      </c>
      <c r="AI654" s="88" t="s">
        <v>727</v>
      </c>
      <c r="AJ654" s="11">
        <f t="shared" si="50"/>
        <v>55.724999999999994</v>
      </c>
    </row>
    <row r="655" spans="1:36" x14ac:dyDescent="0.2">
      <c r="A655" s="7"/>
      <c r="B655" s="8"/>
      <c r="C655" s="208" t="s">
        <v>787</v>
      </c>
      <c r="D655" s="11">
        <v>2.58</v>
      </c>
      <c r="E655" s="11" t="s">
        <v>764</v>
      </c>
      <c r="F655" s="11">
        <v>1.25</v>
      </c>
      <c r="G655" s="11" t="s">
        <v>764</v>
      </c>
      <c r="H655" s="11">
        <v>2.2200000000000002</v>
      </c>
      <c r="I655" s="11" t="s">
        <v>764</v>
      </c>
      <c r="J655" s="11">
        <v>1.25</v>
      </c>
      <c r="K655" s="11" t="s">
        <v>764</v>
      </c>
      <c r="L655" s="11">
        <v>7.35</v>
      </c>
      <c r="M655" s="10"/>
      <c r="N655" s="10"/>
      <c r="O655" s="10"/>
      <c r="P655" s="10"/>
      <c r="Q655" s="11"/>
      <c r="R655" s="11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 t="s">
        <v>745</v>
      </c>
      <c r="AF655" s="88">
        <v>1</v>
      </c>
      <c r="AG655" s="11" t="s">
        <v>745</v>
      </c>
      <c r="AH655" s="11">
        <v>2.5</v>
      </c>
      <c r="AI655" s="88" t="s">
        <v>727</v>
      </c>
      <c r="AJ655" s="11">
        <f t="shared" si="50"/>
        <v>36.625</v>
      </c>
    </row>
    <row r="656" spans="1:36" x14ac:dyDescent="0.2">
      <c r="A656" s="7"/>
      <c r="B656" s="8"/>
      <c r="C656" s="208" t="s">
        <v>788</v>
      </c>
      <c r="D656" s="11">
        <v>6.75</v>
      </c>
      <c r="E656" s="11" t="s">
        <v>764</v>
      </c>
      <c r="F656" s="11">
        <v>3.42</v>
      </c>
      <c r="G656" s="11" t="s">
        <v>764</v>
      </c>
      <c r="H656" s="11">
        <v>6.6</v>
      </c>
      <c r="I656" s="11"/>
      <c r="J656" s="11"/>
      <c r="K656" s="11"/>
      <c r="L656" s="11"/>
      <c r="M656" s="10"/>
      <c r="N656" s="10"/>
      <c r="O656" s="10"/>
      <c r="P656" s="10"/>
      <c r="Q656" s="11"/>
      <c r="R656" s="11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 t="s">
        <v>745</v>
      </c>
      <c r="AF656" s="88">
        <v>1</v>
      </c>
      <c r="AG656" s="11" t="s">
        <v>745</v>
      </c>
      <c r="AH656" s="11">
        <v>2.5</v>
      </c>
      <c r="AI656" s="88" t="s">
        <v>727</v>
      </c>
      <c r="AJ656" s="11">
        <f t="shared" si="50"/>
        <v>41.924999999999997</v>
      </c>
    </row>
    <row r="657" spans="1:36" x14ac:dyDescent="0.2">
      <c r="A657" s="7"/>
      <c r="B657" s="8"/>
      <c r="C657" s="208" t="s">
        <v>850</v>
      </c>
      <c r="D657" s="11">
        <v>6.75</v>
      </c>
      <c r="E657" s="11" t="s">
        <v>764</v>
      </c>
      <c r="F657" s="11">
        <v>6.75</v>
      </c>
      <c r="G657" s="11"/>
      <c r="H657" s="11"/>
      <c r="I657" s="11"/>
      <c r="J657" s="11"/>
      <c r="K657" s="11"/>
      <c r="L657" s="11"/>
      <c r="M657" s="10"/>
      <c r="N657" s="10"/>
      <c r="O657" s="10"/>
      <c r="P657" s="10"/>
      <c r="Q657" s="11"/>
      <c r="R657" s="11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 t="s">
        <v>745</v>
      </c>
      <c r="AF657" s="88">
        <v>1</v>
      </c>
      <c r="AG657" s="11" t="s">
        <v>745</v>
      </c>
      <c r="AH657" s="11">
        <v>2.5</v>
      </c>
      <c r="AI657" s="88" t="s">
        <v>727</v>
      </c>
      <c r="AJ657" s="11">
        <f t="shared" si="50"/>
        <v>33.75</v>
      </c>
    </row>
    <row r="658" spans="1:36" x14ac:dyDescent="0.2">
      <c r="A658" s="7"/>
      <c r="B658" s="8"/>
      <c r="C658" s="208" t="s">
        <v>851</v>
      </c>
      <c r="D658" s="11">
        <v>116.3</v>
      </c>
      <c r="E658" s="11"/>
      <c r="F658" s="11"/>
      <c r="G658" s="11"/>
      <c r="H658" s="11"/>
      <c r="I658" s="11"/>
      <c r="J658" s="11"/>
      <c r="K658" s="11"/>
      <c r="L658" s="11"/>
      <c r="M658" s="10"/>
      <c r="N658" s="10"/>
      <c r="O658" s="10"/>
      <c r="P658" s="10"/>
      <c r="Q658" s="11"/>
      <c r="R658" s="11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 t="s">
        <v>745</v>
      </c>
      <c r="AF658" s="88">
        <v>1</v>
      </c>
      <c r="AG658" s="11" t="s">
        <v>745</v>
      </c>
      <c r="AH658" s="11">
        <v>1.3</v>
      </c>
      <c r="AI658" s="88" t="s">
        <v>727</v>
      </c>
      <c r="AJ658" s="11">
        <f t="shared" si="50"/>
        <v>151.19</v>
      </c>
    </row>
    <row r="659" spans="1:36" x14ac:dyDescent="0.2">
      <c r="A659" s="7"/>
      <c r="B659" s="8"/>
      <c r="C659" s="215" t="s">
        <v>886</v>
      </c>
      <c r="D659" s="11">
        <v>1.5</v>
      </c>
      <c r="E659" s="11" t="s">
        <v>764</v>
      </c>
      <c r="F659" s="11">
        <v>3.2</v>
      </c>
      <c r="G659" s="11" t="s">
        <v>764</v>
      </c>
      <c r="H659" s="11">
        <v>1.5</v>
      </c>
      <c r="I659" s="11" t="s">
        <v>764</v>
      </c>
      <c r="J659" s="11">
        <v>3.2</v>
      </c>
      <c r="K659" s="11"/>
      <c r="L659" s="11"/>
      <c r="M659" s="10"/>
      <c r="N659" s="10"/>
      <c r="O659" s="10"/>
      <c r="P659" s="10"/>
      <c r="Q659" s="11"/>
      <c r="R659" s="11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 t="s">
        <v>745</v>
      </c>
      <c r="AF659" s="88">
        <v>1</v>
      </c>
      <c r="AG659" s="11" t="s">
        <v>745</v>
      </c>
      <c r="AH659" s="11">
        <v>0.2</v>
      </c>
      <c r="AI659" s="88" t="s">
        <v>727</v>
      </c>
      <c r="AJ659" s="11">
        <f t="shared" si="50"/>
        <v>1.8800000000000001</v>
      </c>
    </row>
    <row r="660" spans="1:36" x14ac:dyDescent="0.2">
      <c r="A660" s="7"/>
      <c r="B660" s="8"/>
      <c r="C660" s="215" t="s">
        <v>890</v>
      </c>
      <c r="D660" s="11">
        <v>83.75</v>
      </c>
      <c r="E660" s="11"/>
      <c r="F660" s="11"/>
      <c r="G660" s="11"/>
      <c r="H660" s="11"/>
      <c r="I660" s="11"/>
      <c r="J660" s="11"/>
      <c r="K660" s="11"/>
      <c r="L660" s="11"/>
      <c r="M660" s="10"/>
      <c r="N660" s="10"/>
      <c r="O660" s="10"/>
      <c r="P660" s="10"/>
      <c r="Q660" s="11"/>
      <c r="R660" s="11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 t="s">
        <v>745</v>
      </c>
      <c r="AF660" s="88">
        <v>2</v>
      </c>
      <c r="AG660" s="11" t="s">
        <v>745</v>
      </c>
      <c r="AH660" s="11">
        <v>1.3</v>
      </c>
      <c r="AI660" s="88" t="s">
        <v>727</v>
      </c>
      <c r="AJ660" s="11">
        <f t="shared" si="50"/>
        <v>217.75</v>
      </c>
    </row>
    <row r="661" spans="1:36" ht="12" customHeight="1" x14ac:dyDescent="0.2">
      <c r="A661" s="7"/>
      <c r="B661" s="8"/>
      <c r="C661" s="128"/>
      <c r="D661" s="287" t="s">
        <v>891</v>
      </c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  <c r="Q661" s="287"/>
      <c r="R661" s="287"/>
      <c r="S661" s="287"/>
      <c r="T661" s="287"/>
      <c r="U661" s="287"/>
      <c r="V661" s="287"/>
      <c r="W661" s="287"/>
      <c r="X661" s="287"/>
      <c r="Y661" s="287"/>
      <c r="Z661" s="287"/>
      <c r="AA661" s="287"/>
      <c r="AB661" s="287"/>
      <c r="AC661" s="287"/>
      <c r="AD661" s="287"/>
      <c r="AE661" s="287"/>
      <c r="AF661" s="287"/>
      <c r="AG661" s="287"/>
      <c r="AH661" s="287"/>
      <c r="AI661" s="287"/>
      <c r="AJ661" s="92">
        <f>SUM(AJ653:AJ660)</f>
        <v>632.22</v>
      </c>
    </row>
    <row r="662" spans="1:36" ht="12" customHeight="1" x14ac:dyDescent="0.2">
      <c r="A662" s="7"/>
      <c r="B662" s="8"/>
      <c r="C662" s="129"/>
      <c r="D662" s="290" t="s">
        <v>857</v>
      </c>
      <c r="E662" s="290"/>
      <c r="F662" s="290"/>
      <c r="G662" s="290"/>
      <c r="H662" s="290"/>
      <c r="I662" s="290"/>
      <c r="J662" s="290"/>
      <c r="K662" s="290"/>
      <c r="L662" s="290"/>
      <c r="M662" s="290"/>
      <c r="N662" s="290"/>
      <c r="O662" s="290"/>
      <c r="P662" s="290"/>
      <c r="Q662" s="290"/>
      <c r="R662" s="290"/>
      <c r="S662" s="290"/>
      <c r="T662" s="290"/>
      <c r="U662" s="290"/>
      <c r="V662" s="290"/>
      <c r="W662" s="290"/>
      <c r="X662" s="290"/>
      <c r="Y662" s="290"/>
      <c r="Z662" s="290"/>
      <c r="AA662" s="290"/>
      <c r="AB662" s="290"/>
      <c r="AC662" s="290"/>
      <c r="AD662" s="290"/>
      <c r="AE662" s="290"/>
      <c r="AF662" s="290"/>
      <c r="AG662" s="290"/>
      <c r="AH662" s="290"/>
      <c r="AI662" s="290"/>
      <c r="AJ662" s="290"/>
    </row>
    <row r="663" spans="1:36" x14ac:dyDescent="0.2">
      <c r="A663" s="7"/>
      <c r="B663" s="8"/>
      <c r="C663" s="98" t="s">
        <v>852</v>
      </c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1"/>
      <c r="AH663" s="11"/>
      <c r="AI663" s="88" t="s">
        <v>727</v>
      </c>
      <c r="AJ663" s="11"/>
    </row>
    <row r="664" spans="1:36" x14ac:dyDescent="0.2">
      <c r="A664" s="7"/>
      <c r="B664" s="8"/>
      <c r="C664" s="130"/>
      <c r="D664" s="11">
        <v>0.6</v>
      </c>
      <c r="E664" s="11" t="s">
        <v>748</v>
      </c>
      <c r="F664" s="11">
        <v>0.6</v>
      </c>
      <c r="G664" s="11"/>
      <c r="H664" s="1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1" t="s">
        <v>745</v>
      </c>
      <c r="AH664" s="11">
        <v>4</v>
      </c>
      <c r="AI664" s="88" t="s">
        <v>727</v>
      </c>
      <c r="AJ664" s="11">
        <f>SUM(D664*F664)*AH664</f>
        <v>1.44</v>
      </c>
    </row>
    <row r="665" spans="1:36" x14ac:dyDescent="0.2">
      <c r="A665" s="7"/>
      <c r="B665" s="8"/>
      <c r="C665" s="98" t="s">
        <v>853</v>
      </c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1"/>
      <c r="AH665" s="11"/>
      <c r="AI665" s="88" t="s">
        <v>727</v>
      </c>
      <c r="AJ665" s="11"/>
    </row>
    <row r="666" spans="1:36" x14ac:dyDescent="0.2">
      <c r="A666" s="7"/>
      <c r="B666" s="8"/>
      <c r="C666" s="208" t="s">
        <v>749</v>
      </c>
      <c r="D666" s="11">
        <v>0.6</v>
      </c>
      <c r="E666" s="11" t="s">
        <v>748</v>
      </c>
      <c r="F666" s="11">
        <v>0.6</v>
      </c>
      <c r="G666" s="11"/>
      <c r="H666" s="1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1" t="s">
        <v>745</v>
      </c>
      <c r="AH666" s="11">
        <v>17</v>
      </c>
      <c r="AI666" s="88" t="s">
        <v>727</v>
      </c>
      <c r="AJ666" s="11">
        <f>SUM(D666*F666)*AH666</f>
        <v>6.12</v>
      </c>
    </row>
    <row r="667" spans="1:36" x14ac:dyDescent="0.2">
      <c r="A667" s="7"/>
      <c r="B667" s="8"/>
      <c r="C667" s="208" t="s">
        <v>750</v>
      </c>
      <c r="D667" s="11">
        <v>0.6</v>
      </c>
      <c r="E667" s="11" t="s">
        <v>748</v>
      </c>
      <c r="F667" s="11">
        <v>0.9</v>
      </c>
      <c r="G667" s="11"/>
      <c r="H667" s="1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1" t="s">
        <v>745</v>
      </c>
      <c r="AH667" s="11">
        <v>1</v>
      </c>
      <c r="AI667" s="88" t="s">
        <v>727</v>
      </c>
      <c r="AJ667" s="11">
        <f>SUM(D667*F667)*AH667</f>
        <v>0.54</v>
      </c>
    </row>
    <row r="668" spans="1:36" x14ac:dyDescent="0.2">
      <c r="A668" s="7"/>
      <c r="B668" s="8"/>
      <c r="C668" s="208" t="s">
        <v>751</v>
      </c>
      <c r="D668" s="11">
        <v>1.2</v>
      </c>
      <c r="E668" s="11" t="s">
        <v>748</v>
      </c>
      <c r="F668" s="11">
        <v>1.2</v>
      </c>
      <c r="G668" s="11"/>
      <c r="H668" s="1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1" t="s">
        <v>745</v>
      </c>
      <c r="AH668" s="11">
        <v>6</v>
      </c>
      <c r="AI668" s="88" t="s">
        <v>727</v>
      </c>
      <c r="AJ668" s="11">
        <f>SUM(D668*F668)*AH668</f>
        <v>8.64</v>
      </c>
    </row>
    <row r="669" spans="1:36" ht="12.75" customHeight="1" x14ac:dyDescent="0.2">
      <c r="A669" s="7"/>
      <c r="B669" s="8"/>
      <c r="C669" s="208" t="s">
        <v>752</v>
      </c>
      <c r="D669" s="11">
        <v>1.8</v>
      </c>
      <c r="E669" s="11" t="s">
        <v>748</v>
      </c>
      <c r="F669" s="11">
        <v>1.2</v>
      </c>
      <c r="G669" s="11"/>
      <c r="H669" s="1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1" t="s">
        <v>745</v>
      </c>
      <c r="AH669" s="11">
        <v>0</v>
      </c>
      <c r="AI669" s="88" t="s">
        <v>727</v>
      </c>
      <c r="AJ669" s="11">
        <f>SUM(D669*F669)*AH669</f>
        <v>0</v>
      </c>
    </row>
    <row r="670" spans="1:36" ht="12.75" customHeight="1" x14ac:dyDescent="0.2">
      <c r="A670" s="7"/>
      <c r="B670" s="8"/>
      <c r="C670" s="208" t="s">
        <v>753</v>
      </c>
      <c r="D670" s="11">
        <v>1.8</v>
      </c>
      <c r="E670" s="11" t="s">
        <v>748</v>
      </c>
      <c r="F670" s="11">
        <v>1.6</v>
      </c>
      <c r="G670" s="11"/>
      <c r="H670" s="1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1" t="s">
        <v>745</v>
      </c>
      <c r="AH670" s="11">
        <v>6</v>
      </c>
      <c r="AI670" s="88" t="s">
        <v>727</v>
      </c>
      <c r="AJ670" s="11">
        <f>SUM(D670*F670)*AH670</f>
        <v>17.28</v>
      </c>
    </row>
    <row r="671" spans="1:36" ht="12" customHeight="1" x14ac:dyDescent="0.2">
      <c r="A671" s="7"/>
      <c r="B671" s="8"/>
      <c r="C671" s="130"/>
      <c r="D671" s="287" t="s">
        <v>830</v>
      </c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7"/>
      <c r="Q671" s="287"/>
      <c r="R671" s="287"/>
      <c r="S671" s="287"/>
      <c r="T671" s="287"/>
      <c r="U671" s="287"/>
      <c r="V671" s="287"/>
      <c r="W671" s="287"/>
      <c r="X671" s="287"/>
      <c r="Y671" s="287"/>
      <c r="Z671" s="287"/>
      <c r="AA671" s="287"/>
      <c r="AB671" s="287"/>
      <c r="AC671" s="287"/>
      <c r="AD671" s="287"/>
      <c r="AE671" s="287"/>
      <c r="AF671" s="287"/>
      <c r="AG671" s="287"/>
      <c r="AH671" s="287"/>
      <c r="AI671" s="287"/>
      <c r="AJ671" s="92">
        <f>SUM(AJ664:AJ670)</f>
        <v>34.020000000000003</v>
      </c>
    </row>
    <row r="672" spans="1:36" ht="12" customHeight="1" x14ac:dyDescent="0.2">
      <c r="A672" s="7"/>
      <c r="B672" s="8"/>
      <c r="C672" s="130"/>
      <c r="D672" s="287" t="s">
        <v>892</v>
      </c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  <c r="Q672" s="287"/>
      <c r="R672" s="287"/>
      <c r="S672" s="287"/>
      <c r="T672" s="287"/>
      <c r="U672" s="287"/>
      <c r="V672" s="287"/>
      <c r="W672" s="287"/>
      <c r="X672" s="287"/>
      <c r="Y672" s="287"/>
      <c r="Z672" s="287"/>
      <c r="AA672" s="287"/>
      <c r="AB672" s="287"/>
      <c r="AC672" s="287"/>
      <c r="AD672" s="287"/>
      <c r="AE672" s="287"/>
      <c r="AF672" s="287"/>
      <c r="AG672" s="287"/>
      <c r="AH672" s="287"/>
      <c r="AI672" s="287"/>
      <c r="AJ672" s="92">
        <f>AJ661-AJ671</f>
        <v>598.20000000000005</v>
      </c>
    </row>
    <row r="673" spans="1:36" ht="12" customHeight="1" x14ac:dyDescent="0.2">
      <c r="A673" s="7"/>
      <c r="B673" s="8"/>
      <c r="C673" s="130"/>
      <c r="D673" s="290" t="s">
        <v>893</v>
      </c>
      <c r="E673" s="290"/>
      <c r="F673" s="290"/>
      <c r="G673" s="290"/>
      <c r="H673" s="290"/>
      <c r="I673" s="290"/>
      <c r="J673" s="290"/>
      <c r="K673" s="290"/>
      <c r="L673" s="290"/>
      <c r="M673" s="290"/>
      <c r="N673" s="290"/>
      <c r="O673" s="290"/>
      <c r="P673" s="290"/>
      <c r="Q673" s="290"/>
      <c r="R673" s="290"/>
      <c r="S673" s="290"/>
      <c r="T673" s="290"/>
      <c r="U673" s="290"/>
      <c r="V673" s="290"/>
      <c r="W673" s="290"/>
      <c r="X673" s="290"/>
      <c r="Y673" s="290"/>
      <c r="Z673" s="290"/>
      <c r="AA673" s="290"/>
      <c r="AB673" s="290"/>
      <c r="AC673" s="290"/>
      <c r="AD673" s="290"/>
      <c r="AE673" s="290"/>
      <c r="AF673" s="290"/>
      <c r="AG673" s="290"/>
      <c r="AH673" s="290"/>
      <c r="AI673" s="290"/>
      <c r="AJ673" s="290"/>
    </row>
    <row r="674" spans="1:36" x14ac:dyDescent="0.2">
      <c r="A674" s="7"/>
      <c r="B674" s="8"/>
      <c r="C674" s="208" t="s">
        <v>763</v>
      </c>
      <c r="D674" s="11">
        <v>3</v>
      </c>
      <c r="E674" s="11" t="s">
        <v>764</v>
      </c>
      <c r="F674" s="11">
        <v>3</v>
      </c>
      <c r="G674" s="11" t="s">
        <v>764</v>
      </c>
      <c r="H674" s="11">
        <v>2.23</v>
      </c>
      <c r="I674" s="11" t="s">
        <v>764</v>
      </c>
      <c r="J674" s="11">
        <v>2.23</v>
      </c>
      <c r="K674" s="11"/>
      <c r="L674" s="11"/>
      <c r="M674" s="11"/>
      <c r="N674" s="11"/>
      <c r="O674" s="10"/>
      <c r="P674" s="10"/>
      <c r="Q674" s="10"/>
      <c r="R674" s="10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 t="s">
        <v>748</v>
      </c>
      <c r="AH674" s="11">
        <v>0.8</v>
      </c>
      <c r="AI674" s="88" t="s">
        <v>727</v>
      </c>
      <c r="AJ674" s="11">
        <f t="shared" ref="AJ674:AJ691" si="51">(D674+F674+H674+J674+L674+N674)*AH674</f>
        <v>8.3680000000000003</v>
      </c>
    </row>
    <row r="675" spans="1:36" x14ac:dyDescent="0.2">
      <c r="A675" s="7"/>
      <c r="B675" s="8"/>
      <c r="C675" s="208" t="s">
        <v>765</v>
      </c>
      <c r="D675" s="11">
        <v>2.8</v>
      </c>
      <c r="E675" s="11" t="s">
        <v>764</v>
      </c>
      <c r="F675" s="11">
        <v>2.8</v>
      </c>
      <c r="G675" s="11" t="s">
        <v>764</v>
      </c>
      <c r="H675" s="11">
        <v>2.23</v>
      </c>
      <c r="I675" s="11" t="s">
        <v>764</v>
      </c>
      <c r="J675" s="11">
        <v>2.23</v>
      </c>
      <c r="K675" s="11"/>
      <c r="L675" s="11"/>
      <c r="M675" s="11"/>
      <c r="N675" s="11"/>
      <c r="O675" s="10"/>
      <c r="P675" s="10"/>
      <c r="Q675" s="10"/>
      <c r="R675" s="10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 t="s">
        <v>748</v>
      </c>
      <c r="AH675" s="11">
        <v>0.8</v>
      </c>
      <c r="AI675" s="88" t="s">
        <v>727</v>
      </c>
      <c r="AJ675" s="11">
        <f t="shared" si="51"/>
        <v>8.048</v>
      </c>
    </row>
    <row r="676" spans="1:36" x14ac:dyDescent="0.2">
      <c r="A676" s="7"/>
      <c r="B676" s="8"/>
      <c r="C676" s="208" t="s">
        <v>766</v>
      </c>
      <c r="D676" s="11">
        <v>3.9</v>
      </c>
      <c r="E676" s="11" t="s">
        <v>764</v>
      </c>
      <c r="F676" s="11">
        <v>3.9</v>
      </c>
      <c r="G676" s="11" t="s">
        <v>764</v>
      </c>
      <c r="H676" s="11">
        <v>2.0699999999999998</v>
      </c>
      <c r="I676" s="11" t="s">
        <v>764</v>
      </c>
      <c r="J676" s="11">
        <v>2.0699999999999998</v>
      </c>
      <c r="K676" s="11"/>
      <c r="L676" s="11"/>
      <c r="M676" s="11"/>
      <c r="N676" s="11"/>
      <c r="O676" s="10"/>
      <c r="P676" s="10"/>
      <c r="Q676" s="10"/>
      <c r="R676" s="10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 t="s">
        <v>748</v>
      </c>
      <c r="AH676" s="11">
        <v>1.4</v>
      </c>
      <c r="AI676" s="88" t="s">
        <v>727</v>
      </c>
      <c r="AJ676" s="11">
        <f t="shared" si="51"/>
        <v>16.715999999999998</v>
      </c>
    </row>
    <row r="677" spans="1:36" x14ac:dyDescent="0.2">
      <c r="A677" s="7"/>
      <c r="B677" s="8"/>
      <c r="C677" s="208" t="s">
        <v>767</v>
      </c>
      <c r="D677" s="11">
        <v>6.75</v>
      </c>
      <c r="E677" s="11" t="s">
        <v>764</v>
      </c>
      <c r="F677" s="11">
        <v>6.75</v>
      </c>
      <c r="G677" s="11"/>
      <c r="H677" s="11"/>
      <c r="I677" s="11"/>
      <c r="J677" s="11"/>
      <c r="K677" s="11"/>
      <c r="L677" s="11"/>
      <c r="M677" s="11"/>
      <c r="N677" s="216"/>
      <c r="O677" s="10"/>
      <c r="P677" s="10"/>
      <c r="Q677" s="10"/>
      <c r="R677" s="10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 t="s">
        <v>748</v>
      </c>
      <c r="AH677" s="11">
        <v>2.2000000000000002</v>
      </c>
      <c r="AI677" s="88" t="s">
        <v>727</v>
      </c>
      <c r="AJ677" s="11">
        <f t="shared" si="51"/>
        <v>29.700000000000003</v>
      </c>
    </row>
    <row r="678" spans="1:36" x14ac:dyDescent="0.2">
      <c r="A678" s="7"/>
      <c r="B678" s="8"/>
      <c r="C678" s="208" t="s">
        <v>768</v>
      </c>
      <c r="D678" s="11">
        <v>2.25</v>
      </c>
      <c r="E678" s="11" t="s">
        <v>764</v>
      </c>
      <c r="F678" s="11">
        <v>2.25</v>
      </c>
      <c r="G678" s="11" t="s">
        <v>764</v>
      </c>
      <c r="H678" s="11">
        <v>1.95</v>
      </c>
      <c r="I678" s="11" t="s">
        <v>764</v>
      </c>
      <c r="J678" s="11">
        <v>1.95</v>
      </c>
      <c r="K678" s="11"/>
      <c r="L678" s="11"/>
      <c r="M678" s="11"/>
      <c r="N678" s="11"/>
      <c r="O678" s="10"/>
      <c r="P678" s="10"/>
      <c r="Q678" s="10"/>
      <c r="R678" s="10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 t="s">
        <v>748</v>
      </c>
      <c r="AH678" s="11">
        <v>0.8</v>
      </c>
      <c r="AI678" s="88" t="s">
        <v>727</v>
      </c>
      <c r="AJ678" s="11">
        <f t="shared" si="51"/>
        <v>6.7200000000000006</v>
      </c>
    </row>
    <row r="679" spans="1:36" x14ac:dyDescent="0.2">
      <c r="A679" s="7"/>
      <c r="B679" s="8"/>
      <c r="C679" s="208" t="s">
        <v>769</v>
      </c>
      <c r="D679" s="11">
        <v>2.25</v>
      </c>
      <c r="E679" s="11" t="s">
        <v>764</v>
      </c>
      <c r="F679" s="11">
        <v>2.25</v>
      </c>
      <c r="G679" s="11" t="s">
        <v>764</v>
      </c>
      <c r="H679" s="11">
        <v>1.95</v>
      </c>
      <c r="I679" s="11" t="s">
        <v>764</v>
      </c>
      <c r="J679" s="11">
        <v>1.95</v>
      </c>
      <c r="K679" s="11"/>
      <c r="L679" s="11"/>
      <c r="M679" s="11"/>
      <c r="N679" s="11"/>
      <c r="O679" s="10"/>
      <c r="P679" s="10"/>
      <c r="Q679" s="10"/>
      <c r="R679" s="10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 t="s">
        <v>748</v>
      </c>
      <c r="AH679" s="11">
        <v>0.8</v>
      </c>
      <c r="AI679" s="88" t="s">
        <v>727</v>
      </c>
      <c r="AJ679" s="11">
        <f t="shared" si="51"/>
        <v>6.7200000000000006</v>
      </c>
    </row>
    <row r="680" spans="1:36" x14ac:dyDescent="0.2">
      <c r="A680" s="7"/>
      <c r="B680" s="8"/>
      <c r="C680" s="208" t="s">
        <v>770</v>
      </c>
      <c r="D680" s="11">
        <v>4.05</v>
      </c>
      <c r="E680" s="11" t="s">
        <v>764</v>
      </c>
      <c r="F680" s="11">
        <v>4.05</v>
      </c>
      <c r="G680" s="11" t="s">
        <v>764</v>
      </c>
      <c r="H680" s="11">
        <v>4.05</v>
      </c>
      <c r="I680" s="11" t="s">
        <v>764</v>
      </c>
      <c r="J680" s="11">
        <v>4.05</v>
      </c>
      <c r="K680" s="11"/>
      <c r="L680" s="11"/>
      <c r="M680" s="11"/>
      <c r="N680" s="11"/>
      <c r="O680" s="10"/>
      <c r="P680" s="10"/>
      <c r="Q680" s="10"/>
      <c r="R680" s="10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 t="s">
        <v>748</v>
      </c>
      <c r="AH680" s="11">
        <v>1.4</v>
      </c>
      <c r="AI680" s="88" t="s">
        <v>727</v>
      </c>
      <c r="AJ680" s="11">
        <f t="shared" si="51"/>
        <v>22.679999999999996</v>
      </c>
    </row>
    <row r="681" spans="1:36" ht="12.75" customHeight="1" x14ac:dyDescent="0.2">
      <c r="A681" s="7"/>
      <c r="B681" s="8"/>
      <c r="C681" s="208" t="s">
        <v>771</v>
      </c>
      <c r="D681" s="11">
        <v>5.25</v>
      </c>
      <c r="E681" s="11" t="s">
        <v>764</v>
      </c>
      <c r="F681" s="11">
        <v>10.75</v>
      </c>
      <c r="G681" s="11" t="s">
        <v>764</v>
      </c>
      <c r="H681" s="11">
        <v>2.5499999999999998</v>
      </c>
      <c r="I681" s="11" t="s">
        <v>764</v>
      </c>
      <c r="J681" s="11">
        <v>6.1</v>
      </c>
      <c r="K681" s="11"/>
      <c r="L681" s="11"/>
      <c r="M681" s="11"/>
      <c r="N681" s="11"/>
      <c r="O681" s="10"/>
      <c r="P681" s="10"/>
      <c r="Q681" s="10"/>
      <c r="R681" s="10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 t="s">
        <v>748</v>
      </c>
      <c r="AH681" s="11">
        <v>2.2000000000000002</v>
      </c>
      <c r="AI681" s="88" t="s">
        <v>727</v>
      </c>
      <c r="AJ681" s="11">
        <f t="shared" si="51"/>
        <v>54.230000000000004</v>
      </c>
    </row>
    <row r="682" spans="1:36" ht="12.75" customHeight="1" x14ac:dyDescent="0.2">
      <c r="A682" s="7"/>
      <c r="B682" s="8"/>
      <c r="C682" s="208" t="s">
        <v>772</v>
      </c>
      <c r="D682" s="11">
        <v>4.6500000000000004</v>
      </c>
      <c r="E682" s="11" t="s">
        <v>764</v>
      </c>
      <c r="F682" s="11">
        <v>4.6500000000000004</v>
      </c>
      <c r="G682" s="11" t="s">
        <v>764</v>
      </c>
      <c r="H682" s="11">
        <v>3.45</v>
      </c>
      <c r="I682" s="11" t="s">
        <v>764</v>
      </c>
      <c r="J682" s="11">
        <v>3.45</v>
      </c>
      <c r="K682" s="11"/>
      <c r="L682" s="11"/>
      <c r="M682" s="11"/>
      <c r="N682" s="11"/>
      <c r="O682" s="10"/>
      <c r="P682" s="10"/>
      <c r="Q682" s="10"/>
      <c r="R682" s="10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 t="s">
        <v>748</v>
      </c>
      <c r="AH682" s="11">
        <v>1.4</v>
      </c>
      <c r="AI682" s="88" t="s">
        <v>727</v>
      </c>
      <c r="AJ682" s="11">
        <f t="shared" si="51"/>
        <v>22.679999999999996</v>
      </c>
    </row>
    <row r="683" spans="1:36" ht="12" customHeight="1" x14ac:dyDescent="0.2">
      <c r="A683" s="7"/>
      <c r="B683" s="8"/>
      <c r="C683" s="208" t="s">
        <v>774</v>
      </c>
      <c r="D683" s="11">
        <v>3.42</v>
      </c>
      <c r="E683" s="11" t="s">
        <v>764</v>
      </c>
      <c r="F683" s="88">
        <v>3.42</v>
      </c>
      <c r="G683" s="11" t="s">
        <v>764</v>
      </c>
      <c r="H683" s="11">
        <v>2.2400000000000002</v>
      </c>
      <c r="I683" s="11" t="s">
        <v>764</v>
      </c>
      <c r="J683" s="11">
        <v>2.2400000000000002</v>
      </c>
      <c r="K683" s="11"/>
      <c r="L683" s="11"/>
      <c r="M683" s="11"/>
      <c r="N683" s="11"/>
      <c r="O683" s="10"/>
      <c r="P683" s="10"/>
      <c r="Q683" s="10"/>
      <c r="R683" s="10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 t="s">
        <v>748</v>
      </c>
      <c r="AH683" s="11">
        <v>1.4</v>
      </c>
      <c r="AI683" s="88" t="s">
        <v>727</v>
      </c>
      <c r="AJ683" s="11">
        <f t="shared" si="51"/>
        <v>15.847999999999999</v>
      </c>
    </row>
    <row r="684" spans="1:36" ht="12" customHeight="1" x14ac:dyDescent="0.2">
      <c r="A684" s="7"/>
      <c r="B684" s="8"/>
      <c r="C684" s="208" t="s">
        <v>854</v>
      </c>
      <c r="D684" s="11">
        <v>1.53</v>
      </c>
      <c r="E684" s="11" t="s">
        <v>764</v>
      </c>
      <c r="F684" s="88">
        <v>3.45</v>
      </c>
      <c r="G684" s="11" t="s">
        <v>764</v>
      </c>
      <c r="H684" s="11">
        <v>3.45</v>
      </c>
      <c r="I684" s="11" t="s">
        <v>764</v>
      </c>
      <c r="J684" s="11">
        <v>1.53</v>
      </c>
      <c r="K684" s="11"/>
      <c r="L684" s="11"/>
      <c r="M684" s="11"/>
      <c r="N684" s="11"/>
      <c r="O684" s="10"/>
      <c r="P684" s="10"/>
      <c r="Q684" s="10"/>
      <c r="R684" s="10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 t="s">
        <v>748</v>
      </c>
      <c r="AH684" s="11">
        <v>2.7</v>
      </c>
      <c r="AI684" s="88" t="s">
        <v>727</v>
      </c>
      <c r="AJ684" s="11">
        <f t="shared" si="51"/>
        <v>26.891999999999999</v>
      </c>
    </row>
    <row r="685" spans="1:36" x14ac:dyDescent="0.2">
      <c r="A685" s="7"/>
      <c r="B685" s="8"/>
      <c r="C685" s="208" t="s">
        <v>775</v>
      </c>
      <c r="D685" s="11">
        <v>5.39</v>
      </c>
      <c r="E685" s="11" t="s">
        <v>764</v>
      </c>
      <c r="F685" s="11">
        <v>5.39</v>
      </c>
      <c r="G685" s="11" t="s">
        <v>764</v>
      </c>
      <c r="H685" s="11">
        <v>3.8</v>
      </c>
      <c r="I685" s="11" t="s">
        <v>764</v>
      </c>
      <c r="J685" s="11">
        <v>3.8</v>
      </c>
      <c r="K685" s="11"/>
      <c r="L685" s="11"/>
      <c r="M685" s="11"/>
      <c r="N685" s="11"/>
      <c r="O685" s="10"/>
      <c r="P685" s="10"/>
      <c r="Q685" s="10"/>
      <c r="R685" s="10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 t="s">
        <v>748</v>
      </c>
      <c r="AH685" s="11">
        <v>1.4</v>
      </c>
      <c r="AI685" s="88" t="s">
        <v>727</v>
      </c>
      <c r="AJ685" s="11">
        <f t="shared" si="51"/>
        <v>25.731999999999996</v>
      </c>
    </row>
    <row r="686" spans="1:36" x14ac:dyDescent="0.2">
      <c r="A686" s="7"/>
      <c r="B686" s="8"/>
      <c r="C686" s="208" t="s">
        <v>776</v>
      </c>
      <c r="D686" s="11">
        <v>4.79</v>
      </c>
      <c r="E686" s="11" t="s">
        <v>764</v>
      </c>
      <c r="F686" s="11">
        <v>4.79</v>
      </c>
      <c r="G686" s="11" t="s">
        <v>764</v>
      </c>
      <c r="H686" s="11">
        <v>1.64</v>
      </c>
      <c r="I686" s="11" t="s">
        <v>764</v>
      </c>
      <c r="J686" s="11">
        <v>1.64</v>
      </c>
      <c r="K686" s="11"/>
      <c r="L686" s="11"/>
      <c r="M686" s="11"/>
      <c r="N686" s="11"/>
      <c r="O686" s="10"/>
      <c r="P686" s="10"/>
      <c r="Q686" s="10"/>
      <c r="R686" s="10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 t="s">
        <v>748</v>
      </c>
      <c r="AH686" s="11">
        <v>1.4</v>
      </c>
      <c r="AI686" s="88" t="s">
        <v>727</v>
      </c>
      <c r="AJ686" s="11">
        <f t="shared" si="51"/>
        <v>18.004000000000001</v>
      </c>
    </row>
    <row r="687" spans="1:36" x14ac:dyDescent="0.2">
      <c r="A687" s="7"/>
      <c r="B687" s="8"/>
      <c r="C687" s="208" t="s">
        <v>777</v>
      </c>
      <c r="D687" s="11">
        <v>7.95</v>
      </c>
      <c r="E687" s="11" t="s">
        <v>764</v>
      </c>
      <c r="F687" s="11">
        <v>1</v>
      </c>
      <c r="G687" s="11" t="s">
        <v>764</v>
      </c>
      <c r="H687" s="11">
        <v>3.23</v>
      </c>
      <c r="I687" s="11" t="s">
        <v>764</v>
      </c>
      <c r="J687" s="11">
        <v>1.51</v>
      </c>
      <c r="K687" s="11" t="s">
        <v>764</v>
      </c>
      <c r="L687" s="11">
        <v>11.18</v>
      </c>
      <c r="M687" s="11"/>
      <c r="N687" s="11"/>
      <c r="O687" s="10"/>
      <c r="P687" s="10"/>
      <c r="Q687" s="10"/>
      <c r="R687" s="10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 t="s">
        <v>748</v>
      </c>
      <c r="AH687" s="11">
        <v>2.2000000000000002</v>
      </c>
      <c r="AI687" s="88" t="s">
        <v>727</v>
      </c>
      <c r="AJ687" s="11">
        <f t="shared" si="51"/>
        <v>54.713999999999999</v>
      </c>
    </row>
    <row r="688" spans="1:36" x14ac:dyDescent="0.2">
      <c r="A688" s="7"/>
      <c r="B688" s="8"/>
      <c r="C688" s="208" t="s">
        <v>778</v>
      </c>
      <c r="D688" s="11">
        <v>0.73</v>
      </c>
      <c r="E688" s="11" t="s">
        <v>764</v>
      </c>
      <c r="F688" s="11">
        <v>4.79</v>
      </c>
      <c r="G688" s="11" t="s">
        <v>764</v>
      </c>
      <c r="H688" s="11">
        <v>4.9000000000000004</v>
      </c>
      <c r="I688" s="11" t="s">
        <v>764</v>
      </c>
      <c r="J688" s="11">
        <v>6.45</v>
      </c>
      <c r="K688" s="11" t="s">
        <v>764</v>
      </c>
      <c r="L688" s="11">
        <v>4.17</v>
      </c>
      <c r="M688" s="11" t="s">
        <v>764</v>
      </c>
      <c r="N688" s="11">
        <v>1.66</v>
      </c>
      <c r="O688" s="10"/>
      <c r="P688" s="10"/>
      <c r="Q688" s="10"/>
      <c r="R688" s="10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 t="s">
        <v>748</v>
      </c>
      <c r="AH688" s="11">
        <v>1.4</v>
      </c>
      <c r="AI688" s="88" t="s">
        <v>727</v>
      </c>
      <c r="AJ688" s="11">
        <f t="shared" si="51"/>
        <v>31.779999999999998</v>
      </c>
    </row>
    <row r="689" spans="1:36" x14ac:dyDescent="0.2">
      <c r="A689" s="7"/>
      <c r="B689" s="8"/>
      <c r="C689" s="208" t="s">
        <v>780</v>
      </c>
      <c r="D689" s="11">
        <v>6.45</v>
      </c>
      <c r="E689" s="11" t="s">
        <v>764</v>
      </c>
      <c r="F689" s="11">
        <v>6.45</v>
      </c>
      <c r="G689" s="11" t="s">
        <v>764</v>
      </c>
      <c r="H689" s="11">
        <v>2.25</v>
      </c>
      <c r="I689" s="11" t="s">
        <v>764</v>
      </c>
      <c r="J689" s="11">
        <v>2.25</v>
      </c>
      <c r="K689" s="11"/>
      <c r="L689" s="11"/>
      <c r="M689" s="11"/>
      <c r="N689" s="11"/>
      <c r="O689" s="10"/>
      <c r="P689" s="10"/>
      <c r="Q689" s="10"/>
      <c r="R689" s="10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 t="s">
        <v>748</v>
      </c>
      <c r="AH689" s="11">
        <v>0.8</v>
      </c>
      <c r="AI689" s="88" t="s">
        <v>727</v>
      </c>
      <c r="AJ689" s="11">
        <f t="shared" si="51"/>
        <v>13.92</v>
      </c>
    </row>
    <row r="690" spans="1:36" x14ac:dyDescent="0.2">
      <c r="A690" s="7"/>
      <c r="B690" s="8"/>
      <c r="C690" s="208" t="s">
        <v>781</v>
      </c>
      <c r="D690" s="11">
        <v>6.45</v>
      </c>
      <c r="E690" s="11" t="s">
        <v>764</v>
      </c>
      <c r="F690" s="88">
        <v>6.45</v>
      </c>
      <c r="G690" s="11" t="s">
        <v>764</v>
      </c>
      <c r="H690" s="11">
        <v>5.3</v>
      </c>
      <c r="I690" s="11" t="s">
        <v>764</v>
      </c>
      <c r="J690" s="11">
        <v>5.3</v>
      </c>
      <c r="K690" s="11"/>
      <c r="L690" s="11"/>
      <c r="M690" s="11"/>
      <c r="N690" s="11"/>
      <c r="O690" s="10"/>
      <c r="P690" s="10"/>
      <c r="Q690" s="10"/>
      <c r="R690" s="10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 t="s">
        <v>748</v>
      </c>
      <c r="AH690" s="11">
        <v>1.4</v>
      </c>
      <c r="AI690" s="88" t="s">
        <v>727</v>
      </c>
      <c r="AJ690" s="11">
        <f t="shared" si="51"/>
        <v>32.9</v>
      </c>
    </row>
    <row r="691" spans="1:36" x14ac:dyDescent="0.2">
      <c r="A691" s="7"/>
      <c r="B691" s="8"/>
      <c r="C691" s="208" t="s">
        <v>782</v>
      </c>
      <c r="D691" s="11">
        <v>6.45</v>
      </c>
      <c r="E691" s="11" t="s">
        <v>764</v>
      </c>
      <c r="F691" s="11">
        <v>6.45</v>
      </c>
      <c r="G691" s="11" t="s">
        <v>764</v>
      </c>
      <c r="H691" s="11">
        <v>2.98</v>
      </c>
      <c r="I691" s="11" t="s">
        <v>764</v>
      </c>
      <c r="J691" s="11">
        <v>2.98</v>
      </c>
      <c r="K691" s="11"/>
      <c r="L691" s="11"/>
      <c r="M691" s="11"/>
      <c r="N691" s="11"/>
      <c r="O691" s="10"/>
      <c r="P691" s="10"/>
      <c r="Q691" s="10"/>
      <c r="R691" s="10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 t="s">
        <v>748</v>
      </c>
      <c r="AH691" s="11">
        <v>0.8</v>
      </c>
      <c r="AI691" s="88" t="s">
        <v>727</v>
      </c>
      <c r="AJ691" s="11">
        <f t="shared" si="51"/>
        <v>15.088000000000001</v>
      </c>
    </row>
    <row r="692" spans="1:36" ht="12" customHeight="1" x14ac:dyDescent="0.2">
      <c r="A692" s="7"/>
      <c r="B692" s="8"/>
      <c r="C692" s="130"/>
      <c r="D692" s="287" t="s">
        <v>891</v>
      </c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  <c r="Q692" s="287"/>
      <c r="R692" s="287"/>
      <c r="S692" s="287"/>
      <c r="T692" s="287"/>
      <c r="U692" s="287"/>
      <c r="V692" s="287"/>
      <c r="W692" s="287"/>
      <c r="X692" s="287"/>
      <c r="Y692" s="287"/>
      <c r="Z692" s="287"/>
      <c r="AA692" s="287"/>
      <c r="AB692" s="287"/>
      <c r="AC692" s="287"/>
      <c r="AD692" s="287"/>
      <c r="AE692" s="287"/>
      <c r="AF692" s="287"/>
      <c r="AG692" s="287"/>
      <c r="AH692" s="287"/>
      <c r="AI692" s="287"/>
      <c r="AJ692" s="92">
        <f>SUM(AJ674:AJ691)</f>
        <v>410.74</v>
      </c>
    </row>
    <row r="693" spans="1:36" ht="12" customHeight="1" x14ac:dyDescent="0.2">
      <c r="A693" s="7"/>
      <c r="B693" s="8"/>
      <c r="C693" s="130"/>
      <c r="D693" s="290" t="s">
        <v>795</v>
      </c>
      <c r="E693" s="290"/>
      <c r="F693" s="290"/>
      <c r="G693" s="290"/>
      <c r="H693" s="290"/>
      <c r="I693" s="290"/>
      <c r="J693" s="290"/>
      <c r="K693" s="290"/>
      <c r="L693" s="290"/>
      <c r="M693" s="290"/>
      <c r="N693" s="290"/>
      <c r="O693" s="290"/>
      <c r="P693" s="290"/>
      <c r="Q693" s="290"/>
      <c r="R693" s="290"/>
      <c r="S693" s="290"/>
      <c r="T693" s="290"/>
      <c r="U693" s="290"/>
      <c r="V693" s="290"/>
      <c r="W693" s="290"/>
      <c r="X693" s="290"/>
      <c r="Y693" s="290"/>
      <c r="Z693" s="290"/>
      <c r="AA693" s="290"/>
      <c r="AB693" s="290"/>
      <c r="AC693" s="290"/>
      <c r="AD693" s="290"/>
      <c r="AE693" s="290"/>
      <c r="AF693" s="290"/>
      <c r="AG693" s="290"/>
      <c r="AH693" s="290"/>
      <c r="AI693" s="290"/>
      <c r="AJ693" s="99"/>
    </row>
    <row r="694" spans="1:36" ht="12" customHeight="1" x14ac:dyDescent="0.2">
      <c r="A694" s="7"/>
      <c r="B694" s="8"/>
      <c r="C694" s="130"/>
      <c r="D694" s="290" t="s">
        <v>821</v>
      </c>
      <c r="E694" s="290"/>
      <c r="F694" s="290"/>
      <c r="G694" s="290"/>
      <c r="H694" s="290"/>
      <c r="I694" s="290"/>
      <c r="J694" s="290"/>
      <c r="K694" s="290"/>
      <c r="L694" s="290"/>
      <c r="M694" s="290"/>
      <c r="N694" s="290"/>
      <c r="O694" s="290"/>
      <c r="P694" s="290"/>
      <c r="Q694" s="290"/>
      <c r="R694" s="290"/>
      <c r="S694" s="290"/>
      <c r="T694" s="290"/>
      <c r="U694" s="290"/>
      <c r="V694" s="290"/>
      <c r="W694" s="290"/>
      <c r="X694" s="290"/>
      <c r="Y694" s="290"/>
      <c r="Z694" s="290"/>
      <c r="AA694" s="290"/>
      <c r="AB694" s="290"/>
      <c r="AC694" s="290"/>
      <c r="AD694" s="290"/>
      <c r="AE694" s="290"/>
      <c r="AF694" s="290"/>
      <c r="AG694" s="290"/>
      <c r="AH694" s="290"/>
      <c r="AI694" s="290"/>
      <c r="AJ694" s="99"/>
    </row>
    <row r="695" spans="1:36" ht="12" customHeight="1" x14ac:dyDescent="0.2">
      <c r="A695" s="7"/>
      <c r="B695" s="8"/>
      <c r="C695" s="98" t="s">
        <v>823</v>
      </c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 spans="1:36" x14ac:dyDescent="0.2">
      <c r="A696" s="7"/>
      <c r="B696" s="8"/>
      <c r="C696" s="208" t="s">
        <v>751</v>
      </c>
      <c r="D696" s="11">
        <v>1.2</v>
      </c>
      <c r="E696" s="11" t="s">
        <v>745</v>
      </c>
      <c r="F696" s="11">
        <v>1.2</v>
      </c>
      <c r="G696" s="11"/>
      <c r="H696" s="1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1" t="s">
        <v>745</v>
      </c>
      <c r="AH696" s="11">
        <v>1</v>
      </c>
      <c r="AI696" s="88" t="s">
        <v>727</v>
      </c>
      <c r="AJ696" s="11">
        <f>(D696*F696)*AH696</f>
        <v>1.44</v>
      </c>
    </row>
    <row r="697" spans="1:36" x14ac:dyDescent="0.2">
      <c r="A697" s="7"/>
      <c r="B697" s="8"/>
      <c r="C697" s="98" t="s">
        <v>822</v>
      </c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1"/>
      <c r="AI697" s="11"/>
      <c r="AJ697" s="11"/>
    </row>
    <row r="698" spans="1:36" x14ac:dyDescent="0.2">
      <c r="A698" s="7"/>
      <c r="B698" s="8"/>
      <c r="C698" s="98"/>
      <c r="D698" s="11">
        <v>0.8</v>
      </c>
      <c r="E698" s="11" t="s">
        <v>748</v>
      </c>
      <c r="F698" s="11">
        <v>2.1</v>
      </c>
      <c r="G698" s="11"/>
      <c r="H698" s="11"/>
      <c r="I698" s="11"/>
      <c r="J698" s="11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1" t="s">
        <v>745</v>
      </c>
      <c r="AH698" s="11">
        <v>1</v>
      </c>
      <c r="AI698" s="88" t="s">
        <v>727</v>
      </c>
      <c r="AJ698" s="11">
        <f>(D698*F698)*AH698</f>
        <v>1.6800000000000002</v>
      </c>
    </row>
    <row r="699" spans="1:36" ht="12" customHeight="1" x14ac:dyDescent="0.2">
      <c r="A699" s="7"/>
      <c r="B699" s="8"/>
      <c r="C699" s="98"/>
      <c r="D699" s="290" t="s">
        <v>824</v>
      </c>
      <c r="E699" s="290"/>
      <c r="F699" s="290"/>
      <c r="G699" s="290"/>
      <c r="H699" s="290"/>
      <c r="I699" s="290"/>
      <c r="J699" s="290"/>
      <c r="K699" s="290"/>
      <c r="L699" s="290"/>
      <c r="M699" s="290"/>
      <c r="N699" s="290"/>
      <c r="O699" s="290"/>
      <c r="P699" s="290"/>
      <c r="Q699" s="290"/>
      <c r="R699" s="290"/>
      <c r="S699" s="290"/>
      <c r="T699" s="290"/>
      <c r="U699" s="290"/>
      <c r="V699" s="290"/>
      <c r="W699" s="290"/>
      <c r="X699" s="290"/>
      <c r="Y699" s="290"/>
      <c r="Z699" s="290"/>
      <c r="AA699" s="290"/>
      <c r="AB699" s="290"/>
      <c r="AC699" s="290"/>
      <c r="AD699" s="290"/>
      <c r="AE699" s="290"/>
      <c r="AF699" s="290"/>
      <c r="AG699" s="290"/>
      <c r="AH699" s="290"/>
      <c r="AI699" s="290"/>
      <c r="AJ699" s="99"/>
    </row>
    <row r="700" spans="1:36" ht="12.75" customHeight="1" x14ac:dyDescent="0.2">
      <c r="A700" s="7"/>
      <c r="B700" s="8"/>
      <c r="C700" s="208" t="s">
        <v>861</v>
      </c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</row>
    <row r="701" spans="1:36" x14ac:dyDescent="0.2">
      <c r="A701" s="7"/>
      <c r="B701" s="8"/>
      <c r="C701" s="208" t="s">
        <v>749</v>
      </c>
      <c r="D701" s="11">
        <v>0.6</v>
      </c>
      <c r="E701" s="11" t="s">
        <v>745</v>
      </c>
      <c r="F701" s="11">
        <v>0.2</v>
      </c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 t="s">
        <v>748</v>
      </c>
      <c r="AH701" s="11">
        <v>15</v>
      </c>
      <c r="AI701" s="88" t="s">
        <v>727</v>
      </c>
      <c r="AJ701" s="11">
        <f>(D701*F701)*AH701</f>
        <v>1.7999999999999998</v>
      </c>
    </row>
    <row r="702" spans="1:36" x14ac:dyDescent="0.2">
      <c r="A702" s="7"/>
      <c r="B702" s="8"/>
      <c r="C702" s="208" t="s">
        <v>822</v>
      </c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1"/>
      <c r="AI702" s="88"/>
      <c r="AJ702" s="101"/>
    </row>
    <row r="703" spans="1:36" x14ac:dyDescent="0.2">
      <c r="A703" s="7"/>
      <c r="B703" s="8"/>
      <c r="C703" s="208"/>
      <c r="D703" s="11">
        <v>0.8</v>
      </c>
      <c r="E703" s="11" t="s">
        <v>748</v>
      </c>
      <c r="F703" s="11">
        <v>0.2</v>
      </c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 t="s">
        <v>748</v>
      </c>
      <c r="AH703" s="11">
        <v>6</v>
      </c>
      <c r="AI703" s="88" t="s">
        <v>727</v>
      </c>
      <c r="AJ703" s="11">
        <f>(D703*F703)*AH703</f>
        <v>0.96000000000000019</v>
      </c>
    </row>
    <row r="704" spans="1:36" ht="12" customHeight="1" x14ac:dyDescent="0.2">
      <c r="A704" s="7"/>
      <c r="B704" s="8"/>
      <c r="C704" s="98"/>
      <c r="D704" s="290" t="s">
        <v>825</v>
      </c>
      <c r="E704" s="290"/>
      <c r="F704" s="290"/>
      <c r="G704" s="290"/>
      <c r="H704" s="290"/>
      <c r="I704" s="290"/>
      <c r="J704" s="290"/>
      <c r="K704" s="290"/>
      <c r="L704" s="290"/>
      <c r="M704" s="290"/>
      <c r="N704" s="290"/>
      <c r="O704" s="290"/>
      <c r="P704" s="290"/>
      <c r="Q704" s="290"/>
      <c r="R704" s="290"/>
      <c r="S704" s="290"/>
      <c r="T704" s="290"/>
      <c r="U704" s="290"/>
      <c r="V704" s="290"/>
      <c r="W704" s="290"/>
      <c r="X704" s="290"/>
      <c r="Y704" s="290"/>
      <c r="Z704" s="290"/>
      <c r="AA704" s="290"/>
      <c r="AB704" s="290"/>
      <c r="AC704" s="290"/>
      <c r="AD704" s="290"/>
      <c r="AE704" s="290"/>
      <c r="AF704" s="290"/>
      <c r="AG704" s="290"/>
      <c r="AH704" s="290"/>
      <c r="AI704" s="290"/>
      <c r="AJ704" s="99"/>
    </row>
    <row r="705" spans="1:36" ht="12.75" customHeight="1" x14ac:dyDescent="0.2">
      <c r="A705" s="7"/>
      <c r="B705" s="8"/>
      <c r="C705" s="208" t="s">
        <v>861</v>
      </c>
      <c r="D705" s="92"/>
      <c r="E705" s="92"/>
      <c r="F705" s="92"/>
      <c r="G705" s="92"/>
      <c r="H705" s="92"/>
      <c r="I705" s="92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1"/>
      <c r="AI705" s="11"/>
      <c r="AJ705" s="11"/>
    </row>
    <row r="706" spans="1:36" x14ac:dyDescent="0.2">
      <c r="A706" s="7"/>
      <c r="B706" s="8"/>
      <c r="C706" s="208" t="s">
        <v>749</v>
      </c>
      <c r="D706" s="11">
        <v>0.6</v>
      </c>
      <c r="E706" s="11" t="s">
        <v>745</v>
      </c>
      <c r="F706" s="11">
        <v>0.6</v>
      </c>
      <c r="G706" s="11"/>
      <c r="H706" s="11"/>
      <c r="I706" s="11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1" t="s">
        <v>748</v>
      </c>
      <c r="AH706" s="11">
        <v>3</v>
      </c>
      <c r="AI706" s="88" t="s">
        <v>727</v>
      </c>
      <c r="AJ706" s="11">
        <f>(D706*F706)*AH706</f>
        <v>1.08</v>
      </c>
    </row>
    <row r="707" spans="1:36" x14ac:dyDescent="0.2">
      <c r="A707" s="7"/>
      <c r="B707" s="8"/>
      <c r="C707" s="208" t="s">
        <v>750</v>
      </c>
      <c r="D707" s="11">
        <v>0.6</v>
      </c>
      <c r="E707" s="11" t="s">
        <v>745</v>
      </c>
      <c r="F707" s="11">
        <v>0.8</v>
      </c>
      <c r="G707" s="11"/>
      <c r="H707" s="11"/>
      <c r="I707" s="11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1" t="s">
        <v>748</v>
      </c>
      <c r="AH707" s="11">
        <v>0</v>
      </c>
      <c r="AI707" s="88" t="s">
        <v>727</v>
      </c>
      <c r="AJ707" s="11">
        <f>(D707*F707)*AH707</f>
        <v>0</v>
      </c>
    </row>
    <row r="708" spans="1:36" x14ac:dyDescent="0.2">
      <c r="A708" s="7"/>
      <c r="B708" s="8"/>
      <c r="C708" s="208" t="s">
        <v>751</v>
      </c>
      <c r="D708" s="11">
        <v>1.2</v>
      </c>
      <c r="E708" s="11" t="s">
        <v>745</v>
      </c>
      <c r="F708" s="11">
        <v>0.8</v>
      </c>
      <c r="G708" s="11"/>
      <c r="H708" s="11"/>
      <c r="I708" s="11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1" t="s">
        <v>748</v>
      </c>
      <c r="AH708" s="11">
        <v>6</v>
      </c>
      <c r="AI708" s="88" t="s">
        <v>727</v>
      </c>
      <c r="AJ708" s="11">
        <f>(D708*F708)*AH708</f>
        <v>5.76</v>
      </c>
    </row>
    <row r="709" spans="1:36" x14ac:dyDescent="0.2">
      <c r="A709" s="7"/>
      <c r="B709" s="8"/>
      <c r="C709" s="208" t="s">
        <v>752</v>
      </c>
      <c r="D709" s="11">
        <v>1.8</v>
      </c>
      <c r="E709" s="11" t="s">
        <v>745</v>
      </c>
      <c r="F709" s="11">
        <v>0.8</v>
      </c>
      <c r="G709" s="11"/>
      <c r="H709" s="11"/>
      <c r="I709" s="11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1" t="s">
        <v>748</v>
      </c>
      <c r="AH709" s="11">
        <v>1</v>
      </c>
      <c r="AI709" s="88" t="s">
        <v>727</v>
      </c>
      <c r="AJ709" s="11">
        <f>(D709*F709)*AH709</f>
        <v>1.4400000000000002</v>
      </c>
    </row>
    <row r="710" spans="1:36" x14ac:dyDescent="0.2">
      <c r="A710" s="7"/>
      <c r="B710" s="8"/>
      <c r="C710" s="208" t="s">
        <v>753</v>
      </c>
      <c r="D710" s="11">
        <v>1.8</v>
      </c>
      <c r="E710" s="11" t="s">
        <v>745</v>
      </c>
      <c r="F710" s="11">
        <v>0.8</v>
      </c>
      <c r="G710" s="11"/>
      <c r="H710" s="11"/>
      <c r="I710" s="11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1" t="s">
        <v>748</v>
      </c>
      <c r="AH710" s="11">
        <v>6</v>
      </c>
      <c r="AI710" s="88" t="s">
        <v>727</v>
      </c>
      <c r="AJ710" s="11">
        <f>(D710*F710)*AH710</f>
        <v>8.64</v>
      </c>
    </row>
    <row r="711" spans="1:36" x14ac:dyDescent="0.2">
      <c r="A711" s="7"/>
      <c r="B711" s="8"/>
      <c r="C711" s="208" t="s">
        <v>822</v>
      </c>
      <c r="D711" s="101"/>
      <c r="E711" s="101"/>
      <c r="F711" s="101"/>
      <c r="G711" s="101"/>
      <c r="H711" s="10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1"/>
      <c r="AI711" s="11"/>
      <c r="AJ711" s="11"/>
    </row>
    <row r="712" spans="1:36" x14ac:dyDescent="0.2">
      <c r="A712" s="7"/>
      <c r="B712" s="8"/>
      <c r="C712" s="208"/>
      <c r="D712" s="11">
        <v>0.8</v>
      </c>
      <c r="E712" s="11" t="s">
        <v>748</v>
      </c>
      <c r="F712" s="11">
        <v>0.8</v>
      </c>
      <c r="G712" s="11"/>
      <c r="H712" s="1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1" t="s">
        <v>748</v>
      </c>
      <c r="AH712" s="11">
        <v>10</v>
      </c>
      <c r="AI712" s="88" t="s">
        <v>727</v>
      </c>
      <c r="AJ712" s="11">
        <f>(D712*F712)*AH712</f>
        <v>6.4000000000000012</v>
      </c>
    </row>
    <row r="713" spans="1:36" ht="12" customHeight="1" x14ac:dyDescent="0.2">
      <c r="A713" s="7"/>
      <c r="B713" s="8"/>
      <c r="C713" s="98"/>
      <c r="D713" s="290" t="s">
        <v>862</v>
      </c>
      <c r="E713" s="290"/>
      <c r="F713" s="290"/>
      <c r="G713" s="290"/>
      <c r="H713" s="290"/>
      <c r="I713" s="290"/>
      <c r="J713" s="290"/>
      <c r="K713" s="290"/>
      <c r="L713" s="290"/>
      <c r="M713" s="290"/>
      <c r="N713" s="290"/>
      <c r="O713" s="290"/>
      <c r="P713" s="290"/>
      <c r="Q713" s="290"/>
      <c r="R713" s="290"/>
      <c r="S713" s="290"/>
      <c r="T713" s="290"/>
      <c r="U713" s="290"/>
      <c r="V713" s="290"/>
      <c r="W713" s="290"/>
      <c r="X713" s="290"/>
      <c r="Y713" s="290"/>
      <c r="Z713" s="290"/>
      <c r="AA713" s="290"/>
      <c r="AB713" s="290"/>
      <c r="AC713" s="290"/>
      <c r="AD713" s="290"/>
      <c r="AE713" s="290"/>
      <c r="AF713" s="290"/>
      <c r="AG713" s="290"/>
      <c r="AH713" s="290"/>
      <c r="AI713" s="290"/>
      <c r="AJ713" s="99"/>
    </row>
    <row r="714" spans="1:36" ht="12" customHeight="1" x14ac:dyDescent="0.2">
      <c r="A714" s="7"/>
      <c r="B714" s="8"/>
      <c r="C714" s="208" t="s">
        <v>822</v>
      </c>
      <c r="D714" s="101"/>
      <c r="E714" s="101"/>
      <c r="F714" s="101"/>
      <c r="G714" s="101"/>
      <c r="H714" s="10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1"/>
      <c r="AI714" s="11"/>
      <c r="AJ714" s="11"/>
    </row>
    <row r="715" spans="1:36" ht="12" customHeight="1" x14ac:dyDescent="0.2">
      <c r="A715" s="7"/>
      <c r="B715" s="8"/>
      <c r="C715" s="208" t="s">
        <v>826</v>
      </c>
      <c r="D715" s="11">
        <v>0.6</v>
      </c>
      <c r="E715" s="11" t="s">
        <v>748</v>
      </c>
      <c r="F715" s="11">
        <v>0.6</v>
      </c>
      <c r="G715" s="11"/>
      <c r="H715" s="1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1" t="s">
        <v>748</v>
      </c>
      <c r="AH715" s="11">
        <v>3</v>
      </c>
      <c r="AI715" s="88" t="s">
        <v>727</v>
      </c>
      <c r="AJ715" s="11">
        <f>(D715*F715)*AH715</f>
        <v>1.08</v>
      </c>
    </row>
    <row r="716" spans="1:36" ht="12" customHeight="1" x14ac:dyDescent="0.2">
      <c r="A716" s="7"/>
      <c r="B716" s="8"/>
      <c r="C716" s="208" t="s">
        <v>863</v>
      </c>
      <c r="D716" s="11">
        <v>0.6</v>
      </c>
      <c r="E716" s="11" t="s">
        <v>748</v>
      </c>
      <c r="F716" s="11">
        <v>0.8</v>
      </c>
      <c r="G716" s="11"/>
      <c r="H716" s="1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1" t="s">
        <v>748</v>
      </c>
      <c r="AH716" s="11">
        <v>0</v>
      </c>
      <c r="AI716" s="88" t="s">
        <v>727</v>
      </c>
      <c r="AJ716" s="11">
        <f>(D716*F716)*AH716</f>
        <v>0</v>
      </c>
    </row>
    <row r="717" spans="1:36" x14ac:dyDescent="0.2">
      <c r="A717" s="7"/>
      <c r="B717" s="8"/>
      <c r="C717" s="208" t="s">
        <v>827</v>
      </c>
      <c r="D717" s="11">
        <v>1.2</v>
      </c>
      <c r="E717" s="11" t="s">
        <v>748</v>
      </c>
      <c r="F717" s="11">
        <v>1.2</v>
      </c>
      <c r="G717" s="11"/>
      <c r="H717" s="1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1" t="s">
        <v>748</v>
      </c>
      <c r="AH717" s="11">
        <v>6</v>
      </c>
      <c r="AI717" s="88" t="s">
        <v>727</v>
      </c>
      <c r="AJ717" s="11">
        <f>(D717*F717)*AH717</f>
        <v>8.64</v>
      </c>
    </row>
    <row r="718" spans="1:36" x14ac:dyDescent="0.2">
      <c r="A718" s="7"/>
      <c r="B718" s="8"/>
      <c r="C718" s="208" t="s">
        <v>828</v>
      </c>
      <c r="D718" s="11">
        <v>1.2</v>
      </c>
      <c r="E718" s="11" t="s">
        <v>748</v>
      </c>
      <c r="F718" s="11">
        <v>1.8</v>
      </c>
      <c r="G718" s="11"/>
      <c r="H718" s="1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1" t="s">
        <v>748</v>
      </c>
      <c r="AH718" s="11">
        <v>1</v>
      </c>
      <c r="AI718" s="88" t="s">
        <v>727</v>
      </c>
      <c r="AJ718" s="11">
        <f>(D718*F718)*AH718</f>
        <v>2.16</v>
      </c>
    </row>
    <row r="719" spans="1:36" x14ac:dyDescent="0.2">
      <c r="A719" s="7"/>
      <c r="B719" s="8"/>
      <c r="C719" s="208" t="s">
        <v>829</v>
      </c>
      <c r="D719" s="11">
        <v>1.8</v>
      </c>
      <c r="E719" s="11" t="s">
        <v>748</v>
      </c>
      <c r="F719" s="11">
        <v>1.6</v>
      </c>
      <c r="G719" s="11"/>
      <c r="H719" s="1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1" t="s">
        <v>748</v>
      </c>
      <c r="AH719" s="11">
        <v>6</v>
      </c>
      <c r="AI719" s="88" t="s">
        <v>727</v>
      </c>
      <c r="AJ719" s="11">
        <f>(D719*F719)*AH719</f>
        <v>17.28</v>
      </c>
    </row>
    <row r="720" spans="1:36" ht="12" customHeight="1" x14ac:dyDescent="0.2">
      <c r="A720" s="7"/>
      <c r="B720" s="8"/>
      <c r="C720" s="98"/>
      <c r="D720" s="287" t="s">
        <v>830</v>
      </c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  <c r="Q720" s="287"/>
      <c r="R720" s="287"/>
      <c r="S720" s="287"/>
      <c r="T720" s="287"/>
      <c r="U720" s="287"/>
      <c r="V720" s="287"/>
      <c r="W720" s="287"/>
      <c r="X720" s="287"/>
      <c r="Y720" s="287"/>
      <c r="Z720" s="287"/>
      <c r="AA720" s="287"/>
      <c r="AB720" s="287"/>
      <c r="AC720" s="287"/>
      <c r="AD720" s="287"/>
      <c r="AE720" s="287"/>
      <c r="AF720" s="287"/>
      <c r="AG720" s="287"/>
      <c r="AH720" s="287"/>
      <c r="AI720" s="287"/>
      <c r="AJ720" s="92">
        <f>SUM(AJ696:AJ719)</f>
        <v>58.36</v>
      </c>
    </row>
    <row r="721" spans="1:36" ht="12" customHeight="1" x14ac:dyDescent="0.2">
      <c r="A721" s="7"/>
      <c r="B721" s="8"/>
      <c r="C721" s="98"/>
      <c r="D721" s="287" t="s">
        <v>892</v>
      </c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7"/>
      <c r="Q721" s="287"/>
      <c r="R721" s="287"/>
      <c r="S721" s="287"/>
      <c r="T721" s="287"/>
      <c r="U721" s="287"/>
      <c r="V721" s="287"/>
      <c r="W721" s="287"/>
      <c r="X721" s="287"/>
      <c r="Y721" s="287"/>
      <c r="Z721" s="287"/>
      <c r="AA721" s="287"/>
      <c r="AB721" s="287"/>
      <c r="AC721" s="287"/>
      <c r="AD721" s="287"/>
      <c r="AE721" s="287"/>
      <c r="AF721" s="287"/>
      <c r="AG721" s="287"/>
      <c r="AH721" s="287"/>
      <c r="AI721" s="287"/>
      <c r="AJ721" s="92">
        <f>AJ692-AJ720</f>
        <v>352.38</v>
      </c>
    </row>
    <row r="722" spans="1:36" ht="12" customHeight="1" x14ac:dyDescent="0.2">
      <c r="A722" s="7"/>
      <c r="B722" s="8"/>
      <c r="C722" s="131"/>
      <c r="D722" s="287" t="s">
        <v>895</v>
      </c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  <c r="Q722" s="287"/>
      <c r="R722" s="287"/>
      <c r="S722" s="287"/>
      <c r="T722" s="287"/>
      <c r="U722" s="287"/>
      <c r="V722" s="287"/>
      <c r="W722" s="287"/>
      <c r="X722" s="287"/>
      <c r="Y722" s="287"/>
      <c r="Z722" s="287"/>
      <c r="AA722" s="287"/>
      <c r="AB722" s="287"/>
      <c r="AC722" s="287"/>
      <c r="AD722" s="287"/>
      <c r="AE722" s="287"/>
      <c r="AF722" s="287"/>
      <c r="AG722" s="287"/>
      <c r="AH722" s="287"/>
      <c r="AI722" s="287"/>
      <c r="AJ722" s="92">
        <f>AJ672+AJ721</f>
        <v>950.58</v>
      </c>
    </row>
    <row r="723" spans="1:36" ht="60" x14ac:dyDescent="0.2">
      <c r="A723" s="7" t="s">
        <v>218</v>
      </c>
      <c r="B723" s="8" t="s">
        <v>219</v>
      </c>
      <c r="C723" s="9" t="s">
        <v>220</v>
      </c>
      <c r="D723" s="335"/>
      <c r="E723" s="336"/>
      <c r="F723" s="336"/>
      <c r="G723" s="336"/>
      <c r="H723" s="336"/>
      <c r="I723" s="336"/>
      <c r="J723" s="336"/>
      <c r="K723" s="336"/>
      <c r="L723" s="336"/>
      <c r="M723" s="336"/>
      <c r="N723" s="336"/>
      <c r="O723" s="336"/>
      <c r="P723" s="336"/>
      <c r="Q723" s="336"/>
      <c r="R723" s="336"/>
      <c r="S723" s="336"/>
      <c r="T723" s="336"/>
      <c r="U723" s="336"/>
      <c r="V723" s="336"/>
      <c r="W723" s="336"/>
      <c r="X723" s="336"/>
      <c r="Y723" s="336"/>
      <c r="Z723" s="336"/>
      <c r="AA723" s="336"/>
      <c r="AB723" s="336"/>
      <c r="AC723" s="336"/>
      <c r="AD723" s="336"/>
      <c r="AE723" s="336"/>
      <c r="AF723" s="336"/>
      <c r="AG723" s="336"/>
      <c r="AH723" s="336"/>
      <c r="AI723" s="337"/>
      <c r="AJ723" s="11" t="s">
        <v>19</v>
      </c>
    </row>
    <row r="724" spans="1:36" ht="49.5" customHeight="1" x14ac:dyDescent="0.2">
      <c r="A724" s="7" t="s">
        <v>221</v>
      </c>
      <c r="B724" s="8" t="s">
        <v>222</v>
      </c>
      <c r="C724" s="9" t="s">
        <v>223</v>
      </c>
      <c r="D724" s="335"/>
      <c r="E724" s="336"/>
      <c r="F724" s="336"/>
      <c r="G724" s="336"/>
      <c r="H724" s="336"/>
      <c r="I724" s="336"/>
      <c r="J724" s="336"/>
      <c r="K724" s="336"/>
      <c r="L724" s="336"/>
      <c r="M724" s="336"/>
      <c r="N724" s="336"/>
      <c r="O724" s="336"/>
      <c r="P724" s="336"/>
      <c r="Q724" s="336"/>
      <c r="R724" s="336"/>
      <c r="S724" s="336"/>
      <c r="T724" s="336"/>
      <c r="U724" s="336"/>
      <c r="V724" s="336"/>
      <c r="W724" s="336"/>
      <c r="X724" s="336"/>
      <c r="Y724" s="336"/>
      <c r="Z724" s="336"/>
      <c r="AA724" s="336"/>
      <c r="AB724" s="336"/>
      <c r="AC724" s="336"/>
      <c r="AD724" s="336"/>
      <c r="AE724" s="336"/>
      <c r="AF724" s="336"/>
      <c r="AG724" s="336"/>
      <c r="AH724" s="336"/>
      <c r="AI724" s="337"/>
      <c r="AJ724" s="11" t="s">
        <v>225</v>
      </c>
    </row>
    <row r="725" spans="1:36" x14ac:dyDescent="0.2">
      <c r="A725" s="7"/>
      <c r="B725" s="8"/>
      <c r="C725" s="9"/>
      <c r="D725" s="290" t="s">
        <v>762</v>
      </c>
      <c r="E725" s="290"/>
      <c r="F725" s="290"/>
      <c r="G725" s="290"/>
      <c r="H725" s="290"/>
      <c r="I725" s="290"/>
      <c r="J725" s="290"/>
      <c r="K725" s="290"/>
      <c r="L725" s="290"/>
      <c r="M725" s="290"/>
      <c r="N725" s="290"/>
      <c r="O725" s="290"/>
      <c r="P725" s="290"/>
      <c r="Q725" s="290"/>
      <c r="R725" s="290"/>
      <c r="S725" s="290"/>
      <c r="T725" s="290"/>
      <c r="U725" s="290"/>
      <c r="V725" s="290"/>
      <c r="W725" s="290"/>
      <c r="X725" s="290"/>
      <c r="Y725" s="290"/>
      <c r="Z725" s="290"/>
      <c r="AA725" s="290"/>
      <c r="AB725" s="290"/>
      <c r="AC725" s="290"/>
      <c r="AD725" s="290"/>
      <c r="AE725" s="290"/>
      <c r="AF725" s="290"/>
      <c r="AG725" s="290"/>
      <c r="AH725" s="290"/>
      <c r="AI725" s="290"/>
      <c r="AJ725" s="290"/>
    </row>
    <row r="726" spans="1:36" x14ac:dyDescent="0.2">
      <c r="A726" s="7"/>
      <c r="B726" s="8"/>
      <c r="C726" s="208" t="s">
        <v>763</v>
      </c>
      <c r="D726" s="11">
        <v>3</v>
      </c>
      <c r="E726" s="11" t="s">
        <v>764</v>
      </c>
      <c r="F726" s="11">
        <v>3</v>
      </c>
      <c r="G726" s="11" t="s">
        <v>764</v>
      </c>
      <c r="H726" s="11">
        <v>2.23</v>
      </c>
      <c r="I726" s="11" t="s">
        <v>764</v>
      </c>
      <c r="J726" s="11">
        <v>2.23</v>
      </c>
      <c r="K726" s="11"/>
      <c r="L726" s="11"/>
      <c r="M726" s="11"/>
      <c r="N726" s="11"/>
      <c r="O726" s="11"/>
      <c r="P726" s="5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 t="s">
        <v>745</v>
      </c>
      <c r="AF726" s="11">
        <v>0.1</v>
      </c>
      <c r="AG726" s="11" t="s">
        <v>745</v>
      </c>
      <c r="AH726" s="159">
        <v>1</v>
      </c>
      <c r="AI726" s="88" t="s">
        <v>727</v>
      </c>
      <c r="AJ726" s="11">
        <f t="shared" ref="AJ726:AJ744" si="52">SUM(D726+F726+H726+J726+L726+N726)*AF726*AH726</f>
        <v>1.046</v>
      </c>
    </row>
    <row r="727" spans="1:36" x14ac:dyDescent="0.2">
      <c r="A727" s="7"/>
      <c r="B727" s="89"/>
      <c r="C727" s="215" t="s">
        <v>765</v>
      </c>
      <c r="D727" s="11">
        <v>2.8</v>
      </c>
      <c r="E727" s="11" t="s">
        <v>764</v>
      </c>
      <c r="F727" s="11">
        <v>2.8</v>
      </c>
      <c r="G727" s="11" t="s">
        <v>764</v>
      </c>
      <c r="H727" s="11">
        <v>2.23</v>
      </c>
      <c r="I727" s="11" t="s">
        <v>764</v>
      </c>
      <c r="J727" s="11">
        <v>2.23</v>
      </c>
      <c r="K727" s="11"/>
      <c r="L727" s="11"/>
      <c r="M727" s="11"/>
      <c r="N727" s="11"/>
      <c r="O727" s="11"/>
      <c r="P727" s="5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 t="s">
        <v>745</v>
      </c>
      <c r="AF727" s="11">
        <v>0.1</v>
      </c>
      <c r="AG727" s="11" t="s">
        <v>745</v>
      </c>
      <c r="AH727" s="159">
        <v>1</v>
      </c>
      <c r="AI727" s="88" t="s">
        <v>727</v>
      </c>
      <c r="AJ727" s="11">
        <f t="shared" si="52"/>
        <v>1.006</v>
      </c>
    </row>
    <row r="728" spans="1:36" x14ac:dyDescent="0.2">
      <c r="A728" s="7"/>
      <c r="B728" s="89"/>
      <c r="C728" s="215" t="s">
        <v>766</v>
      </c>
      <c r="D728" s="11">
        <v>3.9</v>
      </c>
      <c r="E728" s="11" t="s">
        <v>764</v>
      </c>
      <c r="F728" s="11">
        <v>3.9</v>
      </c>
      <c r="G728" s="11" t="s">
        <v>764</v>
      </c>
      <c r="H728" s="11">
        <v>2.0699999999999998</v>
      </c>
      <c r="I728" s="11" t="s">
        <v>764</v>
      </c>
      <c r="J728" s="11">
        <v>2.0699999999999998</v>
      </c>
      <c r="K728" s="11"/>
      <c r="L728" s="11"/>
      <c r="M728" s="11"/>
      <c r="N728" s="11"/>
      <c r="O728" s="11"/>
      <c r="P728" s="5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 t="s">
        <v>745</v>
      </c>
      <c r="AF728" s="11">
        <v>0.1</v>
      </c>
      <c r="AG728" s="11" t="s">
        <v>745</v>
      </c>
      <c r="AH728" s="159">
        <v>1</v>
      </c>
      <c r="AI728" s="88" t="s">
        <v>727</v>
      </c>
      <c r="AJ728" s="11">
        <f t="shared" si="52"/>
        <v>1.194</v>
      </c>
    </row>
    <row r="729" spans="1:36" x14ac:dyDescent="0.2">
      <c r="A729" s="7"/>
      <c r="B729" s="89"/>
      <c r="C729" s="215" t="s">
        <v>767</v>
      </c>
      <c r="D729" s="11">
        <v>6.75</v>
      </c>
      <c r="E729" s="11" t="s">
        <v>764</v>
      </c>
      <c r="F729" s="11">
        <v>6.75</v>
      </c>
      <c r="G729" s="11"/>
      <c r="H729" s="11"/>
      <c r="I729" s="11"/>
      <c r="J729" s="11"/>
      <c r="K729" s="11"/>
      <c r="L729" s="11"/>
      <c r="M729" s="11"/>
      <c r="N729" s="216"/>
      <c r="O729" s="216"/>
      <c r="P729" s="5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 t="s">
        <v>745</v>
      </c>
      <c r="AF729" s="11">
        <v>0.5</v>
      </c>
      <c r="AG729" s="11" t="s">
        <v>745</v>
      </c>
      <c r="AH729" s="159">
        <v>1</v>
      </c>
      <c r="AI729" s="88" t="s">
        <v>727</v>
      </c>
      <c r="AJ729" s="11">
        <f t="shared" si="52"/>
        <v>6.75</v>
      </c>
    </row>
    <row r="730" spans="1:36" x14ac:dyDescent="0.2">
      <c r="A730" s="7"/>
      <c r="B730" s="89"/>
      <c r="C730" s="215" t="s">
        <v>768</v>
      </c>
      <c r="D730" s="11">
        <v>2.25</v>
      </c>
      <c r="E730" s="11" t="s">
        <v>764</v>
      </c>
      <c r="F730" s="11">
        <v>2.25</v>
      </c>
      <c r="G730" s="11" t="s">
        <v>764</v>
      </c>
      <c r="H730" s="11">
        <v>1.95</v>
      </c>
      <c r="I730" s="11" t="s">
        <v>764</v>
      </c>
      <c r="J730" s="11">
        <v>1.95</v>
      </c>
      <c r="K730" s="11"/>
      <c r="L730" s="11"/>
      <c r="M730" s="11"/>
      <c r="N730" s="11"/>
      <c r="O730" s="11"/>
      <c r="P730" s="5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 t="s">
        <v>745</v>
      </c>
      <c r="AF730" s="11">
        <v>0.1</v>
      </c>
      <c r="AG730" s="11" t="s">
        <v>745</v>
      </c>
      <c r="AH730" s="159">
        <v>1</v>
      </c>
      <c r="AI730" s="88" t="s">
        <v>727</v>
      </c>
      <c r="AJ730" s="11">
        <f t="shared" si="52"/>
        <v>0.84000000000000008</v>
      </c>
    </row>
    <row r="731" spans="1:36" x14ac:dyDescent="0.2">
      <c r="A731" s="7"/>
      <c r="B731" s="89"/>
      <c r="C731" s="215" t="s">
        <v>769</v>
      </c>
      <c r="D731" s="11">
        <v>2.25</v>
      </c>
      <c r="E731" s="11" t="s">
        <v>764</v>
      </c>
      <c r="F731" s="11">
        <v>2.25</v>
      </c>
      <c r="G731" s="11" t="s">
        <v>764</v>
      </c>
      <c r="H731" s="11">
        <v>1.95</v>
      </c>
      <c r="I731" s="11" t="s">
        <v>764</v>
      </c>
      <c r="J731" s="11">
        <v>1.95</v>
      </c>
      <c r="K731" s="11"/>
      <c r="L731" s="11"/>
      <c r="M731" s="11"/>
      <c r="N731" s="11"/>
      <c r="O731" s="11"/>
      <c r="P731" s="5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 t="s">
        <v>745</v>
      </c>
      <c r="AF731" s="11">
        <v>0.1</v>
      </c>
      <c r="AG731" s="11" t="s">
        <v>745</v>
      </c>
      <c r="AH731" s="159">
        <v>1</v>
      </c>
      <c r="AI731" s="88" t="s">
        <v>727</v>
      </c>
      <c r="AJ731" s="11">
        <f t="shared" si="52"/>
        <v>0.84000000000000008</v>
      </c>
    </row>
    <row r="732" spans="1:36" x14ac:dyDescent="0.2">
      <c r="A732" s="7"/>
      <c r="B732" s="89"/>
      <c r="C732" s="215" t="s">
        <v>770</v>
      </c>
      <c r="D732" s="11">
        <v>4.05</v>
      </c>
      <c r="E732" s="11" t="s">
        <v>764</v>
      </c>
      <c r="F732" s="11">
        <v>4.05</v>
      </c>
      <c r="G732" s="11" t="s">
        <v>764</v>
      </c>
      <c r="H732" s="11">
        <v>4.05</v>
      </c>
      <c r="I732" s="11" t="s">
        <v>764</v>
      </c>
      <c r="J732" s="11">
        <v>4.05</v>
      </c>
      <c r="K732" s="11"/>
      <c r="L732" s="11"/>
      <c r="M732" s="11"/>
      <c r="N732" s="11"/>
      <c r="O732" s="11"/>
      <c r="P732" s="5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 t="s">
        <v>745</v>
      </c>
      <c r="AF732" s="11">
        <v>0.1</v>
      </c>
      <c r="AG732" s="11" t="s">
        <v>745</v>
      </c>
      <c r="AH732" s="159">
        <v>1</v>
      </c>
      <c r="AI732" s="88" t="s">
        <v>727</v>
      </c>
      <c r="AJ732" s="11">
        <f t="shared" si="52"/>
        <v>1.62</v>
      </c>
    </row>
    <row r="733" spans="1:36" x14ac:dyDescent="0.2">
      <c r="A733" s="7"/>
      <c r="B733" s="89"/>
      <c r="C733" s="215" t="s">
        <v>771</v>
      </c>
      <c r="D733" s="11">
        <v>5.25</v>
      </c>
      <c r="E733" s="11" t="s">
        <v>764</v>
      </c>
      <c r="F733" s="11">
        <v>10.75</v>
      </c>
      <c r="G733" s="11" t="s">
        <v>764</v>
      </c>
      <c r="H733" s="11">
        <v>2.5499999999999998</v>
      </c>
      <c r="I733" s="11" t="s">
        <v>764</v>
      </c>
      <c r="J733" s="11">
        <v>6.1</v>
      </c>
      <c r="K733" s="11"/>
      <c r="L733" s="11"/>
      <c r="M733" s="11"/>
      <c r="N733" s="11"/>
      <c r="O733" s="11"/>
      <c r="P733" s="5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 t="s">
        <v>745</v>
      </c>
      <c r="AF733" s="11">
        <v>0.5</v>
      </c>
      <c r="AG733" s="11" t="s">
        <v>745</v>
      </c>
      <c r="AH733" s="159">
        <v>1</v>
      </c>
      <c r="AI733" s="88" t="s">
        <v>727</v>
      </c>
      <c r="AJ733" s="11">
        <f t="shared" si="52"/>
        <v>12.324999999999999</v>
      </c>
    </row>
    <row r="734" spans="1:36" x14ac:dyDescent="0.2">
      <c r="A734" s="7"/>
      <c r="B734" s="89"/>
      <c r="C734" s="215" t="s">
        <v>772</v>
      </c>
      <c r="D734" s="11">
        <v>4.6500000000000004</v>
      </c>
      <c r="E734" s="11" t="s">
        <v>764</v>
      </c>
      <c r="F734" s="11">
        <v>4.6500000000000004</v>
      </c>
      <c r="G734" s="11" t="s">
        <v>764</v>
      </c>
      <c r="H734" s="11">
        <v>3.45</v>
      </c>
      <c r="I734" s="11" t="s">
        <v>764</v>
      </c>
      <c r="J734" s="11">
        <v>3.45</v>
      </c>
      <c r="K734" s="11"/>
      <c r="L734" s="11"/>
      <c r="M734" s="11"/>
      <c r="N734" s="11"/>
      <c r="O734" s="11"/>
      <c r="P734" s="5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 t="s">
        <v>745</v>
      </c>
      <c r="AF734" s="11">
        <v>0.1</v>
      </c>
      <c r="AG734" s="11" t="s">
        <v>745</v>
      </c>
      <c r="AH734" s="159">
        <v>1</v>
      </c>
      <c r="AI734" s="88" t="s">
        <v>727</v>
      </c>
      <c r="AJ734" s="11">
        <f t="shared" si="52"/>
        <v>1.62</v>
      </c>
    </row>
    <row r="735" spans="1:36" x14ac:dyDescent="0.2">
      <c r="A735" s="7"/>
      <c r="B735" s="89"/>
      <c r="C735" s="215" t="s">
        <v>773</v>
      </c>
      <c r="D735" s="11">
        <v>1.65</v>
      </c>
      <c r="E735" s="11" t="s">
        <v>764</v>
      </c>
      <c r="F735" s="11">
        <v>1.65</v>
      </c>
      <c r="G735" s="11" t="s">
        <v>764</v>
      </c>
      <c r="H735" s="11">
        <v>3.45</v>
      </c>
      <c r="I735" s="11" t="s">
        <v>764</v>
      </c>
      <c r="J735" s="11">
        <v>3.45</v>
      </c>
      <c r="K735" s="11"/>
      <c r="L735" s="11"/>
      <c r="M735" s="11"/>
      <c r="N735" s="11"/>
      <c r="O735" s="11"/>
      <c r="P735" s="5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 t="s">
        <v>745</v>
      </c>
      <c r="AF735" s="11">
        <v>0.1</v>
      </c>
      <c r="AG735" s="11" t="s">
        <v>745</v>
      </c>
      <c r="AH735" s="159">
        <v>1</v>
      </c>
      <c r="AI735" s="88" t="s">
        <v>727</v>
      </c>
      <c r="AJ735" s="11">
        <f t="shared" si="52"/>
        <v>1.02</v>
      </c>
    </row>
    <row r="736" spans="1:36" x14ac:dyDescent="0.2">
      <c r="A736" s="7"/>
      <c r="B736" s="89"/>
      <c r="C736" s="215" t="s">
        <v>774</v>
      </c>
      <c r="D736" s="11">
        <v>3.42</v>
      </c>
      <c r="E736" s="11" t="s">
        <v>764</v>
      </c>
      <c r="F736" s="88">
        <v>3.42</v>
      </c>
      <c r="G736" s="11" t="s">
        <v>764</v>
      </c>
      <c r="H736" s="11">
        <v>2.2400000000000002</v>
      </c>
      <c r="I736" s="11" t="s">
        <v>764</v>
      </c>
      <c r="J736" s="11">
        <v>2.2400000000000002</v>
      </c>
      <c r="K736" s="11"/>
      <c r="L736" s="11"/>
      <c r="M736" s="11"/>
      <c r="N736" s="11"/>
      <c r="O736" s="11"/>
      <c r="P736" s="5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 t="s">
        <v>745</v>
      </c>
      <c r="AF736" s="11">
        <v>0.1</v>
      </c>
      <c r="AG736" s="11" t="s">
        <v>745</v>
      </c>
      <c r="AH736" s="159">
        <v>1</v>
      </c>
      <c r="AI736" s="88" t="s">
        <v>727</v>
      </c>
      <c r="AJ736" s="11">
        <f t="shared" si="52"/>
        <v>1.1320000000000001</v>
      </c>
    </row>
    <row r="737" spans="1:36" x14ac:dyDescent="0.2">
      <c r="A737" s="7"/>
      <c r="B737" s="89"/>
      <c r="C737" s="215" t="s">
        <v>775</v>
      </c>
      <c r="D737" s="11">
        <v>5.39</v>
      </c>
      <c r="E737" s="11" t="s">
        <v>764</v>
      </c>
      <c r="F737" s="11">
        <v>5.39</v>
      </c>
      <c r="G737" s="11" t="s">
        <v>764</v>
      </c>
      <c r="H737" s="11">
        <v>3.8</v>
      </c>
      <c r="I737" s="11" t="s">
        <v>764</v>
      </c>
      <c r="J737" s="11">
        <v>3.8</v>
      </c>
      <c r="K737" s="11"/>
      <c r="L737" s="11"/>
      <c r="M737" s="11"/>
      <c r="N737" s="11"/>
      <c r="O737" s="11"/>
      <c r="P737" s="5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 t="s">
        <v>745</v>
      </c>
      <c r="AF737" s="11">
        <v>0.1</v>
      </c>
      <c r="AG737" s="11" t="s">
        <v>745</v>
      </c>
      <c r="AH737" s="159">
        <v>1</v>
      </c>
      <c r="AI737" s="88" t="s">
        <v>727</v>
      </c>
      <c r="AJ737" s="11">
        <f t="shared" si="52"/>
        <v>1.8380000000000001</v>
      </c>
    </row>
    <row r="738" spans="1:36" x14ac:dyDescent="0.2">
      <c r="A738" s="7"/>
      <c r="B738" s="89"/>
      <c r="C738" s="215" t="s">
        <v>776</v>
      </c>
      <c r="D738" s="11">
        <v>4.79</v>
      </c>
      <c r="E738" s="11" t="s">
        <v>764</v>
      </c>
      <c r="F738" s="11">
        <v>4.79</v>
      </c>
      <c r="G738" s="11" t="s">
        <v>764</v>
      </c>
      <c r="H738" s="11">
        <v>1.64</v>
      </c>
      <c r="I738" s="11" t="s">
        <v>764</v>
      </c>
      <c r="J738" s="11">
        <v>1.64</v>
      </c>
      <c r="K738" s="11"/>
      <c r="L738" s="11"/>
      <c r="M738" s="11"/>
      <c r="N738" s="11"/>
      <c r="O738" s="11"/>
      <c r="P738" s="5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 t="s">
        <v>1126</v>
      </c>
      <c r="AF738" s="11">
        <v>0.1</v>
      </c>
      <c r="AG738" s="11" t="s">
        <v>745</v>
      </c>
      <c r="AH738" s="159">
        <v>1</v>
      </c>
      <c r="AI738" s="88" t="s">
        <v>727</v>
      </c>
      <c r="AJ738" s="11">
        <f t="shared" si="52"/>
        <v>1.2860000000000003</v>
      </c>
    </row>
    <row r="739" spans="1:36" x14ac:dyDescent="0.2">
      <c r="A739" s="7"/>
      <c r="B739" s="89"/>
      <c r="C739" s="215" t="s">
        <v>777</v>
      </c>
      <c r="D739" s="11">
        <v>7.95</v>
      </c>
      <c r="E739" s="11" t="s">
        <v>764</v>
      </c>
      <c r="F739" s="11">
        <v>1</v>
      </c>
      <c r="G739" s="11" t="s">
        <v>764</v>
      </c>
      <c r="H739" s="11">
        <v>3.23</v>
      </c>
      <c r="I739" s="11" t="s">
        <v>764</v>
      </c>
      <c r="J739" s="11">
        <v>1.51</v>
      </c>
      <c r="K739" s="11" t="s">
        <v>764</v>
      </c>
      <c r="L739" s="11">
        <v>11.18</v>
      </c>
      <c r="M739" s="11"/>
      <c r="N739" s="11"/>
      <c r="O739" s="11"/>
      <c r="P739" s="5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 t="s">
        <v>745</v>
      </c>
      <c r="AF739" s="11">
        <v>0.5</v>
      </c>
      <c r="AG739" s="11" t="s">
        <v>745</v>
      </c>
      <c r="AH739" s="159">
        <v>1</v>
      </c>
      <c r="AI739" s="88" t="s">
        <v>727</v>
      </c>
      <c r="AJ739" s="11">
        <f t="shared" si="52"/>
        <v>12.434999999999999</v>
      </c>
    </row>
    <row r="740" spans="1:36" x14ac:dyDescent="0.2">
      <c r="A740" s="7"/>
      <c r="B740" s="89"/>
      <c r="C740" s="215" t="s">
        <v>778</v>
      </c>
      <c r="D740" s="11">
        <v>0.73</v>
      </c>
      <c r="E740" s="11" t="s">
        <v>764</v>
      </c>
      <c r="F740" s="11">
        <v>4.79</v>
      </c>
      <c r="G740" s="11" t="s">
        <v>764</v>
      </c>
      <c r="H740" s="11">
        <v>4.9000000000000004</v>
      </c>
      <c r="I740" s="11" t="s">
        <v>764</v>
      </c>
      <c r="J740" s="11">
        <v>6.45</v>
      </c>
      <c r="K740" s="11" t="s">
        <v>764</v>
      </c>
      <c r="L740" s="11">
        <v>4.17</v>
      </c>
      <c r="M740" s="11" t="s">
        <v>764</v>
      </c>
      <c r="N740" s="11">
        <v>1.66</v>
      </c>
      <c r="O740" s="11"/>
      <c r="P740" s="5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 t="s">
        <v>745</v>
      </c>
      <c r="AF740" s="11">
        <v>0.1</v>
      </c>
      <c r="AG740" s="11" t="s">
        <v>745</v>
      </c>
      <c r="AH740" s="159">
        <v>1</v>
      </c>
      <c r="AI740" s="88" t="s">
        <v>727</v>
      </c>
      <c r="AJ740" s="11">
        <f t="shared" si="52"/>
        <v>2.27</v>
      </c>
    </row>
    <row r="741" spans="1:36" x14ac:dyDescent="0.2">
      <c r="A741" s="7"/>
      <c r="B741" s="89"/>
      <c r="C741" s="215" t="s">
        <v>779</v>
      </c>
      <c r="D741" s="11">
        <v>6.75</v>
      </c>
      <c r="E741" s="11" t="s">
        <v>764</v>
      </c>
      <c r="F741" s="11">
        <v>6.75</v>
      </c>
      <c r="G741" s="11"/>
      <c r="H741" s="11"/>
      <c r="I741" s="11"/>
      <c r="J741" s="11"/>
      <c r="K741" s="11"/>
      <c r="L741" s="11"/>
      <c r="M741" s="11"/>
      <c r="N741" s="11"/>
      <c r="O741" s="11"/>
      <c r="P741" s="5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 t="s">
        <v>745</v>
      </c>
      <c r="AF741" s="11">
        <v>0.5</v>
      </c>
      <c r="AG741" s="11" t="s">
        <v>745</v>
      </c>
      <c r="AH741" s="159">
        <v>1</v>
      </c>
      <c r="AI741" s="88" t="s">
        <v>727</v>
      </c>
      <c r="AJ741" s="11">
        <f t="shared" si="52"/>
        <v>6.75</v>
      </c>
    </row>
    <row r="742" spans="1:36" x14ac:dyDescent="0.2">
      <c r="A742" s="7"/>
      <c r="B742" s="89"/>
      <c r="C742" s="215" t="s">
        <v>780</v>
      </c>
      <c r="D742" s="11">
        <v>6.45</v>
      </c>
      <c r="E742" s="11" t="s">
        <v>764</v>
      </c>
      <c r="F742" s="11">
        <v>6.45</v>
      </c>
      <c r="G742" s="11" t="s">
        <v>764</v>
      </c>
      <c r="H742" s="11">
        <v>2.25</v>
      </c>
      <c r="I742" s="11" t="s">
        <v>764</v>
      </c>
      <c r="J742" s="11">
        <v>2.25</v>
      </c>
      <c r="K742" s="11"/>
      <c r="L742" s="11"/>
      <c r="M742" s="11"/>
      <c r="N742" s="11"/>
      <c r="O742" s="11"/>
      <c r="P742" s="5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 t="s">
        <v>745</v>
      </c>
      <c r="AF742" s="11">
        <v>0.1</v>
      </c>
      <c r="AG742" s="11" t="s">
        <v>745</v>
      </c>
      <c r="AH742" s="159">
        <v>1</v>
      </c>
      <c r="AI742" s="88" t="s">
        <v>727</v>
      </c>
      <c r="AJ742" s="11">
        <f t="shared" si="52"/>
        <v>1.74</v>
      </c>
    </row>
    <row r="743" spans="1:36" x14ac:dyDescent="0.2">
      <c r="A743" s="7"/>
      <c r="B743" s="89"/>
      <c r="C743" s="215" t="s">
        <v>781</v>
      </c>
      <c r="D743" s="11">
        <v>6.45</v>
      </c>
      <c r="E743" s="11" t="s">
        <v>764</v>
      </c>
      <c r="F743" s="88">
        <v>6.45</v>
      </c>
      <c r="G743" s="11" t="s">
        <v>764</v>
      </c>
      <c r="H743" s="11">
        <v>5.3</v>
      </c>
      <c r="I743" s="11" t="s">
        <v>764</v>
      </c>
      <c r="J743" s="11">
        <v>5.3</v>
      </c>
      <c r="K743" s="11"/>
      <c r="L743" s="11"/>
      <c r="M743" s="11"/>
      <c r="N743" s="11"/>
      <c r="O743" s="11"/>
      <c r="P743" s="5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 t="s">
        <v>745</v>
      </c>
      <c r="AF743" s="11">
        <v>0.1</v>
      </c>
      <c r="AG743" s="11" t="s">
        <v>745</v>
      </c>
      <c r="AH743" s="159">
        <v>1</v>
      </c>
      <c r="AI743" s="88" t="s">
        <v>727</v>
      </c>
      <c r="AJ743" s="11">
        <f t="shared" si="52"/>
        <v>2.35</v>
      </c>
    </row>
    <row r="744" spans="1:36" x14ac:dyDescent="0.2">
      <c r="A744" s="7"/>
      <c r="B744" s="89"/>
      <c r="C744" s="215" t="s">
        <v>782</v>
      </c>
      <c r="D744" s="11">
        <v>6.45</v>
      </c>
      <c r="E744" s="11" t="s">
        <v>764</v>
      </c>
      <c r="F744" s="11">
        <v>6.45</v>
      </c>
      <c r="G744" s="11" t="s">
        <v>764</v>
      </c>
      <c r="H744" s="11">
        <v>2.98</v>
      </c>
      <c r="I744" s="11" t="s">
        <v>764</v>
      </c>
      <c r="J744" s="11">
        <v>2.98</v>
      </c>
      <c r="K744" s="11"/>
      <c r="L744" s="11"/>
      <c r="M744" s="11"/>
      <c r="N744" s="11"/>
      <c r="O744" s="11"/>
      <c r="P744" s="5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 t="s">
        <v>745</v>
      </c>
      <c r="AF744" s="11">
        <v>0.1</v>
      </c>
      <c r="AG744" s="11" t="s">
        <v>745</v>
      </c>
      <c r="AH744" s="159">
        <v>1</v>
      </c>
      <c r="AI744" s="88" t="s">
        <v>727</v>
      </c>
      <c r="AJ744" s="11">
        <f t="shared" si="52"/>
        <v>1.8860000000000001</v>
      </c>
    </row>
    <row r="745" spans="1:36" x14ac:dyDescent="0.2">
      <c r="A745" s="7"/>
      <c r="B745" s="89"/>
      <c r="C745" s="131"/>
      <c r="D745" s="287" t="s">
        <v>783</v>
      </c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7"/>
      <c r="Q745" s="287"/>
      <c r="R745" s="287"/>
      <c r="S745" s="287"/>
      <c r="T745" s="287"/>
      <c r="U745" s="287"/>
      <c r="V745" s="287"/>
      <c r="W745" s="287"/>
      <c r="X745" s="287"/>
      <c r="Y745" s="287"/>
      <c r="Z745" s="287"/>
      <c r="AA745" s="287"/>
      <c r="AB745" s="287"/>
      <c r="AC745" s="287"/>
      <c r="AD745" s="287"/>
      <c r="AE745" s="287"/>
      <c r="AF745" s="287"/>
      <c r="AG745" s="287"/>
      <c r="AH745" s="287"/>
      <c r="AI745" s="287"/>
      <c r="AJ745" s="92">
        <f>SUM(AJ726:AJ744)</f>
        <v>59.948000000000008</v>
      </c>
    </row>
    <row r="746" spans="1:36" x14ac:dyDescent="0.2">
      <c r="A746" s="7"/>
      <c r="B746" s="89"/>
      <c r="C746" s="131"/>
      <c r="D746" s="290" t="s">
        <v>784</v>
      </c>
      <c r="E746" s="290"/>
      <c r="F746" s="290"/>
      <c r="G746" s="290"/>
      <c r="H746" s="290"/>
      <c r="I746" s="290"/>
      <c r="J746" s="290"/>
      <c r="K746" s="290"/>
      <c r="L746" s="290"/>
      <c r="M746" s="290"/>
      <c r="N746" s="290"/>
      <c r="O746" s="290"/>
      <c r="P746" s="290"/>
      <c r="Q746" s="290"/>
      <c r="R746" s="290"/>
      <c r="S746" s="290"/>
      <c r="T746" s="290"/>
      <c r="U746" s="290"/>
      <c r="V746" s="290"/>
      <c r="W746" s="290"/>
      <c r="X746" s="290"/>
      <c r="Y746" s="290"/>
      <c r="Z746" s="290"/>
      <c r="AA746" s="290"/>
      <c r="AB746" s="290"/>
      <c r="AC746" s="290"/>
      <c r="AD746" s="290"/>
      <c r="AE746" s="290"/>
      <c r="AF746" s="290"/>
      <c r="AG746" s="290"/>
      <c r="AH746" s="290"/>
      <c r="AI746" s="290"/>
      <c r="AJ746" s="290"/>
    </row>
    <row r="747" spans="1:36" x14ac:dyDescent="0.2">
      <c r="A747" s="7"/>
      <c r="B747" s="89"/>
      <c r="C747" s="215" t="s">
        <v>785</v>
      </c>
      <c r="D747" s="11">
        <v>18.100000000000001</v>
      </c>
      <c r="E747" s="11" t="s">
        <v>764</v>
      </c>
      <c r="F747" s="11">
        <v>1.2</v>
      </c>
      <c r="G747" s="11" t="s">
        <v>764</v>
      </c>
      <c r="H747" s="11">
        <v>18.05</v>
      </c>
      <c r="I747" s="11"/>
      <c r="J747" s="11"/>
      <c r="K747" s="11"/>
      <c r="L747" s="11"/>
      <c r="M747" s="10"/>
      <c r="N747" s="10"/>
      <c r="O747" s="10"/>
      <c r="P747" s="5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 t="s">
        <v>745</v>
      </c>
      <c r="AF747" s="11">
        <v>0.5</v>
      </c>
      <c r="AG747" s="11" t="s">
        <v>745</v>
      </c>
      <c r="AH747" s="141">
        <v>1</v>
      </c>
      <c r="AI747" s="88" t="s">
        <v>727</v>
      </c>
      <c r="AJ747" s="11">
        <f t="shared" ref="AJ747:AJ754" si="53">(D747+F747+H747+J747+L747)*AF747*AH747</f>
        <v>18.675000000000001</v>
      </c>
    </row>
    <row r="748" spans="1:36" x14ac:dyDescent="0.2">
      <c r="A748" s="7"/>
      <c r="B748" s="89"/>
      <c r="C748" s="215" t="s">
        <v>786</v>
      </c>
      <c r="D748" s="11">
        <v>4.3499999999999996</v>
      </c>
      <c r="E748" s="11" t="s">
        <v>764</v>
      </c>
      <c r="F748" s="11">
        <v>0.63</v>
      </c>
      <c r="G748" s="11" t="s">
        <v>764</v>
      </c>
      <c r="H748" s="11">
        <v>0.63</v>
      </c>
      <c r="I748" s="11" t="s">
        <v>764</v>
      </c>
      <c r="J748" s="11">
        <v>7.95</v>
      </c>
      <c r="K748" s="11" t="s">
        <v>764</v>
      </c>
      <c r="L748" s="11">
        <v>8.73</v>
      </c>
      <c r="M748" s="10"/>
      <c r="N748" s="10"/>
      <c r="O748" s="10"/>
      <c r="P748" s="5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 t="s">
        <v>745</v>
      </c>
      <c r="AF748" s="11">
        <v>0.5</v>
      </c>
      <c r="AG748" s="11" t="s">
        <v>745</v>
      </c>
      <c r="AH748" s="141">
        <v>1</v>
      </c>
      <c r="AI748" s="88" t="s">
        <v>727</v>
      </c>
      <c r="AJ748" s="11">
        <f t="shared" si="53"/>
        <v>11.145</v>
      </c>
    </row>
    <row r="749" spans="1:36" x14ac:dyDescent="0.2">
      <c r="A749" s="7"/>
      <c r="B749" s="89"/>
      <c r="C749" s="215" t="s">
        <v>787</v>
      </c>
      <c r="D749" s="11">
        <v>2.58</v>
      </c>
      <c r="E749" s="11" t="s">
        <v>764</v>
      </c>
      <c r="F749" s="11">
        <v>1.25</v>
      </c>
      <c r="G749" s="11" t="s">
        <v>764</v>
      </c>
      <c r="H749" s="11">
        <v>2.2200000000000002</v>
      </c>
      <c r="I749" s="11" t="s">
        <v>764</v>
      </c>
      <c r="J749" s="11">
        <v>1.25</v>
      </c>
      <c r="K749" s="11" t="s">
        <v>764</v>
      </c>
      <c r="L749" s="11">
        <v>7.35</v>
      </c>
      <c r="M749" s="10"/>
      <c r="N749" s="10"/>
      <c r="O749" s="10"/>
      <c r="P749" s="5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 t="s">
        <v>745</v>
      </c>
      <c r="AF749" s="11">
        <v>0.5</v>
      </c>
      <c r="AG749" s="11" t="s">
        <v>745</v>
      </c>
      <c r="AH749" s="141">
        <v>1</v>
      </c>
      <c r="AI749" s="88" t="s">
        <v>727</v>
      </c>
      <c r="AJ749" s="11">
        <f t="shared" si="53"/>
        <v>7.3250000000000002</v>
      </c>
    </row>
    <row r="750" spans="1:36" x14ac:dyDescent="0.2">
      <c r="A750" s="7"/>
      <c r="B750" s="89"/>
      <c r="C750" s="215" t="s">
        <v>788</v>
      </c>
      <c r="D750" s="11">
        <v>6.75</v>
      </c>
      <c r="E750" s="11" t="s">
        <v>764</v>
      </c>
      <c r="F750" s="11">
        <v>3.42</v>
      </c>
      <c r="G750" s="11" t="s">
        <v>764</v>
      </c>
      <c r="H750" s="11">
        <v>6.6</v>
      </c>
      <c r="I750" s="11"/>
      <c r="J750" s="11"/>
      <c r="K750" s="11"/>
      <c r="L750" s="11"/>
      <c r="M750" s="10"/>
      <c r="N750" s="10"/>
      <c r="O750" s="10"/>
      <c r="P750" s="5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 t="s">
        <v>745</v>
      </c>
      <c r="AF750" s="11">
        <v>0.5</v>
      </c>
      <c r="AG750" s="11" t="s">
        <v>745</v>
      </c>
      <c r="AH750" s="141">
        <v>1</v>
      </c>
      <c r="AI750" s="88" t="s">
        <v>727</v>
      </c>
      <c r="AJ750" s="11">
        <f t="shared" si="53"/>
        <v>8.3849999999999998</v>
      </c>
    </row>
    <row r="751" spans="1:36" x14ac:dyDescent="0.2">
      <c r="A751" s="7"/>
      <c r="B751" s="89"/>
      <c r="C751" s="215" t="s">
        <v>902</v>
      </c>
      <c r="D751" s="11">
        <v>1.86</v>
      </c>
      <c r="E751" s="11" t="s">
        <v>764</v>
      </c>
      <c r="F751" s="11">
        <v>3.3</v>
      </c>
      <c r="G751" s="11" t="s">
        <v>764</v>
      </c>
      <c r="H751" s="11">
        <v>3.84</v>
      </c>
      <c r="I751" s="11" t="s">
        <v>764</v>
      </c>
      <c r="J751" s="11">
        <v>8.33</v>
      </c>
      <c r="K751" s="11"/>
      <c r="L751" s="11"/>
      <c r="M751" s="10"/>
      <c r="N751" s="10"/>
      <c r="O751" s="10"/>
      <c r="P751" s="5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 t="s">
        <v>745</v>
      </c>
      <c r="AF751" s="11">
        <v>2</v>
      </c>
      <c r="AG751" s="11" t="s">
        <v>745</v>
      </c>
      <c r="AH751" s="141">
        <v>1</v>
      </c>
      <c r="AI751" s="88" t="s">
        <v>727</v>
      </c>
      <c r="AJ751" s="11">
        <f t="shared" si="53"/>
        <v>34.659999999999997</v>
      </c>
    </row>
    <row r="752" spans="1:36" x14ac:dyDescent="0.2">
      <c r="A752" s="7"/>
      <c r="B752" s="89"/>
      <c r="C752" s="215" t="s">
        <v>902</v>
      </c>
      <c r="D752" s="11">
        <v>2.2000000000000002</v>
      </c>
      <c r="E752" s="11" t="s">
        <v>764</v>
      </c>
      <c r="F752" s="11">
        <v>12.43</v>
      </c>
      <c r="G752" s="11" t="s">
        <v>764</v>
      </c>
      <c r="H752" s="11">
        <v>5.25</v>
      </c>
      <c r="I752" s="11"/>
      <c r="J752" s="11"/>
      <c r="K752" s="11"/>
      <c r="L752" s="11"/>
      <c r="M752" s="10"/>
      <c r="N752" s="10"/>
      <c r="O752" s="10"/>
      <c r="P752" s="5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 t="s">
        <v>745</v>
      </c>
      <c r="AF752" s="11">
        <v>0.6</v>
      </c>
      <c r="AG752" s="11" t="s">
        <v>745</v>
      </c>
      <c r="AH752" s="141">
        <v>1</v>
      </c>
      <c r="AI752" s="88" t="s">
        <v>727</v>
      </c>
      <c r="AJ752" s="11">
        <f t="shared" si="53"/>
        <v>11.927999999999999</v>
      </c>
    </row>
    <row r="753" spans="1:36" x14ac:dyDescent="0.2">
      <c r="A753" s="7"/>
      <c r="B753" s="89"/>
      <c r="C753" s="215" t="s">
        <v>789</v>
      </c>
      <c r="D753" s="11">
        <v>1.1000000000000001</v>
      </c>
      <c r="E753" s="11" t="s">
        <v>764</v>
      </c>
      <c r="F753" s="11">
        <v>1.1000000000000001</v>
      </c>
      <c r="G753" s="11"/>
      <c r="H753" s="11"/>
      <c r="I753" s="11"/>
      <c r="J753" s="11"/>
      <c r="K753" s="11"/>
      <c r="L753" s="11"/>
      <c r="M753" s="10"/>
      <c r="N753" s="10"/>
      <c r="O753" s="10"/>
      <c r="P753" s="5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 t="s">
        <v>745</v>
      </c>
      <c r="AF753" s="11">
        <v>2</v>
      </c>
      <c r="AG753" s="11" t="s">
        <v>745</v>
      </c>
      <c r="AH753" s="141">
        <v>1</v>
      </c>
      <c r="AI753" s="88" t="s">
        <v>727</v>
      </c>
      <c r="AJ753" s="11">
        <f t="shared" si="53"/>
        <v>4.4000000000000004</v>
      </c>
    </row>
    <row r="754" spans="1:36" x14ac:dyDescent="0.2">
      <c r="A754" s="7"/>
      <c r="B754" s="89"/>
      <c r="C754" s="215" t="s">
        <v>790</v>
      </c>
      <c r="D754" s="11">
        <v>2.9830000000000001</v>
      </c>
      <c r="E754" s="11" t="s">
        <v>764</v>
      </c>
      <c r="F754" s="11">
        <v>2.9820000000000002</v>
      </c>
      <c r="G754" s="11" t="s">
        <v>764</v>
      </c>
      <c r="H754" s="11">
        <v>2.92</v>
      </c>
      <c r="I754" s="11" t="s">
        <v>764</v>
      </c>
      <c r="J754" s="11">
        <v>2.92</v>
      </c>
      <c r="K754" s="11"/>
      <c r="L754" s="11"/>
      <c r="M754" s="10"/>
      <c r="N754" s="10"/>
      <c r="O754" s="10"/>
      <c r="P754" s="5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 t="s">
        <v>745</v>
      </c>
      <c r="AF754" s="11">
        <v>2.5</v>
      </c>
      <c r="AG754" s="11" t="s">
        <v>745</v>
      </c>
      <c r="AH754" s="141">
        <v>1</v>
      </c>
      <c r="AI754" s="88" t="s">
        <v>727</v>
      </c>
      <c r="AJ754" s="11">
        <f t="shared" si="53"/>
        <v>29.512499999999999</v>
      </c>
    </row>
    <row r="755" spans="1:36" x14ac:dyDescent="0.2">
      <c r="A755" s="7"/>
      <c r="B755" s="89"/>
      <c r="C755" s="131"/>
      <c r="D755" s="287" t="s">
        <v>791</v>
      </c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7"/>
      <c r="Q755" s="287"/>
      <c r="R755" s="287"/>
      <c r="S755" s="287"/>
      <c r="T755" s="287"/>
      <c r="U755" s="287"/>
      <c r="V755" s="287"/>
      <c r="W755" s="287"/>
      <c r="X755" s="287"/>
      <c r="Y755" s="287"/>
      <c r="Z755" s="287"/>
      <c r="AA755" s="287"/>
      <c r="AB755" s="287"/>
      <c r="AC755" s="287"/>
      <c r="AD755" s="287"/>
      <c r="AE755" s="287"/>
      <c r="AF755" s="287"/>
      <c r="AG755" s="287"/>
      <c r="AH755" s="287"/>
      <c r="AI755" s="287"/>
      <c r="AJ755" s="92">
        <f>SUM(AJ747:AJ754)</f>
        <v>126.0305</v>
      </c>
    </row>
    <row r="756" spans="1:36" x14ac:dyDescent="0.2">
      <c r="A756" s="7"/>
      <c r="B756" s="89"/>
      <c r="C756" s="131"/>
      <c r="D756" s="287" t="s">
        <v>792</v>
      </c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  <c r="Q756" s="287"/>
      <c r="R756" s="287"/>
      <c r="S756" s="287"/>
      <c r="T756" s="287"/>
      <c r="U756" s="287"/>
      <c r="V756" s="287"/>
      <c r="W756" s="287"/>
      <c r="X756" s="287"/>
      <c r="Y756" s="287"/>
      <c r="Z756" s="287"/>
      <c r="AA756" s="287"/>
      <c r="AB756" s="287"/>
      <c r="AC756" s="287"/>
      <c r="AD756" s="287"/>
      <c r="AE756" s="287"/>
      <c r="AF756" s="287"/>
      <c r="AG756" s="287"/>
      <c r="AH756" s="287"/>
      <c r="AI756" s="287"/>
      <c r="AJ756" s="92">
        <f>AJ745+AJ755</f>
        <v>185.9785</v>
      </c>
    </row>
    <row r="757" spans="1:36" x14ac:dyDescent="0.2">
      <c r="A757" s="7"/>
      <c r="B757" s="8"/>
      <c r="C757" s="94"/>
      <c r="D757" s="290" t="s">
        <v>793</v>
      </c>
      <c r="E757" s="290"/>
      <c r="F757" s="290"/>
      <c r="G757" s="290"/>
      <c r="H757" s="290"/>
      <c r="I757" s="290"/>
      <c r="J757" s="290"/>
      <c r="K757" s="290"/>
      <c r="L757" s="290"/>
      <c r="M757" s="290"/>
      <c r="N757" s="290"/>
      <c r="O757" s="290"/>
      <c r="P757" s="290"/>
      <c r="Q757" s="290"/>
      <c r="R757" s="290"/>
      <c r="S757" s="290"/>
      <c r="T757" s="290"/>
      <c r="U757" s="290"/>
      <c r="V757" s="290"/>
      <c r="W757" s="290"/>
      <c r="X757" s="290"/>
      <c r="Y757" s="290"/>
      <c r="Z757" s="290"/>
      <c r="AA757" s="290"/>
      <c r="AB757" s="290"/>
      <c r="AC757" s="290"/>
      <c r="AD757" s="290"/>
      <c r="AE757" s="290"/>
      <c r="AF757" s="290"/>
      <c r="AG757" s="290"/>
      <c r="AH757" s="290"/>
      <c r="AI757" s="290"/>
      <c r="AJ757" s="290"/>
    </row>
    <row r="758" spans="1:36" x14ac:dyDescent="0.2">
      <c r="A758" s="7"/>
      <c r="B758" s="8"/>
      <c r="C758" s="208" t="s">
        <v>749</v>
      </c>
      <c r="D758" s="11">
        <v>0.8</v>
      </c>
      <c r="E758" s="11" t="s">
        <v>764</v>
      </c>
      <c r="F758" s="11">
        <v>0.6</v>
      </c>
      <c r="G758" s="11" t="s">
        <v>748</v>
      </c>
      <c r="H758" s="11">
        <v>2</v>
      </c>
      <c r="I758" s="10"/>
      <c r="J758" s="10"/>
      <c r="K758" s="10"/>
      <c r="L758" s="10"/>
      <c r="M758" s="10"/>
      <c r="N758" s="10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 t="s">
        <v>745</v>
      </c>
      <c r="AF758" s="11">
        <v>0.1</v>
      </c>
      <c r="AG758" s="88" t="s">
        <v>745</v>
      </c>
      <c r="AH758" s="159">
        <v>27</v>
      </c>
      <c r="AI758" s="88" t="s">
        <v>727</v>
      </c>
      <c r="AJ758" s="11">
        <f>(D758+F758)*H758*AH758*AF758</f>
        <v>7.56</v>
      </c>
    </row>
    <row r="759" spans="1:36" x14ac:dyDescent="0.2">
      <c r="A759" s="7"/>
      <c r="B759" s="89"/>
      <c r="C759" s="215" t="s">
        <v>750</v>
      </c>
      <c r="D759" s="88">
        <v>0.8</v>
      </c>
      <c r="E759" s="11" t="s">
        <v>764</v>
      </c>
      <c r="F759" s="88">
        <v>0.9</v>
      </c>
      <c r="G759" s="11" t="s">
        <v>748</v>
      </c>
      <c r="H759" s="11">
        <v>2</v>
      </c>
      <c r="I759" s="10"/>
      <c r="J759" s="10"/>
      <c r="K759" s="10"/>
      <c r="L759" s="10"/>
      <c r="M759" s="10"/>
      <c r="N759" s="10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 t="s">
        <v>745</v>
      </c>
      <c r="AF759" s="11">
        <v>0.1</v>
      </c>
      <c r="AG759" s="88" t="s">
        <v>745</v>
      </c>
      <c r="AH759" s="159">
        <v>4</v>
      </c>
      <c r="AI759" s="88" t="s">
        <v>727</v>
      </c>
      <c r="AJ759" s="11">
        <f>(D759+F759)*H759*AH759*AF759</f>
        <v>1.3600000000000003</v>
      </c>
    </row>
    <row r="760" spans="1:36" x14ac:dyDescent="0.2">
      <c r="A760" s="7"/>
      <c r="B760" s="89"/>
      <c r="C760" s="215" t="s">
        <v>751</v>
      </c>
      <c r="D760" s="11">
        <v>1.4</v>
      </c>
      <c r="E760" s="11" t="s">
        <v>764</v>
      </c>
      <c r="F760" s="11">
        <v>1.2</v>
      </c>
      <c r="G760" s="11" t="s">
        <v>748</v>
      </c>
      <c r="H760" s="11">
        <v>2</v>
      </c>
      <c r="I760" s="10"/>
      <c r="J760" s="10"/>
      <c r="K760" s="10"/>
      <c r="L760" s="10"/>
      <c r="M760" s="10"/>
      <c r="N760" s="10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 t="s">
        <v>745</v>
      </c>
      <c r="AF760" s="11">
        <v>0.1</v>
      </c>
      <c r="AG760" s="88" t="s">
        <v>745</v>
      </c>
      <c r="AH760" s="159">
        <v>7</v>
      </c>
      <c r="AI760" s="88" t="s">
        <v>727</v>
      </c>
      <c r="AJ760" s="11">
        <f>(D760+F760)*H760*AH760*AF760</f>
        <v>3.6399999999999992</v>
      </c>
    </row>
    <row r="761" spans="1:36" x14ac:dyDescent="0.2">
      <c r="A761" s="7"/>
      <c r="B761" s="89"/>
      <c r="C761" s="215" t="s">
        <v>752</v>
      </c>
      <c r="D761" s="11">
        <v>2</v>
      </c>
      <c r="E761" s="11" t="s">
        <v>764</v>
      </c>
      <c r="F761" s="11">
        <v>1.2</v>
      </c>
      <c r="G761" s="11" t="s">
        <v>748</v>
      </c>
      <c r="H761" s="11">
        <v>2</v>
      </c>
      <c r="I761" s="10"/>
      <c r="J761" s="10"/>
      <c r="K761" s="10"/>
      <c r="L761" s="10"/>
      <c r="M761" s="10"/>
      <c r="N761" s="10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 t="s">
        <v>745</v>
      </c>
      <c r="AF761" s="11">
        <v>0.1</v>
      </c>
      <c r="AG761" s="88" t="s">
        <v>745</v>
      </c>
      <c r="AH761" s="159">
        <v>1</v>
      </c>
      <c r="AI761" s="88" t="s">
        <v>727</v>
      </c>
      <c r="AJ761" s="11">
        <f>(D761+F761)*H761*AH761*AF761</f>
        <v>0.64000000000000012</v>
      </c>
    </row>
    <row r="762" spans="1:36" x14ac:dyDescent="0.2">
      <c r="A762" s="7"/>
      <c r="B762" s="89"/>
      <c r="C762" s="215" t="s">
        <v>753</v>
      </c>
      <c r="D762" s="11">
        <v>2</v>
      </c>
      <c r="E762" s="11" t="s">
        <v>764</v>
      </c>
      <c r="F762" s="11">
        <v>1.6</v>
      </c>
      <c r="G762" s="11" t="s">
        <v>748</v>
      </c>
      <c r="H762" s="11">
        <v>2</v>
      </c>
      <c r="I762" s="10"/>
      <c r="J762" s="10"/>
      <c r="K762" s="10"/>
      <c r="L762" s="10"/>
      <c r="M762" s="10"/>
      <c r="N762" s="10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 t="s">
        <v>745</v>
      </c>
      <c r="AF762" s="11">
        <v>0.1</v>
      </c>
      <c r="AG762" s="88" t="s">
        <v>745</v>
      </c>
      <c r="AH762" s="159">
        <v>6</v>
      </c>
      <c r="AI762" s="88" t="s">
        <v>727</v>
      </c>
      <c r="AJ762" s="11">
        <f>(D762+F762)*H762*AH762*AF762</f>
        <v>4.32</v>
      </c>
    </row>
    <row r="763" spans="1:36" x14ac:dyDescent="0.2">
      <c r="A763" s="7"/>
      <c r="B763" s="89"/>
      <c r="C763" s="215"/>
      <c r="D763" s="287" t="s">
        <v>794</v>
      </c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  <c r="O763" s="287"/>
      <c r="P763" s="287"/>
      <c r="Q763" s="287"/>
      <c r="R763" s="287"/>
      <c r="S763" s="287"/>
      <c r="T763" s="287"/>
      <c r="U763" s="287"/>
      <c r="V763" s="287"/>
      <c r="W763" s="287"/>
      <c r="X763" s="287"/>
      <c r="Y763" s="287"/>
      <c r="Z763" s="287"/>
      <c r="AA763" s="287"/>
      <c r="AB763" s="287"/>
      <c r="AC763" s="287"/>
      <c r="AD763" s="287"/>
      <c r="AE763" s="287"/>
      <c r="AF763" s="287"/>
      <c r="AG763" s="287"/>
      <c r="AH763" s="287"/>
      <c r="AI763" s="287"/>
      <c r="AJ763" s="92">
        <f>SUM(AJ758:AJ762)</f>
        <v>17.52</v>
      </c>
    </row>
    <row r="764" spans="1:36" x14ac:dyDescent="0.2">
      <c r="A764" s="7"/>
      <c r="B764" s="89"/>
      <c r="C764" s="131"/>
      <c r="D764" s="290" t="s">
        <v>795</v>
      </c>
      <c r="E764" s="290"/>
      <c r="F764" s="290"/>
      <c r="G764" s="290"/>
      <c r="H764" s="290"/>
      <c r="I764" s="290"/>
      <c r="J764" s="290"/>
      <c r="K764" s="290"/>
      <c r="L764" s="290"/>
      <c r="M764" s="290"/>
      <c r="N764" s="290"/>
      <c r="O764" s="290"/>
      <c r="P764" s="290"/>
      <c r="Q764" s="290"/>
      <c r="R764" s="290"/>
      <c r="S764" s="290"/>
      <c r="T764" s="290"/>
      <c r="U764" s="290"/>
      <c r="V764" s="290"/>
      <c r="W764" s="290"/>
      <c r="X764" s="290"/>
      <c r="Y764" s="290"/>
      <c r="Z764" s="290"/>
      <c r="AA764" s="290"/>
      <c r="AB764" s="290"/>
      <c r="AC764" s="290"/>
      <c r="AD764" s="290"/>
      <c r="AE764" s="290"/>
      <c r="AF764" s="290"/>
      <c r="AG764" s="290"/>
      <c r="AH764" s="290"/>
      <c r="AI764" s="290"/>
      <c r="AJ764" s="290"/>
    </row>
    <row r="765" spans="1:36" x14ac:dyDescent="0.2">
      <c r="A765" s="7"/>
      <c r="B765" s="89"/>
      <c r="C765" s="131"/>
      <c r="D765" s="11">
        <v>0.8</v>
      </c>
      <c r="E765" s="11" t="s">
        <v>748</v>
      </c>
      <c r="F765" s="11">
        <v>0.5</v>
      </c>
      <c r="G765" s="11" t="s">
        <v>727</v>
      </c>
      <c r="H765" s="11">
        <f t="shared" ref="H765" si="54">D765*F765</f>
        <v>0.4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1" t="s">
        <v>745</v>
      </c>
      <c r="AH765" s="142">
        <v>13</v>
      </c>
      <c r="AI765" s="88" t="s">
        <v>727</v>
      </c>
      <c r="AJ765" s="11">
        <f>H765*AH765</f>
        <v>5.2</v>
      </c>
    </row>
    <row r="766" spans="1:36" x14ac:dyDescent="0.2">
      <c r="A766" s="7"/>
      <c r="B766" s="89"/>
      <c r="C766" s="131"/>
      <c r="D766" s="287" t="s">
        <v>796</v>
      </c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  <c r="Q766" s="287"/>
      <c r="R766" s="287"/>
      <c r="S766" s="287"/>
      <c r="T766" s="287"/>
      <c r="U766" s="287"/>
      <c r="V766" s="287"/>
      <c r="W766" s="287"/>
      <c r="X766" s="287"/>
      <c r="Y766" s="287"/>
      <c r="Z766" s="287"/>
      <c r="AA766" s="287"/>
      <c r="AB766" s="287"/>
      <c r="AC766" s="287"/>
      <c r="AD766" s="287"/>
      <c r="AE766" s="287"/>
      <c r="AF766" s="287"/>
      <c r="AG766" s="287"/>
      <c r="AH766" s="287"/>
      <c r="AI766" s="287"/>
      <c r="AJ766" s="92">
        <f>AJ765</f>
        <v>5.2</v>
      </c>
    </row>
    <row r="767" spans="1:36" x14ac:dyDescent="0.2">
      <c r="A767" s="7"/>
      <c r="B767" s="89"/>
      <c r="C767" s="131"/>
      <c r="D767" s="287" t="s">
        <v>797</v>
      </c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  <c r="O767" s="287"/>
      <c r="P767" s="287"/>
      <c r="Q767" s="287"/>
      <c r="R767" s="287"/>
      <c r="S767" s="287"/>
      <c r="T767" s="287"/>
      <c r="U767" s="287"/>
      <c r="V767" s="287"/>
      <c r="W767" s="287"/>
      <c r="X767" s="287"/>
      <c r="Y767" s="287"/>
      <c r="Z767" s="287"/>
      <c r="AA767" s="287"/>
      <c r="AB767" s="287"/>
      <c r="AC767" s="287"/>
      <c r="AD767" s="287"/>
      <c r="AE767" s="287"/>
      <c r="AF767" s="287"/>
      <c r="AG767" s="287"/>
      <c r="AH767" s="287"/>
      <c r="AI767" s="287"/>
      <c r="AJ767" s="92">
        <f>AJ756+AJ763-AJ766</f>
        <v>198.29850000000002</v>
      </c>
    </row>
    <row r="768" spans="1:36" ht="48" x14ac:dyDescent="0.2">
      <c r="A768" s="7" t="s">
        <v>226</v>
      </c>
      <c r="B768" s="8" t="s">
        <v>227</v>
      </c>
      <c r="C768" s="9" t="s">
        <v>228</v>
      </c>
      <c r="D768" s="335"/>
      <c r="E768" s="336"/>
      <c r="F768" s="336"/>
      <c r="G768" s="336"/>
      <c r="H768" s="336"/>
      <c r="I768" s="336"/>
      <c r="J768" s="336"/>
      <c r="K768" s="336"/>
      <c r="L768" s="336"/>
      <c r="M768" s="336"/>
      <c r="N768" s="336"/>
      <c r="O768" s="336"/>
      <c r="P768" s="336"/>
      <c r="Q768" s="336"/>
      <c r="R768" s="336"/>
      <c r="S768" s="336"/>
      <c r="T768" s="336"/>
      <c r="U768" s="336"/>
      <c r="V768" s="336"/>
      <c r="W768" s="336"/>
      <c r="X768" s="336"/>
      <c r="Y768" s="336"/>
      <c r="Z768" s="336"/>
      <c r="AA768" s="336"/>
      <c r="AB768" s="336"/>
      <c r="AC768" s="336"/>
      <c r="AD768" s="336"/>
      <c r="AE768" s="336"/>
      <c r="AF768" s="336"/>
      <c r="AG768" s="336"/>
      <c r="AH768" s="336"/>
      <c r="AI768" s="337"/>
      <c r="AJ768" s="11" t="s">
        <v>19</v>
      </c>
    </row>
    <row r="769" spans="1:36" x14ac:dyDescent="0.2">
      <c r="A769" s="7"/>
      <c r="B769" s="8"/>
      <c r="C769" s="9"/>
      <c r="D769" s="345" t="s">
        <v>820</v>
      </c>
      <c r="E769" s="345"/>
      <c r="F769" s="345"/>
      <c r="G769" s="345"/>
      <c r="H769" s="345"/>
      <c r="I769" s="345"/>
      <c r="J769" s="345"/>
      <c r="K769" s="345"/>
      <c r="L769" s="345"/>
      <c r="M769" s="345"/>
      <c r="N769" s="345"/>
      <c r="O769" s="345"/>
      <c r="P769" s="345"/>
      <c r="Q769" s="345"/>
      <c r="R769" s="345"/>
      <c r="S769" s="345"/>
      <c r="T769" s="345"/>
      <c r="U769" s="345"/>
      <c r="V769" s="345"/>
      <c r="W769" s="345"/>
      <c r="X769" s="345"/>
      <c r="Y769" s="345"/>
      <c r="Z769" s="345"/>
      <c r="AA769" s="345"/>
      <c r="AB769" s="345"/>
      <c r="AC769" s="345"/>
      <c r="AD769" s="345"/>
      <c r="AE769" s="345"/>
      <c r="AF769" s="345"/>
      <c r="AG769" s="345"/>
      <c r="AH769" s="345"/>
      <c r="AI769" s="345"/>
      <c r="AJ769" s="11"/>
    </row>
    <row r="770" spans="1:36" x14ac:dyDescent="0.2">
      <c r="A770" s="7"/>
      <c r="B770" s="8"/>
      <c r="C770" s="208" t="s">
        <v>763</v>
      </c>
      <c r="D770" s="11">
        <v>3</v>
      </c>
      <c r="E770" s="11" t="s">
        <v>764</v>
      </c>
      <c r="F770" s="11">
        <v>3</v>
      </c>
      <c r="G770" s="11" t="s">
        <v>764</v>
      </c>
      <c r="H770" s="11">
        <v>2.23</v>
      </c>
      <c r="I770" s="11" t="s">
        <v>764</v>
      </c>
      <c r="J770" s="11">
        <v>2.23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 t="s">
        <v>745</v>
      </c>
      <c r="AF770" s="11">
        <v>1.8</v>
      </c>
      <c r="AG770" s="11" t="s">
        <v>745</v>
      </c>
      <c r="AH770" s="141">
        <v>1</v>
      </c>
      <c r="AI770" s="88" t="s">
        <v>727</v>
      </c>
      <c r="AJ770" s="11">
        <f t="shared" ref="AJ770:AJ796" si="55">(D770+F770+H770+J770+L770+N770+P770)*AF770*AH770</f>
        <v>18.828000000000003</v>
      </c>
    </row>
    <row r="771" spans="1:36" x14ac:dyDescent="0.2">
      <c r="A771" s="7"/>
      <c r="B771" s="8"/>
      <c r="C771" s="208" t="s">
        <v>765</v>
      </c>
      <c r="D771" s="11">
        <v>2.8</v>
      </c>
      <c r="E771" s="11" t="s">
        <v>764</v>
      </c>
      <c r="F771" s="11">
        <v>2.8</v>
      </c>
      <c r="G771" s="11" t="s">
        <v>764</v>
      </c>
      <c r="H771" s="11">
        <v>2.23</v>
      </c>
      <c r="I771" s="11" t="s">
        <v>764</v>
      </c>
      <c r="J771" s="11">
        <v>2.23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 t="s">
        <v>745</v>
      </c>
      <c r="AF771" s="11">
        <v>1.8</v>
      </c>
      <c r="AG771" s="11" t="s">
        <v>745</v>
      </c>
      <c r="AH771" s="141">
        <v>1</v>
      </c>
      <c r="AI771" s="88" t="s">
        <v>727</v>
      </c>
      <c r="AJ771" s="11">
        <f t="shared" si="55"/>
        <v>18.108000000000001</v>
      </c>
    </row>
    <row r="772" spans="1:36" x14ac:dyDescent="0.2">
      <c r="A772" s="7"/>
      <c r="B772" s="8"/>
      <c r="C772" s="208" t="s">
        <v>766</v>
      </c>
      <c r="D772" s="11">
        <v>3.9</v>
      </c>
      <c r="E772" s="11" t="s">
        <v>764</v>
      </c>
      <c r="F772" s="11">
        <v>3.9</v>
      </c>
      <c r="G772" s="11" t="s">
        <v>764</v>
      </c>
      <c r="H772" s="11">
        <v>2.0699999999999998</v>
      </c>
      <c r="I772" s="11" t="s">
        <v>764</v>
      </c>
      <c r="J772" s="11">
        <v>2.0699999999999998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 t="s">
        <v>745</v>
      </c>
      <c r="AF772" s="11">
        <v>1.2</v>
      </c>
      <c r="AG772" s="11" t="s">
        <v>745</v>
      </c>
      <c r="AH772" s="141">
        <v>1</v>
      </c>
      <c r="AI772" s="88" t="s">
        <v>727</v>
      </c>
      <c r="AJ772" s="11">
        <f t="shared" si="55"/>
        <v>14.327999999999999</v>
      </c>
    </row>
    <row r="773" spans="1:36" x14ac:dyDescent="0.2">
      <c r="A773" s="7"/>
      <c r="B773" s="8"/>
      <c r="C773" s="208" t="s">
        <v>813</v>
      </c>
      <c r="D773" s="11">
        <v>1.02</v>
      </c>
      <c r="E773" s="11" t="s">
        <v>764</v>
      </c>
      <c r="F773" s="11">
        <v>1.02</v>
      </c>
      <c r="G773" s="11" t="s">
        <v>764</v>
      </c>
      <c r="H773" s="11">
        <v>1.85</v>
      </c>
      <c r="I773" s="11" t="s">
        <v>764</v>
      </c>
      <c r="J773" s="11">
        <v>1.85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 t="s">
        <v>745</v>
      </c>
      <c r="AF773" s="11">
        <v>2.7</v>
      </c>
      <c r="AG773" s="11" t="s">
        <v>745</v>
      </c>
      <c r="AH773" s="141">
        <v>1</v>
      </c>
      <c r="AI773" s="88" t="s">
        <v>727</v>
      </c>
      <c r="AJ773" s="11">
        <f t="shared" si="55"/>
        <v>15.498000000000001</v>
      </c>
    </row>
    <row r="774" spans="1:36" x14ac:dyDescent="0.2">
      <c r="A774" s="7"/>
      <c r="B774" s="8"/>
      <c r="C774" s="208" t="s">
        <v>814</v>
      </c>
      <c r="D774" s="11">
        <v>2.67</v>
      </c>
      <c r="E774" s="11" t="s">
        <v>764</v>
      </c>
      <c r="F774" s="11">
        <v>2.85</v>
      </c>
      <c r="G774" s="11" t="s">
        <v>764</v>
      </c>
      <c r="H774" s="11">
        <v>1.5</v>
      </c>
      <c r="I774" s="11" t="s">
        <v>764</v>
      </c>
      <c r="J774" s="11">
        <v>2</v>
      </c>
      <c r="K774" s="11" t="s">
        <v>764</v>
      </c>
      <c r="L774" s="11">
        <v>1.17</v>
      </c>
      <c r="M774" s="11" t="s">
        <v>764</v>
      </c>
      <c r="N774" s="11">
        <v>0.85</v>
      </c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 t="s">
        <v>745</v>
      </c>
      <c r="AF774" s="11">
        <v>2.7</v>
      </c>
      <c r="AG774" s="11" t="s">
        <v>745</v>
      </c>
      <c r="AH774" s="141">
        <v>1</v>
      </c>
      <c r="AI774" s="88" t="s">
        <v>727</v>
      </c>
      <c r="AJ774" s="11">
        <f t="shared" si="55"/>
        <v>29.808</v>
      </c>
    </row>
    <row r="775" spans="1:36" x14ac:dyDescent="0.2">
      <c r="A775" s="7"/>
      <c r="B775" s="8"/>
      <c r="C775" s="208" t="s">
        <v>800</v>
      </c>
      <c r="D775" s="11">
        <v>2.25</v>
      </c>
      <c r="E775" s="11" t="s">
        <v>764</v>
      </c>
      <c r="F775" s="11">
        <v>2.25</v>
      </c>
      <c r="G775" s="11" t="s">
        <v>764</v>
      </c>
      <c r="H775" s="11">
        <v>2.85</v>
      </c>
      <c r="I775" s="11" t="s">
        <v>764</v>
      </c>
      <c r="J775" s="11">
        <v>2.85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 t="s">
        <v>745</v>
      </c>
      <c r="AF775" s="11">
        <v>2.7</v>
      </c>
      <c r="AG775" s="11" t="s">
        <v>745</v>
      </c>
      <c r="AH775" s="141">
        <v>1</v>
      </c>
      <c r="AI775" s="88" t="s">
        <v>727</v>
      </c>
      <c r="AJ775" s="11">
        <f t="shared" si="55"/>
        <v>27.54</v>
      </c>
    </row>
    <row r="776" spans="1:36" x14ac:dyDescent="0.2">
      <c r="A776" s="7"/>
      <c r="B776" s="8"/>
      <c r="C776" s="208" t="s">
        <v>801</v>
      </c>
      <c r="D776" s="11">
        <v>1.05</v>
      </c>
      <c r="E776" s="11" t="s">
        <v>764</v>
      </c>
      <c r="F776" s="11">
        <v>1.05</v>
      </c>
      <c r="G776" s="11" t="s">
        <v>764</v>
      </c>
      <c r="H776" s="11">
        <v>2.1</v>
      </c>
      <c r="I776" s="11" t="s">
        <v>764</v>
      </c>
      <c r="J776" s="11">
        <v>2.1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 t="s">
        <v>745</v>
      </c>
      <c r="AF776" s="11">
        <v>2.7</v>
      </c>
      <c r="AG776" s="11" t="s">
        <v>745</v>
      </c>
      <c r="AH776" s="141">
        <v>1</v>
      </c>
      <c r="AI776" s="88" t="s">
        <v>727</v>
      </c>
      <c r="AJ776" s="11">
        <f t="shared" si="55"/>
        <v>17.010000000000002</v>
      </c>
    </row>
    <row r="777" spans="1:36" x14ac:dyDescent="0.2">
      <c r="A777" s="7"/>
      <c r="B777" s="8"/>
      <c r="C777" s="208" t="s">
        <v>815</v>
      </c>
      <c r="D777" s="11">
        <v>1.8</v>
      </c>
      <c r="E777" s="11" t="s">
        <v>764</v>
      </c>
      <c r="F777" s="11">
        <v>1.8</v>
      </c>
      <c r="G777" s="11" t="s">
        <v>764</v>
      </c>
      <c r="H777" s="11">
        <v>2.85</v>
      </c>
      <c r="I777" s="11" t="s">
        <v>764</v>
      </c>
      <c r="J777" s="11">
        <v>2.85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 t="s">
        <v>745</v>
      </c>
      <c r="AF777" s="11">
        <v>2.7</v>
      </c>
      <c r="AG777" s="11" t="s">
        <v>745</v>
      </c>
      <c r="AH777" s="141">
        <v>1</v>
      </c>
      <c r="AI777" s="88" t="s">
        <v>727</v>
      </c>
      <c r="AJ777" s="11">
        <f t="shared" si="55"/>
        <v>25.110000000000003</v>
      </c>
    </row>
    <row r="778" spans="1:36" x14ac:dyDescent="0.2">
      <c r="A778" s="7"/>
      <c r="B778" s="8"/>
      <c r="C778" s="208" t="s">
        <v>803</v>
      </c>
      <c r="D778" s="11">
        <v>2.7</v>
      </c>
      <c r="E778" s="11" t="s">
        <v>764</v>
      </c>
      <c r="F778" s="11">
        <v>7.05</v>
      </c>
      <c r="G778" s="11" t="s">
        <v>764</v>
      </c>
      <c r="H778" s="11">
        <v>4.6500000000000004</v>
      </c>
      <c r="I778" s="11" t="s">
        <v>764</v>
      </c>
      <c r="J778" s="11">
        <v>3.86</v>
      </c>
      <c r="K778" s="11" t="s">
        <v>764</v>
      </c>
      <c r="L778" s="11">
        <v>1.5</v>
      </c>
      <c r="M778" s="11" t="s">
        <v>764</v>
      </c>
      <c r="N778" s="11">
        <v>0.4</v>
      </c>
      <c r="O778" s="11" t="s">
        <v>764</v>
      </c>
      <c r="P778" s="11">
        <v>3.4</v>
      </c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 t="s">
        <v>745</v>
      </c>
      <c r="AF778" s="11">
        <v>2.7</v>
      </c>
      <c r="AG778" s="11" t="s">
        <v>745</v>
      </c>
      <c r="AH778" s="141">
        <v>1</v>
      </c>
      <c r="AI778" s="88" t="s">
        <v>727</v>
      </c>
      <c r="AJ778" s="11">
        <f t="shared" si="55"/>
        <v>63.612000000000002</v>
      </c>
    </row>
    <row r="779" spans="1:36" x14ac:dyDescent="0.2">
      <c r="A779" s="7"/>
      <c r="B779" s="8"/>
      <c r="C779" s="208" t="s">
        <v>804</v>
      </c>
      <c r="D779" s="11">
        <v>1.57</v>
      </c>
      <c r="E779" s="11" t="s">
        <v>764</v>
      </c>
      <c r="F779" s="11">
        <v>1.57</v>
      </c>
      <c r="G779" s="11" t="s">
        <v>764</v>
      </c>
      <c r="H779" s="11">
        <v>2.85</v>
      </c>
      <c r="I779" s="11" t="s">
        <v>764</v>
      </c>
      <c r="J779" s="11">
        <v>2.85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 t="s">
        <v>745</v>
      </c>
      <c r="AF779" s="11">
        <v>2.7</v>
      </c>
      <c r="AG779" s="11" t="s">
        <v>745</v>
      </c>
      <c r="AH779" s="141">
        <v>1</v>
      </c>
      <c r="AI779" s="88" t="s">
        <v>727</v>
      </c>
      <c r="AJ779" s="11">
        <f t="shared" si="55"/>
        <v>23.868000000000002</v>
      </c>
    </row>
    <row r="780" spans="1:36" x14ac:dyDescent="0.2">
      <c r="A780" s="7"/>
      <c r="B780" s="8"/>
      <c r="C780" s="208" t="s">
        <v>767</v>
      </c>
      <c r="D780" s="11">
        <v>6.79</v>
      </c>
      <c r="E780" s="11" t="s">
        <v>764</v>
      </c>
      <c r="F780" s="11">
        <v>6.79</v>
      </c>
      <c r="G780" s="11"/>
      <c r="H780" s="11"/>
      <c r="I780" s="11"/>
      <c r="J780" s="11"/>
      <c r="K780" s="11"/>
      <c r="L780" s="11"/>
      <c r="M780" s="11"/>
      <c r="N780" s="216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 t="s">
        <v>745</v>
      </c>
      <c r="AF780" s="11">
        <v>1.2</v>
      </c>
      <c r="AG780" s="11" t="s">
        <v>745</v>
      </c>
      <c r="AH780" s="141">
        <v>1</v>
      </c>
      <c r="AI780" s="88" t="s">
        <v>727</v>
      </c>
      <c r="AJ780" s="11">
        <f t="shared" si="55"/>
        <v>16.295999999999999</v>
      </c>
    </row>
    <row r="781" spans="1:36" x14ac:dyDescent="0.2">
      <c r="A781" s="7"/>
      <c r="B781" s="8"/>
      <c r="C781" s="208" t="s">
        <v>768</v>
      </c>
      <c r="D781" s="11">
        <v>2.25</v>
      </c>
      <c r="E781" s="11" t="s">
        <v>764</v>
      </c>
      <c r="F781" s="11">
        <v>2.25</v>
      </c>
      <c r="G781" s="11" t="s">
        <v>764</v>
      </c>
      <c r="H781" s="11">
        <v>1.95</v>
      </c>
      <c r="I781" s="11" t="s">
        <v>764</v>
      </c>
      <c r="J781" s="11">
        <v>1.95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 t="s">
        <v>745</v>
      </c>
      <c r="AF781" s="11">
        <v>1.8</v>
      </c>
      <c r="AG781" s="11" t="s">
        <v>745</v>
      </c>
      <c r="AH781" s="141">
        <v>1</v>
      </c>
      <c r="AI781" s="88" t="s">
        <v>727</v>
      </c>
      <c r="AJ781" s="11">
        <f t="shared" si="55"/>
        <v>15.120000000000001</v>
      </c>
    </row>
    <row r="782" spans="1:36" x14ac:dyDescent="0.2">
      <c r="A782" s="7"/>
      <c r="B782" s="8"/>
      <c r="C782" s="208" t="s">
        <v>769</v>
      </c>
      <c r="D782" s="11">
        <v>2.25</v>
      </c>
      <c r="E782" s="11" t="s">
        <v>764</v>
      </c>
      <c r="F782" s="11">
        <v>2.25</v>
      </c>
      <c r="G782" s="11" t="s">
        <v>764</v>
      </c>
      <c r="H782" s="11">
        <v>1.95</v>
      </c>
      <c r="I782" s="11" t="s">
        <v>764</v>
      </c>
      <c r="J782" s="11">
        <v>1.95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 t="s">
        <v>745</v>
      </c>
      <c r="AF782" s="11">
        <v>1.8</v>
      </c>
      <c r="AG782" s="11" t="s">
        <v>745</v>
      </c>
      <c r="AH782" s="141">
        <v>1</v>
      </c>
      <c r="AI782" s="88" t="s">
        <v>727</v>
      </c>
      <c r="AJ782" s="11">
        <f t="shared" si="55"/>
        <v>15.120000000000001</v>
      </c>
    </row>
    <row r="783" spans="1:36" x14ac:dyDescent="0.2">
      <c r="A783" s="7"/>
      <c r="B783" s="8"/>
      <c r="C783" s="208" t="s">
        <v>770</v>
      </c>
      <c r="D783" s="11">
        <v>4.05</v>
      </c>
      <c r="E783" s="11" t="s">
        <v>764</v>
      </c>
      <c r="F783" s="11">
        <v>4.05</v>
      </c>
      <c r="G783" s="11" t="s">
        <v>764</v>
      </c>
      <c r="H783" s="11">
        <v>4.05</v>
      </c>
      <c r="I783" s="11" t="s">
        <v>764</v>
      </c>
      <c r="J783" s="11">
        <v>4.05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 t="s">
        <v>745</v>
      </c>
      <c r="AF783" s="11">
        <v>1.2</v>
      </c>
      <c r="AG783" s="11" t="s">
        <v>745</v>
      </c>
      <c r="AH783" s="141">
        <v>1</v>
      </c>
      <c r="AI783" s="88" t="s">
        <v>727</v>
      </c>
      <c r="AJ783" s="11">
        <f t="shared" si="55"/>
        <v>19.439999999999998</v>
      </c>
    </row>
    <row r="784" spans="1:36" x14ac:dyDescent="0.2">
      <c r="A784" s="7"/>
      <c r="B784" s="8"/>
      <c r="C784" s="208" t="s">
        <v>772</v>
      </c>
      <c r="D784" s="11">
        <v>4.6500000000000004</v>
      </c>
      <c r="E784" s="11" t="s">
        <v>764</v>
      </c>
      <c r="F784" s="11">
        <v>4.6500000000000004</v>
      </c>
      <c r="G784" s="11" t="s">
        <v>764</v>
      </c>
      <c r="H784" s="11">
        <v>3.45</v>
      </c>
      <c r="I784" s="11" t="s">
        <v>764</v>
      </c>
      <c r="J784" s="11">
        <v>3.45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 t="s">
        <v>745</v>
      </c>
      <c r="AF784" s="11">
        <v>1.2</v>
      </c>
      <c r="AG784" s="11" t="s">
        <v>745</v>
      </c>
      <c r="AH784" s="141">
        <v>1</v>
      </c>
      <c r="AI784" s="88" t="s">
        <v>727</v>
      </c>
      <c r="AJ784" s="11">
        <f t="shared" si="55"/>
        <v>19.439999999999998</v>
      </c>
    </row>
    <row r="785" spans="1:36" x14ac:dyDescent="0.2">
      <c r="A785" s="7"/>
      <c r="B785" s="8"/>
      <c r="C785" s="208" t="s">
        <v>773</v>
      </c>
      <c r="D785" s="11">
        <v>1.65</v>
      </c>
      <c r="E785" s="11" t="s">
        <v>764</v>
      </c>
      <c r="F785" s="11">
        <v>1.65</v>
      </c>
      <c r="G785" s="11" t="s">
        <v>764</v>
      </c>
      <c r="H785" s="11">
        <v>3.45</v>
      </c>
      <c r="I785" s="11" t="s">
        <v>764</v>
      </c>
      <c r="J785" s="11">
        <v>3.45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 t="s">
        <v>745</v>
      </c>
      <c r="AF785" s="11">
        <v>1.2</v>
      </c>
      <c r="AG785" s="11" t="s">
        <v>745</v>
      </c>
      <c r="AH785" s="141">
        <v>1</v>
      </c>
      <c r="AI785" s="88" t="s">
        <v>727</v>
      </c>
      <c r="AJ785" s="11">
        <f t="shared" si="55"/>
        <v>12.239999999999998</v>
      </c>
    </row>
    <row r="786" spans="1:36" x14ac:dyDescent="0.2">
      <c r="A786" s="7"/>
      <c r="B786" s="8"/>
      <c r="C786" s="208" t="s">
        <v>774</v>
      </c>
      <c r="D786" s="95">
        <v>3.42</v>
      </c>
      <c r="E786" s="95" t="s">
        <v>764</v>
      </c>
      <c r="F786" s="153">
        <v>3.42</v>
      </c>
      <c r="G786" s="95" t="s">
        <v>764</v>
      </c>
      <c r="H786" s="95">
        <v>2.2400000000000002</v>
      </c>
      <c r="I786" s="95" t="s">
        <v>764</v>
      </c>
      <c r="J786" s="95">
        <v>2.2400000000000002</v>
      </c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11" t="s">
        <v>745</v>
      </c>
      <c r="AF786" s="11">
        <v>1.2</v>
      </c>
      <c r="AG786" s="11" t="s">
        <v>745</v>
      </c>
      <c r="AH786" s="141">
        <v>1</v>
      </c>
      <c r="AI786" s="88" t="s">
        <v>727</v>
      </c>
      <c r="AJ786" s="11">
        <f t="shared" si="55"/>
        <v>13.584</v>
      </c>
    </row>
    <row r="787" spans="1:36" x14ac:dyDescent="0.2">
      <c r="A787" s="7"/>
      <c r="B787" s="8"/>
      <c r="C787" s="208" t="s">
        <v>775</v>
      </c>
      <c r="D787" s="11">
        <v>5.39</v>
      </c>
      <c r="E787" s="11" t="s">
        <v>764</v>
      </c>
      <c r="F787" s="11">
        <v>5.39</v>
      </c>
      <c r="G787" s="11" t="s">
        <v>764</v>
      </c>
      <c r="H787" s="11">
        <v>3.8</v>
      </c>
      <c r="I787" s="11" t="s">
        <v>764</v>
      </c>
      <c r="J787" s="11">
        <v>3.8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 t="s">
        <v>745</v>
      </c>
      <c r="AF787" s="11">
        <v>1.2</v>
      </c>
      <c r="AG787" s="11" t="s">
        <v>745</v>
      </c>
      <c r="AH787" s="141">
        <v>1</v>
      </c>
      <c r="AI787" s="88" t="s">
        <v>727</v>
      </c>
      <c r="AJ787" s="11">
        <f t="shared" si="55"/>
        <v>22.055999999999997</v>
      </c>
    </row>
    <row r="788" spans="1:36" x14ac:dyDescent="0.2">
      <c r="A788" s="7"/>
      <c r="B788" s="8"/>
      <c r="C788" s="208" t="s">
        <v>776</v>
      </c>
      <c r="D788" s="11">
        <v>4.79</v>
      </c>
      <c r="E788" s="11" t="s">
        <v>764</v>
      </c>
      <c r="F788" s="11">
        <v>4.79</v>
      </c>
      <c r="G788" s="11" t="s">
        <v>764</v>
      </c>
      <c r="H788" s="11">
        <v>1.64</v>
      </c>
      <c r="I788" s="11" t="s">
        <v>764</v>
      </c>
      <c r="J788" s="11">
        <v>1.64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 t="s">
        <v>745</v>
      </c>
      <c r="AF788" s="11">
        <v>1.2</v>
      </c>
      <c r="AG788" s="11" t="s">
        <v>745</v>
      </c>
      <c r="AH788" s="141">
        <v>1</v>
      </c>
      <c r="AI788" s="88" t="s">
        <v>727</v>
      </c>
      <c r="AJ788" s="11">
        <f t="shared" si="55"/>
        <v>15.432</v>
      </c>
    </row>
    <row r="789" spans="1:36" x14ac:dyDescent="0.2">
      <c r="A789" s="7"/>
      <c r="B789" s="8"/>
      <c r="C789" s="208" t="s">
        <v>778</v>
      </c>
      <c r="D789" s="11">
        <v>0.73</v>
      </c>
      <c r="E789" s="11" t="s">
        <v>764</v>
      </c>
      <c r="F789" s="11">
        <v>4.79</v>
      </c>
      <c r="G789" s="11" t="s">
        <v>764</v>
      </c>
      <c r="H789" s="11">
        <v>4.9000000000000004</v>
      </c>
      <c r="I789" s="11" t="s">
        <v>764</v>
      </c>
      <c r="J789" s="11">
        <v>6.45</v>
      </c>
      <c r="K789" s="11" t="s">
        <v>764</v>
      </c>
      <c r="L789" s="11">
        <v>4.17</v>
      </c>
      <c r="M789" s="11" t="s">
        <v>764</v>
      </c>
      <c r="N789" s="11">
        <v>1.66</v>
      </c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 t="s">
        <v>745</v>
      </c>
      <c r="AF789" s="11">
        <v>1.2</v>
      </c>
      <c r="AG789" s="11" t="s">
        <v>745</v>
      </c>
      <c r="AH789" s="141">
        <v>1</v>
      </c>
      <c r="AI789" s="88" t="s">
        <v>727</v>
      </c>
      <c r="AJ789" s="11">
        <f t="shared" si="55"/>
        <v>27.24</v>
      </c>
    </row>
    <row r="790" spans="1:36" x14ac:dyDescent="0.2">
      <c r="A790" s="7"/>
      <c r="B790" s="8"/>
      <c r="C790" s="208" t="s">
        <v>780</v>
      </c>
      <c r="D790" s="11">
        <v>6.45</v>
      </c>
      <c r="E790" s="11" t="s">
        <v>764</v>
      </c>
      <c r="F790" s="11">
        <v>6.45</v>
      </c>
      <c r="G790" s="11" t="s">
        <v>764</v>
      </c>
      <c r="H790" s="11">
        <v>2.25</v>
      </c>
      <c r="I790" s="11" t="s">
        <v>764</v>
      </c>
      <c r="J790" s="11">
        <v>2.25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 t="s">
        <v>745</v>
      </c>
      <c r="AF790" s="11">
        <v>1.8</v>
      </c>
      <c r="AG790" s="11" t="s">
        <v>745</v>
      </c>
      <c r="AH790" s="141">
        <v>1</v>
      </c>
      <c r="AI790" s="88" t="s">
        <v>727</v>
      </c>
      <c r="AJ790" s="11">
        <f t="shared" si="55"/>
        <v>31.319999999999997</v>
      </c>
    </row>
    <row r="791" spans="1:36" x14ac:dyDescent="0.2">
      <c r="A791" s="7"/>
      <c r="B791" s="8"/>
      <c r="C791" s="208" t="s">
        <v>781</v>
      </c>
      <c r="D791" s="11">
        <v>6.45</v>
      </c>
      <c r="E791" s="11" t="s">
        <v>764</v>
      </c>
      <c r="F791" s="88">
        <v>6.45</v>
      </c>
      <c r="G791" s="11" t="s">
        <v>764</v>
      </c>
      <c r="H791" s="11">
        <v>5.3</v>
      </c>
      <c r="I791" s="11" t="s">
        <v>764</v>
      </c>
      <c r="J791" s="11">
        <v>5.3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 t="s">
        <v>745</v>
      </c>
      <c r="AF791" s="11">
        <v>1.2</v>
      </c>
      <c r="AG791" s="11" t="s">
        <v>745</v>
      </c>
      <c r="AH791" s="141">
        <v>1</v>
      </c>
      <c r="AI791" s="88" t="s">
        <v>727</v>
      </c>
      <c r="AJ791" s="11">
        <f t="shared" si="55"/>
        <v>28.2</v>
      </c>
    </row>
    <row r="792" spans="1:36" x14ac:dyDescent="0.2">
      <c r="A792" s="7"/>
      <c r="B792" s="8"/>
      <c r="C792" s="208" t="s">
        <v>782</v>
      </c>
      <c r="D792" s="11">
        <v>6.45</v>
      </c>
      <c r="E792" s="11" t="s">
        <v>764</v>
      </c>
      <c r="F792" s="11">
        <v>6.45</v>
      </c>
      <c r="G792" s="11" t="s">
        <v>764</v>
      </c>
      <c r="H792" s="11">
        <v>2.98</v>
      </c>
      <c r="I792" s="11" t="s">
        <v>764</v>
      </c>
      <c r="J792" s="11">
        <v>2.98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 t="s">
        <v>745</v>
      </c>
      <c r="AF792" s="11">
        <v>1.8</v>
      </c>
      <c r="AG792" s="11" t="s">
        <v>745</v>
      </c>
      <c r="AH792" s="141">
        <v>1</v>
      </c>
      <c r="AI792" s="88" t="s">
        <v>727</v>
      </c>
      <c r="AJ792" s="11">
        <f t="shared" si="55"/>
        <v>33.948</v>
      </c>
    </row>
    <row r="793" spans="1:36" x14ac:dyDescent="0.2">
      <c r="A793" s="7"/>
      <c r="B793" s="8"/>
      <c r="C793" s="208" t="s">
        <v>816</v>
      </c>
      <c r="D793" s="11">
        <v>0.6</v>
      </c>
      <c r="E793" s="11" t="s">
        <v>764</v>
      </c>
      <c r="F793" s="11">
        <v>0.5</v>
      </c>
      <c r="G793" s="11" t="s">
        <v>764</v>
      </c>
      <c r="H793" s="11">
        <v>0.6</v>
      </c>
      <c r="I793" s="11" t="s">
        <v>764</v>
      </c>
      <c r="J793" s="11">
        <v>0.86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 t="s">
        <v>745</v>
      </c>
      <c r="AF793" s="11">
        <v>0.9</v>
      </c>
      <c r="AG793" s="11" t="s">
        <v>745</v>
      </c>
      <c r="AH793" s="141">
        <v>2</v>
      </c>
      <c r="AI793" s="88" t="s">
        <v>727</v>
      </c>
      <c r="AJ793" s="11">
        <f t="shared" si="55"/>
        <v>4.6080000000000005</v>
      </c>
    </row>
    <row r="794" spans="1:36" x14ac:dyDescent="0.2">
      <c r="A794" s="7"/>
      <c r="B794" s="8"/>
      <c r="C794" s="208" t="s">
        <v>817</v>
      </c>
      <c r="D794" s="11">
        <v>0.57999999999999996</v>
      </c>
      <c r="E794" s="11" t="s">
        <v>764</v>
      </c>
      <c r="F794" s="11">
        <v>1</v>
      </c>
      <c r="G794" s="11" t="s">
        <v>764</v>
      </c>
      <c r="H794" s="11">
        <v>0.53</v>
      </c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 t="s">
        <v>745</v>
      </c>
      <c r="AF794" s="11">
        <v>0.9</v>
      </c>
      <c r="AG794" s="11" t="s">
        <v>745</v>
      </c>
      <c r="AH794" s="141">
        <v>2</v>
      </c>
      <c r="AI794" s="88" t="s">
        <v>727</v>
      </c>
      <c r="AJ794" s="11">
        <f t="shared" si="55"/>
        <v>3.7980000000000005</v>
      </c>
    </row>
    <row r="795" spans="1:36" x14ac:dyDescent="0.2">
      <c r="A795" s="7"/>
      <c r="B795" s="8"/>
      <c r="C795" s="208" t="s">
        <v>818</v>
      </c>
      <c r="D795" s="11">
        <v>0.7</v>
      </c>
      <c r="E795" s="11" t="s">
        <v>764</v>
      </c>
      <c r="F795" s="11">
        <v>0.7</v>
      </c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 t="s">
        <v>745</v>
      </c>
      <c r="AF795" s="11">
        <v>0.84</v>
      </c>
      <c r="AG795" s="11" t="s">
        <v>745</v>
      </c>
      <c r="AH795" s="141">
        <v>2</v>
      </c>
      <c r="AI795" s="88" t="s">
        <v>727</v>
      </c>
      <c r="AJ795" s="11">
        <f t="shared" si="55"/>
        <v>2.3519999999999999</v>
      </c>
    </row>
    <row r="796" spans="1:36" x14ac:dyDescent="0.2">
      <c r="A796" s="7"/>
      <c r="B796" s="8"/>
      <c r="C796" s="208" t="s">
        <v>819</v>
      </c>
      <c r="D796" s="11">
        <v>2.25</v>
      </c>
      <c r="E796" s="11" t="s">
        <v>764</v>
      </c>
      <c r="F796" s="11">
        <v>2.25</v>
      </c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 t="s">
        <v>745</v>
      </c>
      <c r="AF796" s="11">
        <v>0.3</v>
      </c>
      <c r="AG796" s="11" t="s">
        <v>745</v>
      </c>
      <c r="AH796" s="141">
        <v>2</v>
      </c>
      <c r="AI796" s="88" t="s">
        <v>727</v>
      </c>
      <c r="AJ796" s="11">
        <f t="shared" si="55"/>
        <v>2.6999999999999997</v>
      </c>
    </row>
    <row r="797" spans="1:36" x14ac:dyDescent="0.2">
      <c r="A797" s="7"/>
      <c r="B797" s="8"/>
      <c r="C797" s="9"/>
      <c r="D797" s="287" t="s">
        <v>743</v>
      </c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  <c r="O797" s="287"/>
      <c r="P797" s="287"/>
      <c r="Q797" s="287"/>
      <c r="R797" s="287"/>
      <c r="S797" s="287"/>
      <c r="T797" s="287"/>
      <c r="U797" s="287"/>
      <c r="V797" s="287"/>
      <c r="W797" s="287"/>
      <c r="X797" s="287"/>
      <c r="Y797" s="287"/>
      <c r="Z797" s="287"/>
      <c r="AA797" s="287"/>
      <c r="AB797" s="287"/>
      <c r="AC797" s="287"/>
      <c r="AD797" s="287"/>
      <c r="AE797" s="287"/>
      <c r="AF797" s="287"/>
      <c r="AG797" s="287"/>
      <c r="AH797" s="287"/>
      <c r="AI797" s="287"/>
      <c r="AJ797" s="92">
        <f>SUM(AJ770:AJ796)</f>
        <v>536.60400000000004</v>
      </c>
    </row>
    <row r="798" spans="1:36" x14ac:dyDescent="0.2">
      <c r="A798" s="7"/>
      <c r="B798" s="8"/>
      <c r="C798" s="7"/>
      <c r="D798" s="374" t="s">
        <v>795</v>
      </c>
      <c r="E798" s="375"/>
      <c r="F798" s="375"/>
      <c r="G798" s="375"/>
      <c r="H798" s="375"/>
      <c r="I798" s="375"/>
      <c r="J798" s="375"/>
      <c r="K798" s="375"/>
      <c r="L798" s="375"/>
      <c r="M798" s="375"/>
      <c r="N798" s="375"/>
      <c r="O798" s="375"/>
      <c r="P798" s="375"/>
      <c r="Q798" s="375"/>
      <c r="R798" s="375"/>
      <c r="S798" s="375"/>
      <c r="T798" s="375"/>
      <c r="U798" s="375"/>
      <c r="V798" s="375"/>
      <c r="W798" s="375"/>
      <c r="X798" s="375"/>
      <c r="Y798" s="375"/>
      <c r="Z798" s="375"/>
      <c r="AA798" s="375"/>
      <c r="AB798" s="375"/>
      <c r="AC798" s="375"/>
      <c r="AD798" s="375"/>
      <c r="AE798" s="375"/>
      <c r="AF798" s="375"/>
      <c r="AG798" s="375"/>
      <c r="AH798" s="375"/>
      <c r="AI798" s="375"/>
      <c r="AJ798" s="101"/>
    </row>
    <row r="799" spans="1:36" x14ac:dyDescent="0.2">
      <c r="A799" s="7"/>
      <c r="B799" s="8"/>
      <c r="C799" s="7"/>
      <c r="D799" s="380" t="s">
        <v>821</v>
      </c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  <c r="Y799" s="381"/>
      <c r="Z799" s="381"/>
      <c r="AA799" s="381"/>
      <c r="AB799" s="381"/>
      <c r="AC799" s="381"/>
      <c r="AD799" s="381"/>
      <c r="AE799" s="381"/>
      <c r="AF799" s="381"/>
      <c r="AG799" s="381"/>
      <c r="AH799" s="381"/>
      <c r="AI799" s="381"/>
      <c r="AJ799" s="101"/>
    </row>
    <row r="800" spans="1:36" x14ac:dyDescent="0.2">
      <c r="A800" s="7"/>
      <c r="B800" s="8"/>
      <c r="C800" s="12" t="s">
        <v>823</v>
      </c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42"/>
      <c r="AJ800" s="11"/>
    </row>
    <row r="801" spans="1:36" x14ac:dyDescent="0.2">
      <c r="A801" s="7"/>
      <c r="B801" s="8"/>
      <c r="C801" s="100" t="s">
        <v>751</v>
      </c>
      <c r="D801" s="11">
        <v>1.2</v>
      </c>
      <c r="E801" s="11" t="s">
        <v>745</v>
      </c>
      <c r="F801" s="11">
        <v>1.2</v>
      </c>
      <c r="G801" s="11" t="s">
        <v>727</v>
      </c>
      <c r="H801" s="11">
        <f>D801*F801</f>
        <v>1.44</v>
      </c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42">
        <v>1</v>
      </c>
      <c r="AI801" s="88" t="s">
        <v>727</v>
      </c>
      <c r="AJ801" s="11">
        <f>H801*AH801</f>
        <v>1.44</v>
      </c>
    </row>
    <row r="802" spans="1:36" x14ac:dyDescent="0.2">
      <c r="A802" s="7"/>
      <c r="B802" s="8"/>
      <c r="C802" s="12" t="s">
        <v>822</v>
      </c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42"/>
      <c r="AJ802" s="11"/>
    </row>
    <row r="803" spans="1:36" x14ac:dyDescent="0.2">
      <c r="A803" s="7"/>
      <c r="B803" s="8"/>
      <c r="C803" s="9"/>
      <c r="D803" s="11">
        <v>0.8</v>
      </c>
      <c r="E803" s="11" t="s">
        <v>748</v>
      </c>
      <c r="F803" s="11">
        <v>2.1</v>
      </c>
      <c r="G803" s="11" t="s">
        <v>727</v>
      </c>
      <c r="H803" s="11">
        <f t="shared" ref="H803" si="56">D803*F803</f>
        <v>1.6800000000000002</v>
      </c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42">
        <v>1</v>
      </c>
      <c r="AI803" s="88" t="s">
        <v>727</v>
      </c>
      <c r="AJ803" s="11">
        <f>H803*AH803</f>
        <v>1.6800000000000002</v>
      </c>
    </row>
    <row r="804" spans="1:36" x14ac:dyDescent="0.2">
      <c r="A804" s="7"/>
      <c r="B804" s="8"/>
      <c r="C804" s="9"/>
      <c r="D804" s="382" t="s">
        <v>824</v>
      </c>
      <c r="E804" s="314"/>
      <c r="F804" s="314"/>
      <c r="G804" s="314"/>
      <c r="H804" s="314"/>
      <c r="I804" s="314"/>
      <c r="J804" s="314"/>
      <c r="K804" s="314"/>
      <c r="L804" s="314"/>
      <c r="M804" s="314"/>
      <c r="N804" s="314"/>
      <c r="O804" s="314"/>
      <c r="P804" s="314"/>
      <c r="Q804" s="314"/>
      <c r="R804" s="314"/>
      <c r="S804" s="314"/>
      <c r="T804" s="314"/>
      <c r="U804" s="314"/>
      <c r="V804" s="314"/>
      <c r="W804" s="314"/>
      <c r="X804" s="314"/>
      <c r="Y804" s="314"/>
      <c r="Z804" s="314"/>
      <c r="AA804" s="314"/>
      <c r="AB804" s="314"/>
      <c r="AC804" s="314"/>
      <c r="AD804" s="314"/>
      <c r="AE804" s="314"/>
      <c r="AF804" s="314"/>
      <c r="AG804" s="314"/>
      <c r="AH804" s="314"/>
      <c r="AI804" s="314"/>
      <c r="AJ804" s="11"/>
    </row>
    <row r="805" spans="1:36" x14ac:dyDescent="0.2">
      <c r="A805" s="7"/>
      <c r="B805" s="8"/>
      <c r="C805" s="12" t="s">
        <v>823</v>
      </c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42"/>
      <c r="AJ805" s="11"/>
    </row>
    <row r="806" spans="1:36" x14ac:dyDescent="0.2">
      <c r="A806" s="7"/>
      <c r="B806" s="8"/>
      <c r="C806" s="12" t="s">
        <v>749</v>
      </c>
      <c r="D806" s="11">
        <v>0.6</v>
      </c>
      <c r="E806" s="11" t="s">
        <v>745</v>
      </c>
      <c r="F806" s="11">
        <v>0.2</v>
      </c>
      <c r="G806" s="11" t="s">
        <v>727</v>
      </c>
      <c r="H806" s="11">
        <f>D806*F806</f>
        <v>0.12</v>
      </c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>
        <v>15</v>
      </c>
      <c r="AI806" s="88" t="s">
        <v>727</v>
      </c>
      <c r="AJ806" s="11">
        <f>H806*AH806</f>
        <v>1.7999999999999998</v>
      </c>
    </row>
    <row r="807" spans="1:36" x14ac:dyDescent="0.2">
      <c r="A807" s="7"/>
      <c r="B807" s="8"/>
      <c r="C807" s="12" t="s">
        <v>822</v>
      </c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>
        <f t="shared" ref="AJ807" si="57">H807*AI807</f>
        <v>0</v>
      </c>
    </row>
    <row r="808" spans="1:36" x14ac:dyDescent="0.2">
      <c r="A808" s="7"/>
      <c r="B808" s="8"/>
      <c r="C808" s="12"/>
      <c r="D808" s="11">
        <v>0.8</v>
      </c>
      <c r="E808" s="11" t="s">
        <v>748</v>
      </c>
      <c r="F808" s="11">
        <v>0.2</v>
      </c>
      <c r="G808" s="11" t="s">
        <v>727</v>
      </c>
      <c r="H808" s="11">
        <f t="shared" ref="H808" si="58">D808*F808</f>
        <v>0.16000000000000003</v>
      </c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>
        <v>6</v>
      </c>
      <c r="AI808" s="88" t="s">
        <v>727</v>
      </c>
      <c r="AJ808" s="11">
        <f>H808*AH808</f>
        <v>0.96000000000000019</v>
      </c>
    </row>
    <row r="809" spans="1:36" x14ac:dyDescent="0.2">
      <c r="A809" s="7"/>
      <c r="B809" s="8"/>
      <c r="C809" s="9"/>
      <c r="D809" s="382" t="s">
        <v>825</v>
      </c>
      <c r="E809" s="314"/>
      <c r="F809" s="314"/>
      <c r="G809" s="314"/>
      <c r="H809" s="314"/>
      <c r="I809" s="314"/>
      <c r="J809" s="314"/>
      <c r="K809" s="314"/>
      <c r="L809" s="314"/>
      <c r="M809" s="314"/>
      <c r="N809" s="314"/>
      <c r="O809" s="314"/>
      <c r="P809" s="314"/>
      <c r="Q809" s="314"/>
      <c r="R809" s="314"/>
      <c r="S809" s="314"/>
      <c r="T809" s="314"/>
      <c r="U809" s="314"/>
      <c r="V809" s="314"/>
      <c r="W809" s="314"/>
      <c r="X809" s="314"/>
      <c r="Y809" s="314"/>
      <c r="Z809" s="314"/>
      <c r="AA809" s="314"/>
      <c r="AB809" s="314"/>
      <c r="AC809" s="314"/>
      <c r="AD809" s="314"/>
      <c r="AE809" s="314"/>
      <c r="AF809" s="314"/>
      <c r="AG809" s="314"/>
      <c r="AH809" s="314"/>
      <c r="AI809" s="314"/>
      <c r="AJ809" s="11"/>
    </row>
    <row r="810" spans="1:36" x14ac:dyDescent="0.2">
      <c r="A810" s="7"/>
      <c r="B810" s="8"/>
      <c r="C810" s="12" t="s">
        <v>823</v>
      </c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48"/>
      <c r="AJ810" s="11"/>
    </row>
    <row r="811" spans="1:36" x14ac:dyDescent="0.2">
      <c r="A811" s="7"/>
      <c r="B811" s="8"/>
      <c r="C811" s="9"/>
      <c r="D811" s="11">
        <v>0.6</v>
      </c>
      <c r="E811" s="11" t="s">
        <v>745</v>
      </c>
      <c r="F811" s="11">
        <v>0.6</v>
      </c>
      <c r="G811" s="11" t="s">
        <v>727</v>
      </c>
      <c r="H811" s="11">
        <f>D811*F811</f>
        <v>0.36</v>
      </c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>
        <v>3</v>
      </c>
      <c r="AI811" s="88" t="s">
        <v>727</v>
      </c>
      <c r="AJ811" s="11">
        <f>H811*AH811</f>
        <v>1.08</v>
      </c>
    </row>
    <row r="812" spans="1:36" x14ac:dyDescent="0.2">
      <c r="A812" s="7"/>
      <c r="B812" s="8"/>
      <c r="C812" s="9"/>
      <c r="D812" s="11">
        <v>0.6</v>
      </c>
      <c r="E812" s="11" t="s">
        <v>745</v>
      </c>
      <c r="F812" s="11">
        <v>0.8</v>
      </c>
      <c r="G812" s="11" t="s">
        <v>727</v>
      </c>
      <c r="H812" s="11">
        <f t="shared" ref="H812:H815" si="59">D812*F812</f>
        <v>0.48</v>
      </c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>
        <v>0</v>
      </c>
      <c r="AI812" s="88" t="s">
        <v>727</v>
      </c>
      <c r="AJ812" s="11">
        <f>H812*AH812</f>
        <v>0</v>
      </c>
    </row>
    <row r="813" spans="1:36" x14ac:dyDescent="0.2">
      <c r="A813" s="7"/>
      <c r="B813" s="8"/>
      <c r="C813" s="9"/>
      <c r="D813" s="11">
        <v>1.2</v>
      </c>
      <c r="E813" s="11" t="s">
        <v>745</v>
      </c>
      <c r="F813" s="11">
        <v>0.8</v>
      </c>
      <c r="G813" s="11" t="s">
        <v>727</v>
      </c>
      <c r="H813" s="11">
        <f t="shared" si="59"/>
        <v>0.96</v>
      </c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>
        <v>6</v>
      </c>
      <c r="AI813" s="88" t="s">
        <v>727</v>
      </c>
      <c r="AJ813" s="11">
        <f>H813*AH813</f>
        <v>5.76</v>
      </c>
    </row>
    <row r="814" spans="1:36" x14ac:dyDescent="0.2">
      <c r="A814" s="7"/>
      <c r="B814" s="8"/>
      <c r="C814" s="9"/>
      <c r="D814" s="11">
        <v>1.8</v>
      </c>
      <c r="E814" s="11" t="s">
        <v>745</v>
      </c>
      <c r="F814" s="11">
        <v>0.8</v>
      </c>
      <c r="G814" s="11" t="s">
        <v>727</v>
      </c>
      <c r="H814" s="11">
        <f t="shared" si="59"/>
        <v>1.4400000000000002</v>
      </c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>
        <v>1</v>
      </c>
      <c r="AI814" s="88" t="s">
        <v>727</v>
      </c>
      <c r="AJ814" s="11">
        <f>H814*AH814</f>
        <v>1.4400000000000002</v>
      </c>
    </row>
    <row r="815" spans="1:36" x14ac:dyDescent="0.2">
      <c r="A815" s="7"/>
      <c r="B815" s="8"/>
      <c r="C815" s="9"/>
      <c r="D815" s="11">
        <v>1.8</v>
      </c>
      <c r="E815" s="11" t="s">
        <v>745</v>
      </c>
      <c r="F815" s="11">
        <v>0.8</v>
      </c>
      <c r="G815" s="11" t="s">
        <v>727</v>
      </c>
      <c r="H815" s="11">
        <f t="shared" si="59"/>
        <v>1.4400000000000002</v>
      </c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>
        <v>6</v>
      </c>
      <c r="AI815" s="88" t="s">
        <v>727</v>
      </c>
      <c r="AJ815" s="11">
        <f>H815*AH815</f>
        <v>8.64</v>
      </c>
    </row>
    <row r="816" spans="1:36" x14ac:dyDescent="0.2">
      <c r="A816" s="7"/>
      <c r="B816" s="8"/>
      <c r="C816" s="12" t="s">
        <v>822</v>
      </c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42"/>
      <c r="AJ816" s="11"/>
    </row>
    <row r="817" spans="1:36" x14ac:dyDescent="0.2">
      <c r="A817" s="7"/>
      <c r="B817" s="8"/>
      <c r="C817" s="9"/>
      <c r="D817" s="11">
        <v>0.8</v>
      </c>
      <c r="E817" s="11" t="s">
        <v>748</v>
      </c>
      <c r="F817" s="11">
        <v>0.8</v>
      </c>
      <c r="G817" s="11" t="s">
        <v>727</v>
      </c>
      <c r="H817" s="11">
        <f t="shared" ref="H817" si="60">D817*F817</f>
        <v>0.64000000000000012</v>
      </c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42">
        <v>10</v>
      </c>
      <c r="AI817" s="88" t="s">
        <v>727</v>
      </c>
      <c r="AJ817" s="11">
        <f>H817*AH817</f>
        <v>6.4000000000000012</v>
      </c>
    </row>
    <row r="818" spans="1:36" x14ac:dyDescent="0.2">
      <c r="A818" s="7"/>
      <c r="B818" s="8"/>
      <c r="C818" s="9"/>
      <c r="D818" s="382" t="s">
        <v>825</v>
      </c>
      <c r="E818" s="314"/>
      <c r="F818" s="314"/>
      <c r="G818" s="314"/>
      <c r="H818" s="314"/>
      <c r="I818" s="314"/>
      <c r="J818" s="314"/>
      <c r="K818" s="314"/>
      <c r="L818" s="314"/>
      <c r="M818" s="314"/>
      <c r="N818" s="314"/>
      <c r="O818" s="314"/>
      <c r="P818" s="314"/>
      <c r="Q818" s="314"/>
      <c r="R818" s="314"/>
      <c r="S818" s="314"/>
      <c r="T818" s="314"/>
      <c r="U818" s="314"/>
      <c r="V818" s="314"/>
      <c r="W818" s="314"/>
      <c r="X818" s="314"/>
      <c r="Y818" s="314"/>
      <c r="Z818" s="314"/>
      <c r="AA818" s="314"/>
      <c r="AB818" s="314"/>
      <c r="AC818" s="314"/>
      <c r="AD818" s="314"/>
      <c r="AE818" s="314"/>
      <c r="AF818" s="314"/>
      <c r="AG818" s="314"/>
      <c r="AH818" s="314"/>
      <c r="AI818" s="314"/>
      <c r="AJ818" s="11"/>
    </row>
    <row r="819" spans="1:36" x14ac:dyDescent="0.2">
      <c r="A819" s="7"/>
      <c r="B819" s="8"/>
      <c r="C819" s="12" t="s">
        <v>822</v>
      </c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42"/>
      <c r="AJ819" s="11"/>
    </row>
    <row r="820" spans="1:36" x14ac:dyDescent="0.2">
      <c r="A820" s="7"/>
      <c r="B820" s="8"/>
      <c r="C820" s="208" t="s">
        <v>826</v>
      </c>
      <c r="D820" s="11">
        <v>0.6</v>
      </c>
      <c r="E820" s="11" t="s">
        <v>748</v>
      </c>
      <c r="F820" s="11">
        <v>0.6</v>
      </c>
      <c r="G820" s="11" t="s">
        <v>727</v>
      </c>
      <c r="H820" s="11">
        <f t="shared" ref="H820:H824" si="61">D820*F820</f>
        <v>0.36</v>
      </c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42">
        <v>3</v>
      </c>
      <c r="AI820" s="88" t="s">
        <v>727</v>
      </c>
      <c r="AJ820" s="11">
        <f>H820*AH820</f>
        <v>1.08</v>
      </c>
    </row>
    <row r="821" spans="1:36" x14ac:dyDescent="0.2">
      <c r="A821" s="7"/>
      <c r="B821" s="8"/>
      <c r="C821" s="208" t="s">
        <v>863</v>
      </c>
      <c r="D821" s="11">
        <v>0.6</v>
      </c>
      <c r="E821" s="11" t="s">
        <v>748</v>
      </c>
      <c r="F821" s="11">
        <v>0.8</v>
      </c>
      <c r="G821" s="11" t="s">
        <v>727</v>
      </c>
      <c r="H821" s="11">
        <f t="shared" si="61"/>
        <v>0.48</v>
      </c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42">
        <v>0</v>
      </c>
      <c r="AI821" s="88" t="s">
        <v>727</v>
      </c>
      <c r="AJ821" s="11">
        <f>H821*AH821</f>
        <v>0</v>
      </c>
    </row>
    <row r="822" spans="1:36" x14ac:dyDescent="0.2">
      <c r="A822" s="7"/>
      <c r="B822" s="8"/>
      <c r="C822" s="208" t="s">
        <v>827</v>
      </c>
      <c r="D822" s="11">
        <v>1.2</v>
      </c>
      <c r="E822" s="11" t="s">
        <v>748</v>
      </c>
      <c r="F822" s="11">
        <v>1.2</v>
      </c>
      <c r="G822" s="11" t="s">
        <v>727</v>
      </c>
      <c r="H822" s="11">
        <f t="shared" si="61"/>
        <v>1.44</v>
      </c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42">
        <v>6</v>
      </c>
      <c r="AI822" s="88" t="s">
        <v>727</v>
      </c>
      <c r="AJ822" s="11">
        <f>H822*AH822</f>
        <v>8.64</v>
      </c>
    </row>
    <row r="823" spans="1:36" x14ac:dyDescent="0.2">
      <c r="A823" s="7"/>
      <c r="B823" s="8"/>
      <c r="C823" s="208" t="s">
        <v>828</v>
      </c>
      <c r="D823" s="11">
        <v>1.2</v>
      </c>
      <c r="E823" s="11" t="s">
        <v>748</v>
      </c>
      <c r="F823" s="11">
        <v>1.8</v>
      </c>
      <c r="G823" s="11" t="s">
        <v>727</v>
      </c>
      <c r="H823" s="11">
        <f t="shared" si="61"/>
        <v>2.16</v>
      </c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42">
        <v>1</v>
      </c>
      <c r="AI823" s="88" t="s">
        <v>727</v>
      </c>
      <c r="AJ823" s="11">
        <f>H823*AH823</f>
        <v>2.16</v>
      </c>
    </row>
    <row r="824" spans="1:36" x14ac:dyDescent="0.2">
      <c r="A824" s="7"/>
      <c r="B824" s="8"/>
      <c r="C824" s="208" t="s">
        <v>829</v>
      </c>
      <c r="D824" s="11">
        <v>1.8</v>
      </c>
      <c r="E824" s="11" t="s">
        <v>748</v>
      </c>
      <c r="F824" s="11">
        <v>1.6</v>
      </c>
      <c r="G824" s="11" t="s">
        <v>727</v>
      </c>
      <c r="H824" s="11">
        <f t="shared" si="61"/>
        <v>2.8800000000000003</v>
      </c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124">
        <v>6</v>
      </c>
      <c r="AI824" s="88" t="s">
        <v>727</v>
      </c>
      <c r="AJ824" s="11">
        <f>H824*AH824</f>
        <v>17.28</v>
      </c>
    </row>
    <row r="825" spans="1:36" x14ac:dyDescent="0.2">
      <c r="A825" s="7"/>
      <c r="B825" s="8"/>
      <c r="C825" s="9"/>
      <c r="D825" s="310" t="s">
        <v>830</v>
      </c>
      <c r="E825" s="311"/>
      <c r="F825" s="311"/>
      <c r="G825" s="311"/>
      <c r="H825" s="311"/>
      <c r="I825" s="311"/>
      <c r="J825" s="311"/>
      <c r="K825" s="311"/>
      <c r="L825" s="311"/>
      <c r="M825" s="311"/>
      <c r="N825" s="311"/>
      <c r="O825" s="311"/>
      <c r="P825" s="311"/>
      <c r="Q825" s="311"/>
      <c r="R825" s="311"/>
      <c r="S825" s="311"/>
      <c r="T825" s="311"/>
      <c r="U825" s="311"/>
      <c r="V825" s="311"/>
      <c r="W825" s="311"/>
      <c r="X825" s="311"/>
      <c r="Y825" s="311"/>
      <c r="Z825" s="311"/>
      <c r="AA825" s="311"/>
      <c r="AB825" s="311"/>
      <c r="AC825" s="311"/>
      <c r="AD825" s="311"/>
      <c r="AE825" s="311"/>
      <c r="AF825" s="311"/>
      <c r="AG825" s="311"/>
      <c r="AH825" s="311"/>
      <c r="AI825" s="312"/>
      <c r="AJ825" s="92">
        <f>SUM(AJ801:AJ824)</f>
        <v>58.36</v>
      </c>
    </row>
    <row r="826" spans="1:36" x14ac:dyDescent="0.2">
      <c r="A826" s="7"/>
      <c r="B826" s="8"/>
      <c r="C826" s="7"/>
      <c r="D826" s="310" t="s">
        <v>831</v>
      </c>
      <c r="E826" s="311"/>
      <c r="F826" s="311"/>
      <c r="G826" s="311"/>
      <c r="H826" s="311"/>
      <c r="I826" s="311"/>
      <c r="J826" s="311"/>
      <c r="K826" s="311"/>
      <c r="L826" s="311"/>
      <c r="M826" s="311"/>
      <c r="N826" s="311"/>
      <c r="O826" s="311"/>
      <c r="P826" s="311"/>
      <c r="Q826" s="311"/>
      <c r="R826" s="311"/>
      <c r="S826" s="311"/>
      <c r="T826" s="311"/>
      <c r="U826" s="311"/>
      <c r="V826" s="311"/>
      <c r="W826" s="311"/>
      <c r="X826" s="311"/>
      <c r="Y826" s="311"/>
      <c r="Z826" s="311"/>
      <c r="AA826" s="311"/>
      <c r="AB826" s="311"/>
      <c r="AC826" s="311"/>
      <c r="AD826" s="311"/>
      <c r="AE826" s="311"/>
      <c r="AF826" s="311"/>
      <c r="AG826" s="311"/>
      <c r="AH826" s="311"/>
      <c r="AI826" s="312"/>
      <c r="AJ826" s="152">
        <f>AJ797-AJ825</f>
        <v>478.24400000000003</v>
      </c>
    </row>
    <row r="827" spans="1:36" x14ac:dyDescent="0.2">
      <c r="A827" s="48" t="s">
        <v>229</v>
      </c>
      <c r="B827" s="269" t="s">
        <v>230</v>
      </c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  <c r="AA827" s="269"/>
      <c r="AB827" s="269"/>
      <c r="AC827" s="269"/>
      <c r="AD827" s="269"/>
      <c r="AE827" s="269"/>
      <c r="AF827" s="269"/>
      <c r="AG827" s="269"/>
      <c r="AH827" s="269"/>
      <c r="AI827" s="269"/>
      <c r="AJ827" s="269"/>
    </row>
    <row r="828" spans="1:36" ht="36" x14ac:dyDescent="0.2">
      <c r="A828" s="7" t="s">
        <v>231</v>
      </c>
      <c r="B828" s="8" t="s">
        <v>232</v>
      </c>
      <c r="C828" s="7" t="s">
        <v>233</v>
      </c>
      <c r="D828" s="377"/>
      <c r="E828" s="305"/>
      <c r="F828" s="305"/>
      <c r="G828" s="305"/>
      <c r="H828" s="305"/>
      <c r="I828" s="305"/>
      <c r="J828" s="305"/>
      <c r="K828" s="305"/>
      <c r="L828" s="305"/>
      <c r="M828" s="305"/>
      <c r="N828" s="305"/>
      <c r="O828" s="305"/>
      <c r="P828" s="305"/>
      <c r="Q828" s="305"/>
      <c r="R828" s="305"/>
      <c r="S828" s="305"/>
      <c r="T828" s="305"/>
      <c r="U828" s="305"/>
      <c r="V828" s="305"/>
      <c r="W828" s="305"/>
      <c r="X828" s="305"/>
      <c r="Y828" s="305"/>
      <c r="Z828" s="305"/>
      <c r="AA828" s="305"/>
      <c r="AB828" s="305"/>
      <c r="AC828" s="305"/>
      <c r="AD828" s="305"/>
      <c r="AE828" s="305"/>
      <c r="AF828" s="305"/>
      <c r="AG828" s="305"/>
      <c r="AH828" s="305"/>
      <c r="AI828" s="306"/>
      <c r="AJ828" s="11" t="s">
        <v>19</v>
      </c>
    </row>
    <row r="829" spans="1:36" x14ac:dyDescent="0.2">
      <c r="A829" s="7"/>
      <c r="B829" s="8"/>
      <c r="C829" s="207" t="s">
        <v>763</v>
      </c>
      <c r="D829" s="11">
        <v>3</v>
      </c>
      <c r="E829" s="11" t="s">
        <v>745</v>
      </c>
      <c r="F829" s="11">
        <v>2.23</v>
      </c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 t="s">
        <v>745</v>
      </c>
      <c r="AH829" s="142">
        <v>1</v>
      </c>
      <c r="AI829" s="88" t="s">
        <v>727</v>
      </c>
      <c r="AJ829" s="11">
        <f t="shared" ref="AJ829:AJ854" si="62">(D829*F829+H829*J829)*AH829</f>
        <v>6.6899999999999995</v>
      </c>
    </row>
    <row r="830" spans="1:36" x14ac:dyDescent="0.2">
      <c r="A830" s="7"/>
      <c r="B830" s="8"/>
      <c r="C830" s="207" t="s">
        <v>765</v>
      </c>
      <c r="D830" s="11">
        <v>2.8</v>
      </c>
      <c r="E830" s="11" t="s">
        <v>745</v>
      </c>
      <c r="F830" s="11">
        <v>2.2200000000000002</v>
      </c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 t="s">
        <v>745</v>
      </c>
      <c r="AH830" s="142">
        <v>1</v>
      </c>
      <c r="AI830" s="88" t="s">
        <v>727</v>
      </c>
      <c r="AJ830" s="11">
        <f t="shared" si="62"/>
        <v>6.2160000000000002</v>
      </c>
    </row>
    <row r="831" spans="1:36" x14ac:dyDescent="0.2">
      <c r="A831" s="7"/>
      <c r="B831" s="8"/>
      <c r="C831" s="208" t="s">
        <v>766</v>
      </c>
      <c r="D831" s="11">
        <v>3.9</v>
      </c>
      <c r="E831" s="11" t="s">
        <v>745</v>
      </c>
      <c r="F831" s="11">
        <v>2.23</v>
      </c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 t="s">
        <v>745</v>
      </c>
      <c r="AH831" s="142">
        <v>1</v>
      </c>
      <c r="AI831" s="88" t="s">
        <v>727</v>
      </c>
      <c r="AJ831" s="11">
        <f t="shared" si="62"/>
        <v>8.6969999999999992</v>
      </c>
    </row>
    <row r="832" spans="1:36" x14ac:dyDescent="0.2">
      <c r="A832" s="7"/>
      <c r="B832" s="8"/>
      <c r="C832" s="208" t="s">
        <v>768</v>
      </c>
      <c r="D832" s="11">
        <v>1.95</v>
      </c>
      <c r="E832" s="11" t="s">
        <v>745</v>
      </c>
      <c r="F832" s="11">
        <v>2.25</v>
      </c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 t="s">
        <v>745</v>
      </c>
      <c r="AH832" s="142">
        <v>1</v>
      </c>
      <c r="AI832" s="88" t="s">
        <v>727</v>
      </c>
      <c r="AJ832" s="11">
        <f t="shared" si="62"/>
        <v>4.3875000000000002</v>
      </c>
    </row>
    <row r="833" spans="1:36" x14ac:dyDescent="0.2">
      <c r="A833" s="7"/>
      <c r="B833" s="8"/>
      <c r="C833" s="208" t="s">
        <v>769</v>
      </c>
      <c r="D833" s="11">
        <v>1.95</v>
      </c>
      <c r="E833" s="11" t="s">
        <v>745</v>
      </c>
      <c r="F833" s="11">
        <v>2.25</v>
      </c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 t="s">
        <v>745</v>
      </c>
      <c r="AH833" s="142">
        <v>1</v>
      </c>
      <c r="AI833" s="88" t="s">
        <v>727</v>
      </c>
      <c r="AJ833" s="11">
        <f t="shared" si="62"/>
        <v>4.3875000000000002</v>
      </c>
    </row>
    <row r="834" spans="1:36" x14ac:dyDescent="0.2">
      <c r="A834" s="7"/>
      <c r="B834" s="8"/>
      <c r="C834" s="208" t="s">
        <v>798</v>
      </c>
      <c r="D834" s="11">
        <v>1.85</v>
      </c>
      <c r="E834" s="11" t="s">
        <v>745</v>
      </c>
      <c r="F834" s="11">
        <v>1.03</v>
      </c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 t="s">
        <v>745</v>
      </c>
      <c r="AH834" s="142">
        <v>1</v>
      </c>
      <c r="AI834" s="88" t="s">
        <v>727</v>
      </c>
      <c r="AJ834" s="11">
        <f t="shared" si="62"/>
        <v>1.9055000000000002</v>
      </c>
    </row>
    <row r="835" spans="1:36" x14ac:dyDescent="0.2">
      <c r="A835" s="7"/>
      <c r="B835" s="8"/>
      <c r="C835" s="208" t="s">
        <v>799</v>
      </c>
      <c r="D835" s="11">
        <v>0.85</v>
      </c>
      <c r="E835" s="11" t="s">
        <v>745</v>
      </c>
      <c r="F835" s="11">
        <v>1.17</v>
      </c>
      <c r="G835" s="11" t="s">
        <v>764</v>
      </c>
      <c r="H835" s="11">
        <v>2.85</v>
      </c>
      <c r="I835" s="11" t="s">
        <v>745</v>
      </c>
      <c r="J835" s="11">
        <v>1.5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 t="s">
        <v>745</v>
      </c>
      <c r="AH835" s="142">
        <v>1</v>
      </c>
      <c r="AI835" s="88" t="s">
        <v>727</v>
      </c>
      <c r="AJ835" s="11">
        <f t="shared" si="62"/>
        <v>5.2695000000000007</v>
      </c>
    </row>
    <row r="836" spans="1:36" x14ac:dyDescent="0.2">
      <c r="A836" s="7"/>
      <c r="B836" s="8"/>
      <c r="C836" s="208" t="s">
        <v>800</v>
      </c>
      <c r="D836" s="11">
        <v>2.85</v>
      </c>
      <c r="E836" s="11" t="s">
        <v>745</v>
      </c>
      <c r="F836" s="11">
        <v>2.25</v>
      </c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 t="s">
        <v>745</v>
      </c>
      <c r="AH836" s="142">
        <v>1</v>
      </c>
      <c r="AI836" s="88" t="s">
        <v>727</v>
      </c>
      <c r="AJ836" s="11">
        <f t="shared" si="62"/>
        <v>6.4125000000000005</v>
      </c>
    </row>
    <row r="837" spans="1:36" x14ac:dyDescent="0.2">
      <c r="A837" s="7"/>
      <c r="B837" s="8"/>
      <c r="C837" s="208" t="s">
        <v>801</v>
      </c>
      <c r="D837" s="11">
        <v>1.05</v>
      </c>
      <c r="E837" s="11" t="s">
        <v>745</v>
      </c>
      <c r="F837" s="11">
        <v>2.25</v>
      </c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 t="s">
        <v>745</v>
      </c>
      <c r="AH837" s="142">
        <v>1</v>
      </c>
      <c r="AI837" s="88" t="s">
        <v>727</v>
      </c>
      <c r="AJ837" s="11">
        <f t="shared" si="62"/>
        <v>2.3625000000000003</v>
      </c>
    </row>
    <row r="838" spans="1:36" x14ac:dyDescent="0.2">
      <c r="A838" s="7"/>
      <c r="B838" s="8"/>
      <c r="C838" s="208" t="s">
        <v>802</v>
      </c>
      <c r="D838" s="11">
        <v>2.85</v>
      </c>
      <c r="E838" s="11" t="s">
        <v>745</v>
      </c>
      <c r="F838" s="11">
        <v>1.8</v>
      </c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 t="s">
        <v>745</v>
      </c>
      <c r="AH838" s="142">
        <v>1</v>
      </c>
      <c r="AI838" s="88" t="s">
        <v>727</v>
      </c>
      <c r="AJ838" s="11">
        <f t="shared" si="62"/>
        <v>5.13</v>
      </c>
    </row>
    <row r="839" spans="1:36" x14ac:dyDescent="0.2">
      <c r="A839" s="7"/>
      <c r="B839" s="8"/>
      <c r="C839" s="208" t="s">
        <v>803</v>
      </c>
      <c r="D839" s="11">
        <v>7.05</v>
      </c>
      <c r="E839" s="11" t="s">
        <v>745</v>
      </c>
      <c r="F839" s="11">
        <v>2.85</v>
      </c>
      <c r="G839" s="11" t="s">
        <v>764</v>
      </c>
      <c r="H839" s="11">
        <v>4.05</v>
      </c>
      <c r="I839" s="11" t="s">
        <v>745</v>
      </c>
      <c r="J839" s="11">
        <v>1.8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 t="s">
        <v>745</v>
      </c>
      <c r="AH839" s="142">
        <v>1</v>
      </c>
      <c r="AI839" s="88" t="s">
        <v>727</v>
      </c>
      <c r="AJ839" s="11">
        <f t="shared" si="62"/>
        <v>27.3825</v>
      </c>
    </row>
    <row r="840" spans="1:36" x14ac:dyDescent="0.2">
      <c r="A840" s="7"/>
      <c r="B840" s="8"/>
      <c r="C840" s="208" t="s">
        <v>804</v>
      </c>
      <c r="D840" s="11">
        <v>2.85</v>
      </c>
      <c r="E840" s="11" t="s">
        <v>745</v>
      </c>
      <c r="F840" s="11">
        <v>1.65</v>
      </c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 t="s">
        <v>745</v>
      </c>
      <c r="AH840" s="142">
        <v>1</v>
      </c>
      <c r="AI840" s="88" t="s">
        <v>727</v>
      </c>
      <c r="AJ840" s="11">
        <f t="shared" si="62"/>
        <v>4.7024999999999997</v>
      </c>
    </row>
    <row r="841" spans="1:36" x14ac:dyDescent="0.2">
      <c r="A841" s="7"/>
      <c r="B841" s="8"/>
      <c r="C841" s="208" t="s">
        <v>805</v>
      </c>
      <c r="D841" s="11">
        <v>2.25</v>
      </c>
      <c r="E841" s="11" t="s">
        <v>745</v>
      </c>
      <c r="F841" s="11">
        <v>3.8</v>
      </c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 t="s">
        <v>745</v>
      </c>
      <c r="AH841" s="142">
        <v>1</v>
      </c>
      <c r="AI841" s="88" t="s">
        <v>727</v>
      </c>
      <c r="AJ841" s="11">
        <f t="shared" si="62"/>
        <v>8.5499999999999989</v>
      </c>
    </row>
    <row r="842" spans="1:36" x14ac:dyDescent="0.2">
      <c r="A842" s="7"/>
      <c r="B842" s="8"/>
      <c r="C842" s="208" t="s">
        <v>780</v>
      </c>
      <c r="D842" s="11">
        <v>6.45</v>
      </c>
      <c r="E842" s="11" t="s">
        <v>745</v>
      </c>
      <c r="F842" s="11">
        <v>2.25</v>
      </c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 t="s">
        <v>745</v>
      </c>
      <c r="AH842" s="142">
        <v>1</v>
      </c>
      <c r="AI842" s="88" t="s">
        <v>727</v>
      </c>
      <c r="AJ842" s="11">
        <f t="shared" si="62"/>
        <v>14.512500000000001</v>
      </c>
    </row>
    <row r="843" spans="1:36" x14ac:dyDescent="0.2">
      <c r="A843" s="7"/>
      <c r="B843" s="8"/>
      <c r="C843" s="208" t="s">
        <v>806</v>
      </c>
      <c r="D843" s="11">
        <v>2.98</v>
      </c>
      <c r="E843" s="11" t="s">
        <v>745</v>
      </c>
      <c r="F843" s="11">
        <v>6.45</v>
      </c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 t="s">
        <v>745</v>
      </c>
      <c r="AH843" s="142">
        <v>1</v>
      </c>
      <c r="AI843" s="88" t="s">
        <v>727</v>
      </c>
      <c r="AJ843" s="11">
        <f t="shared" si="62"/>
        <v>19.221</v>
      </c>
    </row>
    <row r="844" spans="1:36" x14ac:dyDescent="0.2">
      <c r="A844" s="7"/>
      <c r="B844" s="8"/>
      <c r="C844" s="208" t="s">
        <v>767</v>
      </c>
      <c r="D844" s="96">
        <v>6.02</v>
      </c>
      <c r="E844" s="96" t="s">
        <v>745</v>
      </c>
      <c r="F844" s="96">
        <v>4.6500000000000004</v>
      </c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  <c r="AG844" s="96" t="s">
        <v>745</v>
      </c>
      <c r="AH844" s="142">
        <v>1</v>
      </c>
      <c r="AI844" s="88" t="s">
        <v>727</v>
      </c>
      <c r="AJ844" s="11">
        <f t="shared" si="62"/>
        <v>27.992999999999999</v>
      </c>
    </row>
    <row r="845" spans="1:36" x14ac:dyDescent="0.2">
      <c r="A845" s="7"/>
      <c r="B845" s="8"/>
      <c r="C845" s="208" t="s">
        <v>770</v>
      </c>
      <c r="D845" s="96">
        <v>4.05</v>
      </c>
      <c r="E845" s="96" t="s">
        <v>745</v>
      </c>
      <c r="F845" s="96">
        <v>4.05</v>
      </c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  <c r="AG845" s="96" t="s">
        <v>745</v>
      </c>
      <c r="AH845" s="142">
        <v>1</v>
      </c>
      <c r="AI845" s="88" t="s">
        <v>727</v>
      </c>
      <c r="AJ845" s="11">
        <f t="shared" si="62"/>
        <v>16.4025</v>
      </c>
    </row>
    <row r="846" spans="1:36" x14ac:dyDescent="0.2">
      <c r="A846" s="7"/>
      <c r="B846" s="8"/>
      <c r="C846" s="208" t="s">
        <v>771</v>
      </c>
      <c r="D846" s="96">
        <v>10.75</v>
      </c>
      <c r="E846" s="96" t="s">
        <v>745</v>
      </c>
      <c r="F846" s="96">
        <v>5.25</v>
      </c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  <c r="AG846" s="96" t="s">
        <v>745</v>
      </c>
      <c r="AH846" s="142">
        <v>1</v>
      </c>
      <c r="AI846" s="88" t="s">
        <v>727</v>
      </c>
      <c r="AJ846" s="11">
        <f t="shared" si="62"/>
        <v>56.4375</v>
      </c>
    </row>
    <row r="847" spans="1:36" x14ac:dyDescent="0.2">
      <c r="A847" s="7"/>
      <c r="B847" s="8"/>
      <c r="C847" s="208" t="s">
        <v>772</v>
      </c>
      <c r="D847" s="96">
        <v>3.45</v>
      </c>
      <c r="E847" s="96" t="s">
        <v>745</v>
      </c>
      <c r="F847" s="96">
        <v>4.6500000000000004</v>
      </c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  <c r="AG847" s="96" t="s">
        <v>745</v>
      </c>
      <c r="AH847" s="142">
        <v>1</v>
      </c>
      <c r="AI847" s="88" t="s">
        <v>727</v>
      </c>
      <c r="AJ847" s="11">
        <f t="shared" si="62"/>
        <v>16.0425</v>
      </c>
    </row>
    <row r="848" spans="1:36" x14ac:dyDescent="0.2">
      <c r="A848" s="7"/>
      <c r="B848" s="8"/>
      <c r="C848" s="208" t="s">
        <v>773</v>
      </c>
      <c r="D848" s="96">
        <v>3.45</v>
      </c>
      <c r="E848" s="96" t="s">
        <v>745</v>
      </c>
      <c r="F848" s="96">
        <v>1.65</v>
      </c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  <c r="AG848" s="96" t="s">
        <v>745</v>
      </c>
      <c r="AH848" s="142">
        <v>1</v>
      </c>
      <c r="AI848" s="88" t="s">
        <v>727</v>
      </c>
      <c r="AJ848" s="11">
        <f t="shared" si="62"/>
        <v>5.6924999999999999</v>
      </c>
    </row>
    <row r="849" spans="1:36" x14ac:dyDescent="0.2">
      <c r="A849" s="7"/>
      <c r="B849" s="8"/>
      <c r="C849" s="208" t="s">
        <v>775</v>
      </c>
      <c r="D849" s="96">
        <v>5.4</v>
      </c>
      <c r="E849" s="96" t="s">
        <v>745</v>
      </c>
      <c r="F849" s="96">
        <v>3.8</v>
      </c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  <c r="AG849" s="96" t="s">
        <v>745</v>
      </c>
      <c r="AH849" s="142">
        <v>1</v>
      </c>
      <c r="AI849" s="88" t="s">
        <v>727</v>
      </c>
      <c r="AJ849" s="11">
        <f t="shared" si="62"/>
        <v>20.52</v>
      </c>
    </row>
    <row r="850" spans="1:36" x14ac:dyDescent="0.2">
      <c r="A850" s="7"/>
      <c r="B850" s="8"/>
      <c r="C850" s="208" t="s">
        <v>776</v>
      </c>
      <c r="D850" s="96">
        <v>2.35</v>
      </c>
      <c r="E850" s="96" t="s">
        <v>745</v>
      </c>
      <c r="F850" s="96">
        <v>4.79</v>
      </c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  <c r="AG850" s="96" t="s">
        <v>745</v>
      </c>
      <c r="AH850" s="142">
        <v>1</v>
      </c>
      <c r="AI850" s="88" t="s">
        <v>727</v>
      </c>
      <c r="AJ850" s="11">
        <f t="shared" si="62"/>
        <v>11.256500000000001</v>
      </c>
    </row>
    <row r="851" spans="1:36" x14ac:dyDescent="0.2">
      <c r="A851" s="7"/>
      <c r="B851" s="8"/>
      <c r="C851" s="208" t="s">
        <v>777</v>
      </c>
      <c r="D851" s="96">
        <v>7.95</v>
      </c>
      <c r="E851" s="96" t="s">
        <v>745</v>
      </c>
      <c r="F851" s="96">
        <v>2.5</v>
      </c>
      <c r="G851" s="96" t="s">
        <v>764</v>
      </c>
      <c r="H851" s="96">
        <v>3.23</v>
      </c>
      <c r="I851" s="96" t="s">
        <v>745</v>
      </c>
      <c r="J851" s="96">
        <v>1.51</v>
      </c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  <c r="AG851" s="96" t="s">
        <v>745</v>
      </c>
      <c r="AH851" s="142">
        <v>1</v>
      </c>
      <c r="AI851" s="88" t="s">
        <v>727</v>
      </c>
      <c r="AJ851" s="11">
        <f t="shared" si="62"/>
        <v>24.752299999999998</v>
      </c>
    </row>
    <row r="852" spans="1:36" x14ac:dyDescent="0.2">
      <c r="A852" s="7"/>
      <c r="B852" s="8"/>
      <c r="C852" s="208" t="s">
        <v>778</v>
      </c>
      <c r="D852" s="96">
        <v>4.9000000000000004</v>
      </c>
      <c r="E852" s="96" t="s">
        <v>745</v>
      </c>
      <c r="F852" s="96">
        <v>4.79</v>
      </c>
      <c r="G852" s="96" t="s">
        <v>764</v>
      </c>
      <c r="H852" s="96">
        <v>1.66</v>
      </c>
      <c r="I852" s="96" t="s">
        <v>745</v>
      </c>
      <c r="J852" s="96">
        <v>4.17</v>
      </c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  <c r="AG852" s="96" t="s">
        <v>745</v>
      </c>
      <c r="AH852" s="142">
        <v>1</v>
      </c>
      <c r="AI852" s="88" t="s">
        <v>727</v>
      </c>
      <c r="AJ852" s="11">
        <f t="shared" si="62"/>
        <v>30.393200000000004</v>
      </c>
    </row>
    <row r="853" spans="1:36" x14ac:dyDescent="0.2">
      <c r="A853" s="7"/>
      <c r="B853" s="8"/>
      <c r="C853" s="217" t="s">
        <v>781</v>
      </c>
      <c r="D853" s="218">
        <v>5.3</v>
      </c>
      <c r="E853" s="219" t="s">
        <v>745</v>
      </c>
      <c r="F853" s="219">
        <v>5.65</v>
      </c>
      <c r="G853" s="219" t="s">
        <v>764</v>
      </c>
      <c r="H853" s="219">
        <v>3.95</v>
      </c>
      <c r="I853" s="219" t="s">
        <v>745</v>
      </c>
      <c r="J853" s="219">
        <v>0.8</v>
      </c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  <c r="AA853" s="219"/>
      <c r="AB853" s="219"/>
      <c r="AC853" s="219"/>
      <c r="AD853" s="219"/>
      <c r="AE853" s="219"/>
      <c r="AF853" s="219"/>
      <c r="AG853" s="219" t="s">
        <v>745</v>
      </c>
      <c r="AH853" s="142">
        <v>1</v>
      </c>
      <c r="AI853" s="88" t="s">
        <v>727</v>
      </c>
      <c r="AJ853" s="11">
        <f t="shared" si="62"/>
        <v>33.105000000000004</v>
      </c>
    </row>
    <row r="854" spans="1:36" x14ac:dyDescent="0.2">
      <c r="A854" s="7"/>
      <c r="B854" s="8"/>
      <c r="C854" s="46" t="s">
        <v>779</v>
      </c>
      <c r="D854" s="11">
        <v>4.05</v>
      </c>
      <c r="E854" s="11" t="s">
        <v>745</v>
      </c>
      <c r="F854" s="11">
        <v>0.95</v>
      </c>
      <c r="G854" s="11" t="s">
        <v>764</v>
      </c>
      <c r="H854" s="11">
        <v>5.8</v>
      </c>
      <c r="I854" s="11" t="s">
        <v>748</v>
      </c>
      <c r="J854" s="11">
        <v>2.75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 t="s">
        <v>745</v>
      </c>
      <c r="AH854" s="142">
        <v>1</v>
      </c>
      <c r="AI854" s="88" t="s">
        <v>727</v>
      </c>
      <c r="AJ854" s="11">
        <f t="shared" si="62"/>
        <v>19.797499999999999</v>
      </c>
    </row>
    <row r="855" spans="1:36" x14ac:dyDescent="0.2">
      <c r="A855" s="7"/>
      <c r="B855" s="8"/>
      <c r="C855" s="10"/>
      <c r="D855" s="310" t="s">
        <v>812</v>
      </c>
      <c r="E855" s="311"/>
      <c r="F855" s="311"/>
      <c r="G855" s="311"/>
      <c r="H855" s="311"/>
      <c r="I855" s="311"/>
      <c r="J855" s="311"/>
      <c r="K855" s="311"/>
      <c r="L855" s="311"/>
      <c r="M855" s="311"/>
      <c r="N855" s="311"/>
      <c r="O855" s="311"/>
      <c r="P855" s="311"/>
      <c r="Q855" s="311"/>
      <c r="R855" s="311"/>
      <c r="S855" s="311"/>
      <c r="T855" s="311"/>
      <c r="U855" s="311"/>
      <c r="V855" s="311"/>
      <c r="W855" s="311"/>
      <c r="X855" s="311"/>
      <c r="Y855" s="311"/>
      <c r="Z855" s="311"/>
      <c r="AA855" s="311"/>
      <c r="AB855" s="311"/>
      <c r="AC855" s="311"/>
      <c r="AD855" s="311"/>
      <c r="AE855" s="311"/>
      <c r="AF855" s="311"/>
      <c r="AG855" s="311"/>
      <c r="AH855" s="311"/>
      <c r="AI855" s="312"/>
      <c r="AJ855" s="92">
        <f>SUM(AJ829:AJ854)</f>
        <v>388.21899999999999</v>
      </c>
    </row>
    <row r="856" spans="1:36" ht="36" x14ac:dyDescent="0.2">
      <c r="A856" s="7" t="s">
        <v>234</v>
      </c>
      <c r="B856" s="8" t="s">
        <v>235</v>
      </c>
      <c r="C856" s="7" t="s">
        <v>236</v>
      </c>
      <c r="D856" s="291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  <c r="R856" s="292"/>
      <c r="S856" s="292"/>
      <c r="T856" s="292"/>
      <c r="U856" s="292"/>
      <c r="V856" s="292"/>
      <c r="W856" s="292"/>
      <c r="X856" s="292"/>
      <c r="Y856" s="292"/>
      <c r="Z856" s="292"/>
      <c r="AA856" s="292"/>
      <c r="AB856" s="292"/>
      <c r="AC856" s="292"/>
      <c r="AD856" s="292"/>
      <c r="AE856" s="292"/>
      <c r="AF856" s="292"/>
      <c r="AG856" s="292"/>
      <c r="AH856" s="292"/>
      <c r="AI856" s="293"/>
      <c r="AJ856" s="11" t="s">
        <v>19</v>
      </c>
    </row>
    <row r="857" spans="1:36" x14ac:dyDescent="0.2">
      <c r="A857" s="7" t="s">
        <v>237</v>
      </c>
      <c r="B857" s="8" t="s">
        <v>238</v>
      </c>
      <c r="C857" s="7" t="s">
        <v>239</v>
      </c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16"/>
      <c r="AJ857" s="11" t="s">
        <v>225</v>
      </c>
    </row>
    <row r="858" spans="1:36" x14ac:dyDescent="0.2">
      <c r="A858" s="7"/>
      <c r="B858" s="8"/>
      <c r="C858" s="208" t="s">
        <v>767</v>
      </c>
      <c r="D858" s="96">
        <v>6.02</v>
      </c>
      <c r="E858" s="96" t="s">
        <v>745</v>
      </c>
      <c r="F858" s="96">
        <v>4.6500000000000004</v>
      </c>
      <c r="G858" s="96"/>
      <c r="H858" s="96"/>
      <c r="I858" s="96"/>
      <c r="J858" s="96"/>
      <c r="K858" s="96"/>
      <c r="L858" s="96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1" t="s">
        <v>745</v>
      </c>
      <c r="AH858" s="142">
        <v>1</v>
      </c>
      <c r="AI858" s="88" t="s">
        <v>727</v>
      </c>
      <c r="AJ858" s="11">
        <f t="shared" ref="AJ858:AJ868" si="63">(D858*F858+H858*J858)*AH858</f>
        <v>27.992999999999999</v>
      </c>
    </row>
    <row r="859" spans="1:36" x14ac:dyDescent="0.2">
      <c r="A859" s="7"/>
      <c r="B859" s="8"/>
      <c r="C859" s="208" t="s">
        <v>770</v>
      </c>
      <c r="D859" s="96">
        <v>4.05</v>
      </c>
      <c r="E859" s="96" t="s">
        <v>745</v>
      </c>
      <c r="F859" s="96">
        <v>4.05</v>
      </c>
      <c r="G859" s="96"/>
      <c r="H859" s="96"/>
      <c r="I859" s="96"/>
      <c r="J859" s="96"/>
      <c r="K859" s="96"/>
      <c r="L859" s="96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1" t="s">
        <v>745</v>
      </c>
      <c r="AH859" s="142">
        <v>1</v>
      </c>
      <c r="AI859" s="88" t="s">
        <v>727</v>
      </c>
      <c r="AJ859" s="11">
        <f t="shared" si="63"/>
        <v>16.4025</v>
      </c>
    </row>
    <row r="860" spans="1:36" x14ac:dyDescent="0.2">
      <c r="A860" s="7"/>
      <c r="B860" s="8"/>
      <c r="C860" s="208" t="s">
        <v>771</v>
      </c>
      <c r="D860" s="96">
        <v>10.75</v>
      </c>
      <c r="E860" s="96" t="s">
        <v>745</v>
      </c>
      <c r="F860" s="96">
        <v>5.25</v>
      </c>
      <c r="G860" s="96"/>
      <c r="H860" s="96"/>
      <c r="I860" s="96"/>
      <c r="J860" s="96"/>
      <c r="K860" s="96"/>
      <c r="L860" s="96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1" t="s">
        <v>745</v>
      </c>
      <c r="AH860" s="142">
        <v>1</v>
      </c>
      <c r="AI860" s="88" t="s">
        <v>727</v>
      </c>
      <c r="AJ860" s="11">
        <f t="shared" si="63"/>
        <v>56.4375</v>
      </c>
    </row>
    <row r="861" spans="1:36" x14ac:dyDescent="0.2">
      <c r="A861" s="7"/>
      <c r="B861" s="8"/>
      <c r="C861" s="208" t="s">
        <v>772</v>
      </c>
      <c r="D861" s="96">
        <v>3.45</v>
      </c>
      <c r="E861" s="96" t="s">
        <v>745</v>
      </c>
      <c r="F861" s="96">
        <v>4.6500000000000004</v>
      </c>
      <c r="G861" s="96"/>
      <c r="H861" s="96"/>
      <c r="I861" s="96"/>
      <c r="J861" s="96"/>
      <c r="K861" s="96"/>
      <c r="L861" s="96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1" t="s">
        <v>745</v>
      </c>
      <c r="AH861" s="142">
        <v>1</v>
      </c>
      <c r="AI861" s="88" t="s">
        <v>727</v>
      </c>
      <c r="AJ861" s="11">
        <f t="shared" si="63"/>
        <v>16.0425</v>
      </c>
    </row>
    <row r="862" spans="1:36" x14ac:dyDescent="0.2">
      <c r="A862" s="7"/>
      <c r="B862" s="8"/>
      <c r="C862" s="208" t="s">
        <v>773</v>
      </c>
      <c r="D862" s="96">
        <v>3.45</v>
      </c>
      <c r="E862" s="96" t="s">
        <v>745</v>
      </c>
      <c r="F862" s="96">
        <v>1.65</v>
      </c>
      <c r="G862" s="96"/>
      <c r="H862" s="96"/>
      <c r="I862" s="96"/>
      <c r="J862" s="96"/>
      <c r="K862" s="96"/>
      <c r="L862" s="96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1" t="s">
        <v>745</v>
      </c>
      <c r="AH862" s="142">
        <v>1</v>
      </c>
      <c r="AI862" s="88" t="s">
        <v>727</v>
      </c>
      <c r="AJ862" s="11">
        <f t="shared" si="63"/>
        <v>5.6924999999999999</v>
      </c>
    </row>
    <row r="863" spans="1:36" x14ac:dyDescent="0.2">
      <c r="A863" s="7"/>
      <c r="B863" s="8"/>
      <c r="C863" s="208" t="s">
        <v>775</v>
      </c>
      <c r="D863" s="96">
        <v>5.4</v>
      </c>
      <c r="E863" s="96" t="s">
        <v>745</v>
      </c>
      <c r="F863" s="96">
        <v>3.8</v>
      </c>
      <c r="G863" s="96"/>
      <c r="H863" s="96"/>
      <c r="I863" s="96"/>
      <c r="J863" s="96"/>
      <c r="K863" s="96"/>
      <c r="L863" s="96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1" t="s">
        <v>745</v>
      </c>
      <c r="AH863" s="142">
        <v>1</v>
      </c>
      <c r="AI863" s="88" t="s">
        <v>727</v>
      </c>
      <c r="AJ863" s="11">
        <f t="shared" si="63"/>
        <v>20.52</v>
      </c>
    </row>
    <row r="864" spans="1:36" x14ac:dyDescent="0.2">
      <c r="A864" s="7"/>
      <c r="B864" s="8"/>
      <c r="C864" s="208" t="s">
        <v>776</v>
      </c>
      <c r="D864" s="96">
        <v>2.35</v>
      </c>
      <c r="E864" s="96" t="s">
        <v>745</v>
      </c>
      <c r="F864" s="96">
        <v>4.79</v>
      </c>
      <c r="G864" s="96"/>
      <c r="H864" s="96"/>
      <c r="I864" s="96"/>
      <c r="J864" s="96"/>
      <c r="K864" s="96"/>
      <c r="L864" s="96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1" t="s">
        <v>745</v>
      </c>
      <c r="AH864" s="142">
        <v>1</v>
      </c>
      <c r="AI864" s="88" t="s">
        <v>727</v>
      </c>
      <c r="AJ864" s="11">
        <f t="shared" si="63"/>
        <v>11.256500000000001</v>
      </c>
    </row>
    <row r="865" spans="1:36" x14ac:dyDescent="0.2">
      <c r="A865" s="7"/>
      <c r="B865" s="8"/>
      <c r="C865" s="208" t="s">
        <v>777</v>
      </c>
      <c r="D865" s="96">
        <v>7.95</v>
      </c>
      <c r="E865" s="96" t="s">
        <v>745</v>
      </c>
      <c r="F865" s="96">
        <v>2.5</v>
      </c>
      <c r="G865" s="96" t="s">
        <v>764</v>
      </c>
      <c r="H865" s="96">
        <v>3.23</v>
      </c>
      <c r="I865" s="96" t="s">
        <v>745</v>
      </c>
      <c r="J865" s="96">
        <v>1.51</v>
      </c>
      <c r="K865" s="96"/>
      <c r="L865" s="96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1" t="s">
        <v>745</v>
      </c>
      <c r="AH865" s="142">
        <v>1</v>
      </c>
      <c r="AI865" s="88" t="s">
        <v>727</v>
      </c>
      <c r="AJ865" s="11">
        <f t="shared" si="63"/>
        <v>24.752299999999998</v>
      </c>
    </row>
    <row r="866" spans="1:36" x14ac:dyDescent="0.2">
      <c r="A866" s="7"/>
      <c r="B866" s="8"/>
      <c r="C866" s="208" t="s">
        <v>778</v>
      </c>
      <c r="D866" s="96">
        <v>4.9000000000000004</v>
      </c>
      <c r="E866" s="96" t="s">
        <v>745</v>
      </c>
      <c r="F866" s="96">
        <v>4.79</v>
      </c>
      <c r="G866" s="96" t="s">
        <v>764</v>
      </c>
      <c r="H866" s="96">
        <v>1.66</v>
      </c>
      <c r="I866" s="96" t="s">
        <v>745</v>
      </c>
      <c r="J866" s="96">
        <v>4.17</v>
      </c>
      <c r="K866" s="96"/>
      <c r="L866" s="96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1" t="s">
        <v>745</v>
      </c>
      <c r="AH866" s="142">
        <v>1</v>
      </c>
      <c r="AI866" s="88" t="s">
        <v>727</v>
      </c>
      <c r="AJ866" s="11">
        <f t="shared" si="63"/>
        <v>30.393200000000004</v>
      </c>
    </row>
    <row r="867" spans="1:36" x14ac:dyDescent="0.2">
      <c r="A867" s="7"/>
      <c r="B867" s="8"/>
      <c r="C867" s="217" t="s">
        <v>781</v>
      </c>
      <c r="D867" s="218">
        <v>5.3</v>
      </c>
      <c r="E867" s="219" t="s">
        <v>745</v>
      </c>
      <c r="F867" s="219">
        <v>5.65</v>
      </c>
      <c r="G867" s="219" t="s">
        <v>764</v>
      </c>
      <c r="H867" s="219">
        <v>3.95</v>
      </c>
      <c r="I867" s="219" t="s">
        <v>745</v>
      </c>
      <c r="J867" s="219">
        <v>0.8</v>
      </c>
      <c r="K867" s="219"/>
      <c r="L867" s="2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1" t="s">
        <v>745</v>
      </c>
      <c r="AH867" s="142">
        <v>1</v>
      </c>
      <c r="AI867" s="88" t="s">
        <v>727</v>
      </c>
      <c r="AJ867" s="11">
        <f t="shared" si="63"/>
        <v>33.105000000000004</v>
      </c>
    </row>
    <row r="868" spans="1:36" x14ac:dyDescent="0.2">
      <c r="A868" s="7"/>
      <c r="B868" s="8"/>
      <c r="C868" s="46" t="s">
        <v>779</v>
      </c>
      <c r="D868" s="11">
        <v>4.05</v>
      </c>
      <c r="E868" s="11" t="s">
        <v>745</v>
      </c>
      <c r="F868" s="11">
        <v>0.95</v>
      </c>
      <c r="G868" s="11" t="s">
        <v>764</v>
      </c>
      <c r="H868" s="11">
        <v>5.8</v>
      </c>
      <c r="I868" s="11" t="s">
        <v>748</v>
      </c>
      <c r="J868" s="11">
        <v>2.75</v>
      </c>
      <c r="K868" s="11"/>
      <c r="L868" s="11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1" t="s">
        <v>745</v>
      </c>
      <c r="AH868" s="142">
        <v>1</v>
      </c>
      <c r="AI868" s="88" t="s">
        <v>727</v>
      </c>
      <c r="AJ868" s="11">
        <f t="shared" si="63"/>
        <v>19.797499999999999</v>
      </c>
    </row>
    <row r="869" spans="1:36" x14ac:dyDescent="0.2">
      <c r="A869" s="7"/>
      <c r="B869" s="8"/>
      <c r="C869" s="10"/>
      <c r="D869" s="310" t="s">
        <v>812</v>
      </c>
      <c r="E869" s="311"/>
      <c r="F869" s="311"/>
      <c r="G869" s="311"/>
      <c r="H869" s="311"/>
      <c r="I869" s="311"/>
      <c r="J869" s="311"/>
      <c r="K869" s="311"/>
      <c r="L869" s="311"/>
      <c r="M869" s="311"/>
      <c r="N869" s="311"/>
      <c r="O869" s="311"/>
      <c r="P869" s="311"/>
      <c r="Q869" s="311"/>
      <c r="R869" s="311"/>
      <c r="S869" s="311"/>
      <c r="T869" s="311"/>
      <c r="U869" s="311"/>
      <c r="V869" s="311"/>
      <c r="W869" s="311"/>
      <c r="X869" s="311"/>
      <c r="Y869" s="311"/>
      <c r="Z869" s="311"/>
      <c r="AA869" s="311"/>
      <c r="AB869" s="311"/>
      <c r="AC869" s="311"/>
      <c r="AD869" s="311"/>
      <c r="AE869" s="311"/>
      <c r="AF869" s="311"/>
      <c r="AG869" s="311"/>
      <c r="AH869" s="311"/>
      <c r="AI869" s="312"/>
      <c r="AJ869" s="92">
        <f>SUM(AJ858:AJ868)</f>
        <v>262.39249999999998</v>
      </c>
    </row>
    <row r="870" spans="1:36" x14ac:dyDescent="0.2">
      <c r="A870" s="7" t="s">
        <v>240</v>
      </c>
      <c r="B870" s="8" t="s">
        <v>241</v>
      </c>
      <c r="C870" s="7" t="s">
        <v>242</v>
      </c>
      <c r="D870" s="291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  <c r="R870" s="292"/>
      <c r="S870" s="292"/>
      <c r="T870" s="292"/>
      <c r="U870" s="292"/>
      <c r="V870" s="292"/>
      <c r="W870" s="292"/>
      <c r="X870" s="292"/>
      <c r="Y870" s="292"/>
      <c r="Z870" s="292"/>
      <c r="AA870" s="292"/>
      <c r="AB870" s="292"/>
      <c r="AC870" s="292"/>
      <c r="AD870" s="292"/>
      <c r="AE870" s="292"/>
      <c r="AF870" s="292"/>
      <c r="AG870" s="292"/>
      <c r="AH870" s="292"/>
      <c r="AI870" s="293"/>
      <c r="AJ870" s="11" t="s">
        <v>23</v>
      </c>
    </row>
    <row r="871" spans="1:36" ht="24" x14ac:dyDescent="0.2">
      <c r="A871" s="7" t="s">
        <v>243</v>
      </c>
      <c r="B871" s="8" t="s">
        <v>244</v>
      </c>
      <c r="C871" s="7" t="s">
        <v>245</v>
      </c>
      <c r="D871" s="291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  <c r="R871" s="292"/>
      <c r="S871" s="292"/>
      <c r="T871" s="292"/>
      <c r="U871" s="292"/>
      <c r="V871" s="292"/>
      <c r="W871" s="292"/>
      <c r="X871" s="292"/>
      <c r="Y871" s="292"/>
      <c r="Z871" s="292"/>
      <c r="AA871" s="292"/>
      <c r="AB871" s="292"/>
      <c r="AC871" s="292"/>
      <c r="AD871" s="292"/>
      <c r="AE871" s="292"/>
      <c r="AF871" s="292"/>
      <c r="AG871" s="292"/>
      <c r="AH871" s="292"/>
      <c r="AI871" s="293"/>
      <c r="AJ871" s="11" t="s">
        <v>19</v>
      </c>
    </row>
    <row r="872" spans="1:36" ht="36" x14ac:dyDescent="0.2">
      <c r="A872" s="7" t="s">
        <v>246</v>
      </c>
      <c r="B872" s="8" t="s">
        <v>247</v>
      </c>
      <c r="C872" s="7" t="s">
        <v>248</v>
      </c>
      <c r="D872" s="291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  <c r="R872" s="292"/>
      <c r="S872" s="292"/>
      <c r="T872" s="292"/>
      <c r="U872" s="292"/>
      <c r="V872" s="292"/>
      <c r="W872" s="292"/>
      <c r="X872" s="292"/>
      <c r="Y872" s="292"/>
      <c r="Z872" s="292"/>
      <c r="AA872" s="292"/>
      <c r="AB872" s="292"/>
      <c r="AC872" s="292"/>
      <c r="AD872" s="292"/>
      <c r="AE872" s="292"/>
      <c r="AF872" s="292"/>
      <c r="AG872" s="292"/>
      <c r="AH872" s="292"/>
      <c r="AI872" s="293"/>
      <c r="AJ872" s="11" t="s">
        <v>29</v>
      </c>
    </row>
    <row r="873" spans="1:36" ht="36" x14ac:dyDescent="0.2">
      <c r="A873" s="7" t="s">
        <v>249</v>
      </c>
      <c r="B873" s="8" t="s">
        <v>250</v>
      </c>
      <c r="C873" s="7" t="s">
        <v>251</v>
      </c>
      <c r="D873" s="291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  <c r="R873" s="292"/>
      <c r="S873" s="292"/>
      <c r="T873" s="292"/>
      <c r="U873" s="292"/>
      <c r="V873" s="292"/>
      <c r="W873" s="292"/>
      <c r="X873" s="292"/>
      <c r="Y873" s="292"/>
      <c r="Z873" s="292"/>
      <c r="AA873" s="292"/>
      <c r="AB873" s="292"/>
      <c r="AC873" s="292"/>
      <c r="AD873" s="292"/>
      <c r="AE873" s="292"/>
      <c r="AF873" s="292"/>
      <c r="AG873" s="292"/>
      <c r="AH873" s="292"/>
      <c r="AI873" s="293"/>
      <c r="AJ873" s="11" t="s">
        <v>19</v>
      </c>
    </row>
    <row r="874" spans="1:36" ht="24" x14ac:dyDescent="0.2">
      <c r="A874" s="7" t="s">
        <v>252</v>
      </c>
      <c r="B874" s="8" t="s">
        <v>238</v>
      </c>
      <c r="C874" s="54" t="s">
        <v>253</v>
      </c>
      <c r="D874" s="291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  <c r="V874" s="292"/>
      <c r="W874" s="292"/>
      <c r="X874" s="292"/>
      <c r="Y874" s="292"/>
      <c r="Z874" s="292"/>
      <c r="AA874" s="292"/>
      <c r="AB874" s="292"/>
      <c r="AC874" s="292"/>
      <c r="AD874" s="292"/>
      <c r="AE874" s="292"/>
      <c r="AF874" s="292"/>
      <c r="AG874" s="292"/>
      <c r="AH874" s="292"/>
      <c r="AI874" s="293"/>
      <c r="AJ874" s="11" t="s">
        <v>225</v>
      </c>
    </row>
    <row r="875" spans="1:36" x14ac:dyDescent="0.2">
      <c r="A875" s="7"/>
      <c r="B875" s="8"/>
      <c r="C875" s="207" t="s">
        <v>763</v>
      </c>
      <c r="D875" s="11">
        <v>3</v>
      </c>
      <c r="E875" s="11" t="s">
        <v>745</v>
      </c>
      <c r="F875" s="11">
        <v>2.23</v>
      </c>
      <c r="G875" s="11"/>
      <c r="H875" s="11"/>
      <c r="I875" s="11"/>
      <c r="J875" s="11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8" t="s">
        <v>748</v>
      </c>
      <c r="AH875" s="89">
        <v>1</v>
      </c>
      <c r="AI875" s="88" t="s">
        <v>727</v>
      </c>
      <c r="AJ875" s="11">
        <f t="shared" ref="AJ875:AJ889" si="64">(D875*F875+H875*J875)*AH875</f>
        <v>6.6899999999999995</v>
      </c>
    </row>
    <row r="876" spans="1:36" x14ac:dyDescent="0.2">
      <c r="A876" s="7"/>
      <c r="B876" s="8"/>
      <c r="C876" s="207" t="s">
        <v>765</v>
      </c>
      <c r="D876" s="11">
        <v>2.8</v>
      </c>
      <c r="E876" s="11" t="s">
        <v>745</v>
      </c>
      <c r="F876" s="11">
        <v>2.2200000000000002</v>
      </c>
      <c r="G876" s="11"/>
      <c r="H876" s="11"/>
      <c r="I876" s="11"/>
      <c r="J876" s="11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8" t="s">
        <v>748</v>
      </c>
      <c r="AH876" s="89">
        <v>1</v>
      </c>
      <c r="AI876" s="88" t="s">
        <v>727</v>
      </c>
      <c r="AJ876" s="11">
        <f t="shared" si="64"/>
        <v>6.2160000000000002</v>
      </c>
    </row>
    <row r="877" spans="1:36" x14ac:dyDescent="0.2">
      <c r="A877" s="7"/>
      <c r="B877" s="8"/>
      <c r="C877" s="208" t="s">
        <v>766</v>
      </c>
      <c r="D877" s="11">
        <v>3.9</v>
      </c>
      <c r="E877" s="11" t="s">
        <v>745</v>
      </c>
      <c r="F877" s="11">
        <v>2.23</v>
      </c>
      <c r="G877" s="11"/>
      <c r="H877" s="11"/>
      <c r="I877" s="11"/>
      <c r="J877" s="11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8" t="s">
        <v>748</v>
      </c>
      <c r="AH877" s="89">
        <v>1</v>
      </c>
      <c r="AI877" s="88" t="s">
        <v>727</v>
      </c>
      <c r="AJ877" s="11">
        <f t="shared" si="64"/>
        <v>8.6969999999999992</v>
      </c>
    </row>
    <row r="878" spans="1:36" x14ac:dyDescent="0.2">
      <c r="A878" s="7"/>
      <c r="B878" s="8"/>
      <c r="C878" s="208" t="s">
        <v>768</v>
      </c>
      <c r="D878" s="11">
        <v>1.95</v>
      </c>
      <c r="E878" s="11" t="s">
        <v>745</v>
      </c>
      <c r="F878" s="11">
        <v>2.25</v>
      </c>
      <c r="G878" s="11"/>
      <c r="H878" s="11"/>
      <c r="I878" s="11"/>
      <c r="J878" s="11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8" t="s">
        <v>748</v>
      </c>
      <c r="AH878" s="89">
        <v>1</v>
      </c>
      <c r="AI878" s="88" t="s">
        <v>727</v>
      </c>
      <c r="AJ878" s="11">
        <f t="shared" si="64"/>
        <v>4.3875000000000002</v>
      </c>
    </row>
    <row r="879" spans="1:36" x14ac:dyDescent="0.2">
      <c r="A879" s="7"/>
      <c r="B879" s="8"/>
      <c r="C879" s="208" t="s">
        <v>769</v>
      </c>
      <c r="D879" s="11">
        <v>1.95</v>
      </c>
      <c r="E879" s="11" t="s">
        <v>745</v>
      </c>
      <c r="F879" s="11">
        <v>2.25</v>
      </c>
      <c r="G879" s="11"/>
      <c r="H879" s="11"/>
      <c r="I879" s="11"/>
      <c r="J879" s="11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8" t="s">
        <v>748</v>
      </c>
      <c r="AH879" s="89">
        <v>1</v>
      </c>
      <c r="AI879" s="88" t="s">
        <v>727</v>
      </c>
      <c r="AJ879" s="11">
        <f t="shared" si="64"/>
        <v>4.3875000000000002</v>
      </c>
    </row>
    <row r="880" spans="1:36" x14ac:dyDescent="0.2">
      <c r="A880" s="7"/>
      <c r="B880" s="8"/>
      <c r="C880" s="208" t="s">
        <v>798</v>
      </c>
      <c r="D880" s="11">
        <v>1.85</v>
      </c>
      <c r="E880" s="11" t="s">
        <v>745</v>
      </c>
      <c r="F880" s="11">
        <v>1.03</v>
      </c>
      <c r="G880" s="11"/>
      <c r="H880" s="11"/>
      <c r="I880" s="11"/>
      <c r="J880" s="11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8" t="s">
        <v>748</v>
      </c>
      <c r="AH880" s="89">
        <v>1</v>
      </c>
      <c r="AI880" s="88" t="s">
        <v>727</v>
      </c>
      <c r="AJ880" s="11">
        <f t="shared" si="64"/>
        <v>1.9055000000000002</v>
      </c>
    </row>
    <row r="881" spans="1:36" x14ac:dyDescent="0.2">
      <c r="A881" s="7"/>
      <c r="B881" s="8"/>
      <c r="C881" s="208" t="s">
        <v>799</v>
      </c>
      <c r="D881" s="11">
        <v>0.85</v>
      </c>
      <c r="E881" s="11" t="s">
        <v>745</v>
      </c>
      <c r="F881" s="11">
        <v>1.17</v>
      </c>
      <c r="G881" s="11" t="s">
        <v>764</v>
      </c>
      <c r="H881" s="11">
        <v>2.85</v>
      </c>
      <c r="I881" s="11" t="s">
        <v>745</v>
      </c>
      <c r="J881" s="11">
        <v>1.5</v>
      </c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8" t="s">
        <v>748</v>
      </c>
      <c r="AH881" s="89">
        <v>1</v>
      </c>
      <c r="AI881" s="88" t="s">
        <v>727</v>
      </c>
      <c r="AJ881" s="11">
        <f t="shared" si="64"/>
        <v>5.2695000000000007</v>
      </c>
    </row>
    <row r="882" spans="1:36" x14ac:dyDescent="0.2">
      <c r="A882" s="7"/>
      <c r="B882" s="8"/>
      <c r="C882" s="208" t="s">
        <v>800</v>
      </c>
      <c r="D882" s="11">
        <v>2.85</v>
      </c>
      <c r="E882" s="11" t="s">
        <v>745</v>
      </c>
      <c r="F882" s="11">
        <v>2.25</v>
      </c>
      <c r="G882" s="11"/>
      <c r="H882" s="11"/>
      <c r="I882" s="11"/>
      <c r="J882" s="11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8" t="s">
        <v>748</v>
      </c>
      <c r="AH882" s="89">
        <v>1</v>
      </c>
      <c r="AI882" s="88" t="s">
        <v>727</v>
      </c>
      <c r="AJ882" s="11">
        <f t="shared" si="64"/>
        <v>6.4125000000000005</v>
      </c>
    </row>
    <row r="883" spans="1:36" x14ac:dyDescent="0.2">
      <c r="A883" s="7"/>
      <c r="B883" s="8"/>
      <c r="C883" s="208" t="s">
        <v>801</v>
      </c>
      <c r="D883" s="11">
        <v>1.05</v>
      </c>
      <c r="E883" s="11" t="s">
        <v>745</v>
      </c>
      <c r="F883" s="11">
        <v>2.25</v>
      </c>
      <c r="G883" s="11"/>
      <c r="H883" s="11"/>
      <c r="I883" s="11"/>
      <c r="J883" s="11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8" t="s">
        <v>748</v>
      </c>
      <c r="AH883" s="89">
        <v>1</v>
      </c>
      <c r="AI883" s="88" t="s">
        <v>727</v>
      </c>
      <c r="AJ883" s="11">
        <f t="shared" si="64"/>
        <v>2.3625000000000003</v>
      </c>
    </row>
    <row r="884" spans="1:36" x14ac:dyDescent="0.2">
      <c r="A884" s="7"/>
      <c r="B884" s="8"/>
      <c r="C884" s="208" t="s">
        <v>802</v>
      </c>
      <c r="D884" s="11">
        <v>2.85</v>
      </c>
      <c r="E884" s="11" t="s">
        <v>745</v>
      </c>
      <c r="F884" s="11">
        <v>1.8</v>
      </c>
      <c r="G884" s="11"/>
      <c r="H884" s="11"/>
      <c r="I884" s="11"/>
      <c r="J884" s="11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8" t="s">
        <v>748</v>
      </c>
      <c r="AH884" s="89">
        <v>1</v>
      </c>
      <c r="AI884" s="88" t="s">
        <v>727</v>
      </c>
      <c r="AJ884" s="11">
        <f t="shared" si="64"/>
        <v>5.13</v>
      </c>
    </row>
    <row r="885" spans="1:36" x14ac:dyDescent="0.2">
      <c r="A885" s="7"/>
      <c r="B885" s="8"/>
      <c r="C885" s="208" t="s">
        <v>803</v>
      </c>
      <c r="D885" s="11">
        <v>7.05</v>
      </c>
      <c r="E885" s="11" t="s">
        <v>745</v>
      </c>
      <c r="F885" s="11">
        <v>2.85</v>
      </c>
      <c r="G885" s="11" t="s">
        <v>764</v>
      </c>
      <c r="H885" s="11">
        <v>4.05</v>
      </c>
      <c r="I885" s="11" t="s">
        <v>745</v>
      </c>
      <c r="J885" s="11">
        <v>1.8</v>
      </c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8" t="s">
        <v>748</v>
      </c>
      <c r="AH885" s="89">
        <v>1</v>
      </c>
      <c r="AI885" s="88" t="s">
        <v>727</v>
      </c>
      <c r="AJ885" s="11">
        <f t="shared" si="64"/>
        <v>27.3825</v>
      </c>
    </row>
    <row r="886" spans="1:36" x14ac:dyDescent="0.2">
      <c r="A886" s="7"/>
      <c r="B886" s="8"/>
      <c r="C886" s="208" t="s">
        <v>804</v>
      </c>
      <c r="D886" s="11">
        <v>2.85</v>
      </c>
      <c r="E886" s="11" t="s">
        <v>745</v>
      </c>
      <c r="F886" s="11">
        <v>1.65</v>
      </c>
      <c r="G886" s="11"/>
      <c r="H886" s="11"/>
      <c r="I886" s="11"/>
      <c r="J886" s="11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8" t="s">
        <v>748</v>
      </c>
      <c r="AH886" s="89">
        <v>1</v>
      </c>
      <c r="AI886" s="88" t="s">
        <v>727</v>
      </c>
      <c r="AJ886" s="11">
        <f t="shared" si="64"/>
        <v>4.7024999999999997</v>
      </c>
    </row>
    <row r="887" spans="1:36" x14ac:dyDescent="0.2">
      <c r="A887" s="7"/>
      <c r="B887" s="8"/>
      <c r="C887" s="208" t="s">
        <v>805</v>
      </c>
      <c r="D887" s="11">
        <v>2.25</v>
      </c>
      <c r="E887" s="11" t="s">
        <v>745</v>
      </c>
      <c r="F887" s="11">
        <v>3.8</v>
      </c>
      <c r="G887" s="11"/>
      <c r="H887" s="11"/>
      <c r="I887" s="11"/>
      <c r="J887" s="11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8" t="s">
        <v>748</v>
      </c>
      <c r="AH887" s="89">
        <v>1</v>
      </c>
      <c r="AI887" s="88" t="s">
        <v>727</v>
      </c>
      <c r="AJ887" s="11">
        <f t="shared" si="64"/>
        <v>8.5499999999999989</v>
      </c>
    </row>
    <row r="888" spans="1:36" x14ac:dyDescent="0.2">
      <c r="A888" s="7"/>
      <c r="B888" s="8"/>
      <c r="C888" s="208" t="s">
        <v>780</v>
      </c>
      <c r="D888" s="11">
        <v>6.45</v>
      </c>
      <c r="E888" s="11" t="s">
        <v>745</v>
      </c>
      <c r="F888" s="11">
        <v>2.25</v>
      </c>
      <c r="G888" s="11"/>
      <c r="H888" s="11"/>
      <c r="I888" s="11"/>
      <c r="J888" s="11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8" t="s">
        <v>748</v>
      </c>
      <c r="AH888" s="89">
        <v>1</v>
      </c>
      <c r="AI888" s="88" t="s">
        <v>727</v>
      </c>
      <c r="AJ888" s="11">
        <f t="shared" si="64"/>
        <v>14.512500000000001</v>
      </c>
    </row>
    <row r="889" spans="1:36" x14ac:dyDescent="0.2">
      <c r="A889" s="7"/>
      <c r="B889" s="8"/>
      <c r="C889" s="208" t="s">
        <v>806</v>
      </c>
      <c r="D889" s="11">
        <v>2.98</v>
      </c>
      <c r="E889" s="11" t="s">
        <v>745</v>
      </c>
      <c r="F889" s="11">
        <v>6.45</v>
      </c>
      <c r="G889" s="11"/>
      <c r="H889" s="11"/>
      <c r="I889" s="11"/>
      <c r="J889" s="11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8" t="s">
        <v>748</v>
      </c>
      <c r="AH889" s="89">
        <v>1</v>
      </c>
      <c r="AI889" s="88" t="s">
        <v>727</v>
      </c>
      <c r="AJ889" s="11">
        <f t="shared" si="64"/>
        <v>19.221</v>
      </c>
    </row>
    <row r="890" spans="1:36" x14ac:dyDescent="0.2">
      <c r="A890" s="7"/>
      <c r="B890" s="8"/>
      <c r="C890" s="7"/>
      <c r="D890" s="316" t="s">
        <v>743</v>
      </c>
      <c r="E890" s="317"/>
      <c r="F890" s="317"/>
      <c r="G890" s="317"/>
      <c r="H890" s="317"/>
      <c r="I890" s="317"/>
      <c r="J890" s="317"/>
      <c r="K890" s="317"/>
      <c r="L890" s="317"/>
      <c r="M890" s="317"/>
      <c r="N890" s="317"/>
      <c r="O890" s="317"/>
      <c r="P890" s="317"/>
      <c r="Q890" s="317"/>
      <c r="R890" s="317"/>
      <c r="S890" s="317"/>
      <c r="T890" s="317"/>
      <c r="U890" s="317"/>
      <c r="V890" s="317"/>
      <c r="W890" s="317"/>
      <c r="X890" s="317"/>
      <c r="Y890" s="317"/>
      <c r="Z890" s="317"/>
      <c r="AA890" s="317"/>
      <c r="AB890" s="317"/>
      <c r="AC890" s="317"/>
      <c r="AD890" s="317"/>
      <c r="AE890" s="317"/>
      <c r="AF890" s="317"/>
      <c r="AG890" s="317"/>
      <c r="AH890" s="317"/>
      <c r="AI890" s="387"/>
      <c r="AJ890" s="92">
        <f>SUM(AJ875:AJ889)</f>
        <v>125.8265</v>
      </c>
    </row>
    <row r="891" spans="1:36" ht="24" x14ac:dyDescent="0.2">
      <c r="A891" s="7" t="s">
        <v>254</v>
      </c>
      <c r="B891" s="8" t="s">
        <v>255</v>
      </c>
      <c r="C891" s="7" t="s">
        <v>256</v>
      </c>
      <c r="D891" s="294"/>
      <c r="E891" s="295"/>
      <c r="F891" s="295"/>
      <c r="G891" s="295"/>
      <c r="H891" s="295"/>
      <c r="I891" s="295"/>
      <c r="J891" s="295"/>
      <c r="K891" s="295"/>
      <c r="L891" s="295"/>
      <c r="M891" s="295"/>
      <c r="N891" s="295"/>
      <c r="O891" s="295"/>
      <c r="P891" s="295"/>
      <c r="Q891" s="295"/>
      <c r="R891" s="295"/>
      <c r="S891" s="295"/>
      <c r="T891" s="295"/>
      <c r="U891" s="295"/>
      <c r="V891" s="295"/>
      <c r="W891" s="295"/>
      <c r="X891" s="295"/>
      <c r="Y891" s="295"/>
      <c r="Z891" s="295"/>
      <c r="AA891" s="295"/>
      <c r="AB891" s="295"/>
      <c r="AC891" s="295"/>
      <c r="AD891" s="295"/>
      <c r="AE891" s="295"/>
      <c r="AF891" s="295"/>
      <c r="AG891" s="295"/>
      <c r="AH891" s="295"/>
      <c r="AI891" s="386"/>
      <c r="AJ891" s="11" t="s">
        <v>23</v>
      </c>
    </row>
    <row r="892" spans="1:36" x14ac:dyDescent="0.2">
      <c r="A892" s="7" t="s">
        <v>257</v>
      </c>
      <c r="B892" s="8" t="s">
        <v>258</v>
      </c>
      <c r="C892" s="7" t="s">
        <v>259</v>
      </c>
      <c r="D892" s="294"/>
      <c r="E892" s="295"/>
      <c r="F892" s="295"/>
      <c r="G892" s="295"/>
      <c r="H892" s="295"/>
      <c r="I892" s="295"/>
      <c r="J892" s="295"/>
      <c r="K892" s="295"/>
      <c r="L892" s="295"/>
      <c r="M892" s="295"/>
      <c r="N892" s="295"/>
      <c r="O892" s="295"/>
      <c r="P892" s="295"/>
      <c r="Q892" s="295"/>
      <c r="R892" s="295"/>
      <c r="S892" s="295"/>
      <c r="T892" s="295"/>
      <c r="U892" s="295"/>
      <c r="V892" s="295"/>
      <c r="W892" s="295"/>
      <c r="X892" s="295"/>
      <c r="Y892" s="295"/>
      <c r="Z892" s="295"/>
      <c r="AA892" s="295"/>
      <c r="AB892" s="295"/>
      <c r="AC892" s="295"/>
      <c r="AD892" s="295"/>
      <c r="AE892" s="295"/>
      <c r="AF892" s="295"/>
      <c r="AG892" s="295"/>
      <c r="AH892" s="295"/>
      <c r="AI892" s="296"/>
      <c r="AJ892" s="11" t="s">
        <v>19</v>
      </c>
    </row>
    <row r="893" spans="1:36" ht="36" x14ac:dyDescent="0.2">
      <c r="A893" s="7" t="s">
        <v>807</v>
      </c>
      <c r="B893" s="8">
        <v>87251</v>
      </c>
      <c r="C893" s="7" t="s">
        <v>911</v>
      </c>
      <c r="D893" s="297"/>
      <c r="E893" s="298"/>
      <c r="F893" s="298"/>
      <c r="G893" s="298"/>
      <c r="H893" s="298"/>
      <c r="I893" s="298"/>
      <c r="J893" s="298"/>
      <c r="K893" s="298"/>
      <c r="L893" s="298"/>
      <c r="M893" s="298"/>
      <c r="N893" s="298"/>
      <c r="O893" s="298"/>
      <c r="P893" s="298"/>
      <c r="Q893" s="298"/>
      <c r="R893" s="298"/>
      <c r="S893" s="298"/>
      <c r="T893" s="298"/>
      <c r="U893" s="298"/>
      <c r="V893" s="298"/>
      <c r="W893" s="298"/>
      <c r="X893" s="298"/>
      <c r="Y893" s="298"/>
      <c r="Z893" s="298"/>
      <c r="AA893" s="298"/>
      <c r="AB893" s="298"/>
      <c r="AC893" s="298"/>
      <c r="AD893" s="298"/>
      <c r="AE893" s="298"/>
      <c r="AF893" s="298"/>
      <c r="AG893" s="298"/>
      <c r="AH893" s="298"/>
      <c r="AI893" s="299"/>
      <c r="AJ893" s="11"/>
    </row>
    <row r="894" spans="1:36" x14ac:dyDescent="0.2">
      <c r="A894" s="7"/>
      <c r="B894" s="8"/>
      <c r="C894" s="207" t="s">
        <v>763</v>
      </c>
      <c r="D894" s="11">
        <v>3</v>
      </c>
      <c r="E894" s="11" t="s">
        <v>745</v>
      </c>
      <c r="F894" s="11">
        <v>2.23</v>
      </c>
      <c r="G894" s="11"/>
      <c r="H894" s="11"/>
      <c r="I894" s="11"/>
      <c r="J894" s="11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8" t="s">
        <v>748</v>
      </c>
      <c r="AH894" s="89">
        <v>1</v>
      </c>
      <c r="AI894" s="88" t="s">
        <v>727</v>
      </c>
      <c r="AJ894" s="11">
        <f t="shared" ref="AJ894:AJ908" si="65">(D894*F894+H894*J894)*AH894</f>
        <v>6.6899999999999995</v>
      </c>
    </row>
    <row r="895" spans="1:36" x14ac:dyDescent="0.2">
      <c r="A895" s="7"/>
      <c r="B895" s="8"/>
      <c r="C895" s="207" t="s">
        <v>765</v>
      </c>
      <c r="D895" s="11">
        <v>2.8</v>
      </c>
      <c r="E895" s="11" t="s">
        <v>745</v>
      </c>
      <c r="F895" s="11">
        <v>2.2200000000000002</v>
      </c>
      <c r="G895" s="11"/>
      <c r="H895" s="11"/>
      <c r="I895" s="11"/>
      <c r="J895" s="11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8" t="s">
        <v>748</v>
      </c>
      <c r="AH895" s="89">
        <v>1</v>
      </c>
      <c r="AI895" s="88" t="s">
        <v>727</v>
      </c>
      <c r="AJ895" s="11">
        <f t="shared" si="65"/>
        <v>6.2160000000000002</v>
      </c>
    </row>
    <row r="896" spans="1:36" x14ac:dyDescent="0.2">
      <c r="A896" s="7"/>
      <c r="B896" s="8"/>
      <c r="C896" s="208" t="s">
        <v>766</v>
      </c>
      <c r="D896" s="11">
        <v>3.9</v>
      </c>
      <c r="E896" s="11" t="s">
        <v>745</v>
      </c>
      <c r="F896" s="11">
        <v>2.23</v>
      </c>
      <c r="G896" s="11"/>
      <c r="H896" s="11"/>
      <c r="I896" s="11"/>
      <c r="J896" s="11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8" t="s">
        <v>748</v>
      </c>
      <c r="AH896" s="89">
        <v>1</v>
      </c>
      <c r="AI896" s="88" t="s">
        <v>727</v>
      </c>
      <c r="AJ896" s="11">
        <f t="shared" si="65"/>
        <v>8.6969999999999992</v>
      </c>
    </row>
    <row r="897" spans="1:36" x14ac:dyDescent="0.2">
      <c r="A897" s="7"/>
      <c r="B897" s="8"/>
      <c r="C897" s="208" t="s">
        <v>768</v>
      </c>
      <c r="D897" s="11">
        <v>1.95</v>
      </c>
      <c r="E897" s="11" t="s">
        <v>745</v>
      </c>
      <c r="F897" s="11">
        <v>2.25</v>
      </c>
      <c r="G897" s="11"/>
      <c r="H897" s="11"/>
      <c r="I897" s="11"/>
      <c r="J897" s="11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8" t="s">
        <v>748</v>
      </c>
      <c r="AH897" s="89">
        <v>1</v>
      </c>
      <c r="AI897" s="88" t="s">
        <v>727</v>
      </c>
      <c r="AJ897" s="11">
        <f t="shared" si="65"/>
        <v>4.3875000000000002</v>
      </c>
    </row>
    <row r="898" spans="1:36" x14ac:dyDescent="0.2">
      <c r="A898" s="7"/>
      <c r="B898" s="8"/>
      <c r="C898" s="208" t="s">
        <v>769</v>
      </c>
      <c r="D898" s="11">
        <v>1.95</v>
      </c>
      <c r="E898" s="11" t="s">
        <v>745</v>
      </c>
      <c r="F898" s="11">
        <v>2.25</v>
      </c>
      <c r="G898" s="11"/>
      <c r="H898" s="11"/>
      <c r="I898" s="11"/>
      <c r="J898" s="11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8" t="s">
        <v>748</v>
      </c>
      <c r="AH898" s="89">
        <v>1</v>
      </c>
      <c r="AI898" s="88" t="s">
        <v>727</v>
      </c>
      <c r="AJ898" s="11">
        <f t="shared" si="65"/>
        <v>4.3875000000000002</v>
      </c>
    </row>
    <row r="899" spans="1:36" x14ac:dyDescent="0.2">
      <c r="A899" s="7"/>
      <c r="B899" s="8"/>
      <c r="C899" s="208" t="s">
        <v>798</v>
      </c>
      <c r="D899" s="11">
        <v>1.85</v>
      </c>
      <c r="E899" s="11" t="s">
        <v>745</v>
      </c>
      <c r="F899" s="11">
        <v>1.03</v>
      </c>
      <c r="G899" s="11"/>
      <c r="H899" s="11"/>
      <c r="I899" s="11"/>
      <c r="J899" s="11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8" t="s">
        <v>748</v>
      </c>
      <c r="AH899" s="89">
        <v>1</v>
      </c>
      <c r="AI899" s="88" t="s">
        <v>727</v>
      </c>
      <c r="AJ899" s="11">
        <f t="shared" si="65"/>
        <v>1.9055000000000002</v>
      </c>
    </row>
    <row r="900" spans="1:36" x14ac:dyDescent="0.2">
      <c r="A900" s="7"/>
      <c r="B900" s="8"/>
      <c r="C900" s="208" t="s">
        <v>799</v>
      </c>
      <c r="D900" s="11">
        <v>0.85</v>
      </c>
      <c r="E900" s="11" t="s">
        <v>745</v>
      </c>
      <c r="F900" s="11">
        <v>1.17</v>
      </c>
      <c r="G900" s="11" t="s">
        <v>764</v>
      </c>
      <c r="H900" s="11">
        <v>2.85</v>
      </c>
      <c r="I900" s="11" t="s">
        <v>745</v>
      </c>
      <c r="J900" s="11">
        <v>1.5</v>
      </c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8" t="s">
        <v>748</v>
      </c>
      <c r="AH900" s="89">
        <v>1</v>
      </c>
      <c r="AI900" s="88" t="s">
        <v>727</v>
      </c>
      <c r="AJ900" s="11">
        <f t="shared" si="65"/>
        <v>5.2695000000000007</v>
      </c>
    </row>
    <row r="901" spans="1:36" x14ac:dyDescent="0.2">
      <c r="A901" s="7"/>
      <c r="B901" s="8"/>
      <c r="C901" s="208" t="s">
        <v>800</v>
      </c>
      <c r="D901" s="11">
        <v>2.85</v>
      </c>
      <c r="E901" s="11" t="s">
        <v>745</v>
      </c>
      <c r="F901" s="11">
        <v>2.25</v>
      </c>
      <c r="G901" s="11"/>
      <c r="H901" s="11"/>
      <c r="I901" s="11"/>
      <c r="J901" s="11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8" t="s">
        <v>748</v>
      </c>
      <c r="AH901" s="89">
        <v>1</v>
      </c>
      <c r="AI901" s="88" t="s">
        <v>727</v>
      </c>
      <c r="AJ901" s="11">
        <f t="shared" si="65"/>
        <v>6.4125000000000005</v>
      </c>
    </row>
    <row r="902" spans="1:36" x14ac:dyDescent="0.2">
      <c r="A902" s="7"/>
      <c r="B902" s="8"/>
      <c r="C902" s="208" t="s">
        <v>801</v>
      </c>
      <c r="D902" s="11">
        <v>1.05</v>
      </c>
      <c r="E902" s="11" t="s">
        <v>745</v>
      </c>
      <c r="F902" s="11">
        <v>2.25</v>
      </c>
      <c r="G902" s="11"/>
      <c r="H902" s="11"/>
      <c r="I902" s="11"/>
      <c r="J902" s="11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8" t="s">
        <v>748</v>
      </c>
      <c r="AH902" s="89">
        <v>1</v>
      </c>
      <c r="AI902" s="88" t="s">
        <v>727</v>
      </c>
      <c r="AJ902" s="11">
        <f t="shared" si="65"/>
        <v>2.3625000000000003</v>
      </c>
    </row>
    <row r="903" spans="1:36" x14ac:dyDescent="0.2">
      <c r="A903" s="7"/>
      <c r="B903" s="8"/>
      <c r="C903" s="208" t="s">
        <v>802</v>
      </c>
      <c r="D903" s="11">
        <v>2.85</v>
      </c>
      <c r="E903" s="11" t="s">
        <v>745</v>
      </c>
      <c r="F903" s="11">
        <v>1.8</v>
      </c>
      <c r="G903" s="11"/>
      <c r="H903" s="11"/>
      <c r="I903" s="11"/>
      <c r="J903" s="11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8" t="s">
        <v>748</v>
      </c>
      <c r="AH903" s="89">
        <v>1</v>
      </c>
      <c r="AI903" s="88" t="s">
        <v>727</v>
      </c>
      <c r="AJ903" s="11">
        <f t="shared" si="65"/>
        <v>5.13</v>
      </c>
    </row>
    <row r="904" spans="1:36" x14ac:dyDescent="0.2">
      <c r="A904" s="7"/>
      <c r="B904" s="8"/>
      <c r="C904" s="208" t="s">
        <v>803</v>
      </c>
      <c r="D904" s="11">
        <v>7.05</v>
      </c>
      <c r="E904" s="11" t="s">
        <v>745</v>
      </c>
      <c r="F904" s="11">
        <v>2.85</v>
      </c>
      <c r="G904" s="11" t="s">
        <v>764</v>
      </c>
      <c r="H904" s="11">
        <v>4.05</v>
      </c>
      <c r="I904" s="11" t="s">
        <v>745</v>
      </c>
      <c r="J904" s="11">
        <v>1.8</v>
      </c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8" t="s">
        <v>748</v>
      </c>
      <c r="AH904" s="89">
        <v>1</v>
      </c>
      <c r="AI904" s="88" t="s">
        <v>727</v>
      </c>
      <c r="AJ904" s="11">
        <f t="shared" si="65"/>
        <v>27.3825</v>
      </c>
    </row>
    <row r="905" spans="1:36" x14ac:dyDescent="0.2">
      <c r="A905" s="7"/>
      <c r="B905" s="8"/>
      <c r="C905" s="208" t="s">
        <v>804</v>
      </c>
      <c r="D905" s="11">
        <v>2.85</v>
      </c>
      <c r="E905" s="11" t="s">
        <v>745</v>
      </c>
      <c r="F905" s="11">
        <v>1.65</v>
      </c>
      <c r="G905" s="11"/>
      <c r="H905" s="11"/>
      <c r="I905" s="11"/>
      <c r="J905" s="11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8" t="s">
        <v>748</v>
      </c>
      <c r="AH905" s="89">
        <v>1</v>
      </c>
      <c r="AI905" s="88" t="s">
        <v>727</v>
      </c>
      <c r="AJ905" s="11">
        <f t="shared" si="65"/>
        <v>4.7024999999999997</v>
      </c>
    </row>
    <row r="906" spans="1:36" x14ac:dyDescent="0.2">
      <c r="A906" s="7"/>
      <c r="B906" s="8"/>
      <c r="C906" s="208" t="s">
        <v>805</v>
      </c>
      <c r="D906" s="11">
        <v>2.25</v>
      </c>
      <c r="E906" s="11" t="s">
        <v>745</v>
      </c>
      <c r="F906" s="11">
        <v>3.8</v>
      </c>
      <c r="G906" s="11"/>
      <c r="H906" s="11"/>
      <c r="I906" s="11"/>
      <c r="J906" s="11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8" t="s">
        <v>748</v>
      </c>
      <c r="AH906" s="89">
        <v>1</v>
      </c>
      <c r="AI906" s="88" t="s">
        <v>727</v>
      </c>
      <c r="AJ906" s="11">
        <f t="shared" si="65"/>
        <v>8.5499999999999989</v>
      </c>
    </row>
    <row r="907" spans="1:36" x14ac:dyDescent="0.2">
      <c r="A907" s="7"/>
      <c r="B907" s="8"/>
      <c r="C907" s="208" t="s">
        <v>780</v>
      </c>
      <c r="D907" s="11">
        <v>6.45</v>
      </c>
      <c r="E907" s="11" t="s">
        <v>745</v>
      </c>
      <c r="F907" s="11">
        <v>2.25</v>
      </c>
      <c r="G907" s="11"/>
      <c r="H907" s="11"/>
      <c r="I907" s="11"/>
      <c r="J907" s="11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8" t="s">
        <v>748</v>
      </c>
      <c r="AH907" s="89">
        <v>1</v>
      </c>
      <c r="AI907" s="88" t="s">
        <v>727</v>
      </c>
      <c r="AJ907" s="11">
        <f t="shared" si="65"/>
        <v>14.512500000000001</v>
      </c>
    </row>
    <row r="908" spans="1:36" x14ac:dyDescent="0.2">
      <c r="A908" s="7"/>
      <c r="B908" s="8"/>
      <c r="C908" s="208" t="s">
        <v>806</v>
      </c>
      <c r="D908" s="11">
        <v>2.98</v>
      </c>
      <c r="E908" s="11" t="s">
        <v>745</v>
      </c>
      <c r="F908" s="11">
        <v>6.45</v>
      </c>
      <c r="G908" s="11"/>
      <c r="H908" s="11"/>
      <c r="I908" s="11"/>
      <c r="J908" s="11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8" t="s">
        <v>748</v>
      </c>
      <c r="AH908" s="89">
        <v>1</v>
      </c>
      <c r="AI908" s="88" t="s">
        <v>727</v>
      </c>
      <c r="AJ908" s="11">
        <f t="shared" si="65"/>
        <v>19.221</v>
      </c>
    </row>
    <row r="909" spans="1:36" x14ac:dyDescent="0.2">
      <c r="A909" s="15"/>
      <c r="B909" s="14"/>
      <c r="C909" s="15"/>
      <c r="D909" s="388" t="s">
        <v>743</v>
      </c>
      <c r="E909" s="389"/>
      <c r="F909" s="389"/>
      <c r="G909" s="389"/>
      <c r="H909" s="389"/>
      <c r="I909" s="389"/>
      <c r="J909" s="389"/>
      <c r="K909" s="389"/>
      <c r="L909" s="389"/>
      <c r="M909" s="389"/>
      <c r="N909" s="389"/>
      <c r="O909" s="389"/>
      <c r="P909" s="389"/>
      <c r="Q909" s="389"/>
      <c r="R909" s="389"/>
      <c r="S909" s="389"/>
      <c r="T909" s="389"/>
      <c r="U909" s="389"/>
      <c r="V909" s="389"/>
      <c r="W909" s="389"/>
      <c r="X909" s="389"/>
      <c r="Y909" s="389"/>
      <c r="Z909" s="389"/>
      <c r="AA909" s="389"/>
      <c r="AB909" s="389"/>
      <c r="AC909" s="389"/>
      <c r="AD909" s="389"/>
      <c r="AE909" s="389"/>
      <c r="AF909" s="389"/>
      <c r="AG909" s="389"/>
      <c r="AH909" s="389"/>
      <c r="AI909" s="390"/>
      <c r="AJ909" s="92">
        <f>SUM(AJ894:AJ908)</f>
        <v>125.8265</v>
      </c>
    </row>
    <row r="910" spans="1:36" ht="60" x14ac:dyDescent="0.2">
      <c r="A910" s="10" t="s">
        <v>809</v>
      </c>
      <c r="B910" s="11">
        <v>94779</v>
      </c>
      <c r="C910" s="10" t="s">
        <v>811</v>
      </c>
      <c r="D910" s="313"/>
      <c r="E910" s="314"/>
      <c r="F910" s="314"/>
      <c r="G910" s="314"/>
      <c r="H910" s="314"/>
      <c r="I910" s="314"/>
      <c r="J910" s="314"/>
      <c r="K910" s="314"/>
      <c r="L910" s="314"/>
      <c r="M910" s="314"/>
      <c r="N910" s="314"/>
      <c r="O910" s="314"/>
      <c r="P910" s="314"/>
      <c r="Q910" s="314"/>
      <c r="R910" s="314"/>
      <c r="S910" s="314"/>
      <c r="T910" s="314"/>
      <c r="U910" s="314"/>
      <c r="V910" s="314"/>
      <c r="W910" s="314"/>
      <c r="X910" s="314"/>
      <c r="Y910" s="314"/>
      <c r="Z910" s="314"/>
      <c r="AA910" s="314"/>
      <c r="AB910" s="314"/>
      <c r="AC910" s="314"/>
      <c r="AD910" s="314"/>
      <c r="AE910" s="314"/>
      <c r="AF910" s="314"/>
      <c r="AG910" s="314"/>
      <c r="AH910" s="314"/>
      <c r="AI910" s="315"/>
      <c r="AJ910" s="92" t="s">
        <v>19</v>
      </c>
    </row>
    <row r="911" spans="1:36" x14ac:dyDescent="0.2">
      <c r="A911" s="10"/>
      <c r="B911" s="11"/>
      <c r="C911" s="207" t="s">
        <v>763</v>
      </c>
      <c r="D911" s="11">
        <v>3</v>
      </c>
      <c r="E911" s="11" t="s">
        <v>745</v>
      </c>
      <c r="F911" s="11">
        <v>2.23</v>
      </c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 t="s">
        <v>745</v>
      </c>
      <c r="AH911" s="142">
        <v>1</v>
      </c>
      <c r="AI911" s="88" t="s">
        <v>727</v>
      </c>
      <c r="AJ911" s="11">
        <f t="shared" ref="AJ911:AJ936" si="66">(D911*F911+H911*J911)*AH911</f>
        <v>6.6899999999999995</v>
      </c>
    </row>
    <row r="912" spans="1:36" x14ac:dyDescent="0.2">
      <c r="A912" s="10"/>
      <c r="B912" s="11"/>
      <c r="C912" s="207" t="s">
        <v>765</v>
      </c>
      <c r="D912" s="11">
        <v>2.8</v>
      </c>
      <c r="E912" s="11" t="s">
        <v>745</v>
      </c>
      <c r="F912" s="11">
        <v>2.2200000000000002</v>
      </c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 t="s">
        <v>745</v>
      </c>
      <c r="AH912" s="142">
        <v>1</v>
      </c>
      <c r="AI912" s="88" t="s">
        <v>727</v>
      </c>
      <c r="AJ912" s="11">
        <f t="shared" si="66"/>
        <v>6.2160000000000002</v>
      </c>
    </row>
    <row r="913" spans="1:36" x14ac:dyDescent="0.2">
      <c r="A913" s="10"/>
      <c r="B913" s="11"/>
      <c r="C913" s="208" t="s">
        <v>766</v>
      </c>
      <c r="D913" s="11">
        <v>3.9</v>
      </c>
      <c r="E913" s="11" t="s">
        <v>745</v>
      </c>
      <c r="F913" s="11">
        <v>2.23</v>
      </c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 t="s">
        <v>745</v>
      </c>
      <c r="AH913" s="142">
        <v>1</v>
      </c>
      <c r="AI913" s="88" t="s">
        <v>727</v>
      </c>
      <c r="AJ913" s="11">
        <f t="shared" si="66"/>
        <v>8.6969999999999992</v>
      </c>
    </row>
    <row r="914" spans="1:36" x14ac:dyDescent="0.2">
      <c r="A914" s="10"/>
      <c r="B914" s="11"/>
      <c r="C914" s="208" t="s">
        <v>768</v>
      </c>
      <c r="D914" s="11">
        <v>1.95</v>
      </c>
      <c r="E914" s="11" t="s">
        <v>745</v>
      </c>
      <c r="F914" s="11">
        <v>2.25</v>
      </c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 t="s">
        <v>745</v>
      </c>
      <c r="AH914" s="142">
        <v>1</v>
      </c>
      <c r="AI914" s="88" t="s">
        <v>727</v>
      </c>
      <c r="AJ914" s="11">
        <f t="shared" si="66"/>
        <v>4.3875000000000002</v>
      </c>
    </row>
    <row r="915" spans="1:36" x14ac:dyDescent="0.2">
      <c r="A915" s="10"/>
      <c r="B915" s="11"/>
      <c r="C915" s="208" t="s">
        <v>769</v>
      </c>
      <c r="D915" s="11">
        <v>1.95</v>
      </c>
      <c r="E915" s="11" t="s">
        <v>745</v>
      </c>
      <c r="F915" s="11">
        <v>2.25</v>
      </c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 t="s">
        <v>745</v>
      </c>
      <c r="AH915" s="142">
        <v>1</v>
      </c>
      <c r="AI915" s="88" t="s">
        <v>727</v>
      </c>
      <c r="AJ915" s="11">
        <f t="shared" si="66"/>
        <v>4.3875000000000002</v>
      </c>
    </row>
    <row r="916" spans="1:36" x14ac:dyDescent="0.2">
      <c r="A916" s="10"/>
      <c r="B916" s="11"/>
      <c r="C916" s="208" t="s">
        <v>798</v>
      </c>
      <c r="D916" s="11">
        <v>1.85</v>
      </c>
      <c r="E916" s="11" t="s">
        <v>745</v>
      </c>
      <c r="F916" s="11">
        <v>1.03</v>
      </c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 t="s">
        <v>745</v>
      </c>
      <c r="AH916" s="142">
        <v>1</v>
      </c>
      <c r="AI916" s="88" t="s">
        <v>727</v>
      </c>
      <c r="AJ916" s="11">
        <f t="shared" si="66"/>
        <v>1.9055000000000002</v>
      </c>
    </row>
    <row r="917" spans="1:36" x14ac:dyDescent="0.2">
      <c r="A917" s="10"/>
      <c r="B917" s="11"/>
      <c r="C917" s="208" t="s">
        <v>799</v>
      </c>
      <c r="D917" s="11">
        <v>0.85</v>
      </c>
      <c r="E917" s="11" t="s">
        <v>745</v>
      </c>
      <c r="F917" s="11">
        <v>1.17</v>
      </c>
      <c r="G917" s="11" t="s">
        <v>764</v>
      </c>
      <c r="H917" s="11">
        <v>2.85</v>
      </c>
      <c r="I917" s="11" t="s">
        <v>745</v>
      </c>
      <c r="J917" s="11">
        <v>1.5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 t="s">
        <v>745</v>
      </c>
      <c r="AH917" s="142">
        <v>1</v>
      </c>
      <c r="AI917" s="88" t="s">
        <v>727</v>
      </c>
      <c r="AJ917" s="11">
        <f t="shared" si="66"/>
        <v>5.2695000000000007</v>
      </c>
    </row>
    <row r="918" spans="1:36" x14ac:dyDescent="0.2">
      <c r="A918" s="10"/>
      <c r="B918" s="11"/>
      <c r="C918" s="208" t="s">
        <v>800</v>
      </c>
      <c r="D918" s="11">
        <v>2.85</v>
      </c>
      <c r="E918" s="11" t="s">
        <v>745</v>
      </c>
      <c r="F918" s="11">
        <v>2.25</v>
      </c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 t="s">
        <v>745</v>
      </c>
      <c r="AH918" s="142">
        <v>1</v>
      </c>
      <c r="AI918" s="88" t="s">
        <v>727</v>
      </c>
      <c r="AJ918" s="11">
        <f t="shared" si="66"/>
        <v>6.4125000000000005</v>
      </c>
    </row>
    <row r="919" spans="1:36" x14ac:dyDescent="0.2">
      <c r="A919" s="10"/>
      <c r="B919" s="11"/>
      <c r="C919" s="208" t="s">
        <v>801</v>
      </c>
      <c r="D919" s="11">
        <v>1.05</v>
      </c>
      <c r="E919" s="11" t="s">
        <v>745</v>
      </c>
      <c r="F919" s="11">
        <v>2.25</v>
      </c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 t="s">
        <v>745</v>
      </c>
      <c r="AH919" s="142">
        <v>1</v>
      </c>
      <c r="AI919" s="88" t="s">
        <v>727</v>
      </c>
      <c r="AJ919" s="11">
        <f t="shared" si="66"/>
        <v>2.3625000000000003</v>
      </c>
    </row>
    <row r="920" spans="1:36" x14ac:dyDescent="0.2">
      <c r="A920" s="10"/>
      <c r="B920" s="11"/>
      <c r="C920" s="208" t="s">
        <v>802</v>
      </c>
      <c r="D920" s="11">
        <v>2.85</v>
      </c>
      <c r="E920" s="11" t="s">
        <v>745</v>
      </c>
      <c r="F920" s="11">
        <v>1.8</v>
      </c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 t="s">
        <v>745</v>
      </c>
      <c r="AH920" s="142">
        <v>1</v>
      </c>
      <c r="AI920" s="88" t="s">
        <v>727</v>
      </c>
      <c r="AJ920" s="11">
        <f t="shared" si="66"/>
        <v>5.13</v>
      </c>
    </row>
    <row r="921" spans="1:36" x14ac:dyDescent="0.2">
      <c r="A921" s="10"/>
      <c r="B921" s="11"/>
      <c r="C921" s="208" t="s">
        <v>803</v>
      </c>
      <c r="D921" s="11">
        <v>7.05</v>
      </c>
      <c r="E921" s="11" t="s">
        <v>745</v>
      </c>
      <c r="F921" s="11">
        <v>2.85</v>
      </c>
      <c r="G921" s="11" t="s">
        <v>764</v>
      </c>
      <c r="H921" s="11">
        <v>4.05</v>
      </c>
      <c r="I921" s="11" t="s">
        <v>745</v>
      </c>
      <c r="J921" s="11">
        <v>1.8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 t="s">
        <v>745</v>
      </c>
      <c r="AH921" s="142">
        <v>1</v>
      </c>
      <c r="AI921" s="88" t="s">
        <v>727</v>
      </c>
      <c r="AJ921" s="11">
        <f t="shared" si="66"/>
        <v>27.3825</v>
      </c>
    </row>
    <row r="922" spans="1:36" x14ac:dyDescent="0.2">
      <c r="A922" s="10"/>
      <c r="B922" s="11"/>
      <c r="C922" s="208" t="s">
        <v>804</v>
      </c>
      <c r="D922" s="11">
        <v>2.85</v>
      </c>
      <c r="E922" s="11" t="s">
        <v>745</v>
      </c>
      <c r="F922" s="11">
        <v>1.65</v>
      </c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 t="s">
        <v>745</v>
      </c>
      <c r="AH922" s="142">
        <v>1</v>
      </c>
      <c r="AI922" s="88" t="s">
        <v>727</v>
      </c>
      <c r="AJ922" s="11">
        <f t="shared" si="66"/>
        <v>4.7024999999999997</v>
      </c>
    </row>
    <row r="923" spans="1:36" x14ac:dyDescent="0.2">
      <c r="A923" s="10"/>
      <c r="B923" s="11"/>
      <c r="C923" s="208" t="s">
        <v>805</v>
      </c>
      <c r="D923" s="11">
        <v>2.25</v>
      </c>
      <c r="E923" s="11" t="s">
        <v>745</v>
      </c>
      <c r="F923" s="11">
        <v>3.8</v>
      </c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 t="s">
        <v>745</v>
      </c>
      <c r="AH923" s="142">
        <v>1</v>
      </c>
      <c r="AI923" s="88" t="s">
        <v>727</v>
      </c>
      <c r="AJ923" s="11">
        <f t="shared" si="66"/>
        <v>8.5499999999999989</v>
      </c>
    </row>
    <row r="924" spans="1:36" x14ac:dyDescent="0.2">
      <c r="A924" s="10"/>
      <c r="B924" s="11"/>
      <c r="C924" s="208" t="s">
        <v>780</v>
      </c>
      <c r="D924" s="11">
        <v>6.45</v>
      </c>
      <c r="E924" s="11" t="s">
        <v>745</v>
      </c>
      <c r="F924" s="11">
        <v>2.25</v>
      </c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 t="s">
        <v>745</v>
      </c>
      <c r="AH924" s="142">
        <v>1</v>
      </c>
      <c r="AI924" s="88" t="s">
        <v>727</v>
      </c>
      <c r="AJ924" s="11">
        <f t="shared" si="66"/>
        <v>14.512500000000001</v>
      </c>
    </row>
    <row r="925" spans="1:36" x14ac:dyDescent="0.2">
      <c r="A925" s="10"/>
      <c r="B925" s="11"/>
      <c r="C925" s="208" t="s">
        <v>806</v>
      </c>
      <c r="D925" s="11">
        <v>2.98</v>
      </c>
      <c r="E925" s="11" t="s">
        <v>745</v>
      </c>
      <c r="F925" s="11">
        <v>6.45</v>
      </c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 t="s">
        <v>745</v>
      </c>
      <c r="AH925" s="142">
        <v>1</v>
      </c>
      <c r="AI925" s="88" t="s">
        <v>727</v>
      </c>
      <c r="AJ925" s="11">
        <f t="shared" si="66"/>
        <v>19.221</v>
      </c>
    </row>
    <row r="926" spans="1:36" x14ac:dyDescent="0.2">
      <c r="A926" s="10"/>
      <c r="B926" s="11"/>
      <c r="C926" s="208" t="s">
        <v>767</v>
      </c>
      <c r="D926" s="96">
        <v>6.02</v>
      </c>
      <c r="E926" s="96" t="s">
        <v>745</v>
      </c>
      <c r="F926" s="96">
        <v>4.6500000000000004</v>
      </c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 t="s">
        <v>745</v>
      </c>
      <c r="AH926" s="142">
        <v>1</v>
      </c>
      <c r="AI926" s="88" t="s">
        <v>727</v>
      </c>
      <c r="AJ926" s="11">
        <f t="shared" si="66"/>
        <v>27.992999999999999</v>
      </c>
    </row>
    <row r="927" spans="1:36" x14ac:dyDescent="0.2">
      <c r="A927" s="10"/>
      <c r="B927" s="11"/>
      <c r="C927" s="208" t="s">
        <v>770</v>
      </c>
      <c r="D927" s="96">
        <v>4.05</v>
      </c>
      <c r="E927" s="96" t="s">
        <v>745</v>
      </c>
      <c r="F927" s="96">
        <v>4.05</v>
      </c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 t="s">
        <v>745</v>
      </c>
      <c r="AH927" s="142">
        <v>1</v>
      </c>
      <c r="AI927" s="88" t="s">
        <v>727</v>
      </c>
      <c r="AJ927" s="11">
        <f t="shared" si="66"/>
        <v>16.4025</v>
      </c>
    </row>
    <row r="928" spans="1:36" x14ac:dyDescent="0.2">
      <c r="A928" s="10"/>
      <c r="B928" s="11"/>
      <c r="C928" s="208" t="s">
        <v>771</v>
      </c>
      <c r="D928" s="96">
        <v>10.75</v>
      </c>
      <c r="E928" s="96" t="s">
        <v>745</v>
      </c>
      <c r="F928" s="96">
        <v>5.25</v>
      </c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 t="s">
        <v>745</v>
      </c>
      <c r="AH928" s="142">
        <v>1</v>
      </c>
      <c r="AI928" s="88" t="s">
        <v>727</v>
      </c>
      <c r="AJ928" s="11">
        <f t="shared" si="66"/>
        <v>56.4375</v>
      </c>
    </row>
    <row r="929" spans="1:36" x14ac:dyDescent="0.2">
      <c r="A929" s="10"/>
      <c r="B929" s="11"/>
      <c r="C929" s="208" t="s">
        <v>772</v>
      </c>
      <c r="D929" s="96">
        <v>3.45</v>
      </c>
      <c r="E929" s="96" t="s">
        <v>745</v>
      </c>
      <c r="F929" s="96">
        <v>4.6500000000000004</v>
      </c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 t="s">
        <v>745</v>
      </c>
      <c r="AH929" s="142">
        <v>1</v>
      </c>
      <c r="AI929" s="88" t="s">
        <v>727</v>
      </c>
      <c r="AJ929" s="11">
        <f t="shared" si="66"/>
        <v>16.0425</v>
      </c>
    </row>
    <row r="930" spans="1:36" x14ac:dyDescent="0.2">
      <c r="A930" s="10"/>
      <c r="B930" s="11"/>
      <c r="C930" s="208" t="s">
        <v>773</v>
      </c>
      <c r="D930" s="96">
        <v>3.45</v>
      </c>
      <c r="E930" s="96" t="s">
        <v>745</v>
      </c>
      <c r="F930" s="96">
        <v>1.65</v>
      </c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 t="s">
        <v>745</v>
      </c>
      <c r="AH930" s="142">
        <v>1</v>
      </c>
      <c r="AI930" s="88" t="s">
        <v>727</v>
      </c>
      <c r="AJ930" s="11">
        <f t="shared" si="66"/>
        <v>5.6924999999999999</v>
      </c>
    </row>
    <row r="931" spans="1:36" x14ac:dyDescent="0.2">
      <c r="A931" s="10"/>
      <c r="B931" s="11"/>
      <c r="C931" s="208" t="s">
        <v>775</v>
      </c>
      <c r="D931" s="96">
        <v>5.4</v>
      </c>
      <c r="E931" s="96" t="s">
        <v>745</v>
      </c>
      <c r="F931" s="96">
        <v>3.8</v>
      </c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 t="s">
        <v>745</v>
      </c>
      <c r="AH931" s="142">
        <v>1</v>
      </c>
      <c r="AI931" s="88" t="s">
        <v>727</v>
      </c>
      <c r="AJ931" s="11">
        <f t="shared" si="66"/>
        <v>20.52</v>
      </c>
    </row>
    <row r="932" spans="1:36" x14ac:dyDescent="0.2">
      <c r="A932" s="10"/>
      <c r="B932" s="11"/>
      <c r="C932" s="208" t="s">
        <v>776</v>
      </c>
      <c r="D932" s="96">
        <v>2.35</v>
      </c>
      <c r="E932" s="96" t="s">
        <v>745</v>
      </c>
      <c r="F932" s="96">
        <v>4.79</v>
      </c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 t="s">
        <v>745</v>
      </c>
      <c r="AH932" s="142">
        <v>1</v>
      </c>
      <c r="AI932" s="88" t="s">
        <v>727</v>
      </c>
      <c r="AJ932" s="11">
        <f t="shared" si="66"/>
        <v>11.256500000000001</v>
      </c>
    </row>
    <row r="933" spans="1:36" x14ac:dyDescent="0.2">
      <c r="A933" s="10"/>
      <c r="B933" s="11"/>
      <c r="C933" s="208" t="s">
        <v>777</v>
      </c>
      <c r="D933" s="96">
        <v>7.95</v>
      </c>
      <c r="E933" s="96" t="s">
        <v>745</v>
      </c>
      <c r="F933" s="96">
        <v>2.5</v>
      </c>
      <c r="G933" s="96" t="s">
        <v>764</v>
      </c>
      <c r="H933" s="96">
        <v>3.23</v>
      </c>
      <c r="I933" s="96" t="s">
        <v>745</v>
      </c>
      <c r="J933" s="96">
        <v>1.51</v>
      </c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 t="s">
        <v>745</v>
      </c>
      <c r="AH933" s="142">
        <v>1</v>
      </c>
      <c r="AI933" s="88" t="s">
        <v>727</v>
      </c>
      <c r="AJ933" s="11">
        <f t="shared" si="66"/>
        <v>24.752299999999998</v>
      </c>
    </row>
    <row r="934" spans="1:36" x14ac:dyDescent="0.2">
      <c r="A934" s="10"/>
      <c r="B934" s="11"/>
      <c r="C934" s="208" t="s">
        <v>778</v>
      </c>
      <c r="D934" s="96">
        <v>4.9000000000000004</v>
      </c>
      <c r="E934" s="96" t="s">
        <v>745</v>
      </c>
      <c r="F934" s="96">
        <v>4.79</v>
      </c>
      <c r="G934" s="96" t="s">
        <v>764</v>
      </c>
      <c r="H934" s="96">
        <v>1.66</v>
      </c>
      <c r="I934" s="96" t="s">
        <v>745</v>
      </c>
      <c r="J934" s="96">
        <v>4.17</v>
      </c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 t="s">
        <v>745</v>
      </c>
      <c r="AH934" s="142">
        <v>1</v>
      </c>
      <c r="AI934" s="88" t="s">
        <v>727</v>
      </c>
      <c r="AJ934" s="11">
        <f t="shared" si="66"/>
        <v>30.393200000000004</v>
      </c>
    </row>
    <row r="935" spans="1:36" x14ac:dyDescent="0.2">
      <c r="A935" s="10"/>
      <c r="B935" s="11"/>
      <c r="C935" s="217" t="s">
        <v>781</v>
      </c>
      <c r="D935" s="218">
        <v>5.3</v>
      </c>
      <c r="E935" s="219" t="s">
        <v>745</v>
      </c>
      <c r="F935" s="219">
        <v>5.65</v>
      </c>
      <c r="G935" s="219" t="s">
        <v>764</v>
      </c>
      <c r="H935" s="219">
        <v>3.95</v>
      </c>
      <c r="I935" s="219" t="s">
        <v>745</v>
      </c>
      <c r="J935" s="219">
        <v>0.8</v>
      </c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  <c r="AA935" s="219"/>
      <c r="AB935" s="219"/>
      <c r="AC935" s="219"/>
      <c r="AD935" s="219"/>
      <c r="AE935" s="219"/>
      <c r="AF935" s="219"/>
      <c r="AG935" s="219" t="s">
        <v>745</v>
      </c>
      <c r="AH935" s="142">
        <v>1</v>
      </c>
      <c r="AI935" s="88" t="s">
        <v>727</v>
      </c>
      <c r="AJ935" s="11">
        <f t="shared" si="66"/>
        <v>33.105000000000004</v>
      </c>
    </row>
    <row r="936" spans="1:36" x14ac:dyDescent="0.2">
      <c r="A936" s="10"/>
      <c r="B936" s="11"/>
      <c r="C936" s="46" t="s">
        <v>779</v>
      </c>
      <c r="D936" s="11">
        <v>4.05</v>
      </c>
      <c r="E936" s="11" t="s">
        <v>745</v>
      </c>
      <c r="F936" s="11">
        <v>0.95</v>
      </c>
      <c r="G936" s="11" t="s">
        <v>764</v>
      </c>
      <c r="H936" s="11">
        <v>5.8</v>
      </c>
      <c r="I936" s="11" t="s">
        <v>748</v>
      </c>
      <c r="J936" s="11">
        <v>2.75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 t="s">
        <v>745</v>
      </c>
      <c r="AH936" s="142">
        <v>1</v>
      </c>
      <c r="AJ936" s="11">
        <f t="shared" si="66"/>
        <v>19.797499999999999</v>
      </c>
    </row>
    <row r="937" spans="1:36" x14ac:dyDescent="0.2">
      <c r="A937" s="10"/>
      <c r="B937" s="11"/>
      <c r="C937" s="10"/>
      <c r="D937" s="310" t="s">
        <v>812</v>
      </c>
      <c r="E937" s="311"/>
      <c r="F937" s="311"/>
      <c r="G937" s="311"/>
      <c r="H937" s="311"/>
      <c r="I937" s="311"/>
      <c r="J937" s="311"/>
      <c r="K937" s="311"/>
      <c r="L937" s="311"/>
      <c r="M937" s="311"/>
      <c r="N937" s="311"/>
      <c r="O937" s="311"/>
      <c r="P937" s="311"/>
      <c r="Q937" s="311"/>
      <c r="R937" s="311"/>
      <c r="S937" s="311"/>
      <c r="T937" s="311"/>
      <c r="U937" s="311"/>
      <c r="V937" s="311"/>
      <c r="W937" s="311"/>
      <c r="X937" s="311"/>
      <c r="Y937" s="311"/>
      <c r="Z937" s="311"/>
      <c r="AA937" s="311"/>
      <c r="AB937" s="311"/>
      <c r="AC937" s="311"/>
      <c r="AD937" s="311"/>
      <c r="AE937" s="311"/>
      <c r="AF937" s="311"/>
      <c r="AG937" s="311"/>
      <c r="AH937" s="311"/>
      <c r="AI937" s="312"/>
      <c r="AJ937" s="92">
        <f>SUM(AJ911:AJ936)</f>
        <v>388.21899999999999</v>
      </c>
    </row>
    <row r="938" spans="1:36" ht="60" x14ac:dyDescent="0.2">
      <c r="A938" s="10" t="s">
        <v>810</v>
      </c>
      <c r="B938" s="11">
        <v>104162</v>
      </c>
      <c r="C938" s="10" t="s">
        <v>808</v>
      </c>
      <c r="D938" s="313"/>
      <c r="E938" s="314"/>
      <c r="F938" s="314"/>
      <c r="G938" s="314"/>
      <c r="H938" s="314"/>
      <c r="I938" s="314"/>
      <c r="J938" s="314"/>
      <c r="K938" s="314"/>
      <c r="L938" s="314"/>
      <c r="M938" s="314"/>
      <c r="N938" s="314"/>
      <c r="O938" s="314"/>
      <c r="P938" s="314"/>
      <c r="Q938" s="314"/>
      <c r="R938" s="314"/>
      <c r="S938" s="314"/>
      <c r="T938" s="314"/>
      <c r="U938" s="314"/>
      <c r="V938" s="314"/>
      <c r="W938" s="314"/>
      <c r="X938" s="314"/>
      <c r="Y938" s="314"/>
      <c r="Z938" s="314"/>
      <c r="AA938" s="314"/>
      <c r="AB938" s="314"/>
      <c r="AC938" s="314"/>
      <c r="AD938" s="314"/>
      <c r="AE938" s="314"/>
      <c r="AF938" s="314"/>
      <c r="AG938" s="314"/>
      <c r="AH938" s="314"/>
      <c r="AI938" s="314"/>
      <c r="AJ938" s="92" t="s">
        <v>19</v>
      </c>
    </row>
    <row r="939" spans="1:36" x14ac:dyDescent="0.2">
      <c r="A939" s="10"/>
      <c r="B939" s="11"/>
      <c r="C939" s="208" t="s">
        <v>767</v>
      </c>
      <c r="D939" s="96">
        <v>6.02</v>
      </c>
      <c r="E939" s="96" t="s">
        <v>745</v>
      </c>
      <c r="F939" s="96">
        <v>4.6500000000000004</v>
      </c>
      <c r="G939" s="96"/>
      <c r="H939" s="96"/>
      <c r="I939" s="96"/>
      <c r="J939" s="96"/>
      <c r="K939" s="96"/>
      <c r="L939" s="96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1" t="s">
        <v>745</v>
      </c>
      <c r="AH939" s="142">
        <v>1</v>
      </c>
      <c r="AI939" s="88" t="s">
        <v>727</v>
      </c>
      <c r="AJ939" s="11">
        <f t="shared" ref="AJ939:AJ949" si="67">(D939*F939+H939*J939)*AH939</f>
        <v>27.992999999999999</v>
      </c>
    </row>
    <row r="940" spans="1:36" x14ac:dyDescent="0.2">
      <c r="A940" s="10"/>
      <c r="B940" s="11"/>
      <c r="C940" s="208" t="s">
        <v>770</v>
      </c>
      <c r="D940" s="96">
        <v>4.05</v>
      </c>
      <c r="E940" s="96" t="s">
        <v>745</v>
      </c>
      <c r="F940" s="96">
        <v>4.05</v>
      </c>
      <c r="G940" s="96"/>
      <c r="H940" s="96"/>
      <c r="I940" s="96"/>
      <c r="J940" s="96"/>
      <c r="K940" s="96"/>
      <c r="L940" s="96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1" t="s">
        <v>745</v>
      </c>
      <c r="AH940" s="142">
        <v>1</v>
      </c>
      <c r="AI940" s="88" t="s">
        <v>727</v>
      </c>
      <c r="AJ940" s="11">
        <f t="shared" si="67"/>
        <v>16.4025</v>
      </c>
    </row>
    <row r="941" spans="1:36" x14ac:dyDescent="0.2">
      <c r="A941" s="10"/>
      <c r="B941" s="11"/>
      <c r="C941" s="208" t="s">
        <v>771</v>
      </c>
      <c r="D941" s="96">
        <v>10.75</v>
      </c>
      <c r="E941" s="96" t="s">
        <v>745</v>
      </c>
      <c r="F941" s="96">
        <v>5.25</v>
      </c>
      <c r="G941" s="96"/>
      <c r="H941" s="96"/>
      <c r="I941" s="96"/>
      <c r="J941" s="96"/>
      <c r="K941" s="96"/>
      <c r="L941" s="96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1" t="s">
        <v>745</v>
      </c>
      <c r="AH941" s="142">
        <v>1</v>
      </c>
      <c r="AI941" s="88" t="s">
        <v>727</v>
      </c>
      <c r="AJ941" s="11">
        <f t="shared" si="67"/>
        <v>56.4375</v>
      </c>
    </row>
    <row r="942" spans="1:36" x14ac:dyDescent="0.2">
      <c r="A942" s="10"/>
      <c r="B942" s="11"/>
      <c r="C942" s="208" t="s">
        <v>772</v>
      </c>
      <c r="D942" s="96">
        <v>3.45</v>
      </c>
      <c r="E942" s="96" t="s">
        <v>745</v>
      </c>
      <c r="F942" s="96">
        <v>4.6500000000000004</v>
      </c>
      <c r="G942" s="96"/>
      <c r="H942" s="96"/>
      <c r="I942" s="96"/>
      <c r="J942" s="96"/>
      <c r="K942" s="96"/>
      <c r="L942" s="96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1" t="s">
        <v>745</v>
      </c>
      <c r="AH942" s="142">
        <v>1</v>
      </c>
      <c r="AI942" s="88" t="s">
        <v>727</v>
      </c>
      <c r="AJ942" s="11">
        <f t="shared" si="67"/>
        <v>16.0425</v>
      </c>
    </row>
    <row r="943" spans="1:36" x14ac:dyDescent="0.2">
      <c r="A943" s="10"/>
      <c r="B943" s="11"/>
      <c r="C943" s="208" t="s">
        <v>773</v>
      </c>
      <c r="D943" s="96">
        <v>3.45</v>
      </c>
      <c r="E943" s="96" t="s">
        <v>745</v>
      </c>
      <c r="F943" s="96">
        <v>1.65</v>
      </c>
      <c r="G943" s="96"/>
      <c r="H943" s="96"/>
      <c r="I943" s="96"/>
      <c r="J943" s="96"/>
      <c r="K943" s="96"/>
      <c r="L943" s="96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1" t="s">
        <v>745</v>
      </c>
      <c r="AH943" s="142">
        <v>1</v>
      </c>
      <c r="AI943" s="88" t="s">
        <v>727</v>
      </c>
      <c r="AJ943" s="11">
        <f t="shared" si="67"/>
        <v>5.6924999999999999</v>
      </c>
    </row>
    <row r="944" spans="1:36" x14ac:dyDescent="0.2">
      <c r="A944" s="10"/>
      <c r="B944" s="11"/>
      <c r="C944" s="208" t="s">
        <v>775</v>
      </c>
      <c r="D944" s="96">
        <v>5.4</v>
      </c>
      <c r="E944" s="96" t="s">
        <v>745</v>
      </c>
      <c r="F944" s="96">
        <v>3.8</v>
      </c>
      <c r="G944" s="96"/>
      <c r="H944" s="96"/>
      <c r="I944" s="96"/>
      <c r="J944" s="96"/>
      <c r="K944" s="96"/>
      <c r="L944" s="96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1" t="s">
        <v>745</v>
      </c>
      <c r="AH944" s="142">
        <v>1</v>
      </c>
      <c r="AI944" s="88" t="s">
        <v>727</v>
      </c>
      <c r="AJ944" s="11">
        <f t="shared" si="67"/>
        <v>20.52</v>
      </c>
    </row>
    <row r="945" spans="1:36" x14ac:dyDescent="0.2">
      <c r="A945" s="10"/>
      <c r="B945" s="11"/>
      <c r="C945" s="208" t="s">
        <v>776</v>
      </c>
      <c r="D945" s="96">
        <v>2.35</v>
      </c>
      <c r="E945" s="96" t="s">
        <v>745</v>
      </c>
      <c r="F945" s="96">
        <v>4.79</v>
      </c>
      <c r="G945" s="96"/>
      <c r="H945" s="96"/>
      <c r="I945" s="96"/>
      <c r="J945" s="96"/>
      <c r="K945" s="96"/>
      <c r="L945" s="96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1" t="s">
        <v>745</v>
      </c>
      <c r="AH945" s="142">
        <v>1</v>
      </c>
      <c r="AI945" s="88" t="s">
        <v>727</v>
      </c>
      <c r="AJ945" s="11">
        <f t="shared" si="67"/>
        <v>11.256500000000001</v>
      </c>
    </row>
    <row r="946" spans="1:36" x14ac:dyDescent="0.2">
      <c r="A946" s="10"/>
      <c r="B946" s="11"/>
      <c r="C946" s="208" t="s">
        <v>777</v>
      </c>
      <c r="D946" s="96">
        <v>7.95</v>
      </c>
      <c r="E946" s="96" t="s">
        <v>745</v>
      </c>
      <c r="F946" s="96">
        <v>2.5</v>
      </c>
      <c r="G946" s="96" t="s">
        <v>764</v>
      </c>
      <c r="H946" s="96">
        <v>3.23</v>
      </c>
      <c r="I946" s="96" t="s">
        <v>745</v>
      </c>
      <c r="J946" s="96">
        <v>1.51</v>
      </c>
      <c r="K946" s="96"/>
      <c r="L946" s="96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1" t="s">
        <v>745</v>
      </c>
      <c r="AH946" s="142">
        <v>1</v>
      </c>
      <c r="AI946" s="88" t="s">
        <v>727</v>
      </c>
      <c r="AJ946" s="11">
        <f t="shared" si="67"/>
        <v>24.752299999999998</v>
      </c>
    </row>
    <row r="947" spans="1:36" x14ac:dyDescent="0.2">
      <c r="A947" s="10"/>
      <c r="B947" s="11"/>
      <c r="C947" s="208" t="s">
        <v>778</v>
      </c>
      <c r="D947" s="96">
        <v>4.9000000000000004</v>
      </c>
      <c r="E947" s="96" t="s">
        <v>745</v>
      </c>
      <c r="F947" s="96">
        <v>4.79</v>
      </c>
      <c r="G947" s="96" t="s">
        <v>764</v>
      </c>
      <c r="H947" s="96">
        <v>1.66</v>
      </c>
      <c r="I947" s="96" t="s">
        <v>745</v>
      </c>
      <c r="J947" s="96">
        <v>4.17</v>
      </c>
      <c r="K947" s="96"/>
      <c r="L947" s="96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1" t="s">
        <v>745</v>
      </c>
      <c r="AH947" s="142">
        <v>1</v>
      </c>
      <c r="AI947" s="88" t="s">
        <v>727</v>
      </c>
      <c r="AJ947" s="11">
        <f t="shared" si="67"/>
        <v>30.393200000000004</v>
      </c>
    </row>
    <row r="948" spans="1:36" x14ac:dyDescent="0.2">
      <c r="A948" s="10"/>
      <c r="B948" s="11"/>
      <c r="C948" s="217" t="s">
        <v>781</v>
      </c>
      <c r="D948" s="218">
        <v>5.3</v>
      </c>
      <c r="E948" s="219" t="s">
        <v>745</v>
      </c>
      <c r="F948" s="219">
        <v>5.65</v>
      </c>
      <c r="G948" s="219" t="s">
        <v>764</v>
      </c>
      <c r="H948" s="219">
        <v>3.95</v>
      </c>
      <c r="I948" s="219" t="s">
        <v>745</v>
      </c>
      <c r="J948" s="219">
        <v>0.8</v>
      </c>
      <c r="K948" s="219"/>
      <c r="L948" s="2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1" t="s">
        <v>745</v>
      </c>
      <c r="AH948" s="142">
        <v>1</v>
      </c>
      <c r="AI948" s="88" t="s">
        <v>727</v>
      </c>
      <c r="AJ948" s="11">
        <f t="shared" si="67"/>
        <v>33.105000000000004</v>
      </c>
    </row>
    <row r="949" spans="1:36" x14ac:dyDescent="0.2">
      <c r="A949" s="10"/>
      <c r="B949" s="11"/>
      <c r="C949" s="46" t="s">
        <v>779</v>
      </c>
      <c r="D949" s="11">
        <v>4.05</v>
      </c>
      <c r="E949" s="11" t="s">
        <v>745</v>
      </c>
      <c r="F949" s="11">
        <v>0.95</v>
      </c>
      <c r="G949" s="11" t="s">
        <v>764</v>
      </c>
      <c r="H949" s="11">
        <v>5.8</v>
      </c>
      <c r="I949" s="11" t="s">
        <v>748</v>
      </c>
      <c r="J949" s="11">
        <v>2.75</v>
      </c>
      <c r="K949" s="11"/>
      <c r="L949" s="11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1" t="s">
        <v>745</v>
      </c>
      <c r="AH949" s="142">
        <v>1</v>
      </c>
      <c r="AI949" s="88" t="s">
        <v>727</v>
      </c>
      <c r="AJ949" s="11">
        <f t="shared" si="67"/>
        <v>19.797499999999999</v>
      </c>
    </row>
    <row r="950" spans="1:36" x14ac:dyDescent="0.2">
      <c r="A950" s="10"/>
      <c r="B950" s="11"/>
      <c r="C950" s="10"/>
      <c r="D950" s="310" t="s">
        <v>812</v>
      </c>
      <c r="E950" s="311"/>
      <c r="F950" s="311"/>
      <c r="G950" s="311"/>
      <c r="H950" s="311"/>
      <c r="I950" s="311"/>
      <c r="J950" s="311"/>
      <c r="K950" s="311"/>
      <c r="L950" s="311"/>
      <c r="M950" s="311"/>
      <c r="N950" s="311"/>
      <c r="O950" s="311"/>
      <c r="P950" s="311"/>
      <c r="Q950" s="311"/>
      <c r="R950" s="311"/>
      <c r="S950" s="311"/>
      <c r="T950" s="311"/>
      <c r="U950" s="311"/>
      <c r="V950" s="311"/>
      <c r="W950" s="311"/>
      <c r="X950" s="311"/>
      <c r="Y950" s="311"/>
      <c r="Z950" s="311"/>
      <c r="AA950" s="311"/>
      <c r="AB950" s="311"/>
      <c r="AC950" s="311"/>
      <c r="AD950" s="311"/>
      <c r="AE950" s="311"/>
      <c r="AF950" s="311"/>
      <c r="AG950" s="311"/>
      <c r="AH950" s="311"/>
      <c r="AI950" s="312"/>
      <c r="AJ950" s="92">
        <f>SUM(AJ939:AJ949)</f>
        <v>262.39249999999998</v>
      </c>
    </row>
    <row r="951" spans="1:36" ht="36" x14ac:dyDescent="0.2">
      <c r="A951" s="10" t="s">
        <v>888</v>
      </c>
      <c r="B951" s="8">
        <v>94990</v>
      </c>
      <c r="C951" s="15" t="s">
        <v>889</v>
      </c>
      <c r="D951" s="301"/>
      <c r="E951" s="302"/>
      <c r="F951" s="302"/>
      <c r="G951" s="302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  <c r="AA951" s="302"/>
      <c r="AB951" s="302"/>
      <c r="AC951" s="302"/>
      <c r="AD951" s="302"/>
      <c r="AE951" s="302"/>
      <c r="AF951" s="302"/>
      <c r="AG951" s="302"/>
      <c r="AH951" s="302"/>
      <c r="AI951" s="302"/>
      <c r="AJ951" s="92" t="s">
        <v>29</v>
      </c>
    </row>
    <row r="952" spans="1:36" x14ac:dyDescent="0.2">
      <c r="A952" s="10"/>
      <c r="B952" s="102"/>
      <c r="C952" s="46" t="s">
        <v>901</v>
      </c>
      <c r="D952" s="11">
        <v>40</v>
      </c>
      <c r="E952" s="11" t="s">
        <v>745</v>
      </c>
      <c r="F952" s="11">
        <v>1.5</v>
      </c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11" t="s">
        <v>745</v>
      </c>
      <c r="AH952" s="11">
        <v>0.05</v>
      </c>
      <c r="AI952" s="88" t="s">
        <v>727</v>
      </c>
      <c r="AJ952" s="11">
        <f>(D952*F952)*AH952</f>
        <v>3</v>
      </c>
    </row>
    <row r="953" spans="1:36" x14ac:dyDescent="0.2">
      <c r="A953" s="10"/>
      <c r="B953" s="11"/>
      <c r="C953" s="214" t="s">
        <v>756</v>
      </c>
      <c r="D953" s="96">
        <v>7.35</v>
      </c>
      <c r="E953" s="96" t="s">
        <v>745</v>
      </c>
      <c r="F953" s="96">
        <v>2.2000000000000002</v>
      </c>
      <c r="G953" s="96"/>
      <c r="H953" s="96"/>
      <c r="I953" s="96"/>
      <c r="J953" s="96"/>
      <c r="K953" s="96"/>
      <c r="L953" s="96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1" t="s">
        <v>745</v>
      </c>
      <c r="AH953" s="11">
        <v>0.05</v>
      </c>
      <c r="AI953" s="88" t="s">
        <v>727</v>
      </c>
      <c r="AJ953" s="11">
        <f>(D953*F953)*AH953</f>
        <v>0.80850000000000011</v>
      </c>
    </row>
    <row r="954" spans="1:36" x14ac:dyDescent="0.2">
      <c r="A954" s="10"/>
      <c r="B954" s="11"/>
      <c r="C954" s="208" t="s">
        <v>757</v>
      </c>
      <c r="D954" s="219">
        <v>1.5</v>
      </c>
      <c r="E954" s="96" t="s">
        <v>745</v>
      </c>
      <c r="F954" s="96">
        <v>6</v>
      </c>
      <c r="G954" s="96"/>
      <c r="H954" s="96"/>
      <c r="I954" s="96"/>
      <c r="J954" s="96"/>
      <c r="K954" s="96"/>
      <c r="L954" s="96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1" t="s">
        <v>745</v>
      </c>
      <c r="AH954" s="11">
        <v>0.05</v>
      </c>
      <c r="AI954" s="88" t="s">
        <v>727</v>
      </c>
      <c r="AJ954" s="11">
        <f>(D954*F954)*AH954</f>
        <v>0.45</v>
      </c>
    </row>
    <row r="955" spans="1:36" x14ac:dyDescent="0.2">
      <c r="A955" s="10"/>
      <c r="B955" s="11"/>
      <c r="C955" s="208" t="s">
        <v>758</v>
      </c>
      <c r="D955" s="11">
        <v>24</v>
      </c>
      <c r="E955" s="218" t="s">
        <v>745</v>
      </c>
      <c r="F955" s="219">
        <v>1.2</v>
      </c>
      <c r="G955" s="219" t="s">
        <v>764</v>
      </c>
      <c r="H955" s="219">
        <v>4.6500000000000004</v>
      </c>
      <c r="I955" s="219" t="s">
        <v>745</v>
      </c>
      <c r="J955" s="219">
        <v>0.63</v>
      </c>
      <c r="K955" s="219"/>
      <c r="L955" s="2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1" t="s">
        <v>745</v>
      </c>
      <c r="AH955" s="11">
        <v>0.05</v>
      </c>
      <c r="AI955" s="88" t="s">
        <v>727</v>
      </c>
      <c r="AJ955" s="11">
        <f>(D955*F955)*AH955</f>
        <v>1.44</v>
      </c>
    </row>
    <row r="956" spans="1:36" x14ac:dyDescent="0.2">
      <c r="A956" s="10"/>
      <c r="B956" s="11"/>
      <c r="C956" s="208" t="s">
        <v>759</v>
      </c>
      <c r="D956" s="11">
        <v>4.05</v>
      </c>
      <c r="E956" s="11" t="s">
        <v>745</v>
      </c>
      <c r="F956" s="11">
        <v>2.65</v>
      </c>
      <c r="G956" s="11"/>
      <c r="H956" s="11"/>
      <c r="I956" s="11"/>
      <c r="J956" s="11"/>
      <c r="K956" s="11"/>
      <c r="L956" s="11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1" t="s">
        <v>745</v>
      </c>
      <c r="AH956" s="11">
        <v>0.05</v>
      </c>
      <c r="AI956" s="88" t="s">
        <v>727</v>
      </c>
      <c r="AJ956" s="11">
        <f>(D956*F956)*AH956</f>
        <v>0.53662500000000002</v>
      </c>
    </row>
    <row r="957" spans="1:36" x14ac:dyDescent="0.2">
      <c r="A957" s="10"/>
      <c r="B957" s="11"/>
      <c r="C957" s="10"/>
      <c r="D957" s="310" t="s">
        <v>812</v>
      </c>
      <c r="E957" s="311"/>
      <c r="F957" s="311"/>
      <c r="G957" s="311"/>
      <c r="H957" s="311"/>
      <c r="I957" s="311"/>
      <c r="J957" s="311"/>
      <c r="K957" s="311"/>
      <c r="L957" s="311"/>
      <c r="M957" s="311"/>
      <c r="N957" s="311"/>
      <c r="O957" s="311"/>
      <c r="P957" s="311"/>
      <c r="Q957" s="311"/>
      <c r="R957" s="311"/>
      <c r="S957" s="311"/>
      <c r="T957" s="311"/>
      <c r="U957" s="311"/>
      <c r="V957" s="311"/>
      <c r="W957" s="311"/>
      <c r="X957" s="311"/>
      <c r="Y957" s="311"/>
      <c r="Z957" s="311"/>
      <c r="AA957" s="311"/>
      <c r="AB957" s="311"/>
      <c r="AC957" s="311"/>
      <c r="AD957" s="311"/>
      <c r="AE957" s="311"/>
      <c r="AF957" s="311"/>
      <c r="AG957" s="311"/>
      <c r="AH957" s="311"/>
      <c r="AI957" s="312"/>
      <c r="AJ957" s="92">
        <f>SUM(AJ952:AJ956)</f>
        <v>6.2351249999999991</v>
      </c>
    </row>
    <row r="958" spans="1:36" ht="36" x14ac:dyDescent="0.2">
      <c r="A958" s="10" t="s">
        <v>1127</v>
      </c>
      <c r="B958" s="8">
        <v>94265</v>
      </c>
      <c r="C958" s="7" t="s">
        <v>1128</v>
      </c>
      <c r="D958" s="301"/>
      <c r="E958" s="302"/>
      <c r="F958" s="302"/>
      <c r="G958" s="302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  <c r="AA958" s="302"/>
      <c r="AB958" s="302"/>
      <c r="AC958" s="302"/>
      <c r="AD958" s="302"/>
      <c r="AE958" s="302"/>
      <c r="AF958" s="302"/>
      <c r="AG958" s="302"/>
      <c r="AH958" s="302"/>
      <c r="AI958" s="302"/>
      <c r="AJ958" s="92" t="s">
        <v>23</v>
      </c>
    </row>
    <row r="959" spans="1:36" x14ac:dyDescent="0.2">
      <c r="A959" s="10"/>
      <c r="B959" s="11"/>
      <c r="C959" s="208" t="s">
        <v>1129</v>
      </c>
      <c r="D959" s="11">
        <v>3.65</v>
      </c>
      <c r="E959" s="11" t="s">
        <v>745</v>
      </c>
      <c r="F959" s="11">
        <v>2.1</v>
      </c>
      <c r="G959" s="11"/>
      <c r="H959" s="11"/>
      <c r="I959" s="11"/>
      <c r="J959" s="11"/>
      <c r="K959" s="11"/>
      <c r="L959" s="11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1"/>
      <c r="AI959" s="142"/>
      <c r="AJ959" s="11">
        <f>D959+F959</f>
        <v>5.75</v>
      </c>
    </row>
    <row r="960" spans="1:36" x14ac:dyDescent="0.2">
      <c r="A960" s="10"/>
      <c r="B960" s="11"/>
      <c r="C960" s="10"/>
      <c r="D960" s="310" t="s">
        <v>812</v>
      </c>
      <c r="E960" s="311"/>
      <c r="F960" s="311"/>
      <c r="G960" s="311"/>
      <c r="H960" s="311"/>
      <c r="I960" s="311"/>
      <c r="J960" s="311"/>
      <c r="K960" s="311"/>
      <c r="L960" s="311"/>
      <c r="M960" s="311"/>
      <c r="N960" s="311"/>
      <c r="O960" s="311"/>
      <c r="P960" s="311"/>
      <c r="Q960" s="311"/>
      <c r="R960" s="311"/>
      <c r="S960" s="311"/>
      <c r="T960" s="311"/>
      <c r="U960" s="311"/>
      <c r="V960" s="311"/>
      <c r="W960" s="311"/>
      <c r="X960" s="311"/>
      <c r="Y960" s="311"/>
      <c r="Z960" s="311"/>
      <c r="AA960" s="311"/>
      <c r="AB960" s="311"/>
      <c r="AC960" s="311"/>
      <c r="AD960" s="311"/>
      <c r="AE960" s="311"/>
      <c r="AF960" s="311"/>
      <c r="AG960" s="311"/>
      <c r="AH960" s="311"/>
      <c r="AI960" s="312"/>
      <c r="AJ960" s="92">
        <f>AJ959</f>
        <v>5.75</v>
      </c>
    </row>
    <row r="961" spans="1:36" x14ac:dyDescent="0.2">
      <c r="A961" s="104" t="s">
        <v>260</v>
      </c>
      <c r="B961" s="252" t="s">
        <v>261</v>
      </c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  <c r="AA961" s="252"/>
      <c r="AB961" s="252"/>
      <c r="AC961" s="252"/>
      <c r="AD961" s="252"/>
      <c r="AE961" s="252"/>
      <c r="AF961" s="252"/>
      <c r="AG961" s="252"/>
      <c r="AH961" s="252"/>
      <c r="AI961" s="252"/>
      <c r="AJ961" s="252"/>
    </row>
    <row r="962" spans="1:36" ht="24" x14ac:dyDescent="0.2">
      <c r="A962" s="93" t="s">
        <v>262</v>
      </c>
      <c r="B962" s="96" t="s">
        <v>263</v>
      </c>
      <c r="C962" s="93" t="s">
        <v>264</v>
      </c>
      <c r="D962" s="291"/>
      <c r="E962" s="292"/>
      <c r="F962" s="292"/>
      <c r="G962" s="292"/>
      <c r="H962" s="292"/>
      <c r="I962" s="292"/>
      <c r="J962" s="292"/>
      <c r="K962" s="292"/>
      <c r="L962" s="292"/>
      <c r="M962" s="292"/>
      <c r="N962" s="292"/>
      <c r="O962" s="292"/>
      <c r="P962" s="292"/>
      <c r="Q962" s="292"/>
      <c r="R962" s="292"/>
      <c r="S962" s="292"/>
      <c r="T962" s="292"/>
      <c r="U962" s="292"/>
      <c r="V962" s="292"/>
      <c r="W962" s="292"/>
      <c r="X962" s="292"/>
      <c r="Y962" s="292"/>
      <c r="Z962" s="292"/>
      <c r="AA962" s="292"/>
      <c r="AB962" s="292"/>
      <c r="AC962" s="292"/>
      <c r="AD962" s="292"/>
      <c r="AE962" s="292"/>
      <c r="AF962" s="292"/>
      <c r="AG962" s="292"/>
      <c r="AH962" s="292"/>
      <c r="AI962" s="293"/>
      <c r="AJ962" s="11" t="s">
        <v>23</v>
      </c>
    </row>
    <row r="963" spans="1:36" ht="24" x14ac:dyDescent="0.2">
      <c r="A963" s="7" t="s">
        <v>265</v>
      </c>
      <c r="B963" s="8" t="s">
        <v>266</v>
      </c>
      <c r="C963" s="7" t="s">
        <v>267</v>
      </c>
      <c r="D963" s="291"/>
      <c r="E963" s="292"/>
      <c r="F963" s="292"/>
      <c r="G963" s="292"/>
      <c r="H963" s="292"/>
      <c r="I963" s="292"/>
      <c r="J963" s="292"/>
      <c r="K963" s="292"/>
      <c r="L963" s="292"/>
      <c r="M963" s="292"/>
      <c r="N963" s="292"/>
      <c r="O963" s="292"/>
      <c r="P963" s="292"/>
      <c r="Q963" s="292"/>
      <c r="R963" s="292"/>
      <c r="S963" s="292"/>
      <c r="T963" s="292"/>
      <c r="U963" s="292"/>
      <c r="V963" s="292"/>
      <c r="W963" s="292"/>
      <c r="X963" s="292"/>
      <c r="Y963" s="292"/>
      <c r="Z963" s="292"/>
      <c r="AA963" s="292"/>
      <c r="AB963" s="292"/>
      <c r="AC963" s="292"/>
      <c r="AD963" s="292"/>
      <c r="AE963" s="292"/>
      <c r="AF963" s="292"/>
      <c r="AG963" s="292"/>
      <c r="AH963" s="292"/>
      <c r="AI963" s="293"/>
      <c r="AJ963" s="11" t="s">
        <v>23</v>
      </c>
    </row>
    <row r="964" spans="1:36" ht="36" x14ac:dyDescent="0.2">
      <c r="A964" s="7" t="s">
        <v>268</v>
      </c>
      <c r="B964" s="8" t="s">
        <v>269</v>
      </c>
      <c r="C964" s="7" t="s">
        <v>270</v>
      </c>
      <c r="D964" s="291"/>
      <c r="E964" s="292"/>
      <c r="F964" s="292"/>
      <c r="G964" s="292"/>
      <c r="H964" s="292"/>
      <c r="I964" s="292"/>
      <c r="J964" s="292"/>
      <c r="K964" s="292"/>
      <c r="L964" s="292"/>
      <c r="M964" s="292"/>
      <c r="N964" s="292"/>
      <c r="O964" s="292"/>
      <c r="P964" s="292"/>
      <c r="Q964" s="292"/>
      <c r="R964" s="292"/>
      <c r="S964" s="292"/>
      <c r="T964" s="292"/>
      <c r="U964" s="292"/>
      <c r="V964" s="292"/>
      <c r="W964" s="292"/>
      <c r="X964" s="292"/>
      <c r="Y964" s="292"/>
      <c r="Z964" s="292"/>
      <c r="AA964" s="292"/>
      <c r="AB964" s="292"/>
      <c r="AC964" s="292"/>
      <c r="AD964" s="292"/>
      <c r="AE964" s="292"/>
      <c r="AF964" s="292"/>
      <c r="AG964" s="292"/>
      <c r="AH964" s="292"/>
      <c r="AI964" s="293"/>
      <c r="AJ964" s="11" t="s">
        <v>23</v>
      </c>
    </row>
    <row r="965" spans="1:36" x14ac:dyDescent="0.2">
      <c r="A965" s="48" t="s">
        <v>271</v>
      </c>
      <c r="B965" s="269" t="s">
        <v>272</v>
      </c>
      <c r="C965" s="269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  <c r="AD965" s="251"/>
      <c r="AE965" s="251"/>
      <c r="AF965" s="251"/>
      <c r="AG965" s="251"/>
      <c r="AH965" s="251"/>
      <c r="AI965" s="251"/>
      <c r="AJ965" s="251"/>
    </row>
    <row r="966" spans="1:36" ht="24" x14ac:dyDescent="0.2">
      <c r="A966" s="7" t="s">
        <v>273</v>
      </c>
      <c r="B966" s="8" t="s">
        <v>274</v>
      </c>
      <c r="C966" s="9" t="s">
        <v>275</v>
      </c>
      <c r="D966" s="335"/>
      <c r="E966" s="336"/>
      <c r="F966" s="336"/>
      <c r="G966" s="336"/>
      <c r="H966" s="336"/>
      <c r="I966" s="336"/>
      <c r="J966" s="336"/>
      <c r="K966" s="336"/>
      <c r="L966" s="336"/>
      <c r="M966" s="336"/>
      <c r="N966" s="336"/>
      <c r="O966" s="336"/>
      <c r="P966" s="336"/>
      <c r="Q966" s="336"/>
      <c r="R966" s="336"/>
      <c r="S966" s="336"/>
      <c r="T966" s="336"/>
      <c r="U966" s="336"/>
      <c r="V966" s="336"/>
      <c r="W966" s="336"/>
      <c r="X966" s="336"/>
      <c r="Y966" s="336"/>
      <c r="Z966" s="336"/>
      <c r="AA966" s="336"/>
      <c r="AB966" s="336"/>
      <c r="AC966" s="336"/>
      <c r="AD966" s="336"/>
      <c r="AE966" s="336"/>
      <c r="AF966" s="336"/>
      <c r="AG966" s="336"/>
      <c r="AH966" s="336"/>
      <c r="AI966" s="337"/>
      <c r="AJ966" s="11" t="s">
        <v>19</v>
      </c>
    </row>
    <row r="967" spans="1:36" x14ac:dyDescent="0.2">
      <c r="A967" s="7"/>
      <c r="B967" s="8"/>
      <c r="C967" s="105"/>
      <c r="D967" s="290" t="s">
        <v>872</v>
      </c>
      <c r="E967" s="290"/>
      <c r="F967" s="290"/>
      <c r="G967" s="290"/>
      <c r="H967" s="290"/>
      <c r="I967" s="290"/>
      <c r="J967" s="290"/>
      <c r="K967" s="290"/>
      <c r="L967" s="290"/>
      <c r="M967" s="290"/>
      <c r="N967" s="290"/>
      <c r="O967" s="290"/>
      <c r="P967" s="290"/>
      <c r="Q967" s="290"/>
      <c r="R967" s="290"/>
      <c r="S967" s="290"/>
      <c r="T967" s="290"/>
      <c r="U967" s="290"/>
      <c r="V967" s="290"/>
      <c r="W967" s="290"/>
      <c r="X967" s="290"/>
      <c r="Y967" s="290"/>
      <c r="Z967" s="290"/>
      <c r="AA967" s="290"/>
      <c r="AB967" s="290"/>
      <c r="AC967" s="290"/>
      <c r="AD967" s="290"/>
      <c r="AE967" s="290"/>
      <c r="AF967" s="290"/>
      <c r="AG967" s="290"/>
      <c r="AH967" s="290"/>
      <c r="AI967" s="290"/>
      <c r="AJ967" s="290"/>
    </row>
    <row r="968" spans="1:36" x14ac:dyDescent="0.2">
      <c r="A968" s="7"/>
      <c r="B968" s="8"/>
      <c r="C968" s="208" t="s">
        <v>785</v>
      </c>
      <c r="D968" s="11">
        <v>18.100000000000001</v>
      </c>
      <c r="E968" s="11" t="s">
        <v>764</v>
      </c>
      <c r="F968" s="11">
        <v>1.2</v>
      </c>
      <c r="G968" s="11" t="s">
        <v>764</v>
      </c>
      <c r="H968" s="11">
        <v>18.05</v>
      </c>
      <c r="I968" s="11"/>
      <c r="J968" s="11"/>
      <c r="K968" s="11"/>
      <c r="L968" s="11"/>
      <c r="M968" s="10"/>
      <c r="N968" s="10"/>
      <c r="O968" s="10"/>
      <c r="P968" s="10"/>
      <c r="Q968" s="11"/>
      <c r="R968" s="11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11" t="s">
        <v>745</v>
      </c>
      <c r="AH968" s="142">
        <v>2.5</v>
      </c>
      <c r="AI968" s="88" t="s">
        <v>727</v>
      </c>
      <c r="AJ968" s="11">
        <f t="shared" ref="AJ968:AJ973" si="68">(D968+F968+H968+J968+L968)*AH968</f>
        <v>93.375</v>
      </c>
    </row>
    <row r="969" spans="1:36" x14ac:dyDescent="0.2">
      <c r="A969" s="7"/>
      <c r="B969" s="8"/>
      <c r="C969" s="208" t="s">
        <v>786</v>
      </c>
      <c r="D969" s="11">
        <v>4.3499999999999996</v>
      </c>
      <c r="E969" s="11" t="s">
        <v>764</v>
      </c>
      <c r="F969" s="11">
        <v>0.63</v>
      </c>
      <c r="G969" s="11" t="s">
        <v>764</v>
      </c>
      <c r="H969" s="11">
        <v>0.63</v>
      </c>
      <c r="I969" s="11" t="s">
        <v>764</v>
      </c>
      <c r="J969" s="11">
        <v>7.95</v>
      </c>
      <c r="K969" s="11" t="s">
        <v>764</v>
      </c>
      <c r="L969" s="11">
        <v>8.73</v>
      </c>
      <c r="M969" s="10"/>
      <c r="N969" s="10"/>
      <c r="O969" s="10"/>
      <c r="P969" s="10"/>
      <c r="Q969" s="11"/>
      <c r="R969" s="11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11" t="s">
        <v>745</v>
      </c>
      <c r="AH969" s="142">
        <v>2.5</v>
      </c>
      <c r="AI969" s="88" t="s">
        <v>727</v>
      </c>
      <c r="AJ969" s="11">
        <f t="shared" si="68"/>
        <v>55.724999999999994</v>
      </c>
    </row>
    <row r="970" spans="1:36" x14ac:dyDescent="0.2">
      <c r="A970" s="7"/>
      <c r="B970" s="8"/>
      <c r="C970" s="208" t="s">
        <v>787</v>
      </c>
      <c r="D970" s="11">
        <v>2.58</v>
      </c>
      <c r="E970" s="11" t="s">
        <v>764</v>
      </c>
      <c r="F970" s="11">
        <v>1.25</v>
      </c>
      <c r="G970" s="11" t="s">
        <v>764</v>
      </c>
      <c r="H970" s="11">
        <v>2.2200000000000002</v>
      </c>
      <c r="I970" s="11" t="s">
        <v>764</v>
      </c>
      <c r="J970" s="11">
        <v>1.25</v>
      </c>
      <c r="K970" s="11" t="s">
        <v>764</v>
      </c>
      <c r="L970" s="11">
        <v>7.35</v>
      </c>
      <c r="M970" s="10"/>
      <c r="N970" s="10"/>
      <c r="O970" s="10"/>
      <c r="P970" s="10"/>
      <c r="Q970" s="11"/>
      <c r="R970" s="11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11" t="s">
        <v>745</v>
      </c>
      <c r="AH970" s="142">
        <v>2.5</v>
      </c>
      <c r="AI970" s="88" t="s">
        <v>727</v>
      </c>
      <c r="AJ970" s="11">
        <f t="shared" si="68"/>
        <v>36.625</v>
      </c>
    </row>
    <row r="971" spans="1:36" x14ac:dyDescent="0.2">
      <c r="A971" s="7"/>
      <c r="B971" s="8"/>
      <c r="C971" s="208" t="s">
        <v>788</v>
      </c>
      <c r="D971" s="11">
        <v>6.75</v>
      </c>
      <c r="E971" s="11" t="s">
        <v>764</v>
      </c>
      <c r="F971" s="11">
        <v>3.42</v>
      </c>
      <c r="G971" s="11" t="s">
        <v>764</v>
      </c>
      <c r="H971" s="11">
        <v>6.6</v>
      </c>
      <c r="I971" s="11"/>
      <c r="J971" s="11"/>
      <c r="K971" s="11"/>
      <c r="L971" s="11"/>
      <c r="M971" s="10"/>
      <c r="N971" s="10"/>
      <c r="O971" s="10"/>
      <c r="P971" s="10"/>
      <c r="Q971" s="11"/>
      <c r="R971" s="11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11" t="s">
        <v>745</v>
      </c>
      <c r="AH971" s="142">
        <v>2.5</v>
      </c>
      <c r="AI971" s="88" t="s">
        <v>727</v>
      </c>
      <c r="AJ971" s="11">
        <f t="shared" si="68"/>
        <v>41.924999999999997</v>
      </c>
    </row>
    <row r="972" spans="1:36" x14ac:dyDescent="0.2">
      <c r="A972" s="7"/>
      <c r="B972" s="8"/>
      <c r="C972" s="208" t="s">
        <v>850</v>
      </c>
      <c r="D972" s="11">
        <v>6.75</v>
      </c>
      <c r="E972" s="11" t="s">
        <v>764</v>
      </c>
      <c r="F972" s="11">
        <v>6.75</v>
      </c>
      <c r="G972" s="11"/>
      <c r="H972" s="11"/>
      <c r="I972" s="11"/>
      <c r="J972" s="11"/>
      <c r="K972" s="11"/>
      <c r="L972" s="11"/>
      <c r="M972" s="10"/>
      <c r="N972" s="10"/>
      <c r="O972" s="10"/>
      <c r="P972" s="10"/>
      <c r="Q972" s="11"/>
      <c r="R972" s="11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11" t="s">
        <v>745</v>
      </c>
      <c r="AH972" s="142">
        <v>2.5</v>
      </c>
      <c r="AI972" s="88" t="s">
        <v>727</v>
      </c>
      <c r="AJ972" s="11">
        <f t="shared" si="68"/>
        <v>33.75</v>
      </c>
    </row>
    <row r="973" spans="1:36" x14ac:dyDescent="0.2">
      <c r="A973" s="7"/>
      <c r="B973" s="8"/>
      <c r="C973" s="208" t="s">
        <v>851</v>
      </c>
      <c r="D973" s="11">
        <v>116.3</v>
      </c>
      <c r="E973" s="11"/>
      <c r="F973" s="11"/>
      <c r="G973" s="11"/>
      <c r="H973" s="11"/>
      <c r="I973" s="11"/>
      <c r="J973" s="11"/>
      <c r="K973" s="11"/>
      <c r="L973" s="11"/>
      <c r="M973" s="10"/>
      <c r="N973" s="10"/>
      <c r="O973" s="10"/>
      <c r="P973" s="10"/>
      <c r="Q973" s="11"/>
      <c r="R973" s="11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11" t="s">
        <v>745</v>
      </c>
      <c r="AH973" s="142">
        <v>1.3</v>
      </c>
      <c r="AI973" s="88" t="s">
        <v>727</v>
      </c>
      <c r="AJ973" s="11">
        <f t="shared" si="68"/>
        <v>151.19</v>
      </c>
    </row>
    <row r="974" spans="1:36" x14ac:dyDescent="0.2">
      <c r="A974" s="7"/>
      <c r="B974" s="8"/>
      <c r="C974" s="130"/>
      <c r="D974" s="287" t="s">
        <v>873</v>
      </c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  <c r="O974" s="287"/>
      <c r="P974" s="287"/>
      <c r="Q974" s="287"/>
      <c r="R974" s="287"/>
      <c r="S974" s="287"/>
      <c r="T974" s="287"/>
      <c r="U974" s="287"/>
      <c r="V974" s="287"/>
      <c r="W974" s="287"/>
      <c r="X974" s="287"/>
      <c r="Y974" s="287"/>
      <c r="Z974" s="287"/>
      <c r="AA974" s="287"/>
      <c r="AB974" s="287"/>
      <c r="AC974" s="287"/>
      <c r="AD974" s="287"/>
      <c r="AE974" s="287"/>
      <c r="AF974" s="287"/>
      <c r="AG974" s="287"/>
      <c r="AH974" s="287"/>
      <c r="AI974" s="287"/>
      <c r="AJ974" s="92">
        <f>SUM(AJ968:AJ973)</f>
        <v>412.59</v>
      </c>
    </row>
    <row r="975" spans="1:36" x14ac:dyDescent="0.2">
      <c r="A975" s="7"/>
      <c r="B975" s="8"/>
      <c r="C975" s="54"/>
      <c r="D975" s="391" t="s">
        <v>857</v>
      </c>
      <c r="E975" s="392"/>
      <c r="F975" s="392"/>
      <c r="G975" s="392"/>
      <c r="H975" s="392"/>
      <c r="I975" s="392"/>
      <c r="J975" s="392"/>
      <c r="K975" s="392"/>
      <c r="L975" s="392"/>
      <c r="M975" s="392"/>
      <c r="N975" s="392"/>
      <c r="O975" s="392"/>
      <c r="P975" s="392"/>
      <c r="Q975" s="392"/>
      <c r="R975" s="392"/>
      <c r="S975" s="392"/>
      <c r="T975" s="392"/>
      <c r="U975" s="392"/>
      <c r="V975" s="392"/>
      <c r="W975" s="392"/>
      <c r="X975" s="392"/>
      <c r="Y975" s="392"/>
      <c r="Z975" s="392"/>
      <c r="AA975" s="392"/>
      <c r="AB975" s="392"/>
      <c r="AC975" s="392"/>
      <c r="AD975" s="392"/>
      <c r="AE975" s="392"/>
      <c r="AF975" s="392"/>
      <c r="AG975" s="392"/>
      <c r="AH975" s="392"/>
      <c r="AI975" s="392"/>
      <c r="AJ975" s="393"/>
    </row>
    <row r="976" spans="1:36" x14ac:dyDescent="0.2">
      <c r="A976" s="7"/>
      <c r="B976" s="8"/>
      <c r="C976" s="13" t="s">
        <v>852</v>
      </c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8"/>
      <c r="AI976" s="126"/>
      <c r="AJ976" s="11"/>
    </row>
    <row r="977" spans="1:36" x14ac:dyDescent="0.2">
      <c r="A977" s="7"/>
      <c r="B977" s="8"/>
      <c r="C977" s="54"/>
      <c r="D977" s="11">
        <v>0.6</v>
      </c>
      <c r="E977" s="11" t="s">
        <v>748</v>
      </c>
      <c r="F977" s="11">
        <v>0.6</v>
      </c>
      <c r="G977" s="11"/>
      <c r="H977" s="11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8" t="s">
        <v>745</v>
      </c>
      <c r="AH977" s="89">
        <v>4</v>
      </c>
      <c r="AI977" s="88" t="s">
        <v>727</v>
      </c>
      <c r="AJ977" s="11">
        <f>SUM(D977*F977)*AH977</f>
        <v>1.44</v>
      </c>
    </row>
    <row r="978" spans="1:36" x14ac:dyDescent="0.2">
      <c r="A978" s="7"/>
      <c r="B978" s="8"/>
      <c r="C978" s="13" t="s">
        <v>853</v>
      </c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8"/>
      <c r="AI978" s="238"/>
      <c r="AJ978" s="11"/>
    </row>
    <row r="979" spans="1:36" x14ac:dyDescent="0.2">
      <c r="A979" s="7"/>
      <c r="B979" s="8"/>
      <c r="C979" s="208" t="s">
        <v>749</v>
      </c>
      <c r="D979" s="11">
        <v>0.6</v>
      </c>
      <c r="E979" s="11" t="s">
        <v>748</v>
      </c>
      <c r="F979" s="11">
        <v>0.6</v>
      </c>
      <c r="G979" s="11"/>
      <c r="H979" s="11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8" t="s">
        <v>745</v>
      </c>
      <c r="AH979" s="89">
        <v>17</v>
      </c>
      <c r="AI979" s="88" t="s">
        <v>727</v>
      </c>
      <c r="AJ979" s="11">
        <f>SUM(D979*F979)*AH979</f>
        <v>6.12</v>
      </c>
    </row>
    <row r="980" spans="1:36" x14ac:dyDescent="0.2">
      <c r="A980" s="7"/>
      <c r="B980" s="8"/>
      <c r="C980" s="208" t="s">
        <v>750</v>
      </c>
      <c r="D980" s="11">
        <v>0.6</v>
      </c>
      <c r="E980" s="11" t="s">
        <v>748</v>
      </c>
      <c r="F980" s="11">
        <v>0.9</v>
      </c>
      <c r="G980" s="11"/>
      <c r="H980" s="11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8" t="s">
        <v>745</v>
      </c>
      <c r="AH980" s="89">
        <v>1</v>
      </c>
      <c r="AI980" s="88" t="s">
        <v>727</v>
      </c>
      <c r="AJ980" s="11">
        <f>SUM(D980*F980)*AH980</f>
        <v>0.54</v>
      </c>
    </row>
    <row r="981" spans="1:36" x14ac:dyDescent="0.2">
      <c r="A981" s="7"/>
      <c r="B981" s="8"/>
      <c r="C981" s="208" t="s">
        <v>751</v>
      </c>
      <c r="D981" s="11">
        <v>1.2</v>
      </c>
      <c r="E981" s="11" t="s">
        <v>748</v>
      </c>
      <c r="F981" s="11">
        <v>1.2</v>
      </c>
      <c r="G981" s="11"/>
      <c r="H981" s="11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8" t="s">
        <v>745</v>
      </c>
      <c r="AH981" s="89">
        <v>6</v>
      </c>
      <c r="AI981" s="88" t="s">
        <v>727</v>
      </c>
      <c r="AJ981" s="11">
        <f>SUM(D981*F981)*AH981</f>
        <v>8.64</v>
      </c>
    </row>
    <row r="982" spans="1:36" x14ac:dyDescent="0.2">
      <c r="A982" s="7"/>
      <c r="B982" s="8"/>
      <c r="C982" s="208" t="s">
        <v>752</v>
      </c>
      <c r="D982" s="11">
        <v>1.8</v>
      </c>
      <c r="E982" s="11" t="s">
        <v>748</v>
      </c>
      <c r="F982" s="11">
        <v>1.2</v>
      </c>
      <c r="G982" s="11"/>
      <c r="H982" s="11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8" t="s">
        <v>745</v>
      </c>
      <c r="AH982" s="89">
        <v>0</v>
      </c>
      <c r="AI982" s="88" t="s">
        <v>727</v>
      </c>
      <c r="AJ982" s="11">
        <f>SUM(D982*F982)*AH982</f>
        <v>0</v>
      </c>
    </row>
    <row r="983" spans="1:36" x14ac:dyDescent="0.2">
      <c r="A983" s="7"/>
      <c r="B983" s="8"/>
      <c r="C983" s="208" t="s">
        <v>753</v>
      </c>
      <c r="D983" s="11">
        <v>1.8</v>
      </c>
      <c r="E983" s="11" t="s">
        <v>748</v>
      </c>
      <c r="F983" s="11">
        <v>1.6</v>
      </c>
      <c r="G983" s="11"/>
      <c r="H983" s="11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8" t="s">
        <v>745</v>
      </c>
      <c r="AH983" s="89">
        <v>6</v>
      </c>
      <c r="AI983" s="88" t="s">
        <v>727</v>
      </c>
      <c r="AJ983" s="11">
        <f>SUM(D983*F983)*AH983</f>
        <v>17.28</v>
      </c>
    </row>
    <row r="984" spans="1:36" x14ac:dyDescent="0.2">
      <c r="A984" s="7"/>
      <c r="B984" s="8"/>
      <c r="C984" s="54"/>
      <c r="D984" s="316" t="s">
        <v>830</v>
      </c>
      <c r="E984" s="317"/>
      <c r="F984" s="317"/>
      <c r="G984" s="317"/>
      <c r="H984" s="317"/>
      <c r="I984" s="317"/>
      <c r="J984" s="317"/>
      <c r="K984" s="317"/>
      <c r="L984" s="317"/>
      <c r="M984" s="317"/>
      <c r="N984" s="317"/>
      <c r="O984" s="317"/>
      <c r="P984" s="317"/>
      <c r="Q984" s="317"/>
      <c r="R984" s="317"/>
      <c r="S984" s="317"/>
      <c r="T984" s="317"/>
      <c r="U984" s="317"/>
      <c r="V984" s="317"/>
      <c r="W984" s="317"/>
      <c r="X984" s="317"/>
      <c r="Y984" s="317"/>
      <c r="Z984" s="317"/>
      <c r="AA984" s="317"/>
      <c r="AB984" s="317"/>
      <c r="AC984" s="317"/>
      <c r="AD984" s="317"/>
      <c r="AE984" s="317"/>
      <c r="AF984" s="317"/>
      <c r="AG984" s="317"/>
      <c r="AH984" s="317"/>
      <c r="AI984" s="318"/>
      <c r="AJ984" s="92">
        <f>SUM(AJ977:AJ983)</f>
        <v>34.020000000000003</v>
      </c>
    </row>
    <row r="985" spans="1:36" x14ac:dyDescent="0.2">
      <c r="A985" s="7"/>
      <c r="B985" s="8"/>
      <c r="C985" s="54"/>
      <c r="D985" s="388" t="s">
        <v>874</v>
      </c>
      <c r="E985" s="389"/>
      <c r="F985" s="389"/>
      <c r="G985" s="389"/>
      <c r="H985" s="389"/>
      <c r="I985" s="389"/>
      <c r="J985" s="389"/>
      <c r="K985" s="389"/>
      <c r="L985" s="389"/>
      <c r="M985" s="389"/>
      <c r="N985" s="389"/>
      <c r="O985" s="389"/>
      <c r="P985" s="389"/>
      <c r="Q985" s="389"/>
      <c r="R985" s="389"/>
      <c r="S985" s="389"/>
      <c r="T985" s="389"/>
      <c r="U985" s="389"/>
      <c r="V985" s="389"/>
      <c r="W985" s="389"/>
      <c r="X985" s="389"/>
      <c r="Y985" s="389"/>
      <c r="Z985" s="389"/>
      <c r="AA985" s="389"/>
      <c r="AB985" s="389"/>
      <c r="AC985" s="389"/>
      <c r="AD985" s="389"/>
      <c r="AE985" s="389"/>
      <c r="AF985" s="389"/>
      <c r="AG985" s="389"/>
      <c r="AH985" s="389"/>
      <c r="AI985" s="394"/>
      <c r="AJ985" s="92">
        <f>AJ974-AJ984</f>
        <v>378.57</v>
      </c>
    </row>
    <row r="986" spans="1:36" ht="24" x14ac:dyDescent="0.2">
      <c r="A986" s="7" t="s">
        <v>276</v>
      </c>
      <c r="B986" s="8" t="s">
        <v>277</v>
      </c>
      <c r="C986" s="9" t="s">
        <v>278</v>
      </c>
      <c r="D986" s="383"/>
      <c r="E986" s="384"/>
      <c r="F986" s="384"/>
      <c r="G986" s="384"/>
      <c r="H986" s="384"/>
      <c r="I986" s="384"/>
      <c r="J986" s="384"/>
      <c r="K986" s="384"/>
      <c r="L986" s="384"/>
      <c r="M986" s="384"/>
      <c r="N986" s="384"/>
      <c r="O986" s="384"/>
      <c r="P986" s="384"/>
      <c r="Q986" s="384"/>
      <c r="R986" s="384"/>
      <c r="S986" s="384"/>
      <c r="T986" s="384"/>
      <c r="U986" s="384"/>
      <c r="V986" s="384"/>
      <c r="W986" s="384"/>
      <c r="X986" s="384"/>
      <c r="Y986" s="384"/>
      <c r="Z986" s="384"/>
      <c r="AA986" s="384"/>
      <c r="AB986" s="384"/>
      <c r="AC986" s="384"/>
      <c r="AD986" s="384"/>
      <c r="AE986" s="384"/>
      <c r="AF986" s="384"/>
      <c r="AG986" s="384"/>
      <c r="AH986" s="384"/>
      <c r="AI986" s="385"/>
      <c r="AJ986" s="11" t="s">
        <v>19</v>
      </c>
    </row>
    <row r="987" spans="1:36" x14ac:dyDescent="0.2">
      <c r="A987" s="15"/>
      <c r="B987" s="14"/>
      <c r="C987" s="207" t="s">
        <v>763</v>
      </c>
      <c r="D987" s="96">
        <v>3</v>
      </c>
      <c r="E987" s="96" t="s">
        <v>748</v>
      </c>
      <c r="F987" s="96">
        <v>2.2200000000000002</v>
      </c>
      <c r="G987" s="96"/>
      <c r="H987" s="96"/>
      <c r="I987" s="96"/>
      <c r="J987" s="96"/>
      <c r="K987" s="96"/>
      <c r="L987" s="96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9"/>
      <c r="AG987" s="11" t="s">
        <v>748</v>
      </c>
      <c r="AH987" s="11">
        <v>1</v>
      </c>
      <c r="AI987" s="88" t="s">
        <v>727</v>
      </c>
      <c r="AJ987" s="11">
        <f t="shared" ref="AJ987:AJ1011" si="69">(D987*F987+H987*J987)*AH987</f>
        <v>6.66</v>
      </c>
    </row>
    <row r="988" spans="1:36" x14ac:dyDescent="0.2">
      <c r="A988" s="15"/>
      <c r="B988" s="14"/>
      <c r="C988" s="207" t="s">
        <v>765</v>
      </c>
      <c r="D988" s="96">
        <v>2.8</v>
      </c>
      <c r="E988" s="96" t="s">
        <v>748</v>
      </c>
      <c r="F988" s="96">
        <v>2.2200000000000002</v>
      </c>
      <c r="G988" s="96"/>
      <c r="H988" s="96"/>
      <c r="I988" s="96"/>
      <c r="J988" s="96"/>
      <c r="K988" s="96"/>
      <c r="L988" s="96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9"/>
      <c r="AG988" s="11" t="s">
        <v>748</v>
      </c>
      <c r="AH988" s="11">
        <v>1</v>
      </c>
      <c r="AI988" s="88" t="s">
        <v>727</v>
      </c>
      <c r="AJ988" s="11">
        <f t="shared" si="69"/>
        <v>6.2160000000000002</v>
      </c>
    </row>
    <row r="989" spans="1:36" x14ac:dyDescent="0.2">
      <c r="A989" s="15"/>
      <c r="B989" s="14"/>
      <c r="C989" s="208" t="s">
        <v>766</v>
      </c>
      <c r="D989" s="96">
        <v>3.9</v>
      </c>
      <c r="E989" s="96" t="s">
        <v>748</v>
      </c>
      <c r="F989" s="96">
        <v>2.23</v>
      </c>
      <c r="G989" s="96"/>
      <c r="H989" s="96"/>
      <c r="I989" s="96"/>
      <c r="J989" s="96"/>
      <c r="K989" s="96"/>
      <c r="L989" s="96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9"/>
      <c r="AG989" s="11" t="s">
        <v>748</v>
      </c>
      <c r="AH989" s="11">
        <v>1</v>
      </c>
      <c r="AI989" s="88" t="s">
        <v>727</v>
      </c>
      <c r="AJ989" s="11">
        <f t="shared" si="69"/>
        <v>8.6969999999999992</v>
      </c>
    </row>
    <row r="990" spans="1:36" x14ac:dyDescent="0.2">
      <c r="A990" s="15"/>
      <c r="B990" s="14"/>
      <c r="C990" s="208" t="s">
        <v>813</v>
      </c>
      <c r="D990" s="96">
        <v>1.02</v>
      </c>
      <c r="E990" s="96" t="s">
        <v>745</v>
      </c>
      <c r="F990" s="96">
        <v>1.85</v>
      </c>
      <c r="G990" s="96"/>
      <c r="H990" s="96"/>
      <c r="I990" s="96"/>
      <c r="J990" s="96"/>
      <c r="K990" s="96"/>
      <c r="L990" s="96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9"/>
      <c r="AG990" s="11" t="s">
        <v>748</v>
      </c>
      <c r="AH990" s="11">
        <v>1</v>
      </c>
      <c r="AI990" s="88" t="s">
        <v>727</v>
      </c>
      <c r="AJ990" s="11">
        <f t="shared" si="69"/>
        <v>1.8870000000000002</v>
      </c>
    </row>
    <row r="991" spans="1:36" x14ac:dyDescent="0.2">
      <c r="A991" s="15"/>
      <c r="B991" s="14"/>
      <c r="C991" s="208" t="s">
        <v>814</v>
      </c>
      <c r="D991" s="96">
        <v>1.5</v>
      </c>
      <c r="E991" s="96" t="s">
        <v>745</v>
      </c>
      <c r="F991" s="96">
        <v>2.85</v>
      </c>
      <c r="G991" s="96" t="s">
        <v>764</v>
      </c>
      <c r="H991" s="96">
        <v>0.85</v>
      </c>
      <c r="I991" s="96" t="s">
        <v>745</v>
      </c>
      <c r="J991" s="96">
        <v>1.17</v>
      </c>
      <c r="K991" s="96"/>
      <c r="L991" s="96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9"/>
      <c r="AG991" s="11" t="s">
        <v>748</v>
      </c>
      <c r="AH991" s="11">
        <v>1</v>
      </c>
      <c r="AI991" s="88" t="s">
        <v>727</v>
      </c>
      <c r="AJ991" s="11">
        <f t="shared" si="69"/>
        <v>5.2695000000000007</v>
      </c>
    </row>
    <row r="992" spans="1:36" x14ac:dyDescent="0.2">
      <c r="A992" s="15"/>
      <c r="B992" s="14"/>
      <c r="C992" s="208" t="s">
        <v>800</v>
      </c>
      <c r="D992" s="96">
        <v>2.85</v>
      </c>
      <c r="E992" s="96" t="s">
        <v>745</v>
      </c>
      <c r="F992" s="96">
        <v>2.25</v>
      </c>
      <c r="G992" s="96"/>
      <c r="H992" s="96"/>
      <c r="I992" s="96"/>
      <c r="J992" s="96"/>
      <c r="K992" s="96"/>
      <c r="L992" s="96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9"/>
      <c r="AG992" s="11" t="s">
        <v>748</v>
      </c>
      <c r="AH992" s="11">
        <v>1</v>
      </c>
      <c r="AI992" s="88" t="s">
        <v>727</v>
      </c>
      <c r="AJ992" s="11">
        <f t="shared" si="69"/>
        <v>6.4125000000000005</v>
      </c>
    </row>
    <row r="993" spans="1:36" x14ac:dyDescent="0.2">
      <c r="A993" s="15"/>
      <c r="B993" s="14"/>
      <c r="C993" s="208" t="s">
        <v>801</v>
      </c>
      <c r="D993" s="96">
        <v>2.25</v>
      </c>
      <c r="E993" s="96" t="s">
        <v>745</v>
      </c>
      <c r="F993" s="96">
        <v>1.05</v>
      </c>
      <c r="G993" s="96"/>
      <c r="H993" s="96"/>
      <c r="I993" s="96"/>
      <c r="J993" s="96"/>
      <c r="K993" s="96"/>
      <c r="L993" s="96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9"/>
      <c r="AG993" s="11" t="s">
        <v>748</v>
      </c>
      <c r="AH993" s="11">
        <v>1</v>
      </c>
      <c r="AI993" s="88" t="s">
        <v>727</v>
      </c>
      <c r="AJ993" s="11">
        <f t="shared" si="69"/>
        <v>2.3625000000000003</v>
      </c>
    </row>
    <row r="994" spans="1:36" x14ac:dyDescent="0.2">
      <c r="A994" s="15"/>
      <c r="B994" s="14"/>
      <c r="C994" s="208" t="s">
        <v>815</v>
      </c>
      <c r="D994" s="96">
        <v>1.8</v>
      </c>
      <c r="E994" s="96" t="s">
        <v>745</v>
      </c>
      <c r="F994" s="96">
        <v>2.85</v>
      </c>
      <c r="G994" s="96"/>
      <c r="H994" s="96"/>
      <c r="I994" s="96"/>
      <c r="J994" s="96"/>
      <c r="K994" s="96"/>
      <c r="L994" s="96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9"/>
      <c r="AG994" s="11" t="s">
        <v>748</v>
      </c>
      <c r="AH994" s="11">
        <v>1</v>
      </c>
      <c r="AI994" s="88" t="s">
        <v>727</v>
      </c>
      <c r="AJ994" s="11">
        <f t="shared" si="69"/>
        <v>5.13</v>
      </c>
    </row>
    <row r="995" spans="1:36" x14ac:dyDescent="0.2">
      <c r="A995" s="15"/>
      <c r="B995" s="14"/>
      <c r="C995" s="208" t="s">
        <v>803</v>
      </c>
      <c r="D995" s="96">
        <v>7.05</v>
      </c>
      <c r="E995" s="96" t="s">
        <v>745</v>
      </c>
      <c r="F995" s="96">
        <v>2.85</v>
      </c>
      <c r="G995" s="96" t="s">
        <v>764</v>
      </c>
      <c r="H995" s="96">
        <v>3.65</v>
      </c>
      <c r="I995" s="96" t="s">
        <v>745</v>
      </c>
      <c r="J995" s="96">
        <v>1.8</v>
      </c>
      <c r="K995" s="96"/>
      <c r="L995" s="96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9"/>
      <c r="AG995" s="11" t="s">
        <v>748</v>
      </c>
      <c r="AH995" s="11">
        <v>1</v>
      </c>
      <c r="AI995" s="88" t="s">
        <v>727</v>
      </c>
      <c r="AJ995" s="11">
        <f t="shared" si="69"/>
        <v>26.662500000000001</v>
      </c>
    </row>
    <row r="996" spans="1:36" x14ac:dyDescent="0.2">
      <c r="A996" s="15"/>
      <c r="B996" s="14"/>
      <c r="C996" s="208" t="s">
        <v>804</v>
      </c>
      <c r="D996" s="96">
        <v>2.85</v>
      </c>
      <c r="E996" s="96" t="s">
        <v>745</v>
      </c>
      <c r="F996" s="96">
        <v>1.57</v>
      </c>
      <c r="G996" s="96"/>
      <c r="H996" s="96"/>
      <c r="I996" s="96"/>
      <c r="J996" s="96"/>
      <c r="K996" s="96"/>
      <c r="L996" s="96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9"/>
      <c r="AG996" s="11" t="s">
        <v>748</v>
      </c>
      <c r="AH996" s="11">
        <v>1</v>
      </c>
      <c r="AI996" s="88" t="s">
        <v>727</v>
      </c>
      <c r="AJ996" s="11">
        <f t="shared" si="69"/>
        <v>4.4744999999999999</v>
      </c>
    </row>
    <row r="997" spans="1:36" x14ac:dyDescent="0.2">
      <c r="A997" s="15"/>
      <c r="B997" s="14"/>
      <c r="C997" s="208" t="s">
        <v>767</v>
      </c>
      <c r="D997" s="96">
        <v>6.75</v>
      </c>
      <c r="E997" s="96" t="s">
        <v>745</v>
      </c>
      <c r="F997" s="96">
        <v>4.6500000000000004</v>
      </c>
      <c r="G997" s="96"/>
      <c r="H997" s="96"/>
      <c r="I997" s="96"/>
      <c r="J997" s="96"/>
      <c r="K997" s="96"/>
      <c r="L997" s="96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9"/>
      <c r="AG997" s="11" t="s">
        <v>748</v>
      </c>
      <c r="AH997" s="11">
        <v>1</v>
      </c>
      <c r="AI997" s="88" t="s">
        <v>727</v>
      </c>
      <c r="AJ997" s="11">
        <f t="shared" si="69"/>
        <v>31.387500000000003</v>
      </c>
    </row>
    <row r="998" spans="1:36" x14ac:dyDescent="0.2">
      <c r="A998" s="15"/>
      <c r="B998" s="14"/>
      <c r="C998" s="208" t="s">
        <v>768</v>
      </c>
      <c r="D998" s="96">
        <v>1.95</v>
      </c>
      <c r="E998" s="96" t="s">
        <v>745</v>
      </c>
      <c r="F998" s="96">
        <v>2.25</v>
      </c>
      <c r="G998" s="96"/>
      <c r="H998" s="96"/>
      <c r="I998" s="96"/>
      <c r="J998" s="96"/>
      <c r="K998" s="96"/>
      <c r="L998" s="96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9"/>
      <c r="AG998" s="11" t="s">
        <v>748</v>
      </c>
      <c r="AH998" s="11">
        <v>1</v>
      </c>
      <c r="AI998" s="88" t="s">
        <v>727</v>
      </c>
      <c r="AJ998" s="11">
        <f t="shared" si="69"/>
        <v>4.3875000000000002</v>
      </c>
    </row>
    <row r="999" spans="1:36" x14ac:dyDescent="0.2">
      <c r="A999" s="15"/>
      <c r="B999" s="14"/>
      <c r="C999" s="208" t="s">
        <v>769</v>
      </c>
      <c r="D999" s="96">
        <v>1.95</v>
      </c>
      <c r="E999" s="96" t="s">
        <v>745</v>
      </c>
      <c r="F999" s="96">
        <v>2.25</v>
      </c>
      <c r="G999" s="96"/>
      <c r="H999" s="96"/>
      <c r="I999" s="96"/>
      <c r="J999" s="96"/>
      <c r="K999" s="96"/>
      <c r="L999" s="96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9"/>
      <c r="AG999" s="11" t="s">
        <v>748</v>
      </c>
      <c r="AH999" s="11">
        <v>1</v>
      </c>
      <c r="AI999" s="88" t="s">
        <v>727</v>
      </c>
      <c r="AJ999" s="11">
        <f t="shared" si="69"/>
        <v>4.3875000000000002</v>
      </c>
    </row>
    <row r="1000" spans="1:36" x14ac:dyDescent="0.2">
      <c r="A1000" s="15"/>
      <c r="B1000" s="14"/>
      <c r="C1000" s="208" t="s">
        <v>770</v>
      </c>
      <c r="D1000" s="96">
        <v>4.05</v>
      </c>
      <c r="E1000" s="96" t="s">
        <v>745</v>
      </c>
      <c r="F1000" s="96">
        <v>4.05</v>
      </c>
      <c r="G1000" s="96"/>
      <c r="H1000" s="96"/>
      <c r="I1000" s="96"/>
      <c r="J1000" s="96"/>
      <c r="K1000" s="96"/>
      <c r="L1000" s="96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9"/>
      <c r="AG1000" s="11" t="s">
        <v>748</v>
      </c>
      <c r="AH1000" s="11">
        <v>1</v>
      </c>
      <c r="AI1000" s="88" t="s">
        <v>727</v>
      </c>
      <c r="AJ1000" s="11">
        <f t="shared" si="69"/>
        <v>16.4025</v>
      </c>
    </row>
    <row r="1001" spans="1:36" x14ac:dyDescent="0.2">
      <c r="A1001" s="15"/>
      <c r="B1001" s="14"/>
      <c r="C1001" s="208" t="s">
        <v>771</v>
      </c>
      <c r="D1001" s="96">
        <v>10.75</v>
      </c>
      <c r="E1001" s="96" t="s">
        <v>745</v>
      </c>
      <c r="F1001" s="96">
        <v>5.25</v>
      </c>
      <c r="G1001" s="96"/>
      <c r="H1001" s="96"/>
      <c r="I1001" s="96"/>
      <c r="J1001" s="96"/>
      <c r="K1001" s="96"/>
      <c r="L1001" s="96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9"/>
      <c r="AG1001" s="11" t="s">
        <v>748</v>
      </c>
      <c r="AH1001" s="11">
        <v>1</v>
      </c>
      <c r="AI1001" s="88" t="s">
        <v>727</v>
      </c>
      <c r="AJ1001" s="11">
        <f t="shared" si="69"/>
        <v>56.4375</v>
      </c>
    </row>
    <row r="1002" spans="1:36" x14ac:dyDescent="0.2">
      <c r="A1002" s="15"/>
      <c r="B1002" s="14"/>
      <c r="C1002" s="208" t="s">
        <v>772</v>
      </c>
      <c r="D1002" s="96">
        <v>3.42</v>
      </c>
      <c r="E1002" s="96" t="s">
        <v>745</v>
      </c>
      <c r="F1002" s="96">
        <v>4.71</v>
      </c>
      <c r="G1002" s="96"/>
      <c r="H1002" s="96"/>
      <c r="I1002" s="96"/>
      <c r="J1002" s="96"/>
      <c r="K1002" s="96"/>
      <c r="L1002" s="96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9"/>
      <c r="AG1002" s="11" t="s">
        <v>748</v>
      </c>
      <c r="AH1002" s="11">
        <v>1</v>
      </c>
      <c r="AI1002" s="88" t="s">
        <v>727</v>
      </c>
      <c r="AJ1002" s="11">
        <f t="shared" si="69"/>
        <v>16.1082</v>
      </c>
    </row>
    <row r="1003" spans="1:36" x14ac:dyDescent="0.2">
      <c r="A1003" s="15"/>
      <c r="B1003" s="14"/>
      <c r="C1003" s="208" t="s">
        <v>773</v>
      </c>
      <c r="D1003" s="96">
        <v>3.45</v>
      </c>
      <c r="E1003" s="96" t="s">
        <v>745</v>
      </c>
      <c r="F1003" s="96">
        <v>1.65</v>
      </c>
      <c r="G1003" s="96"/>
      <c r="H1003" s="96"/>
      <c r="I1003" s="96"/>
      <c r="J1003" s="96"/>
      <c r="K1003" s="96"/>
      <c r="L1003" s="96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9"/>
      <c r="AG1003" s="11" t="s">
        <v>748</v>
      </c>
      <c r="AH1003" s="11">
        <v>1</v>
      </c>
      <c r="AI1003" s="88" t="s">
        <v>727</v>
      </c>
      <c r="AJ1003" s="11">
        <f t="shared" si="69"/>
        <v>5.6924999999999999</v>
      </c>
    </row>
    <row r="1004" spans="1:36" x14ac:dyDescent="0.2">
      <c r="A1004" s="15"/>
      <c r="B1004" s="14"/>
      <c r="C1004" s="208" t="s">
        <v>774</v>
      </c>
      <c r="D1004" s="96">
        <v>2.25</v>
      </c>
      <c r="E1004" s="96" t="s">
        <v>745</v>
      </c>
      <c r="F1004" s="96">
        <v>3.42</v>
      </c>
      <c r="G1004" s="96"/>
      <c r="H1004" s="96"/>
      <c r="I1004" s="96"/>
      <c r="J1004" s="96"/>
      <c r="K1004" s="96"/>
      <c r="L1004" s="96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9"/>
      <c r="AG1004" s="11" t="s">
        <v>748</v>
      </c>
      <c r="AH1004" s="11">
        <v>1</v>
      </c>
      <c r="AI1004" s="88" t="s">
        <v>727</v>
      </c>
      <c r="AJ1004" s="11">
        <f t="shared" si="69"/>
        <v>7.6950000000000003</v>
      </c>
    </row>
    <row r="1005" spans="1:36" x14ac:dyDescent="0.2">
      <c r="A1005" s="15"/>
      <c r="B1005" s="14"/>
      <c r="C1005" s="208" t="s">
        <v>775</v>
      </c>
      <c r="D1005" s="96">
        <v>5.4</v>
      </c>
      <c r="E1005" s="96" t="s">
        <v>745</v>
      </c>
      <c r="F1005" s="96">
        <v>3.8</v>
      </c>
      <c r="G1005" s="96"/>
      <c r="H1005" s="96"/>
      <c r="I1005" s="96"/>
      <c r="J1005" s="96"/>
      <c r="K1005" s="96"/>
      <c r="L1005" s="96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9"/>
      <c r="AG1005" s="11" t="s">
        <v>748</v>
      </c>
      <c r="AH1005" s="11">
        <v>1</v>
      </c>
      <c r="AI1005" s="88" t="s">
        <v>727</v>
      </c>
      <c r="AJ1005" s="11">
        <f t="shared" si="69"/>
        <v>20.52</v>
      </c>
    </row>
    <row r="1006" spans="1:36" x14ac:dyDescent="0.2">
      <c r="A1006" s="15"/>
      <c r="B1006" s="14"/>
      <c r="C1006" s="208" t="s">
        <v>776</v>
      </c>
      <c r="D1006" s="96">
        <v>2.35</v>
      </c>
      <c r="E1006" s="96" t="s">
        <v>745</v>
      </c>
      <c r="F1006" s="96">
        <v>4.79</v>
      </c>
      <c r="G1006" s="96"/>
      <c r="H1006" s="96"/>
      <c r="I1006" s="96"/>
      <c r="J1006" s="96"/>
      <c r="K1006" s="96"/>
      <c r="L1006" s="96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9"/>
      <c r="AG1006" s="11" t="s">
        <v>748</v>
      </c>
      <c r="AH1006" s="11">
        <v>1</v>
      </c>
      <c r="AI1006" s="88" t="s">
        <v>727</v>
      </c>
      <c r="AJ1006" s="11">
        <f t="shared" si="69"/>
        <v>11.256500000000001</v>
      </c>
    </row>
    <row r="1007" spans="1:36" x14ac:dyDescent="0.2">
      <c r="A1007" s="15"/>
      <c r="B1007" s="14"/>
      <c r="C1007" s="208" t="s">
        <v>777</v>
      </c>
      <c r="D1007" s="96">
        <v>7.95</v>
      </c>
      <c r="E1007" s="96" t="s">
        <v>745</v>
      </c>
      <c r="F1007" s="96">
        <v>2.5</v>
      </c>
      <c r="G1007" s="96" t="s">
        <v>764</v>
      </c>
      <c r="H1007" s="96">
        <v>0.8</v>
      </c>
      <c r="I1007" s="96" t="s">
        <v>745</v>
      </c>
      <c r="J1007" s="96">
        <v>1.2</v>
      </c>
      <c r="K1007" s="96"/>
      <c r="L1007" s="96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9"/>
      <c r="AG1007" s="11" t="s">
        <v>748</v>
      </c>
      <c r="AH1007" s="11">
        <v>1</v>
      </c>
      <c r="AI1007" s="88" t="s">
        <v>727</v>
      </c>
      <c r="AJ1007" s="11">
        <f t="shared" si="69"/>
        <v>20.835000000000001</v>
      </c>
    </row>
    <row r="1008" spans="1:36" x14ac:dyDescent="0.2">
      <c r="A1008" s="15"/>
      <c r="B1008" s="14"/>
      <c r="C1008" s="208" t="s">
        <v>778</v>
      </c>
      <c r="D1008" s="96">
        <v>4.9000000000000004</v>
      </c>
      <c r="E1008" s="96" t="s">
        <v>745</v>
      </c>
      <c r="F1008" s="96">
        <v>4.79</v>
      </c>
      <c r="G1008" s="96" t="s">
        <v>764</v>
      </c>
      <c r="H1008" s="96">
        <v>1.66</v>
      </c>
      <c r="I1008" s="96" t="s">
        <v>745</v>
      </c>
      <c r="J1008" s="96">
        <v>4.17</v>
      </c>
      <c r="K1008" s="96"/>
      <c r="L1008" s="96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9"/>
      <c r="AG1008" s="11" t="s">
        <v>748</v>
      </c>
      <c r="AH1008" s="11">
        <v>1</v>
      </c>
      <c r="AI1008" s="88" t="s">
        <v>727</v>
      </c>
      <c r="AJ1008" s="11">
        <f t="shared" si="69"/>
        <v>30.393200000000004</v>
      </c>
    </row>
    <row r="1009" spans="1:36" x14ac:dyDescent="0.2">
      <c r="A1009" s="15"/>
      <c r="B1009" s="14"/>
      <c r="C1009" s="208" t="s">
        <v>780</v>
      </c>
      <c r="D1009" s="96">
        <v>2.25</v>
      </c>
      <c r="E1009" s="96" t="s">
        <v>745</v>
      </c>
      <c r="F1009" s="96">
        <v>6.45</v>
      </c>
      <c r="G1009" s="96"/>
      <c r="H1009" s="96"/>
      <c r="I1009" s="96"/>
      <c r="J1009" s="96"/>
      <c r="K1009" s="96"/>
      <c r="L1009" s="96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9"/>
      <c r="AG1009" s="11" t="s">
        <v>748</v>
      </c>
      <c r="AH1009" s="11">
        <v>1</v>
      </c>
      <c r="AI1009" s="88" t="s">
        <v>727</v>
      </c>
      <c r="AJ1009" s="11">
        <f t="shared" si="69"/>
        <v>14.512500000000001</v>
      </c>
    </row>
    <row r="1010" spans="1:36" x14ac:dyDescent="0.2">
      <c r="A1010" s="15"/>
      <c r="B1010" s="14"/>
      <c r="C1010" s="208" t="s">
        <v>781</v>
      </c>
      <c r="D1010" s="96">
        <v>5.3</v>
      </c>
      <c r="E1010" s="96" t="s">
        <v>745</v>
      </c>
      <c r="F1010" s="96">
        <v>5.65</v>
      </c>
      <c r="G1010" s="96" t="s">
        <v>764</v>
      </c>
      <c r="H1010" s="96">
        <v>3.95</v>
      </c>
      <c r="I1010" s="96" t="s">
        <v>745</v>
      </c>
      <c r="J1010" s="96">
        <v>0.8</v>
      </c>
      <c r="K1010" s="96"/>
      <c r="L1010" s="96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9"/>
      <c r="AG1010" s="11" t="s">
        <v>748</v>
      </c>
      <c r="AH1010" s="11">
        <v>1</v>
      </c>
      <c r="AI1010" s="88" t="s">
        <v>727</v>
      </c>
      <c r="AJ1010" s="11">
        <f t="shared" si="69"/>
        <v>33.105000000000004</v>
      </c>
    </row>
    <row r="1011" spans="1:36" x14ac:dyDescent="0.2">
      <c r="A1011" s="15"/>
      <c r="B1011" s="14"/>
      <c r="C1011" s="209" t="s">
        <v>782</v>
      </c>
      <c r="D1011" s="96">
        <v>2.98</v>
      </c>
      <c r="E1011" s="96" t="s">
        <v>745</v>
      </c>
      <c r="F1011" s="96">
        <v>6.45</v>
      </c>
      <c r="G1011" s="96"/>
      <c r="H1011" s="96"/>
      <c r="I1011" s="96"/>
      <c r="J1011" s="96"/>
      <c r="K1011" s="96"/>
      <c r="L1011" s="96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9"/>
      <c r="AG1011" s="11" t="s">
        <v>748</v>
      </c>
      <c r="AH1011" s="11">
        <v>1</v>
      </c>
      <c r="AI1011" s="88" t="s">
        <v>727</v>
      </c>
      <c r="AJ1011" s="11">
        <f t="shared" si="69"/>
        <v>19.221</v>
      </c>
    </row>
    <row r="1012" spans="1:36" x14ac:dyDescent="0.2">
      <c r="A1012" s="15"/>
      <c r="B1012" s="14"/>
      <c r="C1012" s="7"/>
      <c r="D1012" s="328" t="s">
        <v>743</v>
      </c>
      <c r="E1012" s="329"/>
      <c r="F1012" s="329"/>
      <c r="G1012" s="329"/>
      <c r="H1012" s="329"/>
      <c r="I1012" s="329"/>
      <c r="J1012" s="329"/>
      <c r="K1012" s="329"/>
      <c r="L1012" s="329"/>
      <c r="M1012" s="329"/>
      <c r="N1012" s="329"/>
      <c r="O1012" s="329"/>
      <c r="P1012" s="329"/>
      <c r="Q1012" s="329"/>
      <c r="R1012" s="329"/>
      <c r="S1012" s="329"/>
      <c r="T1012" s="329"/>
      <c r="U1012" s="329"/>
      <c r="V1012" s="329"/>
      <c r="W1012" s="329"/>
      <c r="X1012" s="329"/>
      <c r="Y1012" s="329"/>
      <c r="Z1012" s="329"/>
      <c r="AA1012" s="329"/>
      <c r="AB1012" s="329"/>
      <c r="AC1012" s="329"/>
      <c r="AD1012" s="329"/>
      <c r="AE1012" s="329"/>
      <c r="AF1012" s="329"/>
      <c r="AG1012" s="317"/>
      <c r="AH1012" s="317"/>
      <c r="AI1012" s="318"/>
      <c r="AJ1012" s="92">
        <f>SUM(AJ987:AJ1011)</f>
        <v>366.11289999999997</v>
      </c>
    </row>
    <row r="1013" spans="1:36" ht="24" x14ac:dyDescent="0.2">
      <c r="A1013" s="15" t="s">
        <v>279</v>
      </c>
      <c r="B1013" s="14" t="s">
        <v>280</v>
      </c>
      <c r="C1013" s="16" t="s">
        <v>281</v>
      </c>
      <c r="D1013" s="304"/>
      <c r="E1013" s="305"/>
      <c r="F1013" s="305"/>
      <c r="G1013" s="305"/>
      <c r="H1013" s="305"/>
      <c r="I1013" s="305"/>
      <c r="J1013" s="305"/>
      <c r="K1013" s="305"/>
      <c r="L1013" s="305"/>
      <c r="M1013" s="305"/>
      <c r="N1013" s="305"/>
      <c r="O1013" s="305"/>
      <c r="P1013" s="305"/>
      <c r="Q1013" s="305"/>
      <c r="R1013" s="305"/>
      <c r="S1013" s="305"/>
      <c r="T1013" s="305"/>
      <c r="U1013" s="305"/>
      <c r="V1013" s="305"/>
      <c r="W1013" s="305"/>
      <c r="X1013" s="305"/>
      <c r="Y1013" s="305"/>
      <c r="Z1013" s="305"/>
      <c r="AA1013" s="305"/>
      <c r="AB1013" s="305"/>
      <c r="AC1013" s="305"/>
      <c r="AD1013" s="305"/>
      <c r="AE1013" s="305"/>
      <c r="AF1013" s="305"/>
      <c r="AG1013" s="305"/>
      <c r="AH1013" s="305"/>
      <c r="AI1013" s="306"/>
      <c r="AJ1013" s="11" t="s">
        <v>19</v>
      </c>
    </row>
    <row r="1014" spans="1:36" x14ac:dyDescent="0.2">
      <c r="A1014" s="10"/>
      <c r="B1014" s="106"/>
      <c r="C1014" s="128"/>
      <c r="D1014" s="290" t="s">
        <v>877</v>
      </c>
      <c r="E1014" s="290"/>
      <c r="F1014" s="290"/>
      <c r="G1014" s="290"/>
      <c r="H1014" s="290"/>
      <c r="I1014" s="290"/>
      <c r="J1014" s="290"/>
      <c r="K1014" s="290"/>
      <c r="L1014" s="290"/>
      <c r="M1014" s="290"/>
      <c r="N1014" s="290"/>
      <c r="O1014" s="290"/>
      <c r="P1014" s="290"/>
      <c r="Q1014" s="290"/>
      <c r="R1014" s="290"/>
      <c r="S1014" s="290"/>
      <c r="T1014" s="290"/>
      <c r="U1014" s="290"/>
      <c r="V1014" s="290"/>
      <c r="W1014" s="290"/>
      <c r="X1014" s="290"/>
      <c r="Y1014" s="290"/>
      <c r="Z1014" s="290"/>
      <c r="AA1014" s="290"/>
      <c r="AB1014" s="290"/>
      <c r="AC1014" s="290"/>
      <c r="AD1014" s="290"/>
      <c r="AE1014" s="290"/>
      <c r="AF1014" s="290"/>
      <c r="AG1014" s="290"/>
      <c r="AH1014" s="290"/>
      <c r="AI1014" s="290"/>
      <c r="AJ1014" s="290"/>
    </row>
    <row r="1015" spans="1:36" x14ac:dyDescent="0.2">
      <c r="A1015" s="10"/>
      <c r="B1015" s="106"/>
      <c r="C1015" s="214" t="s">
        <v>785</v>
      </c>
      <c r="D1015" s="11">
        <v>18.100000000000001</v>
      </c>
      <c r="E1015" s="11" t="s">
        <v>764</v>
      </c>
      <c r="F1015" s="11">
        <v>1.2</v>
      </c>
      <c r="G1015" s="11" t="s">
        <v>764</v>
      </c>
      <c r="H1015" s="11">
        <v>18.05</v>
      </c>
      <c r="I1015" s="11"/>
      <c r="J1015" s="11"/>
      <c r="K1015" s="11"/>
      <c r="L1015" s="11"/>
      <c r="M1015" s="10"/>
      <c r="N1015" s="10"/>
      <c r="O1015" s="10"/>
      <c r="P1015" s="10"/>
      <c r="Q1015" s="11"/>
      <c r="R1015" s="11"/>
      <c r="S1015" s="88"/>
      <c r="T1015" s="88"/>
      <c r="U1015" s="88"/>
      <c r="V1015" s="88"/>
      <c r="W1015" s="88"/>
      <c r="X1015" s="88"/>
      <c r="Y1015" s="88"/>
      <c r="Z1015" s="88"/>
      <c r="AA1015" s="88"/>
      <c r="AB1015" s="88"/>
      <c r="AC1015" s="88"/>
      <c r="AD1015" s="88"/>
      <c r="AE1015" s="88"/>
      <c r="AF1015" s="88"/>
      <c r="AG1015" s="11" t="s">
        <v>745</v>
      </c>
      <c r="AH1015" s="142">
        <v>2.5</v>
      </c>
      <c r="AI1015" s="88" t="s">
        <v>727</v>
      </c>
      <c r="AJ1015" s="11">
        <f t="shared" ref="AJ1015:AJ1020" si="70">(D1015+F1015+H1015+J1015+L1015)*AH1015</f>
        <v>93.375</v>
      </c>
    </row>
    <row r="1016" spans="1:36" x14ac:dyDescent="0.2">
      <c r="A1016" s="10"/>
      <c r="B1016" s="106"/>
      <c r="C1016" s="208" t="s">
        <v>786</v>
      </c>
      <c r="D1016" s="11">
        <v>4.3499999999999996</v>
      </c>
      <c r="E1016" s="11" t="s">
        <v>764</v>
      </c>
      <c r="F1016" s="11">
        <v>0.63</v>
      </c>
      <c r="G1016" s="11" t="s">
        <v>764</v>
      </c>
      <c r="H1016" s="11">
        <v>0.63</v>
      </c>
      <c r="I1016" s="11" t="s">
        <v>764</v>
      </c>
      <c r="J1016" s="11">
        <v>7.95</v>
      </c>
      <c r="K1016" s="11" t="s">
        <v>764</v>
      </c>
      <c r="L1016" s="11">
        <v>8.73</v>
      </c>
      <c r="M1016" s="10"/>
      <c r="N1016" s="10"/>
      <c r="O1016" s="10"/>
      <c r="P1016" s="10"/>
      <c r="Q1016" s="11"/>
      <c r="R1016" s="11"/>
      <c r="S1016" s="88"/>
      <c r="T1016" s="88"/>
      <c r="U1016" s="88"/>
      <c r="V1016" s="88"/>
      <c r="W1016" s="88"/>
      <c r="X1016" s="88"/>
      <c r="Y1016" s="88"/>
      <c r="Z1016" s="88"/>
      <c r="AA1016" s="88"/>
      <c r="AB1016" s="88"/>
      <c r="AC1016" s="88"/>
      <c r="AD1016" s="88"/>
      <c r="AE1016" s="88"/>
      <c r="AF1016" s="88"/>
      <c r="AG1016" s="11" t="s">
        <v>745</v>
      </c>
      <c r="AH1016" s="142">
        <v>2.5</v>
      </c>
      <c r="AI1016" s="88" t="s">
        <v>727</v>
      </c>
      <c r="AJ1016" s="11">
        <f t="shared" si="70"/>
        <v>55.724999999999994</v>
      </c>
    </row>
    <row r="1017" spans="1:36" x14ac:dyDescent="0.2">
      <c r="A1017" s="10"/>
      <c r="B1017" s="106"/>
      <c r="C1017" s="208" t="s">
        <v>787</v>
      </c>
      <c r="D1017" s="11">
        <v>2.58</v>
      </c>
      <c r="E1017" s="11" t="s">
        <v>764</v>
      </c>
      <c r="F1017" s="11">
        <v>1.25</v>
      </c>
      <c r="G1017" s="11" t="s">
        <v>764</v>
      </c>
      <c r="H1017" s="11">
        <v>2.2200000000000002</v>
      </c>
      <c r="I1017" s="11" t="s">
        <v>764</v>
      </c>
      <c r="J1017" s="11">
        <v>1.25</v>
      </c>
      <c r="K1017" s="11" t="s">
        <v>764</v>
      </c>
      <c r="L1017" s="11">
        <v>7.35</v>
      </c>
      <c r="M1017" s="10"/>
      <c r="N1017" s="10"/>
      <c r="O1017" s="10"/>
      <c r="P1017" s="10"/>
      <c r="Q1017" s="11"/>
      <c r="R1017" s="11"/>
      <c r="S1017" s="88"/>
      <c r="T1017" s="88"/>
      <c r="U1017" s="88"/>
      <c r="V1017" s="88"/>
      <c r="W1017" s="88"/>
      <c r="X1017" s="88"/>
      <c r="Y1017" s="88"/>
      <c r="Z1017" s="88"/>
      <c r="AA1017" s="88"/>
      <c r="AB1017" s="88"/>
      <c r="AC1017" s="88"/>
      <c r="AD1017" s="88"/>
      <c r="AE1017" s="88"/>
      <c r="AF1017" s="88"/>
      <c r="AG1017" s="11" t="s">
        <v>745</v>
      </c>
      <c r="AH1017" s="142">
        <v>2.5</v>
      </c>
      <c r="AI1017" s="88" t="s">
        <v>727</v>
      </c>
      <c r="AJ1017" s="11">
        <f t="shared" si="70"/>
        <v>36.625</v>
      </c>
    </row>
    <row r="1018" spans="1:36" x14ac:dyDescent="0.2">
      <c r="A1018" s="10"/>
      <c r="B1018" s="106"/>
      <c r="C1018" s="208" t="s">
        <v>788</v>
      </c>
      <c r="D1018" s="11">
        <v>6.75</v>
      </c>
      <c r="E1018" s="11" t="s">
        <v>764</v>
      </c>
      <c r="F1018" s="11">
        <v>3.42</v>
      </c>
      <c r="G1018" s="11" t="s">
        <v>764</v>
      </c>
      <c r="H1018" s="11">
        <v>6.6</v>
      </c>
      <c r="I1018" s="11"/>
      <c r="J1018" s="11"/>
      <c r="K1018" s="11"/>
      <c r="L1018" s="11"/>
      <c r="M1018" s="10"/>
      <c r="N1018" s="10"/>
      <c r="O1018" s="10"/>
      <c r="P1018" s="10"/>
      <c r="Q1018" s="11"/>
      <c r="R1018" s="11"/>
      <c r="S1018" s="88"/>
      <c r="T1018" s="88"/>
      <c r="U1018" s="88"/>
      <c r="V1018" s="88"/>
      <c r="W1018" s="88"/>
      <c r="X1018" s="88"/>
      <c r="Y1018" s="88"/>
      <c r="Z1018" s="88"/>
      <c r="AA1018" s="88"/>
      <c r="AB1018" s="88"/>
      <c r="AC1018" s="88"/>
      <c r="AD1018" s="88"/>
      <c r="AE1018" s="88"/>
      <c r="AF1018" s="88"/>
      <c r="AG1018" s="11" t="s">
        <v>745</v>
      </c>
      <c r="AH1018" s="142">
        <v>2.5</v>
      </c>
      <c r="AI1018" s="88" t="s">
        <v>727</v>
      </c>
      <c r="AJ1018" s="11">
        <f t="shared" si="70"/>
        <v>41.924999999999997</v>
      </c>
    </row>
    <row r="1019" spans="1:36" x14ac:dyDescent="0.2">
      <c r="A1019" s="10"/>
      <c r="B1019" s="106"/>
      <c r="C1019" s="208" t="s">
        <v>850</v>
      </c>
      <c r="D1019" s="11">
        <v>6.75</v>
      </c>
      <c r="E1019" s="11" t="s">
        <v>764</v>
      </c>
      <c r="F1019" s="11">
        <v>6.75</v>
      </c>
      <c r="G1019" s="11"/>
      <c r="H1019" s="11"/>
      <c r="I1019" s="11"/>
      <c r="J1019" s="11"/>
      <c r="K1019" s="11"/>
      <c r="L1019" s="11"/>
      <c r="M1019" s="10"/>
      <c r="N1019" s="10"/>
      <c r="O1019" s="10"/>
      <c r="P1019" s="10"/>
      <c r="Q1019" s="11"/>
      <c r="R1019" s="11"/>
      <c r="S1019" s="88"/>
      <c r="T1019" s="88"/>
      <c r="U1019" s="88"/>
      <c r="V1019" s="88"/>
      <c r="W1019" s="88"/>
      <c r="X1019" s="88"/>
      <c r="Y1019" s="88"/>
      <c r="Z1019" s="88"/>
      <c r="AA1019" s="88"/>
      <c r="AB1019" s="88"/>
      <c r="AC1019" s="88"/>
      <c r="AD1019" s="88"/>
      <c r="AE1019" s="88"/>
      <c r="AF1019" s="88"/>
      <c r="AG1019" s="11" t="s">
        <v>745</v>
      </c>
      <c r="AH1019" s="142">
        <v>2.5</v>
      </c>
      <c r="AI1019" s="88" t="s">
        <v>727</v>
      </c>
      <c r="AJ1019" s="11">
        <f t="shared" si="70"/>
        <v>33.75</v>
      </c>
    </row>
    <row r="1020" spans="1:36" x14ac:dyDescent="0.2">
      <c r="A1020" s="10"/>
      <c r="B1020" s="106"/>
      <c r="C1020" s="208" t="s">
        <v>851</v>
      </c>
      <c r="D1020" s="11">
        <v>116.3</v>
      </c>
      <c r="E1020" s="11"/>
      <c r="F1020" s="11"/>
      <c r="G1020" s="11"/>
      <c r="H1020" s="11"/>
      <c r="I1020" s="11"/>
      <c r="J1020" s="11"/>
      <c r="K1020" s="11"/>
      <c r="L1020" s="11"/>
      <c r="M1020" s="10"/>
      <c r="N1020" s="10"/>
      <c r="O1020" s="10"/>
      <c r="P1020" s="10"/>
      <c r="Q1020" s="11"/>
      <c r="R1020" s="11"/>
      <c r="S1020" s="88"/>
      <c r="T1020" s="88"/>
      <c r="U1020" s="88"/>
      <c r="V1020" s="88"/>
      <c r="W1020" s="88"/>
      <c r="X1020" s="88"/>
      <c r="Y1020" s="88"/>
      <c r="Z1020" s="88"/>
      <c r="AA1020" s="88"/>
      <c r="AB1020" s="88"/>
      <c r="AC1020" s="88"/>
      <c r="AD1020" s="88"/>
      <c r="AE1020" s="88"/>
      <c r="AF1020" s="88"/>
      <c r="AG1020" s="11" t="s">
        <v>745</v>
      </c>
      <c r="AH1020" s="142">
        <v>1.3</v>
      </c>
      <c r="AI1020" s="88" t="s">
        <v>727</v>
      </c>
      <c r="AJ1020" s="11">
        <f t="shared" si="70"/>
        <v>151.19</v>
      </c>
    </row>
    <row r="1021" spans="1:36" x14ac:dyDescent="0.2">
      <c r="A1021" s="10"/>
      <c r="B1021" s="106"/>
      <c r="C1021" s="130"/>
      <c r="D1021" s="287" t="s">
        <v>878</v>
      </c>
      <c r="E1021" s="287"/>
      <c r="F1021" s="287"/>
      <c r="G1021" s="287"/>
      <c r="H1021" s="287"/>
      <c r="I1021" s="287"/>
      <c r="J1021" s="287"/>
      <c r="K1021" s="287"/>
      <c r="L1021" s="287"/>
      <c r="M1021" s="287"/>
      <c r="N1021" s="287"/>
      <c r="O1021" s="287"/>
      <c r="P1021" s="287"/>
      <c r="Q1021" s="287"/>
      <c r="R1021" s="287"/>
      <c r="S1021" s="287"/>
      <c r="T1021" s="287"/>
      <c r="U1021" s="287"/>
      <c r="V1021" s="287"/>
      <c r="W1021" s="287"/>
      <c r="X1021" s="287"/>
      <c r="Y1021" s="287"/>
      <c r="Z1021" s="287"/>
      <c r="AA1021" s="287"/>
      <c r="AB1021" s="287"/>
      <c r="AC1021" s="287"/>
      <c r="AD1021" s="287"/>
      <c r="AE1021" s="287"/>
      <c r="AF1021" s="287"/>
      <c r="AG1021" s="287"/>
      <c r="AH1021" s="287"/>
      <c r="AI1021" s="287"/>
      <c r="AJ1021" s="92">
        <f>SUM(AJ1015:AJ1020)</f>
        <v>412.59</v>
      </c>
    </row>
    <row r="1022" spans="1:36" x14ac:dyDescent="0.2">
      <c r="A1022" s="10"/>
      <c r="B1022" s="106"/>
      <c r="C1022" s="130"/>
      <c r="D1022" s="290" t="s">
        <v>857</v>
      </c>
      <c r="E1022" s="290"/>
      <c r="F1022" s="290"/>
      <c r="G1022" s="290"/>
      <c r="H1022" s="290"/>
      <c r="I1022" s="290"/>
      <c r="J1022" s="290"/>
      <c r="K1022" s="290"/>
      <c r="L1022" s="290"/>
      <c r="M1022" s="290"/>
      <c r="N1022" s="290"/>
      <c r="O1022" s="290"/>
      <c r="P1022" s="290"/>
      <c r="Q1022" s="290"/>
      <c r="R1022" s="290"/>
      <c r="S1022" s="290"/>
      <c r="T1022" s="290"/>
      <c r="U1022" s="290"/>
      <c r="V1022" s="290"/>
      <c r="W1022" s="290"/>
      <c r="X1022" s="290"/>
      <c r="Y1022" s="290"/>
      <c r="Z1022" s="290"/>
      <c r="AA1022" s="290"/>
      <c r="AB1022" s="290"/>
      <c r="AC1022" s="290"/>
      <c r="AD1022" s="290"/>
      <c r="AE1022" s="290"/>
      <c r="AF1022" s="290"/>
      <c r="AG1022" s="290"/>
      <c r="AH1022" s="290"/>
      <c r="AI1022" s="290"/>
      <c r="AJ1022" s="290"/>
    </row>
    <row r="1023" spans="1:36" x14ac:dyDescent="0.2">
      <c r="A1023" s="10"/>
      <c r="B1023" s="106"/>
      <c r="C1023" s="98" t="s">
        <v>852</v>
      </c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1"/>
      <c r="AI1023" s="142"/>
      <c r="AJ1023" s="11"/>
    </row>
    <row r="1024" spans="1:36" x14ac:dyDescent="0.2">
      <c r="A1024" s="10"/>
      <c r="B1024" s="106"/>
      <c r="C1024" s="130"/>
      <c r="D1024" s="11">
        <v>0.6</v>
      </c>
      <c r="E1024" s="11" t="s">
        <v>748</v>
      </c>
      <c r="F1024" s="11">
        <v>0.6</v>
      </c>
      <c r="G1024" s="11"/>
      <c r="H1024" s="11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1" t="s">
        <v>745</v>
      </c>
      <c r="AH1024" s="142">
        <v>4</v>
      </c>
      <c r="AI1024" s="88" t="s">
        <v>727</v>
      </c>
      <c r="AJ1024" s="11">
        <f>SUM(D1024*F1024)*AH1024</f>
        <v>1.44</v>
      </c>
    </row>
    <row r="1025" spans="1:36" x14ac:dyDescent="0.2">
      <c r="A1025" s="10"/>
      <c r="B1025" s="106"/>
      <c r="C1025" s="98" t="s">
        <v>853</v>
      </c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1"/>
      <c r="AI1025" s="142"/>
      <c r="AJ1025" s="11"/>
    </row>
    <row r="1026" spans="1:36" x14ac:dyDescent="0.2">
      <c r="A1026" s="10"/>
      <c r="B1026" s="106"/>
      <c r="C1026" s="208" t="s">
        <v>749</v>
      </c>
      <c r="D1026" s="11">
        <v>0.6</v>
      </c>
      <c r="E1026" s="11" t="s">
        <v>748</v>
      </c>
      <c r="F1026" s="11">
        <v>0.6</v>
      </c>
      <c r="G1026" s="11"/>
      <c r="H1026" s="11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1" t="s">
        <v>745</v>
      </c>
      <c r="AH1026" s="142">
        <v>17</v>
      </c>
      <c r="AI1026" s="88" t="s">
        <v>727</v>
      </c>
      <c r="AJ1026" s="11">
        <f>SUM(D1026*F1026)*AH1026</f>
        <v>6.12</v>
      </c>
    </row>
    <row r="1027" spans="1:36" x14ac:dyDescent="0.2">
      <c r="A1027" s="10"/>
      <c r="B1027" s="106"/>
      <c r="C1027" s="208" t="s">
        <v>750</v>
      </c>
      <c r="D1027" s="11">
        <v>0.6</v>
      </c>
      <c r="E1027" s="11" t="s">
        <v>748</v>
      </c>
      <c r="F1027" s="11">
        <v>0.9</v>
      </c>
      <c r="G1027" s="11"/>
      <c r="H1027" s="11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1" t="s">
        <v>745</v>
      </c>
      <c r="AH1027" s="142">
        <v>1</v>
      </c>
      <c r="AI1027" s="88" t="s">
        <v>727</v>
      </c>
      <c r="AJ1027" s="11">
        <f>SUM(D1027*F1027)*AH1027</f>
        <v>0.54</v>
      </c>
    </row>
    <row r="1028" spans="1:36" x14ac:dyDescent="0.2">
      <c r="A1028" s="10"/>
      <c r="B1028" s="106"/>
      <c r="C1028" s="208" t="s">
        <v>751</v>
      </c>
      <c r="D1028" s="95">
        <v>1.2</v>
      </c>
      <c r="E1028" s="95" t="s">
        <v>748</v>
      </c>
      <c r="F1028" s="95">
        <v>1.2</v>
      </c>
      <c r="G1028" s="95"/>
      <c r="H1028" s="95"/>
      <c r="I1028" s="93"/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3"/>
      <c r="AE1028" s="93"/>
      <c r="AF1028" s="93"/>
      <c r="AG1028" s="96" t="s">
        <v>745</v>
      </c>
      <c r="AH1028" s="143">
        <v>6</v>
      </c>
      <c r="AI1028" s="88" t="s">
        <v>727</v>
      </c>
      <c r="AJ1028" s="11">
        <f>SUM(D1028*F1028)*AH1028</f>
        <v>8.64</v>
      </c>
    </row>
    <row r="1029" spans="1:36" x14ac:dyDescent="0.2">
      <c r="A1029" s="10"/>
      <c r="B1029" s="106"/>
      <c r="C1029" s="208" t="s">
        <v>752</v>
      </c>
      <c r="D1029" s="11">
        <v>1.8</v>
      </c>
      <c r="E1029" s="11" t="s">
        <v>748</v>
      </c>
      <c r="F1029" s="11">
        <v>1.2</v>
      </c>
      <c r="G1029" s="11"/>
      <c r="H1029" s="11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8" t="s">
        <v>745</v>
      </c>
      <c r="AH1029" s="89">
        <v>0</v>
      </c>
      <c r="AI1029" s="88" t="s">
        <v>727</v>
      </c>
      <c r="AJ1029" s="11">
        <f>SUM(D1029*F1029)*AH1029</f>
        <v>0</v>
      </c>
    </row>
    <row r="1030" spans="1:36" x14ac:dyDescent="0.2">
      <c r="A1030" s="10"/>
      <c r="B1030" s="106"/>
      <c r="C1030" s="208" t="s">
        <v>753</v>
      </c>
      <c r="D1030" s="11">
        <v>1.8</v>
      </c>
      <c r="E1030" s="11" t="s">
        <v>748</v>
      </c>
      <c r="F1030" s="11">
        <v>1.6</v>
      </c>
      <c r="G1030" s="11"/>
      <c r="H1030" s="11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8" t="s">
        <v>745</v>
      </c>
      <c r="AH1030" s="89">
        <v>6</v>
      </c>
      <c r="AI1030" s="88" t="s">
        <v>727</v>
      </c>
      <c r="AJ1030" s="11">
        <f>SUM(D1030*F1030)*AH1030</f>
        <v>17.28</v>
      </c>
    </row>
    <row r="1031" spans="1:36" x14ac:dyDescent="0.2">
      <c r="A1031" s="10"/>
      <c r="B1031" s="106"/>
      <c r="C1031" s="54"/>
      <c r="D1031" s="316" t="s">
        <v>830</v>
      </c>
      <c r="E1031" s="317"/>
      <c r="F1031" s="317"/>
      <c r="G1031" s="317"/>
      <c r="H1031" s="317"/>
      <c r="I1031" s="317"/>
      <c r="J1031" s="317"/>
      <c r="K1031" s="317"/>
      <c r="L1031" s="317"/>
      <c r="M1031" s="317"/>
      <c r="N1031" s="317"/>
      <c r="O1031" s="317"/>
      <c r="P1031" s="317"/>
      <c r="Q1031" s="317"/>
      <c r="R1031" s="317"/>
      <c r="S1031" s="317"/>
      <c r="T1031" s="317"/>
      <c r="U1031" s="317"/>
      <c r="V1031" s="317"/>
      <c r="W1031" s="317"/>
      <c r="X1031" s="317"/>
      <c r="Y1031" s="317"/>
      <c r="Z1031" s="317"/>
      <c r="AA1031" s="317"/>
      <c r="AB1031" s="317"/>
      <c r="AC1031" s="317"/>
      <c r="AD1031" s="317"/>
      <c r="AE1031" s="317"/>
      <c r="AF1031" s="317"/>
      <c r="AG1031" s="317"/>
      <c r="AH1031" s="317"/>
      <c r="AI1031" s="318"/>
      <c r="AJ1031" s="92">
        <f>SUM(AJ1024:AJ1030)</f>
        <v>34.020000000000003</v>
      </c>
    </row>
    <row r="1032" spans="1:36" x14ac:dyDescent="0.2">
      <c r="A1032" s="10"/>
      <c r="B1032" s="106"/>
      <c r="C1032" s="54"/>
      <c r="D1032" s="316" t="s">
        <v>879</v>
      </c>
      <c r="E1032" s="317"/>
      <c r="F1032" s="317"/>
      <c r="G1032" s="317"/>
      <c r="H1032" s="317"/>
      <c r="I1032" s="317"/>
      <c r="J1032" s="317"/>
      <c r="K1032" s="317"/>
      <c r="L1032" s="317"/>
      <c r="M1032" s="317"/>
      <c r="N1032" s="317"/>
      <c r="O1032" s="317"/>
      <c r="P1032" s="317"/>
      <c r="Q1032" s="317"/>
      <c r="R1032" s="317"/>
      <c r="S1032" s="317"/>
      <c r="T1032" s="317"/>
      <c r="U1032" s="317"/>
      <c r="V1032" s="317"/>
      <c r="W1032" s="317"/>
      <c r="X1032" s="317"/>
      <c r="Y1032" s="317"/>
      <c r="Z1032" s="317"/>
      <c r="AA1032" s="317"/>
      <c r="AB1032" s="317"/>
      <c r="AC1032" s="317"/>
      <c r="AD1032" s="317"/>
      <c r="AE1032" s="317"/>
      <c r="AF1032" s="317"/>
      <c r="AG1032" s="317"/>
      <c r="AH1032" s="317"/>
      <c r="AI1032" s="318"/>
      <c r="AJ1032" s="92">
        <f>AJ1021-AJ1031</f>
        <v>378.57</v>
      </c>
    </row>
    <row r="1033" spans="1:36" x14ac:dyDescent="0.2">
      <c r="A1033" s="10"/>
      <c r="B1033" s="106"/>
      <c r="C1033" s="107"/>
      <c r="D1033" s="323" t="s">
        <v>880</v>
      </c>
      <c r="E1033" s="323"/>
      <c r="F1033" s="323"/>
      <c r="G1033" s="323"/>
      <c r="H1033" s="323"/>
      <c r="I1033" s="323"/>
      <c r="J1033" s="323"/>
      <c r="K1033" s="323"/>
      <c r="L1033" s="323"/>
      <c r="M1033" s="323"/>
      <c r="N1033" s="323"/>
      <c r="O1033" s="323"/>
      <c r="P1033" s="323"/>
      <c r="Q1033" s="323"/>
      <c r="R1033" s="323"/>
      <c r="S1033" s="323"/>
      <c r="T1033" s="323"/>
      <c r="U1033" s="323"/>
      <c r="V1033" s="323"/>
      <c r="W1033" s="323"/>
      <c r="X1033" s="323"/>
      <c r="Y1033" s="323"/>
      <c r="Z1033" s="323"/>
      <c r="AA1033" s="323"/>
      <c r="AB1033" s="323"/>
      <c r="AC1033" s="323"/>
      <c r="AD1033" s="323"/>
      <c r="AE1033" s="323"/>
      <c r="AF1033" s="323"/>
      <c r="AG1033" s="323"/>
      <c r="AH1033" s="323"/>
      <c r="AI1033" s="323"/>
      <c r="AJ1033" s="327"/>
    </row>
    <row r="1034" spans="1:36" x14ac:dyDescent="0.2">
      <c r="A1034" s="10"/>
      <c r="B1034" s="106"/>
      <c r="C1034" s="46" t="s">
        <v>869</v>
      </c>
      <c r="D1034" s="11">
        <v>20</v>
      </c>
      <c r="E1034" s="11" t="s">
        <v>748</v>
      </c>
      <c r="F1034" s="11">
        <v>2</v>
      </c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1" t="s">
        <v>748</v>
      </c>
      <c r="AH1034" s="239">
        <v>1</v>
      </c>
      <c r="AI1034" s="88" t="s">
        <v>727</v>
      </c>
      <c r="AJ1034" s="11">
        <f t="shared" ref="AJ1034:AJ1039" si="71">(D1034*F1034)*AH1034</f>
        <v>40</v>
      </c>
    </row>
    <row r="1035" spans="1:36" x14ac:dyDescent="0.2">
      <c r="A1035" s="10"/>
      <c r="B1035" s="106"/>
      <c r="C1035" s="46" t="s">
        <v>870</v>
      </c>
      <c r="D1035" s="11">
        <v>20</v>
      </c>
      <c r="E1035" s="11" t="s">
        <v>748</v>
      </c>
      <c r="F1035" s="11">
        <v>2</v>
      </c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1" t="s">
        <v>748</v>
      </c>
      <c r="AH1035" s="239">
        <v>2</v>
      </c>
      <c r="AI1035" s="88" t="s">
        <v>727</v>
      </c>
      <c r="AJ1035" s="11">
        <f t="shared" si="71"/>
        <v>80</v>
      </c>
    </row>
    <row r="1036" spans="1:36" x14ac:dyDescent="0.2">
      <c r="A1036" s="10"/>
      <c r="B1036" s="106"/>
      <c r="C1036" s="46" t="s">
        <v>871</v>
      </c>
      <c r="D1036" s="11">
        <v>39.700000000000003</v>
      </c>
      <c r="E1036" s="11" t="s">
        <v>748</v>
      </c>
      <c r="F1036" s="11">
        <v>2</v>
      </c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1" t="s">
        <v>748</v>
      </c>
      <c r="AH1036" s="239">
        <v>1</v>
      </c>
      <c r="AI1036" s="88" t="s">
        <v>727</v>
      </c>
      <c r="AJ1036" s="11">
        <f t="shared" si="71"/>
        <v>79.400000000000006</v>
      </c>
    </row>
    <row r="1037" spans="1:36" x14ac:dyDescent="0.2">
      <c r="A1037" s="10"/>
      <c r="B1037" s="106"/>
      <c r="C1037" s="46" t="s">
        <v>903</v>
      </c>
      <c r="D1037" s="11">
        <v>1.86</v>
      </c>
      <c r="E1037" s="11" t="s">
        <v>764</v>
      </c>
      <c r="F1037" s="11">
        <v>3.3</v>
      </c>
      <c r="G1037" s="11" t="s">
        <v>764</v>
      </c>
      <c r="H1037" s="11">
        <v>3.84</v>
      </c>
      <c r="I1037" s="11" t="s">
        <v>764</v>
      </c>
      <c r="J1037" s="11">
        <v>8.33</v>
      </c>
      <c r="K1037" s="11"/>
      <c r="L1037" s="11"/>
      <c r="M1037" s="10"/>
      <c r="N1037" s="10"/>
      <c r="O1037" s="10"/>
      <c r="P1037" s="5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 t="s">
        <v>745</v>
      </c>
      <c r="AH1037" s="141">
        <v>2</v>
      </c>
      <c r="AI1037" s="88" t="s">
        <v>727</v>
      </c>
      <c r="AJ1037" s="11">
        <f t="shared" si="71"/>
        <v>12.276</v>
      </c>
    </row>
    <row r="1038" spans="1:36" x14ac:dyDescent="0.2">
      <c r="A1038" s="10"/>
      <c r="B1038" s="106"/>
      <c r="C1038" s="46" t="s">
        <v>903</v>
      </c>
      <c r="D1038" s="11">
        <v>2.2000000000000002</v>
      </c>
      <c r="E1038" s="11" t="s">
        <v>764</v>
      </c>
      <c r="F1038" s="11">
        <v>12.43</v>
      </c>
      <c r="G1038" s="11" t="s">
        <v>764</v>
      </c>
      <c r="H1038" s="11">
        <v>5.25</v>
      </c>
      <c r="I1038" s="11"/>
      <c r="J1038" s="11"/>
      <c r="K1038" s="11"/>
      <c r="L1038" s="11"/>
      <c r="M1038" s="10"/>
      <c r="N1038" s="10"/>
      <c r="O1038" s="10"/>
      <c r="P1038" s="5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 t="s">
        <v>745</v>
      </c>
      <c r="AH1038" s="141">
        <v>0.6</v>
      </c>
      <c r="AI1038" s="88" t="s">
        <v>727</v>
      </c>
      <c r="AJ1038" s="11">
        <f t="shared" si="71"/>
        <v>16.407599999999999</v>
      </c>
    </row>
    <row r="1039" spans="1:36" x14ac:dyDescent="0.2">
      <c r="A1039" s="10"/>
      <c r="B1039" s="106"/>
      <c r="C1039" s="46" t="s">
        <v>904</v>
      </c>
      <c r="D1039" s="11">
        <v>1.1000000000000001</v>
      </c>
      <c r="E1039" s="11" t="s">
        <v>764</v>
      </c>
      <c r="F1039" s="11">
        <v>1.1000000000000001</v>
      </c>
      <c r="G1039" s="11"/>
      <c r="H1039" s="11"/>
      <c r="I1039" s="11"/>
      <c r="J1039" s="11"/>
      <c r="K1039" s="11"/>
      <c r="L1039" s="11"/>
      <c r="M1039" s="10"/>
      <c r="N1039" s="10"/>
      <c r="O1039" s="10"/>
      <c r="P1039" s="5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 t="s">
        <v>745</v>
      </c>
      <c r="AH1039" s="141">
        <v>2</v>
      </c>
      <c r="AI1039" s="88" t="s">
        <v>727</v>
      </c>
      <c r="AJ1039" s="11">
        <f t="shared" si="71"/>
        <v>2.4200000000000004</v>
      </c>
    </row>
    <row r="1040" spans="1:36" x14ac:dyDescent="0.2">
      <c r="A1040" s="10"/>
      <c r="B1040" s="106"/>
      <c r="C1040" s="108"/>
      <c r="D1040" s="310" t="s">
        <v>812</v>
      </c>
      <c r="E1040" s="311"/>
      <c r="F1040" s="311"/>
      <c r="G1040" s="311"/>
      <c r="H1040" s="311"/>
      <c r="I1040" s="311"/>
      <c r="J1040" s="311"/>
      <c r="K1040" s="311"/>
      <c r="L1040" s="311"/>
      <c r="M1040" s="311"/>
      <c r="N1040" s="311"/>
      <c r="O1040" s="311"/>
      <c r="P1040" s="311"/>
      <c r="Q1040" s="311"/>
      <c r="R1040" s="311"/>
      <c r="S1040" s="311"/>
      <c r="T1040" s="311"/>
      <c r="U1040" s="311"/>
      <c r="V1040" s="311"/>
      <c r="W1040" s="311"/>
      <c r="X1040" s="311"/>
      <c r="Y1040" s="311"/>
      <c r="Z1040" s="311"/>
      <c r="AA1040" s="311"/>
      <c r="AB1040" s="311"/>
      <c r="AC1040" s="311"/>
      <c r="AD1040" s="311"/>
      <c r="AE1040" s="311"/>
      <c r="AF1040" s="311"/>
      <c r="AG1040" s="311"/>
      <c r="AH1040" s="311"/>
      <c r="AI1040" s="312"/>
      <c r="AJ1040" s="92">
        <f>SUM(AJ1034:AJ1039)</f>
        <v>230.50360000000001</v>
      </c>
    </row>
    <row r="1041" spans="1:36" x14ac:dyDescent="0.2">
      <c r="A1041" s="10"/>
      <c r="B1041" s="106"/>
      <c r="C1041" s="54"/>
      <c r="D1041" s="319" t="s">
        <v>881</v>
      </c>
      <c r="E1041" s="320"/>
      <c r="F1041" s="320"/>
      <c r="G1041" s="320"/>
      <c r="H1041" s="320"/>
      <c r="I1041" s="320"/>
      <c r="J1041" s="320"/>
      <c r="K1041" s="320"/>
      <c r="L1041" s="320"/>
      <c r="M1041" s="320"/>
      <c r="N1041" s="320"/>
      <c r="O1041" s="320"/>
      <c r="P1041" s="320"/>
      <c r="Q1041" s="320"/>
      <c r="R1041" s="320"/>
      <c r="S1041" s="320"/>
      <c r="T1041" s="320"/>
      <c r="U1041" s="320"/>
      <c r="V1041" s="320"/>
      <c r="W1041" s="320"/>
      <c r="X1041" s="320"/>
      <c r="Y1041" s="320"/>
      <c r="Z1041" s="320"/>
      <c r="AA1041" s="320"/>
      <c r="AB1041" s="320"/>
      <c r="AC1041" s="320"/>
      <c r="AD1041" s="320"/>
      <c r="AE1041" s="320"/>
      <c r="AF1041" s="320"/>
      <c r="AG1041" s="320"/>
      <c r="AH1041" s="320"/>
      <c r="AI1041" s="320"/>
      <c r="AJ1041" s="321"/>
    </row>
    <row r="1042" spans="1:36" x14ac:dyDescent="0.2">
      <c r="A1042" s="10"/>
      <c r="B1042" s="106"/>
      <c r="C1042" s="207" t="s">
        <v>763</v>
      </c>
      <c r="D1042" s="11">
        <v>3</v>
      </c>
      <c r="E1042" s="11" t="s">
        <v>764</v>
      </c>
      <c r="F1042" s="11">
        <v>3</v>
      </c>
      <c r="G1042" s="11" t="s">
        <v>764</v>
      </c>
      <c r="H1042" s="11">
        <v>2.23</v>
      </c>
      <c r="I1042" s="11" t="s">
        <v>764</v>
      </c>
      <c r="J1042" s="11">
        <v>2.23</v>
      </c>
      <c r="K1042" s="11"/>
      <c r="L1042" s="11"/>
      <c r="M1042" s="11"/>
      <c r="N1042" s="11"/>
      <c r="O1042" s="7"/>
      <c r="P1042" s="7"/>
      <c r="Q1042" s="7"/>
      <c r="R1042" s="7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 t="s">
        <v>748</v>
      </c>
      <c r="AH1042" s="142">
        <v>0.8</v>
      </c>
      <c r="AI1042" s="88" t="s">
        <v>727</v>
      </c>
      <c r="AJ1042" s="11">
        <f t="shared" ref="AJ1042:AJ1059" si="72">(D1042+F1042+H1042+J1042+L1042+N1042)*AH1042</f>
        <v>8.3680000000000003</v>
      </c>
    </row>
    <row r="1043" spans="1:36" x14ac:dyDescent="0.2">
      <c r="A1043" s="10"/>
      <c r="B1043" s="106"/>
      <c r="C1043" s="207" t="s">
        <v>765</v>
      </c>
      <c r="D1043" s="11">
        <v>2.8</v>
      </c>
      <c r="E1043" s="11" t="s">
        <v>764</v>
      </c>
      <c r="F1043" s="11">
        <v>2.8</v>
      </c>
      <c r="G1043" s="11" t="s">
        <v>764</v>
      </c>
      <c r="H1043" s="11">
        <v>2.23</v>
      </c>
      <c r="I1043" s="11" t="s">
        <v>764</v>
      </c>
      <c r="J1043" s="11">
        <v>2.23</v>
      </c>
      <c r="K1043" s="11"/>
      <c r="L1043" s="11"/>
      <c r="M1043" s="11"/>
      <c r="N1043" s="11"/>
      <c r="O1043" s="7"/>
      <c r="P1043" s="7"/>
      <c r="Q1043" s="7"/>
      <c r="R1043" s="7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 t="s">
        <v>748</v>
      </c>
      <c r="AH1043" s="142">
        <v>0.8</v>
      </c>
      <c r="AI1043" s="88" t="s">
        <v>727</v>
      </c>
      <c r="AJ1043" s="11">
        <f t="shared" si="72"/>
        <v>8.048</v>
      </c>
    </row>
    <row r="1044" spans="1:36" x14ac:dyDescent="0.2">
      <c r="A1044" s="10"/>
      <c r="B1044" s="106"/>
      <c r="C1044" s="208" t="s">
        <v>766</v>
      </c>
      <c r="D1044" s="11">
        <v>3.9</v>
      </c>
      <c r="E1044" s="11" t="s">
        <v>764</v>
      </c>
      <c r="F1044" s="11">
        <v>3.9</v>
      </c>
      <c r="G1044" s="11" t="s">
        <v>764</v>
      </c>
      <c r="H1044" s="11">
        <v>2.0699999999999998</v>
      </c>
      <c r="I1044" s="11" t="s">
        <v>764</v>
      </c>
      <c r="J1044" s="11">
        <v>2.0699999999999998</v>
      </c>
      <c r="K1044" s="11"/>
      <c r="L1044" s="11"/>
      <c r="M1044" s="11"/>
      <c r="N1044" s="11"/>
      <c r="O1044" s="7"/>
      <c r="P1044" s="7"/>
      <c r="Q1044" s="7"/>
      <c r="R1044" s="7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 t="s">
        <v>748</v>
      </c>
      <c r="AH1044" s="142">
        <v>1.4</v>
      </c>
      <c r="AI1044" s="88" t="s">
        <v>727</v>
      </c>
      <c r="AJ1044" s="11">
        <f t="shared" si="72"/>
        <v>16.715999999999998</v>
      </c>
    </row>
    <row r="1045" spans="1:36" x14ac:dyDescent="0.2">
      <c r="A1045" s="10"/>
      <c r="B1045" s="106"/>
      <c r="C1045" s="208" t="s">
        <v>767</v>
      </c>
      <c r="D1045" s="11">
        <v>6.75</v>
      </c>
      <c r="E1045" s="11" t="s">
        <v>764</v>
      </c>
      <c r="F1045" s="11">
        <v>6.75</v>
      </c>
      <c r="G1045" s="11"/>
      <c r="H1045" s="11"/>
      <c r="I1045" s="11"/>
      <c r="J1045" s="11"/>
      <c r="K1045" s="11"/>
      <c r="L1045" s="11"/>
      <c r="M1045" s="11"/>
      <c r="N1045" s="216"/>
      <c r="O1045" s="7"/>
      <c r="P1045" s="7"/>
      <c r="Q1045" s="7"/>
      <c r="R1045" s="7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 t="s">
        <v>748</v>
      </c>
      <c r="AH1045" s="142">
        <v>2.2000000000000002</v>
      </c>
      <c r="AI1045" s="88" t="s">
        <v>727</v>
      </c>
      <c r="AJ1045" s="11">
        <f t="shared" si="72"/>
        <v>29.700000000000003</v>
      </c>
    </row>
    <row r="1046" spans="1:36" x14ac:dyDescent="0.2">
      <c r="A1046" s="10"/>
      <c r="B1046" s="106"/>
      <c r="C1046" s="208" t="s">
        <v>768</v>
      </c>
      <c r="D1046" s="11">
        <v>2.25</v>
      </c>
      <c r="E1046" s="11" t="s">
        <v>764</v>
      </c>
      <c r="F1046" s="11">
        <v>2.25</v>
      </c>
      <c r="G1046" s="11" t="s">
        <v>764</v>
      </c>
      <c r="H1046" s="11">
        <v>1.95</v>
      </c>
      <c r="I1046" s="11" t="s">
        <v>764</v>
      </c>
      <c r="J1046" s="11">
        <v>1.95</v>
      </c>
      <c r="K1046" s="11"/>
      <c r="L1046" s="11"/>
      <c r="M1046" s="11"/>
      <c r="N1046" s="11"/>
      <c r="O1046" s="7"/>
      <c r="P1046" s="7"/>
      <c r="Q1046" s="7"/>
      <c r="R1046" s="7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 t="s">
        <v>748</v>
      </c>
      <c r="AH1046" s="142">
        <v>0.8</v>
      </c>
      <c r="AI1046" s="88" t="s">
        <v>727</v>
      </c>
      <c r="AJ1046" s="11">
        <f t="shared" si="72"/>
        <v>6.7200000000000006</v>
      </c>
    </row>
    <row r="1047" spans="1:36" x14ac:dyDescent="0.2">
      <c r="A1047" s="10"/>
      <c r="B1047" s="106"/>
      <c r="C1047" s="208" t="s">
        <v>769</v>
      </c>
      <c r="D1047" s="11">
        <v>2.25</v>
      </c>
      <c r="E1047" s="11" t="s">
        <v>764</v>
      </c>
      <c r="F1047" s="11">
        <v>2.25</v>
      </c>
      <c r="G1047" s="11" t="s">
        <v>764</v>
      </c>
      <c r="H1047" s="11">
        <v>1.95</v>
      </c>
      <c r="I1047" s="11" t="s">
        <v>764</v>
      </c>
      <c r="J1047" s="11">
        <v>1.95</v>
      </c>
      <c r="K1047" s="11"/>
      <c r="L1047" s="11"/>
      <c r="M1047" s="11"/>
      <c r="N1047" s="11"/>
      <c r="O1047" s="7"/>
      <c r="P1047" s="7"/>
      <c r="Q1047" s="7"/>
      <c r="R1047" s="7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 t="s">
        <v>748</v>
      </c>
      <c r="AH1047" s="142">
        <v>0.8</v>
      </c>
      <c r="AI1047" s="88" t="s">
        <v>727</v>
      </c>
      <c r="AJ1047" s="11">
        <f t="shared" si="72"/>
        <v>6.7200000000000006</v>
      </c>
    </row>
    <row r="1048" spans="1:36" x14ac:dyDescent="0.2">
      <c r="A1048" s="10"/>
      <c r="B1048" s="106"/>
      <c r="C1048" s="208" t="s">
        <v>770</v>
      </c>
      <c r="D1048" s="11">
        <v>4.05</v>
      </c>
      <c r="E1048" s="11" t="s">
        <v>764</v>
      </c>
      <c r="F1048" s="11">
        <v>4.05</v>
      </c>
      <c r="G1048" s="11" t="s">
        <v>764</v>
      </c>
      <c r="H1048" s="11">
        <v>4.05</v>
      </c>
      <c r="I1048" s="11" t="s">
        <v>764</v>
      </c>
      <c r="J1048" s="11">
        <v>4.05</v>
      </c>
      <c r="K1048" s="11"/>
      <c r="L1048" s="11"/>
      <c r="M1048" s="11"/>
      <c r="N1048" s="11"/>
      <c r="O1048" s="7"/>
      <c r="P1048" s="7"/>
      <c r="Q1048" s="7"/>
      <c r="R1048" s="7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 t="s">
        <v>748</v>
      </c>
      <c r="AH1048" s="142">
        <v>1.4</v>
      </c>
      <c r="AI1048" s="88" t="s">
        <v>727</v>
      </c>
      <c r="AJ1048" s="11">
        <f t="shared" si="72"/>
        <v>22.679999999999996</v>
      </c>
    </row>
    <row r="1049" spans="1:36" x14ac:dyDescent="0.2">
      <c r="A1049" s="10"/>
      <c r="B1049" s="106"/>
      <c r="C1049" s="208" t="s">
        <v>771</v>
      </c>
      <c r="D1049" s="11">
        <v>5.25</v>
      </c>
      <c r="E1049" s="11" t="s">
        <v>764</v>
      </c>
      <c r="F1049" s="11">
        <v>10.75</v>
      </c>
      <c r="G1049" s="11" t="s">
        <v>764</v>
      </c>
      <c r="H1049" s="11">
        <v>2.5499999999999998</v>
      </c>
      <c r="I1049" s="11" t="s">
        <v>764</v>
      </c>
      <c r="J1049" s="11">
        <v>6.1</v>
      </c>
      <c r="K1049" s="11"/>
      <c r="L1049" s="11"/>
      <c r="M1049" s="11"/>
      <c r="N1049" s="11"/>
      <c r="O1049" s="7"/>
      <c r="P1049" s="7"/>
      <c r="Q1049" s="7"/>
      <c r="R1049" s="7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 t="s">
        <v>748</v>
      </c>
      <c r="AH1049" s="142">
        <v>2.2000000000000002</v>
      </c>
      <c r="AI1049" s="88" t="s">
        <v>727</v>
      </c>
      <c r="AJ1049" s="11">
        <f t="shared" si="72"/>
        <v>54.230000000000004</v>
      </c>
    </row>
    <row r="1050" spans="1:36" x14ac:dyDescent="0.2">
      <c r="A1050" s="10"/>
      <c r="B1050" s="106"/>
      <c r="C1050" s="208" t="s">
        <v>772</v>
      </c>
      <c r="D1050" s="11">
        <v>4.6500000000000004</v>
      </c>
      <c r="E1050" s="11" t="s">
        <v>764</v>
      </c>
      <c r="F1050" s="11">
        <v>4.6500000000000004</v>
      </c>
      <c r="G1050" s="11" t="s">
        <v>764</v>
      </c>
      <c r="H1050" s="11">
        <v>3.45</v>
      </c>
      <c r="I1050" s="11" t="s">
        <v>764</v>
      </c>
      <c r="J1050" s="11">
        <v>3.45</v>
      </c>
      <c r="K1050" s="11"/>
      <c r="L1050" s="11"/>
      <c r="M1050" s="11"/>
      <c r="N1050" s="11"/>
      <c r="O1050" s="7"/>
      <c r="P1050" s="7"/>
      <c r="Q1050" s="7"/>
      <c r="R1050" s="7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 t="s">
        <v>748</v>
      </c>
      <c r="AH1050" s="142">
        <v>1.4</v>
      </c>
      <c r="AI1050" s="88" t="s">
        <v>727</v>
      </c>
      <c r="AJ1050" s="11">
        <f t="shared" si="72"/>
        <v>22.679999999999996</v>
      </c>
    </row>
    <row r="1051" spans="1:36" x14ac:dyDescent="0.2">
      <c r="A1051" s="10"/>
      <c r="B1051" s="106"/>
      <c r="C1051" s="208" t="s">
        <v>774</v>
      </c>
      <c r="D1051" s="11">
        <v>3.42</v>
      </c>
      <c r="E1051" s="11" t="s">
        <v>764</v>
      </c>
      <c r="F1051" s="88">
        <v>3.42</v>
      </c>
      <c r="G1051" s="11" t="s">
        <v>764</v>
      </c>
      <c r="H1051" s="11">
        <v>2.2400000000000002</v>
      </c>
      <c r="I1051" s="11" t="s">
        <v>764</v>
      </c>
      <c r="J1051" s="11">
        <v>2.2400000000000002</v>
      </c>
      <c r="K1051" s="11"/>
      <c r="L1051" s="11"/>
      <c r="M1051" s="11"/>
      <c r="N1051" s="11"/>
      <c r="O1051" s="7"/>
      <c r="P1051" s="7"/>
      <c r="Q1051" s="7"/>
      <c r="R1051" s="7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 t="s">
        <v>748</v>
      </c>
      <c r="AH1051" s="142">
        <v>1.4</v>
      </c>
      <c r="AI1051" s="88" t="s">
        <v>727</v>
      </c>
      <c r="AJ1051" s="11">
        <f t="shared" si="72"/>
        <v>15.847999999999999</v>
      </c>
    </row>
    <row r="1052" spans="1:36" x14ac:dyDescent="0.2">
      <c r="A1052" s="10"/>
      <c r="B1052" s="106"/>
      <c r="C1052" s="208" t="s">
        <v>854</v>
      </c>
      <c r="D1052" s="11">
        <v>1.53</v>
      </c>
      <c r="E1052" s="11" t="s">
        <v>764</v>
      </c>
      <c r="F1052" s="88">
        <v>3.45</v>
      </c>
      <c r="G1052" s="11" t="s">
        <v>764</v>
      </c>
      <c r="H1052" s="11">
        <v>3.45</v>
      </c>
      <c r="I1052" s="11" t="s">
        <v>764</v>
      </c>
      <c r="J1052" s="11">
        <v>1.53</v>
      </c>
      <c r="K1052" s="11"/>
      <c r="L1052" s="11"/>
      <c r="M1052" s="11"/>
      <c r="N1052" s="11"/>
      <c r="O1052" s="7"/>
      <c r="P1052" s="7"/>
      <c r="Q1052" s="7"/>
      <c r="R1052" s="7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 t="s">
        <v>748</v>
      </c>
      <c r="AH1052" s="142">
        <v>2.7</v>
      </c>
      <c r="AI1052" s="88" t="s">
        <v>727</v>
      </c>
      <c r="AJ1052" s="11">
        <f t="shared" si="72"/>
        <v>26.891999999999999</v>
      </c>
    </row>
    <row r="1053" spans="1:36" x14ac:dyDescent="0.2">
      <c r="A1053" s="10"/>
      <c r="B1053" s="106"/>
      <c r="C1053" s="208" t="s">
        <v>775</v>
      </c>
      <c r="D1053" s="11">
        <v>5.39</v>
      </c>
      <c r="E1053" s="11" t="s">
        <v>764</v>
      </c>
      <c r="F1053" s="11">
        <v>5.39</v>
      </c>
      <c r="G1053" s="11" t="s">
        <v>764</v>
      </c>
      <c r="H1053" s="11">
        <v>3.8</v>
      </c>
      <c r="I1053" s="11" t="s">
        <v>764</v>
      </c>
      <c r="J1053" s="11">
        <v>3.8</v>
      </c>
      <c r="K1053" s="11"/>
      <c r="L1053" s="11"/>
      <c r="M1053" s="11"/>
      <c r="N1053" s="11"/>
      <c r="O1053" s="7"/>
      <c r="P1053" s="7"/>
      <c r="Q1053" s="7"/>
      <c r="R1053" s="7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 t="s">
        <v>748</v>
      </c>
      <c r="AH1053" s="142">
        <v>1.4</v>
      </c>
      <c r="AI1053" s="88" t="s">
        <v>727</v>
      </c>
      <c r="AJ1053" s="11">
        <f t="shared" si="72"/>
        <v>25.731999999999996</v>
      </c>
    </row>
    <row r="1054" spans="1:36" x14ac:dyDescent="0.2">
      <c r="A1054" s="10"/>
      <c r="B1054" s="106"/>
      <c r="C1054" s="208" t="s">
        <v>776</v>
      </c>
      <c r="D1054" s="11">
        <v>4.79</v>
      </c>
      <c r="E1054" s="11" t="s">
        <v>764</v>
      </c>
      <c r="F1054" s="11">
        <v>4.79</v>
      </c>
      <c r="G1054" s="11" t="s">
        <v>764</v>
      </c>
      <c r="H1054" s="11">
        <v>1.64</v>
      </c>
      <c r="I1054" s="11" t="s">
        <v>764</v>
      </c>
      <c r="J1054" s="11">
        <v>1.64</v>
      </c>
      <c r="K1054" s="11"/>
      <c r="L1054" s="11"/>
      <c r="M1054" s="11"/>
      <c r="N1054" s="11"/>
      <c r="O1054" s="7"/>
      <c r="P1054" s="7"/>
      <c r="Q1054" s="7"/>
      <c r="R1054" s="7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 t="s">
        <v>748</v>
      </c>
      <c r="AH1054" s="142">
        <v>1.4</v>
      </c>
      <c r="AI1054" s="88" t="s">
        <v>727</v>
      </c>
      <c r="AJ1054" s="11">
        <f t="shared" si="72"/>
        <v>18.004000000000001</v>
      </c>
    </row>
    <row r="1055" spans="1:36" x14ac:dyDescent="0.2">
      <c r="A1055" s="10"/>
      <c r="B1055" s="106"/>
      <c r="C1055" s="208" t="s">
        <v>777</v>
      </c>
      <c r="D1055" s="11">
        <v>7.95</v>
      </c>
      <c r="E1055" s="11" t="s">
        <v>764</v>
      </c>
      <c r="F1055" s="11">
        <v>1</v>
      </c>
      <c r="G1055" s="11" t="s">
        <v>764</v>
      </c>
      <c r="H1055" s="11">
        <v>3.23</v>
      </c>
      <c r="I1055" s="11" t="s">
        <v>764</v>
      </c>
      <c r="J1055" s="11">
        <v>1.51</v>
      </c>
      <c r="K1055" s="11" t="s">
        <v>764</v>
      </c>
      <c r="L1055" s="11">
        <v>11.18</v>
      </c>
      <c r="M1055" s="11"/>
      <c r="N1055" s="11"/>
      <c r="O1055" s="7"/>
      <c r="P1055" s="7"/>
      <c r="Q1055" s="7"/>
      <c r="R1055" s="7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 t="s">
        <v>748</v>
      </c>
      <c r="AH1055" s="142">
        <v>2.2000000000000002</v>
      </c>
      <c r="AI1055" s="88" t="s">
        <v>727</v>
      </c>
      <c r="AJ1055" s="11">
        <f t="shared" si="72"/>
        <v>54.713999999999999</v>
      </c>
    </row>
    <row r="1056" spans="1:36" x14ac:dyDescent="0.2">
      <c r="A1056" s="10"/>
      <c r="B1056" s="106"/>
      <c r="C1056" s="208" t="s">
        <v>778</v>
      </c>
      <c r="D1056" s="11">
        <v>0.73</v>
      </c>
      <c r="E1056" s="11" t="s">
        <v>764</v>
      </c>
      <c r="F1056" s="11">
        <v>4.79</v>
      </c>
      <c r="G1056" s="11" t="s">
        <v>764</v>
      </c>
      <c r="H1056" s="11">
        <v>4.9000000000000004</v>
      </c>
      <c r="I1056" s="11" t="s">
        <v>764</v>
      </c>
      <c r="J1056" s="11">
        <v>6.45</v>
      </c>
      <c r="K1056" s="11" t="s">
        <v>764</v>
      </c>
      <c r="L1056" s="11">
        <v>4.17</v>
      </c>
      <c r="M1056" s="11" t="s">
        <v>764</v>
      </c>
      <c r="N1056" s="11">
        <v>1.66</v>
      </c>
      <c r="O1056" s="7"/>
      <c r="P1056" s="7"/>
      <c r="Q1056" s="7"/>
      <c r="R1056" s="7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 t="s">
        <v>748</v>
      </c>
      <c r="AH1056" s="142">
        <v>1.4</v>
      </c>
      <c r="AI1056" s="88" t="s">
        <v>727</v>
      </c>
      <c r="AJ1056" s="11">
        <f t="shared" si="72"/>
        <v>31.779999999999998</v>
      </c>
    </row>
    <row r="1057" spans="1:36" x14ac:dyDescent="0.2">
      <c r="A1057" s="10"/>
      <c r="B1057" s="106"/>
      <c r="C1057" s="208" t="s">
        <v>780</v>
      </c>
      <c r="D1057" s="11">
        <v>6.45</v>
      </c>
      <c r="E1057" s="11" t="s">
        <v>764</v>
      </c>
      <c r="F1057" s="11">
        <v>6.45</v>
      </c>
      <c r="G1057" s="11" t="s">
        <v>764</v>
      </c>
      <c r="H1057" s="11">
        <v>2.25</v>
      </c>
      <c r="I1057" s="11" t="s">
        <v>764</v>
      </c>
      <c r="J1057" s="11">
        <v>2.25</v>
      </c>
      <c r="K1057" s="11"/>
      <c r="L1057" s="11"/>
      <c r="M1057" s="11"/>
      <c r="N1057" s="11"/>
      <c r="O1057" s="7"/>
      <c r="P1057" s="7"/>
      <c r="Q1057" s="7"/>
      <c r="R1057" s="7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 t="s">
        <v>748</v>
      </c>
      <c r="AH1057" s="142">
        <v>0.8</v>
      </c>
      <c r="AI1057" s="88" t="s">
        <v>727</v>
      </c>
      <c r="AJ1057" s="11">
        <f t="shared" si="72"/>
        <v>13.92</v>
      </c>
    </row>
    <row r="1058" spans="1:36" x14ac:dyDescent="0.2">
      <c r="A1058" s="10"/>
      <c r="B1058" s="106"/>
      <c r="C1058" s="208" t="s">
        <v>781</v>
      </c>
      <c r="D1058" s="11">
        <v>6.45</v>
      </c>
      <c r="E1058" s="11" t="s">
        <v>764</v>
      </c>
      <c r="F1058" s="220">
        <v>6.45</v>
      </c>
      <c r="G1058" s="11" t="s">
        <v>764</v>
      </c>
      <c r="H1058" s="11">
        <v>5.3</v>
      </c>
      <c r="I1058" s="11" t="s">
        <v>764</v>
      </c>
      <c r="J1058" s="11">
        <v>5.3</v>
      </c>
      <c r="K1058" s="11"/>
      <c r="L1058" s="11"/>
      <c r="M1058" s="11"/>
      <c r="N1058" s="11"/>
      <c r="O1058" s="7"/>
      <c r="P1058" s="7"/>
      <c r="Q1058" s="7"/>
      <c r="R1058" s="7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 t="s">
        <v>748</v>
      </c>
      <c r="AH1058" s="142">
        <v>1.4</v>
      </c>
      <c r="AI1058" s="88" t="s">
        <v>727</v>
      </c>
      <c r="AJ1058" s="11">
        <f t="shared" si="72"/>
        <v>32.9</v>
      </c>
    </row>
    <row r="1059" spans="1:36" x14ac:dyDescent="0.2">
      <c r="A1059" s="10"/>
      <c r="B1059" s="106"/>
      <c r="C1059" s="208" t="s">
        <v>782</v>
      </c>
      <c r="D1059" s="11">
        <v>6.45</v>
      </c>
      <c r="E1059" s="11" t="s">
        <v>764</v>
      </c>
      <c r="F1059" s="11">
        <v>6.45</v>
      </c>
      <c r="G1059" s="11" t="s">
        <v>764</v>
      </c>
      <c r="H1059" s="11">
        <v>2.98</v>
      </c>
      <c r="I1059" s="11" t="s">
        <v>764</v>
      </c>
      <c r="J1059" s="11">
        <v>2.98</v>
      </c>
      <c r="K1059" s="11"/>
      <c r="L1059" s="11"/>
      <c r="M1059" s="11"/>
      <c r="N1059" s="11"/>
      <c r="O1059" s="7"/>
      <c r="P1059" s="7"/>
      <c r="Q1059" s="7"/>
      <c r="R1059" s="7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 t="s">
        <v>748</v>
      </c>
      <c r="AH1059" s="142">
        <v>0.8</v>
      </c>
      <c r="AI1059" s="88" t="s">
        <v>727</v>
      </c>
      <c r="AJ1059" s="11">
        <f t="shared" si="72"/>
        <v>15.088000000000001</v>
      </c>
    </row>
    <row r="1060" spans="1:36" x14ac:dyDescent="0.2">
      <c r="A1060" s="10"/>
      <c r="B1060" s="106"/>
      <c r="C1060" s="54"/>
      <c r="D1060" s="316" t="s">
        <v>882</v>
      </c>
      <c r="E1060" s="317"/>
      <c r="F1060" s="317"/>
      <c r="G1060" s="317"/>
      <c r="H1060" s="317"/>
      <c r="I1060" s="317"/>
      <c r="J1060" s="317"/>
      <c r="K1060" s="317"/>
      <c r="L1060" s="317"/>
      <c r="M1060" s="317"/>
      <c r="N1060" s="317"/>
      <c r="O1060" s="317"/>
      <c r="P1060" s="317"/>
      <c r="Q1060" s="317"/>
      <c r="R1060" s="317"/>
      <c r="S1060" s="317"/>
      <c r="T1060" s="317"/>
      <c r="U1060" s="317"/>
      <c r="V1060" s="317"/>
      <c r="W1060" s="317"/>
      <c r="X1060" s="317"/>
      <c r="Y1060" s="317"/>
      <c r="Z1060" s="317"/>
      <c r="AA1060" s="317"/>
      <c r="AB1060" s="317"/>
      <c r="AC1060" s="317"/>
      <c r="AD1060" s="317"/>
      <c r="AE1060" s="317"/>
      <c r="AF1060" s="317"/>
      <c r="AG1060" s="317"/>
      <c r="AH1060" s="317"/>
      <c r="AI1060" s="318"/>
      <c r="AJ1060" s="92">
        <f>SUM(AJ1042:AJ1059)</f>
        <v>410.74</v>
      </c>
    </row>
    <row r="1061" spans="1:36" x14ac:dyDescent="0.2">
      <c r="A1061" s="10"/>
      <c r="B1061" s="106"/>
      <c r="C1061" s="54"/>
      <c r="D1061" s="324" t="s">
        <v>795</v>
      </c>
      <c r="E1061" s="325"/>
      <c r="F1061" s="325"/>
      <c r="G1061" s="325"/>
      <c r="H1061" s="325"/>
      <c r="I1061" s="325"/>
      <c r="J1061" s="325"/>
      <c r="K1061" s="325"/>
      <c r="L1061" s="325"/>
      <c r="M1061" s="325"/>
      <c r="N1061" s="325"/>
      <c r="O1061" s="325"/>
      <c r="P1061" s="325"/>
      <c r="Q1061" s="325"/>
      <c r="R1061" s="325"/>
      <c r="S1061" s="325"/>
      <c r="T1061" s="325"/>
      <c r="U1061" s="325"/>
      <c r="V1061" s="325"/>
      <c r="W1061" s="325"/>
      <c r="X1061" s="325"/>
      <c r="Y1061" s="325"/>
      <c r="Z1061" s="325"/>
      <c r="AA1061" s="325"/>
      <c r="AB1061" s="325"/>
      <c r="AC1061" s="325"/>
      <c r="AD1061" s="325"/>
      <c r="AE1061" s="325"/>
      <c r="AF1061" s="325"/>
      <c r="AG1061" s="325"/>
      <c r="AH1061" s="325"/>
      <c r="AI1061" s="325"/>
      <c r="AJ1061" s="99"/>
    </row>
    <row r="1062" spans="1:36" x14ac:dyDescent="0.2">
      <c r="A1062" s="10"/>
      <c r="B1062" s="106"/>
      <c r="C1062" s="54"/>
      <c r="D1062" s="322" t="s">
        <v>821</v>
      </c>
      <c r="E1062" s="323"/>
      <c r="F1062" s="323"/>
      <c r="G1062" s="323"/>
      <c r="H1062" s="323"/>
      <c r="I1062" s="323"/>
      <c r="J1062" s="323"/>
      <c r="K1062" s="323"/>
      <c r="L1062" s="323"/>
      <c r="M1062" s="323"/>
      <c r="N1062" s="323"/>
      <c r="O1062" s="323"/>
      <c r="P1062" s="323"/>
      <c r="Q1062" s="323"/>
      <c r="R1062" s="323"/>
      <c r="S1062" s="323"/>
      <c r="T1062" s="323"/>
      <c r="U1062" s="323"/>
      <c r="V1062" s="323"/>
      <c r="W1062" s="323"/>
      <c r="X1062" s="323"/>
      <c r="Y1062" s="323"/>
      <c r="Z1062" s="323"/>
      <c r="AA1062" s="323"/>
      <c r="AB1062" s="323"/>
      <c r="AC1062" s="323"/>
      <c r="AD1062" s="323"/>
      <c r="AE1062" s="323"/>
      <c r="AF1062" s="323"/>
      <c r="AG1062" s="323"/>
      <c r="AH1062" s="323"/>
      <c r="AI1062" s="323"/>
      <c r="AJ1062" s="99"/>
    </row>
    <row r="1063" spans="1:36" x14ac:dyDescent="0.2">
      <c r="A1063" s="10"/>
      <c r="B1063" s="106"/>
      <c r="C1063" s="98" t="s">
        <v>823</v>
      </c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</row>
    <row r="1064" spans="1:36" x14ac:dyDescent="0.2">
      <c r="A1064" s="10"/>
      <c r="B1064" s="106"/>
      <c r="C1064" s="208" t="s">
        <v>751</v>
      </c>
      <c r="D1064" s="11">
        <v>1.2</v>
      </c>
      <c r="E1064" s="11" t="s">
        <v>745</v>
      </c>
      <c r="F1064" s="11">
        <v>1.2</v>
      </c>
      <c r="G1064" s="11"/>
      <c r="H1064" s="11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1" t="s">
        <v>745</v>
      </c>
      <c r="AH1064" s="11">
        <v>1</v>
      </c>
      <c r="AI1064" s="88" t="s">
        <v>727</v>
      </c>
      <c r="AJ1064" s="11">
        <f>(D1064*F1064)*AH1064</f>
        <v>1.44</v>
      </c>
    </row>
    <row r="1065" spans="1:36" x14ac:dyDescent="0.2">
      <c r="A1065" s="10"/>
      <c r="B1065" s="106"/>
      <c r="C1065" s="98" t="s">
        <v>822</v>
      </c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1"/>
      <c r="AI1065" s="11"/>
      <c r="AJ1065" s="11"/>
    </row>
    <row r="1066" spans="1:36" x14ac:dyDescent="0.2">
      <c r="A1066" s="10"/>
      <c r="B1066" s="106"/>
      <c r="C1066" s="98"/>
      <c r="D1066" s="11">
        <v>0.8</v>
      </c>
      <c r="E1066" s="11" t="s">
        <v>748</v>
      </c>
      <c r="F1066" s="11">
        <v>2.1</v>
      </c>
      <c r="G1066" s="11"/>
      <c r="H1066" s="11"/>
      <c r="I1066" s="11"/>
      <c r="J1066" s="11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1" t="s">
        <v>745</v>
      </c>
      <c r="AH1066" s="11">
        <v>1</v>
      </c>
      <c r="AI1066" s="88" t="s">
        <v>727</v>
      </c>
      <c r="AJ1066" s="11">
        <f>(D1066*F1066)*AH1066</f>
        <v>1.6800000000000002</v>
      </c>
    </row>
    <row r="1067" spans="1:36" x14ac:dyDescent="0.2">
      <c r="A1067" s="10"/>
      <c r="B1067" s="106"/>
      <c r="C1067" s="98"/>
      <c r="D1067" s="290" t="s">
        <v>824</v>
      </c>
      <c r="E1067" s="290"/>
      <c r="F1067" s="290"/>
      <c r="G1067" s="290"/>
      <c r="H1067" s="290"/>
      <c r="I1067" s="290"/>
      <c r="J1067" s="290"/>
      <c r="K1067" s="290"/>
      <c r="L1067" s="290"/>
      <c r="M1067" s="290"/>
      <c r="N1067" s="290"/>
      <c r="O1067" s="290"/>
      <c r="P1067" s="290"/>
      <c r="Q1067" s="290"/>
      <c r="R1067" s="290"/>
      <c r="S1067" s="290"/>
      <c r="T1067" s="290"/>
      <c r="U1067" s="290"/>
      <c r="V1067" s="290"/>
      <c r="W1067" s="290"/>
      <c r="X1067" s="290"/>
      <c r="Y1067" s="290"/>
      <c r="Z1067" s="290"/>
      <c r="AA1067" s="290"/>
      <c r="AB1067" s="290"/>
      <c r="AC1067" s="290"/>
      <c r="AD1067" s="290"/>
      <c r="AE1067" s="290"/>
      <c r="AF1067" s="290"/>
      <c r="AG1067" s="290"/>
      <c r="AH1067" s="290"/>
      <c r="AI1067" s="290"/>
      <c r="AJ1067" s="99"/>
    </row>
    <row r="1068" spans="1:36" x14ac:dyDescent="0.2">
      <c r="A1068" s="10"/>
      <c r="B1068" s="106"/>
      <c r="C1068" s="208" t="s">
        <v>861</v>
      </c>
      <c r="D1068" s="92"/>
      <c r="E1068" s="92"/>
      <c r="F1068" s="92"/>
      <c r="G1068" s="92"/>
      <c r="H1068" s="92"/>
      <c r="I1068" s="92"/>
      <c r="J1068" s="92"/>
      <c r="K1068" s="92"/>
      <c r="L1068" s="92"/>
      <c r="M1068" s="92"/>
      <c r="N1068" s="92"/>
      <c r="O1068" s="92"/>
      <c r="P1068" s="92"/>
      <c r="Q1068" s="92"/>
      <c r="R1068" s="92"/>
      <c r="S1068" s="92"/>
      <c r="T1068" s="92"/>
      <c r="U1068" s="92"/>
      <c r="V1068" s="92"/>
      <c r="W1068" s="92"/>
      <c r="X1068" s="92"/>
      <c r="Y1068" s="92"/>
      <c r="Z1068" s="92"/>
      <c r="AA1068" s="92"/>
      <c r="AB1068" s="92"/>
      <c r="AC1068" s="92"/>
      <c r="AD1068" s="92"/>
      <c r="AE1068" s="92"/>
      <c r="AF1068" s="92"/>
      <c r="AG1068" s="92"/>
      <c r="AH1068" s="92"/>
      <c r="AI1068" s="92"/>
      <c r="AJ1068" s="92"/>
    </row>
    <row r="1069" spans="1:36" x14ac:dyDescent="0.2">
      <c r="A1069" s="10"/>
      <c r="B1069" s="106"/>
      <c r="C1069" s="208" t="s">
        <v>749</v>
      </c>
      <c r="D1069" s="11">
        <v>0.6</v>
      </c>
      <c r="E1069" s="11" t="s">
        <v>745</v>
      </c>
      <c r="F1069" s="11">
        <v>0.2</v>
      </c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 t="s">
        <v>748</v>
      </c>
      <c r="AH1069" s="11">
        <v>15</v>
      </c>
      <c r="AI1069" s="88" t="s">
        <v>727</v>
      </c>
      <c r="AJ1069" s="11">
        <f>(D1069*F1069)*AH1069</f>
        <v>1.7999999999999998</v>
      </c>
    </row>
    <row r="1070" spans="1:36" x14ac:dyDescent="0.2">
      <c r="A1070" s="10"/>
      <c r="B1070" s="106"/>
      <c r="C1070" s="208" t="s">
        <v>822</v>
      </c>
      <c r="D1070" s="101"/>
      <c r="E1070" s="101"/>
      <c r="F1070" s="101"/>
      <c r="G1070" s="101"/>
      <c r="H1070" s="101"/>
      <c r="I1070" s="101"/>
      <c r="J1070" s="101"/>
      <c r="K1070" s="101"/>
      <c r="L1070" s="101"/>
      <c r="M1070" s="101"/>
      <c r="N1070" s="101"/>
      <c r="O1070" s="101"/>
      <c r="P1070" s="101"/>
      <c r="Q1070" s="101"/>
      <c r="R1070" s="101"/>
      <c r="S1070" s="101"/>
      <c r="T1070" s="101"/>
      <c r="U1070" s="101"/>
      <c r="V1070" s="101"/>
      <c r="W1070" s="101"/>
      <c r="X1070" s="101"/>
      <c r="Y1070" s="101"/>
      <c r="Z1070" s="101"/>
      <c r="AA1070" s="101"/>
      <c r="AB1070" s="101"/>
      <c r="AC1070" s="101"/>
      <c r="AD1070" s="101"/>
      <c r="AE1070" s="101"/>
      <c r="AF1070" s="101"/>
      <c r="AG1070" s="101"/>
      <c r="AH1070" s="101"/>
      <c r="AI1070" s="101"/>
      <c r="AJ1070" s="101"/>
    </row>
    <row r="1071" spans="1:36" x14ac:dyDescent="0.2">
      <c r="A1071" s="10"/>
      <c r="B1071" s="106"/>
      <c r="C1071" s="208"/>
      <c r="D1071" s="11">
        <v>0.8</v>
      </c>
      <c r="E1071" s="11" t="s">
        <v>748</v>
      </c>
      <c r="F1071" s="11">
        <v>0.2</v>
      </c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 t="s">
        <v>748</v>
      </c>
      <c r="AH1071" s="11">
        <v>6</v>
      </c>
      <c r="AI1071" s="88" t="s">
        <v>727</v>
      </c>
      <c r="AJ1071" s="11">
        <f>(D1071*F1071)*AH1071</f>
        <v>0.96000000000000019</v>
      </c>
    </row>
    <row r="1072" spans="1:36" x14ac:dyDescent="0.2">
      <c r="A1072" s="10"/>
      <c r="B1072" s="106"/>
      <c r="C1072" s="98"/>
      <c r="D1072" s="290" t="s">
        <v>825</v>
      </c>
      <c r="E1072" s="290"/>
      <c r="F1072" s="290"/>
      <c r="G1072" s="290"/>
      <c r="H1072" s="290"/>
      <c r="I1072" s="290"/>
      <c r="J1072" s="290"/>
      <c r="K1072" s="290"/>
      <c r="L1072" s="290"/>
      <c r="M1072" s="290"/>
      <c r="N1072" s="290"/>
      <c r="O1072" s="290"/>
      <c r="P1072" s="290"/>
      <c r="Q1072" s="290"/>
      <c r="R1072" s="290"/>
      <c r="S1072" s="290"/>
      <c r="T1072" s="290"/>
      <c r="U1072" s="290"/>
      <c r="V1072" s="290"/>
      <c r="W1072" s="290"/>
      <c r="X1072" s="290"/>
      <c r="Y1072" s="290"/>
      <c r="Z1072" s="290"/>
      <c r="AA1072" s="290"/>
      <c r="AB1072" s="290"/>
      <c r="AC1072" s="290"/>
      <c r="AD1072" s="290"/>
      <c r="AE1072" s="290"/>
      <c r="AF1072" s="290"/>
      <c r="AG1072" s="290"/>
      <c r="AH1072" s="290"/>
      <c r="AI1072" s="290"/>
      <c r="AJ1072" s="99"/>
    </row>
    <row r="1073" spans="1:36" x14ac:dyDescent="0.2">
      <c r="A1073" s="10"/>
      <c r="B1073" s="106"/>
      <c r="C1073" s="208" t="s">
        <v>861</v>
      </c>
      <c r="D1073" s="92"/>
      <c r="E1073" s="92"/>
      <c r="F1073" s="92"/>
      <c r="G1073" s="92"/>
      <c r="H1073" s="92"/>
      <c r="I1073" s="92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1"/>
      <c r="AI1073" s="11"/>
      <c r="AJ1073" s="11"/>
    </row>
    <row r="1074" spans="1:36" x14ac:dyDescent="0.2">
      <c r="A1074" s="10"/>
      <c r="B1074" s="106"/>
      <c r="C1074" s="208" t="s">
        <v>749</v>
      </c>
      <c r="D1074" s="11">
        <v>0.6</v>
      </c>
      <c r="E1074" s="11" t="s">
        <v>745</v>
      </c>
      <c r="F1074" s="11">
        <v>0.6</v>
      </c>
      <c r="G1074" s="11"/>
      <c r="H1074" s="11"/>
      <c r="I1074" s="11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1" t="s">
        <v>748</v>
      </c>
      <c r="AH1074" s="11">
        <v>3</v>
      </c>
      <c r="AI1074" s="88" t="s">
        <v>727</v>
      </c>
      <c r="AJ1074" s="11">
        <f>(D1074*F1074)*AH1074</f>
        <v>1.08</v>
      </c>
    </row>
    <row r="1075" spans="1:36" x14ac:dyDescent="0.2">
      <c r="A1075" s="10"/>
      <c r="B1075" s="106"/>
      <c r="C1075" s="208" t="s">
        <v>750</v>
      </c>
      <c r="D1075" s="11">
        <v>0.6</v>
      </c>
      <c r="E1075" s="11" t="s">
        <v>745</v>
      </c>
      <c r="F1075" s="11">
        <v>0.8</v>
      </c>
      <c r="G1075" s="11"/>
      <c r="H1075" s="11"/>
      <c r="I1075" s="11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1" t="s">
        <v>748</v>
      </c>
      <c r="AH1075" s="11">
        <v>0</v>
      </c>
      <c r="AI1075" s="88" t="s">
        <v>727</v>
      </c>
      <c r="AJ1075" s="11">
        <f>(D1075*F1075)*AH1075</f>
        <v>0</v>
      </c>
    </row>
    <row r="1076" spans="1:36" x14ac:dyDescent="0.2">
      <c r="A1076" s="10"/>
      <c r="B1076" s="106"/>
      <c r="C1076" s="208" t="s">
        <v>751</v>
      </c>
      <c r="D1076" s="11">
        <v>1.2</v>
      </c>
      <c r="E1076" s="11" t="s">
        <v>745</v>
      </c>
      <c r="F1076" s="11">
        <v>0.8</v>
      </c>
      <c r="G1076" s="11"/>
      <c r="H1076" s="11"/>
      <c r="I1076" s="11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1" t="s">
        <v>748</v>
      </c>
      <c r="AH1076" s="11">
        <v>6</v>
      </c>
      <c r="AI1076" s="88" t="s">
        <v>727</v>
      </c>
      <c r="AJ1076" s="11">
        <f>(D1076*F1076)*AH1076</f>
        <v>5.76</v>
      </c>
    </row>
    <row r="1077" spans="1:36" x14ac:dyDescent="0.2">
      <c r="A1077" s="10"/>
      <c r="B1077" s="106"/>
      <c r="C1077" s="208" t="s">
        <v>752</v>
      </c>
      <c r="D1077" s="11">
        <v>1.8</v>
      </c>
      <c r="E1077" s="11" t="s">
        <v>745</v>
      </c>
      <c r="F1077" s="11">
        <v>0.8</v>
      </c>
      <c r="G1077" s="11"/>
      <c r="H1077" s="11"/>
      <c r="I1077" s="11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1" t="s">
        <v>748</v>
      </c>
      <c r="AH1077" s="11">
        <v>1</v>
      </c>
      <c r="AI1077" s="88" t="s">
        <v>727</v>
      </c>
      <c r="AJ1077" s="11">
        <f>(D1077*F1077)*AH1077</f>
        <v>1.4400000000000002</v>
      </c>
    </row>
    <row r="1078" spans="1:36" x14ac:dyDescent="0.2">
      <c r="A1078" s="10"/>
      <c r="B1078" s="106"/>
      <c r="C1078" s="208" t="s">
        <v>753</v>
      </c>
      <c r="D1078" s="11">
        <v>1.8</v>
      </c>
      <c r="E1078" s="11" t="s">
        <v>745</v>
      </c>
      <c r="F1078" s="11">
        <v>0.8</v>
      </c>
      <c r="G1078" s="11"/>
      <c r="H1078" s="11"/>
      <c r="I1078" s="11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1" t="s">
        <v>748</v>
      </c>
      <c r="AH1078" s="11">
        <v>6</v>
      </c>
      <c r="AI1078" s="88" t="s">
        <v>727</v>
      </c>
      <c r="AJ1078" s="11">
        <f>(D1078*F1078)*AH1078</f>
        <v>8.64</v>
      </c>
    </row>
    <row r="1079" spans="1:36" x14ac:dyDescent="0.2">
      <c r="A1079" s="10"/>
      <c r="B1079" s="106"/>
      <c r="C1079" s="208" t="s">
        <v>822</v>
      </c>
      <c r="D1079" s="101"/>
      <c r="E1079" s="101"/>
      <c r="F1079" s="101"/>
      <c r="G1079" s="101"/>
      <c r="H1079" s="101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1"/>
      <c r="AI1079" s="88"/>
      <c r="AJ1079" s="11"/>
    </row>
    <row r="1080" spans="1:36" x14ac:dyDescent="0.2">
      <c r="A1080" s="10"/>
      <c r="B1080" s="106"/>
      <c r="C1080" s="208"/>
      <c r="D1080" s="11">
        <v>0.8</v>
      </c>
      <c r="E1080" s="11" t="s">
        <v>748</v>
      </c>
      <c r="F1080" s="11">
        <v>0.8</v>
      </c>
      <c r="G1080" s="11"/>
      <c r="H1080" s="11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1" t="s">
        <v>748</v>
      </c>
      <c r="AH1080" s="11">
        <v>10</v>
      </c>
      <c r="AI1080" s="88" t="s">
        <v>727</v>
      </c>
      <c r="AJ1080" s="11">
        <f>(D1080*F1080)*AH1080</f>
        <v>6.4000000000000012</v>
      </c>
    </row>
    <row r="1081" spans="1:36" x14ac:dyDescent="0.2">
      <c r="A1081" s="10"/>
      <c r="B1081" s="106"/>
      <c r="C1081" s="98"/>
      <c r="D1081" s="290" t="s">
        <v>862</v>
      </c>
      <c r="E1081" s="290"/>
      <c r="F1081" s="290"/>
      <c r="G1081" s="290"/>
      <c r="H1081" s="290"/>
      <c r="I1081" s="290"/>
      <c r="J1081" s="290"/>
      <c r="K1081" s="290"/>
      <c r="L1081" s="290"/>
      <c r="M1081" s="290"/>
      <c r="N1081" s="290"/>
      <c r="O1081" s="290"/>
      <c r="P1081" s="290"/>
      <c r="Q1081" s="290"/>
      <c r="R1081" s="290"/>
      <c r="S1081" s="290"/>
      <c r="T1081" s="290"/>
      <c r="U1081" s="290"/>
      <c r="V1081" s="290"/>
      <c r="W1081" s="290"/>
      <c r="X1081" s="290"/>
      <c r="Y1081" s="290"/>
      <c r="Z1081" s="290"/>
      <c r="AA1081" s="290"/>
      <c r="AB1081" s="290"/>
      <c r="AC1081" s="290"/>
      <c r="AD1081" s="290"/>
      <c r="AE1081" s="290"/>
      <c r="AF1081" s="290"/>
      <c r="AG1081" s="290"/>
      <c r="AH1081" s="290"/>
      <c r="AI1081" s="290"/>
      <c r="AJ1081" s="99"/>
    </row>
    <row r="1082" spans="1:36" x14ac:dyDescent="0.2">
      <c r="A1082" s="10"/>
      <c r="B1082" s="106"/>
      <c r="C1082" s="208" t="s">
        <v>822</v>
      </c>
      <c r="D1082" s="101"/>
      <c r="E1082" s="101"/>
      <c r="F1082" s="101"/>
      <c r="G1082" s="101"/>
      <c r="H1082" s="101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1"/>
      <c r="AI1082" s="11"/>
      <c r="AJ1082" s="11"/>
    </row>
    <row r="1083" spans="1:36" x14ac:dyDescent="0.2">
      <c r="A1083" s="10"/>
      <c r="B1083" s="106"/>
      <c r="C1083" s="208" t="s">
        <v>826</v>
      </c>
      <c r="D1083" s="11">
        <v>0.6</v>
      </c>
      <c r="E1083" s="11" t="s">
        <v>748</v>
      </c>
      <c r="F1083" s="11">
        <v>0.6</v>
      </c>
      <c r="G1083" s="11"/>
      <c r="H1083" s="11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1" t="s">
        <v>748</v>
      </c>
      <c r="AH1083" s="11">
        <v>3</v>
      </c>
      <c r="AI1083" s="88" t="s">
        <v>727</v>
      </c>
      <c r="AJ1083" s="11">
        <f>(D1083*F1083)*AH1083</f>
        <v>1.08</v>
      </c>
    </row>
    <row r="1084" spans="1:36" x14ac:dyDescent="0.2">
      <c r="A1084" s="10"/>
      <c r="B1084" s="106"/>
      <c r="C1084" s="208" t="s">
        <v>863</v>
      </c>
      <c r="D1084" s="11">
        <v>0.6</v>
      </c>
      <c r="E1084" s="11" t="s">
        <v>748</v>
      </c>
      <c r="F1084" s="11">
        <v>0.8</v>
      </c>
      <c r="G1084" s="11"/>
      <c r="H1084" s="11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1" t="s">
        <v>748</v>
      </c>
      <c r="AH1084" s="11">
        <v>0</v>
      </c>
      <c r="AI1084" s="88" t="s">
        <v>727</v>
      </c>
      <c r="AJ1084" s="11">
        <f>(D1084*F1084)*AH1084</f>
        <v>0</v>
      </c>
    </row>
    <row r="1085" spans="1:36" x14ac:dyDescent="0.2">
      <c r="A1085" s="10"/>
      <c r="B1085" s="106"/>
      <c r="C1085" s="208" t="s">
        <v>827</v>
      </c>
      <c r="D1085" s="11">
        <v>1.2</v>
      </c>
      <c r="E1085" s="11" t="s">
        <v>748</v>
      </c>
      <c r="F1085" s="11">
        <v>1.2</v>
      </c>
      <c r="G1085" s="11"/>
      <c r="H1085" s="11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1" t="s">
        <v>748</v>
      </c>
      <c r="AH1085" s="11">
        <v>6</v>
      </c>
      <c r="AI1085" s="88" t="s">
        <v>727</v>
      </c>
      <c r="AJ1085" s="11">
        <f>(D1085*F1085)*AH1085</f>
        <v>8.64</v>
      </c>
    </row>
    <row r="1086" spans="1:36" x14ac:dyDescent="0.2">
      <c r="A1086" s="10"/>
      <c r="B1086" s="106"/>
      <c r="C1086" s="208" t="s">
        <v>828</v>
      </c>
      <c r="D1086" s="11">
        <v>1.2</v>
      </c>
      <c r="E1086" s="11" t="s">
        <v>748</v>
      </c>
      <c r="F1086" s="11">
        <v>1.8</v>
      </c>
      <c r="G1086" s="11"/>
      <c r="H1086" s="11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1" t="s">
        <v>748</v>
      </c>
      <c r="AH1086" s="11">
        <v>1</v>
      </c>
      <c r="AI1086" s="88" t="s">
        <v>727</v>
      </c>
      <c r="AJ1086" s="11">
        <f>(D1086*F1086)*AH1086</f>
        <v>2.16</v>
      </c>
    </row>
    <row r="1087" spans="1:36" x14ac:dyDescent="0.2">
      <c r="A1087" s="10"/>
      <c r="B1087" s="106"/>
      <c r="C1087" s="208" t="s">
        <v>829</v>
      </c>
      <c r="D1087" s="11">
        <v>1.8</v>
      </c>
      <c r="E1087" s="11" t="s">
        <v>748</v>
      </c>
      <c r="F1087" s="11">
        <v>1.6</v>
      </c>
      <c r="G1087" s="11"/>
      <c r="H1087" s="11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1" t="s">
        <v>748</v>
      </c>
      <c r="AH1087" s="11">
        <v>6</v>
      </c>
      <c r="AI1087" s="88" t="s">
        <v>727</v>
      </c>
      <c r="AJ1087" s="11">
        <f>(D1087*F1087)*AH1087</f>
        <v>17.28</v>
      </c>
    </row>
    <row r="1088" spans="1:36" x14ac:dyDescent="0.2">
      <c r="A1088" s="10"/>
      <c r="B1088" s="106"/>
      <c r="C1088" s="98"/>
      <c r="D1088" s="287" t="s">
        <v>830</v>
      </c>
      <c r="E1088" s="287"/>
      <c r="F1088" s="287"/>
      <c r="G1088" s="287"/>
      <c r="H1088" s="287"/>
      <c r="I1088" s="287"/>
      <c r="J1088" s="287"/>
      <c r="K1088" s="287"/>
      <c r="L1088" s="287"/>
      <c r="M1088" s="287"/>
      <c r="N1088" s="287"/>
      <c r="O1088" s="287"/>
      <c r="P1088" s="287"/>
      <c r="Q1088" s="287"/>
      <c r="R1088" s="287"/>
      <c r="S1088" s="287"/>
      <c r="T1088" s="287"/>
      <c r="U1088" s="287"/>
      <c r="V1088" s="287"/>
      <c r="W1088" s="287"/>
      <c r="X1088" s="287"/>
      <c r="Y1088" s="287"/>
      <c r="Z1088" s="287"/>
      <c r="AA1088" s="287"/>
      <c r="AB1088" s="287"/>
      <c r="AC1088" s="287"/>
      <c r="AD1088" s="287"/>
      <c r="AE1088" s="287"/>
      <c r="AF1088" s="287"/>
      <c r="AG1088" s="287"/>
      <c r="AH1088" s="287"/>
      <c r="AI1088" s="287"/>
      <c r="AJ1088" s="92">
        <f>SUM(AJ1064:AJ1087)</f>
        <v>58.36</v>
      </c>
    </row>
    <row r="1089" spans="1:36" x14ac:dyDescent="0.2">
      <c r="A1089" s="10"/>
      <c r="B1089" s="106"/>
      <c r="C1089" s="13"/>
      <c r="D1089" s="316" t="s">
        <v>883</v>
      </c>
      <c r="E1089" s="317"/>
      <c r="F1089" s="317"/>
      <c r="G1089" s="317"/>
      <c r="H1089" s="317"/>
      <c r="I1089" s="317"/>
      <c r="J1089" s="317"/>
      <c r="K1089" s="317"/>
      <c r="L1089" s="317"/>
      <c r="M1089" s="317"/>
      <c r="N1089" s="317"/>
      <c r="O1089" s="317"/>
      <c r="P1089" s="317"/>
      <c r="Q1089" s="317"/>
      <c r="R1089" s="317"/>
      <c r="S1089" s="317"/>
      <c r="T1089" s="317"/>
      <c r="U1089" s="317"/>
      <c r="V1089" s="317"/>
      <c r="W1089" s="317"/>
      <c r="X1089" s="317"/>
      <c r="Y1089" s="317"/>
      <c r="Z1089" s="317"/>
      <c r="AA1089" s="317"/>
      <c r="AB1089" s="317"/>
      <c r="AC1089" s="317"/>
      <c r="AD1089" s="317"/>
      <c r="AE1089" s="317"/>
      <c r="AF1089" s="317"/>
      <c r="AG1089" s="317"/>
      <c r="AH1089" s="317"/>
      <c r="AI1089" s="318"/>
      <c r="AJ1089" s="92">
        <f>AJ1060-AJ1088</f>
        <v>352.38</v>
      </c>
    </row>
    <row r="1090" spans="1:36" x14ac:dyDescent="0.2">
      <c r="A1090" s="10"/>
      <c r="B1090" s="106"/>
      <c r="C1090" s="10"/>
      <c r="D1090" s="316" t="s">
        <v>884</v>
      </c>
      <c r="E1090" s="317"/>
      <c r="F1090" s="317"/>
      <c r="G1090" s="317"/>
      <c r="H1090" s="317"/>
      <c r="I1090" s="317"/>
      <c r="J1090" s="317"/>
      <c r="K1090" s="317"/>
      <c r="L1090" s="317"/>
      <c r="M1090" s="317"/>
      <c r="N1090" s="317"/>
      <c r="O1090" s="317"/>
      <c r="P1090" s="317"/>
      <c r="Q1090" s="317"/>
      <c r="R1090" s="317"/>
      <c r="S1090" s="317"/>
      <c r="T1090" s="317"/>
      <c r="U1090" s="317"/>
      <c r="V1090" s="317"/>
      <c r="W1090" s="317"/>
      <c r="X1090" s="317"/>
      <c r="Y1090" s="317"/>
      <c r="Z1090" s="317"/>
      <c r="AA1090" s="317"/>
      <c r="AB1090" s="317"/>
      <c r="AC1090" s="317"/>
      <c r="AD1090" s="317"/>
      <c r="AE1090" s="317"/>
      <c r="AF1090" s="317"/>
      <c r="AG1090" s="317"/>
      <c r="AH1090" s="317"/>
      <c r="AI1090" s="318"/>
      <c r="AJ1090" s="92">
        <f>AJ1032+AJ1040+AJ1089</f>
        <v>961.45359999999994</v>
      </c>
    </row>
    <row r="1091" spans="1:36" ht="24" x14ac:dyDescent="0.2">
      <c r="A1091" s="10" t="s">
        <v>282</v>
      </c>
      <c r="B1091" s="106" t="s">
        <v>283</v>
      </c>
      <c r="C1091" s="10" t="s">
        <v>284</v>
      </c>
      <c r="D1091" s="330"/>
      <c r="E1091" s="298"/>
      <c r="F1091" s="298"/>
      <c r="G1091" s="298"/>
      <c r="H1091" s="298"/>
      <c r="I1091" s="298"/>
      <c r="J1091" s="298"/>
      <c r="K1091" s="298"/>
      <c r="L1091" s="298"/>
      <c r="M1091" s="298"/>
      <c r="N1091" s="298"/>
      <c r="O1091" s="298"/>
      <c r="P1091" s="298"/>
      <c r="Q1091" s="298"/>
      <c r="R1091" s="298"/>
      <c r="S1091" s="298"/>
      <c r="T1091" s="298"/>
      <c r="U1091" s="298"/>
      <c r="V1091" s="298"/>
      <c r="W1091" s="298"/>
      <c r="X1091" s="298"/>
      <c r="Y1091" s="298"/>
      <c r="Z1091" s="298"/>
      <c r="AA1091" s="298"/>
      <c r="AB1091" s="298"/>
      <c r="AC1091" s="298"/>
      <c r="AD1091" s="298"/>
      <c r="AE1091" s="298"/>
      <c r="AF1091" s="298"/>
      <c r="AG1091" s="298"/>
      <c r="AH1091" s="298"/>
      <c r="AI1091" s="299"/>
      <c r="AJ1091" s="11" t="s">
        <v>19</v>
      </c>
    </row>
    <row r="1092" spans="1:36" x14ac:dyDescent="0.2">
      <c r="A1092" s="10"/>
      <c r="B1092" s="106"/>
      <c r="C1092" s="207" t="s">
        <v>763</v>
      </c>
      <c r="D1092" s="96">
        <v>3</v>
      </c>
      <c r="E1092" s="96" t="s">
        <v>748</v>
      </c>
      <c r="F1092" s="96">
        <v>2.2200000000000002</v>
      </c>
      <c r="G1092" s="96"/>
      <c r="H1092" s="96"/>
      <c r="I1092" s="96"/>
      <c r="J1092" s="96"/>
      <c r="K1092" s="96"/>
      <c r="L1092" s="96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9"/>
      <c r="AG1092" s="11" t="s">
        <v>748</v>
      </c>
      <c r="AH1092" s="11">
        <v>1</v>
      </c>
      <c r="AI1092" s="88" t="s">
        <v>727</v>
      </c>
      <c r="AJ1092" s="11">
        <f t="shared" ref="AJ1092:AJ1116" si="73">(D1092*F1092+H1092*J1092)*AH1092</f>
        <v>6.66</v>
      </c>
    </row>
    <row r="1093" spans="1:36" x14ac:dyDescent="0.2">
      <c r="A1093" s="10"/>
      <c r="B1093" s="106"/>
      <c r="C1093" s="207" t="s">
        <v>765</v>
      </c>
      <c r="D1093" s="96">
        <v>2.8</v>
      </c>
      <c r="E1093" s="96" t="s">
        <v>748</v>
      </c>
      <c r="F1093" s="96">
        <v>2.2200000000000002</v>
      </c>
      <c r="G1093" s="96"/>
      <c r="H1093" s="96"/>
      <c r="I1093" s="96"/>
      <c r="J1093" s="96"/>
      <c r="K1093" s="96"/>
      <c r="L1093" s="96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9"/>
      <c r="AG1093" s="11" t="s">
        <v>748</v>
      </c>
      <c r="AH1093" s="11">
        <v>1</v>
      </c>
      <c r="AI1093" s="88" t="s">
        <v>727</v>
      </c>
      <c r="AJ1093" s="11">
        <f t="shared" si="73"/>
        <v>6.2160000000000002</v>
      </c>
    </row>
    <row r="1094" spans="1:36" x14ac:dyDescent="0.2">
      <c r="A1094" s="10"/>
      <c r="B1094" s="106"/>
      <c r="C1094" s="208" t="s">
        <v>766</v>
      </c>
      <c r="D1094" s="96">
        <v>3.9</v>
      </c>
      <c r="E1094" s="96" t="s">
        <v>748</v>
      </c>
      <c r="F1094" s="96">
        <v>2.23</v>
      </c>
      <c r="G1094" s="96"/>
      <c r="H1094" s="96"/>
      <c r="I1094" s="96"/>
      <c r="J1094" s="96"/>
      <c r="K1094" s="96"/>
      <c r="L1094" s="96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9"/>
      <c r="AG1094" s="11" t="s">
        <v>748</v>
      </c>
      <c r="AH1094" s="11">
        <v>1</v>
      </c>
      <c r="AI1094" s="88" t="s">
        <v>727</v>
      </c>
      <c r="AJ1094" s="11">
        <f t="shared" si="73"/>
        <v>8.6969999999999992</v>
      </c>
    </row>
    <row r="1095" spans="1:36" x14ac:dyDescent="0.2">
      <c r="A1095" s="10"/>
      <c r="B1095" s="106"/>
      <c r="C1095" s="208" t="s">
        <v>813</v>
      </c>
      <c r="D1095" s="96">
        <v>1.02</v>
      </c>
      <c r="E1095" s="96" t="s">
        <v>745</v>
      </c>
      <c r="F1095" s="96">
        <v>1.85</v>
      </c>
      <c r="G1095" s="96"/>
      <c r="H1095" s="96"/>
      <c r="I1095" s="96"/>
      <c r="J1095" s="96"/>
      <c r="K1095" s="96"/>
      <c r="L1095" s="96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9"/>
      <c r="AG1095" s="11" t="s">
        <v>748</v>
      </c>
      <c r="AH1095" s="11">
        <v>1</v>
      </c>
      <c r="AI1095" s="88" t="s">
        <v>727</v>
      </c>
      <c r="AJ1095" s="11">
        <f t="shared" si="73"/>
        <v>1.8870000000000002</v>
      </c>
    </row>
    <row r="1096" spans="1:36" x14ac:dyDescent="0.2">
      <c r="A1096" s="10"/>
      <c r="B1096" s="106"/>
      <c r="C1096" s="208" t="s">
        <v>814</v>
      </c>
      <c r="D1096" s="96">
        <v>1.5</v>
      </c>
      <c r="E1096" s="96" t="s">
        <v>745</v>
      </c>
      <c r="F1096" s="96">
        <v>2.85</v>
      </c>
      <c r="G1096" s="96" t="s">
        <v>764</v>
      </c>
      <c r="H1096" s="96">
        <v>0.85</v>
      </c>
      <c r="I1096" s="96" t="s">
        <v>745</v>
      </c>
      <c r="J1096" s="96">
        <v>1.17</v>
      </c>
      <c r="K1096" s="96"/>
      <c r="L1096" s="96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9"/>
      <c r="AG1096" s="11" t="s">
        <v>748</v>
      </c>
      <c r="AH1096" s="11">
        <v>1</v>
      </c>
      <c r="AI1096" s="88" t="s">
        <v>727</v>
      </c>
      <c r="AJ1096" s="11">
        <f t="shared" si="73"/>
        <v>5.2695000000000007</v>
      </c>
    </row>
    <row r="1097" spans="1:36" x14ac:dyDescent="0.2">
      <c r="A1097" s="10"/>
      <c r="B1097" s="106"/>
      <c r="C1097" s="208" t="s">
        <v>800</v>
      </c>
      <c r="D1097" s="96">
        <v>2.85</v>
      </c>
      <c r="E1097" s="96" t="s">
        <v>745</v>
      </c>
      <c r="F1097" s="96">
        <v>2.25</v>
      </c>
      <c r="G1097" s="96"/>
      <c r="H1097" s="96"/>
      <c r="I1097" s="96"/>
      <c r="J1097" s="96"/>
      <c r="K1097" s="96"/>
      <c r="L1097" s="96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9"/>
      <c r="AG1097" s="11" t="s">
        <v>748</v>
      </c>
      <c r="AH1097" s="11">
        <v>1</v>
      </c>
      <c r="AI1097" s="88" t="s">
        <v>727</v>
      </c>
      <c r="AJ1097" s="11">
        <f t="shared" si="73"/>
        <v>6.4125000000000005</v>
      </c>
    </row>
    <row r="1098" spans="1:36" x14ac:dyDescent="0.2">
      <c r="A1098" s="10"/>
      <c r="B1098" s="106"/>
      <c r="C1098" s="208" t="s">
        <v>801</v>
      </c>
      <c r="D1098" s="96">
        <v>2.25</v>
      </c>
      <c r="E1098" s="96" t="s">
        <v>745</v>
      </c>
      <c r="F1098" s="96">
        <v>1.05</v>
      </c>
      <c r="G1098" s="96"/>
      <c r="H1098" s="96"/>
      <c r="I1098" s="96"/>
      <c r="J1098" s="96"/>
      <c r="K1098" s="96"/>
      <c r="L1098" s="96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9"/>
      <c r="AG1098" s="11" t="s">
        <v>748</v>
      </c>
      <c r="AH1098" s="11">
        <v>1</v>
      </c>
      <c r="AI1098" s="88" t="s">
        <v>727</v>
      </c>
      <c r="AJ1098" s="11">
        <f t="shared" si="73"/>
        <v>2.3625000000000003</v>
      </c>
    </row>
    <row r="1099" spans="1:36" x14ac:dyDescent="0.2">
      <c r="A1099" s="10"/>
      <c r="B1099" s="106"/>
      <c r="C1099" s="208" t="s">
        <v>815</v>
      </c>
      <c r="D1099" s="96">
        <v>1.8</v>
      </c>
      <c r="E1099" s="96" t="s">
        <v>745</v>
      </c>
      <c r="F1099" s="96">
        <v>2.85</v>
      </c>
      <c r="G1099" s="96"/>
      <c r="H1099" s="96"/>
      <c r="I1099" s="96"/>
      <c r="J1099" s="96"/>
      <c r="K1099" s="96"/>
      <c r="L1099" s="96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9"/>
      <c r="AG1099" s="11" t="s">
        <v>748</v>
      </c>
      <c r="AH1099" s="11">
        <v>1</v>
      </c>
      <c r="AI1099" s="88" t="s">
        <v>727</v>
      </c>
      <c r="AJ1099" s="11">
        <f t="shared" si="73"/>
        <v>5.13</v>
      </c>
    </row>
    <row r="1100" spans="1:36" x14ac:dyDescent="0.2">
      <c r="A1100" s="10"/>
      <c r="B1100" s="106"/>
      <c r="C1100" s="208" t="s">
        <v>803</v>
      </c>
      <c r="D1100" s="96">
        <v>7.05</v>
      </c>
      <c r="E1100" s="96" t="s">
        <v>745</v>
      </c>
      <c r="F1100" s="96">
        <v>2.85</v>
      </c>
      <c r="G1100" s="96" t="s">
        <v>764</v>
      </c>
      <c r="H1100" s="96">
        <v>3.65</v>
      </c>
      <c r="I1100" s="96" t="s">
        <v>745</v>
      </c>
      <c r="J1100" s="96">
        <v>1.8</v>
      </c>
      <c r="K1100" s="96"/>
      <c r="L1100" s="96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9"/>
      <c r="AG1100" s="11" t="s">
        <v>748</v>
      </c>
      <c r="AH1100" s="11">
        <v>1</v>
      </c>
      <c r="AI1100" s="88" t="s">
        <v>727</v>
      </c>
      <c r="AJ1100" s="11">
        <f t="shared" si="73"/>
        <v>26.662500000000001</v>
      </c>
    </row>
    <row r="1101" spans="1:36" x14ac:dyDescent="0.2">
      <c r="A1101" s="10"/>
      <c r="B1101" s="106"/>
      <c r="C1101" s="208" t="s">
        <v>804</v>
      </c>
      <c r="D1101" s="96">
        <v>2.85</v>
      </c>
      <c r="E1101" s="96" t="s">
        <v>745</v>
      </c>
      <c r="F1101" s="96">
        <v>1.57</v>
      </c>
      <c r="G1101" s="96"/>
      <c r="H1101" s="96"/>
      <c r="I1101" s="96"/>
      <c r="J1101" s="96"/>
      <c r="K1101" s="96"/>
      <c r="L1101" s="96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9"/>
      <c r="AG1101" s="11" t="s">
        <v>748</v>
      </c>
      <c r="AH1101" s="11">
        <v>1</v>
      </c>
      <c r="AI1101" s="88" t="s">
        <v>727</v>
      </c>
      <c r="AJ1101" s="11">
        <f t="shared" si="73"/>
        <v>4.4744999999999999</v>
      </c>
    </row>
    <row r="1102" spans="1:36" x14ac:dyDescent="0.2">
      <c r="A1102" s="10"/>
      <c r="B1102" s="106"/>
      <c r="C1102" s="208" t="s">
        <v>767</v>
      </c>
      <c r="D1102" s="96">
        <v>6.75</v>
      </c>
      <c r="E1102" s="96" t="s">
        <v>745</v>
      </c>
      <c r="F1102" s="96">
        <v>4.6500000000000004</v>
      </c>
      <c r="G1102" s="96"/>
      <c r="H1102" s="96"/>
      <c r="I1102" s="96"/>
      <c r="J1102" s="96"/>
      <c r="K1102" s="96"/>
      <c r="L1102" s="96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9"/>
      <c r="AG1102" s="11" t="s">
        <v>748</v>
      </c>
      <c r="AH1102" s="11">
        <v>1</v>
      </c>
      <c r="AI1102" s="88" t="s">
        <v>727</v>
      </c>
      <c r="AJ1102" s="11">
        <f t="shared" si="73"/>
        <v>31.387500000000003</v>
      </c>
    </row>
    <row r="1103" spans="1:36" x14ac:dyDescent="0.2">
      <c r="A1103" s="10"/>
      <c r="B1103" s="106"/>
      <c r="C1103" s="208" t="s">
        <v>768</v>
      </c>
      <c r="D1103" s="96">
        <v>1.95</v>
      </c>
      <c r="E1103" s="96" t="s">
        <v>745</v>
      </c>
      <c r="F1103" s="96">
        <v>2.25</v>
      </c>
      <c r="G1103" s="96"/>
      <c r="H1103" s="96"/>
      <c r="I1103" s="96"/>
      <c r="J1103" s="96"/>
      <c r="K1103" s="96"/>
      <c r="L1103" s="96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9"/>
      <c r="AG1103" s="11" t="s">
        <v>748</v>
      </c>
      <c r="AH1103" s="11">
        <v>1</v>
      </c>
      <c r="AI1103" s="88" t="s">
        <v>727</v>
      </c>
      <c r="AJ1103" s="11">
        <f t="shared" si="73"/>
        <v>4.3875000000000002</v>
      </c>
    </row>
    <row r="1104" spans="1:36" x14ac:dyDescent="0.2">
      <c r="A1104" s="10"/>
      <c r="B1104" s="106"/>
      <c r="C1104" s="208" t="s">
        <v>769</v>
      </c>
      <c r="D1104" s="96">
        <v>1.95</v>
      </c>
      <c r="E1104" s="96" t="s">
        <v>745</v>
      </c>
      <c r="F1104" s="96">
        <v>2.25</v>
      </c>
      <c r="G1104" s="96"/>
      <c r="H1104" s="96"/>
      <c r="I1104" s="96"/>
      <c r="J1104" s="96"/>
      <c r="K1104" s="96"/>
      <c r="L1104" s="96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9"/>
      <c r="AG1104" s="11" t="s">
        <v>748</v>
      </c>
      <c r="AH1104" s="11">
        <v>1</v>
      </c>
      <c r="AI1104" s="88" t="s">
        <v>727</v>
      </c>
      <c r="AJ1104" s="11">
        <f t="shared" si="73"/>
        <v>4.3875000000000002</v>
      </c>
    </row>
    <row r="1105" spans="1:36" x14ac:dyDescent="0.2">
      <c r="A1105" s="10"/>
      <c r="B1105" s="106"/>
      <c r="C1105" s="208" t="s">
        <v>770</v>
      </c>
      <c r="D1105" s="96">
        <v>4.05</v>
      </c>
      <c r="E1105" s="96" t="s">
        <v>745</v>
      </c>
      <c r="F1105" s="96">
        <v>4.05</v>
      </c>
      <c r="G1105" s="96"/>
      <c r="H1105" s="96"/>
      <c r="I1105" s="96"/>
      <c r="J1105" s="96"/>
      <c r="K1105" s="96"/>
      <c r="L1105" s="96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9"/>
      <c r="AG1105" s="11" t="s">
        <v>748</v>
      </c>
      <c r="AH1105" s="11">
        <v>1</v>
      </c>
      <c r="AI1105" s="88" t="s">
        <v>727</v>
      </c>
      <c r="AJ1105" s="11">
        <f t="shared" si="73"/>
        <v>16.4025</v>
      </c>
    </row>
    <row r="1106" spans="1:36" x14ac:dyDescent="0.2">
      <c r="A1106" s="10"/>
      <c r="B1106" s="106"/>
      <c r="C1106" s="208" t="s">
        <v>771</v>
      </c>
      <c r="D1106" s="96">
        <v>10.75</v>
      </c>
      <c r="E1106" s="96" t="s">
        <v>745</v>
      </c>
      <c r="F1106" s="96">
        <v>5.25</v>
      </c>
      <c r="G1106" s="96"/>
      <c r="H1106" s="96"/>
      <c r="I1106" s="96"/>
      <c r="J1106" s="96"/>
      <c r="K1106" s="96"/>
      <c r="L1106" s="96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9"/>
      <c r="AG1106" s="11" t="s">
        <v>748</v>
      </c>
      <c r="AH1106" s="11">
        <v>1</v>
      </c>
      <c r="AI1106" s="88" t="s">
        <v>727</v>
      </c>
      <c r="AJ1106" s="11">
        <f t="shared" si="73"/>
        <v>56.4375</v>
      </c>
    </row>
    <row r="1107" spans="1:36" x14ac:dyDescent="0.2">
      <c r="A1107" s="10"/>
      <c r="B1107" s="106"/>
      <c r="C1107" s="208" t="s">
        <v>772</v>
      </c>
      <c r="D1107" s="96">
        <v>3.42</v>
      </c>
      <c r="E1107" s="96" t="s">
        <v>745</v>
      </c>
      <c r="F1107" s="96">
        <v>4.71</v>
      </c>
      <c r="G1107" s="96"/>
      <c r="H1107" s="96"/>
      <c r="I1107" s="96"/>
      <c r="J1107" s="96"/>
      <c r="K1107" s="96"/>
      <c r="L1107" s="96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9"/>
      <c r="AG1107" s="11" t="s">
        <v>748</v>
      </c>
      <c r="AH1107" s="11">
        <v>1</v>
      </c>
      <c r="AI1107" s="88" t="s">
        <v>727</v>
      </c>
      <c r="AJ1107" s="11">
        <f t="shared" si="73"/>
        <v>16.1082</v>
      </c>
    </row>
    <row r="1108" spans="1:36" x14ac:dyDescent="0.2">
      <c r="A1108" s="10"/>
      <c r="B1108" s="106"/>
      <c r="C1108" s="208" t="s">
        <v>773</v>
      </c>
      <c r="D1108" s="96">
        <v>3.45</v>
      </c>
      <c r="E1108" s="96" t="s">
        <v>745</v>
      </c>
      <c r="F1108" s="96">
        <v>1.65</v>
      </c>
      <c r="G1108" s="96"/>
      <c r="H1108" s="96"/>
      <c r="I1108" s="96"/>
      <c r="J1108" s="96"/>
      <c r="K1108" s="96"/>
      <c r="L1108" s="96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9"/>
      <c r="AG1108" s="11" t="s">
        <v>748</v>
      </c>
      <c r="AH1108" s="11">
        <v>1</v>
      </c>
      <c r="AI1108" s="88" t="s">
        <v>727</v>
      </c>
      <c r="AJ1108" s="11">
        <f t="shared" si="73"/>
        <v>5.6924999999999999</v>
      </c>
    </row>
    <row r="1109" spans="1:36" x14ac:dyDescent="0.2">
      <c r="A1109" s="10"/>
      <c r="B1109" s="106"/>
      <c r="C1109" s="208" t="s">
        <v>774</v>
      </c>
      <c r="D1109" s="96">
        <v>2.25</v>
      </c>
      <c r="E1109" s="96" t="s">
        <v>745</v>
      </c>
      <c r="F1109" s="96">
        <v>3.42</v>
      </c>
      <c r="G1109" s="96"/>
      <c r="H1109" s="96"/>
      <c r="I1109" s="96"/>
      <c r="J1109" s="96"/>
      <c r="K1109" s="96"/>
      <c r="L1109" s="96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9"/>
      <c r="AG1109" s="11" t="s">
        <v>748</v>
      </c>
      <c r="AH1109" s="11">
        <v>1</v>
      </c>
      <c r="AI1109" s="88" t="s">
        <v>727</v>
      </c>
      <c r="AJ1109" s="11">
        <f t="shared" si="73"/>
        <v>7.6950000000000003</v>
      </c>
    </row>
    <row r="1110" spans="1:36" x14ac:dyDescent="0.2">
      <c r="A1110" s="10"/>
      <c r="B1110" s="106"/>
      <c r="C1110" s="208" t="s">
        <v>775</v>
      </c>
      <c r="D1110" s="96">
        <v>5.4</v>
      </c>
      <c r="E1110" s="96" t="s">
        <v>745</v>
      </c>
      <c r="F1110" s="96">
        <v>3.8</v>
      </c>
      <c r="G1110" s="96"/>
      <c r="H1110" s="96"/>
      <c r="I1110" s="96"/>
      <c r="J1110" s="96"/>
      <c r="K1110" s="96"/>
      <c r="L1110" s="96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9"/>
      <c r="AG1110" s="11" t="s">
        <v>748</v>
      </c>
      <c r="AH1110" s="11">
        <v>1</v>
      </c>
      <c r="AI1110" s="88" t="s">
        <v>727</v>
      </c>
      <c r="AJ1110" s="11">
        <f t="shared" si="73"/>
        <v>20.52</v>
      </c>
    </row>
    <row r="1111" spans="1:36" x14ac:dyDescent="0.2">
      <c r="A1111" s="10"/>
      <c r="B1111" s="106"/>
      <c r="C1111" s="208" t="s">
        <v>776</v>
      </c>
      <c r="D1111" s="96">
        <v>2.35</v>
      </c>
      <c r="E1111" s="96" t="s">
        <v>745</v>
      </c>
      <c r="F1111" s="96">
        <v>4.79</v>
      </c>
      <c r="G1111" s="96"/>
      <c r="H1111" s="96"/>
      <c r="I1111" s="96"/>
      <c r="J1111" s="96"/>
      <c r="K1111" s="96"/>
      <c r="L1111" s="96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9"/>
      <c r="AG1111" s="11" t="s">
        <v>748</v>
      </c>
      <c r="AH1111" s="11">
        <v>1</v>
      </c>
      <c r="AI1111" s="88" t="s">
        <v>727</v>
      </c>
      <c r="AJ1111" s="11">
        <f t="shared" si="73"/>
        <v>11.256500000000001</v>
      </c>
    </row>
    <row r="1112" spans="1:36" x14ac:dyDescent="0.2">
      <c r="A1112" s="10"/>
      <c r="B1112" s="106"/>
      <c r="C1112" s="208" t="s">
        <v>777</v>
      </c>
      <c r="D1112" s="96">
        <v>7.95</v>
      </c>
      <c r="E1112" s="96" t="s">
        <v>745</v>
      </c>
      <c r="F1112" s="96">
        <v>2.5</v>
      </c>
      <c r="G1112" s="96" t="s">
        <v>764</v>
      </c>
      <c r="H1112" s="96">
        <v>0.8</v>
      </c>
      <c r="I1112" s="96" t="s">
        <v>745</v>
      </c>
      <c r="J1112" s="96">
        <v>1.2</v>
      </c>
      <c r="K1112" s="96"/>
      <c r="L1112" s="96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9"/>
      <c r="AG1112" s="11" t="s">
        <v>748</v>
      </c>
      <c r="AH1112" s="11">
        <v>1</v>
      </c>
      <c r="AI1112" s="88" t="s">
        <v>727</v>
      </c>
      <c r="AJ1112" s="11">
        <f t="shared" si="73"/>
        <v>20.835000000000001</v>
      </c>
    </row>
    <row r="1113" spans="1:36" x14ac:dyDescent="0.2">
      <c r="A1113" s="10"/>
      <c r="B1113" s="106"/>
      <c r="C1113" s="208" t="s">
        <v>778</v>
      </c>
      <c r="D1113" s="96">
        <v>4.9000000000000004</v>
      </c>
      <c r="E1113" s="96" t="s">
        <v>745</v>
      </c>
      <c r="F1113" s="96">
        <v>4.79</v>
      </c>
      <c r="G1113" s="96" t="s">
        <v>764</v>
      </c>
      <c r="H1113" s="96">
        <v>1.66</v>
      </c>
      <c r="I1113" s="96" t="s">
        <v>745</v>
      </c>
      <c r="J1113" s="96">
        <v>4.17</v>
      </c>
      <c r="K1113" s="96"/>
      <c r="L1113" s="96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9"/>
      <c r="AG1113" s="11" t="s">
        <v>748</v>
      </c>
      <c r="AH1113" s="11">
        <v>1</v>
      </c>
      <c r="AI1113" s="88" t="s">
        <v>727</v>
      </c>
      <c r="AJ1113" s="11">
        <f t="shared" si="73"/>
        <v>30.393200000000004</v>
      </c>
    </row>
    <row r="1114" spans="1:36" x14ac:dyDescent="0.2">
      <c r="A1114" s="10"/>
      <c r="B1114" s="106"/>
      <c r="C1114" s="208" t="s">
        <v>780</v>
      </c>
      <c r="D1114" s="96">
        <v>2.25</v>
      </c>
      <c r="E1114" s="96" t="s">
        <v>745</v>
      </c>
      <c r="F1114" s="96">
        <v>6.45</v>
      </c>
      <c r="G1114" s="96"/>
      <c r="H1114" s="96"/>
      <c r="I1114" s="96"/>
      <c r="J1114" s="96"/>
      <c r="K1114" s="96"/>
      <c r="L1114" s="96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9"/>
      <c r="AG1114" s="11" t="s">
        <v>748</v>
      </c>
      <c r="AH1114" s="11">
        <v>1</v>
      </c>
      <c r="AI1114" s="88" t="s">
        <v>727</v>
      </c>
      <c r="AJ1114" s="11">
        <f t="shared" si="73"/>
        <v>14.512500000000001</v>
      </c>
    </row>
    <row r="1115" spans="1:36" x14ac:dyDescent="0.2">
      <c r="A1115" s="10"/>
      <c r="B1115" s="106"/>
      <c r="C1115" s="208" t="s">
        <v>781</v>
      </c>
      <c r="D1115" s="96">
        <v>5.3</v>
      </c>
      <c r="E1115" s="96" t="s">
        <v>745</v>
      </c>
      <c r="F1115" s="96">
        <v>5.65</v>
      </c>
      <c r="G1115" s="96" t="s">
        <v>764</v>
      </c>
      <c r="H1115" s="96">
        <v>3.95</v>
      </c>
      <c r="I1115" s="96" t="s">
        <v>745</v>
      </c>
      <c r="J1115" s="96">
        <v>0.8</v>
      </c>
      <c r="K1115" s="96"/>
      <c r="L1115" s="96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9"/>
      <c r="AG1115" s="11" t="s">
        <v>748</v>
      </c>
      <c r="AH1115" s="11">
        <v>1</v>
      </c>
      <c r="AI1115" s="88" t="s">
        <v>727</v>
      </c>
      <c r="AJ1115" s="11">
        <f t="shared" si="73"/>
        <v>33.105000000000004</v>
      </c>
    </row>
    <row r="1116" spans="1:36" x14ac:dyDescent="0.2">
      <c r="A1116" s="10"/>
      <c r="B1116" s="106"/>
      <c r="C1116" s="209" t="s">
        <v>782</v>
      </c>
      <c r="D1116" s="96">
        <v>2.98</v>
      </c>
      <c r="E1116" s="96" t="s">
        <v>745</v>
      </c>
      <c r="F1116" s="96">
        <v>6.45</v>
      </c>
      <c r="G1116" s="96"/>
      <c r="H1116" s="96"/>
      <c r="I1116" s="96"/>
      <c r="J1116" s="96"/>
      <c r="K1116" s="96"/>
      <c r="L1116" s="96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9"/>
      <c r="AG1116" s="11" t="s">
        <v>748</v>
      </c>
      <c r="AH1116" s="11">
        <v>1</v>
      </c>
      <c r="AI1116" s="88" t="s">
        <v>727</v>
      </c>
      <c r="AJ1116" s="11">
        <f t="shared" si="73"/>
        <v>19.221</v>
      </c>
    </row>
    <row r="1117" spans="1:36" x14ac:dyDescent="0.2">
      <c r="A1117" s="10"/>
      <c r="B1117" s="106"/>
      <c r="C1117" s="7"/>
      <c r="D1117" s="328" t="s">
        <v>743</v>
      </c>
      <c r="E1117" s="329"/>
      <c r="F1117" s="329"/>
      <c r="G1117" s="329"/>
      <c r="H1117" s="329"/>
      <c r="I1117" s="329"/>
      <c r="J1117" s="329"/>
      <c r="K1117" s="329"/>
      <c r="L1117" s="329"/>
      <c r="M1117" s="329"/>
      <c r="N1117" s="329"/>
      <c r="O1117" s="329"/>
      <c r="P1117" s="329"/>
      <c r="Q1117" s="329"/>
      <c r="R1117" s="329"/>
      <c r="S1117" s="329"/>
      <c r="T1117" s="329"/>
      <c r="U1117" s="329"/>
      <c r="V1117" s="329"/>
      <c r="W1117" s="329"/>
      <c r="X1117" s="329"/>
      <c r="Y1117" s="329"/>
      <c r="Z1117" s="329"/>
      <c r="AA1117" s="329"/>
      <c r="AB1117" s="329"/>
      <c r="AC1117" s="329"/>
      <c r="AD1117" s="329"/>
      <c r="AE1117" s="329"/>
      <c r="AF1117" s="329"/>
      <c r="AG1117" s="317"/>
      <c r="AH1117" s="317"/>
      <c r="AI1117" s="318"/>
      <c r="AJ1117" s="92">
        <f>SUM(AJ1092:AJ1116)</f>
        <v>366.11289999999997</v>
      </c>
    </row>
    <row r="1118" spans="1:36" ht="24" x14ac:dyDescent="0.2">
      <c r="A1118" s="10" t="s">
        <v>285</v>
      </c>
      <c r="B1118" s="106" t="s">
        <v>286</v>
      </c>
      <c r="C1118" s="10" t="s">
        <v>287</v>
      </c>
      <c r="D1118" s="304"/>
      <c r="E1118" s="305"/>
      <c r="F1118" s="305"/>
      <c r="G1118" s="305"/>
      <c r="H1118" s="305"/>
      <c r="I1118" s="305"/>
      <c r="J1118" s="305"/>
      <c r="K1118" s="305"/>
      <c r="L1118" s="305"/>
      <c r="M1118" s="305"/>
      <c r="N1118" s="305"/>
      <c r="O1118" s="305"/>
      <c r="P1118" s="305"/>
      <c r="Q1118" s="305"/>
      <c r="R1118" s="305"/>
      <c r="S1118" s="305"/>
      <c r="T1118" s="305"/>
      <c r="U1118" s="305"/>
      <c r="V1118" s="305"/>
      <c r="W1118" s="305"/>
      <c r="X1118" s="305"/>
      <c r="Y1118" s="305"/>
      <c r="Z1118" s="305"/>
      <c r="AA1118" s="305"/>
      <c r="AB1118" s="305"/>
      <c r="AC1118" s="305"/>
      <c r="AD1118" s="305"/>
      <c r="AE1118" s="305"/>
      <c r="AF1118" s="305"/>
      <c r="AG1118" s="305"/>
      <c r="AH1118" s="305"/>
      <c r="AI1118" s="306"/>
      <c r="AJ1118" s="11" t="s">
        <v>19</v>
      </c>
    </row>
    <row r="1119" spans="1:36" ht="48" x14ac:dyDescent="0.2">
      <c r="A1119" s="10" t="s">
        <v>288</v>
      </c>
      <c r="B1119" s="106" t="s">
        <v>289</v>
      </c>
      <c r="C1119" s="131" t="s">
        <v>290</v>
      </c>
      <c r="D1119" s="304"/>
      <c r="E1119" s="305"/>
      <c r="F1119" s="305"/>
      <c r="G1119" s="305"/>
      <c r="H1119" s="305"/>
      <c r="I1119" s="305"/>
      <c r="J1119" s="305"/>
      <c r="K1119" s="305"/>
      <c r="L1119" s="305"/>
      <c r="M1119" s="305"/>
      <c r="N1119" s="305"/>
      <c r="O1119" s="305"/>
      <c r="P1119" s="305"/>
      <c r="Q1119" s="305"/>
      <c r="R1119" s="305"/>
      <c r="S1119" s="305"/>
      <c r="T1119" s="305"/>
      <c r="U1119" s="305"/>
      <c r="V1119" s="305"/>
      <c r="W1119" s="305"/>
      <c r="X1119" s="305"/>
      <c r="Y1119" s="305"/>
      <c r="Z1119" s="305"/>
      <c r="AA1119" s="305"/>
      <c r="AB1119" s="305"/>
      <c r="AC1119" s="305"/>
      <c r="AD1119" s="305"/>
      <c r="AE1119" s="305"/>
      <c r="AF1119" s="305"/>
      <c r="AG1119" s="305"/>
      <c r="AH1119" s="305"/>
      <c r="AI1119" s="306"/>
      <c r="AJ1119" s="11" t="s">
        <v>19</v>
      </c>
    </row>
    <row r="1120" spans="1:36" ht="24" x14ac:dyDescent="0.2">
      <c r="A1120" s="91" t="s">
        <v>846</v>
      </c>
      <c r="B1120" s="109">
        <v>88415</v>
      </c>
      <c r="C1120" s="128" t="s">
        <v>849</v>
      </c>
      <c r="D1120" s="304"/>
      <c r="E1120" s="305"/>
      <c r="F1120" s="305"/>
      <c r="G1120" s="305"/>
      <c r="H1120" s="305"/>
      <c r="I1120" s="305"/>
      <c r="J1120" s="305"/>
      <c r="K1120" s="305"/>
      <c r="L1120" s="305"/>
      <c r="M1120" s="305"/>
      <c r="N1120" s="305"/>
      <c r="O1120" s="305"/>
      <c r="P1120" s="305"/>
      <c r="Q1120" s="305"/>
      <c r="R1120" s="305"/>
      <c r="S1120" s="305"/>
      <c r="T1120" s="305"/>
      <c r="U1120" s="305"/>
      <c r="V1120" s="305"/>
      <c r="W1120" s="305"/>
      <c r="X1120" s="305"/>
      <c r="Y1120" s="305"/>
      <c r="Z1120" s="305"/>
      <c r="AA1120" s="305"/>
      <c r="AB1120" s="305"/>
      <c r="AC1120" s="305"/>
      <c r="AD1120" s="305"/>
      <c r="AE1120" s="305"/>
      <c r="AF1120" s="305"/>
      <c r="AG1120" s="305"/>
      <c r="AH1120" s="305"/>
      <c r="AI1120" s="306"/>
      <c r="AJ1120" s="11" t="s">
        <v>19</v>
      </c>
    </row>
    <row r="1121" spans="1:36" x14ac:dyDescent="0.2">
      <c r="A1121" s="91"/>
      <c r="B1121" s="110"/>
      <c r="C1121" s="111"/>
      <c r="D1121" s="290" t="s">
        <v>855</v>
      </c>
      <c r="E1121" s="290"/>
      <c r="F1121" s="290"/>
      <c r="G1121" s="290"/>
      <c r="H1121" s="290"/>
      <c r="I1121" s="290"/>
      <c r="J1121" s="290"/>
      <c r="K1121" s="290"/>
      <c r="L1121" s="290"/>
      <c r="M1121" s="290"/>
      <c r="N1121" s="290"/>
      <c r="O1121" s="290"/>
      <c r="P1121" s="290"/>
      <c r="Q1121" s="290"/>
      <c r="R1121" s="290"/>
      <c r="S1121" s="290"/>
      <c r="T1121" s="290"/>
      <c r="U1121" s="290"/>
      <c r="V1121" s="290"/>
      <c r="W1121" s="290"/>
      <c r="X1121" s="290"/>
      <c r="Y1121" s="290"/>
      <c r="Z1121" s="290"/>
      <c r="AA1121" s="290"/>
      <c r="AB1121" s="290"/>
      <c r="AC1121" s="290"/>
      <c r="AD1121" s="290"/>
      <c r="AE1121" s="290"/>
      <c r="AF1121" s="290"/>
      <c r="AG1121" s="290"/>
      <c r="AH1121" s="290"/>
      <c r="AI1121" s="290"/>
      <c r="AJ1121" s="290"/>
    </row>
    <row r="1122" spans="1:36" x14ac:dyDescent="0.2">
      <c r="A1122" s="91"/>
      <c r="B1122" s="112"/>
      <c r="C1122" s="208" t="s">
        <v>785</v>
      </c>
      <c r="D1122" s="11">
        <v>18.100000000000001</v>
      </c>
      <c r="E1122" s="11" t="s">
        <v>764</v>
      </c>
      <c r="F1122" s="11">
        <v>1.2</v>
      </c>
      <c r="G1122" s="11" t="s">
        <v>764</v>
      </c>
      <c r="H1122" s="11">
        <v>18.05</v>
      </c>
      <c r="I1122" s="11"/>
      <c r="J1122" s="11"/>
      <c r="K1122" s="11"/>
      <c r="L1122" s="11"/>
      <c r="M1122" s="10"/>
      <c r="N1122" s="10"/>
      <c r="O1122" s="10"/>
      <c r="P1122" s="10"/>
      <c r="Q1122" s="11"/>
      <c r="R1122" s="11"/>
      <c r="S1122" s="88"/>
      <c r="T1122" s="88"/>
      <c r="U1122" s="88"/>
      <c r="V1122" s="88"/>
      <c r="W1122" s="88"/>
      <c r="X1122" s="88"/>
      <c r="Y1122" s="88"/>
      <c r="Z1122" s="88"/>
      <c r="AA1122" s="88"/>
      <c r="AB1122" s="88"/>
      <c r="AC1122" s="88"/>
      <c r="AD1122" s="88"/>
      <c r="AE1122" s="88"/>
      <c r="AF1122" s="88"/>
      <c r="AG1122" s="11" t="s">
        <v>745</v>
      </c>
      <c r="AH1122" s="142">
        <v>2.5</v>
      </c>
      <c r="AI1122" s="88" t="s">
        <v>727</v>
      </c>
      <c r="AJ1122" s="11">
        <f t="shared" ref="AJ1122:AJ1127" si="74">(D1122+F1122+H1122+J1122+L1122)*AH1122</f>
        <v>93.375</v>
      </c>
    </row>
    <row r="1123" spans="1:36" x14ac:dyDescent="0.2">
      <c r="A1123" s="91"/>
      <c r="B1123" s="112"/>
      <c r="C1123" s="208" t="s">
        <v>786</v>
      </c>
      <c r="D1123" s="11">
        <v>4.3499999999999996</v>
      </c>
      <c r="E1123" s="11" t="s">
        <v>764</v>
      </c>
      <c r="F1123" s="11">
        <v>0.63</v>
      </c>
      <c r="G1123" s="11" t="s">
        <v>764</v>
      </c>
      <c r="H1123" s="11">
        <v>0.63</v>
      </c>
      <c r="I1123" s="11" t="s">
        <v>764</v>
      </c>
      <c r="J1123" s="11">
        <v>7.95</v>
      </c>
      <c r="K1123" s="11" t="s">
        <v>764</v>
      </c>
      <c r="L1123" s="11">
        <v>8.73</v>
      </c>
      <c r="M1123" s="10"/>
      <c r="N1123" s="10"/>
      <c r="O1123" s="10"/>
      <c r="P1123" s="10"/>
      <c r="Q1123" s="11"/>
      <c r="R1123" s="11"/>
      <c r="S1123" s="88"/>
      <c r="T1123" s="88"/>
      <c r="U1123" s="88"/>
      <c r="V1123" s="88"/>
      <c r="W1123" s="88"/>
      <c r="X1123" s="88"/>
      <c r="Y1123" s="88"/>
      <c r="Z1123" s="88"/>
      <c r="AA1123" s="88"/>
      <c r="AB1123" s="88"/>
      <c r="AC1123" s="88"/>
      <c r="AD1123" s="88"/>
      <c r="AE1123" s="88"/>
      <c r="AF1123" s="88"/>
      <c r="AG1123" s="11" t="s">
        <v>745</v>
      </c>
      <c r="AH1123" s="142">
        <v>2.5</v>
      </c>
      <c r="AI1123" s="88" t="s">
        <v>727</v>
      </c>
      <c r="AJ1123" s="11">
        <f t="shared" si="74"/>
        <v>55.724999999999994</v>
      </c>
    </row>
    <row r="1124" spans="1:36" x14ac:dyDescent="0.2">
      <c r="A1124" s="91"/>
      <c r="B1124" s="112"/>
      <c r="C1124" s="208" t="s">
        <v>787</v>
      </c>
      <c r="D1124" s="11">
        <v>2.58</v>
      </c>
      <c r="E1124" s="11" t="s">
        <v>764</v>
      </c>
      <c r="F1124" s="11">
        <v>1.25</v>
      </c>
      <c r="G1124" s="11" t="s">
        <v>764</v>
      </c>
      <c r="H1124" s="11">
        <v>2.2200000000000002</v>
      </c>
      <c r="I1124" s="11" t="s">
        <v>764</v>
      </c>
      <c r="J1124" s="11">
        <v>1.25</v>
      </c>
      <c r="K1124" s="11" t="s">
        <v>764</v>
      </c>
      <c r="L1124" s="11">
        <v>7.35</v>
      </c>
      <c r="M1124" s="10"/>
      <c r="N1124" s="10"/>
      <c r="O1124" s="10"/>
      <c r="P1124" s="10"/>
      <c r="Q1124" s="11"/>
      <c r="R1124" s="11"/>
      <c r="S1124" s="88"/>
      <c r="T1124" s="88"/>
      <c r="U1124" s="88"/>
      <c r="V1124" s="88"/>
      <c r="W1124" s="88"/>
      <c r="X1124" s="88"/>
      <c r="Y1124" s="88"/>
      <c r="Z1124" s="88"/>
      <c r="AA1124" s="88"/>
      <c r="AB1124" s="88"/>
      <c r="AC1124" s="88"/>
      <c r="AD1124" s="88"/>
      <c r="AE1124" s="88"/>
      <c r="AF1124" s="88"/>
      <c r="AG1124" s="11" t="s">
        <v>745</v>
      </c>
      <c r="AH1124" s="142">
        <v>2.5</v>
      </c>
      <c r="AI1124" s="88" t="s">
        <v>727</v>
      </c>
      <c r="AJ1124" s="11">
        <f t="shared" si="74"/>
        <v>36.625</v>
      </c>
    </row>
    <row r="1125" spans="1:36" x14ac:dyDescent="0.2">
      <c r="A1125" s="91"/>
      <c r="B1125" s="112"/>
      <c r="C1125" s="208" t="s">
        <v>788</v>
      </c>
      <c r="D1125" s="11">
        <v>6.75</v>
      </c>
      <c r="E1125" s="11" t="s">
        <v>764</v>
      </c>
      <c r="F1125" s="11">
        <v>3.42</v>
      </c>
      <c r="G1125" s="11" t="s">
        <v>764</v>
      </c>
      <c r="H1125" s="11">
        <v>6.6</v>
      </c>
      <c r="I1125" s="11"/>
      <c r="J1125" s="11"/>
      <c r="K1125" s="11"/>
      <c r="L1125" s="11"/>
      <c r="M1125" s="10"/>
      <c r="N1125" s="10"/>
      <c r="O1125" s="10"/>
      <c r="P1125" s="10"/>
      <c r="Q1125" s="11"/>
      <c r="R1125" s="11"/>
      <c r="S1125" s="88"/>
      <c r="T1125" s="88"/>
      <c r="U1125" s="88"/>
      <c r="V1125" s="88"/>
      <c r="W1125" s="88"/>
      <c r="X1125" s="88"/>
      <c r="Y1125" s="88"/>
      <c r="Z1125" s="88"/>
      <c r="AA1125" s="88"/>
      <c r="AB1125" s="88"/>
      <c r="AC1125" s="88"/>
      <c r="AD1125" s="88"/>
      <c r="AE1125" s="88"/>
      <c r="AF1125" s="88"/>
      <c r="AG1125" s="11" t="s">
        <v>745</v>
      </c>
      <c r="AH1125" s="142">
        <v>2.5</v>
      </c>
      <c r="AI1125" s="88" t="s">
        <v>727</v>
      </c>
      <c r="AJ1125" s="11">
        <f t="shared" si="74"/>
        <v>41.924999999999997</v>
      </c>
    </row>
    <row r="1126" spans="1:36" x14ac:dyDescent="0.2">
      <c r="A1126" s="91"/>
      <c r="B1126" s="112"/>
      <c r="C1126" s="208" t="s">
        <v>850</v>
      </c>
      <c r="D1126" s="11">
        <v>6.75</v>
      </c>
      <c r="E1126" s="11" t="s">
        <v>764</v>
      </c>
      <c r="F1126" s="11">
        <v>6.75</v>
      </c>
      <c r="G1126" s="11"/>
      <c r="H1126" s="11"/>
      <c r="I1126" s="11"/>
      <c r="J1126" s="11"/>
      <c r="K1126" s="11"/>
      <c r="L1126" s="11"/>
      <c r="M1126" s="10"/>
      <c r="N1126" s="10"/>
      <c r="O1126" s="10"/>
      <c r="P1126" s="10"/>
      <c r="Q1126" s="11"/>
      <c r="R1126" s="11"/>
      <c r="S1126" s="88"/>
      <c r="T1126" s="88"/>
      <c r="U1126" s="88"/>
      <c r="V1126" s="88"/>
      <c r="W1126" s="88"/>
      <c r="X1126" s="88"/>
      <c r="Y1126" s="88"/>
      <c r="Z1126" s="88"/>
      <c r="AA1126" s="88"/>
      <c r="AB1126" s="88"/>
      <c r="AC1126" s="88"/>
      <c r="AD1126" s="88"/>
      <c r="AE1126" s="88"/>
      <c r="AF1126" s="88"/>
      <c r="AG1126" s="11" t="s">
        <v>745</v>
      </c>
      <c r="AH1126" s="142">
        <v>2.5</v>
      </c>
      <c r="AI1126" s="88" t="s">
        <v>727</v>
      </c>
      <c r="AJ1126" s="11">
        <f t="shared" si="74"/>
        <v>33.75</v>
      </c>
    </row>
    <row r="1127" spans="1:36" x14ac:dyDescent="0.2">
      <c r="A1127" s="91"/>
      <c r="B1127" s="112"/>
      <c r="C1127" s="208" t="s">
        <v>851</v>
      </c>
      <c r="D1127" s="11">
        <v>116.3</v>
      </c>
      <c r="E1127" s="11"/>
      <c r="F1127" s="11"/>
      <c r="G1127" s="11"/>
      <c r="H1127" s="11"/>
      <c r="I1127" s="11"/>
      <c r="J1127" s="11"/>
      <c r="K1127" s="11"/>
      <c r="L1127" s="11"/>
      <c r="M1127" s="10"/>
      <c r="N1127" s="10"/>
      <c r="O1127" s="10"/>
      <c r="P1127" s="10"/>
      <c r="Q1127" s="11"/>
      <c r="R1127" s="11"/>
      <c r="S1127" s="88"/>
      <c r="T1127" s="88"/>
      <c r="U1127" s="88"/>
      <c r="V1127" s="88"/>
      <c r="W1127" s="88"/>
      <c r="X1127" s="88"/>
      <c r="Y1127" s="88"/>
      <c r="Z1127" s="88"/>
      <c r="AA1127" s="88"/>
      <c r="AB1127" s="88"/>
      <c r="AC1127" s="88"/>
      <c r="AD1127" s="88"/>
      <c r="AE1127" s="88"/>
      <c r="AF1127" s="88"/>
      <c r="AG1127" s="11" t="s">
        <v>745</v>
      </c>
      <c r="AH1127" s="142">
        <v>1.3</v>
      </c>
      <c r="AI1127" s="88" t="s">
        <v>727</v>
      </c>
      <c r="AJ1127" s="11">
        <f t="shared" si="74"/>
        <v>151.19</v>
      </c>
    </row>
    <row r="1128" spans="1:36" x14ac:dyDescent="0.2">
      <c r="A1128" s="91"/>
      <c r="B1128" s="112"/>
      <c r="C1128" s="215" t="s">
        <v>903</v>
      </c>
      <c r="D1128" s="11">
        <v>1.86</v>
      </c>
      <c r="E1128" s="11" t="s">
        <v>764</v>
      </c>
      <c r="F1128" s="11">
        <v>3.3</v>
      </c>
      <c r="G1128" s="11" t="s">
        <v>764</v>
      </c>
      <c r="H1128" s="11">
        <v>3.84</v>
      </c>
      <c r="I1128" s="11" t="s">
        <v>764</v>
      </c>
      <c r="J1128" s="11">
        <v>8.33</v>
      </c>
      <c r="K1128" s="11"/>
      <c r="L1128" s="11"/>
      <c r="M1128" s="10"/>
      <c r="N1128" s="10"/>
      <c r="O1128" s="10"/>
      <c r="P1128" s="5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 t="s">
        <v>745</v>
      </c>
      <c r="AH1128" s="159">
        <v>2</v>
      </c>
      <c r="AI1128" s="88" t="s">
        <v>727</v>
      </c>
      <c r="AJ1128" s="11">
        <f>(D1128*F1128)*AH1128</f>
        <v>12.276</v>
      </c>
    </row>
    <row r="1129" spans="1:36" x14ac:dyDescent="0.2">
      <c r="A1129" s="91"/>
      <c r="B1129" s="112"/>
      <c r="C1129" s="215" t="s">
        <v>903</v>
      </c>
      <c r="D1129" s="11">
        <v>2.2000000000000002</v>
      </c>
      <c r="E1129" s="11" t="s">
        <v>764</v>
      </c>
      <c r="F1129" s="11">
        <v>12.43</v>
      </c>
      <c r="G1129" s="11" t="s">
        <v>764</v>
      </c>
      <c r="H1129" s="11">
        <v>5.25</v>
      </c>
      <c r="I1129" s="11"/>
      <c r="J1129" s="11"/>
      <c r="K1129" s="11"/>
      <c r="L1129" s="11"/>
      <c r="M1129" s="10"/>
      <c r="N1129" s="10"/>
      <c r="O1129" s="10"/>
      <c r="P1129" s="5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 t="s">
        <v>745</v>
      </c>
      <c r="AH1129" s="159">
        <v>0.6</v>
      </c>
      <c r="AI1129" s="88" t="s">
        <v>727</v>
      </c>
      <c r="AJ1129" s="11">
        <f>(D1129*F1129)*AH1129</f>
        <v>16.407599999999999</v>
      </c>
    </row>
    <row r="1130" spans="1:36" x14ac:dyDescent="0.2">
      <c r="A1130" s="91"/>
      <c r="B1130" s="112"/>
      <c r="C1130" s="46" t="s">
        <v>904</v>
      </c>
      <c r="D1130" s="11">
        <v>1.1000000000000001</v>
      </c>
      <c r="E1130" s="11" t="s">
        <v>764</v>
      </c>
      <c r="F1130" s="11">
        <v>1.1000000000000001</v>
      </c>
      <c r="G1130" s="11"/>
      <c r="H1130" s="11"/>
      <c r="I1130" s="11"/>
      <c r="J1130" s="11"/>
      <c r="K1130" s="11"/>
      <c r="L1130" s="11"/>
      <c r="M1130" s="10"/>
      <c r="N1130" s="10"/>
      <c r="O1130" s="10"/>
      <c r="P1130" s="5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 t="s">
        <v>745</v>
      </c>
      <c r="AH1130" s="159">
        <v>2</v>
      </c>
      <c r="AI1130" s="88" t="s">
        <v>727</v>
      </c>
      <c r="AJ1130" s="11">
        <f>(D1130*F1130)*AH1130</f>
        <v>2.4200000000000004</v>
      </c>
    </row>
    <row r="1131" spans="1:36" x14ac:dyDescent="0.2">
      <c r="A1131" s="91"/>
      <c r="B1131" s="112"/>
      <c r="C1131" s="54"/>
      <c r="D1131" s="316" t="s">
        <v>856</v>
      </c>
      <c r="E1131" s="317"/>
      <c r="F1131" s="317"/>
      <c r="G1131" s="317"/>
      <c r="H1131" s="317"/>
      <c r="I1131" s="317"/>
      <c r="J1131" s="317"/>
      <c r="K1131" s="317"/>
      <c r="L1131" s="317"/>
      <c r="M1131" s="317"/>
      <c r="N1131" s="317"/>
      <c r="O1131" s="317"/>
      <c r="P1131" s="317"/>
      <c r="Q1131" s="317"/>
      <c r="R1131" s="317"/>
      <c r="S1131" s="317"/>
      <c r="T1131" s="317"/>
      <c r="U1131" s="317"/>
      <c r="V1131" s="317"/>
      <c r="W1131" s="317"/>
      <c r="X1131" s="317"/>
      <c r="Y1131" s="317"/>
      <c r="Z1131" s="317"/>
      <c r="AA1131" s="317"/>
      <c r="AB1131" s="317"/>
      <c r="AC1131" s="317"/>
      <c r="AD1131" s="317"/>
      <c r="AE1131" s="317"/>
      <c r="AF1131" s="317"/>
      <c r="AG1131" s="317"/>
      <c r="AH1131" s="317"/>
      <c r="AI1131" s="318"/>
      <c r="AJ1131" s="92">
        <f>SUM(AJ1122:AJ1130)</f>
        <v>443.6936</v>
      </c>
    </row>
    <row r="1132" spans="1:36" x14ac:dyDescent="0.2">
      <c r="A1132" s="91"/>
      <c r="B1132" s="112"/>
      <c r="C1132" s="54"/>
      <c r="D1132" s="324" t="s">
        <v>857</v>
      </c>
      <c r="E1132" s="325"/>
      <c r="F1132" s="325"/>
      <c r="G1132" s="325"/>
      <c r="H1132" s="325"/>
      <c r="I1132" s="325"/>
      <c r="J1132" s="325"/>
      <c r="K1132" s="325"/>
      <c r="L1132" s="325"/>
      <c r="M1132" s="325"/>
      <c r="N1132" s="325"/>
      <c r="O1132" s="325"/>
      <c r="P1132" s="325"/>
      <c r="Q1132" s="325"/>
      <c r="R1132" s="325"/>
      <c r="S1132" s="325"/>
      <c r="T1132" s="325"/>
      <c r="U1132" s="325"/>
      <c r="V1132" s="325"/>
      <c r="W1132" s="325"/>
      <c r="X1132" s="325"/>
      <c r="Y1132" s="325"/>
      <c r="Z1132" s="325"/>
      <c r="AA1132" s="325"/>
      <c r="AB1132" s="325"/>
      <c r="AC1132" s="325"/>
      <c r="AD1132" s="325"/>
      <c r="AE1132" s="325"/>
      <c r="AF1132" s="325"/>
      <c r="AG1132" s="325"/>
      <c r="AH1132" s="325"/>
      <c r="AI1132" s="325"/>
      <c r="AJ1132" s="326"/>
    </row>
    <row r="1133" spans="1:36" x14ac:dyDescent="0.2">
      <c r="A1133" s="91"/>
      <c r="B1133" s="112"/>
      <c r="C1133" s="13" t="s">
        <v>852</v>
      </c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8"/>
      <c r="AI1133" s="126"/>
      <c r="AJ1133" s="11"/>
    </row>
    <row r="1134" spans="1:36" x14ac:dyDescent="0.2">
      <c r="A1134" s="91"/>
      <c r="B1134" s="112"/>
      <c r="C1134" s="54"/>
      <c r="D1134" s="11">
        <v>0.6</v>
      </c>
      <c r="E1134" s="11" t="s">
        <v>748</v>
      </c>
      <c r="F1134" s="11">
        <v>0.6</v>
      </c>
      <c r="G1134" s="11"/>
      <c r="H1134" s="11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8" t="s">
        <v>745</v>
      </c>
      <c r="AH1134" s="89">
        <v>4</v>
      </c>
      <c r="AI1134" s="88" t="s">
        <v>727</v>
      </c>
      <c r="AJ1134" s="11">
        <f>SUM(D1134*F1134)*AH1134</f>
        <v>1.44</v>
      </c>
    </row>
    <row r="1135" spans="1:36" x14ac:dyDescent="0.2">
      <c r="A1135" s="91"/>
      <c r="B1135" s="112"/>
      <c r="C1135" s="13" t="s">
        <v>853</v>
      </c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8"/>
      <c r="AH1135" s="89"/>
      <c r="AI1135" s="88"/>
      <c r="AJ1135" s="11"/>
    </row>
    <row r="1136" spans="1:36" x14ac:dyDescent="0.2">
      <c r="A1136" s="91"/>
      <c r="B1136" s="112"/>
      <c r="C1136" s="208" t="s">
        <v>749</v>
      </c>
      <c r="D1136" s="11">
        <v>0.6</v>
      </c>
      <c r="E1136" s="11" t="s">
        <v>748</v>
      </c>
      <c r="F1136" s="11">
        <v>0.6</v>
      </c>
      <c r="G1136" s="11"/>
      <c r="H1136" s="11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8" t="s">
        <v>745</v>
      </c>
      <c r="AH1136" s="89">
        <v>17</v>
      </c>
      <c r="AI1136" s="88" t="s">
        <v>727</v>
      </c>
      <c r="AJ1136" s="11">
        <f>SUM(D1136*F1136)*AH1136</f>
        <v>6.12</v>
      </c>
    </row>
    <row r="1137" spans="1:36" x14ac:dyDescent="0.2">
      <c r="A1137" s="91"/>
      <c r="B1137" s="112"/>
      <c r="C1137" s="208" t="s">
        <v>750</v>
      </c>
      <c r="D1137" s="11">
        <v>0.6</v>
      </c>
      <c r="E1137" s="11" t="s">
        <v>748</v>
      </c>
      <c r="F1137" s="11">
        <v>0.9</v>
      </c>
      <c r="G1137" s="11"/>
      <c r="H1137" s="11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8" t="s">
        <v>745</v>
      </c>
      <c r="AH1137" s="89">
        <v>1</v>
      </c>
      <c r="AI1137" s="88" t="s">
        <v>727</v>
      </c>
      <c r="AJ1137" s="11">
        <f>SUM(D1137*F1137)*AH1137</f>
        <v>0.54</v>
      </c>
    </row>
    <row r="1138" spans="1:36" x14ac:dyDescent="0.2">
      <c r="A1138" s="91"/>
      <c r="B1138" s="112"/>
      <c r="C1138" s="208" t="s">
        <v>751</v>
      </c>
      <c r="D1138" s="11">
        <v>1.2</v>
      </c>
      <c r="E1138" s="11" t="s">
        <v>748</v>
      </c>
      <c r="F1138" s="11">
        <v>1.2</v>
      </c>
      <c r="G1138" s="11"/>
      <c r="H1138" s="11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8" t="s">
        <v>745</v>
      </c>
      <c r="AH1138" s="89">
        <v>6</v>
      </c>
      <c r="AI1138" s="88" t="s">
        <v>727</v>
      </c>
      <c r="AJ1138" s="11">
        <f>SUM(D1138*F1138)*AH1138</f>
        <v>8.64</v>
      </c>
    </row>
    <row r="1139" spans="1:36" x14ac:dyDescent="0.2">
      <c r="A1139" s="91"/>
      <c r="B1139" s="112"/>
      <c r="C1139" s="208" t="s">
        <v>752</v>
      </c>
      <c r="D1139" s="11">
        <v>1.8</v>
      </c>
      <c r="E1139" s="11" t="s">
        <v>748</v>
      </c>
      <c r="F1139" s="11">
        <v>1.2</v>
      </c>
      <c r="G1139" s="11"/>
      <c r="H1139" s="11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8" t="s">
        <v>745</v>
      </c>
      <c r="AH1139" s="89">
        <v>0</v>
      </c>
      <c r="AI1139" s="88" t="s">
        <v>727</v>
      </c>
      <c r="AJ1139" s="11">
        <f>SUM(D1139*F1139)*AH1139</f>
        <v>0</v>
      </c>
    </row>
    <row r="1140" spans="1:36" x14ac:dyDescent="0.2">
      <c r="A1140" s="91"/>
      <c r="B1140" s="112"/>
      <c r="C1140" s="208" t="s">
        <v>753</v>
      </c>
      <c r="D1140" s="11">
        <v>1.8</v>
      </c>
      <c r="E1140" s="11" t="s">
        <v>748</v>
      </c>
      <c r="F1140" s="11">
        <v>1.6</v>
      </c>
      <c r="G1140" s="11"/>
      <c r="H1140" s="11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8" t="s">
        <v>745</v>
      </c>
      <c r="AH1140" s="89">
        <v>6</v>
      </c>
      <c r="AI1140" s="88" t="s">
        <v>727</v>
      </c>
      <c r="AJ1140" s="11">
        <f>SUM(D1140*F1140)*AH1140</f>
        <v>17.28</v>
      </c>
    </row>
    <row r="1141" spans="1:36" x14ac:dyDescent="0.2">
      <c r="A1141" s="91"/>
      <c r="B1141" s="112"/>
      <c r="C1141" s="54"/>
      <c r="D1141" s="316" t="s">
        <v>830</v>
      </c>
      <c r="E1141" s="317"/>
      <c r="F1141" s="317"/>
      <c r="G1141" s="317"/>
      <c r="H1141" s="317"/>
      <c r="I1141" s="317"/>
      <c r="J1141" s="317"/>
      <c r="K1141" s="317"/>
      <c r="L1141" s="317"/>
      <c r="M1141" s="317"/>
      <c r="N1141" s="317"/>
      <c r="O1141" s="317"/>
      <c r="P1141" s="317"/>
      <c r="Q1141" s="317"/>
      <c r="R1141" s="317"/>
      <c r="S1141" s="317"/>
      <c r="T1141" s="317"/>
      <c r="U1141" s="317"/>
      <c r="V1141" s="317"/>
      <c r="W1141" s="317"/>
      <c r="X1141" s="317"/>
      <c r="Y1141" s="317"/>
      <c r="Z1141" s="317"/>
      <c r="AA1141" s="317"/>
      <c r="AB1141" s="317"/>
      <c r="AC1141" s="317"/>
      <c r="AD1141" s="317"/>
      <c r="AE1141" s="317"/>
      <c r="AF1141" s="317"/>
      <c r="AG1141" s="317"/>
      <c r="AH1141" s="317"/>
      <c r="AI1141" s="318"/>
      <c r="AJ1141" s="92">
        <f>SUM(AJ1134:AJ1140)</f>
        <v>34.020000000000003</v>
      </c>
    </row>
    <row r="1142" spans="1:36" x14ac:dyDescent="0.2">
      <c r="A1142" s="91"/>
      <c r="B1142" s="112"/>
      <c r="C1142" s="54"/>
      <c r="D1142" s="316" t="s">
        <v>858</v>
      </c>
      <c r="E1142" s="317"/>
      <c r="F1142" s="317"/>
      <c r="G1142" s="317"/>
      <c r="H1142" s="317"/>
      <c r="I1142" s="317"/>
      <c r="J1142" s="317"/>
      <c r="K1142" s="317"/>
      <c r="L1142" s="317"/>
      <c r="M1142" s="317"/>
      <c r="N1142" s="317"/>
      <c r="O1142" s="317"/>
      <c r="P1142" s="317"/>
      <c r="Q1142" s="317"/>
      <c r="R1142" s="317"/>
      <c r="S1142" s="317"/>
      <c r="T1142" s="317"/>
      <c r="U1142" s="317"/>
      <c r="V1142" s="317"/>
      <c r="W1142" s="317"/>
      <c r="X1142" s="317"/>
      <c r="Y1142" s="317"/>
      <c r="Z1142" s="317"/>
      <c r="AA1142" s="317"/>
      <c r="AB1142" s="317"/>
      <c r="AC1142" s="317"/>
      <c r="AD1142" s="317"/>
      <c r="AE1142" s="317"/>
      <c r="AF1142" s="317"/>
      <c r="AG1142" s="317"/>
      <c r="AH1142" s="317"/>
      <c r="AI1142" s="318"/>
      <c r="AJ1142" s="92">
        <f>AJ1131-AJ1141</f>
        <v>409.67360000000002</v>
      </c>
    </row>
    <row r="1143" spans="1:36" ht="36" x14ac:dyDescent="0.2">
      <c r="A1143" s="91" t="s">
        <v>847</v>
      </c>
      <c r="B1143" s="112">
        <v>88414</v>
      </c>
      <c r="C1143" s="54" t="s">
        <v>865</v>
      </c>
      <c r="D1143" s="294"/>
      <c r="E1143" s="295"/>
      <c r="F1143" s="295"/>
      <c r="G1143" s="295"/>
      <c r="H1143" s="295"/>
      <c r="I1143" s="295"/>
      <c r="J1143" s="295"/>
      <c r="K1143" s="295"/>
      <c r="L1143" s="295"/>
      <c r="M1143" s="295"/>
      <c r="N1143" s="295"/>
      <c r="O1143" s="295"/>
      <c r="P1143" s="295"/>
      <c r="Q1143" s="295"/>
      <c r="R1143" s="295"/>
      <c r="S1143" s="295"/>
      <c r="T1143" s="295"/>
      <c r="U1143" s="295"/>
      <c r="V1143" s="295"/>
      <c r="W1143" s="295"/>
      <c r="X1143" s="295"/>
      <c r="Y1143" s="295"/>
      <c r="Z1143" s="295"/>
      <c r="AA1143" s="295"/>
      <c r="AB1143" s="295"/>
      <c r="AC1143" s="295"/>
      <c r="AD1143" s="295"/>
      <c r="AE1143" s="295"/>
      <c r="AF1143" s="295"/>
      <c r="AG1143" s="295"/>
      <c r="AH1143" s="295"/>
      <c r="AI1143" s="295"/>
      <c r="AJ1143" s="11" t="s">
        <v>19</v>
      </c>
    </row>
    <row r="1144" spans="1:36" x14ac:dyDescent="0.2">
      <c r="A1144" s="91"/>
      <c r="B1144" s="112"/>
      <c r="C1144" s="54"/>
      <c r="D1144" s="322" t="s">
        <v>859</v>
      </c>
      <c r="E1144" s="323"/>
      <c r="F1144" s="323"/>
      <c r="G1144" s="323"/>
      <c r="H1144" s="323"/>
      <c r="I1144" s="323"/>
      <c r="J1144" s="323"/>
      <c r="K1144" s="323"/>
      <c r="L1144" s="323"/>
      <c r="M1144" s="323"/>
      <c r="N1144" s="323"/>
      <c r="O1144" s="323"/>
      <c r="P1144" s="323"/>
      <c r="Q1144" s="323"/>
      <c r="R1144" s="323"/>
      <c r="S1144" s="323"/>
      <c r="T1144" s="323"/>
      <c r="U1144" s="323"/>
      <c r="V1144" s="323"/>
      <c r="W1144" s="323"/>
      <c r="X1144" s="323"/>
      <c r="Y1144" s="323"/>
      <c r="Z1144" s="323"/>
      <c r="AA1144" s="323"/>
      <c r="AB1144" s="323"/>
      <c r="AC1144" s="323"/>
      <c r="AD1144" s="323"/>
      <c r="AE1144" s="323"/>
      <c r="AF1144" s="323"/>
      <c r="AG1144" s="323"/>
      <c r="AH1144" s="323"/>
      <c r="AI1144" s="323"/>
      <c r="AJ1144" s="327"/>
    </row>
    <row r="1145" spans="1:36" x14ac:dyDescent="0.2">
      <c r="A1145" s="91"/>
      <c r="B1145" s="112"/>
      <c r="C1145" s="207" t="s">
        <v>763</v>
      </c>
      <c r="D1145" s="11">
        <v>3</v>
      </c>
      <c r="E1145" s="11" t="s">
        <v>764</v>
      </c>
      <c r="F1145" s="11">
        <v>3</v>
      </c>
      <c r="G1145" s="11" t="s">
        <v>764</v>
      </c>
      <c r="H1145" s="11">
        <v>2.23</v>
      </c>
      <c r="I1145" s="11" t="s">
        <v>764</v>
      </c>
      <c r="J1145" s="11">
        <v>2.23</v>
      </c>
      <c r="K1145" s="11"/>
      <c r="L1145" s="11"/>
      <c r="M1145" s="11"/>
      <c r="N1145" s="11"/>
      <c r="O1145" s="7"/>
      <c r="P1145" s="7"/>
      <c r="Q1145" s="7"/>
      <c r="R1145" s="7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 t="s">
        <v>748</v>
      </c>
      <c r="AH1145" s="142">
        <v>0.8</v>
      </c>
      <c r="AI1145" s="88" t="s">
        <v>727</v>
      </c>
      <c r="AJ1145" s="11">
        <f t="shared" ref="AJ1145:AJ1162" si="75">(D1145+F1145+H1145+J1145+L1145+N1145)*AH1145</f>
        <v>8.3680000000000003</v>
      </c>
    </row>
    <row r="1146" spans="1:36" x14ac:dyDescent="0.2">
      <c r="A1146" s="91"/>
      <c r="B1146" s="112"/>
      <c r="C1146" s="207" t="s">
        <v>765</v>
      </c>
      <c r="D1146" s="11">
        <v>2.8</v>
      </c>
      <c r="E1146" s="11" t="s">
        <v>764</v>
      </c>
      <c r="F1146" s="11">
        <v>2.8</v>
      </c>
      <c r="G1146" s="11" t="s">
        <v>764</v>
      </c>
      <c r="H1146" s="11">
        <v>2.23</v>
      </c>
      <c r="I1146" s="11" t="s">
        <v>764</v>
      </c>
      <c r="J1146" s="11">
        <v>2.23</v>
      </c>
      <c r="K1146" s="11"/>
      <c r="L1146" s="11"/>
      <c r="M1146" s="11"/>
      <c r="N1146" s="11"/>
      <c r="O1146" s="7"/>
      <c r="P1146" s="7"/>
      <c r="Q1146" s="7"/>
      <c r="R1146" s="7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 t="s">
        <v>748</v>
      </c>
      <c r="AH1146" s="142">
        <v>0.8</v>
      </c>
      <c r="AI1146" s="88" t="s">
        <v>727</v>
      </c>
      <c r="AJ1146" s="11">
        <f t="shared" si="75"/>
        <v>8.048</v>
      </c>
    </row>
    <row r="1147" spans="1:36" x14ac:dyDescent="0.2">
      <c r="A1147" s="91"/>
      <c r="B1147" s="112"/>
      <c r="C1147" s="208" t="s">
        <v>766</v>
      </c>
      <c r="D1147" s="11">
        <v>3.9</v>
      </c>
      <c r="E1147" s="11" t="s">
        <v>764</v>
      </c>
      <c r="F1147" s="11">
        <v>3.9</v>
      </c>
      <c r="G1147" s="11" t="s">
        <v>764</v>
      </c>
      <c r="H1147" s="11">
        <v>2.0699999999999998</v>
      </c>
      <c r="I1147" s="11" t="s">
        <v>764</v>
      </c>
      <c r="J1147" s="11">
        <v>2.0699999999999998</v>
      </c>
      <c r="K1147" s="11"/>
      <c r="L1147" s="11"/>
      <c r="M1147" s="11"/>
      <c r="N1147" s="11"/>
      <c r="O1147" s="7"/>
      <c r="P1147" s="7"/>
      <c r="Q1147" s="7"/>
      <c r="R1147" s="7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 t="s">
        <v>748</v>
      </c>
      <c r="AH1147" s="142">
        <v>1.4</v>
      </c>
      <c r="AI1147" s="88" t="s">
        <v>727</v>
      </c>
      <c r="AJ1147" s="11">
        <f t="shared" si="75"/>
        <v>16.715999999999998</v>
      </c>
    </row>
    <row r="1148" spans="1:36" x14ac:dyDescent="0.2">
      <c r="A1148" s="91"/>
      <c r="B1148" s="112"/>
      <c r="C1148" s="208" t="s">
        <v>767</v>
      </c>
      <c r="D1148" s="11">
        <v>6.75</v>
      </c>
      <c r="E1148" s="11" t="s">
        <v>764</v>
      </c>
      <c r="F1148" s="11">
        <v>6.75</v>
      </c>
      <c r="G1148" s="11"/>
      <c r="H1148" s="11"/>
      <c r="I1148" s="11"/>
      <c r="J1148" s="11"/>
      <c r="K1148" s="11"/>
      <c r="L1148" s="11"/>
      <c r="M1148" s="11"/>
      <c r="N1148" s="216"/>
      <c r="O1148" s="7"/>
      <c r="P1148" s="7"/>
      <c r="Q1148" s="7"/>
      <c r="R1148" s="7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 t="s">
        <v>748</v>
      </c>
      <c r="AH1148" s="142">
        <v>2.2000000000000002</v>
      </c>
      <c r="AI1148" s="88" t="s">
        <v>727</v>
      </c>
      <c r="AJ1148" s="11">
        <f t="shared" si="75"/>
        <v>29.700000000000003</v>
      </c>
    </row>
    <row r="1149" spans="1:36" x14ac:dyDescent="0.2">
      <c r="A1149" s="91"/>
      <c r="B1149" s="112"/>
      <c r="C1149" s="208" t="s">
        <v>768</v>
      </c>
      <c r="D1149" s="11">
        <v>2.25</v>
      </c>
      <c r="E1149" s="11" t="s">
        <v>764</v>
      </c>
      <c r="F1149" s="11">
        <v>2.25</v>
      </c>
      <c r="G1149" s="11" t="s">
        <v>764</v>
      </c>
      <c r="H1149" s="11">
        <v>1.95</v>
      </c>
      <c r="I1149" s="11" t="s">
        <v>764</v>
      </c>
      <c r="J1149" s="11">
        <v>1.95</v>
      </c>
      <c r="K1149" s="11"/>
      <c r="L1149" s="11"/>
      <c r="M1149" s="11"/>
      <c r="N1149" s="11"/>
      <c r="O1149" s="7"/>
      <c r="P1149" s="7"/>
      <c r="Q1149" s="7"/>
      <c r="R1149" s="7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 t="s">
        <v>748</v>
      </c>
      <c r="AH1149" s="142">
        <v>0.8</v>
      </c>
      <c r="AI1149" s="88" t="s">
        <v>727</v>
      </c>
      <c r="AJ1149" s="11">
        <f t="shared" si="75"/>
        <v>6.7200000000000006</v>
      </c>
    </row>
    <row r="1150" spans="1:36" x14ac:dyDescent="0.2">
      <c r="A1150" s="91"/>
      <c r="B1150" s="112"/>
      <c r="C1150" s="208" t="s">
        <v>769</v>
      </c>
      <c r="D1150" s="11">
        <v>2.25</v>
      </c>
      <c r="E1150" s="11" t="s">
        <v>764</v>
      </c>
      <c r="F1150" s="11">
        <v>2.25</v>
      </c>
      <c r="G1150" s="11" t="s">
        <v>764</v>
      </c>
      <c r="H1150" s="11">
        <v>1.95</v>
      </c>
      <c r="I1150" s="11" t="s">
        <v>764</v>
      </c>
      <c r="J1150" s="11">
        <v>1.95</v>
      </c>
      <c r="K1150" s="11"/>
      <c r="L1150" s="11"/>
      <c r="M1150" s="11"/>
      <c r="N1150" s="11"/>
      <c r="O1150" s="7"/>
      <c r="P1150" s="7"/>
      <c r="Q1150" s="7"/>
      <c r="R1150" s="7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 t="s">
        <v>748</v>
      </c>
      <c r="AH1150" s="142">
        <v>0.8</v>
      </c>
      <c r="AI1150" s="88" t="s">
        <v>727</v>
      </c>
      <c r="AJ1150" s="11">
        <f t="shared" si="75"/>
        <v>6.7200000000000006</v>
      </c>
    </row>
    <row r="1151" spans="1:36" x14ac:dyDescent="0.2">
      <c r="A1151" s="91"/>
      <c r="B1151" s="112"/>
      <c r="C1151" s="208" t="s">
        <v>770</v>
      </c>
      <c r="D1151" s="11">
        <v>4.05</v>
      </c>
      <c r="E1151" s="11" t="s">
        <v>764</v>
      </c>
      <c r="F1151" s="11">
        <v>4.05</v>
      </c>
      <c r="G1151" s="11" t="s">
        <v>764</v>
      </c>
      <c r="H1151" s="11">
        <v>4.05</v>
      </c>
      <c r="I1151" s="11" t="s">
        <v>764</v>
      </c>
      <c r="J1151" s="11">
        <v>4.05</v>
      </c>
      <c r="K1151" s="11"/>
      <c r="L1151" s="11"/>
      <c r="M1151" s="11"/>
      <c r="N1151" s="11"/>
      <c r="O1151" s="7"/>
      <c r="P1151" s="7"/>
      <c r="Q1151" s="7"/>
      <c r="R1151" s="7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 t="s">
        <v>748</v>
      </c>
      <c r="AH1151" s="142">
        <v>1.4</v>
      </c>
      <c r="AI1151" s="88" t="s">
        <v>727</v>
      </c>
      <c r="AJ1151" s="11">
        <f t="shared" si="75"/>
        <v>22.679999999999996</v>
      </c>
    </row>
    <row r="1152" spans="1:36" x14ac:dyDescent="0.2">
      <c r="A1152" s="91"/>
      <c r="B1152" s="112"/>
      <c r="C1152" s="208" t="s">
        <v>771</v>
      </c>
      <c r="D1152" s="11">
        <v>5.25</v>
      </c>
      <c r="E1152" s="11" t="s">
        <v>764</v>
      </c>
      <c r="F1152" s="11">
        <v>10.75</v>
      </c>
      <c r="G1152" s="11" t="s">
        <v>764</v>
      </c>
      <c r="H1152" s="11">
        <v>2.5499999999999998</v>
      </c>
      <c r="I1152" s="11" t="s">
        <v>764</v>
      </c>
      <c r="J1152" s="11">
        <v>6.1</v>
      </c>
      <c r="K1152" s="11"/>
      <c r="L1152" s="11"/>
      <c r="M1152" s="11"/>
      <c r="N1152" s="11"/>
      <c r="O1152" s="7"/>
      <c r="P1152" s="7"/>
      <c r="Q1152" s="7"/>
      <c r="R1152" s="7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 t="s">
        <v>748</v>
      </c>
      <c r="AH1152" s="142">
        <v>2.2000000000000002</v>
      </c>
      <c r="AI1152" s="88" t="s">
        <v>727</v>
      </c>
      <c r="AJ1152" s="11">
        <f t="shared" si="75"/>
        <v>54.230000000000004</v>
      </c>
    </row>
    <row r="1153" spans="1:36" x14ac:dyDescent="0.2">
      <c r="A1153" s="91"/>
      <c r="B1153" s="112"/>
      <c r="C1153" s="208" t="s">
        <v>772</v>
      </c>
      <c r="D1153" s="11">
        <v>4.6500000000000004</v>
      </c>
      <c r="E1153" s="11" t="s">
        <v>764</v>
      </c>
      <c r="F1153" s="11">
        <v>4.6500000000000004</v>
      </c>
      <c r="G1153" s="11" t="s">
        <v>764</v>
      </c>
      <c r="H1153" s="11">
        <v>3.45</v>
      </c>
      <c r="I1153" s="11" t="s">
        <v>764</v>
      </c>
      <c r="J1153" s="11">
        <v>3.45</v>
      </c>
      <c r="K1153" s="11"/>
      <c r="L1153" s="11"/>
      <c r="M1153" s="11"/>
      <c r="N1153" s="11"/>
      <c r="O1153" s="7"/>
      <c r="P1153" s="7"/>
      <c r="Q1153" s="7"/>
      <c r="R1153" s="7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 t="s">
        <v>748</v>
      </c>
      <c r="AH1153" s="142">
        <v>1.4</v>
      </c>
      <c r="AI1153" s="88" t="s">
        <v>727</v>
      </c>
      <c r="AJ1153" s="11">
        <f t="shared" si="75"/>
        <v>22.679999999999996</v>
      </c>
    </row>
    <row r="1154" spans="1:36" x14ac:dyDescent="0.2">
      <c r="A1154" s="91"/>
      <c r="B1154" s="112"/>
      <c r="C1154" s="208" t="s">
        <v>774</v>
      </c>
      <c r="D1154" s="11">
        <v>3.42</v>
      </c>
      <c r="E1154" s="11" t="s">
        <v>764</v>
      </c>
      <c r="F1154" s="88">
        <v>3.42</v>
      </c>
      <c r="G1154" s="11" t="s">
        <v>764</v>
      </c>
      <c r="H1154" s="11">
        <v>2.2400000000000002</v>
      </c>
      <c r="I1154" s="11" t="s">
        <v>764</v>
      </c>
      <c r="J1154" s="11">
        <v>2.2400000000000002</v>
      </c>
      <c r="K1154" s="11"/>
      <c r="L1154" s="11"/>
      <c r="M1154" s="11"/>
      <c r="N1154" s="11"/>
      <c r="O1154" s="7"/>
      <c r="P1154" s="7"/>
      <c r="Q1154" s="7"/>
      <c r="R1154" s="7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 t="s">
        <v>748</v>
      </c>
      <c r="AH1154" s="142">
        <v>1.4</v>
      </c>
      <c r="AI1154" s="88" t="s">
        <v>727</v>
      </c>
      <c r="AJ1154" s="11">
        <f t="shared" si="75"/>
        <v>15.847999999999999</v>
      </c>
    </row>
    <row r="1155" spans="1:36" x14ac:dyDescent="0.2">
      <c r="A1155" s="91"/>
      <c r="B1155" s="112"/>
      <c r="C1155" s="208" t="s">
        <v>854</v>
      </c>
      <c r="D1155" s="11">
        <v>1.53</v>
      </c>
      <c r="E1155" s="11" t="s">
        <v>764</v>
      </c>
      <c r="F1155" s="88">
        <v>3.45</v>
      </c>
      <c r="G1155" s="11" t="s">
        <v>764</v>
      </c>
      <c r="H1155" s="11">
        <v>3.45</v>
      </c>
      <c r="I1155" s="11" t="s">
        <v>764</v>
      </c>
      <c r="J1155" s="11">
        <v>1.53</v>
      </c>
      <c r="K1155" s="11"/>
      <c r="L1155" s="11"/>
      <c r="M1155" s="11"/>
      <c r="N1155" s="11"/>
      <c r="O1155" s="7"/>
      <c r="P1155" s="7"/>
      <c r="Q1155" s="7"/>
      <c r="R1155" s="7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 t="s">
        <v>748</v>
      </c>
      <c r="AH1155" s="142">
        <v>2.7</v>
      </c>
      <c r="AI1155" s="88" t="s">
        <v>727</v>
      </c>
      <c r="AJ1155" s="11">
        <f t="shared" si="75"/>
        <v>26.891999999999999</v>
      </c>
    </row>
    <row r="1156" spans="1:36" x14ac:dyDescent="0.2">
      <c r="A1156" s="91"/>
      <c r="B1156" s="112"/>
      <c r="C1156" s="208" t="s">
        <v>775</v>
      </c>
      <c r="D1156" s="11">
        <v>5.39</v>
      </c>
      <c r="E1156" s="11" t="s">
        <v>764</v>
      </c>
      <c r="F1156" s="11">
        <v>5.39</v>
      </c>
      <c r="G1156" s="11" t="s">
        <v>764</v>
      </c>
      <c r="H1156" s="11">
        <v>3.8</v>
      </c>
      <c r="I1156" s="11" t="s">
        <v>764</v>
      </c>
      <c r="J1156" s="11">
        <v>3.8</v>
      </c>
      <c r="K1156" s="11"/>
      <c r="L1156" s="11"/>
      <c r="M1156" s="11"/>
      <c r="N1156" s="11"/>
      <c r="O1156" s="7"/>
      <c r="P1156" s="7"/>
      <c r="Q1156" s="7"/>
      <c r="R1156" s="7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 t="s">
        <v>748</v>
      </c>
      <c r="AH1156" s="142">
        <v>1.4</v>
      </c>
      <c r="AI1156" s="88" t="s">
        <v>727</v>
      </c>
      <c r="AJ1156" s="11">
        <f t="shared" si="75"/>
        <v>25.731999999999996</v>
      </c>
    </row>
    <row r="1157" spans="1:36" x14ac:dyDescent="0.2">
      <c r="A1157" s="91"/>
      <c r="B1157" s="112"/>
      <c r="C1157" s="208" t="s">
        <v>776</v>
      </c>
      <c r="D1157" s="11">
        <v>4.79</v>
      </c>
      <c r="E1157" s="11" t="s">
        <v>764</v>
      </c>
      <c r="F1157" s="11">
        <v>4.79</v>
      </c>
      <c r="G1157" s="11" t="s">
        <v>764</v>
      </c>
      <c r="H1157" s="11">
        <v>1.64</v>
      </c>
      <c r="I1157" s="11" t="s">
        <v>764</v>
      </c>
      <c r="J1157" s="11">
        <v>1.64</v>
      </c>
      <c r="K1157" s="11"/>
      <c r="L1157" s="11"/>
      <c r="M1157" s="11"/>
      <c r="N1157" s="11"/>
      <c r="O1157" s="7"/>
      <c r="P1157" s="7"/>
      <c r="Q1157" s="7"/>
      <c r="R1157" s="7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 t="s">
        <v>748</v>
      </c>
      <c r="AH1157" s="142">
        <v>1.4</v>
      </c>
      <c r="AI1157" s="88" t="s">
        <v>727</v>
      </c>
      <c r="AJ1157" s="11">
        <f t="shared" si="75"/>
        <v>18.004000000000001</v>
      </c>
    </row>
    <row r="1158" spans="1:36" x14ac:dyDescent="0.2">
      <c r="A1158" s="91"/>
      <c r="B1158" s="112"/>
      <c r="C1158" s="208" t="s">
        <v>777</v>
      </c>
      <c r="D1158" s="11">
        <v>7.95</v>
      </c>
      <c r="E1158" s="11" t="s">
        <v>764</v>
      </c>
      <c r="F1158" s="11">
        <v>1</v>
      </c>
      <c r="G1158" s="11" t="s">
        <v>764</v>
      </c>
      <c r="H1158" s="11">
        <v>3.23</v>
      </c>
      <c r="I1158" s="11" t="s">
        <v>764</v>
      </c>
      <c r="J1158" s="11">
        <v>1.51</v>
      </c>
      <c r="K1158" s="11" t="s">
        <v>764</v>
      </c>
      <c r="L1158" s="11">
        <v>11.18</v>
      </c>
      <c r="M1158" s="11"/>
      <c r="N1158" s="11"/>
      <c r="O1158" s="7"/>
      <c r="P1158" s="7"/>
      <c r="Q1158" s="7"/>
      <c r="R1158" s="7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 t="s">
        <v>748</v>
      </c>
      <c r="AH1158" s="142">
        <v>2.2000000000000002</v>
      </c>
      <c r="AI1158" s="88" t="s">
        <v>727</v>
      </c>
      <c r="AJ1158" s="11">
        <f t="shared" si="75"/>
        <v>54.713999999999999</v>
      </c>
    </row>
    <row r="1159" spans="1:36" x14ac:dyDescent="0.2">
      <c r="A1159" s="91"/>
      <c r="B1159" s="112"/>
      <c r="C1159" s="208" t="s">
        <v>778</v>
      </c>
      <c r="D1159" s="11">
        <v>0.73</v>
      </c>
      <c r="E1159" s="11" t="s">
        <v>764</v>
      </c>
      <c r="F1159" s="11">
        <v>4.79</v>
      </c>
      <c r="G1159" s="11" t="s">
        <v>764</v>
      </c>
      <c r="H1159" s="11">
        <v>4.9000000000000004</v>
      </c>
      <c r="I1159" s="11" t="s">
        <v>764</v>
      </c>
      <c r="J1159" s="11">
        <v>6.45</v>
      </c>
      <c r="K1159" s="11" t="s">
        <v>764</v>
      </c>
      <c r="L1159" s="11">
        <v>4.17</v>
      </c>
      <c r="M1159" s="11" t="s">
        <v>764</v>
      </c>
      <c r="N1159" s="11">
        <v>1.66</v>
      </c>
      <c r="O1159" s="7"/>
      <c r="P1159" s="7"/>
      <c r="Q1159" s="7"/>
      <c r="R1159" s="7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 t="s">
        <v>748</v>
      </c>
      <c r="AH1159" s="142">
        <v>1.4</v>
      </c>
      <c r="AI1159" s="88" t="s">
        <v>727</v>
      </c>
      <c r="AJ1159" s="11">
        <f t="shared" si="75"/>
        <v>31.779999999999998</v>
      </c>
    </row>
    <row r="1160" spans="1:36" x14ac:dyDescent="0.2">
      <c r="A1160" s="91"/>
      <c r="B1160" s="112"/>
      <c r="C1160" s="208" t="s">
        <v>780</v>
      </c>
      <c r="D1160" s="11">
        <v>6.45</v>
      </c>
      <c r="E1160" s="11" t="s">
        <v>764</v>
      </c>
      <c r="F1160" s="11">
        <v>6.45</v>
      </c>
      <c r="G1160" s="11" t="s">
        <v>764</v>
      </c>
      <c r="H1160" s="11">
        <v>2.25</v>
      </c>
      <c r="I1160" s="11" t="s">
        <v>764</v>
      </c>
      <c r="J1160" s="11">
        <v>2.25</v>
      </c>
      <c r="K1160" s="11"/>
      <c r="L1160" s="11"/>
      <c r="M1160" s="11"/>
      <c r="N1160" s="11"/>
      <c r="O1160" s="7"/>
      <c r="P1160" s="7"/>
      <c r="Q1160" s="7"/>
      <c r="R1160" s="7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 t="s">
        <v>748</v>
      </c>
      <c r="AH1160" s="142">
        <v>0.8</v>
      </c>
      <c r="AI1160" s="88" t="s">
        <v>727</v>
      </c>
      <c r="AJ1160" s="11">
        <f t="shared" si="75"/>
        <v>13.92</v>
      </c>
    </row>
    <row r="1161" spans="1:36" x14ac:dyDescent="0.2">
      <c r="A1161" s="91"/>
      <c r="B1161" s="112"/>
      <c r="C1161" s="208" t="s">
        <v>781</v>
      </c>
      <c r="D1161" s="11">
        <v>6.45</v>
      </c>
      <c r="E1161" s="11" t="s">
        <v>764</v>
      </c>
      <c r="F1161" s="220">
        <v>6.45</v>
      </c>
      <c r="G1161" s="11" t="s">
        <v>764</v>
      </c>
      <c r="H1161" s="11">
        <v>5.3</v>
      </c>
      <c r="I1161" s="11" t="s">
        <v>764</v>
      </c>
      <c r="J1161" s="11">
        <v>5.3</v>
      </c>
      <c r="K1161" s="11"/>
      <c r="L1161" s="11"/>
      <c r="M1161" s="11"/>
      <c r="N1161" s="11"/>
      <c r="O1161" s="7"/>
      <c r="P1161" s="7"/>
      <c r="Q1161" s="7"/>
      <c r="R1161" s="7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 t="s">
        <v>748</v>
      </c>
      <c r="AH1161" s="142">
        <v>1.4</v>
      </c>
      <c r="AI1161" s="88" t="s">
        <v>727</v>
      </c>
      <c r="AJ1161" s="11">
        <f t="shared" si="75"/>
        <v>32.9</v>
      </c>
    </row>
    <row r="1162" spans="1:36" x14ac:dyDescent="0.2">
      <c r="A1162" s="91"/>
      <c r="B1162" s="112"/>
      <c r="C1162" s="208" t="s">
        <v>782</v>
      </c>
      <c r="D1162" s="11">
        <v>6.45</v>
      </c>
      <c r="E1162" s="11" t="s">
        <v>764</v>
      </c>
      <c r="F1162" s="11">
        <v>6.45</v>
      </c>
      <c r="G1162" s="11" t="s">
        <v>764</v>
      </c>
      <c r="H1162" s="11">
        <v>2.98</v>
      </c>
      <c r="I1162" s="11" t="s">
        <v>764</v>
      </c>
      <c r="J1162" s="11">
        <v>2.98</v>
      </c>
      <c r="K1162" s="11"/>
      <c r="L1162" s="11"/>
      <c r="M1162" s="11"/>
      <c r="N1162" s="11"/>
      <c r="O1162" s="7"/>
      <c r="P1162" s="7"/>
      <c r="Q1162" s="7"/>
      <c r="R1162" s="7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 t="s">
        <v>748</v>
      </c>
      <c r="AH1162" s="142">
        <v>0.8</v>
      </c>
      <c r="AI1162" s="88" t="s">
        <v>727</v>
      </c>
      <c r="AJ1162" s="11">
        <f t="shared" si="75"/>
        <v>15.088000000000001</v>
      </c>
    </row>
    <row r="1163" spans="1:36" ht="12.75" customHeight="1" x14ac:dyDescent="0.2">
      <c r="A1163" s="91"/>
      <c r="B1163" s="112"/>
      <c r="C1163" s="54"/>
      <c r="D1163" s="316" t="s">
        <v>860</v>
      </c>
      <c r="E1163" s="317"/>
      <c r="F1163" s="317"/>
      <c r="G1163" s="317"/>
      <c r="H1163" s="317"/>
      <c r="I1163" s="317"/>
      <c r="J1163" s="317"/>
      <c r="K1163" s="317"/>
      <c r="L1163" s="317"/>
      <c r="M1163" s="317"/>
      <c r="N1163" s="317"/>
      <c r="O1163" s="317"/>
      <c r="P1163" s="317"/>
      <c r="Q1163" s="317"/>
      <c r="R1163" s="317"/>
      <c r="S1163" s="317"/>
      <c r="T1163" s="317"/>
      <c r="U1163" s="317"/>
      <c r="V1163" s="317"/>
      <c r="W1163" s="317"/>
      <c r="X1163" s="317"/>
      <c r="Y1163" s="317"/>
      <c r="Z1163" s="317"/>
      <c r="AA1163" s="317"/>
      <c r="AB1163" s="317"/>
      <c r="AC1163" s="317"/>
      <c r="AD1163" s="317"/>
      <c r="AE1163" s="317"/>
      <c r="AF1163" s="317"/>
      <c r="AG1163" s="317"/>
      <c r="AH1163" s="317"/>
      <c r="AI1163" s="318"/>
      <c r="AJ1163" s="92">
        <f>SUM(AJ1145:AJ1162)</f>
        <v>410.74</v>
      </c>
    </row>
    <row r="1164" spans="1:36" ht="12" customHeight="1" x14ac:dyDescent="0.2">
      <c r="A1164" s="91"/>
      <c r="B1164" s="112"/>
      <c r="C1164" s="54"/>
      <c r="D1164" s="324" t="s">
        <v>795</v>
      </c>
      <c r="E1164" s="325"/>
      <c r="F1164" s="325"/>
      <c r="G1164" s="325"/>
      <c r="H1164" s="325"/>
      <c r="I1164" s="325"/>
      <c r="J1164" s="325"/>
      <c r="K1164" s="325"/>
      <c r="L1164" s="325"/>
      <c r="M1164" s="325"/>
      <c r="N1164" s="325"/>
      <c r="O1164" s="325"/>
      <c r="P1164" s="325"/>
      <c r="Q1164" s="325"/>
      <c r="R1164" s="325"/>
      <c r="S1164" s="325"/>
      <c r="T1164" s="325"/>
      <c r="U1164" s="325"/>
      <c r="V1164" s="325"/>
      <c r="W1164" s="325"/>
      <c r="X1164" s="325"/>
      <c r="Y1164" s="325"/>
      <c r="Z1164" s="325"/>
      <c r="AA1164" s="325"/>
      <c r="AB1164" s="325"/>
      <c r="AC1164" s="325"/>
      <c r="AD1164" s="325"/>
      <c r="AE1164" s="325"/>
      <c r="AF1164" s="325"/>
      <c r="AG1164" s="325"/>
      <c r="AH1164" s="325"/>
      <c r="AI1164" s="325"/>
      <c r="AJ1164" s="99"/>
    </row>
    <row r="1165" spans="1:36" ht="12" customHeight="1" x14ac:dyDescent="0.2">
      <c r="A1165" s="91"/>
      <c r="B1165" s="112"/>
      <c r="C1165" s="54"/>
      <c r="D1165" s="322" t="s">
        <v>821</v>
      </c>
      <c r="E1165" s="323"/>
      <c r="F1165" s="323"/>
      <c r="G1165" s="323"/>
      <c r="H1165" s="323"/>
      <c r="I1165" s="323"/>
      <c r="J1165" s="323"/>
      <c r="K1165" s="323"/>
      <c r="L1165" s="323"/>
      <c r="M1165" s="323"/>
      <c r="N1165" s="323"/>
      <c r="O1165" s="323"/>
      <c r="P1165" s="323"/>
      <c r="Q1165" s="323"/>
      <c r="R1165" s="323"/>
      <c r="S1165" s="323"/>
      <c r="T1165" s="323"/>
      <c r="U1165" s="323"/>
      <c r="V1165" s="323"/>
      <c r="W1165" s="323"/>
      <c r="X1165" s="323"/>
      <c r="Y1165" s="323"/>
      <c r="Z1165" s="323"/>
      <c r="AA1165" s="323"/>
      <c r="AB1165" s="323"/>
      <c r="AC1165" s="323"/>
      <c r="AD1165" s="323"/>
      <c r="AE1165" s="323"/>
      <c r="AF1165" s="323"/>
      <c r="AG1165" s="323"/>
      <c r="AH1165" s="323"/>
      <c r="AI1165" s="323"/>
      <c r="AJ1165" s="99"/>
    </row>
    <row r="1166" spans="1:36" x14ac:dyDescent="0.2">
      <c r="A1166" s="91"/>
      <c r="B1166" s="112"/>
      <c r="C1166" s="98" t="s">
        <v>823</v>
      </c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51"/>
      <c r="AJ1166" s="11"/>
    </row>
    <row r="1167" spans="1:36" x14ac:dyDescent="0.2">
      <c r="A1167" s="91"/>
      <c r="B1167" s="112"/>
      <c r="C1167" s="208" t="s">
        <v>751</v>
      </c>
      <c r="D1167" s="11">
        <v>1.2</v>
      </c>
      <c r="E1167" s="11" t="s">
        <v>745</v>
      </c>
      <c r="F1167" s="11">
        <v>1.2</v>
      </c>
      <c r="G1167" s="11"/>
      <c r="H1167" s="11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1" t="s">
        <v>745</v>
      </c>
      <c r="AH1167" s="11">
        <v>1</v>
      </c>
      <c r="AI1167" s="88" t="s">
        <v>727</v>
      </c>
      <c r="AJ1167" s="11">
        <f>(D1167*F1167)*AH1167</f>
        <v>1.44</v>
      </c>
    </row>
    <row r="1168" spans="1:36" x14ac:dyDescent="0.2">
      <c r="A1168" s="91"/>
      <c r="B1168" s="112"/>
      <c r="C1168" s="98" t="s">
        <v>822</v>
      </c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1"/>
      <c r="AH1168" s="11"/>
      <c r="AI1168" s="88"/>
      <c r="AJ1168" s="11"/>
    </row>
    <row r="1169" spans="1:36" x14ac:dyDescent="0.2">
      <c r="A1169" s="91"/>
      <c r="B1169" s="112"/>
      <c r="C1169" s="98"/>
      <c r="D1169" s="11">
        <v>0.8</v>
      </c>
      <c r="E1169" s="11" t="s">
        <v>748</v>
      </c>
      <c r="F1169" s="11">
        <v>2.1</v>
      </c>
      <c r="G1169" s="11"/>
      <c r="H1169" s="11"/>
      <c r="I1169" s="11"/>
      <c r="J1169" s="11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1" t="s">
        <v>745</v>
      </c>
      <c r="AH1169" s="11">
        <v>1</v>
      </c>
      <c r="AI1169" s="88" t="s">
        <v>727</v>
      </c>
      <c r="AJ1169" s="11">
        <f>(D1169*F1169)*AH1169</f>
        <v>1.6800000000000002</v>
      </c>
    </row>
    <row r="1170" spans="1:36" ht="15" customHeight="1" x14ac:dyDescent="0.2">
      <c r="A1170" s="91"/>
      <c r="B1170" s="112"/>
      <c r="C1170" s="98"/>
      <c r="D1170" s="290" t="s">
        <v>824</v>
      </c>
      <c r="E1170" s="290"/>
      <c r="F1170" s="290"/>
      <c r="G1170" s="290"/>
      <c r="H1170" s="290"/>
      <c r="I1170" s="290"/>
      <c r="J1170" s="290"/>
      <c r="K1170" s="290"/>
      <c r="L1170" s="290"/>
      <c r="M1170" s="290"/>
      <c r="N1170" s="290"/>
      <c r="O1170" s="290"/>
      <c r="P1170" s="290"/>
      <c r="Q1170" s="290"/>
      <c r="R1170" s="290"/>
      <c r="S1170" s="290"/>
      <c r="T1170" s="290"/>
      <c r="U1170" s="290"/>
      <c r="V1170" s="290"/>
      <c r="W1170" s="290"/>
      <c r="X1170" s="290"/>
      <c r="Y1170" s="290"/>
      <c r="Z1170" s="290"/>
      <c r="AA1170" s="290"/>
      <c r="AB1170" s="290"/>
      <c r="AC1170" s="290"/>
      <c r="AD1170" s="290"/>
      <c r="AE1170" s="290"/>
      <c r="AF1170" s="290"/>
      <c r="AG1170" s="290"/>
      <c r="AH1170" s="290"/>
      <c r="AI1170" s="290"/>
      <c r="AJ1170" s="99"/>
    </row>
    <row r="1171" spans="1:36" x14ac:dyDescent="0.2">
      <c r="A1171" s="91"/>
      <c r="B1171" s="112"/>
      <c r="C1171" s="208" t="s">
        <v>861</v>
      </c>
      <c r="D1171" s="92"/>
      <c r="E1171" s="92"/>
      <c r="F1171" s="92"/>
      <c r="G1171" s="92"/>
      <c r="H1171" s="92"/>
      <c r="I1171" s="92"/>
      <c r="J1171" s="92"/>
      <c r="K1171" s="92"/>
      <c r="L1171" s="92"/>
      <c r="M1171" s="92"/>
      <c r="N1171" s="92"/>
      <c r="O1171" s="92"/>
      <c r="P1171" s="92"/>
      <c r="Q1171" s="92"/>
      <c r="R1171" s="92"/>
      <c r="S1171" s="92"/>
      <c r="T1171" s="92"/>
      <c r="U1171" s="92"/>
      <c r="V1171" s="92"/>
      <c r="W1171" s="92"/>
      <c r="X1171" s="92"/>
      <c r="Y1171" s="92"/>
      <c r="Z1171" s="92"/>
      <c r="AA1171" s="92"/>
      <c r="AB1171" s="92"/>
      <c r="AC1171" s="92"/>
      <c r="AD1171" s="92"/>
      <c r="AE1171" s="92"/>
      <c r="AF1171" s="92"/>
      <c r="AG1171" s="92"/>
      <c r="AH1171" s="92"/>
      <c r="AI1171" s="124"/>
      <c r="AJ1171" s="92"/>
    </row>
    <row r="1172" spans="1:36" x14ac:dyDescent="0.2">
      <c r="A1172" s="91"/>
      <c r="B1172" s="112"/>
      <c r="C1172" s="208" t="s">
        <v>749</v>
      </c>
      <c r="D1172" s="11">
        <v>0.6</v>
      </c>
      <c r="E1172" s="11" t="s">
        <v>745</v>
      </c>
      <c r="F1172" s="11">
        <v>0.2</v>
      </c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 t="s">
        <v>748</v>
      </c>
      <c r="AH1172" s="142">
        <v>15</v>
      </c>
      <c r="AI1172" s="88" t="s">
        <v>727</v>
      </c>
      <c r="AJ1172" s="11">
        <f>(D1172*F1172)*AH1172</f>
        <v>1.7999999999999998</v>
      </c>
    </row>
    <row r="1173" spans="1:36" x14ac:dyDescent="0.2">
      <c r="A1173" s="91"/>
      <c r="B1173" s="112"/>
      <c r="C1173" s="208" t="s">
        <v>822</v>
      </c>
      <c r="D1173" s="101"/>
      <c r="E1173" s="101"/>
      <c r="F1173" s="101"/>
      <c r="G1173" s="101"/>
      <c r="H1173" s="101"/>
      <c r="I1173" s="101"/>
      <c r="J1173" s="101"/>
      <c r="K1173" s="101"/>
      <c r="L1173" s="101"/>
      <c r="M1173" s="101"/>
      <c r="N1173" s="101"/>
      <c r="O1173" s="101"/>
      <c r="P1173" s="101"/>
      <c r="Q1173" s="101"/>
      <c r="R1173" s="101"/>
      <c r="S1173" s="101"/>
      <c r="T1173" s="101"/>
      <c r="U1173" s="101"/>
      <c r="V1173" s="101"/>
      <c r="W1173" s="101"/>
      <c r="X1173" s="101"/>
      <c r="Y1173" s="101"/>
      <c r="Z1173" s="101"/>
      <c r="AA1173" s="101"/>
      <c r="AB1173" s="101"/>
      <c r="AC1173" s="101"/>
      <c r="AD1173" s="101"/>
      <c r="AE1173" s="101"/>
      <c r="AF1173" s="101"/>
      <c r="AG1173" s="101"/>
      <c r="AH1173" s="148"/>
      <c r="AI1173" s="88"/>
      <c r="AJ1173" s="101"/>
    </row>
    <row r="1174" spans="1:36" x14ac:dyDescent="0.2">
      <c r="A1174" s="91"/>
      <c r="B1174" s="112"/>
      <c r="C1174" s="208"/>
      <c r="D1174" s="11">
        <v>0.8</v>
      </c>
      <c r="E1174" s="11" t="s">
        <v>748</v>
      </c>
      <c r="F1174" s="11">
        <v>0.2</v>
      </c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 t="s">
        <v>748</v>
      </c>
      <c r="AH1174" s="142">
        <v>6</v>
      </c>
      <c r="AI1174" s="88" t="s">
        <v>727</v>
      </c>
      <c r="AJ1174" s="11">
        <f>(D1174*F1174)*AH1174</f>
        <v>0.96000000000000019</v>
      </c>
    </row>
    <row r="1175" spans="1:36" ht="15" customHeight="1" x14ac:dyDescent="0.2">
      <c r="A1175" s="91"/>
      <c r="B1175" s="112"/>
      <c r="C1175" s="98"/>
      <c r="D1175" s="313" t="s">
        <v>825</v>
      </c>
      <c r="E1175" s="314"/>
      <c r="F1175" s="314"/>
      <c r="G1175" s="314"/>
      <c r="H1175" s="314"/>
      <c r="I1175" s="314"/>
      <c r="J1175" s="314"/>
      <c r="K1175" s="314"/>
      <c r="L1175" s="314"/>
      <c r="M1175" s="314"/>
      <c r="N1175" s="314"/>
      <c r="O1175" s="314"/>
      <c r="P1175" s="314"/>
      <c r="Q1175" s="314"/>
      <c r="R1175" s="314"/>
      <c r="S1175" s="314"/>
      <c r="T1175" s="314"/>
      <c r="U1175" s="314"/>
      <c r="V1175" s="314"/>
      <c r="W1175" s="314"/>
      <c r="X1175" s="314"/>
      <c r="Y1175" s="314"/>
      <c r="Z1175" s="314"/>
      <c r="AA1175" s="314"/>
      <c r="AB1175" s="314"/>
      <c r="AC1175" s="314"/>
      <c r="AD1175" s="314"/>
      <c r="AE1175" s="314"/>
      <c r="AF1175" s="314"/>
      <c r="AG1175" s="314"/>
      <c r="AH1175" s="314"/>
      <c r="AI1175" s="315"/>
      <c r="AJ1175" s="99"/>
    </row>
    <row r="1176" spans="1:36" x14ac:dyDescent="0.2">
      <c r="A1176" s="91"/>
      <c r="B1176" s="112"/>
      <c r="C1176" s="208" t="s">
        <v>861</v>
      </c>
      <c r="D1176" s="92"/>
      <c r="E1176" s="92"/>
      <c r="F1176" s="92"/>
      <c r="G1176" s="92"/>
      <c r="H1176" s="92"/>
      <c r="I1176" s="92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1"/>
      <c r="AI1176" s="11"/>
      <c r="AJ1176" s="11"/>
    </row>
    <row r="1177" spans="1:36" x14ac:dyDescent="0.2">
      <c r="A1177" s="91"/>
      <c r="B1177" s="112"/>
      <c r="C1177" s="208" t="s">
        <v>749</v>
      </c>
      <c r="D1177" s="11">
        <v>0.6</v>
      </c>
      <c r="E1177" s="11" t="s">
        <v>745</v>
      </c>
      <c r="F1177" s="11">
        <v>0.6</v>
      </c>
      <c r="G1177" s="11"/>
      <c r="H1177" s="11"/>
      <c r="I1177" s="11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1" t="s">
        <v>748</v>
      </c>
      <c r="AH1177" s="11">
        <v>3</v>
      </c>
      <c r="AI1177" s="88" t="s">
        <v>727</v>
      </c>
      <c r="AJ1177" s="11">
        <f>(D1177*F1177)*AH1177</f>
        <v>1.08</v>
      </c>
    </row>
    <row r="1178" spans="1:36" x14ac:dyDescent="0.2">
      <c r="A1178" s="91"/>
      <c r="B1178" s="112"/>
      <c r="C1178" s="208" t="s">
        <v>750</v>
      </c>
      <c r="D1178" s="11">
        <v>0.6</v>
      </c>
      <c r="E1178" s="11" t="s">
        <v>745</v>
      </c>
      <c r="F1178" s="11">
        <v>0.8</v>
      </c>
      <c r="G1178" s="11"/>
      <c r="H1178" s="11"/>
      <c r="I1178" s="11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1" t="s">
        <v>748</v>
      </c>
      <c r="AH1178" s="11">
        <v>0</v>
      </c>
      <c r="AI1178" s="88" t="s">
        <v>727</v>
      </c>
      <c r="AJ1178" s="11">
        <f>(D1178*F1178)*AH1178</f>
        <v>0</v>
      </c>
    </row>
    <row r="1179" spans="1:36" x14ac:dyDescent="0.2">
      <c r="A1179" s="91"/>
      <c r="B1179" s="112"/>
      <c r="C1179" s="208" t="s">
        <v>751</v>
      </c>
      <c r="D1179" s="11">
        <v>1.2</v>
      </c>
      <c r="E1179" s="11" t="s">
        <v>745</v>
      </c>
      <c r="F1179" s="11">
        <v>0.8</v>
      </c>
      <c r="G1179" s="11"/>
      <c r="H1179" s="11"/>
      <c r="I1179" s="11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1" t="s">
        <v>748</v>
      </c>
      <c r="AH1179" s="11">
        <v>6</v>
      </c>
      <c r="AI1179" s="88" t="s">
        <v>727</v>
      </c>
      <c r="AJ1179" s="11">
        <f>(D1179*F1179)*AH1179</f>
        <v>5.76</v>
      </c>
    </row>
    <row r="1180" spans="1:36" x14ac:dyDescent="0.2">
      <c r="A1180" s="91"/>
      <c r="B1180" s="112"/>
      <c r="C1180" s="208" t="s">
        <v>752</v>
      </c>
      <c r="D1180" s="11">
        <v>1.8</v>
      </c>
      <c r="E1180" s="11" t="s">
        <v>745</v>
      </c>
      <c r="F1180" s="11">
        <v>0.8</v>
      </c>
      <c r="G1180" s="11"/>
      <c r="H1180" s="11"/>
      <c r="I1180" s="11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1" t="s">
        <v>748</v>
      </c>
      <c r="AH1180" s="11">
        <v>1</v>
      </c>
      <c r="AI1180" s="88" t="s">
        <v>727</v>
      </c>
      <c r="AJ1180" s="11">
        <f>(D1180*F1180)*AH1180</f>
        <v>1.4400000000000002</v>
      </c>
    </row>
    <row r="1181" spans="1:36" x14ac:dyDescent="0.2">
      <c r="A1181" s="91"/>
      <c r="B1181" s="112"/>
      <c r="C1181" s="208" t="s">
        <v>753</v>
      </c>
      <c r="D1181" s="11">
        <v>1.8</v>
      </c>
      <c r="E1181" s="11" t="s">
        <v>745</v>
      </c>
      <c r="F1181" s="11">
        <v>0.8</v>
      </c>
      <c r="G1181" s="11"/>
      <c r="H1181" s="11"/>
      <c r="I1181" s="11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1" t="s">
        <v>748</v>
      </c>
      <c r="AH1181" s="11">
        <v>6</v>
      </c>
      <c r="AI1181" s="88" t="s">
        <v>727</v>
      </c>
      <c r="AJ1181" s="11">
        <f>(D1181*F1181)*AH1181</f>
        <v>8.64</v>
      </c>
    </row>
    <row r="1182" spans="1:36" x14ac:dyDescent="0.2">
      <c r="A1182" s="91"/>
      <c r="B1182" s="112"/>
      <c r="C1182" s="208" t="s">
        <v>822</v>
      </c>
      <c r="D1182" s="101"/>
      <c r="E1182" s="101"/>
      <c r="F1182" s="101"/>
      <c r="G1182" s="101"/>
      <c r="H1182" s="101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1"/>
      <c r="AI1182" s="11"/>
      <c r="AJ1182" s="11"/>
    </row>
    <row r="1183" spans="1:36" x14ac:dyDescent="0.2">
      <c r="A1183" s="91"/>
      <c r="B1183" s="112"/>
      <c r="C1183" s="208"/>
      <c r="D1183" s="11">
        <v>0.8</v>
      </c>
      <c r="E1183" s="11" t="s">
        <v>748</v>
      </c>
      <c r="F1183" s="11">
        <v>0.8</v>
      </c>
      <c r="G1183" s="11"/>
      <c r="H1183" s="11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1" t="s">
        <v>748</v>
      </c>
      <c r="AH1183" s="11">
        <v>10</v>
      </c>
      <c r="AI1183" s="220" t="s">
        <v>727</v>
      </c>
      <c r="AJ1183" s="11">
        <f>(D1183*F1183)*AH1183</f>
        <v>6.4000000000000012</v>
      </c>
    </row>
    <row r="1184" spans="1:36" ht="15" customHeight="1" x14ac:dyDescent="0.2">
      <c r="A1184" s="91"/>
      <c r="B1184" s="112"/>
      <c r="C1184" s="98"/>
      <c r="D1184" s="290" t="s">
        <v>862</v>
      </c>
      <c r="E1184" s="290"/>
      <c r="F1184" s="290"/>
      <c r="G1184" s="290"/>
      <c r="H1184" s="290"/>
      <c r="I1184" s="290"/>
      <c r="J1184" s="290"/>
      <c r="K1184" s="290"/>
      <c r="L1184" s="290"/>
      <c r="M1184" s="290"/>
      <c r="N1184" s="290"/>
      <c r="O1184" s="290"/>
      <c r="P1184" s="290"/>
      <c r="Q1184" s="290"/>
      <c r="R1184" s="290"/>
      <c r="S1184" s="290"/>
      <c r="T1184" s="290"/>
      <c r="U1184" s="290"/>
      <c r="V1184" s="290"/>
      <c r="W1184" s="290"/>
      <c r="X1184" s="290"/>
      <c r="Y1184" s="290"/>
      <c r="Z1184" s="290"/>
      <c r="AA1184" s="290"/>
      <c r="AB1184" s="290"/>
      <c r="AC1184" s="290"/>
      <c r="AD1184" s="290"/>
      <c r="AE1184" s="290"/>
      <c r="AF1184" s="290"/>
      <c r="AG1184" s="290"/>
      <c r="AH1184" s="290"/>
      <c r="AI1184" s="290"/>
      <c r="AJ1184" s="99"/>
    </row>
    <row r="1185" spans="1:36" x14ac:dyDescent="0.2">
      <c r="A1185" s="91"/>
      <c r="B1185" s="112"/>
      <c r="C1185" s="208" t="s">
        <v>822</v>
      </c>
      <c r="D1185" s="101"/>
      <c r="E1185" s="101"/>
      <c r="F1185" s="101"/>
      <c r="G1185" s="101"/>
      <c r="H1185" s="101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1"/>
      <c r="AI1185" s="11"/>
      <c r="AJ1185" s="11"/>
    </row>
    <row r="1186" spans="1:36" x14ac:dyDescent="0.2">
      <c r="A1186" s="91"/>
      <c r="B1186" s="112"/>
      <c r="C1186" s="208" t="s">
        <v>826</v>
      </c>
      <c r="D1186" s="11">
        <v>0.6</v>
      </c>
      <c r="E1186" s="11" t="s">
        <v>748</v>
      </c>
      <c r="F1186" s="11">
        <v>0.6</v>
      </c>
      <c r="G1186" s="11"/>
      <c r="H1186" s="11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1" t="s">
        <v>748</v>
      </c>
      <c r="AH1186" s="142">
        <v>3</v>
      </c>
      <c r="AI1186" s="88" t="s">
        <v>727</v>
      </c>
      <c r="AJ1186" s="11">
        <f>(D1186*F1186)*AH1186</f>
        <v>1.08</v>
      </c>
    </row>
    <row r="1187" spans="1:36" x14ac:dyDescent="0.2">
      <c r="A1187" s="91"/>
      <c r="B1187" s="112"/>
      <c r="C1187" s="208" t="s">
        <v>863</v>
      </c>
      <c r="D1187" s="95">
        <v>0.6</v>
      </c>
      <c r="E1187" s="95" t="s">
        <v>748</v>
      </c>
      <c r="F1187" s="95">
        <v>0.8</v>
      </c>
      <c r="G1187" s="95"/>
      <c r="H1187" s="95"/>
      <c r="I1187" s="93"/>
      <c r="J1187" s="93"/>
      <c r="K1187" s="93"/>
      <c r="L1187" s="93"/>
      <c r="M1187" s="93"/>
      <c r="N1187" s="93"/>
      <c r="O1187" s="93"/>
      <c r="P1187" s="93"/>
      <c r="Q1187" s="93"/>
      <c r="R1187" s="93"/>
      <c r="S1187" s="93"/>
      <c r="T1187" s="93"/>
      <c r="U1187" s="93"/>
      <c r="V1187" s="93"/>
      <c r="W1187" s="93"/>
      <c r="X1187" s="93"/>
      <c r="Y1187" s="93"/>
      <c r="Z1187" s="93"/>
      <c r="AA1187" s="93"/>
      <c r="AB1187" s="93"/>
      <c r="AC1187" s="93"/>
      <c r="AD1187" s="93"/>
      <c r="AE1187" s="93"/>
      <c r="AF1187" s="93"/>
      <c r="AG1187" s="96" t="s">
        <v>748</v>
      </c>
      <c r="AH1187" s="143">
        <v>0</v>
      </c>
      <c r="AI1187" s="88" t="s">
        <v>727</v>
      </c>
      <c r="AJ1187" s="11">
        <f>(D1187*F1187)*AH1187</f>
        <v>0</v>
      </c>
    </row>
    <row r="1188" spans="1:36" x14ac:dyDescent="0.2">
      <c r="A1188" s="91"/>
      <c r="B1188" s="112"/>
      <c r="C1188" s="208" t="s">
        <v>827</v>
      </c>
      <c r="D1188" s="11">
        <v>1.2</v>
      </c>
      <c r="E1188" s="11" t="s">
        <v>748</v>
      </c>
      <c r="F1188" s="11">
        <v>1.2</v>
      </c>
      <c r="G1188" s="11"/>
      <c r="H1188" s="11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8" t="s">
        <v>748</v>
      </c>
      <c r="AH1188" s="89">
        <v>6</v>
      </c>
      <c r="AI1188" s="88" t="s">
        <v>727</v>
      </c>
      <c r="AJ1188" s="11">
        <f>(D1188*F1188)*AH1188</f>
        <v>8.64</v>
      </c>
    </row>
    <row r="1189" spans="1:36" x14ac:dyDescent="0.2">
      <c r="A1189" s="91"/>
      <c r="B1189" s="112"/>
      <c r="C1189" s="208" t="s">
        <v>828</v>
      </c>
      <c r="D1189" s="11">
        <v>1.2</v>
      </c>
      <c r="E1189" s="11" t="s">
        <v>748</v>
      </c>
      <c r="F1189" s="11">
        <v>1.8</v>
      </c>
      <c r="G1189" s="11"/>
      <c r="H1189" s="11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8" t="s">
        <v>748</v>
      </c>
      <c r="AH1189" s="89">
        <v>1</v>
      </c>
      <c r="AI1189" s="88" t="s">
        <v>727</v>
      </c>
      <c r="AJ1189" s="11">
        <f>(D1189*F1189)*AH1189</f>
        <v>2.16</v>
      </c>
    </row>
    <row r="1190" spans="1:36" x14ac:dyDescent="0.2">
      <c r="A1190" s="91"/>
      <c r="B1190" s="112"/>
      <c r="C1190" s="208" t="s">
        <v>829</v>
      </c>
      <c r="D1190" s="11">
        <v>1.8</v>
      </c>
      <c r="E1190" s="11" t="s">
        <v>748</v>
      </c>
      <c r="F1190" s="11">
        <v>1.6</v>
      </c>
      <c r="G1190" s="11"/>
      <c r="H1190" s="11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8" t="s">
        <v>748</v>
      </c>
      <c r="AH1190" s="89">
        <v>6</v>
      </c>
      <c r="AI1190" s="88" t="s">
        <v>727</v>
      </c>
      <c r="AJ1190" s="11">
        <f>(D1190*F1190)*AH1190</f>
        <v>17.28</v>
      </c>
    </row>
    <row r="1191" spans="1:36" x14ac:dyDescent="0.2">
      <c r="A1191" s="91"/>
      <c r="B1191" s="112"/>
      <c r="C1191" s="13"/>
      <c r="D1191" s="316" t="s">
        <v>830</v>
      </c>
      <c r="E1191" s="317"/>
      <c r="F1191" s="317"/>
      <c r="G1191" s="317"/>
      <c r="H1191" s="317"/>
      <c r="I1191" s="317"/>
      <c r="J1191" s="317"/>
      <c r="K1191" s="317"/>
      <c r="L1191" s="317"/>
      <c r="M1191" s="317"/>
      <c r="N1191" s="317"/>
      <c r="O1191" s="317"/>
      <c r="P1191" s="317"/>
      <c r="Q1191" s="317"/>
      <c r="R1191" s="317"/>
      <c r="S1191" s="317"/>
      <c r="T1191" s="317"/>
      <c r="U1191" s="317"/>
      <c r="V1191" s="317"/>
      <c r="W1191" s="317"/>
      <c r="X1191" s="317"/>
      <c r="Y1191" s="317"/>
      <c r="Z1191" s="317"/>
      <c r="AA1191" s="317"/>
      <c r="AB1191" s="317"/>
      <c r="AC1191" s="317"/>
      <c r="AD1191" s="317"/>
      <c r="AE1191" s="317"/>
      <c r="AF1191" s="317"/>
      <c r="AG1191" s="317"/>
      <c r="AH1191" s="317"/>
      <c r="AI1191" s="318"/>
      <c r="AJ1191" s="92">
        <f>SUM(AJ1167:AJ1190)</f>
        <v>58.36</v>
      </c>
    </row>
    <row r="1192" spans="1:36" x14ac:dyDescent="0.2">
      <c r="A1192" s="91"/>
      <c r="B1192" s="112"/>
      <c r="C1192" s="13"/>
      <c r="D1192" s="316" t="s">
        <v>864</v>
      </c>
      <c r="E1192" s="317"/>
      <c r="F1192" s="317"/>
      <c r="G1192" s="317"/>
      <c r="H1192" s="317"/>
      <c r="I1192" s="317"/>
      <c r="J1192" s="317"/>
      <c r="K1192" s="317"/>
      <c r="L1192" s="317"/>
      <c r="M1192" s="317"/>
      <c r="N1192" s="317"/>
      <c r="O1192" s="317"/>
      <c r="P1192" s="317"/>
      <c r="Q1192" s="317"/>
      <c r="R1192" s="317"/>
      <c r="S1192" s="317"/>
      <c r="T1192" s="317"/>
      <c r="U1192" s="317"/>
      <c r="V1192" s="317"/>
      <c r="W1192" s="317"/>
      <c r="X1192" s="317"/>
      <c r="Y1192" s="317"/>
      <c r="Z1192" s="317"/>
      <c r="AA1192" s="317"/>
      <c r="AB1192" s="317"/>
      <c r="AC1192" s="317"/>
      <c r="AD1192" s="317"/>
      <c r="AE1192" s="317"/>
      <c r="AF1192" s="317"/>
      <c r="AG1192" s="317"/>
      <c r="AH1192" s="317"/>
      <c r="AI1192" s="318"/>
      <c r="AJ1192" s="92">
        <f>AJ1163-AJ1191</f>
        <v>352.38</v>
      </c>
    </row>
    <row r="1193" spans="1:36" ht="24" x14ac:dyDescent="0.2">
      <c r="A1193" s="91" t="s">
        <v>848</v>
      </c>
      <c r="B1193" s="112">
        <v>88497</v>
      </c>
      <c r="C1193" s="54" t="s">
        <v>866</v>
      </c>
      <c r="D1193" s="294"/>
      <c r="E1193" s="295"/>
      <c r="F1193" s="295"/>
      <c r="G1193" s="295"/>
      <c r="H1193" s="295"/>
      <c r="I1193" s="295"/>
      <c r="J1193" s="295"/>
      <c r="K1193" s="295"/>
      <c r="L1193" s="295"/>
      <c r="M1193" s="295"/>
      <c r="N1193" s="295"/>
      <c r="O1193" s="295"/>
      <c r="P1193" s="295"/>
      <c r="Q1193" s="295"/>
      <c r="R1193" s="295"/>
      <c r="S1193" s="295"/>
      <c r="T1193" s="295"/>
      <c r="U1193" s="295"/>
      <c r="V1193" s="295"/>
      <c r="W1193" s="295"/>
      <c r="X1193" s="295"/>
      <c r="Y1193" s="295"/>
      <c r="Z1193" s="295"/>
      <c r="AA1193" s="295"/>
      <c r="AB1193" s="295"/>
      <c r="AC1193" s="295"/>
      <c r="AD1193" s="295"/>
      <c r="AE1193" s="295"/>
      <c r="AF1193" s="295"/>
      <c r="AG1193" s="295"/>
      <c r="AH1193" s="295"/>
      <c r="AI1193" s="296"/>
      <c r="AJ1193" s="11" t="s">
        <v>19</v>
      </c>
    </row>
    <row r="1194" spans="1:36" x14ac:dyDescent="0.2">
      <c r="A1194" s="97"/>
      <c r="B1194" s="55"/>
      <c r="C1194" s="54"/>
      <c r="D1194" s="322" t="s">
        <v>859</v>
      </c>
      <c r="E1194" s="323"/>
      <c r="F1194" s="323"/>
      <c r="G1194" s="323"/>
      <c r="H1194" s="323"/>
      <c r="I1194" s="323"/>
      <c r="J1194" s="323"/>
      <c r="K1194" s="323"/>
      <c r="L1194" s="323"/>
      <c r="M1194" s="323"/>
      <c r="N1194" s="323"/>
      <c r="O1194" s="323"/>
      <c r="P1194" s="323"/>
      <c r="Q1194" s="323"/>
      <c r="R1194" s="323"/>
      <c r="S1194" s="323"/>
      <c r="T1194" s="323"/>
      <c r="U1194" s="323"/>
      <c r="V1194" s="323"/>
      <c r="W1194" s="323"/>
      <c r="X1194" s="323"/>
      <c r="Y1194" s="323"/>
      <c r="Z1194" s="323"/>
      <c r="AA1194" s="323"/>
      <c r="AB1194" s="323"/>
      <c r="AC1194" s="323"/>
      <c r="AD1194" s="323"/>
      <c r="AE1194" s="323"/>
      <c r="AF1194" s="323"/>
      <c r="AG1194" s="323"/>
      <c r="AH1194" s="323"/>
      <c r="AI1194" s="323"/>
      <c r="AJ1194" s="327"/>
    </row>
    <row r="1195" spans="1:36" x14ac:dyDescent="0.2">
      <c r="A1195" s="54"/>
      <c r="B1195" s="55"/>
      <c r="C1195" s="207" t="s">
        <v>763</v>
      </c>
      <c r="D1195" s="11">
        <v>3</v>
      </c>
      <c r="E1195" s="11" t="s">
        <v>764</v>
      </c>
      <c r="F1195" s="11">
        <v>3</v>
      </c>
      <c r="G1195" s="11" t="s">
        <v>764</v>
      </c>
      <c r="H1195" s="11">
        <v>2.23</v>
      </c>
      <c r="I1195" s="11" t="s">
        <v>764</v>
      </c>
      <c r="J1195" s="11">
        <v>2.23</v>
      </c>
      <c r="K1195" s="11"/>
      <c r="L1195" s="11"/>
      <c r="M1195" s="11"/>
      <c r="N1195" s="11"/>
      <c r="O1195" s="7"/>
      <c r="P1195" s="7"/>
      <c r="Q1195" s="7"/>
      <c r="R1195" s="7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 t="s">
        <v>748</v>
      </c>
      <c r="AH1195" s="142">
        <v>0.8</v>
      </c>
      <c r="AI1195" s="88" t="s">
        <v>727</v>
      </c>
      <c r="AJ1195" s="11">
        <f t="shared" ref="AJ1195:AJ1212" si="76">(D1195+F1195+H1195+J1195+L1195+N1195)*AH1195</f>
        <v>8.3680000000000003</v>
      </c>
    </row>
    <row r="1196" spans="1:36" x14ac:dyDescent="0.2">
      <c r="A1196" s="54"/>
      <c r="B1196" s="55"/>
      <c r="C1196" s="207" t="s">
        <v>765</v>
      </c>
      <c r="D1196" s="11">
        <v>2.8</v>
      </c>
      <c r="E1196" s="11" t="s">
        <v>764</v>
      </c>
      <c r="F1196" s="11">
        <v>2.8</v>
      </c>
      <c r="G1196" s="11" t="s">
        <v>764</v>
      </c>
      <c r="H1196" s="11">
        <v>2.23</v>
      </c>
      <c r="I1196" s="11" t="s">
        <v>764</v>
      </c>
      <c r="J1196" s="11">
        <v>2.23</v>
      </c>
      <c r="K1196" s="11"/>
      <c r="L1196" s="11"/>
      <c r="M1196" s="11"/>
      <c r="N1196" s="11"/>
      <c r="O1196" s="7"/>
      <c r="P1196" s="7"/>
      <c r="Q1196" s="7"/>
      <c r="R1196" s="7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 t="s">
        <v>748</v>
      </c>
      <c r="AH1196" s="142">
        <v>0.8</v>
      </c>
      <c r="AI1196" s="88" t="s">
        <v>727</v>
      </c>
      <c r="AJ1196" s="11">
        <f t="shared" si="76"/>
        <v>8.048</v>
      </c>
    </row>
    <row r="1197" spans="1:36" x14ac:dyDescent="0.2">
      <c r="A1197" s="54"/>
      <c r="B1197" s="55"/>
      <c r="C1197" s="208" t="s">
        <v>766</v>
      </c>
      <c r="D1197" s="11">
        <v>3.9</v>
      </c>
      <c r="E1197" s="11" t="s">
        <v>764</v>
      </c>
      <c r="F1197" s="11">
        <v>3.9</v>
      </c>
      <c r="G1197" s="11" t="s">
        <v>764</v>
      </c>
      <c r="H1197" s="11">
        <v>2.0699999999999998</v>
      </c>
      <c r="I1197" s="11" t="s">
        <v>764</v>
      </c>
      <c r="J1197" s="11">
        <v>2.0699999999999998</v>
      </c>
      <c r="K1197" s="11"/>
      <c r="L1197" s="11"/>
      <c r="M1197" s="11"/>
      <c r="N1197" s="11"/>
      <c r="O1197" s="7"/>
      <c r="P1197" s="7"/>
      <c r="Q1197" s="7"/>
      <c r="R1197" s="7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 t="s">
        <v>748</v>
      </c>
      <c r="AH1197" s="142">
        <v>1.4</v>
      </c>
      <c r="AI1197" s="88" t="s">
        <v>727</v>
      </c>
      <c r="AJ1197" s="11">
        <f t="shared" si="76"/>
        <v>16.715999999999998</v>
      </c>
    </row>
    <row r="1198" spans="1:36" x14ac:dyDescent="0.2">
      <c r="A1198" s="54"/>
      <c r="B1198" s="55"/>
      <c r="C1198" s="208" t="s">
        <v>767</v>
      </c>
      <c r="D1198" s="11">
        <v>6.75</v>
      </c>
      <c r="E1198" s="11" t="s">
        <v>764</v>
      </c>
      <c r="F1198" s="11">
        <v>6.75</v>
      </c>
      <c r="G1198" s="11"/>
      <c r="H1198" s="11"/>
      <c r="I1198" s="11"/>
      <c r="J1198" s="11"/>
      <c r="K1198" s="11"/>
      <c r="L1198" s="11"/>
      <c r="M1198" s="11"/>
      <c r="N1198" s="216"/>
      <c r="O1198" s="7"/>
      <c r="P1198" s="7"/>
      <c r="Q1198" s="7"/>
      <c r="R1198" s="7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 t="s">
        <v>748</v>
      </c>
      <c r="AH1198" s="142">
        <v>2.2000000000000002</v>
      </c>
      <c r="AI1198" s="88" t="s">
        <v>727</v>
      </c>
      <c r="AJ1198" s="11">
        <f t="shared" si="76"/>
        <v>29.700000000000003</v>
      </c>
    </row>
    <row r="1199" spans="1:36" x14ac:dyDescent="0.2">
      <c r="A1199" s="54"/>
      <c r="B1199" s="55"/>
      <c r="C1199" s="208" t="s">
        <v>768</v>
      </c>
      <c r="D1199" s="11">
        <v>2.25</v>
      </c>
      <c r="E1199" s="11" t="s">
        <v>764</v>
      </c>
      <c r="F1199" s="11">
        <v>2.25</v>
      </c>
      <c r="G1199" s="11" t="s">
        <v>764</v>
      </c>
      <c r="H1199" s="11">
        <v>1.95</v>
      </c>
      <c r="I1199" s="11" t="s">
        <v>764</v>
      </c>
      <c r="J1199" s="11">
        <v>1.95</v>
      </c>
      <c r="K1199" s="11"/>
      <c r="L1199" s="11"/>
      <c r="M1199" s="11"/>
      <c r="N1199" s="11"/>
      <c r="O1199" s="7"/>
      <c r="P1199" s="7"/>
      <c r="Q1199" s="7"/>
      <c r="R1199" s="7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 t="s">
        <v>748</v>
      </c>
      <c r="AH1199" s="142">
        <v>0.8</v>
      </c>
      <c r="AI1199" s="88" t="s">
        <v>727</v>
      </c>
      <c r="AJ1199" s="11">
        <f t="shared" si="76"/>
        <v>6.7200000000000006</v>
      </c>
    </row>
    <row r="1200" spans="1:36" x14ac:dyDescent="0.2">
      <c r="A1200" s="54"/>
      <c r="B1200" s="55"/>
      <c r="C1200" s="208" t="s">
        <v>769</v>
      </c>
      <c r="D1200" s="11">
        <v>2.25</v>
      </c>
      <c r="E1200" s="11" t="s">
        <v>764</v>
      </c>
      <c r="F1200" s="11">
        <v>2.25</v>
      </c>
      <c r="G1200" s="11" t="s">
        <v>764</v>
      </c>
      <c r="H1200" s="11">
        <v>1.95</v>
      </c>
      <c r="I1200" s="11" t="s">
        <v>764</v>
      </c>
      <c r="J1200" s="11">
        <v>1.95</v>
      </c>
      <c r="K1200" s="11"/>
      <c r="L1200" s="11"/>
      <c r="M1200" s="11"/>
      <c r="N1200" s="11"/>
      <c r="O1200" s="7"/>
      <c r="P1200" s="7"/>
      <c r="Q1200" s="7"/>
      <c r="R1200" s="7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 t="s">
        <v>748</v>
      </c>
      <c r="AH1200" s="142">
        <v>0.8</v>
      </c>
      <c r="AI1200" s="88" t="s">
        <v>727</v>
      </c>
      <c r="AJ1200" s="11">
        <f t="shared" si="76"/>
        <v>6.7200000000000006</v>
      </c>
    </row>
    <row r="1201" spans="1:36" x14ac:dyDescent="0.2">
      <c r="A1201" s="54"/>
      <c r="B1201" s="55"/>
      <c r="C1201" s="208" t="s">
        <v>770</v>
      </c>
      <c r="D1201" s="11">
        <v>4.05</v>
      </c>
      <c r="E1201" s="11" t="s">
        <v>764</v>
      </c>
      <c r="F1201" s="11">
        <v>4.05</v>
      </c>
      <c r="G1201" s="11" t="s">
        <v>764</v>
      </c>
      <c r="H1201" s="11">
        <v>4.05</v>
      </c>
      <c r="I1201" s="11" t="s">
        <v>764</v>
      </c>
      <c r="J1201" s="11">
        <v>4.05</v>
      </c>
      <c r="K1201" s="11"/>
      <c r="L1201" s="11"/>
      <c r="M1201" s="11"/>
      <c r="N1201" s="11"/>
      <c r="O1201" s="7"/>
      <c r="P1201" s="7"/>
      <c r="Q1201" s="7"/>
      <c r="R1201" s="7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 t="s">
        <v>748</v>
      </c>
      <c r="AH1201" s="142">
        <v>1.4</v>
      </c>
      <c r="AI1201" s="88" t="s">
        <v>727</v>
      </c>
      <c r="AJ1201" s="11">
        <f t="shared" si="76"/>
        <v>22.679999999999996</v>
      </c>
    </row>
    <row r="1202" spans="1:36" x14ac:dyDescent="0.2">
      <c r="A1202" s="54"/>
      <c r="B1202" s="55"/>
      <c r="C1202" s="208" t="s">
        <v>771</v>
      </c>
      <c r="D1202" s="11">
        <v>5.25</v>
      </c>
      <c r="E1202" s="11" t="s">
        <v>764</v>
      </c>
      <c r="F1202" s="11">
        <v>10.75</v>
      </c>
      <c r="G1202" s="11" t="s">
        <v>764</v>
      </c>
      <c r="H1202" s="11">
        <v>2.5499999999999998</v>
      </c>
      <c r="I1202" s="11" t="s">
        <v>764</v>
      </c>
      <c r="J1202" s="11">
        <v>6.1</v>
      </c>
      <c r="K1202" s="11"/>
      <c r="L1202" s="11"/>
      <c r="M1202" s="11"/>
      <c r="N1202" s="11"/>
      <c r="O1202" s="7"/>
      <c r="P1202" s="7"/>
      <c r="Q1202" s="7"/>
      <c r="R1202" s="7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 t="s">
        <v>748</v>
      </c>
      <c r="AH1202" s="142">
        <v>2.2000000000000002</v>
      </c>
      <c r="AI1202" s="88" t="s">
        <v>727</v>
      </c>
      <c r="AJ1202" s="11">
        <f t="shared" si="76"/>
        <v>54.230000000000004</v>
      </c>
    </row>
    <row r="1203" spans="1:36" x14ac:dyDescent="0.2">
      <c r="A1203" s="54"/>
      <c r="B1203" s="55"/>
      <c r="C1203" s="208" t="s">
        <v>772</v>
      </c>
      <c r="D1203" s="11">
        <v>4.6500000000000004</v>
      </c>
      <c r="E1203" s="11" t="s">
        <v>764</v>
      </c>
      <c r="F1203" s="11">
        <v>4.6500000000000004</v>
      </c>
      <c r="G1203" s="11" t="s">
        <v>764</v>
      </c>
      <c r="H1203" s="11">
        <v>3.45</v>
      </c>
      <c r="I1203" s="11" t="s">
        <v>764</v>
      </c>
      <c r="J1203" s="11">
        <v>3.45</v>
      </c>
      <c r="K1203" s="11"/>
      <c r="L1203" s="11"/>
      <c r="M1203" s="11"/>
      <c r="N1203" s="11"/>
      <c r="O1203" s="7"/>
      <c r="P1203" s="7"/>
      <c r="Q1203" s="7"/>
      <c r="R1203" s="7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 t="s">
        <v>748</v>
      </c>
      <c r="AH1203" s="142">
        <v>1.4</v>
      </c>
      <c r="AI1203" s="88" t="s">
        <v>727</v>
      </c>
      <c r="AJ1203" s="11">
        <f t="shared" si="76"/>
        <v>22.679999999999996</v>
      </c>
    </row>
    <row r="1204" spans="1:36" x14ac:dyDescent="0.2">
      <c r="A1204" s="54"/>
      <c r="B1204" s="55"/>
      <c r="C1204" s="208" t="s">
        <v>774</v>
      </c>
      <c r="D1204" s="11">
        <v>3.42</v>
      </c>
      <c r="E1204" s="11" t="s">
        <v>764</v>
      </c>
      <c r="F1204" s="88">
        <v>3.42</v>
      </c>
      <c r="G1204" s="11" t="s">
        <v>764</v>
      </c>
      <c r="H1204" s="11">
        <v>2.2400000000000002</v>
      </c>
      <c r="I1204" s="11" t="s">
        <v>764</v>
      </c>
      <c r="J1204" s="11">
        <v>2.2400000000000002</v>
      </c>
      <c r="K1204" s="11"/>
      <c r="L1204" s="11"/>
      <c r="M1204" s="11"/>
      <c r="N1204" s="11"/>
      <c r="O1204" s="7"/>
      <c r="P1204" s="7"/>
      <c r="Q1204" s="7"/>
      <c r="R1204" s="7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 t="s">
        <v>748</v>
      </c>
      <c r="AH1204" s="142">
        <v>1.4</v>
      </c>
      <c r="AI1204" s="88" t="s">
        <v>727</v>
      </c>
      <c r="AJ1204" s="11">
        <f t="shared" si="76"/>
        <v>15.847999999999999</v>
      </c>
    </row>
    <row r="1205" spans="1:36" x14ac:dyDescent="0.2">
      <c r="A1205" s="54"/>
      <c r="B1205" s="55"/>
      <c r="C1205" s="208" t="s">
        <v>854</v>
      </c>
      <c r="D1205" s="11">
        <v>1.53</v>
      </c>
      <c r="E1205" s="11" t="s">
        <v>764</v>
      </c>
      <c r="F1205" s="88">
        <v>3.45</v>
      </c>
      <c r="G1205" s="11" t="s">
        <v>764</v>
      </c>
      <c r="H1205" s="11">
        <v>3.45</v>
      </c>
      <c r="I1205" s="11" t="s">
        <v>764</v>
      </c>
      <c r="J1205" s="11">
        <v>1.53</v>
      </c>
      <c r="K1205" s="11"/>
      <c r="L1205" s="11"/>
      <c r="M1205" s="11"/>
      <c r="N1205" s="11"/>
      <c r="O1205" s="7"/>
      <c r="P1205" s="7"/>
      <c r="Q1205" s="7"/>
      <c r="R1205" s="7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 t="s">
        <v>748</v>
      </c>
      <c r="AH1205" s="142">
        <v>2.7</v>
      </c>
      <c r="AI1205" s="88" t="s">
        <v>727</v>
      </c>
      <c r="AJ1205" s="11">
        <f t="shared" si="76"/>
        <v>26.891999999999999</v>
      </c>
    </row>
    <row r="1206" spans="1:36" x14ac:dyDescent="0.2">
      <c r="A1206" s="54"/>
      <c r="B1206" s="55"/>
      <c r="C1206" s="208" t="s">
        <v>775</v>
      </c>
      <c r="D1206" s="11">
        <v>5.39</v>
      </c>
      <c r="E1206" s="11" t="s">
        <v>764</v>
      </c>
      <c r="F1206" s="11">
        <v>5.39</v>
      </c>
      <c r="G1206" s="11" t="s">
        <v>764</v>
      </c>
      <c r="H1206" s="11">
        <v>3.8</v>
      </c>
      <c r="I1206" s="11" t="s">
        <v>764</v>
      </c>
      <c r="J1206" s="11">
        <v>3.8</v>
      </c>
      <c r="K1206" s="11"/>
      <c r="L1206" s="11"/>
      <c r="M1206" s="11"/>
      <c r="N1206" s="11"/>
      <c r="O1206" s="7"/>
      <c r="P1206" s="7"/>
      <c r="Q1206" s="7"/>
      <c r="R1206" s="7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 t="s">
        <v>748</v>
      </c>
      <c r="AH1206" s="142">
        <v>1.4</v>
      </c>
      <c r="AI1206" s="88" t="s">
        <v>727</v>
      </c>
      <c r="AJ1206" s="11">
        <f t="shared" si="76"/>
        <v>25.731999999999996</v>
      </c>
    </row>
    <row r="1207" spans="1:36" x14ac:dyDescent="0.2">
      <c r="A1207" s="54"/>
      <c r="B1207" s="55"/>
      <c r="C1207" s="208" t="s">
        <v>776</v>
      </c>
      <c r="D1207" s="11">
        <v>4.79</v>
      </c>
      <c r="E1207" s="11" t="s">
        <v>764</v>
      </c>
      <c r="F1207" s="11">
        <v>4.79</v>
      </c>
      <c r="G1207" s="11" t="s">
        <v>764</v>
      </c>
      <c r="H1207" s="11">
        <v>1.64</v>
      </c>
      <c r="I1207" s="11" t="s">
        <v>764</v>
      </c>
      <c r="J1207" s="11">
        <v>1.64</v>
      </c>
      <c r="K1207" s="11"/>
      <c r="L1207" s="11"/>
      <c r="M1207" s="11"/>
      <c r="N1207" s="11"/>
      <c r="O1207" s="7"/>
      <c r="P1207" s="7"/>
      <c r="Q1207" s="7"/>
      <c r="R1207" s="7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 t="s">
        <v>748</v>
      </c>
      <c r="AH1207" s="142">
        <v>1.4</v>
      </c>
      <c r="AI1207" s="88" t="s">
        <v>727</v>
      </c>
      <c r="AJ1207" s="11">
        <f t="shared" si="76"/>
        <v>18.004000000000001</v>
      </c>
    </row>
    <row r="1208" spans="1:36" x14ac:dyDescent="0.2">
      <c r="A1208" s="54"/>
      <c r="B1208" s="55"/>
      <c r="C1208" s="208" t="s">
        <v>777</v>
      </c>
      <c r="D1208" s="11">
        <v>7.95</v>
      </c>
      <c r="E1208" s="11" t="s">
        <v>764</v>
      </c>
      <c r="F1208" s="11">
        <v>1</v>
      </c>
      <c r="G1208" s="11" t="s">
        <v>764</v>
      </c>
      <c r="H1208" s="11">
        <v>3.23</v>
      </c>
      <c r="I1208" s="11" t="s">
        <v>764</v>
      </c>
      <c r="J1208" s="11">
        <v>1.51</v>
      </c>
      <c r="K1208" s="11" t="s">
        <v>764</v>
      </c>
      <c r="L1208" s="11">
        <v>11.18</v>
      </c>
      <c r="M1208" s="11"/>
      <c r="N1208" s="11"/>
      <c r="O1208" s="7"/>
      <c r="P1208" s="7"/>
      <c r="Q1208" s="7"/>
      <c r="R1208" s="7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 t="s">
        <v>748</v>
      </c>
      <c r="AH1208" s="142">
        <v>2.2000000000000002</v>
      </c>
      <c r="AI1208" s="88" t="s">
        <v>727</v>
      </c>
      <c r="AJ1208" s="11">
        <f t="shared" si="76"/>
        <v>54.713999999999999</v>
      </c>
    </row>
    <row r="1209" spans="1:36" x14ac:dyDescent="0.2">
      <c r="A1209" s="54"/>
      <c r="B1209" s="55"/>
      <c r="C1209" s="208" t="s">
        <v>778</v>
      </c>
      <c r="D1209" s="11">
        <v>0.73</v>
      </c>
      <c r="E1209" s="11" t="s">
        <v>764</v>
      </c>
      <c r="F1209" s="11">
        <v>4.79</v>
      </c>
      <c r="G1209" s="11" t="s">
        <v>764</v>
      </c>
      <c r="H1209" s="11">
        <v>4.9000000000000004</v>
      </c>
      <c r="I1209" s="11" t="s">
        <v>764</v>
      </c>
      <c r="J1209" s="11">
        <v>6.45</v>
      </c>
      <c r="K1209" s="11" t="s">
        <v>764</v>
      </c>
      <c r="L1209" s="11">
        <v>4.17</v>
      </c>
      <c r="M1209" s="11" t="s">
        <v>764</v>
      </c>
      <c r="N1209" s="11">
        <v>1.66</v>
      </c>
      <c r="O1209" s="7"/>
      <c r="P1209" s="7"/>
      <c r="Q1209" s="7"/>
      <c r="R1209" s="7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 t="s">
        <v>748</v>
      </c>
      <c r="AH1209" s="142">
        <v>1.4</v>
      </c>
      <c r="AI1209" s="88" t="s">
        <v>727</v>
      </c>
      <c r="AJ1209" s="11">
        <f t="shared" si="76"/>
        <v>31.779999999999998</v>
      </c>
    </row>
    <row r="1210" spans="1:36" x14ac:dyDescent="0.2">
      <c r="A1210" s="54"/>
      <c r="B1210" s="55"/>
      <c r="C1210" s="208" t="s">
        <v>780</v>
      </c>
      <c r="D1210" s="11">
        <v>6.45</v>
      </c>
      <c r="E1210" s="11" t="s">
        <v>764</v>
      </c>
      <c r="F1210" s="11">
        <v>6.45</v>
      </c>
      <c r="G1210" s="11" t="s">
        <v>764</v>
      </c>
      <c r="H1210" s="11">
        <v>2.25</v>
      </c>
      <c r="I1210" s="11" t="s">
        <v>764</v>
      </c>
      <c r="J1210" s="11">
        <v>2.25</v>
      </c>
      <c r="K1210" s="11"/>
      <c r="L1210" s="11"/>
      <c r="M1210" s="11"/>
      <c r="N1210" s="11"/>
      <c r="O1210" s="7"/>
      <c r="P1210" s="7"/>
      <c r="Q1210" s="7"/>
      <c r="R1210" s="7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 t="s">
        <v>748</v>
      </c>
      <c r="AH1210" s="142">
        <v>0.8</v>
      </c>
      <c r="AI1210" s="88" t="s">
        <v>727</v>
      </c>
      <c r="AJ1210" s="11">
        <f t="shared" si="76"/>
        <v>13.92</v>
      </c>
    </row>
    <row r="1211" spans="1:36" x14ac:dyDescent="0.2">
      <c r="A1211" s="54"/>
      <c r="B1211" s="55"/>
      <c r="C1211" s="208" t="s">
        <v>781</v>
      </c>
      <c r="D1211" s="11">
        <v>6.45</v>
      </c>
      <c r="E1211" s="11" t="s">
        <v>764</v>
      </c>
      <c r="F1211" s="220">
        <v>6.45</v>
      </c>
      <c r="G1211" s="11" t="s">
        <v>764</v>
      </c>
      <c r="H1211" s="11">
        <v>5.3</v>
      </c>
      <c r="I1211" s="11" t="s">
        <v>764</v>
      </c>
      <c r="J1211" s="11">
        <v>5.3</v>
      </c>
      <c r="K1211" s="11"/>
      <c r="L1211" s="11"/>
      <c r="M1211" s="11"/>
      <c r="N1211" s="11"/>
      <c r="O1211" s="7"/>
      <c r="P1211" s="7"/>
      <c r="Q1211" s="7"/>
      <c r="R1211" s="7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 t="s">
        <v>748</v>
      </c>
      <c r="AH1211" s="142">
        <v>1.4</v>
      </c>
      <c r="AI1211" s="88" t="s">
        <v>727</v>
      </c>
      <c r="AJ1211" s="11">
        <f t="shared" si="76"/>
        <v>32.9</v>
      </c>
    </row>
    <row r="1212" spans="1:36" x14ac:dyDescent="0.2">
      <c r="A1212" s="54"/>
      <c r="B1212" s="55"/>
      <c r="C1212" s="208" t="s">
        <v>782</v>
      </c>
      <c r="D1212" s="11">
        <v>6.45</v>
      </c>
      <c r="E1212" s="11" t="s">
        <v>764</v>
      </c>
      <c r="F1212" s="11">
        <v>6.45</v>
      </c>
      <c r="G1212" s="11" t="s">
        <v>764</v>
      </c>
      <c r="H1212" s="11">
        <v>2.98</v>
      </c>
      <c r="I1212" s="11" t="s">
        <v>764</v>
      </c>
      <c r="J1212" s="11">
        <v>2.98</v>
      </c>
      <c r="K1212" s="11"/>
      <c r="L1212" s="11"/>
      <c r="M1212" s="11"/>
      <c r="N1212" s="11"/>
      <c r="O1212" s="7"/>
      <c r="P1212" s="7"/>
      <c r="Q1212" s="7"/>
      <c r="R1212" s="7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 t="s">
        <v>748</v>
      </c>
      <c r="AH1212" s="142">
        <v>0.8</v>
      </c>
      <c r="AI1212" s="88" t="s">
        <v>727</v>
      </c>
      <c r="AJ1212" s="11">
        <f t="shared" si="76"/>
        <v>15.088000000000001</v>
      </c>
    </row>
    <row r="1213" spans="1:36" x14ac:dyDescent="0.2">
      <c r="A1213" s="54"/>
      <c r="B1213" s="55"/>
      <c r="C1213" s="54"/>
      <c r="D1213" s="316" t="s">
        <v>860</v>
      </c>
      <c r="E1213" s="317"/>
      <c r="F1213" s="317"/>
      <c r="G1213" s="317"/>
      <c r="H1213" s="317"/>
      <c r="I1213" s="317"/>
      <c r="J1213" s="317"/>
      <c r="K1213" s="317"/>
      <c r="L1213" s="317"/>
      <c r="M1213" s="317"/>
      <c r="N1213" s="317"/>
      <c r="O1213" s="317"/>
      <c r="P1213" s="317"/>
      <c r="Q1213" s="317"/>
      <c r="R1213" s="317"/>
      <c r="S1213" s="317"/>
      <c r="T1213" s="317"/>
      <c r="U1213" s="317"/>
      <c r="V1213" s="317"/>
      <c r="W1213" s="317"/>
      <c r="X1213" s="317"/>
      <c r="Y1213" s="317"/>
      <c r="Z1213" s="317"/>
      <c r="AA1213" s="317"/>
      <c r="AB1213" s="317"/>
      <c r="AC1213" s="317"/>
      <c r="AD1213" s="317"/>
      <c r="AE1213" s="317"/>
      <c r="AF1213" s="317"/>
      <c r="AG1213" s="317"/>
      <c r="AH1213" s="317"/>
      <c r="AI1213" s="318"/>
      <c r="AJ1213" s="92">
        <f>SUM(AJ1195:AJ1212)</f>
        <v>410.74</v>
      </c>
    </row>
    <row r="1214" spans="1:36" x14ac:dyDescent="0.2">
      <c r="A1214" s="54"/>
      <c r="B1214" s="55"/>
      <c r="C1214" s="54"/>
      <c r="D1214" s="324" t="s">
        <v>795</v>
      </c>
      <c r="E1214" s="325"/>
      <c r="F1214" s="325"/>
      <c r="G1214" s="325"/>
      <c r="H1214" s="325"/>
      <c r="I1214" s="325"/>
      <c r="J1214" s="325"/>
      <c r="K1214" s="325"/>
      <c r="L1214" s="325"/>
      <c r="M1214" s="325"/>
      <c r="N1214" s="325"/>
      <c r="O1214" s="325"/>
      <c r="P1214" s="325"/>
      <c r="Q1214" s="325"/>
      <c r="R1214" s="325"/>
      <c r="S1214" s="325"/>
      <c r="T1214" s="325"/>
      <c r="U1214" s="325"/>
      <c r="V1214" s="325"/>
      <c r="W1214" s="325"/>
      <c r="X1214" s="325"/>
      <c r="Y1214" s="325"/>
      <c r="Z1214" s="325"/>
      <c r="AA1214" s="325"/>
      <c r="AB1214" s="325"/>
      <c r="AC1214" s="325"/>
      <c r="AD1214" s="325"/>
      <c r="AE1214" s="325"/>
      <c r="AF1214" s="325"/>
      <c r="AG1214" s="325"/>
      <c r="AH1214" s="325"/>
      <c r="AI1214" s="325"/>
      <c r="AJ1214" s="99"/>
    </row>
    <row r="1215" spans="1:36" x14ac:dyDescent="0.2">
      <c r="A1215" s="54"/>
      <c r="B1215" s="55"/>
      <c r="C1215" s="54"/>
      <c r="D1215" s="324" t="s">
        <v>821</v>
      </c>
      <c r="E1215" s="325"/>
      <c r="F1215" s="325"/>
      <c r="G1215" s="325"/>
      <c r="H1215" s="325"/>
      <c r="I1215" s="325"/>
      <c r="J1215" s="325"/>
      <c r="K1215" s="325"/>
      <c r="L1215" s="325"/>
      <c r="M1215" s="325"/>
      <c r="N1215" s="325"/>
      <c r="O1215" s="325"/>
      <c r="P1215" s="325"/>
      <c r="Q1215" s="325"/>
      <c r="R1215" s="325"/>
      <c r="S1215" s="325"/>
      <c r="T1215" s="325"/>
      <c r="U1215" s="325"/>
      <c r="V1215" s="325"/>
      <c r="W1215" s="325"/>
      <c r="X1215" s="325"/>
      <c r="Y1215" s="325"/>
      <c r="Z1215" s="325"/>
      <c r="AA1215" s="325"/>
      <c r="AB1215" s="325"/>
      <c r="AC1215" s="325"/>
      <c r="AD1215" s="325"/>
      <c r="AE1215" s="325"/>
      <c r="AF1215" s="325"/>
      <c r="AG1215" s="325"/>
      <c r="AH1215" s="325"/>
      <c r="AI1215" s="325"/>
      <c r="AJ1215" s="99"/>
    </row>
    <row r="1216" spans="1:36" x14ac:dyDescent="0.2">
      <c r="A1216" s="54"/>
      <c r="B1216" s="55"/>
      <c r="C1216" s="13" t="s">
        <v>823</v>
      </c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14"/>
      <c r="AH1216" s="14"/>
      <c r="AI1216" s="126"/>
      <c r="AJ1216" s="11"/>
    </row>
    <row r="1217" spans="1:36" x14ac:dyDescent="0.2">
      <c r="A1217" s="54"/>
      <c r="B1217" s="55"/>
      <c r="C1217" s="208" t="s">
        <v>751</v>
      </c>
      <c r="D1217" s="11">
        <v>1.2</v>
      </c>
      <c r="E1217" s="11" t="s">
        <v>745</v>
      </c>
      <c r="F1217" s="11">
        <v>1.2</v>
      </c>
      <c r="G1217" s="11"/>
      <c r="H1217" s="11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9"/>
      <c r="AG1217" s="11" t="s">
        <v>745</v>
      </c>
      <c r="AH1217" s="11">
        <v>1</v>
      </c>
      <c r="AI1217" s="88" t="s">
        <v>727</v>
      </c>
      <c r="AJ1217" s="11">
        <f>(D1217*F1217)*AH1217</f>
        <v>1.44</v>
      </c>
    </row>
    <row r="1218" spans="1:36" x14ac:dyDescent="0.2">
      <c r="A1218" s="54"/>
      <c r="B1218" s="55"/>
      <c r="C1218" s="13" t="s">
        <v>822</v>
      </c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6"/>
      <c r="AG1218" s="11"/>
      <c r="AH1218" s="11"/>
      <c r="AI1218" s="88"/>
      <c r="AJ1218" s="11"/>
    </row>
    <row r="1219" spans="1:36" x14ac:dyDescent="0.2">
      <c r="A1219" s="54"/>
      <c r="B1219" s="55"/>
      <c r="C1219" s="98"/>
      <c r="D1219" s="11">
        <v>0.8</v>
      </c>
      <c r="E1219" s="11" t="s">
        <v>748</v>
      </c>
      <c r="F1219" s="11">
        <v>2.1</v>
      </c>
      <c r="G1219" s="11"/>
      <c r="H1219" s="11"/>
      <c r="I1219" s="11"/>
      <c r="J1219" s="11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31"/>
      <c r="AG1219" s="11" t="s">
        <v>745</v>
      </c>
      <c r="AH1219" s="11">
        <v>1</v>
      </c>
      <c r="AI1219" s="88" t="s">
        <v>727</v>
      </c>
      <c r="AJ1219" s="11">
        <f>(D1219*F1219)*AH1219</f>
        <v>1.6800000000000002</v>
      </c>
    </row>
    <row r="1220" spans="1:36" x14ac:dyDescent="0.2">
      <c r="A1220" s="54"/>
      <c r="B1220" s="55"/>
      <c r="C1220" s="98"/>
      <c r="D1220" s="313" t="s">
        <v>824</v>
      </c>
      <c r="E1220" s="314"/>
      <c r="F1220" s="314"/>
      <c r="G1220" s="314"/>
      <c r="H1220" s="314"/>
      <c r="I1220" s="314"/>
      <c r="J1220" s="314"/>
      <c r="K1220" s="314"/>
      <c r="L1220" s="314"/>
      <c r="M1220" s="314"/>
      <c r="N1220" s="314"/>
      <c r="O1220" s="314"/>
      <c r="P1220" s="314"/>
      <c r="Q1220" s="314"/>
      <c r="R1220" s="314"/>
      <c r="S1220" s="314"/>
      <c r="T1220" s="314"/>
      <c r="U1220" s="314"/>
      <c r="V1220" s="314"/>
      <c r="W1220" s="314"/>
      <c r="X1220" s="314"/>
      <c r="Y1220" s="314"/>
      <c r="Z1220" s="314"/>
      <c r="AA1220" s="314"/>
      <c r="AB1220" s="314"/>
      <c r="AC1220" s="314"/>
      <c r="AD1220" s="314"/>
      <c r="AE1220" s="314"/>
      <c r="AF1220" s="314"/>
      <c r="AG1220" s="314"/>
      <c r="AH1220" s="314"/>
      <c r="AI1220" s="315"/>
      <c r="AJ1220" s="99"/>
    </row>
    <row r="1221" spans="1:36" x14ac:dyDescent="0.2">
      <c r="A1221" s="54"/>
      <c r="B1221" s="55"/>
      <c r="C1221" s="208" t="s">
        <v>861</v>
      </c>
      <c r="D1221" s="92"/>
      <c r="E1221" s="92"/>
      <c r="F1221" s="92"/>
      <c r="G1221" s="92"/>
      <c r="H1221" s="92"/>
      <c r="I1221" s="92"/>
      <c r="J1221" s="92"/>
      <c r="K1221" s="92"/>
      <c r="L1221" s="92"/>
      <c r="M1221" s="92"/>
      <c r="N1221" s="92"/>
      <c r="O1221" s="92"/>
      <c r="P1221" s="92"/>
      <c r="Q1221" s="92"/>
      <c r="R1221" s="92"/>
      <c r="S1221" s="92"/>
      <c r="T1221" s="92"/>
      <c r="U1221" s="92"/>
      <c r="V1221" s="92"/>
      <c r="W1221" s="92"/>
      <c r="X1221" s="92"/>
      <c r="Y1221" s="92"/>
      <c r="Z1221" s="92"/>
      <c r="AA1221" s="92"/>
      <c r="AB1221" s="92"/>
      <c r="AC1221" s="92"/>
      <c r="AD1221" s="92"/>
      <c r="AE1221" s="92"/>
      <c r="AF1221" s="92"/>
      <c r="AG1221" s="92"/>
      <c r="AH1221" s="92"/>
      <c r="AI1221" s="124"/>
      <c r="AJ1221" s="92"/>
    </row>
    <row r="1222" spans="1:36" x14ac:dyDescent="0.2">
      <c r="A1222" s="54"/>
      <c r="B1222" s="55"/>
      <c r="C1222" s="208" t="s">
        <v>749</v>
      </c>
      <c r="D1222" s="11">
        <v>0.6</v>
      </c>
      <c r="E1222" s="11" t="s">
        <v>745</v>
      </c>
      <c r="F1222" s="11">
        <v>0.2</v>
      </c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 t="s">
        <v>748</v>
      </c>
      <c r="AH1222" s="11">
        <v>15</v>
      </c>
      <c r="AI1222" s="88" t="s">
        <v>727</v>
      </c>
      <c r="AJ1222" s="11">
        <f>(D1222*F1222)*AH1222</f>
        <v>1.7999999999999998</v>
      </c>
    </row>
    <row r="1223" spans="1:36" x14ac:dyDescent="0.2">
      <c r="A1223" s="54"/>
      <c r="B1223" s="55"/>
      <c r="C1223" s="208" t="s">
        <v>822</v>
      </c>
      <c r="D1223" s="101"/>
      <c r="E1223" s="101"/>
      <c r="F1223" s="101"/>
      <c r="G1223" s="101"/>
      <c r="H1223" s="101"/>
      <c r="I1223" s="101"/>
      <c r="J1223" s="101"/>
      <c r="K1223" s="101"/>
      <c r="L1223" s="101"/>
      <c r="M1223" s="101"/>
      <c r="N1223" s="101"/>
      <c r="O1223" s="101"/>
      <c r="P1223" s="101"/>
      <c r="Q1223" s="101"/>
      <c r="R1223" s="101"/>
      <c r="S1223" s="101"/>
      <c r="T1223" s="101"/>
      <c r="U1223" s="101"/>
      <c r="V1223" s="101"/>
      <c r="W1223" s="101"/>
      <c r="X1223" s="101"/>
      <c r="Y1223" s="101"/>
      <c r="Z1223" s="101"/>
      <c r="AA1223" s="101"/>
      <c r="AB1223" s="101"/>
      <c r="AC1223" s="101"/>
      <c r="AD1223" s="101"/>
      <c r="AE1223" s="101"/>
      <c r="AF1223" s="101"/>
      <c r="AG1223" s="101"/>
      <c r="AH1223" s="101"/>
      <c r="AI1223" s="88"/>
      <c r="AJ1223" s="101"/>
    </row>
    <row r="1224" spans="1:36" x14ac:dyDescent="0.2">
      <c r="A1224" s="54"/>
      <c r="B1224" s="55"/>
      <c r="C1224" s="208"/>
      <c r="D1224" s="11">
        <v>0.8</v>
      </c>
      <c r="E1224" s="11" t="s">
        <v>748</v>
      </c>
      <c r="F1224" s="11">
        <v>0.2</v>
      </c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 t="s">
        <v>748</v>
      </c>
      <c r="AH1224" s="11">
        <v>6</v>
      </c>
      <c r="AI1224" s="88" t="s">
        <v>727</v>
      </c>
      <c r="AJ1224" s="11">
        <f>(D1224*F1224)*AH1224</f>
        <v>0.96000000000000019</v>
      </c>
    </row>
    <row r="1225" spans="1:36" x14ac:dyDescent="0.2">
      <c r="A1225" s="54"/>
      <c r="B1225" s="55"/>
      <c r="C1225" s="98"/>
      <c r="D1225" s="290" t="s">
        <v>825</v>
      </c>
      <c r="E1225" s="290"/>
      <c r="F1225" s="290"/>
      <c r="G1225" s="290"/>
      <c r="H1225" s="290"/>
      <c r="I1225" s="290"/>
      <c r="J1225" s="290"/>
      <c r="K1225" s="290"/>
      <c r="L1225" s="290"/>
      <c r="M1225" s="290"/>
      <c r="N1225" s="290"/>
      <c r="O1225" s="290"/>
      <c r="P1225" s="290"/>
      <c r="Q1225" s="290"/>
      <c r="R1225" s="290"/>
      <c r="S1225" s="290"/>
      <c r="T1225" s="290"/>
      <c r="U1225" s="290"/>
      <c r="V1225" s="290"/>
      <c r="W1225" s="290"/>
      <c r="X1225" s="290"/>
      <c r="Y1225" s="290"/>
      <c r="Z1225" s="290"/>
      <c r="AA1225" s="290"/>
      <c r="AB1225" s="290"/>
      <c r="AC1225" s="290"/>
      <c r="AD1225" s="290"/>
      <c r="AE1225" s="290"/>
      <c r="AF1225" s="290"/>
      <c r="AG1225" s="290"/>
      <c r="AH1225" s="290"/>
      <c r="AI1225" s="290"/>
      <c r="AJ1225" s="99"/>
    </row>
    <row r="1226" spans="1:36" x14ac:dyDescent="0.2">
      <c r="A1226" s="54"/>
      <c r="B1226" s="55"/>
      <c r="C1226" s="208" t="s">
        <v>861</v>
      </c>
      <c r="D1226" s="92"/>
      <c r="E1226" s="92"/>
      <c r="F1226" s="92"/>
      <c r="G1226" s="92"/>
      <c r="H1226" s="92"/>
      <c r="I1226" s="92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1"/>
      <c r="AI1226" s="11"/>
      <c r="AJ1226" s="11"/>
    </row>
    <row r="1227" spans="1:36" x14ac:dyDescent="0.2">
      <c r="A1227" s="54"/>
      <c r="B1227" s="55"/>
      <c r="C1227" s="208" t="s">
        <v>749</v>
      </c>
      <c r="D1227" s="11">
        <v>0.6</v>
      </c>
      <c r="E1227" s="11" t="s">
        <v>745</v>
      </c>
      <c r="F1227" s="11">
        <v>0.6</v>
      </c>
      <c r="G1227" s="11"/>
      <c r="H1227" s="11"/>
      <c r="I1227" s="11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1" t="s">
        <v>748</v>
      </c>
      <c r="AH1227" s="11">
        <v>3</v>
      </c>
      <c r="AI1227" s="88" t="s">
        <v>727</v>
      </c>
      <c r="AJ1227" s="11">
        <f>(D1227*F1227)*AH1227</f>
        <v>1.08</v>
      </c>
    </row>
    <row r="1228" spans="1:36" x14ac:dyDescent="0.2">
      <c r="A1228" s="54"/>
      <c r="B1228" s="55"/>
      <c r="C1228" s="208" t="s">
        <v>750</v>
      </c>
      <c r="D1228" s="11">
        <v>0.6</v>
      </c>
      <c r="E1228" s="11" t="s">
        <v>745</v>
      </c>
      <c r="F1228" s="11">
        <v>0.8</v>
      </c>
      <c r="G1228" s="11"/>
      <c r="H1228" s="11"/>
      <c r="I1228" s="11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1" t="s">
        <v>748</v>
      </c>
      <c r="AH1228" s="11">
        <v>0</v>
      </c>
      <c r="AI1228" s="88" t="s">
        <v>727</v>
      </c>
      <c r="AJ1228" s="11">
        <f>(D1228*F1228)*AH1228</f>
        <v>0</v>
      </c>
    </row>
    <row r="1229" spans="1:36" x14ac:dyDescent="0.2">
      <c r="A1229" s="54"/>
      <c r="B1229" s="55"/>
      <c r="C1229" s="208" t="s">
        <v>751</v>
      </c>
      <c r="D1229" s="11">
        <v>1.2</v>
      </c>
      <c r="E1229" s="11" t="s">
        <v>745</v>
      </c>
      <c r="F1229" s="11">
        <v>0.8</v>
      </c>
      <c r="G1229" s="11"/>
      <c r="H1229" s="11"/>
      <c r="I1229" s="11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1" t="s">
        <v>748</v>
      </c>
      <c r="AH1229" s="11">
        <v>6</v>
      </c>
      <c r="AI1229" s="88" t="s">
        <v>727</v>
      </c>
      <c r="AJ1229" s="11">
        <f>(D1229*F1229)*AH1229</f>
        <v>5.76</v>
      </c>
    </row>
    <row r="1230" spans="1:36" x14ac:dyDescent="0.2">
      <c r="A1230" s="54"/>
      <c r="B1230" s="55"/>
      <c r="C1230" s="208" t="s">
        <v>752</v>
      </c>
      <c r="D1230" s="11">
        <v>1.8</v>
      </c>
      <c r="E1230" s="11" t="s">
        <v>745</v>
      </c>
      <c r="F1230" s="11">
        <v>0.8</v>
      </c>
      <c r="G1230" s="11"/>
      <c r="H1230" s="11"/>
      <c r="I1230" s="11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1" t="s">
        <v>748</v>
      </c>
      <c r="AH1230" s="11">
        <v>1</v>
      </c>
      <c r="AI1230" s="88" t="s">
        <v>727</v>
      </c>
      <c r="AJ1230" s="11">
        <f>(D1230*F1230)*AH1230</f>
        <v>1.4400000000000002</v>
      </c>
    </row>
    <row r="1231" spans="1:36" x14ac:dyDescent="0.2">
      <c r="A1231" s="54"/>
      <c r="B1231" s="55"/>
      <c r="C1231" s="208" t="s">
        <v>753</v>
      </c>
      <c r="D1231" s="11">
        <v>1.8</v>
      </c>
      <c r="E1231" s="11" t="s">
        <v>745</v>
      </c>
      <c r="F1231" s="11">
        <v>0.8</v>
      </c>
      <c r="G1231" s="11"/>
      <c r="H1231" s="11"/>
      <c r="I1231" s="11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1" t="s">
        <v>748</v>
      </c>
      <c r="AH1231" s="11">
        <v>6</v>
      </c>
      <c r="AI1231" s="88" t="s">
        <v>727</v>
      </c>
      <c r="AJ1231" s="11">
        <f>(D1231*F1231)*AH1231</f>
        <v>8.64</v>
      </c>
    </row>
    <row r="1232" spans="1:36" x14ac:dyDescent="0.2">
      <c r="A1232" s="54"/>
      <c r="B1232" s="55"/>
      <c r="C1232" s="208" t="s">
        <v>822</v>
      </c>
      <c r="D1232" s="101"/>
      <c r="E1232" s="101"/>
      <c r="F1232" s="101"/>
      <c r="G1232" s="101"/>
      <c r="H1232" s="101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1"/>
      <c r="AI1232" s="11"/>
      <c r="AJ1232" s="11"/>
    </row>
    <row r="1233" spans="1:36" x14ac:dyDescent="0.2">
      <c r="A1233" s="54"/>
      <c r="B1233" s="55"/>
      <c r="C1233" s="208"/>
      <c r="D1233" s="11">
        <v>0.8</v>
      </c>
      <c r="E1233" s="11" t="s">
        <v>748</v>
      </c>
      <c r="F1233" s="11">
        <v>0.8</v>
      </c>
      <c r="G1233" s="11"/>
      <c r="H1233" s="11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1" t="s">
        <v>748</v>
      </c>
      <c r="AH1233" s="11">
        <v>10</v>
      </c>
      <c r="AI1233" s="220" t="s">
        <v>727</v>
      </c>
      <c r="AJ1233" s="11">
        <f>(D1233*F1233)*AH1233</f>
        <v>6.4000000000000012</v>
      </c>
    </row>
    <row r="1234" spans="1:36" x14ac:dyDescent="0.2">
      <c r="A1234" s="54"/>
      <c r="B1234" s="55"/>
      <c r="C1234" s="98"/>
      <c r="D1234" s="290" t="s">
        <v>862</v>
      </c>
      <c r="E1234" s="290"/>
      <c r="F1234" s="290"/>
      <c r="G1234" s="290"/>
      <c r="H1234" s="290"/>
      <c r="I1234" s="290"/>
      <c r="J1234" s="290"/>
      <c r="K1234" s="290"/>
      <c r="L1234" s="290"/>
      <c r="M1234" s="290"/>
      <c r="N1234" s="290"/>
      <c r="O1234" s="290"/>
      <c r="P1234" s="290"/>
      <c r="Q1234" s="290"/>
      <c r="R1234" s="290"/>
      <c r="S1234" s="290"/>
      <c r="T1234" s="290"/>
      <c r="U1234" s="290"/>
      <c r="V1234" s="290"/>
      <c r="W1234" s="290"/>
      <c r="X1234" s="290"/>
      <c r="Y1234" s="290"/>
      <c r="Z1234" s="290"/>
      <c r="AA1234" s="290"/>
      <c r="AB1234" s="290"/>
      <c r="AC1234" s="290"/>
      <c r="AD1234" s="290"/>
      <c r="AE1234" s="290"/>
      <c r="AF1234" s="290"/>
      <c r="AG1234" s="290"/>
      <c r="AH1234" s="290"/>
      <c r="AI1234" s="290"/>
      <c r="AJ1234" s="99"/>
    </row>
    <row r="1235" spans="1:36" x14ac:dyDescent="0.2">
      <c r="A1235" s="54"/>
      <c r="B1235" s="55"/>
      <c r="C1235" s="208" t="s">
        <v>822</v>
      </c>
      <c r="D1235" s="101"/>
      <c r="E1235" s="101"/>
      <c r="F1235" s="101"/>
      <c r="G1235" s="101"/>
      <c r="H1235" s="101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1"/>
      <c r="AI1235" s="11"/>
      <c r="AJ1235" s="11"/>
    </row>
    <row r="1236" spans="1:36" x14ac:dyDescent="0.2">
      <c r="A1236" s="54"/>
      <c r="B1236" s="55"/>
      <c r="C1236" s="208" t="s">
        <v>826</v>
      </c>
      <c r="D1236" s="11">
        <v>0.6</v>
      </c>
      <c r="E1236" s="11" t="s">
        <v>748</v>
      </c>
      <c r="F1236" s="11">
        <v>0.6</v>
      </c>
      <c r="G1236" s="11"/>
      <c r="H1236" s="11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1" t="s">
        <v>748</v>
      </c>
      <c r="AH1236" s="142">
        <v>3</v>
      </c>
      <c r="AI1236" s="88" t="s">
        <v>727</v>
      </c>
      <c r="AJ1236" s="11">
        <f>(D1236*F1236)*AH1236</f>
        <v>1.08</v>
      </c>
    </row>
    <row r="1237" spans="1:36" x14ac:dyDescent="0.2">
      <c r="A1237" s="54"/>
      <c r="B1237" s="55"/>
      <c r="C1237" s="208" t="s">
        <v>863</v>
      </c>
      <c r="D1237" s="95">
        <v>0.6</v>
      </c>
      <c r="E1237" s="95" t="s">
        <v>748</v>
      </c>
      <c r="F1237" s="95">
        <v>0.8</v>
      </c>
      <c r="G1237" s="95"/>
      <c r="H1237" s="95"/>
      <c r="I1237" s="93"/>
      <c r="J1237" s="93"/>
      <c r="K1237" s="93"/>
      <c r="L1237" s="93"/>
      <c r="M1237" s="93"/>
      <c r="N1237" s="93"/>
      <c r="O1237" s="93"/>
      <c r="P1237" s="93"/>
      <c r="Q1237" s="93"/>
      <c r="R1237" s="93"/>
      <c r="S1237" s="93"/>
      <c r="T1237" s="93"/>
      <c r="U1237" s="93"/>
      <c r="V1237" s="93"/>
      <c r="W1237" s="93"/>
      <c r="X1237" s="93"/>
      <c r="Y1237" s="93"/>
      <c r="Z1237" s="93"/>
      <c r="AA1237" s="93"/>
      <c r="AB1237" s="93"/>
      <c r="AC1237" s="93"/>
      <c r="AD1237" s="93"/>
      <c r="AE1237" s="93"/>
      <c r="AF1237" s="93"/>
      <c r="AG1237" s="96" t="s">
        <v>748</v>
      </c>
      <c r="AH1237" s="143">
        <v>0</v>
      </c>
      <c r="AI1237" s="88" t="s">
        <v>727</v>
      </c>
      <c r="AJ1237" s="11">
        <f>(D1237*F1237)*AH1237</f>
        <v>0</v>
      </c>
    </row>
    <row r="1238" spans="1:36" x14ac:dyDescent="0.2">
      <c r="A1238" s="54"/>
      <c r="B1238" s="55"/>
      <c r="C1238" s="208" t="s">
        <v>827</v>
      </c>
      <c r="D1238" s="11">
        <v>1.2</v>
      </c>
      <c r="E1238" s="11" t="s">
        <v>748</v>
      </c>
      <c r="F1238" s="11">
        <v>1.2</v>
      </c>
      <c r="G1238" s="11"/>
      <c r="H1238" s="11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8" t="s">
        <v>748</v>
      </c>
      <c r="AH1238" s="89">
        <v>6</v>
      </c>
      <c r="AI1238" s="88" t="s">
        <v>727</v>
      </c>
      <c r="AJ1238" s="11">
        <f>(D1238*F1238)*AH1238</f>
        <v>8.64</v>
      </c>
    </row>
    <row r="1239" spans="1:36" x14ac:dyDescent="0.2">
      <c r="A1239" s="54"/>
      <c r="B1239" s="55"/>
      <c r="C1239" s="208" t="s">
        <v>828</v>
      </c>
      <c r="D1239" s="11">
        <v>1.2</v>
      </c>
      <c r="E1239" s="11" t="s">
        <v>748</v>
      </c>
      <c r="F1239" s="11">
        <v>1.8</v>
      </c>
      <c r="G1239" s="11"/>
      <c r="H1239" s="11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8" t="s">
        <v>748</v>
      </c>
      <c r="AH1239" s="89">
        <v>1</v>
      </c>
      <c r="AI1239" s="88" t="s">
        <v>727</v>
      </c>
      <c r="AJ1239" s="11">
        <f>(D1239*F1239)*AH1239</f>
        <v>2.16</v>
      </c>
    </row>
    <row r="1240" spans="1:36" x14ac:dyDescent="0.2">
      <c r="A1240" s="54"/>
      <c r="B1240" s="55"/>
      <c r="C1240" s="208" t="s">
        <v>829</v>
      </c>
      <c r="D1240" s="11">
        <v>1.8</v>
      </c>
      <c r="E1240" s="11" t="s">
        <v>748</v>
      </c>
      <c r="F1240" s="11">
        <v>1.6</v>
      </c>
      <c r="G1240" s="11"/>
      <c r="H1240" s="11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8" t="s">
        <v>748</v>
      </c>
      <c r="AH1240" s="89">
        <v>6</v>
      </c>
      <c r="AI1240" s="88" t="s">
        <v>727</v>
      </c>
      <c r="AJ1240" s="11">
        <f>(D1240*F1240)*AH1240</f>
        <v>17.28</v>
      </c>
    </row>
    <row r="1241" spans="1:36" x14ac:dyDescent="0.2">
      <c r="A1241" s="54"/>
      <c r="B1241" s="55"/>
      <c r="C1241" s="13"/>
      <c r="D1241" s="316" t="s">
        <v>830</v>
      </c>
      <c r="E1241" s="317"/>
      <c r="F1241" s="317"/>
      <c r="G1241" s="317"/>
      <c r="H1241" s="317"/>
      <c r="I1241" s="317"/>
      <c r="J1241" s="317"/>
      <c r="K1241" s="317"/>
      <c r="L1241" s="317"/>
      <c r="M1241" s="317"/>
      <c r="N1241" s="317"/>
      <c r="O1241" s="317"/>
      <c r="P1241" s="317"/>
      <c r="Q1241" s="317"/>
      <c r="R1241" s="317"/>
      <c r="S1241" s="317"/>
      <c r="T1241" s="317"/>
      <c r="U1241" s="317"/>
      <c r="V1241" s="317"/>
      <c r="W1241" s="317"/>
      <c r="X1241" s="317"/>
      <c r="Y1241" s="317"/>
      <c r="Z1241" s="317"/>
      <c r="AA1241" s="317"/>
      <c r="AB1241" s="317"/>
      <c r="AC1241" s="317"/>
      <c r="AD1241" s="317"/>
      <c r="AE1241" s="317"/>
      <c r="AF1241" s="317"/>
      <c r="AG1241" s="317"/>
      <c r="AH1241" s="317"/>
      <c r="AI1241" s="318"/>
      <c r="AJ1241" s="92">
        <f>SUM(AJ1217:AJ1240)</f>
        <v>58.36</v>
      </c>
    </row>
    <row r="1242" spans="1:36" x14ac:dyDescent="0.2">
      <c r="A1242" s="54"/>
      <c r="B1242" s="55"/>
      <c r="C1242" s="13"/>
      <c r="D1242" s="316" t="s">
        <v>864</v>
      </c>
      <c r="E1242" s="317"/>
      <c r="F1242" s="317"/>
      <c r="G1242" s="317"/>
      <c r="H1242" s="317"/>
      <c r="I1242" s="317"/>
      <c r="J1242" s="317"/>
      <c r="K1242" s="317"/>
      <c r="L1242" s="317"/>
      <c r="M1242" s="317"/>
      <c r="N1242" s="317"/>
      <c r="O1242" s="317"/>
      <c r="P1242" s="317"/>
      <c r="Q1242" s="317"/>
      <c r="R1242" s="317"/>
      <c r="S1242" s="317"/>
      <c r="T1242" s="317"/>
      <c r="U1242" s="317"/>
      <c r="V1242" s="317"/>
      <c r="W1242" s="317"/>
      <c r="X1242" s="317"/>
      <c r="Y1242" s="317"/>
      <c r="Z1242" s="317"/>
      <c r="AA1242" s="317"/>
      <c r="AB1242" s="317"/>
      <c r="AC1242" s="317"/>
      <c r="AD1242" s="317"/>
      <c r="AE1242" s="317"/>
      <c r="AF1242" s="317"/>
      <c r="AG1242" s="317"/>
      <c r="AH1242" s="317"/>
      <c r="AI1242" s="318"/>
      <c r="AJ1242" s="92">
        <f>AJ1213-AJ1241</f>
        <v>352.38</v>
      </c>
    </row>
    <row r="1243" spans="1:36" ht="24" x14ac:dyDescent="0.2">
      <c r="A1243" s="54" t="s">
        <v>867</v>
      </c>
      <c r="B1243" s="55">
        <v>95305</v>
      </c>
      <c r="C1243" s="54" t="s">
        <v>868</v>
      </c>
      <c r="D1243" s="377"/>
      <c r="E1243" s="305"/>
      <c r="F1243" s="305"/>
      <c r="G1243" s="305"/>
      <c r="H1243" s="305"/>
      <c r="I1243" s="305"/>
      <c r="J1243" s="305"/>
      <c r="K1243" s="305"/>
      <c r="L1243" s="305"/>
      <c r="M1243" s="305"/>
      <c r="N1243" s="305"/>
      <c r="O1243" s="305"/>
      <c r="P1243" s="305"/>
      <c r="Q1243" s="305"/>
      <c r="R1243" s="305"/>
      <c r="S1243" s="305"/>
      <c r="T1243" s="305"/>
      <c r="U1243" s="305"/>
      <c r="V1243" s="305"/>
      <c r="W1243" s="305"/>
      <c r="X1243" s="305"/>
      <c r="Y1243" s="305"/>
      <c r="Z1243" s="305"/>
      <c r="AA1243" s="305"/>
      <c r="AB1243" s="305"/>
      <c r="AC1243" s="305"/>
      <c r="AD1243" s="305"/>
      <c r="AE1243" s="305"/>
      <c r="AF1243" s="305"/>
      <c r="AG1243" s="305"/>
      <c r="AH1243" s="305"/>
      <c r="AI1243" s="306"/>
      <c r="AJ1243" s="11" t="s">
        <v>19</v>
      </c>
    </row>
    <row r="1244" spans="1:36" x14ac:dyDescent="0.2">
      <c r="A1244" s="54"/>
      <c r="B1244" s="113"/>
      <c r="C1244" s="46" t="s">
        <v>869</v>
      </c>
      <c r="D1244" s="11">
        <v>20</v>
      </c>
      <c r="E1244" s="11" t="s">
        <v>748</v>
      </c>
      <c r="F1244" s="11">
        <v>2</v>
      </c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1" t="s">
        <v>748</v>
      </c>
      <c r="AH1244" s="142">
        <v>1</v>
      </c>
      <c r="AI1244" s="88" t="s">
        <v>727</v>
      </c>
      <c r="AJ1244" s="11">
        <f t="shared" ref="AJ1244:AJ1249" si="77">(D1244*F1244)*AH1244</f>
        <v>40</v>
      </c>
    </row>
    <row r="1245" spans="1:36" x14ac:dyDescent="0.2">
      <c r="A1245" s="54"/>
      <c r="B1245" s="113"/>
      <c r="C1245" s="46" t="s">
        <v>870</v>
      </c>
      <c r="D1245" s="11">
        <v>20</v>
      </c>
      <c r="E1245" s="11" t="s">
        <v>748</v>
      </c>
      <c r="F1245" s="11">
        <v>2</v>
      </c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1" t="s">
        <v>748</v>
      </c>
      <c r="AH1245" s="142">
        <v>2</v>
      </c>
      <c r="AI1245" s="88" t="s">
        <v>727</v>
      </c>
      <c r="AJ1245" s="11">
        <f t="shared" si="77"/>
        <v>80</v>
      </c>
    </row>
    <row r="1246" spans="1:36" x14ac:dyDescent="0.2">
      <c r="A1246" s="54"/>
      <c r="B1246" s="113"/>
      <c r="C1246" s="46" t="s">
        <v>871</v>
      </c>
      <c r="D1246" s="11">
        <v>39.700000000000003</v>
      </c>
      <c r="E1246" s="11" t="s">
        <v>748</v>
      </c>
      <c r="F1246" s="11">
        <v>2</v>
      </c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1" t="s">
        <v>748</v>
      </c>
      <c r="AH1246" s="142">
        <v>1</v>
      </c>
      <c r="AI1246" s="88" t="s">
        <v>727</v>
      </c>
      <c r="AJ1246" s="11">
        <f t="shared" si="77"/>
        <v>79.400000000000006</v>
      </c>
    </row>
    <row r="1247" spans="1:36" x14ac:dyDescent="0.2">
      <c r="A1247" s="54"/>
      <c r="B1247" s="113"/>
      <c r="C1247" s="46" t="s">
        <v>903</v>
      </c>
      <c r="D1247" s="11">
        <v>1.86</v>
      </c>
      <c r="E1247" s="11" t="s">
        <v>764</v>
      </c>
      <c r="F1247" s="11">
        <v>3.3</v>
      </c>
      <c r="G1247" s="11" t="s">
        <v>764</v>
      </c>
      <c r="H1247" s="11">
        <v>3.84</v>
      </c>
      <c r="I1247" s="11" t="s">
        <v>764</v>
      </c>
      <c r="J1247" s="11">
        <v>8.33</v>
      </c>
      <c r="K1247" s="11"/>
      <c r="L1247" s="11"/>
      <c r="M1247" s="10"/>
      <c r="N1247" s="10"/>
      <c r="O1247" s="10"/>
      <c r="P1247" s="5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 t="s">
        <v>745</v>
      </c>
      <c r="AH1247" s="159">
        <v>2</v>
      </c>
      <c r="AI1247" s="88" t="s">
        <v>727</v>
      </c>
      <c r="AJ1247" s="11">
        <f t="shared" si="77"/>
        <v>12.276</v>
      </c>
    </row>
    <row r="1248" spans="1:36" x14ac:dyDescent="0.2">
      <c r="A1248" s="54"/>
      <c r="B1248" s="113"/>
      <c r="C1248" s="46" t="s">
        <v>903</v>
      </c>
      <c r="D1248" s="11">
        <v>2.2000000000000002</v>
      </c>
      <c r="E1248" s="11" t="s">
        <v>764</v>
      </c>
      <c r="F1248" s="11">
        <v>12.43</v>
      </c>
      <c r="G1248" s="11" t="s">
        <v>764</v>
      </c>
      <c r="H1248" s="11">
        <v>5.25</v>
      </c>
      <c r="I1248" s="11"/>
      <c r="J1248" s="11"/>
      <c r="K1248" s="11"/>
      <c r="L1248" s="11"/>
      <c r="M1248" s="10"/>
      <c r="N1248" s="10"/>
      <c r="O1248" s="10"/>
      <c r="P1248" s="5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 t="s">
        <v>745</v>
      </c>
      <c r="AH1248" s="159">
        <v>0.6</v>
      </c>
      <c r="AI1248" s="88" t="s">
        <v>727</v>
      </c>
      <c r="AJ1248" s="11">
        <f t="shared" si="77"/>
        <v>16.407599999999999</v>
      </c>
    </row>
    <row r="1249" spans="1:36" x14ac:dyDescent="0.2">
      <c r="A1249" s="54"/>
      <c r="B1249" s="113"/>
      <c r="C1249" s="46" t="s">
        <v>904</v>
      </c>
      <c r="D1249" s="11">
        <v>1.1000000000000001</v>
      </c>
      <c r="E1249" s="11" t="s">
        <v>764</v>
      </c>
      <c r="F1249" s="11">
        <v>1.1000000000000001</v>
      </c>
      <c r="G1249" s="11"/>
      <c r="H1249" s="11"/>
      <c r="I1249" s="11"/>
      <c r="J1249" s="11"/>
      <c r="K1249" s="11"/>
      <c r="L1249" s="11"/>
      <c r="M1249" s="10"/>
      <c r="N1249" s="10"/>
      <c r="O1249" s="10"/>
      <c r="P1249" s="5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 t="s">
        <v>745</v>
      </c>
      <c r="AH1249" s="159">
        <v>2</v>
      </c>
      <c r="AI1249" s="88" t="s">
        <v>727</v>
      </c>
      <c r="AJ1249" s="11">
        <f t="shared" si="77"/>
        <v>2.4200000000000004</v>
      </c>
    </row>
    <row r="1250" spans="1:36" ht="12" customHeight="1" x14ac:dyDescent="0.2">
      <c r="A1250" s="54"/>
      <c r="B1250" s="113"/>
      <c r="C1250" s="108"/>
      <c r="D1250" s="361" t="s">
        <v>812</v>
      </c>
      <c r="E1250" s="362"/>
      <c r="F1250" s="362"/>
      <c r="G1250" s="362"/>
      <c r="H1250" s="362"/>
      <c r="I1250" s="362"/>
      <c r="J1250" s="362"/>
      <c r="K1250" s="362"/>
      <c r="L1250" s="362"/>
      <c r="M1250" s="362"/>
      <c r="N1250" s="362"/>
      <c r="O1250" s="362"/>
      <c r="P1250" s="362"/>
      <c r="Q1250" s="362"/>
      <c r="R1250" s="362"/>
      <c r="S1250" s="362"/>
      <c r="T1250" s="362"/>
      <c r="U1250" s="362"/>
      <c r="V1250" s="362"/>
      <c r="W1250" s="362"/>
      <c r="X1250" s="362"/>
      <c r="Y1250" s="362"/>
      <c r="Z1250" s="362"/>
      <c r="AA1250" s="362"/>
      <c r="AB1250" s="362"/>
      <c r="AC1250" s="362"/>
      <c r="AD1250" s="362"/>
      <c r="AE1250" s="362"/>
      <c r="AF1250" s="362"/>
      <c r="AG1250" s="362"/>
      <c r="AH1250" s="362"/>
      <c r="AI1250" s="395"/>
      <c r="AJ1250" s="92">
        <f>SUM(AJ1244:AJ1249)</f>
        <v>230.50360000000001</v>
      </c>
    </row>
    <row r="1251" spans="1:36" x14ac:dyDescent="0.2">
      <c r="A1251" s="48" t="s">
        <v>291</v>
      </c>
      <c r="B1251" s="269" t="s">
        <v>292</v>
      </c>
      <c r="C1251" s="269"/>
      <c r="D1251" s="269"/>
      <c r="E1251" s="269"/>
      <c r="F1251" s="269"/>
      <c r="G1251" s="269"/>
      <c r="H1251" s="269"/>
      <c r="I1251" s="269"/>
      <c r="J1251" s="269"/>
      <c r="K1251" s="269"/>
      <c r="L1251" s="269"/>
      <c r="M1251" s="269"/>
      <c r="N1251" s="269"/>
      <c r="O1251" s="269"/>
      <c r="P1251" s="269"/>
      <c r="Q1251" s="269"/>
      <c r="R1251" s="269"/>
      <c r="S1251" s="269"/>
      <c r="T1251" s="269"/>
      <c r="U1251" s="269"/>
      <c r="V1251" s="269"/>
      <c r="W1251" s="269"/>
      <c r="X1251" s="269"/>
      <c r="Y1251" s="269"/>
      <c r="Z1251" s="269"/>
      <c r="AA1251" s="269"/>
      <c r="AB1251" s="269"/>
      <c r="AC1251" s="269"/>
      <c r="AD1251" s="269"/>
      <c r="AE1251" s="269"/>
      <c r="AF1251" s="269"/>
      <c r="AG1251" s="269"/>
      <c r="AH1251" s="269"/>
      <c r="AI1251" s="269"/>
      <c r="AJ1251" s="269"/>
    </row>
    <row r="1252" spans="1:36" ht="36" x14ac:dyDescent="0.2">
      <c r="A1252" s="7" t="s">
        <v>293</v>
      </c>
      <c r="B1252" s="8" t="s">
        <v>294</v>
      </c>
      <c r="C1252" s="7" t="s">
        <v>295</v>
      </c>
      <c r="D1252" s="294"/>
      <c r="E1252" s="295"/>
      <c r="F1252" s="295"/>
      <c r="G1252" s="295"/>
      <c r="H1252" s="295"/>
      <c r="I1252" s="295"/>
      <c r="J1252" s="295"/>
      <c r="K1252" s="295"/>
      <c r="L1252" s="295"/>
      <c r="M1252" s="295"/>
      <c r="N1252" s="295"/>
      <c r="O1252" s="295"/>
      <c r="P1252" s="295"/>
      <c r="Q1252" s="295"/>
      <c r="R1252" s="295"/>
      <c r="S1252" s="295"/>
      <c r="T1252" s="295"/>
      <c r="U1252" s="295"/>
      <c r="V1252" s="295"/>
      <c r="W1252" s="295"/>
      <c r="X1252" s="295"/>
      <c r="Y1252" s="295"/>
      <c r="Z1252" s="295"/>
      <c r="AA1252" s="295"/>
      <c r="AB1252" s="295"/>
      <c r="AC1252" s="295"/>
      <c r="AD1252" s="295"/>
      <c r="AE1252" s="295"/>
      <c r="AF1252" s="295"/>
      <c r="AG1252" s="295"/>
      <c r="AH1252" s="295"/>
      <c r="AI1252" s="296"/>
      <c r="AJ1252" s="11" t="s">
        <v>23</v>
      </c>
    </row>
    <row r="1253" spans="1:36" ht="36" x14ac:dyDescent="0.2">
      <c r="A1253" s="7" t="s">
        <v>296</v>
      </c>
      <c r="B1253" s="8" t="s">
        <v>297</v>
      </c>
      <c r="C1253" s="7" t="s">
        <v>298</v>
      </c>
      <c r="D1253" s="294"/>
      <c r="E1253" s="295"/>
      <c r="F1253" s="295"/>
      <c r="G1253" s="295"/>
      <c r="H1253" s="295"/>
      <c r="I1253" s="295"/>
      <c r="J1253" s="295"/>
      <c r="K1253" s="295"/>
      <c r="L1253" s="295"/>
      <c r="M1253" s="295"/>
      <c r="N1253" s="295"/>
      <c r="O1253" s="295"/>
      <c r="P1253" s="295"/>
      <c r="Q1253" s="295"/>
      <c r="R1253" s="295"/>
      <c r="S1253" s="295"/>
      <c r="T1253" s="295"/>
      <c r="U1253" s="295"/>
      <c r="V1253" s="295"/>
      <c r="W1253" s="295"/>
      <c r="X1253" s="295"/>
      <c r="Y1253" s="295"/>
      <c r="Z1253" s="295"/>
      <c r="AA1253" s="295"/>
      <c r="AB1253" s="295"/>
      <c r="AC1253" s="295"/>
      <c r="AD1253" s="295"/>
      <c r="AE1253" s="295"/>
      <c r="AF1253" s="295"/>
      <c r="AG1253" s="295"/>
      <c r="AH1253" s="295"/>
      <c r="AI1253" s="296"/>
      <c r="AJ1253" s="11" t="s">
        <v>23</v>
      </c>
    </row>
    <row r="1254" spans="1:36" ht="36" x14ac:dyDescent="0.2">
      <c r="A1254" s="7" t="s">
        <v>299</v>
      </c>
      <c r="B1254" s="8" t="s">
        <v>300</v>
      </c>
      <c r="C1254" s="7" t="s">
        <v>301</v>
      </c>
      <c r="D1254" s="294"/>
      <c r="E1254" s="295"/>
      <c r="F1254" s="295"/>
      <c r="G1254" s="295"/>
      <c r="H1254" s="295"/>
      <c r="I1254" s="295"/>
      <c r="J1254" s="295"/>
      <c r="K1254" s="295"/>
      <c r="L1254" s="295"/>
      <c r="M1254" s="295"/>
      <c r="N1254" s="295"/>
      <c r="O1254" s="295"/>
      <c r="P1254" s="295"/>
      <c r="Q1254" s="295"/>
      <c r="R1254" s="295"/>
      <c r="S1254" s="295"/>
      <c r="T1254" s="295"/>
      <c r="U1254" s="295"/>
      <c r="V1254" s="295"/>
      <c r="W1254" s="295"/>
      <c r="X1254" s="295"/>
      <c r="Y1254" s="295"/>
      <c r="Z1254" s="295"/>
      <c r="AA1254" s="295"/>
      <c r="AB1254" s="295"/>
      <c r="AC1254" s="295"/>
      <c r="AD1254" s="295"/>
      <c r="AE1254" s="295"/>
      <c r="AF1254" s="295"/>
      <c r="AG1254" s="295"/>
      <c r="AH1254" s="295"/>
      <c r="AI1254" s="296"/>
      <c r="AJ1254" s="11" t="s">
        <v>23</v>
      </c>
    </row>
    <row r="1255" spans="1:36" ht="36" x14ac:dyDescent="0.2">
      <c r="A1255" s="7" t="s">
        <v>302</v>
      </c>
      <c r="B1255" s="8" t="s">
        <v>303</v>
      </c>
      <c r="C1255" s="7" t="s">
        <v>304</v>
      </c>
      <c r="D1255" s="294"/>
      <c r="E1255" s="295"/>
      <c r="F1255" s="295"/>
      <c r="G1255" s="295"/>
      <c r="H1255" s="295"/>
      <c r="I1255" s="295"/>
      <c r="J1255" s="295"/>
      <c r="K1255" s="295"/>
      <c r="L1255" s="295"/>
      <c r="M1255" s="295"/>
      <c r="N1255" s="295"/>
      <c r="O1255" s="295"/>
      <c r="P1255" s="295"/>
      <c r="Q1255" s="295"/>
      <c r="R1255" s="295"/>
      <c r="S1255" s="295"/>
      <c r="T1255" s="295"/>
      <c r="U1255" s="295"/>
      <c r="V1255" s="295"/>
      <c r="W1255" s="295"/>
      <c r="X1255" s="295"/>
      <c r="Y1255" s="295"/>
      <c r="Z1255" s="295"/>
      <c r="AA1255" s="295"/>
      <c r="AB1255" s="295"/>
      <c r="AC1255" s="295"/>
      <c r="AD1255" s="295"/>
      <c r="AE1255" s="295"/>
      <c r="AF1255" s="295"/>
      <c r="AG1255" s="295"/>
      <c r="AH1255" s="295"/>
      <c r="AI1255" s="296"/>
      <c r="AJ1255" s="11" t="s">
        <v>23</v>
      </c>
    </row>
    <row r="1256" spans="1:36" ht="36" x14ac:dyDescent="0.2">
      <c r="A1256" s="7" t="s">
        <v>305</v>
      </c>
      <c r="B1256" s="8" t="s">
        <v>306</v>
      </c>
      <c r="C1256" s="7" t="s">
        <v>307</v>
      </c>
      <c r="D1256" s="294"/>
      <c r="E1256" s="295"/>
      <c r="F1256" s="295"/>
      <c r="G1256" s="295"/>
      <c r="H1256" s="295"/>
      <c r="I1256" s="295"/>
      <c r="J1256" s="295"/>
      <c r="K1256" s="295"/>
      <c r="L1256" s="295"/>
      <c r="M1256" s="295"/>
      <c r="N1256" s="295"/>
      <c r="O1256" s="295"/>
      <c r="P1256" s="295"/>
      <c r="Q1256" s="295"/>
      <c r="R1256" s="295"/>
      <c r="S1256" s="295"/>
      <c r="T1256" s="295"/>
      <c r="U1256" s="295"/>
      <c r="V1256" s="295"/>
      <c r="W1256" s="295"/>
      <c r="X1256" s="295"/>
      <c r="Y1256" s="295"/>
      <c r="Z1256" s="295"/>
      <c r="AA1256" s="295"/>
      <c r="AB1256" s="295"/>
      <c r="AC1256" s="295"/>
      <c r="AD1256" s="295"/>
      <c r="AE1256" s="295"/>
      <c r="AF1256" s="295"/>
      <c r="AG1256" s="295"/>
      <c r="AH1256" s="295"/>
      <c r="AI1256" s="296"/>
      <c r="AJ1256" s="11" t="s">
        <v>23</v>
      </c>
    </row>
    <row r="1257" spans="1:36" ht="36" x14ac:dyDescent="0.2">
      <c r="A1257" s="7" t="s">
        <v>308</v>
      </c>
      <c r="B1257" s="8" t="s">
        <v>309</v>
      </c>
      <c r="C1257" s="7" t="s">
        <v>310</v>
      </c>
      <c r="D1257" s="294"/>
      <c r="E1257" s="295"/>
      <c r="F1257" s="295"/>
      <c r="G1257" s="295"/>
      <c r="H1257" s="295"/>
      <c r="I1257" s="295"/>
      <c r="J1257" s="295"/>
      <c r="K1257" s="295"/>
      <c r="L1257" s="295"/>
      <c r="M1257" s="295"/>
      <c r="N1257" s="295"/>
      <c r="O1257" s="295"/>
      <c r="P1257" s="295"/>
      <c r="Q1257" s="295"/>
      <c r="R1257" s="295"/>
      <c r="S1257" s="295"/>
      <c r="T1257" s="295"/>
      <c r="U1257" s="295"/>
      <c r="V1257" s="295"/>
      <c r="W1257" s="295"/>
      <c r="X1257" s="295"/>
      <c r="Y1257" s="295"/>
      <c r="Z1257" s="295"/>
      <c r="AA1257" s="295"/>
      <c r="AB1257" s="295"/>
      <c r="AC1257" s="295"/>
      <c r="AD1257" s="295"/>
      <c r="AE1257" s="295"/>
      <c r="AF1257" s="295"/>
      <c r="AG1257" s="295"/>
      <c r="AH1257" s="295"/>
      <c r="AI1257" s="296"/>
      <c r="AJ1257" s="11" t="s">
        <v>23</v>
      </c>
    </row>
    <row r="1258" spans="1:36" ht="24" x14ac:dyDescent="0.2">
      <c r="A1258" s="7" t="s">
        <v>311</v>
      </c>
      <c r="B1258" s="8" t="s">
        <v>312</v>
      </c>
      <c r="C1258" s="7" t="s">
        <v>313</v>
      </c>
      <c r="D1258" s="294"/>
      <c r="E1258" s="295"/>
      <c r="F1258" s="295"/>
      <c r="G1258" s="295"/>
      <c r="H1258" s="295"/>
      <c r="I1258" s="295"/>
      <c r="J1258" s="295"/>
      <c r="K1258" s="295"/>
      <c r="L1258" s="295"/>
      <c r="M1258" s="295"/>
      <c r="N1258" s="295"/>
      <c r="O1258" s="295"/>
      <c r="P1258" s="295"/>
      <c r="Q1258" s="295"/>
      <c r="R1258" s="295"/>
      <c r="S1258" s="295"/>
      <c r="T1258" s="295"/>
      <c r="U1258" s="295"/>
      <c r="V1258" s="295"/>
      <c r="W1258" s="295"/>
      <c r="X1258" s="295"/>
      <c r="Y1258" s="295"/>
      <c r="Z1258" s="295"/>
      <c r="AA1258" s="295"/>
      <c r="AB1258" s="295"/>
      <c r="AC1258" s="295"/>
      <c r="AD1258" s="295"/>
      <c r="AE1258" s="295"/>
      <c r="AF1258" s="295"/>
      <c r="AG1258" s="295"/>
      <c r="AH1258" s="295"/>
      <c r="AI1258" s="296"/>
      <c r="AJ1258" s="11" t="s">
        <v>158</v>
      </c>
    </row>
    <row r="1259" spans="1:36" ht="24" x14ac:dyDescent="0.2">
      <c r="A1259" s="7" t="s">
        <v>314</v>
      </c>
      <c r="B1259" s="8" t="s">
        <v>312</v>
      </c>
      <c r="C1259" s="7" t="s">
        <v>315</v>
      </c>
      <c r="D1259" s="294"/>
      <c r="E1259" s="295"/>
      <c r="F1259" s="295"/>
      <c r="G1259" s="295"/>
      <c r="H1259" s="295"/>
      <c r="I1259" s="295"/>
      <c r="J1259" s="295"/>
      <c r="K1259" s="295"/>
      <c r="L1259" s="295"/>
      <c r="M1259" s="295"/>
      <c r="N1259" s="295"/>
      <c r="O1259" s="295"/>
      <c r="P1259" s="295"/>
      <c r="Q1259" s="295"/>
      <c r="R1259" s="295"/>
      <c r="S1259" s="295"/>
      <c r="T1259" s="295"/>
      <c r="U1259" s="295"/>
      <c r="V1259" s="295"/>
      <c r="W1259" s="295"/>
      <c r="X1259" s="295"/>
      <c r="Y1259" s="295"/>
      <c r="Z1259" s="295"/>
      <c r="AA1259" s="295"/>
      <c r="AB1259" s="295"/>
      <c r="AC1259" s="295"/>
      <c r="AD1259" s="295"/>
      <c r="AE1259" s="295"/>
      <c r="AF1259" s="295"/>
      <c r="AG1259" s="295"/>
      <c r="AH1259" s="295"/>
      <c r="AI1259" s="296"/>
      <c r="AJ1259" s="11" t="s">
        <v>158</v>
      </c>
    </row>
    <row r="1260" spans="1:36" ht="24" x14ac:dyDescent="0.2">
      <c r="A1260" s="7" t="s">
        <v>316</v>
      </c>
      <c r="B1260" s="8" t="s">
        <v>312</v>
      </c>
      <c r="C1260" s="7" t="s">
        <v>317</v>
      </c>
      <c r="D1260" s="294"/>
      <c r="E1260" s="295"/>
      <c r="F1260" s="295"/>
      <c r="G1260" s="295"/>
      <c r="H1260" s="295"/>
      <c r="I1260" s="295"/>
      <c r="J1260" s="295"/>
      <c r="K1260" s="295"/>
      <c r="L1260" s="295"/>
      <c r="M1260" s="295"/>
      <c r="N1260" s="295"/>
      <c r="O1260" s="295"/>
      <c r="P1260" s="295"/>
      <c r="Q1260" s="295"/>
      <c r="R1260" s="295"/>
      <c r="S1260" s="295"/>
      <c r="T1260" s="295"/>
      <c r="U1260" s="295"/>
      <c r="V1260" s="295"/>
      <c r="W1260" s="295"/>
      <c r="X1260" s="295"/>
      <c r="Y1260" s="295"/>
      <c r="Z1260" s="295"/>
      <c r="AA1260" s="295"/>
      <c r="AB1260" s="295"/>
      <c r="AC1260" s="295"/>
      <c r="AD1260" s="295"/>
      <c r="AE1260" s="295"/>
      <c r="AF1260" s="295"/>
      <c r="AG1260" s="295"/>
      <c r="AH1260" s="295"/>
      <c r="AI1260" s="296"/>
      <c r="AJ1260" s="11" t="s">
        <v>158</v>
      </c>
    </row>
    <row r="1261" spans="1:36" ht="24" x14ac:dyDescent="0.2">
      <c r="A1261" s="7" t="s">
        <v>318</v>
      </c>
      <c r="B1261" s="8" t="s">
        <v>312</v>
      </c>
      <c r="C1261" s="7" t="s">
        <v>319</v>
      </c>
      <c r="D1261" s="294"/>
      <c r="E1261" s="295"/>
      <c r="F1261" s="295"/>
      <c r="G1261" s="295"/>
      <c r="H1261" s="295"/>
      <c r="I1261" s="295"/>
      <c r="J1261" s="295"/>
      <c r="K1261" s="295"/>
      <c r="L1261" s="295"/>
      <c r="M1261" s="295"/>
      <c r="N1261" s="295"/>
      <c r="O1261" s="295"/>
      <c r="P1261" s="295"/>
      <c r="Q1261" s="295"/>
      <c r="R1261" s="295"/>
      <c r="S1261" s="295"/>
      <c r="T1261" s="295"/>
      <c r="U1261" s="295"/>
      <c r="V1261" s="295"/>
      <c r="W1261" s="295"/>
      <c r="X1261" s="295"/>
      <c r="Y1261" s="295"/>
      <c r="Z1261" s="295"/>
      <c r="AA1261" s="295"/>
      <c r="AB1261" s="295"/>
      <c r="AC1261" s="295"/>
      <c r="AD1261" s="295"/>
      <c r="AE1261" s="295"/>
      <c r="AF1261" s="295"/>
      <c r="AG1261" s="295"/>
      <c r="AH1261" s="295"/>
      <c r="AI1261" s="296"/>
      <c r="AJ1261" s="11" t="s">
        <v>158</v>
      </c>
    </row>
    <row r="1262" spans="1:36" ht="24" x14ac:dyDescent="0.2">
      <c r="A1262" s="7" t="s">
        <v>320</v>
      </c>
      <c r="B1262" s="8" t="s">
        <v>321</v>
      </c>
      <c r="C1262" s="7" t="s">
        <v>322</v>
      </c>
      <c r="D1262" s="294"/>
      <c r="E1262" s="295"/>
      <c r="F1262" s="295"/>
      <c r="G1262" s="295"/>
      <c r="H1262" s="295"/>
      <c r="I1262" s="295"/>
      <c r="J1262" s="295"/>
      <c r="K1262" s="295"/>
      <c r="L1262" s="295"/>
      <c r="M1262" s="295"/>
      <c r="N1262" s="295"/>
      <c r="O1262" s="295"/>
      <c r="P1262" s="295"/>
      <c r="Q1262" s="295"/>
      <c r="R1262" s="295"/>
      <c r="S1262" s="295"/>
      <c r="T1262" s="295"/>
      <c r="U1262" s="295"/>
      <c r="V1262" s="295"/>
      <c r="W1262" s="295"/>
      <c r="X1262" s="295"/>
      <c r="Y1262" s="295"/>
      <c r="Z1262" s="295"/>
      <c r="AA1262" s="295"/>
      <c r="AB1262" s="295"/>
      <c r="AC1262" s="295"/>
      <c r="AD1262" s="295"/>
      <c r="AE1262" s="295"/>
      <c r="AF1262" s="295"/>
      <c r="AG1262" s="295"/>
      <c r="AH1262" s="295"/>
      <c r="AI1262" s="296"/>
      <c r="AJ1262" s="11" t="s">
        <v>158</v>
      </c>
    </row>
    <row r="1263" spans="1:36" ht="24" x14ac:dyDescent="0.2">
      <c r="A1263" s="7" t="s">
        <v>323</v>
      </c>
      <c r="B1263" s="8" t="s">
        <v>324</v>
      </c>
      <c r="C1263" s="7" t="s">
        <v>325</v>
      </c>
      <c r="D1263" s="294"/>
      <c r="E1263" s="295"/>
      <c r="F1263" s="295"/>
      <c r="G1263" s="295"/>
      <c r="H1263" s="295"/>
      <c r="I1263" s="295"/>
      <c r="J1263" s="295"/>
      <c r="K1263" s="295"/>
      <c r="L1263" s="295"/>
      <c r="M1263" s="295"/>
      <c r="N1263" s="295"/>
      <c r="O1263" s="295"/>
      <c r="P1263" s="295"/>
      <c r="Q1263" s="295"/>
      <c r="R1263" s="295"/>
      <c r="S1263" s="295"/>
      <c r="T1263" s="295"/>
      <c r="U1263" s="295"/>
      <c r="V1263" s="295"/>
      <c r="W1263" s="295"/>
      <c r="X1263" s="295"/>
      <c r="Y1263" s="295"/>
      <c r="Z1263" s="295"/>
      <c r="AA1263" s="295"/>
      <c r="AB1263" s="295"/>
      <c r="AC1263" s="295"/>
      <c r="AD1263" s="295"/>
      <c r="AE1263" s="295"/>
      <c r="AF1263" s="295"/>
      <c r="AG1263" s="295"/>
      <c r="AH1263" s="295"/>
      <c r="AI1263" s="296"/>
      <c r="AJ1263" s="11" t="s">
        <v>158</v>
      </c>
    </row>
    <row r="1264" spans="1:36" ht="24" x14ac:dyDescent="0.2">
      <c r="A1264" s="7" t="s">
        <v>326</v>
      </c>
      <c r="B1264" s="8" t="s">
        <v>327</v>
      </c>
      <c r="C1264" s="7" t="s">
        <v>328</v>
      </c>
      <c r="D1264" s="294"/>
      <c r="E1264" s="295"/>
      <c r="F1264" s="295"/>
      <c r="G1264" s="295"/>
      <c r="H1264" s="295"/>
      <c r="I1264" s="295"/>
      <c r="J1264" s="295"/>
      <c r="K1264" s="295"/>
      <c r="L1264" s="295"/>
      <c r="M1264" s="295"/>
      <c r="N1264" s="295"/>
      <c r="O1264" s="295"/>
      <c r="P1264" s="295"/>
      <c r="Q1264" s="295"/>
      <c r="R1264" s="295"/>
      <c r="S1264" s="295"/>
      <c r="T1264" s="295"/>
      <c r="U1264" s="295"/>
      <c r="V1264" s="295"/>
      <c r="W1264" s="295"/>
      <c r="X1264" s="295"/>
      <c r="Y1264" s="295"/>
      <c r="Z1264" s="295"/>
      <c r="AA1264" s="295"/>
      <c r="AB1264" s="295"/>
      <c r="AC1264" s="295"/>
      <c r="AD1264" s="295"/>
      <c r="AE1264" s="295"/>
      <c r="AF1264" s="295"/>
      <c r="AG1264" s="295"/>
      <c r="AH1264" s="295"/>
      <c r="AI1264" s="296"/>
      <c r="AJ1264" s="11" t="s">
        <v>158</v>
      </c>
    </row>
    <row r="1265" spans="1:36" ht="24" x14ac:dyDescent="0.2">
      <c r="A1265" s="7" t="s">
        <v>329</v>
      </c>
      <c r="B1265" s="8" t="s">
        <v>330</v>
      </c>
      <c r="C1265" s="7" t="s">
        <v>331</v>
      </c>
      <c r="D1265" s="294"/>
      <c r="E1265" s="295"/>
      <c r="F1265" s="295"/>
      <c r="G1265" s="295"/>
      <c r="H1265" s="295"/>
      <c r="I1265" s="295"/>
      <c r="J1265" s="295"/>
      <c r="K1265" s="295"/>
      <c r="L1265" s="295"/>
      <c r="M1265" s="295"/>
      <c r="N1265" s="295"/>
      <c r="O1265" s="295"/>
      <c r="P1265" s="295"/>
      <c r="Q1265" s="295"/>
      <c r="R1265" s="295"/>
      <c r="S1265" s="295"/>
      <c r="T1265" s="295"/>
      <c r="U1265" s="295"/>
      <c r="V1265" s="295"/>
      <c r="W1265" s="295"/>
      <c r="X1265" s="295"/>
      <c r="Y1265" s="295"/>
      <c r="Z1265" s="295"/>
      <c r="AA1265" s="295"/>
      <c r="AB1265" s="295"/>
      <c r="AC1265" s="295"/>
      <c r="AD1265" s="295"/>
      <c r="AE1265" s="295"/>
      <c r="AF1265" s="295"/>
      <c r="AG1265" s="295"/>
      <c r="AH1265" s="295"/>
      <c r="AI1265" s="296"/>
      <c r="AJ1265" s="11" t="s">
        <v>158</v>
      </c>
    </row>
    <row r="1266" spans="1:36" x14ac:dyDescent="0.2">
      <c r="A1266" s="7" t="s">
        <v>332</v>
      </c>
      <c r="B1266" s="8" t="s">
        <v>333</v>
      </c>
      <c r="C1266" s="7" t="s">
        <v>334</v>
      </c>
      <c r="D1266" s="294"/>
      <c r="E1266" s="295"/>
      <c r="F1266" s="295"/>
      <c r="G1266" s="295"/>
      <c r="H1266" s="295"/>
      <c r="I1266" s="295"/>
      <c r="J1266" s="295"/>
      <c r="K1266" s="295"/>
      <c r="L1266" s="295"/>
      <c r="M1266" s="295"/>
      <c r="N1266" s="295"/>
      <c r="O1266" s="295"/>
      <c r="P1266" s="295"/>
      <c r="Q1266" s="295"/>
      <c r="R1266" s="295"/>
      <c r="S1266" s="295"/>
      <c r="T1266" s="295"/>
      <c r="U1266" s="295"/>
      <c r="V1266" s="295"/>
      <c r="W1266" s="295"/>
      <c r="X1266" s="295"/>
      <c r="Y1266" s="295"/>
      <c r="Z1266" s="295"/>
      <c r="AA1266" s="295"/>
      <c r="AB1266" s="295"/>
      <c r="AC1266" s="295"/>
      <c r="AD1266" s="295"/>
      <c r="AE1266" s="295"/>
      <c r="AF1266" s="295"/>
      <c r="AG1266" s="295"/>
      <c r="AH1266" s="295"/>
      <c r="AI1266" s="296"/>
      <c r="AJ1266" s="11" t="s">
        <v>158</v>
      </c>
    </row>
    <row r="1267" spans="1:36" x14ac:dyDescent="0.2">
      <c r="A1267" s="7" t="s">
        <v>335</v>
      </c>
      <c r="B1267" s="8" t="s">
        <v>336</v>
      </c>
      <c r="C1267" s="7" t="s">
        <v>337</v>
      </c>
      <c r="D1267" s="294"/>
      <c r="E1267" s="295"/>
      <c r="F1267" s="295"/>
      <c r="G1267" s="295"/>
      <c r="H1267" s="295"/>
      <c r="I1267" s="295"/>
      <c r="J1267" s="295"/>
      <c r="K1267" s="295"/>
      <c r="L1267" s="295"/>
      <c r="M1267" s="295"/>
      <c r="N1267" s="295"/>
      <c r="O1267" s="295"/>
      <c r="P1267" s="295"/>
      <c r="Q1267" s="295"/>
      <c r="R1267" s="295"/>
      <c r="S1267" s="295"/>
      <c r="T1267" s="295"/>
      <c r="U1267" s="295"/>
      <c r="V1267" s="295"/>
      <c r="W1267" s="295"/>
      <c r="X1267" s="295"/>
      <c r="Y1267" s="295"/>
      <c r="Z1267" s="295"/>
      <c r="AA1267" s="295"/>
      <c r="AB1267" s="295"/>
      <c r="AC1267" s="295"/>
      <c r="AD1267" s="295"/>
      <c r="AE1267" s="295"/>
      <c r="AF1267" s="295"/>
      <c r="AG1267" s="295"/>
      <c r="AH1267" s="295"/>
      <c r="AI1267" s="296"/>
      <c r="AJ1267" s="11" t="s">
        <v>158</v>
      </c>
    </row>
    <row r="1268" spans="1:36" ht="36" x14ac:dyDescent="0.2">
      <c r="A1268" s="7" t="s">
        <v>338</v>
      </c>
      <c r="B1268" s="8" t="s">
        <v>339</v>
      </c>
      <c r="C1268" s="7" t="s">
        <v>340</v>
      </c>
      <c r="D1268" s="294"/>
      <c r="E1268" s="295"/>
      <c r="F1268" s="295"/>
      <c r="G1268" s="295"/>
      <c r="H1268" s="295"/>
      <c r="I1268" s="295"/>
      <c r="J1268" s="295"/>
      <c r="K1268" s="295"/>
      <c r="L1268" s="295"/>
      <c r="M1268" s="295"/>
      <c r="N1268" s="295"/>
      <c r="O1268" s="295"/>
      <c r="P1268" s="295"/>
      <c r="Q1268" s="295"/>
      <c r="R1268" s="295"/>
      <c r="S1268" s="295"/>
      <c r="T1268" s="295"/>
      <c r="U1268" s="295"/>
      <c r="V1268" s="295"/>
      <c r="W1268" s="295"/>
      <c r="X1268" s="295"/>
      <c r="Y1268" s="295"/>
      <c r="Z1268" s="295"/>
      <c r="AA1268" s="295"/>
      <c r="AB1268" s="295"/>
      <c r="AC1268" s="295"/>
      <c r="AD1268" s="295"/>
      <c r="AE1268" s="295"/>
      <c r="AF1268" s="295"/>
      <c r="AG1268" s="295"/>
      <c r="AH1268" s="295"/>
      <c r="AI1268" s="296"/>
      <c r="AJ1268" s="11" t="s">
        <v>158</v>
      </c>
    </row>
    <row r="1269" spans="1:36" ht="36" x14ac:dyDescent="0.2">
      <c r="A1269" s="7" t="s">
        <v>341</v>
      </c>
      <c r="B1269" s="8" t="s">
        <v>342</v>
      </c>
      <c r="C1269" s="7" t="s">
        <v>343</v>
      </c>
      <c r="D1269" s="294"/>
      <c r="E1269" s="295"/>
      <c r="F1269" s="295"/>
      <c r="G1269" s="295"/>
      <c r="H1269" s="295"/>
      <c r="I1269" s="295"/>
      <c r="J1269" s="295"/>
      <c r="K1269" s="295"/>
      <c r="L1269" s="295"/>
      <c r="M1269" s="295"/>
      <c r="N1269" s="295"/>
      <c r="O1269" s="295"/>
      <c r="P1269" s="295"/>
      <c r="Q1269" s="295"/>
      <c r="R1269" s="295"/>
      <c r="S1269" s="295"/>
      <c r="T1269" s="295"/>
      <c r="U1269" s="295"/>
      <c r="V1269" s="295"/>
      <c r="W1269" s="295"/>
      <c r="X1269" s="295"/>
      <c r="Y1269" s="295"/>
      <c r="Z1269" s="295"/>
      <c r="AA1269" s="295"/>
      <c r="AB1269" s="295"/>
      <c r="AC1269" s="295"/>
      <c r="AD1269" s="295"/>
      <c r="AE1269" s="295"/>
      <c r="AF1269" s="295"/>
      <c r="AG1269" s="295"/>
      <c r="AH1269" s="295"/>
      <c r="AI1269" s="296"/>
      <c r="AJ1269" s="11" t="s">
        <v>158</v>
      </c>
    </row>
    <row r="1270" spans="1:36" ht="36" x14ac:dyDescent="0.2">
      <c r="A1270" s="7" t="s">
        <v>344</v>
      </c>
      <c r="B1270" s="8" t="s">
        <v>345</v>
      </c>
      <c r="C1270" s="7" t="s">
        <v>346</v>
      </c>
      <c r="D1270" s="294"/>
      <c r="E1270" s="295"/>
      <c r="F1270" s="295"/>
      <c r="G1270" s="295"/>
      <c r="H1270" s="295"/>
      <c r="I1270" s="295"/>
      <c r="J1270" s="295"/>
      <c r="K1270" s="295"/>
      <c r="L1270" s="295"/>
      <c r="M1270" s="295"/>
      <c r="N1270" s="295"/>
      <c r="O1270" s="295"/>
      <c r="P1270" s="295"/>
      <c r="Q1270" s="295"/>
      <c r="R1270" s="295"/>
      <c r="S1270" s="295"/>
      <c r="T1270" s="295"/>
      <c r="U1270" s="295"/>
      <c r="V1270" s="295"/>
      <c r="W1270" s="295"/>
      <c r="X1270" s="295"/>
      <c r="Y1270" s="295"/>
      <c r="Z1270" s="295"/>
      <c r="AA1270" s="295"/>
      <c r="AB1270" s="295"/>
      <c r="AC1270" s="295"/>
      <c r="AD1270" s="295"/>
      <c r="AE1270" s="295"/>
      <c r="AF1270" s="295"/>
      <c r="AG1270" s="295"/>
      <c r="AH1270" s="295"/>
      <c r="AI1270" s="296"/>
      <c r="AJ1270" s="11" t="s">
        <v>158</v>
      </c>
    </row>
    <row r="1271" spans="1:36" ht="36" x14ac:dyDescent="0.2">
      <c r="A1271" s="7" t="s">
        <v>347</v>
      </c>
      <c r="B1271" s="8" t="s">
        <v>348</v>
      </c>
      <c r="C1271" s="7" t="s">
        <v>349</v>
      </c>
      <c r="D1271" s="294"/>
      <c r="E1271" s="295"/>
      <c r="F1271" s="295"/>
      <c r="G1271" s="295"/>
      <c r="H1271" s="295"/>
      <c r="I1271" s="295"/>
      <c r="J1271" s="295"/>
      <c r="K1271" s="295"/>
      <c r="L1271" s="295"/>
      <c r="M1271" s="295"/>
      <c r="N1271" s="295"/>
      <c r="O1271" s="295"/>
      <c r="P1271" s="295"/>
      <c r="Q1271" s="295"/>
      <c r="R1271" s="295"/>
      <c r="S1271" s="295"/>
      <c r="T1271" s="295"/>
      <c r="U1271" s="295"/>
      <c r="V1271" s="295"/>
      <c r="W1271" s="295"/>
      <c r="X1271" s="295"/>
      <c r="Y1271" s="295"/>
      <c r="Z1271" s="295"/>
      <c r="AA1271" s="295"/>
      <c r="AB1271" s="295"/>
      <c r="AC1271" s="295"/>
      <c r="AD1271" s="295"/>
      <c r="AE1271" s="295"/>
      <c r="AF1271" s="295"/>
      <c r="AG1271" s="295"/>
      <c r="AH1271" s="295"/>
      <c r="AI1271" s="296"/>
      <c r="AJ1271" s="11" t="s">
        <v>158</v>
      </c>
    </row>
    <row r="1272" spans="1:36" ht="36" x14ac:dyDescent="0.2">
      <c r="A1272" s="7" t="s">
        <v>350</v>
      </c>
      <c r="B1272" s="8" t="s">
        <v>345</v>
      </c>
      <c r="C1272" s="7" t="s">
        <v>346</v>
      </c>
      <c r="D1272" s="294"/>
      <c r="E1272" s="295"/>
      <c r="F1272" s="295"/>
      <c r="G1272" s="295"/>
      <c r="H1272" s="295"/>
      <c r="I1272" s="295"/>
      <c r="J1272" s="295"/>
      <c r="K1272" s="295"/>
      <c r="L1272" s="295"/>
      <c r="M1272" s="295"/>
      <c r="N1272" s="295"/>
      <c r="O1272" s="295"/>
      <c r="P1272" s="295"/>
      <c r="Q1272" s="295"/>
      <c r="R1272" s="295"/>
      <c r="S1272" s="295"/>
      <c r="T1272" s="295"/>
      <c r="U1272" s="295"/>
      <c r="V1272" s="295"/>
      <c r="W1272" s="295"/>
      <c r="X1272" s="295"/>
      <c r="Y1272" s="295"/>
      <c r="Z1272" s="295"/>
      <c r="AA1272" s="295"/>
      <c r="AB1272" s="295"/>
      <c r="AC1272" s="295"/>
      <c r="AD1272" s="295"/>
      <c r="AE1272" s="295"/>
      <c r="AF1272" s="295"/>
      <c r="AG1272" s="295"/>
      <c r="AH1272" s="295"/>
      <c r="AI1272" s="296"/>
      <c r="AJ1272" s="11" t="s">
        <v>158</v>
      </c>
    </row>
    <row r="1273" spans="1:36" x14ac:dyDescent="0.2">
      <c r="A1273" s="7" t="s">
        <v>351</v>
      </c>
      <c r="B1273" s="8" t="s">
        <v>352</v>
      </c>
      <c r="C1273" s="7" t="s">
        <v>353</v>
      </c>
      <c r="D1273" s="294"/>
      <c r="E1273" s="295"/>
      <c r="F1273" s="295"/>
      <c r="G1273" s="295"/>
      <c r="H1273" s="295"/>
      <c r="I1273" s="295"/>
      <c r="J1273" s="295"/>
      <c r="K1273" s="295"/>
      <c r="L1273" s="295"/>
      <c r="M1273" s="295"/>
      <c r="N1273" s="295"/>
      <c r="O1273" s="295"/>
      <c r="P1273" s="295"/>
      <c r="Q1273" s="295"/>
      <c r="R1273" s="295"/>
      <c r="S1273" s="295"/>
      <c r="T1273" s="295"/>
      <c r="U1273" s="295"/>
      <c r="V1273" s="295"/>
      <c r="W1273" s="295"/>
      <c r="X1273" s="295"/>
      <c r="Y1273" s="295"/>
      <c r="Z1273" s="295"/>
      <c r="AA1273" s="295"/>
      <c r="AB1273" s="295"/>
      <c r="AC1273" s="295"/>
      <c r="AD1273" s="295"/>
      <c r="AE1273" s="295"/>
      <c r="AF1273" s="295"/>
      <c r="AG1273" s="295"/>
      <c r="AH1273" s="295"/>
      <c r="AI1273" s="296"/>
      <c r="AJ1273" s="11" t="s">
        <v>4</v>
      </c>
    </row>
    <row r="1274" spans="1:36" ht="24" x14ac:dyDescent="0.2">
      <c r="A1274" s="7" t="s">
        <v>354</v>
      </c>
      <c r="B1274" s="8" t="s">
        <v>355</v>
      </c>
      <c r="C1274" s="7" t="s">
        <v>356</v>
      </c>
      <c r="D1274" s="294"/>
      <c r="E1274" s="295"/>
      <c r="F1274" s="295"/>
      <c r="G1274" s="295"/>
      <c r="H1274" s="295"/>
      <c r="I1274" s="295"/>
      <c r="J1274" s="295"/>
      <c r="K1274" s="295"/>
      <c r="L1274" s="295"/>
      <c r="M1274" s="295"/>
      <c r="N1274" s="295"/>
      <c r="O1274" s="295"/>
      <c r="P1274" s="295"/>
      <c r="Q1274" s="295"/>
      <c r="R1274" s="295"/>
      <c r="S1274" s="295"/>
      <c r="T1274" s="295"/>
      <c r="U1274" s="295"/>
      <c r="V1274" s="295"/>
      <c r="W1274" s="295"/>
      <c r="X1274" s="295"/>
      <c r="Y1274" s="295"/>
      <c r="Z1274" s="295"/>
      <c r="AA1274" s="295"/>
      <c r="AB1274" s="295"/>
      <c r="AC1274" s="295"/>
      <c r="AD1274" s="295"/>
      <c r="AE1274" s="295"/>
      <c r="AF1274" s="295"/>
      <c r="AG1274" s="295"/>
      <c r="AH1274" s="295"/>
      <c r="AI1274" s="296"/>
      <c r="AJ1274" s="11" t="s">
        <v>357</v>
      </c>
    </row>
    <row r="1275" spans="1:36" x14ac:dyDescent="0.2">
      <c r="A1275" s="7" t="s">
        <v>358</v>
      </c>
      <c r="B1275" s="8" t="s">
        <v>359</v>
      </c>
      <c r="C1275" s="7" t="s">
        <v>360</v>
      </c>
      <c r="D1275" s="294"/>
      <c r="E1275" s="295"/>
      <c r="F1275" s="295"/>
      <c r="G1275" s="295"/>
      <c r="H1275" s="295"/>
      <c r="I1275" s="295"/>
      <c r="J1275" s="295"/>
      <c r="K1275" s="295"/>
      <c r="L1275" s="295"/>
      <c r="M1275" s="295"/>
      <c r="N1275" s="295"/>
      <c r="O1275" s="295"/>
      <c r="P1275" s="295"/>
      <c r="Q1275" s="295"/>
      <c r="R1275" s="295"/>
      <c r="S1275" s="295"/>
      <c r="T1275" s="295"/>
      <c r="U1275" s="295"/>
      <c r="V1275" s="295"/>
      <c r="W1275" s="295"/>
      <c r="X1275" s="295"/>
      <c r="Y1275" s="295"/>
      <c r="Z1275" s="295"/>
      <c r="AA1275" s="295"/>
      <c r="AB1275" s="295"/>
      <c r="AC1275" s="295"/>
      <c r="AD1275" s="295"/>
      <c r="AE1275" s="295"/>
      <c r="AF1275" s="295"/>
      <c r="AG1275" s="295"/>
      <c r="AH1275" s="295"/>
      <c r="AI1275" s="296"/>
      <c r="AJ1275" s="11" t="s">
        <v>4</v>
      </c>
    </row>
    <row r="1276" spans="1:36" ht="24" x14ac:dyDescent="0.2">
      <c r="A1276" s="7" t="s">
        <v>361</v>
      </c>
      <c r="B1276" s="8" t="s">
        <v>362</v>
      </c>
      <c r="C1276" s="7" t="s">
        <v>363</v>
      </c>
      <c r="D1276" s="294"/>
      <c r="E1276" s="295"/>
      <c r="F1276" s="295"/>
      <c r="G1276" s="295"/>
      <c r="H1276" s="295"/>
      <c r="I1276" s="295"/>
      <c r="J1276" s="295"/>
      <c r="K1276" s="295"/>
      <c r="L1276" s="295"/>
      <c r="M1276" s="295"/>
      <c r="N1276" s="295"/>
      <c r="O1276" s="295"/>
      <c r="P1276" s="295"/>
      <c r="Q1276" s="295"/>
      <c r="R1276" s="295"/>
      <c r="S1276" s="295"/>
      <c r="T1276" s="295"/>
      <c r="U1276" s="295"/>
      <c r="V1276" s="295"/>
      <c r="W1276" s="295"/>
      <c r="X1276" s="295"/>
      <c r="Y1276" s="295"/>
      <c r="Z1276" s="295"/>
      <c r="AA1276" s="295"/>
      <c r="AB1276" s="295"/>
      <c r="AC1276" s="295"/>
      <c r="AD1276" s="295"/>
      <c r="AE1276" s="295"/>
      <c r="AF1276" s="295"/>
      <c r="AG1276" s="295"/>
      <c r="AH1276" s="295"/>
      <c r="AI1276" s="296"/>
      <c r="AJ1276" s="11" t="s">
        <v>158</v>
      </c>
    </row>
    <row r="1277" spans="1:36" ht="24" x14ac:dyDescent="0.2">
      <c r="A1277" s="7" t="s">
        <v>364</v>
      </c>
      <c r="B1277" s="8" t="s">
        <v>365</v>
      </c>
      <c r="C1277" s="7" t="s">
        <v>366</v>
      </c>
      <c r="D1277" s="294"/>
      <c r="E1277" s="295"/>
      <c r="F1277" s="295"/>
      <c r="G1277" s="295"/>
      <c r="H1277" s="295"/>
      <c r="I1277" s="295"/>
      <c r="J1277" s="295"/>
      <c r="K1277" s="295"/>
      <c r="L1277" s="295"/>
      <c r="M1277" s="295"/>
      <c r="N1277" s="295"/>
      <c r="O1277" s="295"/>
      <c r="P1277" s="295"/>
      <c r="Q1277" s="295"/>
      <c r="R1277" s="295"/>
      <c r="S1277" s="295"/>
      <c r="T1277" s="295"/>
      <c r="U1277" s="295"/>
      <c r="V1277" s="295"/>
      <c r="W1277" s="295"/>
      <c r="X1277" s="295"/>
      <c r="Y1277" s="295"/>
      <c r="Z1277" s="295"/>
      <c r="AA1277" s="295"/>
      <c r="AB1277" s="295"/>
      <c r="AC1277" s="295"/>
      <c r="AD1277" s="295"/>
      <c r="AE1277" s="295"/>
      <c r="AF1277" s="295"/>
      <c r="AG1277" s="295"/>
      <c r="AH1277" s="295"/>
      <c r="AI1277" s="296"/>
      <c r="AJ1277" s="11" t="s">
        <v>367</v>
      </c>
    </row>
    <row r="1278" spans="1:36" ht="36" x14ac:dyDescent="0.2">
      <c r="A1278" s="7" t="s">
        <v>368</v>
      </c>
      <c r="B1278" s="8" t="s">
        <v>369</v>
      </c>
      <c r="C1278" s="7" t="s">
        <v>370</v>
      </c>
      <c r="D1278" s="294"/>
      <c r="E1278" s="295"/>
      <c r="F1278" s="295"/>
      <c r="G1278" s="295"/>
      <c r="H1278" s="295"/>
      <c r="I1278" s="295"/>
      <c r="J1278" s="295"/>
      <c r="K1278" s="295"/>
      <c r="L1278" s="295"/>
      <c r="M1278" s="295"/>
      <c r="N1278" s="295"/>
      <c r="O1278" s="295"/>
      <c r="P1278" s="295"/>
      <c r="Q1278" s="295"/>
      <c r="R1278" s="295"/>
      <c r="S1278" s="295"/>
      <c r="T1278" s="295"/>
      <c r="U1278" s="295"/>
      <c r="V1278" s="295"/>
      <c r="W1278" s="295"/>
      <c r="X1278" s="295"/>
      <c r="Y1278" s="295"/>
      <c r="Z1278" s="295"/>
      <c r="AA1278" s="295"/>
      <c r="AB1278" s="295"/>
      <c r="AC1278" s="295"/>
      <c r="AD1278" s="295"/>
      <c r="AE1278" s="295"/>
      <c r="AF1278" s="295"/>
      <c r="AG1278" s="295"/>
      <c r="AH1278" s="295"/>
      <c r="AI1278" s="296"/>
      <c r="AJ1278" s="11" t="s">
        <v>158</v>
      </c>
    </row>
    <row r="1279" spans="1:36" ht="36" x14ac:dyDescent="0.2">
      <c r="A1279" s="7" t="s">
        <v>371</v>
      </c>
      <c r="B1279" s="8" t="s">
        <v>372</v>
      </c>
      <c r="C1279" s="7" t="s">
        <v>373</v>
      </c>
      <c r="D1279" s="294"/>
      <c r="E1279" s="295"/>
      <c r="F1279" s="295"/>
      <c r="G1279" s="295"/>
      <c r="H1279" s="295"/>
      <c r="I1279" s="295"/>
      <c r="J1279" s="295"/>
      <c r="K1279" s="295"/>
      <c r="L1279" s="295"/>
      <c r="M1279" s="295"/>
      <c r="N1279" s="295"/>
      <c r="O1279" s="295"/>
      <c r="P1279" s="295"/>
      <c r="Q1279" s="295"/>
      <c r="R1279" s="295"/>
      <c r="S1279" s="295"/>
      <c r="T1279" s="295"/>
      <c r="U1279" s="295"/>
      <c r="V1279" s="295"/>
      <c r="W1279" s="295"/>
      <c r="X1279" s="295"/>
      <c r="Y1279" s="295"/>
      <c r="Z1279" s="295"/>
      <c r="AA1279" s="295"/>
      <c r="AB1279" s="295"/>
      <c r="AC1279" s="295"/>
      <c r="AD1279" s="295"/>
      <c r="AE1279" s="295"/>
      <c r="AF1279" s="295"/>
      <c r="AG1279" s="295"/>
      <c r="AH1279" s="295"/>
      <c r="AI1279" s="296"/>
      <c r="AJ1279" s="11" t="s">
        <v>158</v>
      </c>
    </row>
    <row r="1280" spans="1:36" ht="36" x14ac:dyDescent="0.2">
      <c r="A1280" s="7" t="s">
        <v>374</v>
      </c>
      <c r="B1280" s="8" t="s">
        <v>375</v>
      </c>
      <c r="C1280" s="7" t="s">
        <v>376</v>
      </c>
      <c r="D1280" s="294"/>
      <c r="E1280" s="295"/>
      <c r="F1280" s="295"/>
      <c r="G1280" s="295"/>
      <c r="H1280" s="295"/>
      <c r="I1280" s="295"/>
      <c r="J1280" s="295"/>
      <c r="K1280" s="295"/>
      <c r="L1280" s="295"/>
      <c r="M1280" s="295"/>
      <c r="N1280" s="295"/>
      <c r="O1280" s="295"/>
      <c r="P1280" s="295"/>
      <c r="Q1280" s="295"/>
      <c r="R1280" s="295"/>
      <c r="S1280" s="295"/>
      <c r="T1280" s="295"/>
      <c r="U1280" s="295"/>
      <c r="V1280" s="295"/>
      <c r="W1280" s="295"/>
      <c r="X1280" s="295"/>
      <c r="Y1280" s="295"/>
      <c r="Z1280" s="295"/>
      <c r="AA1280" s="295"/>
      <c r="AB1280" s="295"/>
      <c r="AC1280" s="295"/>
      <c r="AD1280" s="295"/>
      <c r="AE1280" s="295"/>
      <c r="AF1280" s="295"/>
      <c r="AG1280" s="295"/>
      <c r="AH1280" s="295"/>
      <c r="AI1280" s="296"/>
      <c r="AJ1280" s="11" t="s">
        <v>23</v>
      </c>
    </row>
    <row r="1281" spans="1:36" ht="36" x14ac:dyDescent="0.2">
      <c r="A1281" s="7" t="s">
        <v>377</v>
      </c>
      <c r="B1281" s="8" t="s">
        <v>378</v>
      </c>
      <c r="C1281" s="7" t="s">
        <v>379</v>
      </c>
      <c r="D1281" s="294"/>
      <c r="E1281" s="295"/>
      <c r="F1281" s="295"/>
      <c r="G1281" s="295"/>
      <c r="H1281" s="295"/>
      <c r="I1281" s="295"/>
      <c r="J1281" s="295"/>
      <c r="K1281" s="295"/>
      <c r="L1281" s="295"/>
      <c r="M1281" s="295"/>
      <c r="N1281" s="295"/>
      <c r="O1281" s="295"/>
      <c r="P1281" s="295"/>
      <c r="Q1281" s="295"/>
      <c r="R1281" s="295"/>
      <c r="S1281" s="295"/>
      <c r="T1281" s="295"/>
      <c r="U1281" s="295"/>
      <c r="V1281" s="295"/>
      <c r="W1281" s="295"/>
      <c r="X1281" s="295"/>
      <c r="Y1281" s="295"/>
      <c r="Z1281" s="295"/>
      <c r="AA1281" s="295"/>
      <c r="AB1281" s="295"/>
      <c r="AC1281" s="295"/>
      <c r="AD1281" s="295"/>
      <c r="AE1281" s="295"/>
      <c r="AF1281" s="295"/>
      <c r="AG1281" s="295"/>
      <c r="AH1281" s="295"/>
      <c r="AI1281" s="296"/>
      <c r="AJ1281" s="11" t="s">
        <v>158</v>
      </c>
    </row>
    <row r="1282" spans="1:36" ht="36" x14ac:dyDescent="0.2">
      <c r="A1282" s="7" t="s">
        <v>380</v>
      </c>
      <c r="B1282" s="8" t="s">
        <v>381</v>
      </c>
      <c r="C1282" s="7" t="s">
        <v>382</v>
      </c>
      <c r="D1282" s="294"/>
      <c r="E1282" s="295"/>
      <c r="F1282" s="295"/>
      <c r="G1282" s="295"/>
      <c r="H1282" s="295"/>
      <c r="I1282" s="295"/>
      <c r="J1282" s="295"/>
      <c r="K1282" s="295"/>
      <c r="L1282" s="295"/>
      <c r="M1282" s="295"/>
      <c r="N1282" s="295"/>
      <c r="O1282" s="295"/>
      <c r="P1282" s="295"/>
      <c r="Q1282" s="295"/>
      <c r="R1282" s="295"/>
      <c r="S1282" s="295"/>
      <c r="T1282" s="295"/>
      <c r="U1282" s="295"/>
      <c r="V1282" s="295"/>
      <c r="W1282" s="295"/>
      <c r="X1282" s="295"/>
      <c r="Y1282" s="295"/>
      <c r="Z1282" s="295"/>
      <c r="AA1282" s="295"/>
      <c r="AB1282" s="295"/>
      <c r="AC1282" s="295"/>
      <c r="AD1282" s="295"/>
      <c r="AE1282" s="295"/>
      <c r="AF1282" s="295"/>
      <c r="AG1282" s="295"/>
      <c r="AH1282" s="295"/>
      <c r="AI1282" s="296"/>
      <c r="AJ1282" s="11" t="s">
        <v>158</v>
      </c>
    </row>
    <row r="1283" spans="1:36" ht="48" x14ac:dyDescent="0.2">
      <c r="A1283" s="7" t="s">
        <v>383</v>
      </c>
      <c r="B1283" s="8" t="s">
        <v>384</v>
      </c>
      <c r="C1283" s="7" t="s">
        <v>385</v>
      </c>
      <c r="D1283" s="294"/>
      <c r="E1283" s="295"/>
      <c r="F1283" s="295"/>
      <c r="G1283" s="295"/>
      <c r="H1283" s="295"/>
      <c r="I1283" s="295"/>
      <c r="J1283" s="295"/>
      <c r="K1283" s="295"/>
      <c r="L1283" s="295"/>
      <c r="M1283" s="295"/>
      <c r="N1283" s="295"/>
      <c r="O1283" s="295"/>
      <c r="P1283" s="295"/>
      <c r="Q1283" s="295"/>
      <c r="R1283" s="295"/>
      <c r="S1283" s="295"/>
      <c r="T1283" s="295"/>
      <c r="U1283" s="295"/>
      <c r="V1283" s="295"/>
      <c r="W1283" s="295"/>
      <c r="X1283" s="295"/>
      <c r="Y1283" s="295"/>
      <c r="Z1283" s="295"/>
      <c r="AA1283" s="295"/>
      <c r="AB1283" s="295"/>
      <c r="AC1283" s="295"/>
      <c r="AD1283" s="295"/>
      <c r="AE1283" s="295"/>
      <c r="AF1283" s="295"/>
      <c r="AG1283" s="295"/>
      <c r="AH1283" s="295"/>
      <c r="AI1283" s="296"/>
      <c r="AJ1283" s="11" t="s">
        <v>158</v>
      </c>
    </row>
    <row r="1284" spans="1:36" ht="36" x14ac:dyDescent="0.2">
      <c r="A1284" s="7" t="s">
        <v>386</v>
      </c>
      <c r="B1284" s="8" t="s">
        <v>387</v>
      </c>
      <c r="C1284" s="7" t="s">
        <v>388</v>
      </c>
      <c r="D1284" s="294"/>
      <c r="E1284" s="295"/>
      <c r="F1284" s="295"/>
      <c r="G1284" s="295"/>
      <c r="H1284" s="295"/>
      <c r="I1284" s="295"/>
      <c r="J1284" s="295"/>
      <c r="K1284" s="295"/>
      <c r="L1284" s="295"/>
      <c r="M1284" s="295"/>
      <c r="N1284" s="295"/>
      <c r="O1284" s="295"/>
      <c r="P1284" s="295"/>
      <c r="Q1284" s="295"/>
      <c r="R1284" s="295"/>
      <c r="S1284" s="295"/>
      <c r="T1284" s="295"/>
      <c r="U1284" s="295"/>
      <c r="V1284" s="295"/>
      <c r="W1284" s="295"/>
      <c r="X1284" s="295"/>
      <c r="Y1284" s="295"/>
      <c r="Z1284" s="295"/>
      <c r="AA1284" s="295"/>
      <c r="AB1284" s="295"/>
      <c r="AC1284" s="295"/>
      <c r="AD1284" s="295"/>
      <c r="AE1284" s="295"/>
      <c r="AF1284" s="295"/>
      <c r="AG1284" s="295"/>
      <c r="AH1284" s="295"/>
      <c r="AI1284" s="296"/>
      <c r="AJ1284" s="11" t="s">
        <v>158</v>
      </c>
    </row>
    <row r="1285" spans="1:36" ht="48" x14ac:dyDescent="0.2">
      <c r="A1285" s="7" t="s">
        <v>389</v>
      </c>
      <c r="B1285" s="8" t="s">
        <v>390</v>
      </c>
      <c r="C1285" s="7" t="s">
        <v>391</v>
      </c>
      <c r="D1285" s="294"/>
      <c r="E1285" s="295"/>
      <c r="F1285" s="295"/>
      <c r="G1285" s="295"/>
      <c r="H1285" s="295"/>
      <c r="I1285" s="295"/>
      <c r="J1285" s="295"/>
      <c r="K1285" s="295"/>
      <c r="L1285" s="295"/>
      <c r="M1285" s="295"/>
      <c r="N1285" s="295"/>
      <c r="O1285" s="295"/>
      <c r="P1285" s="295"/>
      <c r="Q1285" s="295"/>
      <c r="R1285" s="295"/>
      <c r="S1285" s="295"/>
      <c r="T1285" s="295"/>
      <c r="U1285" s="295"/>
      <c r="V1285" s="295"/>
      <c r="W1285" s="295"/>
      <c r="X1285" s="295"/>
      <c r="Y1285" s="295"/>
      <c r="Z1285" s="295"/>
      <c r="AA1285" s="295"/>
      <c r="AB1285" s="295"/>
      <c r="AC1285" s="295"/>
      <c r="AD1285" s="295"/>
      <c r="AE1285" s="295"/>
      <c r="AF1285" s="295"/>
      <c r="AG1285" s="295"/>
      <c r="AH1285" s="295"/>
      <c r="AI1285" s="296"/>
      <c r="AJ1285" s="11" t="s">
        <v>23</v>
      </c>
    </row>
    <row r="1286" spans="1:36" ht="36" x14ac:dyDescent="0.2">
      <c r="A1286" s="7" t="s">
        <v>392</v>
      </c>
      <c r="B1286" s="8" t="s">
        <v>375</v>
      </c>
      <c r="C1286" s="7" t="s">
        <v>376</v>
      </c>
      <c r="D1286" s="294"/>
      <c r="E1286" s="295"/>
      <c r="F1286" s="295"/>
      <c r="G1286" s="295"/>
      <c r="H1286" s="295"/>
      <c r="I1286" s="295"/>
      <c r="J1286" s="295"/>
      <c r="K1286" s="295"/>
      <c r="L1286" s="295"/>
      <c r="M1286" s="295"/>
      <c r="N1286" s="295"/>
      <c r="O1286" s="295"/>
      <c r="P1286" s="295"/>
      <c r="Q1286" s="295"/>
      <c r="R1286" s="295"/>
      <c r="S1286" s="295"/>
      <c r="T1286" s="295"/>
      <c r="U1286" s="295"/>
      <c r="V1286" s="295"/>
      <c r="W1286" s="295"/>
      <c r="X1286" s="295"/>
      <c r="Y1286" s="295"/>
      <c r="Z1286" s="295"/>
      <c r="AA1286" s="295"/>
      <c r="AB1286" s="295"/>
      <c r="AC1286" s="295"/>
      <c r="AD1286" s="295"/>
      <c r="AE1286" s="295"/>
      <c r="AF1286" s="295"/>
      <c r="AG1286" s="295"/>
      <c r="AH1286" s="295"/>
      <c r="AI1286" s="296"/>
      <c r="AJ1286" s="11" t="s">
        <v>23</v>
      </c>
    </row>
    <row r="1287" spans="1:36" ht="36" x14ac:dyDescent="0.2">
      <c r="A1287" s="7" t="s">
        <v>393</v>
      </c>
      <c r="B1287" s="8" t="s">
        <v>394</v>
      </c>
      <c r="C1287" s="7" t="s">
        <v>395</v>
      </c>
      <c r="D1287" s="294"/>
      <c r="E1287" s="295"/>
      <c r="F1287" s="295"/>
      <c r="G1287" s="295"/>
      <c r="H1287" s="295"/>
      <c r="I1287" s="295"/>
      <c r="J1287" s="295"/>
      <c r="K1287" s="295"/>
      <c r="L1287" s="295"/>
      <c r="M1287" s="295"/>
      <c r="N1287" s="295"/>
      <c r="O1287" s="295"/>
      <c r="P1287" s="295"/>
      <c r="Q1287" s="295"/>
      <c r="R1287" s="295"/>
      <c r="S1287" s="295"/>
      <c r="T1287" s="295"/>
      <c r="U1287" s="295"/>
      <c r="V1287" s="295"/>
      <c r="W1287" s="295"/>
      <c r="X1287" s="295"/>
      <c r="Y1287" s="295"/>
      <c r="Z1287" s="295"/>
      <c r="AA1287" s="295"/>
      <c r="AB1287" s="295"/>
      <c r="AC1287" s="295"/>
      <c r="AD1287" s="295"/>
      <c r="AE1287" s="295"/>
      <c r="AF1287" s="295"/>
      <c r="AG1287" s="295"/>
      <c r="AH1287" s="295"/>
      <c r="AI1287" s="296"/>
      <c r="AJ1287" s="11" t="s">
        <v>23</v>
      </c>
    </row>
    <row r="1288" spans="1:36" ht="36" x14ac:dyDescent="0.2">
      <c r="A1288" s="7" t="s">
        <v>396</v>
      </c>
      <c r="B1288" s="8" t="s">
        <v>397</v>
      </c>
      <c r="C1288" s="7" t="s">
        <v>398</v>
      </c>
      <c r="D1288" s="294"/>
      <c r="E1288" s="295"/>
      <c r="F1288" s="295"/>
      <c r="G1288" s="295"/>
      <c r="H1288" s="295"/>
      <c r="I1288" s="295"/>
      <c r="J1288" s="295"/>
      <c r="K1288" s="295"/>
      <c r="L1288" s="295"/>
      <c r="M1288" s="295"/>
      <c r="N1288" s="295"/>
      <c r="O1288" s="295"/>
      <c r="P1288" s="295"/>
      <c r="Q1288" s="295"/>
      <c r="R1288" s="295"/>
      <c r="S1288" s="295"/>
      <c r="T1288" s="295"/>
      <c r="U1288" s="295"/>
      <c r="V1288" s="295"/>
      <c r="W1288" s="295"/>
      <c r="X1288" s="295"/>
      <c r="Y1288" s="295"/>
      <c r="Z1288" s="295"/>
      <c r="AA1288" s="295"/>
      <c r="AB1288" s="295"/>
      <c r="AC1288" s="295"/>
      <c r="AD1288" s="295"/>
      <c r="AE1288" s="295"/>
      <c r="AF1288" s="295"/>
      <c r="AG1288" s="295"/>
      <c r="AH1288" s="295"/>
      <c r="AI1288" s="296"/>
      <c r="AJ1288" s="11" t="s">
        <v>23</v>
      </c>
    </row>
    <row r="1289" spans="1:36" ht="36" x14ac:dyDescent="0.2">
      <c r="A1289" s="7" t="s">
        <v>399</v>
      </c>
      <c r="B1289" s="8" t="s">
        <v>400</v>
      </c>
      <c r="C1289" s="7" t="s">
        <v>401</v>
      </c>
      <c r="D1289" s="294"/>
      <c r="E1289" s="295"/>
      <c r="F1289" s="295"/>
      <c r="G1289" s="295"/>
      <c r="H1289" s="295"/>
      <c r="I1289" s="295"/>
      <c r="J1289" s="295"/>
      <c r="K1289" s="295"/>
      <c r="L1289" s="295"/>
      <c r="M1289" s="295"/>
      <c r="N1289" s="295"/>
      <c r="O1289" s="295"/>
      <c r="P1289" s="295"/>
      <c r="Q1289" s="295"/>
      <c r="R1289" s="295"/>
      <c r="S1289" s="295"/>
      <c r="T1289" s="295"/>
      <c r="U1289" s="295"/>
      <c r="V1289" s="295"/>
      <c r="W1289" s="295"/>
      <c r="X1289" s="295"/>
      <c r="Y1289" s="295"/>
      <c r="Z1289" s="295"/>
      <c r="AA1289" s="295"/>
      <c r="AB1289" s="295"/>
      <c r="AC1289" s="295"/>
      <c r="AD1289" s="295"/>
      <c r="AE1289" s="295"/>
      <c r="AF1289" s="295"/>
      <c r="AG1289" s="295"/>
      <c r="AH1289" s="295"/>
      <c r="AI1289" s="296"/>
      <c r="AJ1289" s="11" t="s">
        <v>23</v>
      </c>
    </row>
    <row r="1290" spans="1:36" ht="36" x14ac:dyDescent="0.2">
      <c r="A1290" s="7" t="s">
        <v>402</v>
      </c>
      <c r="B1290" s="8" t="s">
        <v>403</v>
      </c>
      <c r="C1290" s="7" t="s">
        <v>404</v>
      </c>
      <c r="D1290" s="294"/>
      <c r="E1290" s="295"/>
      <c r="F1290" s="295"/>
      <c r="G1290" s="295"/>
      <c r="H1290" s="295"/>
      <c r="I1290" s="295"/>
      <c r="J1290" s="295"/>
      <c r="K1290" s="295"/>
      <c r="L1290" s="295"/>
      <c r="M1290" s="295"/>
      <c r="N1290" s="295"/>
      <c r="O1290" s="295"/>
      <c r="P1290" s="295"/>
      <c r="Q1290" s="295"/>
      <c r="R1290" s="295"/>
      <c r="S1290" s="295"/>
      <c r="T1290" s="295"/>
      <c r="U1290" s="295"/>
      <c r="V1290" s="295"/>
      <c r="W1290" s="295"/>
      <c r="X1290" s="295"/>
      <c r="Y1290" s="295"/>
      <c r="Z1290" s="295"/>
      <c r="AA1290" s="295"/>
      <c r="AB1290" s="295"/>
      <c r="AC1290" s="295"/>
      <c r="AD1290" s="295"/>
      <c r="AE1290" s="295"/>
      <c r="AF1290" s="295"/>
      <c r="AG1290" s="295"/>
      <c r="AH1290" s="295"/>
      <c r="AI1290" s="296"/>
      <c r="AJ1290" s="11" t="s">
        <v>23</v>
      </c>
    </row>
    <row r="1291" spans="1:36" ht="36" x14ac:dyDescent="0.2">
      <c r="A1291" s="7" t="s">
        <v>405</v>
      </c>
      <c r="B1291" s="8" t="s">
        <v>406</v>
      </c>
      <c r="C1291" s="7" t="s">
        <v>407</v>
      </c>
      <c r="D1291" s="294"/>
      <c r="E1291" s="295"/>
      <c r="F1291" s="295"/>
      <c r="G1291" s="295"/>
      <c r="H1291" s="295"/>
      <c r="I1291" s="295"/>
      <c r="J1291" s="295"/>
      <c r="K1291" s="295"/>
      <c r="L1291" s="295"/>
      <c r="M1291" s="295"/>
      <c r="N1291" s="295"/>
      <c r="O1291" s="295"/>
      <c r="P1291" s="295"/>
      <c r="Q1291" s="295"/>
      <c r="R1291" s="295"/>
      <c r="S1291" s="295"/>
      <c r="T1291" s="295"/>
      <c r="U1291" s="295"/>
      <c r="V1291" s="295"/>
      <c r="W1291" s="295"/>
      <c r="X1291" s="295"/>
      <c r="Y1291" s="295"/>
      <c r="Z1291" s="295"/>
      <c r="AA1291" s="295"/>
      <c r="AB1291" s="295"/>
      <c r="AC1291" s="295"/>
      <c r="AD1291" s="295"/>
      <c r="AE1291" s="295"/>
      <c r="AF1291" s="295"/>
      <c r="AG1291" s="295"/>
      <c r="AH1291" s="295"/>
      <c r="AI1291" s="296"/>
      <c r="AJ1291" s="11" t="s">
        <v>23</v>
      </c>
    </row>
    <row r="1292" spans="1:36" ht="36" x14ac:dyDescent="0.2">
      <c r="A1292" s="7" t="s">
        <v>408</v>
      </c>
      <c r="B1292" s="8" t="s">
        <v>409</v>
      </c>
      <c r="C1292" s="7" t="s">
        <v>410</v>
      </c>
      <c r="D1292" s="294"/>
      <c r="E1292" s="295"/>
      <c r="F1292" s="295"/>
      <c r="G1292" s="295"/>
      <c r="H1292" s="295"/>
      <c r="I1292" s="295"/>
      <c r="J1292" s="295"/>
      <c r="K1292" s="295"/>
      <c r="L1292" s="295"/>
      <c r="M1292" s="295"/>
      <c r="N1292" s="295"/>
      <c r="O1292" s="295"/>
      <c r="P1292" s="295"/>
      <c r="Q1292" s="295"/>
      <c r="R1292" s="295"/>
      <c r="S1292" s="295"/>
      <c r="T1292" s="295"/>
      <c r="U1292" s="295"/>
      <c r="V1292" s="295"/>
      <c r="W1292" s="295"/>
      <c r="X1292" s="295"/>
      <c r="Y1292" s="295"/>
      <c r="Z1292" s="295"/>
      <c r="AA1292" s="295"/>
      <c r="AB1292" s="295"/>
      <c r="AC1292" s="295"/>
      <c r="AD1292" s="295"/>
      <c r="AE1292" s="295"/>
      <c r="AF1292" s="295"/>
      <c r="AG1292" s="295"/>
      <c r="AH1292" s="295"/>
      <c r="AI1292" s="296"/>
      <c r="AJ1292" s="11" t="s">
        <v>158</v>
      </c>
    </row>
    <row r="1293" spans="1:36" ht="36" x14ac:dyDescent="0.2">
      <c r="A1293" s="7" t="s">
        <v>411</v>
      </c>
      <c r="B1293" s="8" t="s">
        <v>412</v>
      </c>
      <c r="C1293" s="7" t="s">
        <v>413</v>
      </c>
      <c r="D1293" s="294"/>
      <c r="E1293" s="295"/>
      <c r="F1293" s="295"/>
      <c r="G1293" s="295"/>
      <c r="H1293" s="295"/>
      <c r="I1293" s="295"/>
      <c r="J1293" s="295"/>
      <c r="K1293" s="295"/>
      <c r="L1293" s="295"/>
      <c r="M1293" s="295"/>
      <c r="N1293" s="295"/>
      <c r="O1293" s="295"/>
      <c r="P1293" s="295"/>
      <c r="Q1293" s="295"/>
      <c r="R1293" s="295"/>
      <c r="S1293" s="295"/>
      <c r="T1293" s="295"/>
      <c r="U1293" s="295"/>
      <c r="V1293" s="295"/>
      <c r="W1293" s="295"/>
      <c r="X1293" s="295"/>
      <c r="Y1293" s="295"/>
      <c r="Z1293" s="295"/>
      <c r="AA1293" s="295"/>
      <c r="AB1293" s="295"/>
      <c r="AC1293" s="295"/>
      <c r="AD1293" s="295"/>
      <c r="AE1293" s="295"/>
      <c r="AF1293" s="295"/>
      <c r="AG1293" s="295"/>
      <c r="AH1293" s="295"/>
      <c r="AI1293" s="296"/>
      <c r="AJ1293" s="11" t="s">
        <v>158</v>
      </c>
    </row>
    <row r="1294" spans="1:36" ht="24" x14ac:dyDescent="0.2">
      <c r="A1294" s="7" t="s">
        <v>414</v>
      </c>
      <c r="B1294" s="8" t="s">
        <v>415</v>
      </c>
      <c r="C1294" s="7" t="s">
        <v>416</v>
      </c>
      <c r="D1294" s="294"/>
      <c r="E1294" s="295"/>
      <c r="F1294" s="295"/>
      <c r="G1294" s="295"/>
      <c r="H1294" s="295"/>
      <c r="I1294" s="295"/>
      <c r="J1294" s="295"/>
      <c r="K1294" s="295"/>
      <c r="L1294" s="295"/>
      <c r="M1294" s="295"/>
      <c r="N1294" s="295"/>
      <c r="O1294" s="295"/>
      <c r="P1294" s="295"/>
      <c r="Q1294" s="295"/>
      <c r="R1294" s="295"/>
      <c r="S1294" s="295"/>
      <c r="T1294" s="295"/>
      <c r="U1294" s="295"/>
      <c r="V1294" s="295"/>
      <c r="W1294" s="295"/>
      <c r="X1294" s="295"/>
      <c r="Y1294" s="295"/>
      <c r="Z1294" s="295"/>
      <c r="AA1294" s="295"/>
      <c r="AB1294" s="295"/>
      <c r="AC1294" s="295"/>
      <c r="AD1294" s="295"/>
      <c r="AE1294" s="295"/>
      <c r="AF1294" s="295"/>
      <c r="AG1294" s="295"/>
      <c r="AH1294" s="295"/>
      <c r="AI1294" s="296"/>
      <c r="AJ1294" s="11" t="s">
        <v>158</v>
      </c>
    </row>
    <row r="1295" spans="1:36" ht="24" x14ac:dyDescent="0.2">
      <c r="A1295" s="7" t="s">
        <v>417</v>
      </c>
      <c r="B1295" s="8" t="s">
        <v>418</v>
      </c>
      <c r="C1295" s="7" t="s">
        <v>419</v>
      </c>
      <c r="D1295" s="294"/>
      <c r="E1295" s="295"/>
      <c r="F1295" s="295"/>
      <c r="G1295" s="295"/>
      <c r="H1295" s="295"/>
      <c r="I1295" s="295"/>
      <c r="J1295" s="295"/>
      <c r="K1295" s="295"/>
      <c r="L1295" s="295"/>
      <c r="M1295" s="295"/>
      <c r="N1295" s="295"/>
      <c r="O1295" s="295"/>
      <c r="P1295" s="295"/>
      <c r="Q1295" s="295"/>
      <c r="R1295" s="295"/>
      <c r="S1295" s="295"/>
      <c r="T1295" s="295"/>
      <c r="U1295" s="295"/>
      <c r="V1295" s="295"/>
      <c r="W1295" s="295"/>
      <c r="X1295" s="295"/>
      <c r="Y1295" s="295"/>
      <c r="Z1295" s="295"/>
      <c r="AA1295" s="295"/>
      <c r="AB1295" s="295"/>
      <c r="AC1295" s="295"/>
      <c r="AD1295" s="295"/>
      <c r="AE1295" s="295"/>
      <c r="AF1295" s="295"/>
      <c r="AG1295" s="295"/>
      <c r="AH1295" s="295"/>
      <c r="AI1295" s="296"/>
      <c r="AJ1295" s="11" t="s">
        <v>158</v>
      </c>
    </row>
    <row r="1296" spans="1:36" x14ac:dyDescent="0.2">
      <c r="A1296" s="7" t="s">
        <v>420</v>
      </c>
      <c r="B1296" s="8" t="s">
        <v>421</v>
      </c>
      <c r="C1296" s="7" t="s">
        <v>422</v>
      </c>
      <c r="D1296" s="294"/>
      <c r="E1296" s="295"/>
      <c r="F1296" s="295"/>
      <c r="G1296" s="295"/>
      <c r="H1296" s="295"/>
      <c r="I1296" s="295"/>
      <c r="J1296" s="295"/>
      <c r="K1296" s="295"/>
      <c r="L1296" s="295"/>
      <c r="M1296" s="295"/>
      <c r="N1296" s="295"/>
      <c r="O1296" s="295"/>
      <c r="P1296" s="295"/>
      <c r="Q1296" s="295"/>
      <c r="R1296" s="295"/>
      <c r="S1296" s="295"/>
      <c r="T1296" s="295"/>
      <c r="U1296" s="295"/>
      <c r="V1296" s="295"/>
      <c r="W1296" s="295"/>
      <c r="X1296" s="295"/>
      <c r="Y1296" s="295"/>
      <c r="Z1296" s="295"/>
      <c r="AA1296" s="295"/>
      <c r="AB1296" s="295"/>
      <c r="AC1296" s="295"/>
      <c r="AD1296" s="295"/>
      <c r="AE1296" s="295"/>
      <c r="AF1296" s="295"/>
      <c r="AG1296" s="295"/>
      <c r="AH1296" s="295"/>
      <c r="AI1296" s="296"/>
      <c r="AJ1296" s="11" t="s">
        <v>357</v>
      </c>
    </row>
    <row r="1297" spans="1:36" ht="24" x14ac:dyDescent="0.2">
      <c r="A1297" s="7" t="s">
        <v>423</v>
      </c>
      <c r="B1297" s="8" t="s">
        <v>424</v>
      </c>
      <c r="C1297" s="7" t="s">
        <v>425</v>
      </c>
      <c r="D1297" s="294"/>
      <c r="E1297" s="295"/>
      <c r="F1297" s="295"/>
      <c r="G1297" s="295"/>
      <c r="H1297" s="295"/>
      <c r="I1297" s="295"/>
      <c r="J1297" s="295"/>
      <c r="K1297" s="295"/>
      <c r="L1297" s="295"/>
      <c r="M1297" s="295"/>
      <c r="N1297" s="295"/>
      <c r="O1297" s="295"/>
      <c r="P1297" s="295"/>
      <c r="Q1297" s="295"/>
      <c r="R1297" s="295"/>
      <c r="S1297" s="295"/>
      <c r="T1297" s="295"/>
      <c r="U1297" s="295"/>
      <c r="V1297" s="295"/>
      <c r="W1297" s="295"/>
      <c r="X1297" s="295"/>
      <c r="Y1297" s="295"/>
      <c r="Z1297" s="295"/>
      <c r="AA1297" s="295"/>
      <c r="AB1297" s="295"/>
      <c r="AC1297" s="295"/>
      <c r="AD1297" s="295"/>
      <c r="AE1297" s="295"/>
      <c r="AF1297" s="295"/>
      <c r="AG1297" s="295"/>
      <c r="AH1297" s="295"/>
      <c r="AI1297" s="296"/>
      <c r="AJ1297" s="11" t="s">
        <v>158</v>
      </c>
    </row>
    <row r="1298" spans="1:36" ht="24" x14ac:dyDescent="0.2">
      <c r="A1298" s="7" t="s">
        <v>426</v>
      </c>
      <c r="B1298" s="8" t="s">
        <v>427</v>
      </c>
      <c r="C1298" s="7" t="s">
        <v>428</v>
      </c>
      <c r="D1298" s="294"/>
      <c r="E1298" s="295"/>
      <c r="F1298" s="295"/>
      <c r="G1298" s="295"/>
      <c r="H1298" s="295"/>
      <c r="I1298" s="295"/>
      <c r="J1298" s="295"/>
      <c r="K1298" s="295"/>
      <c r="L1298" s="295"/>
      <c r="M1298" s="295"/>
      <c r="N1298" s="295"/>
      <c r="O1298" s="295"/>
      <c r="P1298" s="295"/>
      <c r="Q1298" s="295"/>
      <c r="R1298" s="295"/>
      <c r="S1298" s="295"/>
      <c r="T1298" s="295"/>
      <c r="U1298" s="295"/>
      <c r="V1298" s="295"/>
      <c r="W1298" s="295"/>
      <c r="X1298" s="295"/>
      <c r="Y1298" s="295"/>
      <c r="Z1298" s="295"/>
      <c r="AA1298" s="295"/>
      <c r="AB1298" s="295"/>
      <c r="AC1298" s="295"/>
      <c r="AD1298" s="295"/>
      <c r="AE1298" s="295"/>
      <c r="AF1298" s="295"/>
      <c r="AG1298" s="295"/>
      <c r="AH1298" s="295"/>
      <c r="AI1298" s="296"/>
      <c r="AJ1298" s="11" t="s">
        <v>158</v>
      </c>
    </row>
    <row r="1299" spans="1:36" ht="24" x14ac:dyDescent="0.2">
      <c r="A1299" s="7" t="s">
        <v>429</v>
      </c>
      <c r="B1299" s="8" t="s">
        <v>430</v>
      </c>
      <c r="C1299" s="7" t="s">
        <v>431</v>
      </c>
      <c r="D1299" s="294"/>
      <c r="E1299" s="295"/>
      <c r="F1299" s="295"/>
      <c r="G1299" s="295"/>
      <c r="H1299" s="295"/>
      <c r="I1299" s="295"/>
      <c r="J1299" s="295"/>
      <c r="K1299" s="295"/>
      <c r="L1299" s="295"/>
      <c r="M1299" s="295"/>
      <c r="N1299" s="295"/>
      <c r="O1299" s="295"/>
      <c r="P1299" s="295"/>
      <c r="Q1299" s="295"/>
      <c r="R1299" s="295"/>
      <c r="S1299" s="295"/>
      <c r="T1299" s="295"/>
      <c r="U1299" s="295"/>
      <c r="V1299" s="295"/>
      <c r="W1299" s="295"/>
      <c r="X1299" s="295"/>
      <c r="Y1299" s="295"/>
      <c r="Z1299" s="295"/>
      <c r="AA1299" s="295"/>
      <c r="AB1299" s="295"/>
      <c r="AC1299" s="295"/>
      <c r="AD1299" s="295"/>
      <c r="AE1299" s="295"/>
      <c r="AF1299" s="295"/>
      <c r="AG1299" s="295"/>
      <c r="AH1299" s="295"/>
      <c r="AI1299" s="296"/>
      <c r="AJ1299" s="11" t="s">
        <v>158</v>
      </c>
    </row>
    <row r="1300" spans="1:36" x14ac:dyDescent="0.2">
      <c r="A1300" s="48" t="s">
        <v>432</v>
      </c>
      <c r="B1300" s="269" t="s">
        <v>433</v>
      </c>
      <c r="C1300" s="269"/>
      <c r="D1300" s="269"/>
      <c r="E1300" s="269"/>
      <c r="F1300" s="269"/>
      <c r="G1300" s="269"/>
      <c r="H1300" s="269"/>
      <c r="I1300" s="269"/>
      <c r="J1300" s="269"/>
      <c r="K1300" s="269"/>
      <c r="L1300" s="269"/>
      <c r="M1300" s="269"/>
      <c r="N1300" s="269"/>
      <c r="O1300" s="269"/>
      <c r="P1300" s="269"/>
      <c r="Q1300" s="269"/>
      <c r="R1300" s="269"/>
      <c r="S1300" s="269"/>
      <c r="T1300" s="269"/>
      <c r="U1300" s="269"/>
      <c r="V1300" s="269"/>
      <c r="W1300" s="269"/>
      <c r="X1300" s="269"/>
      <c r="Y1300" s="269"/>
      <c r="Z1300" s="269"/>
      <c r="AA1300" s="269"/>
      <c r="AB1300" s="269"/>
      <c r="AC1300" s="269"/>
      <c r="AD1300" s="269"/>
      <c r="AE1300" s="269"/>
      <c r="AF1300" s="269"/>
      <c r="AG1300" s="269"/>
      <c r="AH1300" s="269"/>
      <c r="AI1300" s="269"/>
      <c r="AJ1300" s="269"/>
    </row>
    <row r="1301" spans="1:36" ht="36" x14ac:dyDescent="0.2">
      <c r="A1301" s="7" t="s">
        <v>434</v>
      </c>
      <c r="B1301" s="8" t="s">
        <v>435</v>
      </c>
      <c r="C1301" s="7" t="s">
        <v>436</v>
      </c>
      <c r="D1301" s="294"/>
      <c r="E1301" s="295"/>
      <c r="F1301" s="295"/>
      <c r="G1301" s="295"/>
      <c r="H1301" s="295"/>
      <c r="I1301" s="295"/>
      <c r="J1301" s="295"/>
      <c r="K1301" s="295"/>
      <c r="L1301" s="295"/>
      <c r="M1301" s="295"/>
      <c r="N1301" s="295"/>
      <c r="O1301" s="295"/>
      <c r="P1301" s="295"/>
      <c r="Q1301" s="295"/>
      <c r="R1301" s="295"/>
      <c r="S1301" s="295"/>
      <c r="T1301" s="295"/>
      <c r="U1301" s="295"/>
      <c r="V1301" s="295"/>
      <c r="W1301" s="295"/>
      <c r="X1301" s="295"/>
      <c r="Y1301" s="295"/>
      <c r="Z1301" s="295"/>
      <c r="AA1301" s="295"/>
      <c r="AB1301" s="295"/>
      <c r="AC1301" s="295"/>
      <c r="AD1301" s="295"/>
      <c r="AE1301" s="295"/>
      <c r="AF1301" s="295"/>
      <c r="AG1301" s="295"/>
      <c r="AH1301" s="295"/>
      <c r="AI1301" s="296"/>
      <c r="AJ1301" s="11" t="s">
        <v>23</v>
      </c>
    </row>
    <row r="1302" spans="1:36" ht="36" x14ac:dyDescent="0.2">
      <c r="A1302" s="7" t="s">
        <v>437</v>
      </c>
      <c r="B1302" s="8" t="s">
        <v>438</v>
      </c>
      <c r="C1302" s="7" t="s">
        <v>439</v>
      </c>
      <c r="D1302" s="294"/>
      <c r="E1302" s="295"/>
      <c r="F1302" s="295"/>
      <c r="G1302" s="295"/>
      <c r="H1302" s="295"/>
      <c r="I1302" s="295"/>
      <c r="J1302" s="295"/>
      <c r="K1302" s="295"/>
      <c r="L1302" s="295"/>
      <c r="M1302" s="295"/>
      <c r="N1302" s="295"/>
      <c r="O1302" s="295"/>
      <c r="P1302" s="295"/>
      <c r="Q1302" s="295"/>
      <c r="R1302" s="295"/>
      <c r="S1302" s="295"/>
      <c r="T1302" s="295"/>
      <c r="U1302" s="295"/>
      <c r="V1302" s="295"/>
      <c r="W1302" s="295"/>
      <c r="X1302" s="295"/>
      <c r="Y1302" s="295"/>
      <c r="Z1302" s="295"/>
      <c r="AA1302" s="295"/>
      <c r="AB1302" s="295"/>
      <c r="AC1302" s="295"/>
      <c r="AD1302" s="295"/>
      <c r="AE1302" s="295"/>
      <c r="AF1302" s="295"/>
      <c r="AG1302" s="295"/>
      <c r="AH1302" s="295"/>
      <c r="AI1302" s="296"/>
      <c r="AJ1302" s="11" t="s">
        <v>23</v>
      </c>
    </row>
    <row r="1303" spans="1:36" ht="36" x14ac:dyDescent="0.2">
      <c r="A1303" s="7" t="s">
        <v>440</v>
      </c>
      <c r="B1303" s="8" t="s">
        <v>441</v>
      </c>
      <c r="C1303" s="7" t="s">
        <v>442</v>
      </c>
      <c r="D1303" s="294"/>
      <c r="E1303" s="295"/>
      <c r="F1303" s="295"/>
      <c r="G1303" s="295"/>
      <c r="H1303" s="295"/>
      <c r="I1303" s="295"/>
      <c r="J1303" s="295"/>
      <c r="K1303" s="295"/>
      <c r="L1303" s="295"/>
      <c r="M1303" s="295"/>
      <c r="N1303" s="295"/>
      <c r="O1303" s="295"/>
      <c r="P1303" s="295"/>
      <c r="Q1303" s="295"/>
      <c r="R1303" s="295"/>
      <c r="S1303" s="295"/>
      <c r="T1303" s="295"/>
      <c r="U1303" s="295"/>
      <c r="V1303" s="295"/>
      <c r="W1303" s="295"/>
      <c r="X1303" s="295"/>
      <c r="Y1303" s="295"/>
      <c r="Z1303" s="295"/>
      <c r="AA1303" s="295"/>
      <c r="AB1303" s="295"/>
      <c r="AC1303" s="295"/>
      <c r="AD1303" s="295"/>
      <c r="AE1303" s="295"/>
      <c r="AF1303" s="295"/>
      <c r="AG1303" s="295"/>
      <c r="AH1303" s="295"/>
      <c r="AI1303" s="296"/>
      <c r="AJ1303" s="11" t="s">
        <v>23</v>
      </c>
    </row>
    <row r="1304" spans="1:36" ht="24" x14ac:dyDescent="0.2">
      <c r="A1304" s="7" t="s">
        <v>443</v>
      </c>
      <c r="B1304" s="8" t="s">
        <v>444</v>
      </c>
      <c r="C1304" s="7" t="s">
        <v>445</v>
      </c>
      <c r="D1304" s="294"/>
      <c r="E1304" s="295"/>
      <c r="F1304" s="295"/>
      <c r="G1304" s="295"/>
      <c r="H1304" s="295"/>
      <c r="I1304" s="295"/>
      <c r="J1304" s="295"/>
      <c r="K1304" s="295"/>
      <c r="L1304" s="295"/>
      <c r="M1304" s="295"/>
      <c r="N1304" s="295"/>
      <c r="O1304" s="295"/>
      <c r="P1304" s="295"/>
      <c r="Q1304" s="295"/>
      <c r="R1304" s="295"/>
      <c r="S1304" s="295"/>
      <c r="T1304" s="295"/>
      <c r="U1304" s="295"/>
      <c r="V1304" s="295"/>
      <c r="W1304" s="295"/>
      <c r="X1304" s="295"/>
      <c r="Y1304" s="295"/>
      <c r="Z1304" s="295"/>
      <c r="AA1304" s="295"/>
      <c r="AB1304" s="295"/>
      <c r="AC1304" s="295"/>
      <c r="AD1304" s="295"/>
      <c r="AE1304" s="295"/>
      <c r="AF1304" s="295"/>
      <c r="AG1304" s="295"/>
      <c r="AH1304" s="295"/>
      <c r="AI1304" s="296"/>
      <c r="AJ1304" s="11" t="s">
        <v>23</v>
      </c>
    </row>
    <row r="1305" spans="1:36" ht="24" x14ac:dyDescent="0.2">
      <c r="A1305" s="7" t="s">
        <v>446</v>
      </c>
      <c r="B1305" s="8" t="s">
        <v>447</v>
      </c>
      <c r="C1305" s="7" t="s">
        <v>448</v>
      </c>
      <c r="D1305" s="294"/>
      <c r="E1305" s="295"/>
      <c r="F1305" s="295"/>
      <c r="G1305" s="295"/>
      <c r="H1305" s="295"/>
      <c r="I1305" s="295"/>
      <c r="J1305" s="295"/>
      <c r="K1305" s="295"/>
      <c r="L1305" s="295"/>
      <c r="M1305" s="295"/>
      <c r="N1305" s="295"/>
      <c r="O1305" s="295"/>
      <c r="P1305" s="295"/>
      <c r="Q1305" s="295"/>
      <c r="R1305" s="295"/>
      <c r="S1305" s="295"/>
      <c r="T1305" s="295"/>
      <c r="U1305" s="295"/>
      <c r="V1305" s="295"/>
      <c r="W1305" s="295"/>
      <c r="X1305" s="295"/>
      <c r="Y1305" s="295"/>
      <c r="Z1305" s="295"/>
      <c r="AA1305" s="295"/>
      <c r="AB1305" s="295"/>
      <c r="AC1305" s="295"/>
      <c r="AD1305" s="295"/>
      <c r="AE1305" s="295"/>
      <c r="AF1305" s="295"/>
      <c r="AG1305" s="295"/>
      <c r="AH1305" s="295"/>
      <c r="AI1305" s="296"/>
      <c r="AJ1305" s="11" t="s">
        <v>23</v>
      </c>
    </row>
    <row r="1306" spans="1:36" ht="24" x14ac:dyDescent="0.2">
      <c r="A1306" s="7" t="s">
        <v>449</v>
      </c>
      <c r="B1306" s="8" t="s">
        <v>450</v>
      </c>
      <c r="C1306" s="7" t="s">
        <v>451</v>
      </c>
      <c r="D1306" s="294"/>
      <c r="E1306" s="295"/>
      <c r="F1306" s="295"/>
      <c r="G1306" s="295"/>
      <c r="H1306" s="295"/>
      <c r="I1306" s="295"/>
      <c r="J1306" s="295"/>
      <c r="K1306" s="295"/>
      <c r="L1306" s="295"/>
      <c r="M1306" s="295"/>
      <c r="N1306" s="295"/>
      <c r="O1306" s="295"/>
      <c r="P1306" s="295"/>
      <c r="Q1306" s="295"/>
      <c r="R1306" s="295"/>
      <c r="S1306" s="295"/>
      <c r="T1306" s="295"/>
      <c r="U1306" s="295"/>
      <c r="V1306" s="295"/>
      <c r="W1306" s="295"/>
      <c r="X1306" s="295"/>
      <c r="Y1306" s="295"/>
      <c r="Z1306" s="295"/>
      <c r="AA1306" s="295"/>
      <c r="AB1306" s="295"/>
      <c r="AC1306" s="295"/>
      <c r="AD1306" s="295"/>
      <c r="AE1306" s="295"/>
      <c r="AF1306" s="295"/>
      <c r="AG1306" s="295"/>
      <c r="AH1306" s="295"/>
      <c r="AI1306" s="296"/>
      <c r="AJ1306" s="11" t="s">
        <v>158</v>
      </c>
    </row>
    <row r="1307" spans="1:36" ht="36" x14ac:dyDescent="0.2">
      <c r="A1307" s="7" t="s">
        <v>452</v>
      </c>
      <c r="B1307" s="8" t="s">
        <v>453</v>
      </c>
      <c r="C1307" s="7" t="s">
        <v>454</v>
      </c>
      <c r="D1307" s="294"/>
      <c r="E1307" s="295"/>
      <c r="F1307" s="295"/>
      <c r="G1307" s="295"/>
      <c r="H1307" s="295"/>
      <c r="I1307" s="295"/>
      <c r="J1307" s="295"/>
      <c r="K1307" s="295"/>
      <c r="L1307" s="295"/>
      <c r="M1307" s="295"/>
      <c r="N1307" s="295"/>
      <c r="O1307" s="295"/>
      <c r="P1307" s="295"/>
      <c r="Q1307" s="295"/>
      <c r="R1307" s="295"/>
      <c r="S1307" s="295"/>
      <c r="T1307" s="295"/>
      <c r="U1307" s="295"/>
      <c r="V1307" s="295"/>
      <c r="W1307" s="295"/>
      <c r="X1307" s="295"/>
      <c r="Y1307" s="295"/>
      <c r="Z1307" s="295"/>
      <c r="AA1307" s="295"/>
      <c r="AB1307" s="295"/>
      <c r="AC1307" s="295"/>
      <c r="AD1307" s="295"/>
      <c r="AE1307" s="295"/>
      <c r="AF1307" s="295"/>
      <c r="AG1307" s="295"/>
      <c r="AH1307" s="295"/>
      <c r="AI1307" s="296"/>
      <c r="AJ1307" s="11" t="s">
        <v>158</v>
      </c>
    </row>
    <row r="1308" spans="1:36" ht="36" x14ac:dyDescent="0.2">
      <c r="A1308" s="7" t="s">
        <v>455</v>
      </c>
      <c r="B1308" s="8" t="s">
        <v>456</v>
      </c>
      <c r="C1308" s="7" t="s">
        <v>457</v>
      </c>
      <c r="D1308" s="294"/>
      <c r="E1308" s="295"/>
      <c r="F1308" s="295"/>
      <c r="G1308" s="295"/>
      <c r="H1308" s="295"/>
      <c r="I1308" s="295"/>
      <c r="J1308" s="295"/>
      <c r="K1308" s="295"/>
      <c r="L1308" s="295"/>
      <c r="M1308" s="295"/>
      <c r="N1308" s="295"/>
      <c r="O1308" s="295"/>
      <c r="P1308" s="295"/>
      <c r="Q1308" s="295"/>
      <c r="R1308" s="295"/>
      <c r="S1308" s="295"/>
      <c r="T1308" s="295"/>
      <c r="U1308" s="295"/>
      <c r="V1308" s="295"/>
      <c r="W1308" s="295"/>
      <c r="X1308" s="295"/>
      <c r="Y1308" s="295"/>
      <c r="Z1308" s="295"/>
      <c r="AA1308" s="295"/>
      <c r="AB1308" s="295"/>
      <c r="AC1308" s="295"/>
      <c r="AD1308" s="295"/>
      <c r="AE1308" s="295"/>
      <c r="AF1308" s="295"/>
      <c r="AG1308" s="295"/>
      <c r="AH1308" s="295"/>
      <c r="AI1308" s="296"/>
      <c r="AJ1308" s="11" t="s">
        <v>158</v>
      </c>
    </row>
    <row r="1309" spans="1:36" ht="36" x14ac:dyDescent="0.2">
      <c r="A1309" s="7" t="s">
        <v>458</v>
      </c>
      <c r="B1309" s="8" t="s">
        <v>459</v>
      </c>
      <c r="C1309" s="7" t="s">
        <v>460</v>
      </c>
      <c r="D1309" s="294"/>
      <c r="E1309" s="295"/>
      <c r="F1309" s="295"/>
      <c r="G1309" s="295"/>
      <c r="H1309" s="295"/>
      <c r="I1309" s="295"/>
      <c r="J1309" s="295"/>
      <c r="K1309" s="295"/>
      <c r="L1309" s="295"/>
      <c r="M1309" s="295"/>
      <c r="N1309" s="295"/>
      <c r="O1309" s="295"/>
      <c r="P1309" s="295"/>
      <c r="Q1309" s="295"/>
      <c r="R1309" s="295"/>
      <c r="S1309" s="295"/>
      <c r="T1309" s="295"/>
      <c r="U1309" s="295"/>
      <c r="V1309" s="295"/>
      <c r="W1309" s="295"/>
      <c r="X1309" s="295"/>
      <c r="Y1309" s="295"/>
      <c r="Z1309" s="295"/>
      <c r="AA1309" s="295"/>
      <c r="AB1309" s="295"/>
      <c r="AC1309" s="295"/>
      <c r="AD1309" s="295"/>
      <c r="AE1309" s="295"/>
      <c r="AF1309" s="295"/>
      <c r="AG1309" s="295"/>
      <c r="AH1309" s="295"/>
      <c r="AI1309" s="296"/>
      <c r="AJ1309" s="11" t="s">
        <v>158</v>
      </c>
    </row>
    <row r="1310" spans="1:36" ht="36" x14ac:dyDescent="0.2">
      <c r="A1310" s="7" t="s">
        <v>461</v>
      </c>
      <c r="B1310" s="8" t="s">
        <v>462</v>
      </c>
      <c r="C1310" s="7" t="s">
        <v>463</v>
      </c>
      <c r="D1310" s="294"/>
      <c r="E1310" s="295"/>
      <c r="F1310" s="295"/>
      <c r="G1310" s="295"/>
      <c r="H1310" s="295"/>
      <c r="I1310" s="295"/>
      <c r="J1310" s="295"/>
      <c r="K1310" s="295"/>
      <c r="L1310" s="295"/>
      <c r="M1310" s="295"/>
      <c r="N1310" s="295"/>
      <c r="O1310" s="295"/>
      <c r="P1310" s="295"/>
      <c r="Q1310" s="295"/>
      <c r="R1310" s="295"/>
      <c r="S1310" s="295"/>
      <c r="T1310" s="295"/>
      <c r="U1310" s="295"/>
      <c r="V1310" s="295"/>
      <c r="W1310" s="295"/>
      <c r="X1310" s="295"/>
      <c r="Y1310" s="295"/>
      <c r="Z1310" s="295"/>
      <c r="AA1310" s="295"/>
      <c r="AB1310" s="295"/>
      <c r="AC1310" s="295"/>
      <c r="AD1310" s="295"/>
      <c r="AE1310" s="295"/>
      <c r="AF1310" s="295"/>
      <c r="AG1310" s="295"/>
      <c r="AH1310" s="295"/>
      <c r="AI1310" s="296"/>
      <c r="AJ1310" s="11" t="s">
        <v>158</v>
      </c>
    </row>
    <row r="1311" spans="1:36" ht="36" x14ac:dyDescent="0.2">
      <c r="A1311" s="7" t="s">
        <v>464</v>
      </c>
      <c r="B1311" s="8" t="s">
        <v>465</v>
      </c>
      <c r="C1311" s="7" t="s">
        <v>466</v>
      </c>
      <c r="D1311" s="294"/>
      <c r="E1311" s="295"/>
      <c r="F1311" s="295"/>
      <c r="G1311" s="295"/>
      <c r="H1311" s="295"/>
      <c r="I1311" s="295"/>
      <c r="J1311" s="295"/>
      <c r="K1311" s="295"/>
      <c r="L1311" s="295"/>
      <c r="M1311" s="295"/>
      <c r="N1311" s="295"/>
      <c r="O1311" s="295"/>
      <c r="P1311" s="295"/>
      <c r="Q1311" s="295"/>
      <c r="R1311" s="295"/>
      <c r="S1311" s="295"/>
      <c r="T1311" s="295"/>
      <c r="U1311" s="295"/>
      <c r="V1311" s="295"/>
      <c r="W1311" s="295"/>
      <c r="X1311" s="295"/>
      <c r="Y1311" s="295"/>
      <c r="Z1311" s="295"/>
      <c r="AA1311" s="295"/>
      <c r="AB1311" s="295"/>
      <c r="AC1311" s="295"/>
      <c r="AD1311" s="295"/>
      <c r="AE1311" s="295"/>
      <c r="AF1311" s="295"/>
      <c r="AG1311" s="295"/>
      <c r="AH1311" s="295"/>
      <c r="AI1311" s="296"/>
      <c r="AJ1311" s="11" t="s">
        <v>158</v>
      </c>
    </row>
    <row r="1312" spans="1:36" ht="36" x14ac:dyDescent="0.2">
      <c r="A1312" s="7" t="s">
        <v>467</v>
      </c>
      <c r="B1312" s="8" t="s">
        <v>468</v>
      </c>
      <c r="C1312" s="7" t="s">
        <v>469</v>
      </c>
      <c r="D1312" s="294"/>
      <c r="E1312" s="295"/>
      <c r="F1312" s="295"/>
      <c r="G1312" s="295"/>
      <c r="H1312" s="295"/>
      <c r="I1312" s="295"/>
      <c r="J1312" s="295"/>
      <c r="K1312" s="295"/>
      <c r="L1312" s="295"/>
      <c r="M1312" s="295"/>
      <c r="N1312" s="295"/>
      <c r="O1312" s="295"/>
      <c r="P1312" s="295"/>
      <c r="Q1312" s="295"/>
      <c r="R1312" s="295"/>
      <c r="S1312" s="295"/>
      <c r="T1312" s="295"/>
      <c r="U1312" s="295"/>
      <c r="V1312" s="295"/>
      <c r="W1312" s="295"/>
      <c r="X1312" s="295"/>
      <c r="Y1312" s="295"/>
      <c r="Z1312" s="295"/>
      <c r="AA1312" s="295"/>
      <c r="AB1312" s="295"/>
      <c r="AC1312" s="295"/>
      <c r="AD1312" s="295"/>
      <c r="AE1312" s="295"/>
      <c r="AF1312" s="295"/>
      <c r="AG1312" s="295"/>
      <c r="AH1312" s="295"/>
      <c r="AI1312" s="296"/>
      <c r="AJ1312" s="11" t="s">
        <v>158</v>
      </c>
    </row>
    <row r="1313" spans="1:36" ht="36" x14ac:dyDescent="0.2">
      <c r="A1313" s="7" t="s">
        <v>470</v>
      </c>
      <c r="B1313" s="8" t="s">
        <v>471</v>
      </c>
      <c r="C1313" s="7" t="s">
        <v>472</v>
      </c>
      <c r="D1313" s="294"/>
      <c r="E1313" s="295"/>
      <c r="F1313" s="295"/>
      <c r="G1313" s="295"/>
      <c r="H1313" s="295"/>
      <c r="I1313" s="295"/>
      <c r="J1313" s="295"/>
      <c r="K1313" s="295"/>
      <c r="L1313" s="295"/>
      <c r="M1313" s="295"/>
      <c r="N1313" s="295"/>
      <c r="O1313" s="295"/>
      <c r="P1313" s="295"/>
      <c r="Q1313" s="295"/>
      <c r="R1313" s="295"/>
      <c r="S1313" s="295"/>
      <c r="T1313" s="295"/>
      <c r="U1313" s="295"/>
      <c r="V1313" s="295"/>
      <c r="W1313" s="295"/>
      <c r="X1313" s="295"/>
      <c r="Y1313" s="295"/>
      <c r="Z1313" s="295"/>
      <c r="AA1313" s="295"/>
      <c r="AB1313" s="295"/>
      <c r="AC1313" s="295"/>
      <c r="AD1313" s="295"/>
      <c r="AE1313" s="295"/>
      <c r="AF1313" s="295"/>
      <c r="AG1313" s="295"/>
      <c r="AH1313" s="295"/>
      <c r="AI1313" s="296"/>
      <c r="AJ1313" s="11" t="s">
        <v>158</v>
      </c>
    </row>
    <row r="1314" spans="1:36" ht="36" x14ac:dyDescent="0.2">
      <c r="A1314" s="7" t="s">
        <v>473</v>
      </c>
      <c r="B1314" s="8" t="s">
        <v>474</v>
      </c>
      <c r="C1314" s="7" t="s">
        <v>475</v>
      </c>
      <c r="D1314" s="294"/>
      <c r="E1314" s="295"/>
      <c r="F1314" s="295"/>
      <c r="G1314" s="295"/>
      <c r="H1314" s="295"/>
      <c r="I1314" s="295"/>
      <c r="J1314" s="295"/>
      <c r="K1314" s="295"/>
      <c r="L1314" s="295"/>
      <c r="M1314" s="295"/>
      <c r="N1314" s="295"/>
      <c r="O1314" s="295"/>
      <c r="P1314" s="295"/>
      <c r="Q1314" s="295"/>
      <c r="R1314" s="295"/>
      <c r="S1314" s="295"/>
      <c r="T1314" s="295"/>
      <c r="U1314" s="295"/>
      <c r="V1314" s="295"/>
      <c r="W1314" s="295"/>
      <c r="X1314" s="295"/>
      <c r="Y1314" s="295"/>
      <c r="Z1314" s="295"/>
      <c r="AA1314" s="295"/>
      <c r="AB1314" s="295"/>
      <c r="AC1314" s="295"/>
      <c r="AD1314" s="295"/>
      <c r="AE1314" s="295"/>
      <c r="AF1314" s="295"/>
      <c r="AG1314" s="295"/>
      <c r="AH1314" s="295"/>
      <c r="AI1314" s="296"/>
      <c r="AJ1314" s="11" t="s">
        <v>158</v>
      </c>
    </row>
    <row r="1315" spans="1:36" ht="36" x14ac:dyDescent="0.2">
      <c r="A1315" s="7" t="s">
        <v>476</v>
      </c>
      <c r="B1315" s="8" t="s">
        <v>477</v>
      </c>
      <c r="C1315" s="7" t="s">
        <v>478</v>
      </c>
      <c r="D1315" s="294"/>
      <c r="E1315" s="295"/>
      <c r="F1315" s="295"/>
      <c r="G1315" s="295"/>
      <c r="H1315" s="295"/>
      <c r="I1315" s="295"/>
      <c r="J1315" s="295"/>
      <c r="K1315" s="295"/>
      <c r="L1315" s="295"/>
      <c r="M1315" s="295"/>
      <c r="N1315" s="295"/>
      <c r="O1315" s="295"/>
      <c r="P1315" s="295"/>
      <c r="Q1315" s="295"/>
      <c r="R1315" s="295"/>
      <c r="S1315" s="295"/>
      <c r="T1315" s="295"/>
      <c r="U1315" s="295"/>
      <c r="V1315" s="295"/>
      <c r="W1315" s="295"/>
      <c r="X1315" s="295"/>
      <c r="Y1315" s="295"/>
      <c r="Z1315" s="295"/>
      <c r="AA1315" s="295"/>
      <c r="AB1315" s="295"/>
      <c r="AC1315" s="295"/>
      <c r="AD1315" s="295"/>
      <c r="AE1315" s="295"/>
      <c r="AF1315" s="295"/>
      <c r="AG1315" s="295"/>
      <c r="AH1315" s="295"/>
      <c r="AI1315" s="296"/>
      <c r="AJ1315" s="11" t="s">
        <v>158</v>
      </c>
    </row>
    <row r="1316" spans="1:36" ht="48" x14ac:dyDescent="0.2">
      <c r="A1316" s="7" t="s">
        <v>479</v>
      </c>
      <c r="B1316" s="8" t="s">
        <v>480</v>
      </c>
      <c r="C1316" s="7" t="s">
        <v>481</v>
      </c>
      <c r="D1316" s="294"/>
      <c r="E1316" s="295"/>
      <c r="F1316" s="295"/>
      <c r="G1316" s="295"/>
      <c r="H1316" s="295"/>
      <c r="I1316" s="295"/>
      <c r="J1316" s="295"/>
      <c r="K1316" s="295"/>
      <c r="L1316" s="295"/>
      <c r="M1316" s="295"/>
      <c r="N1316" s="295"/>
      <c r="O1316" s="295"/>
      <c r="P1316" s="295"/>
      <c r="Q1316" s="295"/>
      <c r="R1316" s="295"/>
      <c r="S1316" s="295"/>
      <c r="T1316" s="295"/>
      <c r="U1316" s="295"/>
      <c r="V1316" s="295"/>
      <c r="W1316" s="295"/>
      <c r="X1316" s="295"/>
      <c r="Y1316" s="295"/>
      <c r="Z1316" s="295"/>
      <c r="AA1316" s="295"/>
      <c r="AB1316" s="295"/>
      <c r="AC1316" s="295"/>
      <c r="AD1316" s="295"/>
      <c r="AE1316" s="295"/>
      <c r="AF1316" s="295"/>
      <c r="AG1316" s="295"/>
      <c r="AH1316" s="295"/>
      <c r="AI1316" s="296"/>
      <c r="AJ1316" s="11" t="s">
        <v>158</v>
      </c>
    </row>
    <row r="1317" spans="1:36" ht="48" x14ac:dyDescent="0.2">
      <c r="A1317" s="7" t="s">
        <v>482</v>
      </c>
      <c r="B1317" s="8" t="s">
        <v>483</v>
      </c>
      <c r="C1317" s="7" t="s">
        <v>484</v>
      </c>
      <c r="D1317" s="294"/>
      <c r="E1317" s="295"/>
      <c r="F1317" s="295"/>
      <c r="G1317" s="295"/>
      <c r="H1317" s="295"/>
      <c r="I1317" s="295"/>
      <c r="J1317" s="295"/>
      <c r="K1317" s="295"/>
      <c r="L1317" s="295"/>
      <c r="M1317" s="295"/>
      <c r="N1317" s="295"/>
      <c r="O1317" s="295"/>
      <c r="P1317" s="295"/>
      <c r="Q1317" s="295"/>
      <c r="R1317" s="295"/>
      <c r="S1317" s="295"/>
      <c r="T1317" s="295"/>
      <c r="U1317" s="295"/>
      <c r="V1317" s="295"/>
      <c r="W1317" s="295"/>
      <c r="X1317" s="295"/>
      <c r="Y1317" s="295"/>
      <c r="Z1317" s="295"/>
      <c r="AA1317" s="295"/>
      <c r="AB1317" s="295"/>
      <c r="AC1317" s="295"/>
      <c r="AD1317" s="295"/>
      <c r="AE1317" s="295"/>
      <c r="AF1317" s="295"/>
      <c r="AG1317" s="295"/>
      <c r="AH1317" s="295"/>
      <c r="AI1317" s="296"/>
      <c r="AJ1317" s="11" t="s">
        <v>158</v>
      </c>
    </row>
    <row r="1318" spans="1:36" ht="48" x14ac:dyDescent="0.2">
      <c r="A1318" s="7" t="s">
        <v>485</v>
      </c>
      <c r="B1318" s="8" t="s">
        <v>486</v>
      </c>
      <c r="C1318" s="7" t="s">
        <v>487</v>
      </c>
      <c r="D1318" s="294"/>
      <c r="E1318" s="295"/>
      <c r="F1318" s="295"/>
      <c r="G1318" s="295"/>
      <c r="H1318" s="295"/>
      <c r="I1318" s="295"/>
      <c r="J1318" s="295"/>
      <c r="K1318" s="295"/>
      <c r="L1318" s="295"/>
      <c r="M1318" s="295"/>
      <c r="N1318" s="295"/>
      <c r="O1318" s="295"/>
      <c r="P1318" s="295"/>
      <c r="Q1318" s="295"/>
      <c r="R1318" s="295"/>
      <c r="S1318" s="295"/>
      <c r="T1318" s="295"/>
      <c r="U1318" s="295"/>
      <c r="V1318" s="295"/>
      <c r="W1318" s="295"/>
      <c r="X1318" s="295"/>
      <c r="Y1318" s="295"/>
      <c r="Z1318" s="295"/>
      <c r="AA1318" s="295"/>
      <c r="AB1318" s="295"/>
      <c r="AC1318" s="295"/>
      <c r="AD1318" s="295"/>
      <c r="AE1318" s="295"/>
      <c r="AF1318" s="295"/>
      <c r="AG1318" s="295"/>
      <c r="AH1318" s="295"/>
      <c r="AI1318" s="296"/>
      <c r="AJ1318" s="11" t="s">
        <v>158</v>
      </c>
    </row>
    <row r="1319" spans="1:36" ht="36" x14ac:dyDescent="0.2">
      <c r="A1319" s="7" t="s">
        <v>488</v>
      </c>
      <c r="B1319" s="8" t="s">
        <v>489</v>
      </c>
      <c r="C1319" s="7" t="s">
        <v>490</v>
      </c>
      <c r="D1319" s="294"/>
      <c r="E1319" s="295"/>
      <c r="F1319" s="295"/>
      <c r="G1319" s="295"/>
      <c r="H1319" s="295"/>
      <c r="I1319" s="295"/>
      <c r="J1319" s="295"/>
      <c r="K1319" s="295"/>
      <c r="L1319" s="295"/>
      <c r="M1319" s="295"/>
      <c r="N1319" s="295"/>
      <c r="O1319" s="295"/>
      <c r="P1319" s="295"/>
      <c r="Q1319" s="295"/>
      <c r="R1319" s="295"/>
      <c r="S1319" s="295"/>
      <c r="T1319" s="295"/>
      <c r="U1319" s="295"/>
      <c r="V1319" s="295"/>
      <c r="W1319" s="295"/>
      <c r="X1319" s="295"/>
      <c r="Y1319" s="295"/>
      <c r="Z1319" s="295"/>
      <c r="AA1319" s="295"/>
      <c r="AB1319" s="295"/>
      <c r="AC1319" s="295"/>
      <c r="AD1319" s="295"/>
      <c r="AE1319" s="295"/>
      <c r="AF1319" s="295"/>
      <c r="AG1319" s="295"/>
      <c r="AH1319" s="295"/>
      <c r="AI1319" s="296"/>
      <c r="AJ1319" s="11" t="s">
        <v>158</v>
      </c>
    </row>
    <row r="1320" spans="1:36" ht="24" x14ac:dyDescent="0.2">
      <c r="A1320" s="7" t="s">
        <v>491</v>
      </c>
      <c r="B1320" s="8" t="s">
        <v>492</v>
      </c>
      <c r="C1320" s="7" t="s">
        <v>493</v>
      </c>
      <c r="D1320" s="294"/>
      <c r="E1320" s="295"/>
      <c r="F1320" s="295"/>
      <c r="G1320" s="295"/>
      <c r="H1320" s="295"/>
      <c r="I1320" s="295"/>
      <c r="J1320" s="295"/>
      <c r="K1320" s="295"/>
      <c r="L1320" s="295"/>
      <c r="M1320" s="295"/>
      <c r="N1320" s="295"/>
      <c r="O1320" s="295"/>
      <c r="P1320" s="295"/>
      <c r="Q1320" s="295"/>
      <c r="R1320" s="295"/>
      <c r="S1320" s="295"/>
      <c r="T1320" s="295"/>
      <c r="U1320" s="295"/>
      <c r="V1320" s="295"/>
      <c r="W1320" s="295"/>
      <c r="X1320" s="295"/>
      <c r="Y1320" s="295"/>
      <c r="Z1320" s="295"/>
      <c r="AA1320" s="295"/>
      <c r="AB1320" s="295"/>
      <c r="AC1320" s="295"/>
      <c r="AD1320" s="295"/>
      <c r="AE1320" s="295"/>
      <c r="AF1320" s="295"/>
      <c r="AG1320" s="295"/>
      <c r="AH1320" s="295"/>
      <c r="AI1320" s="296"/>
      <c r="AJ1320" s="11" t="s">
        <v>158</v>
      </c>
    </row>
    <row r="1321" spans="1:36" ht="24" x14ac:dyDescent="0.2">
      <c r="A1321" s="7" t="s">
        <v>494</v>
      </c>
      <c r="B1321" s="8" t="s">
        <v>495</v>
      </c>
      <c r="C1321" s="7" t="s">
        <v>496</v>
      </c>
      <c r="D1321" s="294"/>
      <c r="E1321" s="295"/>
      <c r="F1321" s="295"/>
      <c r="G1321" s="295"/>
      <c r="H1321" s="295"/>
      <c r="I1321" s="295"/>
      <c r="J1321" s="295"/>
      <c r="K1321" s="295"/>
      <c r="L1321" s="295"/>
      <c r="M1321" s="295"/>
      <c r="N1321" s="295"/>
      <c r="O1321" s="295"/>
      <c r="P1321" s="295"/>
      <c r="Q1321" s="295"/>
      <c r="R1321" s="295"/>
      <c r="S1321" s="295"/>
      <c r="T1321" s="295"/>
      <c r="U1321" s="295"/>
      <c r="V1321" s="295"/>
      <c r="W1321" s="295"/>
      <c r="X1321" s="295"/>
      <c r="Y1321" s="295"/>
      <c r="Z1321" s="295"/>
      <c r="AA1321" s="295"/>
      <c r="AB1321" s="295"/>
      <c r="AC1321" s="295"/>
      <c r="AD1321" s="295"/>
      <c r="AE1321" s="295"/>
      <c r="AF1321" s="295"/>
      <c r="AG1321" s="295"/>
      <c r="AH1321" s="295"/>
      <c r="AI1321" s="296"/>
      <c r="AJ1321" s="11" t="s">
        <v>158</v>
      </c>
    </row>
    <row r="1322" spans="1:36" ht="36" x14ac:dyDescent="0.2">
      <c r="A1322" s="7" t="s">
        <v>497</v>
      </c>
      <c r="B1322" s="8" t="s">
        <v>498</v>
      </c>
      <c r="C1322" s="7" t="s">
        <v>499</v>
      </c>
      <c r="D1322" s="294"/>
      <c r="E1322" s="295"/>
      <c r="F1322" s="295"/>
      <c r="G1322" s="295"/>
      <c r="H1322" s="295"/>
      <c r="I1322" s="295"/>
      <c r="J1322" s="295"/>
      <c r="K1322" s="295"/>
      <c r="L1322" s="295"/>
      <c r="M1322" s="295"/>
      <c r="N1322" s="295"/>
      <c r="O1322" s="295"/>
      <c r="P1322" s="295"/>
      <c r="Q1322" s="295"/>
      <c r="R1322" s="295"/>
      <c r="S1322" s="295"/>
      <c r="T1322" s="295"/>
      <c r="U1322" s="295"/>
      <c r="V1322" s="295"/>
      <c r="W1322" s="295"/>
      <c r="X1322" s="295"/>
      <c r="Y1322" s="295"/>
      <c r="Z1322" s="295"/>
      <c r="AA1322" s="295"/>
      <c r="AB1322" s="295"/>
      <c r="AC1322" s="295"/>
      <c r="AD1322" s="295"/>
      <c r="AE1322" s="295"/>
      <c r="AF1322" s="295"/>
      <c r="AG1322" s="295"/>
      <c r="AH1322" s="295"/>
      <c r="AI1322" s="296"/>
      <c r="AJ1322" s="11" t="s">
        <v>158</v>
      </c>
    </row>
    <row r="1323" spans="1:36" ht="36" x14ac:dyDescent="0.2">
      <c r="A1323" s="7" t="s">
        <v>500</v>
      </c>
      <c r="B1323" s="8" t="s">
        <v>501</v>
      </c>
      <c r="C1323" s="7" t="s">
        <v>502</v>
      </c>
      <c r="D1323" s="294"/>
      <c r="E1323" s="295"/>
      <c r="F1323" s="295"/>
      <c r="G1323" s="295"/>
      <c r="H1323" s="295"/>
      <c r="I1323" s="295"/>
      <c r="J1323" s="295"/>
      <c r="K1323" s="295"/>
      <c r="L1323" s="295"/>
      <c r="M1323" s="295"/>
      <c r="N1323" s="295"/>
      <c r="O1323" s="295"/>
      <c r="P1323" s="295"/>
      <c r="Q1323" s="295"/>
      <c r="R1323" s="295"/>
      <c r="S1323" s="295"/>
      <c r="T1323" s="295"/>
      <c r="U1323" s="295"/>
      <c r="V1323" s="295"/>
      <c r="W1323" s="295"/>
      <c r="X1323" s="295"/>
      <c r="Y1323" s="295"/>
      <c r="Z1323" s="295"/>
      <c r="AA1323" s="295"/>
      <c r="AB1323" s="295"/>
      <c r="AC1323" s="295"/>
      <c r="AD1323" s="295"/>
      <c r="AE1323" s="295"/>
      <c r="AF1323" s="295"/>
      <c r="AG1323" s="295"/>
      <c r="AH1323" s="295"/>
      <c r="AI1323" s="296"/>
      <c r="AJ1323" s="11" t="s">
        <v>158</v>
      </c>
    </row>
    <row r="1324" spans="1:36" ht="36" x14ac:dyDescent="0.2">
      <c r="A1324" s="7" t="s">
        <v>503</v>
      </c>
      <c r="B1324" s="8" t="s">
        <v>504</v>
      </c>
      <c r="C1324" s="7" t="s">
        <v>505</v>
      </c>
      <c r="D1324" s="294"/>
      <c r="E1324" s="295"/>
      <c r="F1324" s="295"/>
      <c r="G1324" s="295"/>
      <c r="H1324" s="295"/>
      <c r="I1324" s="295"/>
      <c r="J1324" s="295"/>
      <c r="K1324" s="295"/>
      <c r="L1324" s="295"/>
      <c r="M1324" s="295"/>
      <c r="N1324" s="295"/>
      <c r="O1324" s="295"/>
      <c r="P1324" s="295"/>
      <c r="Q1324" s="295"/>
      <c r="R1324" s="295"/>
      <c r="S1324" s="295"/>
      <c r="T1324" s="295"/>
      <c r="U1324" s="295"/>
      <c r="V1324" s="295"/>
      <c r="W1324" s="295"/>
      <c r="X1324" s="295"/>
      <c r="Y1324" s="295"/>
      <c r="Z1324" s="295"/>
      <c r="AA1324" s="295"/>
      <c r="AB1324" s="295"/>
      <c r="AC1324" s="295"/>
      <c r="AD1324" s="295"/>
      <c r="AE1324" s="295"/>
      <c r="AF1324" s="295"/>
      <c r="AG1324" s="295"/>
      <c r="AH1324" s="295"/>
      <c r="AI1324" s="296"/>
      <c r="AJ1324" s="11" t="s">
        <v>158</v>
      </c>
    </row>
    <row r="1325" spans="1:36" ht="36" x14ac:dyDescent="0.2">
      <c r="A1325" s="7" t="s">
        <v>506</v>
      </c>
      <c r="B1325" s="8" t="s">
        <v>507</v>
      </c>
      <c r="C1325" s="7" t="s">
        <v>508</v>
      </c>
      <c r="D1325" s="294"/>
      <c r="E1325" s="295"/>
      <c r="F1325" s="295"/>
      <c r="G1325" s="295"/>
      <c r="H1325" s="295"/>
      <c r="I1325" s="295"/>
      <c r="J1325" s="295"/>
      <c r="K1325" s="295"/>
      <c r="L1325" s="295"/>
      <c r="M1325" s="295"/>
      <c r="N1325" s="295"/>
      <c r="O1325" s="295"/>
      <c r="P1325" s="295"/>
      <c r="Q1325" s="295"/>
      <c r="R1325" s="295"/>
      <c r="S1325" s="295"/>
      <c r="T1325" s="295"/>
      <c r="U1325" s="295"/>
      <c r="V1325" s="295"/>
      <c r="W1325" s="295"/>
      <c r="X1325" s="295"/>
      <c r="Y1325" s="295"/>
      <c r="Z1325" s="295"/>
      <c r="AA1325" s="295"/>
      <c r="AB1325" s="295"/>
      <c r="AC1325" s="295"/>
      <c r="AD1325" s="295"/>
      <c r="AE1325" s="295"/>
      <c r="AF1325" s="295"/>
      <c r="AG1325" s="295"/>
      <c r="AH1325" s="295"/>
      <c r="AI1325" s="296"/>
      <c r="AJ1325" s="11" t="s">
        <v>158</v>
      </c>
    </row>
    <row r="1326" spans="1:36" ht="24" x14ac:dyDescent="0.2">
      <c r="A1326" s="7" t="s">
        <v>509</v>
      </c>
      <c r="B1326" s="8" t="s">
        <v>510</v>
      </c>
      <c r="C1326" s="7" t="s">
        <v>511</v>
      </c>
      <c r="D1326" s="294"/>
      <c r="E1326" s="295"/>
      <c r="F1326" s="295"/>
      <c r="G1326" s="295"/>
      <c r="H1326" s="295"/>
      <c r="I1326" s="295"/>
      <c r="J1326" s="295"/>
      <c r="K1326" s="295"/>
      <c r="L1326" s="295"/>
      <c r="M1326" s="295"/>
      <c r="N1326" s="295"/>
      <c r="O1326" s="295"/>
      <c r="P1326" s="295"/>
      <c r="Q1326" s="295"/>
      <c r="R1326" s="295"/>
      <c r="S1326" s="295"/>
      <c r="T1326" s="295"/>
      <c r="U1326" s="295"/>
      <c r="V1326" s="295"/>
      <c r="W1326" s="295"/>
      <c r="X1326" s="295"/>
      <c r="Y1326" s="295"/>
      <c r="Z1326" s="295"/>
      <c r="AA1326" s="295"/>
      <c r="AB1326" s="295"/>
      <c r="AC1326" s="295"/>
      <c r="AD1326" s="295"/>
      <c r="AE1326" s="295"/>
      <c r="AF1326" s="295"/>
      <c r="AG1326" s="295"/>
      <c r="AH1326" s="295"/>
      <c r="AI1326" s="296"/>
      <c r="AJ1326" s="11" t="s">
        <v>158</v>
      </c>
    </row>
    <row r="1327" spans="1:36" ht="48" x14ac:dyDescent="0.2">
      <c r="A1327" s="7" t="s">
        <v>512</v>
      </c>
      <c r="B1327" s="8" t="s">
        <v>513</v>
      </c>
      <c r="C1327" s="7" t="s">
        <v>514</v>
      </c>
      <c r="D1327" s="294"/>
      <c r="E1327" s="295"/>
      <c r="F1327" s="295"/>
      <c r="G1327" s="295"/>
      <c r="H1327" s="295"/>
      <c r="I1327" s="295"/>
      <c r="J1327" s="295"/>
      <c r="K1327" s="295"/>
      <c r="L1327" s="295"/>
      <c r="M1327" s="295"/>
      <c r="N1327" s="295"/>
      <c r="O1327" s="295"/>
      <c r="P1327" s="295"/>
      <c r="Q1327" s="295"/>
      <c r="R1327" s="295"/>
      <c r="S1327" s="295"/>
      <c r="T1327" s="295"/>
      <c r="U1327" s="295"/>
      <c r="V1327" s="295"/>
      <c r="W1327" s="295"/>
      <c r="X1327" s="295"/>
      <c r="Y1327" s="295"/>
      <c r="Z1327" s="295"/>
      <c r="AA1327" s="295"/>
      <c r="AB1327" s="295"/>
      <c r="AC1327" s="295"/>
      <c r="AD1327" s="295"/>
      <c r="AE1327" s="295"/>
      <c r="AF1327" s="295"/>
      <c r="AG1327" s="295"/>
      <c r="AH1327" s="295"/>
      <c r="AI1327" s="296"/>
      <c r="AJ1327" s="11" t="s">
        <v>158</v>
      </c>
    </row>
    <row r="1328" spans="1:36" ht="48" x14ac:dyDescent="0.2">
      <c r="A1328" s="7" t="s">
        <v>515</v>
      </c>
      <c r="B1328" s="8" t="s">
        <v>516</v>
      </c>
      <c r="C1328" s="7" t="s">
        <v>517</v>
      </c>
      <c r="D1328" s="294"/>
      <c r="E1328" s="295"/>
      <c r="F1328" s="295"/>
      <c r="G1328" s="295"/>
      <c r="H1328" s="295"/>
      <c r="I1328" s="295"/>
      <c r="J1328" s="295"/>
      <c r="K1328" s="295"/>
      <c r="L1328" s="295"/>
      <c r="M1328" s="295"/>
      <c r="N1328" s="295"/>
      <c r="O1328" s="295"/>
      <c r="P1328" s="295"/>
      <c r="Q1328" s="295"/>
      <c r="R1328" s="295"/>
      <c r="S1328" s="295"/>
      <c r="T1328" s="295"/>
      <c r="U1328" s="295"/>
      <c r="V1328" s="295"/>
      <c r="W1328" s="295"/>
      <c r="X1328" s="295"/>
      <c r="Y1328" s="295"/>
      <c r="Z1328" s="295"/>
      <c r="AA1328" s="295"/>
      <c r="AB1328" s="295"/>
      <c r="AC1328" s="295"/>
      <c r="AD1328" s="295"/>
      <c r="AE1328" s="295"/>
      <c r="AF1328" s="295"/>
      <c r="AG1328" s="295"/>
      <c r="AH1328" s="295"/>
      <c r="AI1328" s="296"/>
      <c r="AJ1328" s="11" t="s">
        <v>158</v>
      </c>
    </row>
    <row r="1329" spans="1:36" ht="36" x14ac:dyDescent="0.2">
      <c r="A1329" s="7" t="s">
        <v>518</v>
      </c>
      <c r="B1329" s="8" t="s">
        <v>519</v>
      </c>
      <c r="C1329" s="7" t="s">
        <v>520</v>
      </c>
      <c r="D1329" s="294"/>
      <c r="E1329" s="295"/>
      <c r="F1329" s="295"/>
      <c r="G1329" s="295"/>
      <c r="H1329" s="295"/>
      <c r="I1329" s="295"/>
      <c r="J1329" s="295"/>
      <c r="K1329" s="295"/>
      <c r="L1329" s="295"/>
      <c r="M1329" s="295"/>
      <c r="N1329" s="295"/>
      <c r="O1329" s="295"/>
      <c r="P1329" s="295"/>
      <c r="Q1329" s="295"/>
      <c r="R1329" s="295"/>
      <c r="S1329" s="295"/>
      <c r="T1329" s="295"/>
      <c r="U1329" s="295"/>
      <c r="V1329" s="295"/>
      <c r="W1329" s="295"/>
      <c r="X1329" s="295"/>
      <c r="Y1329" s="295"/>
      <c r="Z1329" s="295"/>
      <c r="AA1329" s="295"/>
      <c r="AB1329" s="295"/>
      <c r="AC1329" s="295"/>
      <c r="AD1329" s="295"/>
      <c r="AE1329" s="295"/>
      <c r="AF1329" s="295"/>
      <c r="AG1329" s="295"/>
      <c r="AH1329" s="295"/>
      <c r="AI1329" s="296"/>
      <c r="AJ1329" s="11" t="s">
        <v>158</v>
      </c>
    </row>
    <row r="1330" spans="1:36" ht="60" x14ac:dyDescent="0.2">
      <c r="A1330" s="7" t="s">
        <v>521</v>
      </c>
      <c r="B1330" s="8" t="s">
        <v>522</v>
      </c>
      <c r="C1330" s="7" t="s">
        <v>523</v>
      </c>
      <c r="D1330" s="294"/>
      <c r="E1330" s="295"/>
      <c r="F1330" s="295"/>
      <c r="G1330" s="295"/>
      <c r="H1330" s="295"/>
      <c r="I1330" s="295"/>
      <c r="J1330" s="295"/>
      <c r="K1330" s="295"/>
      <c r="L1330" s="295"/>
      <c r="M1330" s="295"/>
      <c r="N1330" s="295"/>
      <c r="O1330" s="295"/>
      <c r="P1330" s="295"/>
      <c r="Q1330" s="295"/>
      <c r="R1330" s="295"/>
      <c r="S1330" s="295"/>
      <c r="T1330" s="295"/>
      <c r="U1330" s="295"/>
      <c r="V1330" s="295"/>
      <c r="W1330" s="295"/>
      <c r="X1330" s="295"/>
      <c r="Y1330" s="295"/>
      <c r="Z1330" s="295"/>
      <c r="AA1330" s="295"/>
      <c r="AB1330" s="295"/>
      <c r="AC1330" s="295"/>
      <c r="AD1330" s="295"/>
      <c r="AE1330" s="295"/>
      <c r="AF1330" s="295"/>
      <c r="AG1330" s="295"/>
      <c r="AH1330" s="295"/>
      <c r="AI1330" s="296"/>
      <c r="AJ1330" s="11" t="s">
        <v>158</v>
      </c>
    </row>
    <row r="1331" spans="1:36" ht="60" x14ac:dyDescent="0.2">
      <c r="A1331" s="7" t="s">
        <v>524</v>
      </c>
      <c r="B1331" s="8" t="s">
        <v>525</v>
      </c>
      <c r="C1331" s="7" t="s">
        <v>526</v>
      </c>
      <c r="D1331" s="294"/>
      <c r="E1331" s="295"/>
      <c r="F1331" s="295"/>
      <c r="G1331" s="295"/>
      <c r="H1331" s="295"/>
      <c r="I1331" s="295"/>
      <c r="J1331" s="295"/>
      <c r="K1331" s="295"/>
      <c r="L1331" s="295"/>
      <c r="M1331" s="295"/>
      <c r="N1331" s="295"/>
      <c r="O1331" s="295"/>
      <c r="P1331" s="295"/>
      <c r="Q1331" s="295"/>
      <c r="R1331" s="295"/>
      <c r="S1331" s="295"/>
      <c r="T1331" s="295"/>
      <c r="U1331" s="295"/>
      <c r="V1331" s="295"/>
      <c r="W1331" s="295"/>
      <c r="X1331" s="295"/>
      <c r="Y1331" s="295"/>
      <c r="Z1331" s="295"/>
      <c r="AA1331" s="295"/>
      <c r="AB1331" s="295"/>
      <c r="AC1331" s="295"/>
      <c r="AD1331" s="295"/>
      <c r="AE1331" s="295"/>
      <c r="AF1331" s="295"/>
      <c r="AG1331" s="295"/>
      <c r="AH1331" s="295"/>
      <c r="AI1331" s="296"/>
      <c r="AJ1331" s="11" t="s">
        <v>158</v>
      </c>
    </row>
    <row r="1332" spans="1:36" ht="24" x14ac:dyDescent="0.2">
      <c r="A1332" s="7" t="s">
        <v>527</v>
      </c>
      <c r="B1332" s="8" t="s">
        <v>528</v>
      </c>
      <c r="C1332" s="7" t="s">
        <v>529</v>
      </c>
      <c r="D1332" s="294"/>
      <c r="E1332" s="295"/>
      <c r="F1332" s="295"/>
      <c r="G1332" s="295"/>
      <c r="H1332" s="295"/>
      <c r="I1332" s="295"/>
      <c r="J1332" s="295"/>
      <c r="K1332" s="295"/>
      <c r="L1332" s="295"/>
      <c r="M1332" s="295"/>
      <c r="N1332" s="295"/>
      <c r="O1332" s="295"/>
      <c r="P1332" s="295"/>
      <c r="Q1332" s="295"/>
      <c r="R1332" s="295"/>
      <c r="S1332" s="295"/>
      <c r="T1332" s="295"/>
      <c r="U1332" s="295"/>
      <c r="V1332" s="295"/>
      <c r="W1332" s="295"/>
      <c r="X1332" s="295"/>
      <c r="Y1332" s="295"/>
      <c r="Z1332" s="295"/>
      <c r="AA1332" s="295"/>
      <c r="AB1332" s="295"/>
      <c r="AC1332" s="295"/>
      <c r="AD1332" s="295"/>
      <c r="AE1332" s="295"/>
      <c r="AF1332" s="295"/>
      <c r="AG1332" s="295"/>
      <c r="AH1332" s="295"/>
      <c r="AI1332" s="296"/>
      <c r="AJ1332" s="11" t="s">
        <v>158</v>
      </c>
    </row>
    <row r="1333" spans="1:36" ht="24" x14ac:dyDescent="0.2">
      <c r="A1333" s="7" t="s">
        <v>530</v>
      </c>
      <c r="B1333" s="8" t="s">
        <v>531</v>
      </c>
      <c r="C1333" s="7" t="s">
        <v>532</v>
      </c>
      <c r="D1333" s="294"/>
      <c r="E1333" s="295"/>
      <c r="F1333" s="295"/>
      <c r="G1333" s="295"/>
      <c r="H1333" s="295"/>
      <c r="I1333" s="295"/>
      <c r="J1333" s="295"/>
      <c r="K1333" s="295"/>
      <c r="L1333" s="295"/>
      <c r="M1333" s="295"/>
      <c r="N1333" s="295"/>
      <c r="O1333" s="295"/>
      <c r="P1333" s="295"/>
      <c r="Q1333" s="295"/>
      <c r="R1333" s="295"/>
      <c r="S1333" s="295"/>
      <c r="T1333" s="295"/>
      <c r="U1333" s="295"/>
      <c r="V1333" s="295"/>
      <c r="W1333" s="295"/>
      <c r="X1333" s="295"/>
      <c r="Y1333" s="295"/>
      <c r="Z1333" s="295"/>
      <c r="AA1333" s="295"/>
      <c r="AB1333" s="295"/>
      <c r="AC1333" s="295"/>
      <c r="AD1333" s="295"/>
      <c r="AE1333" s="295"/>
      <c r="AF1333" s="295"/>
      <c r="AG1333" s="295"/>
      <c r="AH1333" s="295"/>
      <c r="AI1333" s="296"/>
      <c r="AJ1333" s="11" t="s">
        <v>158</v>
      </c>
    </row>
    <row r="1334" spans="1:36" ht="24" x14ac:dyDescent="0.2">
      <c r="A1334" s="7" t="s">
        <v>533</v>
      </c>
      <c r="B1334" s="8" t="s">
        <v>534</v>
      </c>
      <c r="C1334" s="7" t="s">
        <v>535</v>
      </c>
      <c r="D1334" s="294"/>
      <c r="E1334" s="295"/>
      <c r="F1334" s="295"/>
      <c r="G1334" s="295"/>
      <c r="H1334" s="295"/>
      <c r="I1334" s="295"/>
      <c r="J1334" s="295"/>
      <c r="K1334" s="295"/>
      <c r="L1334" s="295"/>
      <c r="M1334" s="295"/>
      <c r="N1334" s="295"/>
      <c r="O1334" s="295"/>
      <c r="P1334" s="295"/>
      <c r="Q1334" s="295"/>
      <c r="R1334" s="295"/>
      <c r="S1334" s="295"/>
      <c r="T1334" s="295"/>
      <c r="U1334" s="295"/>
      <c r="V1334" s="295"/>
      <c r="W1334" s="295"/>
      <c r="X1334" s="295"/>
      <c r="Y1334" s="295"/>
      <c r="Z1334" s="295"/>
      <c r="AA1334" s="295"/>
      <c r="AB1334" s="295"/>
      <c r="AC1334" s="295"/>
      <c r="AD1334" s="295"/>
      <c r="AE1334" s="295"/>
      <c r="AF1334" s="295"/>
      <c r="AG1334" s="295"/>
      <c r="AH1334" s="295"/>
      <c r="AI1334" s="296"/>
      <c r="AJ1334" s="11" t="s">
        <v>158</v>
      </c>
    </row>
    <row r="1335" spans="1:36" ht="36" x14ac:dyDescent="0.2">
      <c r="A1335" s="7" t="s">
        <v>536</v>
      </c>
      <c r="B1335" s="8" t="s">
        <v>537</v>
      </c>
      <c r="C1335" s="7" t="s">
        <v>538</v>
      </c>
      <c r="D1335" s="294"/>
      <c r="E1335" s="295"/>
      <c r="F1335" s="295"/>
      <c r="G1335" s="295"/>
      <c r="H1335" s="295"/>
      <c r="I1335" s="295"/>
      <c r="J1335" s="295"/>
      <c r="K1335" s="295"/>
      <c r="L1335" s="295"/>
      <c r="M1335" s="295"/>
      <c r="N1335" s="295"/>
      <c r="O1335" s="295"/>
      <c r="P1335" s="295"/>
      <c r="Q1335" s="295"/>
      <c r="R1335" s="295"/>
      <c r="S1335" s="295"/>
      <c r="T1335" s="295"/>
      <c r="U1335" s="295"/>
      <c r="V1335" s="295"/>
      <c r="W1335" s="295"/>
      <c r="X1335" s="295"/>
      <c r="Y1335" s="295"/>
      <c r="Z1335" s="295"/>
      <c r="AA1335" s="295"/>
      <c r="AB1335" s="295"/>
      <c r="AC1335" s="295"/>
      <c r="AD1335" s="295"/>
      <c r="AE1335" s="295"/>
      <c r="AF1335" s="295"/>
      <c r="AG1335" s="295"/>
      <c r="AH1335" s="295"/>
      <c r="AI1335" s="296"/>
      <c r="AJ1335" s="11" t="s">
        <v>158</v>
      </c>
    </row>
    <row r="1336" spans="1:36" ht="24" x14ac:dyDescent="0.2">
      <c r="A1336" s="7" t="s">
        <v>539</v>
      </c>
      <c r="B1336" s="8" t="s">
        <v>528</v>
      </c>
      <c r="C1336" s="7" t="s">
        <v>529</v>
      </c>
      <c r="D1336" s="294"/>
      <c r="E1336" s="295"/>
      <c r="F1336" s="295"/>
      <c r="G1336" s="295"/>
      <c r="H1336" s="295"/>
      <c r="I1336" s="295"/>
      <c r="J1336" s="295"/>
      <c r="K1336" s="295"/>
      <c r="L1336" s="295"/>
      <c r="M1336" s="295"/>
      <c r="N1336" s="295"/>
      <c r="O1336" s="295"/>
      <c r="P1336" s="295"/>
      <c r="Q1336" s="295"/>
      <c r="R1336" s="295"/>
      <c r="S1336" s="295"/>
      <c r="T1336" s="295"/>
      <c r="U1336" s="295"/>
      <c r="V1336" s="295"/>
      <c r="W1336" s="295"/>
      <c r="X1336" s="295"/>
      <c r="Y1336" s="295"/>
      <c r="Z1336" s="295"/>
      <c r="AA1336" s="295"/>
      <c r="AB1336" s="295"/>
      <c r="AC1336" s="295"/>
      <c r="AD1336" s="295"/>
      <c r="AE1336" s="295"/>
      <c r="AF1336" s="295"/>
      <c r="AG1336" s="295"/>
      <c r="AH1336" s="295"/>
      <c r="AI1336" s="296"/>
      <c r="AJ1336" s="11" t="s">
        <v>158</v>
      </c>
    </row>
    <row r="1337" spans="1:36" ht="36" x14ac:dyDescent="0.2">
      <c r="A1337" s="7" t="s">
        <v>540</v>
      </c>
      <c r="B1337" s="8" t="s">
        <v>541</v>
      </c>
      <c r="C1337" s="7" t="s">
        <v>542</v>
      </c>
      <c r="D1337" s="294"/>
      <c r="E1337" s="295"/>
      <c r="F1337" s="295"/>
      <c r="G1337" s="295"/>
      <c r="H1337" s="295"/>
      <c r="I1337" s="295"/>
      <c r="J1337" s="295"/>
      <c r="K1337" s="295"/>
      <c r="L1337" s="295"/>
      <c r="M1337" s="295"/>
      <c r="N1337" s="295"/>
      <c r="O1337" s="295"/>
      <c r="P1337" s="295"/>
      <c r="Q1337" s="295"/>
      <c r="R1337" s="295"/>
      <c r="S1337" s="295"/>
      <c r="T1337" s="295"/>
      <c r="U1337" s="295"/>
      <c r="V1337" s="295"/>
      <c r="W1337" s="295"/>
      <c r="X1337" s="295"/>
      <c r="Y1337" s="295"/>
      <c r="Z1337" s="295"/>
      <c r="AA1337" s="295"/>
      <c r="AB1337" s="295"/>
      <c r="AC1337" s="295"/>
      <c r="AD1337" s="295"/>
      <c r="AE1337" s="295"/>
      <c r="AF1337" s="295"/>
      <c r="AG1337" s="295"/>
      <c r="AH1337" s="295"/>
      <c r="AI1337" s="296"/>
      <c r="AJ1337" s="11" t="s">
        <v>158</v>
      </c>
    </row>
    <row r="1338" spans="1:36" ht="36" x14ac:dyDescent="0.2">
      <c r="A1338" s="7" t="s">
        <v>543</v>
      </c>
      <c r="B1338" s="8" t="s">
        <v>544</v>
      </c>
      <c r="C1338" s="7" t="s">
        <v>545</v>
      </c>
      <c r="D1338" s="294"/>
      <c r="E1338" s="295"/>
      <c r="F1338" s="295"/>
      <c r="G1338" s="295"/>
      <c r="H1338" s="295"/>
      <c r="I1338" s="295"/>
      <c r="J1338" s="295"/>
      <c r="K1338" s="295"/>
      <c r="L1338" s="295"/>
      <c r="M1338" s="295"/>
      <c r="N1338" s="295"/>
      <c r="O1338" s="295"/>
      <c r="P1338" s="295"/>
      <c r="Q1338" s="295"/>
      <c r="R1338" s="295"/>
      <c r="S1338" s="295"/>
      <c r="T1338" s="295"/>
      <c r="U1338" s="295"/>
      <c r="V1338" s="295"/>
      <c r="W1338" s="295"/>
      <c r="X1338" s="295"/>
      <c r="Y1338" s="295"/>
      <c r="Z1338" s="295"/>
      <c r="AA1338" s="295"/>
      <c r="AB1338" s="295"/>
      <c r="AC1338" s="295"/>
      <c r="AD1338" s="295"/>
      <c r="AE1338" s="295"/>
      <c r="AF1338" s="295"/>
      <c r="AG1338" s="295"/>
      <c r="AH1338" s="295"/>
      <c r="AI1338" s="296"/>
      <c r="AJ1338" s="11" t="s">
        <v>158</v>
      </c>
    </row>
    <row r="1339" spans="1:36" ht="36" x14ac:dyDescent="0.2">
      <c r="A1339" s="7" t="s">
        <v>546</v>
      </c>
      <c r="B1339" s="8" t="s">
        <v>547</v>
      </c>
      <c r="C1339" s="7" t="s">
        <v>548</v>
      </c>
      <c r="D1339" s="294"/>
      <c r="E1339" s="295"/>
      <c r="F1339" s="295"/>
      <c r="G1339" s="295"/>
      <c r="H1339" s="295"/>
      <c r="I1339" s="295"/>
      <c r="J1339" s="295"/>
      <c r="K1339" s="295"/>
      <c r="L1339" s="295"/>
      <c r="M1339" s="295"/>
      <c r="N1339" s="295"/>
      <c r="O1339" s="295"/>
      <c r="P1339" s="295"/>
      <c r="Q1339" s="295"/>
      <c r="R1339" s="295"/>
      <c r="S1339" s="295"/>
      <c r="T1339" s="295"/>
      <c r="U1339" s="295"/>
      <c r="V1339" s="295"/>
      <c r="W1339" s="295"/>
      <c r="X1339" s="295"/>
      <c r="Y1339" s="295"/>
      <c r="Z1339" s="295"/>
      <c r="AA1339" s="295"/>
      <c r="AB1339" s="295"/>
      <c r="AC1339" s="295"/>
      <c r="AD1339" s="295"/>
      <c r="AE1339" s="295"/>
      <c r="AF1339" s="295"/>
      <c r="AG1339" s="295"/>
      <c r="AH1339" s="295"/>
      <c r="AI1339" s="296"/>
      <c r="AJ1339" s="11" t="s">
        <v>158</v>
      </c>
    </row>
    <row r="1340" spans="1:36" x14ac:dyDescent="0.2">
      <c r="A1340" s="48" t="s">
        <v>549</v>
      </c>
      <c r="B1340" s="269" t="s">
        <v>550</v>
      </c>
      <c r="C1340" s="269"/>
      <c r="D1340" s="269"/>
      <c r="E1340" s="269"/>
      <c r="F1340" s="269"/>
      <c r="G1340" s="269"/>
      <c r="H1340" s="269"/>
      <c r="I1340" s="269"/>
      <c r="J1340" s="269"/>
      <c r="K1340" s="269"/>
      <c r="L1340" s="269"/>
      <c r="M1340" s="269"/>
      <c r="N1340" s="269"/>
      <c r="O1340" s="269"/>
      <c r="P1340" s="269"/>
      <c r="Q1340" s="269"/>
      <c r="R1340" s="269"/>
      <c r="S1340" s="269"/>
      <c r="T1340" s="269"/>
      <c r="U1340" s="269"/>
      <c r="V1340" s="269"/>
      <c r="W1340" s="269"/>
      <c r="X1340" s="269"/>
      <c r="Y1340" s="269"/>
      <c r="Z1340" s="269"/>
      <c r="AA1340" s="269"/>
      <c r="AB1340" s="269"/>
      <c r="AC1340" s="269"/>
      <c r="AD1340" s="269"/>
      <c r="AE1340" s="269"/>
      <c r="AF1340" s="269"/>
      <c r="AG1340" s="269"/>
      <c r="AH1340" s="269"/>
      <c r="AI1340" s="269"/>
      <c r="AJ1340" s="269"/>
    </row>
    <row r="1341" spans="1:36" ht="36" x14ac:dyDescent="0.2">
      <c r="A1341" s="7" t="s">
        <v>551</v>
      </c>
      <c r="B1341" s="8" t="s">
        <v>552</v>
      </c>
      <c r="C1341" s="7" t="s">
        <v>553</v>
      </c>
      <c r="D1341" s="294"/>
      <c r="E1341" s="295"/>
      <c r="F1341" s="295"/>
      <c r="G1341" s="295"/>
      <c r="H1341" s="295"/>
      <c r="I1341" s="295"/>
      <c r="J1341" s="295"/>
      <c r="K1341" s="295"/>
      <c r="L1341" s="295"/>
      <c r="M1341" s="295"/>
      <c r="N1341" s="295"/>
      <c r="O1341" s="295"/>
      <c r="P1341" s="295"/>
      <c r="Q1341" s="295"/>
      <c r="R1341" s="295"/>
      <c r="S1341" s="295"/>
      <c r="T1341" s="295"/>
      <c r="U1341" s="295"/>
      <c r="V1341" s="295"/>
      <c r="W1341" s="295"/>
      <c r="X1341" s="295"/>
      <c r="Y1341" s="295"/>
      <c r="Z1341" s="295"/>
      <c r="AA1341" s="295"/>
      <c r="AB1341" s="295"/>
      <c r="AC1341" s="295"/>
      <c r="AD1341" s="295"/>
      <c r="AE1341" s="295"/>
      <c r="AF1341" s="295"/>
      <c r="AG1341" s="295"/>
      <c r="AH1341" s="295"/>
      <c r="AI1341" s="296"/>
      <c r="AJ1341" s="11" t="s">
        <v>23</v>
      </c>
    </row>
    <row r="1342" spans="1:36" ht="36" x14ac:dyDescent="0.2">
      <c r="A1342" s="7" t="s">
        <v>554</v>
      </c>
      <c r="B1342" s="8" t="s">
        <v>555</v>
      </c>
      <c r="C1342" s="7" t="s">
        <v>556</v>
      </c>
      <c r="D1342" s="294"/>
      <c r="E1342" s="295"/>
      <c r="F1342" s="295"/>
      <c r="G1342" s="295"/>
      <c r="H1342" s="295"/>
      <c r="I1342" s="295"/>
      <c r="J1342" s="295"/>
      <c r="K1342" s="295"/>
      <c r="L1342" s="295"/>
      <c r="M1342" s="295"/>
      <c r="N1342" s="295"/>
      <c r="O1342" s="295"/>
      <c r="P1342" s="295"/>
      <c r="Q1342" s="295"/>
      <c r="R1342" s="295"/>
      <c r="S1342" s="295"/>
      <c r="T1342" s="295"/>
      <c r="U1342" s="295"/>
      <c r="V1342" s="295"/>
      <c r="W1342" s="295"/>
      <c r="X1342" s="295"/>
      <c r="Y1342" s="295"/>
      <c r="Z1342" s="295"/>
      <c r="AA1342" s="295"/>
      <c r="AB1342" s="295"/>
      <c r="AC1342" s="295"/>
      <c r="AD1342" s="295"/>
      <c r="AE1342" s="295"/>
      <c r="AF1342" s="295"/>
      <c r="AG1342" s="295"/>
      <c r="AH1342" s="295"/>
      <c r="AI1342" s="296"/>
      <c r="AJ1342" s="11" t="s">
        <v>23</v>
      </c>
    </row>
    <row r="1343" spans="1:36" ht="36" x14ac:dyDescent="0.2">
      <c r="A1343" s="7" t="s">
        <v>557</v>
      </c>
      <c r="B1343" s="8" t="s">
        <v>558</v>
      </c>
      <c r="C1343" s="7" t="s">
        <v>559</v>
      </c>
      <c r="D1343" s="294"/>
      <c r="E1343" s="295"/>
      <c r="F1343" s="295"/>
      <c r="G1343" s="295"/>
      <c r="H1343" s="295"/>
      <c r="I1343" s="295"/>
      <c r="J1343" s="295"/>
      <c r="K1343" s="295"/>
      <c r="L1343" s="295"/>
      <c r="M1343" s="295"/>
      <c r="N1343" s="295"/>
      <c r="O1343" s="295"/>
      <c r="P1343" s="295"/>
      <c r="Q1343" s="295"/>
      <c r="R1343" s="295"/>
      <c r="S1343" s="295"/>
      <c r="T1343" s="295"/>
      <c r="U1343" s="295"/>
      <c r="V1343" s="295"/>
      <c r="W1343" s="295"/>
      <c r="X1343" s="295"/>
      <c r="Y1343" s="295"/>
      <c r="Z1343" s="295"/>
      <c r="AA1343" s="295"/>
      <c r="AB1343" s="295"/>
      <c r="AC1343" s="295"/>
      <c r="AD1343" s="295"/>
      <c r="AE1343" s="295"/>
      <c r="AF1343" s="295"/>
      <c r="AG1343" s="295"/>
      <c r="AH1343" s="295"/>
      <c r="AI1343" s="296"/>
      <c r="AJ1343" s="11" t="s">
        <v>23</v>
      </c>
    </row>
    <row r="1344" spans="1:36" ht="36" x14ac:dyDescent="0.2">
      <c r="A1344" s="7" t="s">
        <v>560</v>
      </c>
      <c r="B1344" s="8" t="s">
        <v>561</v>
      </c>
      <c r="C1344" s="7" t="s">
        <v>562</v>
      </c>
      <c r="D1344" s="294"/>
      <c r="E1344" s="295"/>
      <c r="F1344" s="295"/>
      <c r="G1344" s="295"/>
      <c r="H1344" s="295"/>
      <c r="I1344" s="295"/>
      <c r="J1344" s="295"/>
      <c r="K1344" s="295"/>
      <c r="L1344" s="295"/>
      <c r="M1344" s="295"/>
      <c r="N1344" s="295"/>
      <c r="O1344" s="295"/>
      <c r="P1344" s="295"/>
      <c r="Q1344" s="295"/>
      <c r="R1344" s="295"/>
      <c r="S1344" s="295"/>
      <c r="T1344" s="295"/>
      <c r="U1344" s="295"/>
      <c r="V1344" s="295"/>
      <c r="W1344" s="295"/>
      <c r="X1344" s="295"/>
      <c r="Y1344" s="295"/>
      <c r="Z1344" s="295"/>
      <c r="AA1344" s="295"/>
      <c r="AB1344" s="295"/>
      <c r="AC1344" s="295"/>
      <c r="AD1344" s="295"/>
      <c r="AE1344" s="295"/>
      <c r="AF1344" s="295"/>
      <c r="AG1344" s="295"/>
      <c r="AH1344" s="295"/>
      <c r="AI1344" s="296"/>
      <c r="AJ1344" s="11" t="s">
        <v>23</v>
      </c>
    </row>
    <row r="1345" spans="1:36" ht="48" x14ac:dyDescent="0.2">
      <c r="A1345" s="7" t="s">
        <v>563</v>
      </c>
      <c r="B1345" s="8" t="s">
        <v>564</v>
      </c>
      <c r="C1345" s="7" t="s">
        <v>565</v>
      </c>
      <c r="D1345" s="294"/>
      <c r="E1345" s="295"/>
      <c r="F1345" s="295"/>
      <c r="G1345" s="295"/>
      <c r="H1345" s="295"/>
      <c r="I1345" s="295"/>
      <c r="J1345" s="295"/>
      <c r="K1345" s="295"/>
      <c r="L1345" s="295"/>
      <c r="M1345" s="295"/>
      <c r="N1345" s="295"/>
      <c r="O1345" s="295"/>
      <c r="P1345" s="295"/>
      <c r="Q1345" s="295"/>
      <c r="R1345" s="295"/>
      <c r="S1345" s="295"/>
      <c r="T1345" s="295"/>
      <c r="U1345" s="295"/>
      <c r="V1345" s="295"/>
      <c r="W1345" s="295"/>
      <c r="X1345" s="295"/>
      <c r="Y1345" s="295"/>
      <c r="Z1345" s="295"/>
      <c r="AA1345" s="295"/>
      <c r="AB1345" s="295"/>
      <c r="AC1345" s="295"/>
      <c r="AD1345" s="295"/>
      <c r="AE1345" s="295"/>
      <c r="AF1345" s="295"/>
      <c r="AG1345" s="295"/>
      <c r="AH1345" s="295"/>
      <c r="AI1345" s="296"/>
      <c r="AJ1345" s="11" t="s">
        <v>158</v>
      </c>
    </row>
    <row r="1346" spans="1:36" ht="48" x14ac:dyDescent="0.2">
      <c r="A1346" s="7" t="s">
        <v>566</v>
      </c>
      <c r="B1346" s="8" t="s">
        <v>567</v>
      </c>
      <c r="C1346" s="7" t="s">
        <v>568</v>
      </c>
      <c r="D1346" s="294"/>
      <c r="E1346" s="295"/>
      <c r="F1346" s="295"/>
      <c r="G1346" s="295"/>
      <c r="H1346" s="295"/>
      <c r="I1346" s="295"/>
      <c r="J1346" s="295"/>
      <c r="K1346" s="295"/>
      <c r="L1346" s="295"/>
      <c r="M1346" s="295"/>
      <c r="N1346" s="295"/>
      <c r="O1346" s="295"/>
      <c r="P1346" s="295"/>
      <c r="Q1346" s="295"/>
      <c r="R1346" s="295"/>
      <c r="S1346" s="295"/>
      <c r="T1346" s="295"/>
      <c r="U1346" s="295"/>
      <c r="V1346" s="295"/>
      <c r="W1346" s="295"/>
      <c r="X1346" s="295"/>
      <c r="Y1346" s="295"/>
      <c r="Z1346" s="295"/>
      <c r="AA1346" s="295"/>
      <c r="AB1346" s="295"/>
      <c r="AC1346" s="295"/>
      <c r="AD1346" s="295"/>
      <c r="AE1346" s="295"/>
      <c r="AF1346" s="295"/>
      <c r="AG1346" s="295"/>
      <c r="AH1346" s="295"/>
      <c r="AI1346" s="296"/>
      <c r="AJ1346" s="11" t="s">
        <v>158</v>
      </c>
    </row>
    <row r="1347" spans="1:36" x14ac:dyDescent="0.2">
      <c r="A1347" s="7" t="s">
        <v>569</v>
      </c>
      <c r="B1347" s="8" t="s">
        <v>570</v>
      </c>
      <c r="C1347" s="7" t="s">
        <v>571</v>
      </c>
      <c r="D1347" s="294"/>
      <c r="E1347" s="295"/>
      <c r="F1347" s="295"/>
      <c r="G1347" s="295"/>
      <c r="H1347" s="295"/>
      <c r="I1347" s="295"/>
      <c r="J1347" s="295"/>
      <c r="K1347" s="295"/>
      <c r="L1347" s="295"/>
      <c r="M1347" s="295"/>
      <c r="N1347" s="295"/>
      <c r="O1347" s="295"/>
      <c r="P1347" s="295"/>
      <c r="Q1347" s="295"/>
      <c r="R1347" s="295"/>
      <c r="S1347" s="295"/>
      <c r="T1347" s="295"/>
      <c r="U1347" s="295"/>
      <c r="V1347" s="295"/>
      <c r="W1347" s="295"/>
      <c r="X1347" s="295"/>
      <c r="Y1347" s="295"/>
      <c r="Z1347" s="295"/>
      <c r="AA1347" s="295"/>
      <c r="AB1347" s="295"/>
      <c r="AC1347" s="295"/>
      <c r="AD1347" s="295"/>
      <c r="AE1347" s="295"/>
      <c r="AF1347" s="295"/>
      <c r="AG1347" s="295"/>
      <c r="AH1347" s="295"/>
      <c r="AI1347" s="296"/>
      <c r="AJ1347" s="11" t="s">
        <v>158</v>
      </c>
    </row>
    <row r="1348" spans="1:36" ht="48" x14ac:dyDescent="0.2">
      <c r="A1348" s="7" t="s">
        <v>572</v>
      </c>
      <c r="B1348" s="8" t="s">
        <v>573</v>
      </c>
      <c r="C1348" s="7" t="s">
        <v>574</v>
      </c>
      <c r="D1348" s="294"/>
      <c r="E1348" s="295"/>
      <c r="F1348" s="295"/>
      <c r="G1348" s="295"/>
      <c r="H1348" s="295"/>
      <c r="I1348" s="295"/>
      <c r="J1348" s="295"/>
      <c r="K1348" s="295"/>
      <c r="L1348" s="295"/>
      <c r="M1348" s="295"/>
      <c r="N1348" s="295"/>
      <c r="O1348" s="295"/>
      <c r="P1348" s="295"/>
      <c r="Q1348" s="295"/>
      <c r="R1348" s="295"/>
      <c r="S1348" s="295"/>
      <c r="T1348" s="295"/>
      <c r="U1348" s="295"/>
      <c r="V1348" s="295"/>
      <c r="W1348" s="295"/>
      <c r="X1348" s="295"/>
      <c r="Y1348" s="295"/>
      <c r="Z1348" s="295"/>
      <c r="AA1348" s="295"/>
      <c r="AB1348" s="295"/>
      <c r="AC1348" s="295"/>
      <c r="AD1348" s="295"/>
      <c r="AE1348" s="295"/>
      <c r="AF1348" s="295"/>
      <c r="AG1348" s="295"/>
      <c r="AH1348" s="295"/>
      <c r="AI1348" s="296"/>
      <c r="AJ1348" s="11" t="s">
        <v>158</v>
      </c>
    </row>
    <row r="1349" spans="1:36" ht="48" x14ac:dyDescent="0.2">
      <c r="A1349" s="7" t="s">
        <v>575</v>
      </c>
      <c r="B1349" s="8" t="s">
        <v>576</v>
      </c>
      <c r="C1349" s="7" t="s">
        <v>577</v>
      </c>
      <c r="D1349" s="294"/>
      <c r="E1349" s="295"/>
      <c r="F1349" s="295"/>
      <c r="G1349" s="295"/>
      <c r="H1349" s="295"/>
      <c r="I1349" s="295"/>
      <c r="J1349" s="295"/>
      <c r="K1349" s="295"/>
      <c r="L1349" s="295"/>
      <c r="M1349" s="295"/>
      <c r="N1349" s="295"/>
      <c r="O1349" s="295"/>
      <c r="P1349" s="295"/>
      <c r="Q1349" s="295"/>
      <c r="R1349" s="295"/>
      <c r="S1349" s="295"/>
      <c r="T1349" s="295"/>
      <c r="U1349" s="295"/>
      <c r="V1349" s="295"/>
      <c r="W1349" s="295"/>
      <c r="X1349" s="295"/>
      <c r="Y1349" s="295"/>
      <c r="Z1349" s="295"/>
      <c r="AA1349" s="295"/>
      <c r="AB1349" s="295"/>
      <c r="AC1349" s="295"/>
      <c r="AD1349" s="295"/>
      <c r="AE1349" s="295"/>
      <c r="AF1349" s="295"/>
      <c r="AG1349" s="295"/>
      <c r="AH1349" s="295"/>
      <c r="AI1349" s="296"/>
      <c r="AJ1349" s="11" t="s">
        <v>158</v>
      </c>
    </row>
    <row r="1350" spans="1:36" ht="48" x14ac:dyDescent="0.2">
      <c r="A1350" s="7" t="s">
        <v>578</v>
      </c>
      <c r="B1350" s="8" t="s">
        <v>579</v>
      </c>
      <c r="C1350" s="7" t="s">
        <v>580</v>
      </c>
      <c r="D1350" s="294"/>
      <c r="E1350" s="295"/>
      <c r="F1350" s="295"/>
      <c r="G1350" s="295"/>
      <c r="H1350" s="295"/>
      <c r="I1350" s="295"/>
      <c r="J1350" s="295"/>
      <c r="K1350" s="295"/>
      <c r="L1350" s="295"/>
      <c r="M1350" s="295"/>
      <c r="N1350" s="295"/>
      <c r="O1350" s="295"/>
      <c r="P1350" s="295"/>
      <c r="Q1350" s="295"/>
      <c r="R1350" s="295"/>
      <c r="S1350" s="295"/>
      <c r="T1350" s="295"/>
      <c r="U1350" s="295"/>
      <c r="V1350" s="295"/>
      <c r="W1350" s="295"/>
      <c r="X1350" s="295"/>
      <c r="Y1350" s="295"/>
      <c r="Z1350" s="295"/>
      <c r="AA1350" s="295"/>
      <c r="AB1350" s="295"/>
      <c r="AC1350" s="295"/>
      <c r="AD1350" s="295"/>
      <c r="AE1350" s="295"/>
      <c r="AF1350" s="295"/>
      <c r="AG1350" s="295"/>
      <c r="AH1350" s="295"/>
      <c r="AI1350" s="296"/>
      <c r="AJ1350" s="11" t="s">
        <v>158</v>
      </c>
    </row>
    <row r="1351" spans="1:36" ht="48" x14ac:dyDescent="0.2">
      <c r="A1351" s="7" t="s">
        <v>581</v>
      </c>
      <c r="B1351" s="8" t="s">
        <v>582</v>
      </c>
      <c r="C1351" s="7" t="s">
        <v>583</v>
      </c>
      <c r="D1351" s="294"/>
      <c r="E1351" s="295"/>
      <c r="F1351" s="295"/>
      <c r="G1351" s="295"/>
      <c r="H1351" s="295"/>
      <c r="I1351" s="295"/>
      <c r="J1351" s="295"/>
      <c r="K1351" s="295"/>
      <c r="L1351" s="295"/>
      <c r="M1351" s="295"/>
      <c r="N1351" s="295"/>
      <c r="O1351" s="295"/>
      <c r="P1351" s="295"/>
      <c r="Q1351" s="295"/>
      <c r="R1351" s="295"/>
      <c r="S1351" s="295"/>
      <c r="T1351" s="295"/>
      <c r="U1351" s="295"/>
      <c r="V1351" s="295"/>
      <c r="W1351" s="295"/>
      <c r="X1351" s="295"/>
      <c r="Y1351" s="295"/>
      <c r="Z1351" s="295"/>
      <c r="AA1351" s="295"/>
      <c r="AB1351" s="295"/>
      <c r="AC1351" s="295"/>
      <c r="AD1351" s="295"/>
      <c r="AE1351" s="295"/>
      <c r="AF1351" s="295"/>
      <c r="AG1351" s="295"/>
      <c r="AH1351" s="295"/>
      <c r="AI1351" s="296"/>
      <c r="AJ1351" s="11" t="s">
        <v>158</v>
      </c>
    </row>
    <row r="1352" spans="1:36" ht="36" x14ac:dyDescent="0.2">
      <c r="A1352" s="7" t="s">
        <v>584</v>
      </c>
      <c r="B1352" s="8" t="s">
        <v>585</v>
      </c>
      <c r="C1352" s="7" t="s">
        <v>586</v>
      </c>
      <c r="D1352" s="294"/>
      <c r="E1352" s="295"/>
      <c r="F1352" s="295"/>
      <c r="G1352" s="295"/>
      <c r="H1352" s="295"/>
      <c r="I1352" s="295"/>
      <c r="J1352" s="295"/>
      <c r="K1352" s="295"/>
      <c r="L1352" s="295"/>
      <c r="M1352" s="295"/>
      <c r="N1352" s="295"/>
      <c r="O1352" s="295"/>
      <c r="P1352" s="295"/>
      <c r="Q1352" s="295"/>
      <c r="R1352" s="295"/>
      <c r="S1352" s="295"/>
      <c r="T1352" s="295"/>
      <c r="U1352" s="295"/>
      <c r="V1352" s="295"/>
      <c r="W1352" s="295"/>
      <c r="X1352" s="295"/>
      <c r="Y1352" s="295"/>
      <c r="Z1352" s="295"/>
      <c r="AA1352" s="295"/>
      <c r="AB1352" s="295"/>
      <c r="AC1352" s="295"/>
      <c r="AD1352" s="295"/>
      <c r="AE1352" s="295"/>
      <c r="AF1352" s="295"/>
      <c r="AG1352" s="295"/>
      <c r="AH1352" s="295"/>
      <c r="AI1352" s="296"/>
      <c r="AJ1352" s="11" t="s">
        <v>158</v>
      </c>
    </row>
    <row r="1353" spans="1:36" ht="48" x14ac:dyDescent="0.2">
      <c r="A1353" s="7" t="s">
        <v>587</v>
      </c>
      <c r="B1353" s="8" t="s">
        <v>588</v>
      </c>
      <c r="C1353" s="7" t="s">
        <v>589</v>
      </c>
      <c r="D1353" s="294"/>
      <c r="E1353" s="295"/>
      <c r="F1353" s="295"/>
      <c r="G1353" s="295"/>
      <c r="H1353" s="295"/>
      <c r="I1353" s="295"/>
      <c r="J1353" s="295"/>
      <c r="K1353" s="295"/>
      <c r="L1353" s="295"/>
      <c r="M1353" s="295"/>
      <c r="N1353" s="295"/>
      <c r="O1353" s="295"/>
      <c r="P1353" s="295"/>
      <c r="Q1353" s="295"/>
      <c r="R1353" s="295"/>
      <c r="S1353" s="295"/>
      <c r="T1353" s="295"/>
      <c r="U1353" s="295"/>
      <c r="V1353" s="295"/>
      <c r="W1353" s="295"/>
      <c r="X1353" s="295"/>
      <c r="Y1353" s="295"/>
      <c r="Z1353" s="295"/>
      <c r="AA1353" s="295"/>
      <c r="AB1353" s="295"/>
      <c r="AC1353" s="295"/>
      <c r="AD1353" s="295"/>
      <c r="AE1353" s="295"/>
      <c r="AF1353" s="295"/>
      <c r="AG1353" s="295"/>
      <c r="AH1353" s="295"/>
      <c r="AI1353" s="296"/>
      <c r="AJ1353" s="11" t="s">
        <v>158</v>
      </c>
    </row>
    <row r="1354" spans="1:36" ht="48" x14ac:dyDescent="0.2">
      <c r="A1354" s="7" t="s">
        <v>590</v>
      </c>
      <c r="B1354" s="8" t="s">
        <v>591</v>
      </c>
      <c r="C1354" s="7" t="s">
        <v>592</v>
      </c>
      <c r="D1354" s="294"/>
      <c r="E1354" s="295"/>
      <c r="F1354" s="295"/>
      <c r="G1354" s="295"/>
      <c r="H1354" s="295"/>
      <c r="I1354" s="295"/>
      <c r="J1354" s="295"/>
      <c r="K1354" s="295"/>
      <c r="L1354" s="295"/>
      <c r="M1354" s="295"/>
      <c r="N1354" s="295"/>
      <c r="O1354" s="295"/>
      <c r="P1354" s="295"/>
      <c r="Q1354" s="295"/>
      <c r="R1354" s="295"/>
      <c r="S1354" s="295"/>
      <c r="T1354" s="295"/>
      <c r="U1354" s="295"/>
      <c r="V1354" s="295"/>
      <c r="W1354" s="295"/>
      <c r="X1354" s="295"/>
      <c r="Y1354" s="295"/>
      <c r="Z1354" s="295"/>
      <c r="AA1354" s="295"/>
      <c r="AB1354" s="295"/>
      <c r="AC1354" s="295"/>
      <c r="AD1354" s="295"/>
      <c r="AE1354" s="295"/>
      <c r="AF1354" s="295"/>
      <c r="AG1354" s="295"/>
      <c r="AH1354" s="295"/>
      <c r="AI1354" s="296"/>
      <c r="AJ1354" s="11" t="s">
        <v>158</v>
      </c>
    </row>
    <row r="1355" spans="1:36" ht="36" x14ac:dyDescent="0.2">
      <c r="A1355" s="7" t="s">
        <v>593</v>
      </c>
      <c r="B1355" s="8" t="s">
        <v>594</v>
      </c>
      <c r="C1355" s="7" t="s">
        <v>595</v>
      </c>
      <c r="D1355" s="294"/>
      <c r="E1355" s="295"/>
      <c r="F1355" s="295"/>
      <c r="G1355" s="295"/>
      <c r="H1355" s="295"/>
      <c r="I1355" s="295"/>
      <c r="J1355" s="295"/>
      <c r="K1355" s="295"/>
      <c r="L1355" s="295"/>
      <c r="M1355" s="295"/>
      <c r="N1355" s="295"/>
      <c r="O1355" s="295"/>
      <c r="P1355" s="295"/>
      <c r="Q1355" s="295"/>
      <c r="R1355" s="295"/>
      <c r="S1355" s="295"/>
      <c r="T1355" s="295"/>
      <c r="U1355" s="295"/>
      <c r="V1355" s="295"/>
      <c r="W1355" s="295"/>
      <c r="X1355" s="295"/>
      <c r="Y1355" s="295"/>
      <c r="Z1355" s="295"/>
      <c r="AA1355" s="295"/>
      <c r="AB1355" s="295"/>
      <c r="AC1355" s="295"/>
      <c r="AD1355" s="295"/>
      <c r="AE1355" s="295"/>
      <c r="AF1355" s="295"/>
      <c r="AG1355" s="295"/>
      <c r="AH1355" s="295"/>
      <c r="AI1355" s="296"/>
      <c r="AJ1355" s="11" t="s">
        <v>158</v>
      </c>
    </row>
    <row r="1356" spans="1:36" ht="36" x14ac:dyDescent="0.2">
      <c r="A1356" s="7" t="s">
        <v>596</v>
      </c>
      <c r="B1356" s="8" t="s">
        <v>597</v>
      </c>
      <c r="C1356" s="7" t="s">
        <v>598</v>
      </c>
      <c r="D1356" s="294"/>
      <c r="E1356" s="295"/>
      <c r="F1356" s="295"/>
      <c r="G1356" s="295"/>
      <c r="H1356" s="295"/>
      <c r="I1356" s="295"/>
      <c r="J1356" s="295"/>
      <c r="K1356" s="295"/>
      <c r="L1356" s="295"/>
      <c r="M1356" s="295"/>
      <c r="N1356" s="295"/>
      <c r="O1356" s="295"/>
      <c r="P1356" s="295"/>
      <c r="Q1356" s="295"/>
      <c r="R1356" s="295"/>
      <c r="S1356" s="295"/>
      <c r="T1356" s="295"/>
      <c r="U1356" s="295"/>
      <c r="V1356" s="295"/>
      <c r="W1356" s="295"/>
      <c r="X1356" s="295"/>
      <c r="Y1356" s="295"/>
      <c r="Z1356" s="295"/>
      <c r="AA1356" s="295"/>
      <c r="AB1356" s="295"/>
      <c r="AC1356" s="295"/>
      <c r="AD1356" s="295"/>
      <c r="AE1356" s="295"/>
      <c r="AF1356" s="295"/>
      <c r="AG1356" s="295"/>
      <c r="AH1356" s="295"/>
      <c r="AI1356" s="296"/>
      <c r="AJ1356" s="11" t="s">
        <v>158</v>
      </c>
    </row>
    <row r="1357" spans="1:36" ht="24" x14ac:dyDescent="0.2">
      <c r="A1357" s="7" t="s">
        <v>599</v>
      </c>
      <c r="B1357" s="8" t="s">
        <v>600</v>
      </c>
      <c r="C1357" s="7" t="s">
        <v>601</v>
      </c>
      <c r="D1357" s="294"/>
      <c r="E1357" s="295"/>
      <c r="F1357" s="295"/>
      <c r="G1357" s="295"/>
      <c r="H1357" s="295"/>
      <c r="I1357" s="295"/>
      <c r="J1357" s="295"/>
      <c r="K1357" s="295"/>
      <c r="L1357" s="295"/>
      <c r="M1357" s="295"/>
      <c r="N1357" s="295"/>
      <c r="O1357" s="295"/>
      <c r="P1357" s="295"/>
      <c r="Q1357" s="295"/>
      <c r="R1357" s="295"/>
      <c r="S1357" s="295"/>
      <c r="T1357" s="295"/>
      <c r="U1357" s="295"/>
      <c r="V1357" s="295"/>
      <c r="W1357" s="295"/>
      <c r="X1357" s="295"/>
      <c r="Y1357" s="295"/>
      <c r="Z1357" s="295"/>
      <c r="AA1357" s="295"/>
      <c r="AB1357" s="295"/>
      <c r="AC1357" s="295"/>
      <c r="AD1357" s="295"/>
      <c r="AE1357" s="295"/>
      <c r="AF1357" s="295"/>
      <c r="AG1357" s="295"/>
      <c r="AH1357" s="295"/>
      <c r="AI1357" s="296"/>
      <c r="AJ1357" s="11" t="s">
        <v>158</v>
      </c>
    </row>
    <row r="1358" spans="1:36" ht="24" x14ac:dyDescent="0.2">
      <c r="A1358" s="7" t="s">
        <v>602</v>
      </c>
      <c r="B1358" s="8" t="s">
        <v>603</v>
      </c>
      <c r="C1358" s="7" t="s">
        <v>604</v>
      </c>
      <c r="D1358" s="294"/>
      <c r="E1358" s="295"/>
      <c r="F1358" s="295"/>
      <c r="G1358" s="295"/>
      <c r="H1358" s="295"/>
      <c r="I1358" s="295"/>
      <c r="J1358" s="295"/>
      <c r="K1358" s="295"/>
      <c r="L1358" s="295"/>
      <c r="M1358" s="295"/>
      <c r="N1358" s="295"/>
      <c r="O1358" s="295"/>
      <c r="P1358" s="295"/>
      <c r="Q1358" s="295"/>
      <c r="R1358" s="295"/>
      <c r="S1358" s="295"/>
      <c r="T1358" s="295"/>
      <c r="U1358" s="295"/>
      <c r="V1358" s="295"/>
      <c r="W1358" s="295"/>
      <c r="X1358" s="295"/>
      <c r="Y1358" s="295"/>
      <c r="Z1358" s="295"/>
      <c r="AA1358" s="295"/>
      <c r="AB1358" s="295"/>
      <c r="AC1358" s="295"/>
      <c r="AD1358" s="295"/>
      <c r="AE1358" s="295"/>
      <c r="AF1358" s="295"/>
      <c r="AG1358" s="295"/>
      <c r="AH1358" s="295"/>
      <c r="AI1358" s="296"/>
      <c r="AJ1358" s="11" t="s">
        <v>357</v>
      </c>
    </row>
    <row r="1359" spans="1:36" ht="24" x14ac:dyDescent="0.2">
      <c r="A1359" s="7" t="s">
        <v>605</v>
      </c>
      <c r="B1359" s="8" t="s">
        <v>606</v>
      </c>
      <c r="C1359" s="7" t="s">
        <v>607</v>
      </c>
      <c r="D1359" s="294"/>
      <c r="E1359" s="295"/>
      <c r="F1359" s="295"/>
      <c r="G1359" s="295"/>
      <c r="H1359" s="295"/>
      <c r="I1359" s="295"/>
      <c r="J1359" s="295"/>
      <c r="K1359" s="295"/>
      <c r="L1359" s="295"/>
      <c r="M1359" s="295"/>
      <c r="N1359" s="295"/>
      <c r="O1359" s="295"/>
      <c r="P1359" s="295"/>
      <c r="Q1359" s="295"/>
      <c r="R1359" s="295"/>
      <c r="S1359" s="295"/>
      <c r="T1359" s="295"/>
      <c r="U1359" s="295"/>
      <c r="V1359" s="295"/>
      <c r="W1359" s="295"/>
      <c r="X1359" s="295"/>
      <c r="Y1359" s="295"/>
      <c r="Z1359" s="295"/>
      <c r="AA1359" s="295"/>
      <c r="AB1359" s="295"/>
      <c r="AC1359" s="295"/>
      <c r="AD1359" s="295"/>
      <c r="AE1359" s="295"/>
      <c r="AF1359" s="295"/>
      <c r="AG1359" s="295"/>
      <c r="AH1359" s="295"/>
      <c r="AI1359" s="296"/>
      <c r="AJ1359" s="11" t="s">
        <v>158</v>
      </c>
    </row>
    <row r="1360" spans="1:36" ht="36" x14ac:dyDescent="0.2">
      <c r="A1360" s="7" t="s">
        <v>608</v>
      </c>
      <c r="B1360" s="8" t="s">
        <v>609</v>
      </c>
      <c r="C1360" s="7" t="s">
        <v>610</v>
      </c>
      <c r="D1360" s="294"/>
      <c r="E1360" s="295"/>
      <c r="F1360" s="295"/>
      <c r="G1360" s="295"/>
      <c r="H1360" s="295"/>
      <c r="I1360" s="295"/>
      <c r="J1360" s="295"/>
      <c r="K1360" s="295"/>
      <c r="L1360" s="295"/>
      <c r="M1360" s="295"/>
      <c r="N1360" s="295"/>
      <c r="O1360" s="295"/>
      <c r="P1360" s="295"/>
      <c r="Q1360" s="295"/>
      <c r="R1360" s="295"/>
      <c r="S1360" s="295"/>
      <c r="T1360" s="295"/>
      <c r="U1360" s="295"/>
      <c r="V1360" s="295"/>
      <c r="W1360" s="295"/>
      <c r="X1360" s="295"/>
      <c r="Y1360" s="295"/>
      <c r="Z1360" s="295"/>
      <c r="AA1360" s="295"/>
      <c r="AB1360" s="295"/>
      <c r="AC1360" s="295"/>
      <c r="AD1360" s="295"/>
      <c r="AE1360" s="295"/>
      <c r="AF1360" s="295"/>
      <c r="AG1360" s="295"/>
      <c r="AH1360" s="295"/>
      <c r="AI1360" s="296"/>
      <c r="AJ1360" s="11" t="s">
        <v>158</v>
      </c>
    </row>
    <row r="1361" spans="1:36" ht="36" x14ac:dyDescent="0.2">
      <c r="A1361" s="7" t="s">
        <v>611</v>
      </c>
      <c r="B1361" s="8" t="s">
        <v>612</v>
      </c>
      <c r="C1361" s="7" t="s">
        <v>613</v>
      </c>
      <c r="D1361" s="294"/>
      <c r="E1361" s="295"/>
      <c r="F1361" s="295"/>
      <c r="G1361" s="295"/>
      <c r="H1361" s="295"/>
      <c r="I1361" s="295"/>
      <c r="J1361" s="295"/>
      <c r="K1361" s="295"/>
      <c r="L1361" s="295"/>
      <c r="M1361" s="295"/>
      <c r="N1361" s="295"/>
      <c r="O1361" s="295"/>
      <c r="P1361" s="295"/>
      <c r="Q1361" s="295"/>
      <c r="R1361" s="295"/>
      <c r="S1361" s="295"/>
      <c r="T1361" s="295"/>
      <c r="U1361" s="295"/>
      <c r="V1361" s="295"/>
      <c r="W1361" s="295"/>
      <c r="X1361" s="295"/>
      <c r="Y1361" s="295"/>
      <c r="Z1361" s="295"/>
      <c r="AA1361" s="295"/>
      <c r="AB1361" s="295"/>
      <c r="AC1361" s="295"/>
      <c r="AD1361" s="295"/>
      <c r="AE1361" s="295"/>
      <c r="AF1361" s="295"/>
      <c r="AG1361" s="295"/>
      <c r="AH1361" s="295"/>
      <c r="AI1361" s="296"/>
      <c r="AJ1361" s="11" t="s">
        <v>158</v>
      </c>
    </row>
    <row r="1362" spans="1:36" ht="24" x14ac:dyDescent="0.2">
      <c r="A1362" s="7" t="s">
        <v>614</v>
      </c>
      <c r="B1362" s="8" t="s">
        <v>615</v>
      </c>
      <c r="C1362" s="7" t="s">
        <v>616</v>
      </c>
      <c r="D1362" s="294"/>
      <c r="E1362" s="295"/>
      <c r="F1362" s="295"/>
      <c r="G1362" s="295"/>
      <c r="H1362" s="295"/>
      <c r="I1362" s="295"/>
      <c r="J1362" s="295"/>
      <c r="K1362" s="295"/>
      <c r="L1362" s="295"/>
      <c r="M1362" s="295"/>
      <c r="N1362" s="295"/>
      <c r="O1362" s="295"/>
      <c r="P1362" s="295"/>
      <c r="Q1362" s="295"/>
      <c r="R1362" s="295"/>
      <c r="S1362" s="295"/>
      <c r="T1362" s="295"/>
      <c r="U1362" s="295"/>
      <c r="V1362" s="295"/>
      <c r="W1362" s="295"/>
      <c r="X1362" s="295"/>
      <c r="Y1362" s="295"/>
      <c r="Z1362" s="295"/>
      <c r="AA1362" s="295"/>
      <c r="AB1362" s="295"/>
      <c r="AC1362" s="295"/>
      <c r="AD1362" s="295"/>
      <c r="AE1362" s="295"/>
      <c r="AF1362" s="295"/>
      <c r="AG1362" s="295"/>
      <c r="AH1362" s="295"/>
      <c r="AI1362" s="296"/>
      <c r="AJ1362" s="11" t="s">
        <v>158</v>
      </c>
    </row>
    <row r="1363" spans="1:36" ht="48" x14ac:dyDescent="0.2">
      <c r="A1363" s="7" t="s">
        <v>617</v>
      </c>
      <c r="B1363" s="8" t="s">
        <v>618</v>
      </c>
      <c r="C1363" s="7" t="s">
        <v>619</v>
      </c>
      <c r="D1363" s="294"/>
      <c r="E1363" s="295"/>
      <c r="F1363" s="295"/>
      <c r="G1363" s="295"/>
      <c r="H1363" s="295"/>
      <c r="I1363" s="295"/>
      <c r="J1363" s="295"/>
      <c r="K1363" s="295"/>
      <c r="L1363" s="295"/>
      <c r="M1363" s="295"/>
      <c r="N1363" s="295"/>
      <c r="O1363" s="295"/>
      <c r="P1363" s="295"/>
      <c r="Q1363" s="295"/>
      <c r="R1363" s="295"/>
      <c r="S1363" s="295"/>
      <c r="T1363" s="295"/>
      <c r="U1363" s="295"/>
      <c r="V1363" s="295"/>
      <c r="W1363" s="295"/>
      <c r="X1363" s="295"/>
      <c r="Y1363" s="295"/>
      <c r="Z1363" s="295"/>
      <c r="AA1363" s="295"/>
      <c r="AB1363" s="295"/>
      <c r="AC1363" s="295"/>
      <c r="AD1363" s="295"/>
      <c r="AE1363" s="295"/>
      <c r="AF1363" s="295"/>
      <c r="AG1363" s="295"/>
      <c r="AH1363" s="295"/>
      <c r="AI1363" s="296"/>
      <c r="AJ1363" s="11" t="s">
        <v>158</v>
      </c>
    </row>
    <row r="1364" spans="1:36" x14ac:dyDescent="0.2">
      <c r="A1364" s="48" t="s">
        <v>620</v>
      </c>
      <c r="B1364" s="269" t="s">
        <v>621</v>
      </c>
      <c r="C1364" s="269"/>
      <c r="D1364" s="269"/>
      <c r="E1364" s="269"/>
      <c r="F1364" s="269"/>
      <c r="G1364" s="269"/>
      <c r="H1364" s="269"/>
      <c r="I1364" s="269"/>
      <c r="J1364" s="269"/>
      <c r="K1364" s="269"/>
      <c r="L1364" s="269"/>
      <c r="M1364" s="269"/>
      <c r="N1364" s="269"/>
      <c r="O1364" s="269"/>
      <c r="P1364" s="269"/>
      <c r="Q1364" s="269"/>
      <c r="R1364" s="269"/>
      <c r="S1364" s="269"/>
      <c r="T1364" s="269"/>
      <c r="U1364" s="269"/>
      <c r="V1364" s="269"/>
      <c r="W1364" s="269"/>
      <c r="X1364" s="269"/>
      <c r="Y1364" s="269"/>
      <c r="Z1364" s="269"/>
      <c r="AA1364" s="269"/>
      <c r="AB1364" s="269"/>
      <c r="AC1364" s="269"/>
      <c r="AD1364" s="269"/>
      <c r="AE1364" s="269"/>
      <c r="AF1364" s="269"/>
      <c r="AG1364" s="269"/>
      <c r="AH1364" s="269"/>
      <c r="AI1364" s="269"/>
      <c r="AJ1364" s="269"/>
    </row>
    <row r="1365" spans="1:36" ht="36" x14ac:dyDescent="0.2">
      <c r="A1365" s="7" t="s">
        <v>622</v>
      </c>
      <c r="B1365" s="8" t="s">
        <v>623</v>
      </c>
      <c r="C1365" s="7" t="s">
        <v>624</v>
      </c>
      <c r="D1365" s="294"/>
      <c r="E1365" s="295"/>
      <c r="F1365" s="295"/>
      <c r="G1365" s="295"/>
      <c r="H1365" s="295"/>
      <c r="I1365" s="295"/>
      <c r="J1365" s="295"/>
      <c r="K1365" s="295"/>
      <c r="L1365" s="295"/>
      <c r="M1365" s="295"/>
      <c r="N1365" s="295"/>
      <c r="O1365" s="295"/>
      <c r="P1365" s="295"/>
      <c r="Q1365" s="295"/>
      <c r="R1365" s="295"/>
      <c r="S1365" s="295"/>
      <c r="T1365" s="295"/>
      <c r="U1365" s="295"/>
      <c r="V1365" s="295"/>
      <c r="W1365" s="295"/>
      <c r="X1365" s="295"/>
      <c r="Y1365" s="295"/>
      <c r="Z1365" s="295"/>
      <c r="AA1365" s="295"/>
      <c r="AB1365" s="295"/>
      <c r="AC1365" s="295"/>
      <c r="AD1365" s="295"/>
      <c r="AE1365" s="295"/>
      <c r="AF1365" s="295"/>
      <c r="AG1365" s="295"/>
      <c r="AH1365" s="295"/>
      <c r="AI1365" s="296"/>
      <c r="AJ1365" s="11" t="s">
        <v>158</v>
      </c>
    </row>
    <row r="1366" spans="1:36" ht="36" x14ac:dyDescent="0.2">
      <c r="A1366" s="7" t="s">
        <v>625</v>
      </c>
      <c r="B1366" s="8" t="s">
        <v>626</v>
      </c>
      <c r="C1366" s="7" t="s">
        <v>627</v>
      </c>
      <c r="D1366" s="294"/>
      <c r="E1366" s="295"/>
      <c r="F1366" s="295"/>
      <c r="G1366" s="295"/>
      <c r="H1366" s="295"/>
      <c r="I1366" s="295"/>
      <c r="J1366" s="295"/>
      <c r="K1366" s="295"/>
      <c r="L1366" s="295"/>
      <c r="M1366" s="295"/>
      <c r="N1366" s="295"/>
      <c r="O1366" s="295"/>
      <c r="P1366" s="295"/>
      <c r="Q1366" s="295"/>
      <c r="R1366" s="295"/>
      <c r="S1366" s="295"/>
      <c r="T1366" s="295"/>
      <c r="U1366" s="295"/>
      <c r="V1366" s="295"/>
      <c r="W1366" s="295"/>
      <c r="X1366" s="295"/>
      <c r="Y1366" s="295"/>
      <c r="Z1366" s="295"/>
      <c r="AA1366" s="295"/>
      <c r="AB1366" s="295"/>
      <c r="AC1366" s="295"/>
      <c r="AD1366" s="295"/>
      <c r="AE1366" s="295"/>
      <c r="AF1366" s="295"/>
      <c r="AG1366" s="295"/>
      <c r="AH1366" s="295"/>
      <c r="AI1366" s="296"/>
      <c r="AJ1366" s="11" t="s">
        <v>158</v>
      </c>
    </row>
    <row r="1367" spans="1:36" ht="60" x14ac:dyDescent="0.2">
      <c r="A1367" s="7" t="s">
        <v>628</v>
      </c>
      <c r="B1367" s="8" t="s">
        <v>629</v>
      </c>
      <c r="C1367" s="7" t="s">
        <v>630</v>
      </c>
      <c r="D1367" s="294"/>
      <c r="E1367" s="295"/>
      <c r="F1367" s="295"/>
      <c r="G1367" s="295"/>
      <c r="H1367" s="295"/>
      <c r="I1367" s="295"/>
      <c r="J1367" s="295"/>
      <c r="K1367" s="295"/>
      <c r="L1367" s="295"/>
      <c r="M1367" s="295"/>
      <c r="N1367" s="295"/>
      <c r="O1367" s="295"/>
      <c r="P1367" s="295"/>
      <c r="Q1367" s="295"/>
      <c r="R1367" s="295"/>
      <c r="S1367" s="295"/>
      <c r="T1367" s="295"/>
      <c r="U1367" s="295"/>
      <c r="V1367" s="295"/>
      <c r="W1367" s="295"/>
      <c r="X1367" s="295"/>
      <c r="Y1367" s="295"/>
      <c r="Z1367" s="295"/>
      <c r="AA1367" s="295"/>
      <c r="AB1367" s="295"/>
      <c r="AC1367" s="295"/>
      <c r="AD1367" s="295"/>
      <c r="AE1367" s="295"/>
      <c r="AF1367" s="295"/>
      <c r="AG1367" s="295"/>
      <c r="AH1367" s="295"/>
      <c r="AI1367" s="296"/>
      <c r="AJ1367" s="11" t="s">
        <v>158</v>
      </c>
    </row>
    <row r="1368" spans="1:36" ht="36" x14ac:dyDescent="0.2">
      <c r="A1368" s="7" t="s">
        <v>631</v>
      </c>
      <c r="B1368" s="8" t="s">
        <v>632</v>
      </c>
      <c r="C1368" s="7" t="s">
        <v>633</v>
      </c>
      <c r="D1368" s="294"/>
      <c r="E1368" s="295"/>
      <c r="F1368" s="295"/>
      <c r="G1368" s="295"/>
      <c r="H1368" s="295"/>
      <c r="I1368" s="295"/>
      <c r="J1368" s="295"/>
      <c r="K1368" s="295"/>
      <c r="L1368" s="295"/>
      <c r="M1368" s="295"/>
      <c r="N1368" s="295"/>
      <c r="O1368" s="295"/>
      <c r="P1368" s="295"/>
      <c r="Q1368" s="295"/>
      <c r="R1368" s="295"/>
      <c r="S1368" s="295"/>
      <c r="T1368" s="295"/>
      <c r="U1368" s="295"/>
      <c r="V1368" s="295"/>
      <c r="W1368" s="295"/>
      <c r="X1368" s="295"/>
      <c r="Y1368" s="295"/>
      <c r="Z1368" s="295"/>
      <c r="AA1368" s="295"/>
      <c r="AB1368" s="295"/>
      <c r="AC1368" s="295"/>
      <c r="AD1368" s="295"/>
      <c r="AE1368" s="295"/>
      <c r="AF1368" s="295"/>
      <c r="AG1368" s="295"/>
      <c r="AH1368" s="295"/>
      <c r="AI1368" s="296"/>
      <c r="AJ1368" s="11" t="s">
        <v>158</v>
      </c>
    </row>
    <row r="1369" spans="1:36" ht="24" x14ac:dyDescent="0.2">
      <c r="A1369" s="7" t="s">
        <v>634</v>
      </c>
      <c r="B1369" s="8" t="s">
        <v>635</v>
      </c>
      <c r="C1369" s="7" t="s">
        <v>636</v>
      </c>
      <c r="D1369" s="294"/>
      <c r="E1369" s="295"/>
      <c r="F1369" s="295"/>
      <c r="G1369" s="295"/>
      <c r="H1369" s="295"/>
      <c r="I1369" s="295"/>
      <c r="J1369" s="295"/>
      <c r="K1369" s="295"/>
      <c r="L1369" s="295"/>
      <c r="M1369" s="295"/>
      <c r="N1369" s="295"/>
      <c r="O1369" s="295"/>
      <c r="P1369" s="295"/>
      <c r="Q1369" s="295"/>
      <c r="R1369" s="295"/>
      <c r="S1369" s="295"/>
      <c r="T1369" s="295"/>
      <c r="U1369" s="295"/>
      <c r="V1369" s="295"/>
      <c r="W1369" s="295"/>
      <c r="X1369" s="295"/>
      <c r="Y1369" s="295"/>
      <c r="Z1369" s="295"/>
      <c r="AA1369" s="295"/>
      <c r="AB1369" s="295"/>
      <c r="AC1369" s="295"/>
      <c r="AD1369" s="295"/>
      <c r="AE1369" s="295"/>
      <c r="AF1369" s="295"/>
      <c r="AG1369" s="295"/>
      <c r="AH1369" s="295"/>
      <c r="AI1369" s="296"/>
      <c r="AJ1369" s="11" t="s">
        <v>158</v>
      </c>
    </row>
    <row r="1370" spans="1:36" ht="36" x14ac:dyDescent="0.2">
      <c r="A1370" s="7" t="s">
        <v>637</v>
      </c>
      <c r="B1370" s="8" t="s">
        <v>638</v>
      </c>
      <c r="C1370" s="7" t="s">
        <v>639</v>
      </c>
      <c r="D1370" s="294"/>
      <c r="E1370" s="295"/>
      <c r="F1370" s="295"/>
      <c r="G1370" s="295"/>
      <c r="H1370" s="295"/>
      <c r="I1370" s="295"/>
      <c r="J1370" s="295"/>
      <c r="K1370" s="295"/>
      <c r="L1370" s="295"/>
      <c r="M1370" s="295"/>
      <c r="N1370" s="295"/>
      <c r="O1370" s="295"/>
      <c r="P1370" s="295"/>
      <c r="Q1370" s="295"/>
      <c r="R1370" s="295"/>
      <c r="S1370" s="295"/>
      <c r="T1370" s="295"/>
      <c r="U1370" s="295"/>
      <c r="V1370" s="295"/>
      <c r="W1370" s="295"/>
      <c r="X1370" s="295"/>
      <c r="Y1370" s="295"/>
      <c r="Z1370" s="295"/>
      <c r="AA1370" s="295"/>
      <c r="AB1370" s="295"/>
      <c r="AC1370" s="295"/>
      <c r="AD1370" s="295"/>
      <c r="AE1370" s="295"/>
      <c r="AF1370" s="295"/>
      <c r="AG1370" s="295"/>
      <c r="AH1370" s="295"/>
      <c r="AI1370" s="296"/>
      <c r="AJ1370" s="11" t="s">
        <v>158</v>
      </c>
    </row>
    <row r="1371" spans="1:36" x14ac:dyDescent="0.2">
      <c r="A1371" s="48" t="s">
        <v>640</v>
      </c>
      <c r="B1371" s="269" t="s">
        <v>641</v>
      </c>
      <c r="C1371" s="269"/>
      <c r="D1371" s="269"/>
      <c r="E1371" s="269"/>
      <c r="F1371" s="269"/>
      <c r="G1371" s="269"/>
      <c r="H1371" s="269"/>
      <c r="I1371" s="269"/>
      <c r="J1371" s="269"/>
      <c r="K1371" s="269"/>
      <c r="L1371" s="269"/>
      <c r="M1371" s="269"/>
      <c r="N1371" s="269"/>
      <c r="O1371" s="269"/>
      <c r="P1371" s="269"/>
      <c r="Q1371" s="269"/>
      <c r="R1371" s="269"/>
      <c r="S1371" s="269"/>
      <c r="T1371" s="269"/>
      <c r="U1371" s="269"/>
      <c r="V1371" s="269"/>
      <c r="W1371" s="269"/>
      <c r="X1371" s="269"/>
      <c r="Y1371" s="269"/>
      <c r="Z1371" s="269"/>
      <c r="AA1371" s="269"/>
      <c r="AB1371" s="269"/>
      <c r="AC1371" s="269"/>
      <c r="AD1371" s="269"/>
      <c r="AE1371" s="269"/>
      <c r="AF1371" s="269"/>
      <c r="AG1371" s="269"/>
      <c r="AH1371" s="269"/>
      <c r="AI1371" s="269"/>
      <c r="AJ1371" s="269"/>
    </row>
    <row r="1372" spans="1:36" ht="24" x14ac:dyDescent="0.2">
      <c r="A1372" s="7" t="s">
        <v>642</v>
      </c>
      <c r="B1372" s="8" t="s">
        <v>643</v>
      </c>
      <c r="C1372" s="7" t="s">
        <v>644</v>
      </c>
      <c r="D1372" s="294"/>
      <c r="E1372" s="295"/>
      <c r="F1372" s="295"/>
      <c r="G1372" s="295"/>
      <c r="H1372" s="295"/>
      <c r="I1372" s="295"/>
      <c r="J1372" s="295"/>
      <c r="K1372" s="295"/>
      <c r="L1372" s="295"/>
      <c r="M1372" s="295"/>
      <c r="N1372" s="295"/>
      <c r="O1372" s="295"/>
      <c r="P1372" s="295"/>
      <c r="Q1372" s="295"/>
      <c r="R1372" s="295"/>
      <c r="S1372" s="295"/>
      <c r="T1372" s="295"/>
      <c r="U1372" s="295"/>
      <c r="V1372" s="295"/>
      <c r="W1372" s="295"/>
      <c r="X1372" s="295"/>
      <c r="Y1372" s="295"/>
      <c r="Z1372" s="295"/>
      <c r="AA1372" s="295"/>
      <c r="AB1372" s="295"/>
      <c r="AC1372" s="295"/>
      <c r="AD1372" s="295"/>
      <c r="AE1372" s="295"/>
      <c r="AF1372" s="295"/>
      <c r="AG1372" s="295"/>
      <c r="AH1372" s="295"/>
      <c r="AI1372" s="296"/>
      <c r="AJ1372" s="11" t="s">
        <v>158</v>
      </c>
    </row>
    <row r="1373" spans="1:36" ht="36" x14ac:dyDescent="0.2">
      <c r="A1373" s="7" t="s">
        <v>645</v>
      </c>
      <c r="B1373" s="8" t="s">
        <v>626</v>
      </c>
      <c r="C1373" s="7" t="s">
        <v>627</v>
      </c>
      <c r="D1373" s="294"/>
      <c r="E1373" s="295"/>
      <c r="F1373" s="295"/>
      <c r="G1373" s="295"/>
      <c r="H1373" s="295"/>
      <c r="I1373" s="295"/>
      <c r="J1373" s="295"/>
      <c r="K1373" s="295"/>
      <c r="L1373" s="295"/>
      <c r="M1373" s="295"/>
      <c r="N1373" s="295"/>
      <c r="O1373" s="295"/>
      <c r="P1373" s="295"/>
      <c r="Q1373" s="295"/>
      <c r="R1373" s="295"/>
      <c r="S1373" s="295"/>
      <c r="T1373" s="295"/>
      <c r="U1373" s="295"/>
      <c r="V1373" s="295"/>
      <c r="W1373" s="295"/>
      <c r="X1373" s="295"/>
      <c r="Y1373" s="295"/>
      <c r="Z1373" s="295"/>
      <c r="AA1373" s="295"/>
      <c r="AB1373" s="295"/>
      <c r="AC1373" s="295"/>
      <c r="AD1373" s="295"/>
      <c r="AE1373" s="295"/>
      <c r="AF1373" s="295"/>
      <c r="AG1373" s="295"/>
      <c r="AH1373" s="295"/>
      <c r="AI1373" s="296"/>
      <c r="AJ1373" s="11" t="s">
        <v>158</v>
      </c>
    </row>
    <row r="1374" spans="1:36" ht="48" x14ac:dyDescent="0.2">
      <c r="A1374" s="7" t="s">
        <v>646</v>
      </c>
      <c r="B1374" s="8" t="s">
        <v>647</v>
      </c>
      <c r="C1374" s="7" t="s">
        <v>648</v>
      </c>
      <c r="D1374" s="294"/>
      <c r="E1374" s="295"/>
      <c r="F1374" s="295"/>
      <c r="G1374" s="295"/>
      <c r="H1374" s="295"/>
      <c r="I1374" s="295"/>
      <c r="J1374" s="295"/>
      <c r="K1374" s="295"/>
      <c r="L1374" s="295"/>
      <c r="M1374" s="295"/>
      <c r="N1374" s="295"/>
      <c r="O1374" s="295"/>
      <c r="P1374" s="295"/>
      <c r="Q1374" s="295"/>
      <c r="R1374" s="295"/>
      <c r="S1374" s="295"/>
      <c r="T1374" s="295"/>
      <c r="U1374" s="295"/>
      <c r="V1374" s="295"/>
      <c r="W1374" s="295"/>
      <c r="X1374" s="295"/>
      <c r="Y1374" s="295"/>
      <c r="Z1374" s="295"/>
      <c r="AA1374" s="295"/>
      <c r="AB1374" s="295"/>
      <c r="AC1374" s="295"/>
      <c r="AD1374" s="295"/>
      <c r="AE1374" s="295"/>
      <c r="AF1374" s="295"/>
      <c r="AG1374" s="295"/>
      <c r="AH1374" s="295"/>
      <c r="AI1374" s="296"/>
      <c r="AJ1374" s="11" t="s">
        <v>158</v>
      </c>
    </row>
    <row r="1375" spans="1:36" ht="36" x14ac:dyDescent="0.2">
      <c r="A1375" s="7" t="s">
        <v>649</v>
      </c>
      <c r="B1375" s="8" t="s">
        <v>632</v>
      </c>
      <c r="C1375" s="7" t="s">
        <v>633</v>
      </c>
      <c r="D1375" s="294"/>
      <c r="E1375" s="295"/>
      <c r="F1375" s="295"/>
      <c r="G1375" s="295"/>
      <c r="H1375" s="295"/>
      <c r="I1375" s="295"/>
      <c r="J1375" s="295"/>
      <c r="K1375" s="295"/>
      <c r="L1375" s="295"/>
      <c r="M1375" s="295"/>
      <c r="N1375" s="295"/>
      <c r="O1375" s="295"/>
      <c r="P1375" s="295"/>
      <c r="Q1375" s="295"/>
      <c r="R1375" s="295"/>
      <c r="S1375" s="295"/>
      <c r="T1375" s="295"/>
      <c r="U1375" s="295"/>
      <c r="V1375" s="295"/>
      <c r="W1375" s="295"/>
      <c r="X1375" s="295"/>
      <c r="Y1375" s="295"/>
      <c r="Z1375" s="295"/>
      <c r="AA1375" s="295"/>
      <c r="AB1375" s="295"/>
      <c r="AC1375" s="295"/>
      <c r="AD1375" s="295"/>
      <c r="AE1375" s="295"/>
      <c r="AF1375" s="295"/>
      <c r="AG1375" s="295"/>
      <c r="AH1375" s="295"/>
      <c r="AI1375" s="296"/>
      <c r="AJ1375" s="11" t="s">
        <v>158</v>
      </c>
    </row>
    <row r="1376" spans="1:36" ht="24" x14ac:dyDescent="0.2">
      <c r="A1376" s="7" t="s">
        <v>650</v>
      </c>
      <c r="B1376" s="8" t="s">
        <v>635</v>
      </c>
      <c r="C1376" s="7" t="s">
        <v>636</v>
      </c>
      <c r="D1376" s="294"/>
      <c r="E1376" s="295"/>
      <c r="F1376" s="295"/>
      <c r="G1376" s="295"/>
      <c r="H1376" s="295"/>
      <c r="I1376" s="295"/>
      <c r="J1376" s="295"/>
      <c r="K1376" s="295"/>
      <c r="L1376" s="295"/>
      <c r="M1376" s="295"/>
      <c r="N1376" s="295"/>
      <c r="O1376" s="295"/>
      <c r="P1376" s="295"/>
      <c r="Q1376" s="295"/>
      <c r="R1376" s="295"/>
      <c r="S1376" s="295"/>
      <c r="T1376" s="295"/>
      <c r="U1376" s="295"/>
      <c r="V1376" s="295"/>
      <c r="W1376" s="295"/>
      <c r="X1376" s="295"/>
      <c r="Y1376" s="295"/>
      <c r="Z1376" s="295"/>
      <c r="AA1376" s="295"/>
      <c r="AB1376" s="295"/>
      <c r="AC1376" s="295"/>
      <c r="AD1376" s="295"/>
      <c r="AE1376" s="295"/>
      <c r="AF1376" s="295"/>
      <c r="AG1376" s="295"/>
      <c r="AH1376" s="295"/>
      <c r="AI1376" s="296"/>
      <c r="AJ1376" s="11" t="s">
        <v>158</v>
      </c>
    </row>
    <row r="1377" spans="1:36" ht="24" x14ac:dyDescent="0.2">
      <c r="A1377" s="7" t="s">
        <v>651</v>
      </c>
      <c r="B1377" s="8" t="s">
        <v>652</v>
      </c>
      <c r="C1377" s="7" t="s">
        <v>653</v>
      </c>
      <c r="D1377" s="294"/>
      <c r="E1377" s="295"/>
      <c r="F1377" s="295"/>
      <c r="G1377" s="295"/>
      <c r="H1377" s="295"/>
      <c r="I1377" s="295"/>
      <c r="J1377" s="295"/>
      <c r="K1377" s="295"/>
      <c r="L1377" s="295"/>
      <c r="M1377" s="295"/>
      <c r="N1377" s="295"/>
      <c r="O1377" s="295"/>
      <c r="P1377" s="295"/>
      <c r="Q1377" s="295"/>
      <c r="R1377" s="295"/>
      <c r="S1377" s="295"/>
      <c r="T1377" s="295"/>
      <c r="U1377" s="295"/>
      <c r="V1377" s="295"/>
      <c r="W1377" s="295"/>
      <c r="X1377" s="295"/>
      <c r="Y1377" s="295"/>
      <c r="Z1377" s="295"/>
      <c r="AA1377" s="295"/>
      <c r="AB1377" s="295"/>
      <c r="AC1377" s="295"/>
      <c r="AD1377" s="295"/>
      <c r="AE1377" s="295"/>
      <c r="AF1377" s="295"/>
      <c r="AG1377" s="295"/>
      <c r="AH1377" s="295"/>
      <c r="AI1377" s="296"/>
      <c r="AJ1377" s="11" t="s">
        <v>158</v>
      </c>
    </row>
    <row r="1378" spans="1:36" x14ac:dyDescent="0.2">
      <c r="A1378" s="7" t="s">
        <v>654</v>
      </c>
      <c r="B1378" s="8" t="s">
        <v>655</v>
      </c>
      <c r="C1378" s="7" t="s">
        <v>656</v>
      </c>
      <c r="D1378" s="294"/>
      <c r="E1378" s="295"/>
      <c r="F1378" s="295"/>
      <c r="G1378" s="295"/>
      <c r="H1378" s="295"/>
      <c r="I1378" s="295"/>
      <c r="J1378" s="295"/>
      <c r="K1378" s="295"/>
      <c r="L1378" s="295"/>
      <c r="M1378" s="295"/>
      <c r="N1378" s="295"/>
      <c r="O1378" s="295"/>
      <c r="P1378" s="295"/>
      <c r="Q1378" s="295"/>
      <c r="R1378" s="295"/>
      <c r="S1378" s="295"/>
      <c r="T1378" s="295"/>
      <c r="U1378" s="295"/>
      <c r="V1378" s="295"/>
      <c r="W1378" s="295"/>
      <c r="X1378" s="295"/>
      <c r="Y1378" s="295"/>
      <c r="Z1378" s="295"/>
      <c r="AA1378" s="295"/>
      <c r="AB1378" s="295"/>
      <c r="AC1378" s="295"/>
      <c r="AD1378" s="295"/>
      <c r="AE1378" s="295"/>
      <c r="AF1378" s="295"/>
      <c r="AG1378" s="295"/>
      <c r="AH1378" s="295"/>
      <c r="AI1378" s="296"/>
      <c r="AJ1378" s="11" t="s">
        <v>14</v>
      </c>
    </row>
    <row r="1379" spans="1:36" ht="36" x14ac:dyDescent="0.2">
      <c r="A1379" s="7" t="s">
        <v>657</v>
      </c>
      <c r="B1379" s="8" t="s">
        <v>148</v>
      </c>
      <c r="C1379" s="7" t="s">
        <v>149</v>
      </c>
      <c r="D1379" s="294"/>
      <c r="E1379" s="295"/>
      <c r="F1379" s="295"/>
      <c r="G1379" s="295"/>
      <c r="H1379" s="295"/>
      <c r="I1379" s="295"/>
      <c r="J1379" s="295"/>
      <c r="K1379" s="295"/>
      <c r="L1379" s="295"/>
      <c r="M1379" s="295"/>
      <c r="N1379" s="295"/>
      <c r="O1379" s="295"/>
      <c r="P1379" s="295"/>
      <c r="Q1379" s="295"/>
      <c r="R1379" s="295"/>
      <c r="S1379" s="295"/>
      <c r="T1379" s="295"/>
      <c r="U1379" s="295"/>
      <c r="V1379" s="295"/>
      <c r="W1379" s="295"/>
      <c r="X1379" s="295"/>
      <c r="Y1379" s="295"/>
      <c r="Z1379" s="295"/>
      <c r="AA1379" s="295"/>
      <c r="AB1379" s="295"/>
      <c r="AC1379" s="295"/>
      <c r="AD1379" s="295"/>
      <c r="AE1379" s="295"/>
      <c r="AF1379" s="295"/>
      <c r="AG1379" s="295"/>
      <c r="AH1379" s="295"/>
      <c r="AI1379" s="296"/>
      <c r="AJ1379" s="11" t="s">
        <v>19</v>
      </c>
    </row>
    <row r="1380" spans="1:36" x14ac:dyDescent="0.2">
      <c r="A1380" s="48" t="s">
        <v>658</v>
      </c>
      <c r="B1380" s="269" t="s">
        <v>659</v>
      </c>
      <c r="C1380" s="269"/>
      <c r="D1380" s="269"/>
      <c r="E1380" s="269"/>
      <c r="F1380" s="269"/>
      <c r="G1380" s="269"/>
      <c r="H1380" s="269"/>
      <c r="I1380" s="269"/>
      <c r="J1380" s="269"/>
      <c r="K1380" s="269"/>
      <c r="L1380" s="269"/>
      <c r="M1380" s="269"/>
      <c r="N1380" s="269"/>
      <c r="O1380" s="269"/>
      <c r="P1380" s="269"/>
      <c r="Q1380" s="269"/>
      <c r="R1380" s="269"/>
      <c r="S1380" s="269"/>
      <c r="T1380" s="269"/>
      <c r="U1380" s="269"/>
      <c r="V1380" s="269"/>
      <c r="W1380" s="269"/>
      <c r="X1380" s="269"/>
      <c r="Y1380" s="269"/>
      <c r="Z1380" s="269"/>
      <c r="AA1380" s="269"/>
      <c r="AB1380" s="269"/>
      <c r="AC1380" s="269"/>
      <c r="AD1380" s="269"/>
      <c r="AE1380" s="269"/>
      <c r="AF1380" s="269"/>
      <c r="AG1380" s="269"/>
      <c r="AH1380" s="269"/>
      <c r="AI1380" s="269"/>
      <c r="AJ1380" s="269"/>
    </row>
    <row r="1381" spans="1:36" ht="48" x14ac:dyDescent="0.2">
      <c r="A1381" s="7" t="s">
        <v>660</v>
      </c>
      <c r="B1381" s="8" t="s">
        <v>661</v>
      </c>
      <c r="C1381" s="7" t="s">
        <v>662</v>
      </c>
      <c r="D1381" s="294"/>
      <c r="E1381" s="295"/>
      <c r="F1381" s="295"/>
      <c r="G1381" s="295"/>
      <c r="H1381" s="295"/>
      <c r="I1381" s="295"/>
      <c r="J1381" s="295"/>
      <c r="K1381" s="295"/>
      <c r="L1381" s="295"/>
      <c r="M1381" s="295"/>
      <c r="N1381" s="295"/>
      <c r="O1381" s="295"/>
      <c r="P1381" s="295"/>
      <c r="Q1381" s="295"/>
      <c r="R1381" s="295"/>
      <c r="S1381" s="295"/>
      <c r="T1381" s="295"/>
      <c r="U1381" s="295"/>
      <c r="V1381" s="295"/>
      <c r="W1381" s="295"/>
      <c r="X1381" s="295"/>
      <c r="Y1381" s="295"/>
      <c r="Z1381" s="295"/>
      <c r="AA1381" s="295"/>
      <c r="AB1381" s="295"/>
      <c r="AC1381" s="295"/>
      <c r="AD1381" s="295"/>
      <c r="AE1381" s="295"/>
      <c r="AF1381" s="295"/>
      <c r="AG1381" s="295"/>
      <c r="AH1381" s="295"/>
      <c r="AI1381" s="296"/>
      <c r="AJ1381" s="11" t="s">
        <v>158</v>
      </c>
    </row>
    <row r="1382" spans="1:36" ht="36" x14ac:dyDescent="0.2">
      <c r="A1382" s="7" t="s">
        <v>663</v>
      </c>
      <c r="B1382" s="8" t="s">
        <v>626</v>
      </c>
      <c r="C1382" s="7" t="s">
        <v>627</v>
      </c>
      <c r="D1382" s="294"/>
      <c r="E1382" s="295"/>
      <c r="F1382" s="295"/>
      <c r="G1382" s="295"/>
      <c r="H1382" s="295"/>
      <c r="I1382" s="295"/>
      <c r="J1382" s="295"/>
      <c r="K1382" s="295"/>
      <c r="L1382" s="295"/>
      <c r="M1382" s="295"/>
      <c r="N1382" s="295"/>
      <c r="O1382" s="295"/>
      <c r="P1382" s="295"/>
      <c r="Q1382" s="295"/>
      <c r="R1382" s="295"/>
      <c r="S1382" s="295"/>
      <c r="T1382" s="295"/>
      <c r="U1382" s="295"/>
      <c r="V1382" s="295"/>
      <c r="W1382" s="295"/>
      <c r="X1382" s="295"/>
      <c r="Y1382" s="295"/>
      <c r="Z1382" s="295"/>
      <c r="AA1382" s="295"/>
      <c r="AB1382" s="295"/>
      <c r="AC1382" s="295"/>
      <c r="AD1382" s="295"/>
      <c r="AE1382" s="295"/>
      <c r="AF1382" s="295"/>
      <c r="AG1382" s="295"/>
      <c r="AH1382" s="295"/>
      <c r="AI1382" s="296"/>
      <c r="AJ1382" s="11" t="s">
        <v>158</v>
      </c>
    </row>
    <row r="1383" spans="1:36" ht="48" x14ac:dyDescent="0.2">
      <c r="A1383" s="7" t="s">
        <v>664</v>
      </c>
      <c r="B1383" s="8" t="s">
        <v>647</v>
      </c>
      <c r="C1383" s="7" t="s">
        <v>648</v>
      </c>
      <c r="D1383" s="294"/>
      <c r="E1383" s="295"/>
      <c r="F1383" s="295"/>
      <c r="G1383" s="295"/>
      <c r="H1383" s="295"/>
      <c r="I1383" s="295"/>
      <c r="J1383" s="295"/>
      <c r="K1383" s="295"/>
      <c r="L1383" s="295"/>
      <c r="M1383" s="295"/>
      <c r="N1383" s="295"/>
      <c r="O1383" s="295"/>
      <c r="P1383" s="295"/>
      <c r="Q1383" s="295"/>
      <c r="R1383" s="295"/>
      <c r="S1383" s="295"/>
      <c r="T1383" s="295"/>
      <c r="U1383" s="295"/>
      <c r="V1383" s="295"/>
      <c r="W1383" s="295"/>
      <c r="X1383" s="295"/>
      <c r="Y1383" s="295"/>
      <c r="Z1383" s="295"/>
      <c r="AA1383" s="295"/>
      <c r="AB1383" s="295"/>
      <c r="AC1383" s="295"/>
      <c r="AD1383" s="295"/>
      <c r="AE1383" s="295"/>
      <c r="AF1383" s="295"/>
      <c r="AG1383" s="295"/>
      <c r="AH1383" s="295"/>
      <c r="AI1383" s="296"/>
      <c r="AJ1383" s="11" t="s">
        <v>158</v>
      </c>
    </row>
    <row r="1384" spans="1:36" ht="36" x14ac:dyDescent="0.2">
      <c r="A1384" s="7" t="s">
        <v>665</v>
      </c>
      <c r="B1384" s="8" t="s">
        <v>632</v>
      </c>
      <c r="C1384" s="7" t="s">
        <v>633</v>
      </c>
      <c r="D1384" s="294"/>
      <c r="E1384" s="295"/>
      <c r="F1384" s="295"/>
      <c r="G1384" s="295"/>
      <c r="H1384" s="295"/>
      <c r="I1384" s="295"/>
      <c r="J1384" s="295"/>
      <c r="K1384" s="295"/>
      <c r="L1384" s="295"/>
      <c r="M1384" s="295"/>
      <c r="N1384" s="295"/>
      <c r="O1384" s="295"/>
      <c r="P1384" s="295"/>
      <c r="Q1384" s="295"/>
      <c r="R1384" s="295"/>
      <c r="S1384" s="295"/>
      <c r="T1384" s="295"/>
      <c r="U1384" s="295"/>
      <c r="V1384" s="295"/>
      <c r="W1384" s="295"/>
      <c r="X1384" s="295"/>
      <c r="Y1384" s="295"/>
      <c r="Z1384" s="295"/>
      <c r="AA1384" s="295"/>
      <c r="AB1384" s="295"/>
      <c r="AC1384" s="295"/>
      <c r="AD1384" s="295"/>
      <c r="AE1384" s="295"/>
      <c r="AF1384" s="295"/>
      <c r="AG1384" s="295"/>
      <c r="AH1384" s="295"/>
      <c r="AI1384" s="296"/>
      <c r="AJ1384" s="11" t="s">
        <v>158</v>
      </c>
    </row>
    <row r="1385" spans="1:36" ht="24" x14ac:dyDescent="0.2">
      <c r="A1385" s="7" t="s">
        <v>666</v>
      </c>
      <c r="B1385" s="8" t="s">
        <v>635</v>
      </c>
      <c r="C1385" s="7" t="s">
        <v>636</v>
      </c>
      <c r="D1385" s="294"/>
      <c r="E1385" s="295"/>
      <c r="F1385" s="295"/>
      <c r="G1385" s="295"/>
      <c r="H1385" s="295"/>
      <c r="I1385" s="295"/>
      <c r="J1385" s="295"/>
      <c r="K1385" s="295"/>
      <c r="L1385" s="295"/>
      <c r="M1385" s="295"/>
      <c r="N1385" s="295"/>
      <c r="O1385" s="295"/>
      <c r="P1385" s="295"/>
      <c r="Q1385" s="295"/>
      <c r="R1385" s="295"/>
      <c r="S1385" s="295"/>
      <c r="T1385" s="295"/>
      <c r="U1385" s="295"/>
      <c r="V1385" s="295"/>
      <c r="W1385" s="295"/>
      <c r="X1385" s="295"/>
      <c r="Y1385" s="295"/>
      <c r="Z1385" s="295"/>
      <c r="AA1385" s="295"/>
      <c r="AB1385" s="295"/>
      <c r="AC1385" s="295"/>
      <c r="AD1385" s="295"/>
      <c r="AE1385" s="295"/>
      <c r="AF1385" s="295"/>
      <c r="AG1385" s="295"/>
      <c r="AH1385" s="295"/>
      <c r="AI1385" s="296"/>
      <c r="AJ1385" s="11" t="s">
        <v>158</v>
      </c>
    </row>
    <row r="1386" spans="1:36" ht="24" x14ac:dyDescent="0.2">
      <c r="A1386" s="7" t="s">
        <v>667</v>
      </c>
      <c r="B1386" s="8" t="s">
        <v>652</v>
      </c>
      <c r="C1386" s="7" t="s">
        <v>653</v>
      </c>
      <c r="D1386" s="294"/>
      <c r="E1386" s="295"/>
      <c r="F1386" s="295"/>
      <c r="G1386" s="295"/>
      <c r="H1386" s="295"/>
      <c r="I1386" s="295"/>
      <c r="J1386" s="295"/>
      <c r="K1386" s="295"/>
      <c r="L1386" s="295"/>
      <c r="M1386" s="295"/>
      <c r="N1386" s="295"/>
      <c r="O1386" s="295"/>
      <c r="P1386" s="295"/>
      <c r="Q1386" s="295"/>
      <c r="R1386" s="295"/>
      <c r="S1386" s="295"/>
      <c r="T1386" s="295"/>
      <c r="U1386" s="295"/>
      <c r="V1386" s="295"/>
      <c r="W1386" s="295"/>
      <c r="X1386" s="295"/>
      <c r="Y1386" s="295"/>
      <c r="Z1386" s="295"/>
      <c r="AA1386" s="295"/>
      <c r="AB1386" s="295"/>
      <c r="AC1386" s="295"/>
      <c r="AD1386" s="295"/>
      <c r="AE1386" s="295"/>
      <c r="AF1386" s="295"/>
      <c r="AG1386" s="295"/>
      <c r="AH1386" s="295"/>
      <c r="AI1386" s="296"/>
      <c r="AJ1386" s="11" t="s">
        <v>158</v>
      </c>
    </row>
    <row r="1387" spans="1:36" x14ac:dyDescent="0.2">
      <c r="A1387" s="7" t="s">
        <v>668</v>
      </c>
      <c r="B1387" s="8" t="s">
        <v>655</v>
      </c>
      <c r="C1387" s="7" t="s">
        <v>656</v>
      </c>
      <c r="D1387" s="294"/>
      <c r="E1387" s="295"/>
      <c r="F1387" s="295"/>
      <c r="G1387" s="295"/>
      <c r="H1387" s="295"/>
      <c r="I1387" s="295"/>
      <c r="J1387" s="295"/>
      <c r="K1387" s="295"/>
      <c r="L1387" s="295"/>
      <c r="M1387" s="295"/>
      <c r="N1387" s="295"/>
      <c r="O1387" s="295"/>
      <c r="P1387" s="295"/>
      <c r="Q1387" s="295"/>
      <c r="R1387" s="295"/>
      <c r="S1387" s="295"/>
      <c r="T1387" s="295"/>
      <c r="U1387" s="295"/>
      <c r="V1387" s="295"/>
      <c r="W1387" s="295"/>
      <c r="X1387" s="295"/>
      <c r="Y1387" s="295"/>
      <c r="Z1387" s="295"/>
      <c r="AA1387" s="295"/>
      <c r="AB1387" s="295"/>
      <c r="AC1387" s="295"/>
      <c r="AD1387" s="295"/>
      <c r="AE1387" s="295"/>
      <c r="AF1387" s="295"/>
      <c r="AG1387" s="295"/>
      <c r="AH1387" s="295"/>
      <c r="AI1387" s="296"/>
      <c r="AJ1387" s="11" t="s">
        <v>14</v>
      </c>
    </row>
    <row r="1388" spans="1:36" x14ac:dyDescent="0.2">
      <c r="A1388" s="7" t="s">
        <v>669</v>
      </c>
      <c r="B1388" s="8" t="s">
        <v>655</v>
      </c>
      <c r="C1388" s="7" t="s">
        <v>656</v>
      </c>
      <c r="D1388" s="294"/>
      <c r="E1388" s="295"/>
      <c r="F1388" s="295"/>
      <c r="G1388" s="295"/>
      <c r="H1388" s="295"/>
      <c r="I1388" s="295"/>
      <c r="J1388" s="295"/>
      <c r="K1388" s="295"/>
      <c r="L1388" s="295"/>
      <c r="M1388" s="295"/>
      <c r="N1388" s="295"/>
      <c r="O1388" s="295"/>
      <c r="P1388" s="295"/>
      <c r="Q1388" s="295"/>
      <c r="R1388" s="295"/>
      <c r="S1388" s="295"/>
      <c r="T1388" s="295"/>
      <c r="U1388" s="295"/>
      <c r="V1388" s="295"/>
      <c r="W1388" s="295"/>
      <c r="X1388" s="295"/>
      <c r="Y1388" s="295"/>
      <c r="Z1388" s="295"/>
      <c r="AA1388" s="295"/>
      <c r="AB1388" s="295"/>
      <c r="AC1388" s="295"/>
      <c r="AD1388" s="295"/>
      <c r="AE1388" s="295"/>
      <c r="AF1388" s="295"/>
      <c r="AG1388" s="295"/>
      <c r="AH1388" s="295"/>
      <c r="AI1388" s="296"/>
      <c r="AJ1388" s="11" t="s">
        <v>14</v>
      </c>
    </row>
    <row r="1389" spans="1:36" x14ac:dyDescent="0.2">
      <c r="A1389" s="48" t="s">
        <v>670</v>
      </c>
      <c r="B1389" s="269" t="s">
        <v>671</v>
      </c>
      <c r="C1389" s="269"/>
      <c r="D1389" s="269"/>
      <c r="E1389" s="269"/>
      <c r="F1389" s="269"/>
      <c r="G1389" s="269"/>
      <c r="H1389" s="269"/>
      <c r="I1389" s="269"/>
      <c r="J1389" s="269"/>
      <c r="K1389" s="269"/>
      <c r="L1389" s="269"/>
      <c r="M1389" s="269"/>
      <c r="N1389" s="269"/>
      <c r="O1389" s="269"/>
      <c r="P1389" s="269"/>
      <c r="Q1389" s="269"/>
      <c r="R1389" s="269"/>
      <c r="S1389" s="269"/>
      <c r="T1389" s="269"/>
      <c r="U1389" s="269"/>
      <c r="V1389" s="269"/>
      <c r="W1389" s="269"/>
      <c r="X1389" s="269"/>
      <c r="Y1389" s="269"/>
      <c r="Z1389" s="269"/>
      <c r="AA1389" s="269"/>
      <c r="AB1389" s="269"/>
      <c r="AC1389" s="269"/>
      <c r="AD1389" s="269"/>
      <c r="AE1389" s="269"/>
      <c r="AF1389" s="269"/>
      <c r="AG1389" s="269"/>
      <c r="AH1389" s="269"/>
      <c r="AI1389" s="269"/>
      <c r="AJ1389" s="269"/>
    </row>
    <row r="1390" spans="1:36" ht="48" x14ac:dyDescent="0.2">
      <c r="A1390" s="7" t="s">
        <v>672</v>
      </c>
      <c r="B1390" s="8" t="s">
        <v>647</v>
      </c>
      <c r="C1390" s="7" t="s">
        <v>648</v>
      </c>
      <c r="D1390" s="294"/>
      <c r="E1390" s="295"/>
      <c r="F1390" s="295"/>
      <c r="G1390" s="295"/>
      <c r="H1390" s="295"/>
      <c r="I1390" s="295"/>
      <c r="J1390" s="295"/>
      <c r="K1390" s="295"/>
      <c r="L1390" s="295"/>
      <c r="M1390" s="295"/>
      <c r="N1390" s="295"/>
      <c r="O1390" s="295"/>
      <c r="P1390" s="295"/>
      <c r="Q1390" s="295"/>
      <c r="R1390" s="295"/>
      <c r="S1390" s="295"/>
      <c r="T1390" s="295"/>
      <c r="U1390" s="295"/>
      <c r="V1390" s="295"/>
      <c r="W1390" s="295"/>
      <c r="X1390" s="295"/>
      <c r="Y1390" s="295"/>
      <c r="Z1390" s="295"/>
      <c r="AA1390" s="295"/>
      <c r="AB1390" s="295"/>
      <c r="AC1390" s="295"/>
      <c r="AD1390" s="295"/>
      <c r="AE1390" s="295"/>
      <c r="AF1390" s="295"/>
      <c r="AG1390" s="295"/>
      <c r="AH1390" s="295"/>
      <c r="AI1390" s="296"/>
      <c r="AJ1390" s="11" t="s">
        <v>158</v>
      </c>
    </row>
    <row r="1391" spans="1:36" ht="48" x14ac:dyDescent="0.2">
      <c r="A1391" s="7" t="s">
        <v>673</v>
      </c>
      <c r="B1391" s="8" t="s">
        <v>674</v>
      </c>
      <c r="C1391" s="7" t="s">
        <v>675</v>
      </c>
      <c r="D1391" s="294"/>
      <c r="E1391" s="295"/>
      <c r="F1391" s="295"/>
      <c r="G1391" s="295"/>
      <c r="H1391" s="295"/>
      <c r="I1391" s="295"/>
      <c r="J1391" s="295"/>
      <c r="K1391" s="295"/>
      <c r="L1391" s="295"/>
      <c r="M1391" s="295"/>
      <c r="N1391" s="295"/>
      <c r="O1391" s="295"/>
      <c r="P1391" s="295"/>
      <c r="Q1391" s="295"/>
      <c r="R1391" s="295"/>
      <c r="S1391" s="295"/>
      <c r="T1391" s="295"/>
      <c r="U1391" s="295"/>
      <c r="V1391" s="295"/>
      <c r="W1391" s="295"/>
      <c r="X1391" s="295"/>
      <c r="Y1391" s="295"/>
      <c r="Z1391" s="295"/>
      <c r="AA1391" s="295"/>
      <c r="AB1391" s="295"/>
      <c r="AC1391" s="295"/>
      <c r="AD1391" s="295"/>
      <c r="AE1391" s="295"/>
      <c r="AF1391" s="295"/>
      <c r="AG1391" s="295"/>
      <c r="AH1391" s="295"/>
      <c r="AI1391" s="296"/>
      <c r="AJ1391" s="11" t="s">
        <v>158</v>
      </c>
    </row>
    <row r="1392" spans="1:36" ht="36" x14ac:dyDescent="0.2">
      <c r="A1392" s="7" t="s">
        <v>676</v>
      </c>
      <c r="B1392" s="8" t="s">
        <v>632</v>
      </c>
      <c r="C1392" s="7" t="s">
        <v>633</v>
      </c>
      <c r="D1392" s="294"/>
      <c r="E1392" s="295"/>
      <c r="F1392" s="295"/>
      <c r="G1392" s="295"/>
      <c r="H1392" s="295"/>
      <c r="I1392" s="295"/>
      <c r="J1392" s="295"/>
      <c r="K1392" s="295"/>
      <c r="L1392" s="295"/>
      <c r="M1392" s="295"/>
      <c r="N1392" s="295"/>
      <c r="O1392" s="295"/>
      <c r="P1392" s="295"/>
      <c r="Q1392" s="295"/>
      <c r="R1392" s="295"/>
      <c r="S1392" s="295"/>
      <c r="T1392" s="295"/>
      <c r="U1392" s="295"/>
      <c r="V1392" s="295"/>
      <c r="W1392" s="295"/>
      <c r="X1392" s="295"/>
      <c r="Y1392" s="295"/>
      <c r="Z1392" s="295"/>
      <c r="AA1392" s="295"/>
      <c r="AB1392" s="295"/>
      <c r="AC1392" s="295"/>
      <c r="AD1392" s="295"/>
      <c r="AE1392" s="295"/>
      <c r="AF1392" s="295"/>
      <c r="AG1392" s="295"/>
      <c r="AH1392" s="295"/>
      <c r="AI1392" s="296"/>
      <c r="AJ1392" s="11" t="s">
        <v>158</v>
      </c>
    </row>
    <row r="1393" spans="1:36" ht="24" x14ac:dyDescent="0.2">
      <c r="A1393" s="7" t="s">
        <v>677</v>
      </c>
      <c r="B1393" s="8" t="s">
        <v>678</v>
      </c>
      <c r="C1393" s="7" t="s">
        <v>679</v>
      </c>
      <c r="D1393" s="294"/>
      <c r="E1393" s="295"/>
      <c r="F1393" s="295"/>
      <c r="G1393" s="295"/>
      <c r="H1393" s="295"/>
      <c r="I1393" s="295"/>
      <c r="J1393" s="295"/>
      <c r="K1393" s="295"/>
      <c r="L1393" s="295"/>
      <c r="M1393" s="295"/>
      <c r="N1393" s="295"/>
      <c r="O1393" s="295"/>
      <c r="P1393" s="295"/>
      <c r="Q1393" s="295"/>
      <c r="R1393" s="295"/>
      <c r="S1393" s="295"/>
      <c r="T1393" s="295"/>
      <c r="U1393" s="295"/>
      <c r="V1393" s="295"/>
      <c r="W1393" s="295"/>
      <c r="X1393" s="295"/>
      <c r="Y1393" s="295"/>
      <c r="Z1393" s="295"/>
      <c r="AA1393" s="295"/>
      <c r="AB1393" s="295"/>
      <c r="AC1393" s="295"/>
      <c r="AD1393" s="295"/>
      <c r="AE1393" s="295"/>
      <c r="AF1393" s="295"/>
      <c r="AG1393" s="295"/>
      <c r="AH1393" s="295"/>
      <c r="AI1393" s="296"/>
      <c r="AJ1393" s="11" t="s">
        <v>158</v>
      </c>
    </row>
    <row r="1394" spans="1:36" x14ac:dyDescent="0.2">
      <c r="A1394" s="7" t="s">
        <v>680</v>
      </c>
      <c r="B1394" s="8" t="s">
        <v>655</v>
      </c>
      <c r="C1394" s="7" t="s">
        <v>656</v>
      </c>
      <c r="D1394" s="294"/>
      <c r="E1394" s="295"/>
      <c r="F1394" s="295"/>
      <c r="G1394" s="295"/>
      <c r="H1394" s="295"/>
      <c r="I1394" s="295"/>
      <c r="J1394" s="295"/>
      <c r="K1394" s="295"/>
      <c r="L1394" s="295"/>
      <c r="M1394" s="295"/>
      <c r="N1394" s="295"/>
      <c r="O1394" s="295"/>
      <c r="P1394" s="295"/>
      <c r="Q1394" s="295"/>
      <c r="R1394" s="295"/>
      <c r="S1394" s="295"/>
      <c r="T1394" s="295"/>
      <c r="U1394" s="295"/>
      <c r="V1394" s="295"/>
      <c r="W1394" s="295"/>
      <c r="X1394" s="295"/>
      <c r="Y1394" s="295"/>
      <c r="Z1394" s="295"/>
      <c r="AA1394" s="295"/>
      <c r="AB1394" s="295"/>
      <c r="AC1394" s="295"/>
      <c r="AD1394" s="295"/>
      <c r="AE1394" s="295"/>
      <c r="AF1394" s="295"/>
      <c r="AG1394" s="295"/>
      <c r="AH1394" s="295"/>
      <c r="AI1394" s="296"/>
      <c r="AJ1394" s="11" t="s">
        <v>14</v>
      </c>
    </row>
    <row r="1395" spans="1:36" x14ac:dyDescent="0.2">
      <c r="A1395" s="48" t="s">
        <v>681</v>
      </c>
      <c r="B1395" s="269" t="s">
        <v>682</v>
      </c>
      <c r="C1395" s="269"/>
      <c r="D1395" s="269"/>
      <c r="E1395" s="269"/>
      <c r="F1395" s="269"/>
      <c r="G1395" s="269"/>
      <c r="H1395" s="269"/>
      <c r="I1395" s="269"/>
      <c r="J1395" s="269"/>
      <c r="K1395" s="269"/>
      <c r="L1395" s="269"/>
      <c r="M1395" s="269"/>
      <c r="N1395" s="269"/>
      <c r="O1395" s="269"/>
      <c r="P1395" s="269"/>
      <c r="Q1395" s="269"/>
      <c r="R1395" s="269"/>
      <c r="S1395" s="269"/>
      <c r="T1395" s="269"/>
      <c r="U1395" s="269"/>
      <c r="V1395" s="269"/>
      <c r="W1395" s="269"/>
      <c r="X1395" s="269"/>
      <c r="Y1395" s="269"/>
      <c r="Z1395" s="269"/>
      <c r="AA1395" s="269"/>
      <c r="AB1395" s="269"/>
      <c r="AC1395" s="269"/>
      <c r="AD1395" s="269"/>
      <c r="AE1395" s="269"/>
      <c r="AF1395" s="269"/>
      <c r="AG1395" s="269"/>
      <c r="AH1395" s="269"/>
      <c r="AI1395" s="269"/>
      <c r="AJ1395" s="269"/>
    </row>
    <row r="1396" spans="1:36" ht="24" x14ac:dyDescent="0.2">
      <c r="A1396" s="7" t="s">
        <v>683</v>
      </c>
      <c r="B1396" s="8" t="s">
        <v>684</v>
      </c>
      <c r="C1396" s="7" t="s">
        <v>685</v>
      </c>
      <c r="D1396" s="294"/>
      <c r="E1396" s="295"/>
      <c r="F1396" s="295"/>
      <c r="G1396" s="295"/>
      <c r="H1396" s="295"/>
      <c r="I1396" s="295"/>
      <c r="J1396" s="295"/>
      <c r="K1396" s="295"/>
      <c r="L1396" s="295"/>
      <c r="M1396" s="295"/>
      <c r="N1396" s="295"/>
      <c r="O1396" s="295"/>
      <c r="P1396" s="295"/>
      <c r="Q1396" s="295"/>
      <c r="R1396" s="295"/>
      <c r="S1396" s="295"/>
      <c r="T1396" s="295"/>
      <c r="U1396" s="295"/>
      <c r="V1396" s="295"/>
      <c r="W1396" s="295"/>
      <c r="X1396" s="295"/>
      <c r="Y1396" s="295"/>
      <c r="Z1396" s="295"/>
      <c r="AA1396" s="295"/>
      <c r="AB1396" s="295"/>
      <c r="AC1396" s="295"/>
      <c r="AD1396" s="295"/>
      <c r="AE1396" s="295"/>
      <c r="AF1396" s="295"/>
      <c r="AG1396" s="295"/>
      <c r="AH1396" s="295"/>
      <c r="AI1396" s="296"/>
      <c r="AJ1396" s="11" t="s">
        <v>158</v>
      </c>
    </row>
    <row r="1397" spans="1:36" ht="36" x14ac:dyDescent="0.2">
      <c r="A1397" s="7" t="s">
        <v>686</v>
      </c>
      <c r="B1397" s="8" t="s">
        <v>687</v>
      </c>
      <c r="C1397" s="7" t="s">
        <v>688</v>
      </c>
      <c r="D1397" s="294"/>
      <c r="E1397" s="295"/>
      <c r="F1397" s="295"/>
      <c r="G1397" s="295"/>
      <c r="H1397" s="295"/>
      <c r="I1397" s="295"/>
      <c r="J1397" s="295"/>
      <c r="K1397" s="295"/>
      <c r="L1397" s="295"/>
      <c r="M1397" s="295"/>
      <c r="N1397" s="295"/>
      <c r="O1397" s="295"/>
      <c r="P1397" s="295"/>
      <c r="Q1397" s="295"/>
      <c r="R1397" s="295"/>
      <c r="S1397" s="295"/>
      <c r="T1397" s="295"/>
      <c r="U1397" s="295"/>
      <c r="V1397" s="295"/>
      <c r="W1397" s="295"/>
      <c r="X1397" s="295"/>
      <c r="Y1397" s="295"/>
      <c r="Z1397" s="295"/>
      <c r="AA1397" s="295"/>
      <c r="AB1397" s="295"/>
      <c r="AC1397" s="295"/>
      <c r="AD1397" s="295"/>
      <c r="AE1397" s="295"/>
      <c r="AF1397" s="295"/>
      <c r="AG1397" s="295"/>
      <c r="AH1397" s="295"/>
      <c r="AI1397" s="296"/>
      <c r="AJ1397" s="11" t="s">
        <v>158</v>
      </c>
    </row>
    <row r="1398" spans="1:36" ht="24" x14ac:dyDescent="0.2">
      <c r="A1398" s="7" t="s">
        <v>689</v>
      </c>
      <c r="B1398" s="8" t="s">
        <v>690</v>
      </c>
      <c r="C1398" s="7" t="s">
        <v>691</v>
      </c>
      <c r="D1398" s="294"/>
      <c r="E1398" s="295"/>
      <c r="F1398" s="295"/>
      <c r="G1398" s="295"/>
      <c r="H1398" s="295"/>
      <c r="I1398" s="295"/>
      <c r="J1398" s="295"/>
      <c r="K1398" s="295"/>
      <c r="L1398" s="295"/>
      <c r="M1398" s="295"/>
      <c r="N1398" s="295"/>
      <c r="O1398" s="295"/>
      <c r="P1398" s="295"/>
      <c r="Q1398" s="295"/>
      <c r="R1398" s="295"/>
      <c r="S1398" s="295"/>
      <c r="T1398" s="295"/>
      <c r="U1398" s="295"/>
      <c r="V1398" s="295"/>
      <c r="W1398" s="295"/>
      <c r="X1398" s="295"/>
      <c r="Y1398" s="295"/>
      <c r="Z1398" s="295"/>
      <c r="AA1398" s="295"/>
      <c r="AB1398" s="295"/>
      <c r="AC1398" s="295"/>
      <c r="AD1398" s="295"/>
      <c r="AE1398" s="295"/>
      <c r="AF1398" s="295"/>
      <c r="AG1398" s="295"/>
      <c r="AH1398" s="295"/>
      <c r="AI1398" s="296"/>
      <c r="AJ1398" s="11" t="s">
        <v>19</v>
      </c>
    </row>
    <row r="1399" spans="1:36" ht="24" x14ac:dyDescent="0.2">
      <c r="A1399" s="7" t="s">
        <v>692</v>
      </c>
      <c r="B1399" s="8" t="s">
        <v>693</v>
      </c>
      <c r="C1399" s="7" t="s">
        <v>694</v>
      </c>
      <c r="D1399" s="294"/>
      <c r="E1399" s="295"/>
      <c r="F1399" s="295"/>
      <c r="G1399" s="295"/>
      <c r="H1399" s="295"/>
      <c r="I1399" s="295"/>
      <c r="J1399" s="295"/>
      <c r="K1399" s="295"/>
      <c r="L1399" s="295"/>
      <c r="M1399" s="295"/>
      <c r="N1399" s="295"/>
      <c r="O1399" s="295"/>
      <c r="P1399" s="295"/>
      <c r="Q1399" s="295"/>
      <c r="R1399" s="295"/>
      <c r="S1399" s="295"/>
      <c r="T1399" s="295"/>
      <c r="U1399" s="295"/>
      <c r="V1399" s="295"/>
      <c r="W1399" s="295"/>
      <c r="X1399" s="295"/>
      <c r="Y1399" s="295"/>
      <c r="Z1399" s="295"/>
      <c r="AA1399" s="295"/>
      <c r="AB1399" s="295"/>
      <c r="AC1399" s="295"/>
      <c r="AD1399" s="295"/>
      <c r="AE1399" s="295"/>
      <c r="AF1399" s="295"/>
      <c r="AG1399" s="295"/>
      <c r="AH1399" s="295"/>
      <c r="AI1399" s="296"/>
      <c r="AJ1399" s="11" t="s">
        <v>19</v>
      </c>
    </row>
    <row r="1400" spans="1:36" x14ac:dyDescent="0.2">
      <c r="A1400" s="125">
        <v>28</v>
      </c>
      <c r="B1400" s="251" t="s">
        <v>1119</v>
      </c>
      <c r="C1400" s="251"/>
      <c r="D1400" s="251"/>
      <c r="E1400" s="251"/>
      <c r="F1400" s="251"/>
      <c r="G1400" s="251"/>
      <c r="H1400" s="251"/>
      <c r="I1400" s="251"/>
      <c r="J1400" s="251"/>
      <c r="K1400" s="251"/>
      <c r="L1400" s="251"/>
      <c r="M1400" s="251"/>
      <c r="N1400" s="251"/>
      <c r="O1400" s="251"/>
      <c r="P1400" s="251"/>
      <c r="Q1400" s="251"/>
      <c r="R1400" s="251"/>
      <c r="S1400" s="251"/>
      <c r="T1400" s="251"/>
      <c r="U1400" s="251"/>
      <c r="V1400" s="251"/>
      <c r="W1400" s="251"/>
      <c r="X1400" s="251"/>
      <c r="Y1400" s="251"/>
      <c r="Z1400" s="251"/>
      <c r="AA1400" s="251"/>
      <c r="AB1400" s="251"/>
      <c r="AC1400" s="251"/>
      <c r="AD1400" s="251"/>
      <c r="AE1400" s="251"/>
      <c r="AF1400" s="251"/>
      <c r="AG1400" s="251"/>
      <c r="AH1400" s="251"/>
      <c r="AI1400" s="251"/>
      <c r="AJ1400" s="251"/>
    </row>
    <row r="1401" spans="1:36" x14ac:dyDescent="0.2">
      <c r="A1401" s="104">
        <v>28</v>
      </c>
      <c r="B1401" s="250" t="s">
        <v>1067</v>
      </c>
      <c r="C1401" s="251"/>
      <c r="D1401" s="251"/>
      <c r="E1401" s="251"/>
      <c r="F1401" s="251"/>
      <c r="G1401" s="251"/>
      <c r="H1401" s="251"/>
      <c r="I1401" s="104"/>
      <c r="J1401" s="104"/>
      <c r="K1401" s="104"/>
      <c r="L1401" s="104"/>
      <c r="M1401" s="104"/>
      <c r="N1401" s="104"/>
      <c r="O1401" s="104"/>
      <c r="P1401" s="104"/>
      <c r="Q1401" s="104"/>
      <c r="R1401" s="104"/>
      <c r="S1401" s="104"/>
      <c r="T1401" s="104"/>
      <c r="U1401" s="104"/>
      <c r="V1401" s="104"/>
      <c r="W1401" s="104"/>
      <c r="X1401" s="104"/>
      <c r="Y1401" s="104"/>
      <c r="Z1401" s="104"/>
      <c r="AA1401" s="104"/>
      <c r="AB1401" s="104"/>
      <c r="AC1401" s="104"/>
      <c r="AD1401" s="104"/>
      <c r="AE1401" s="104"/>
      <c r="AF1401" s="104"/>
      <c r="AG1401" s="104"/>
      <c r="AH1401" s="104"/>
      <c r="AI1401" s="144"/>
      <c r="AJ1401" s="104"/>
    </row>
    <row r="1402" spans="1:36" x14ac:dyDescent="0.2">
      <c r="A1402" s="104" t="s">
        <v>1068</v>
      </c>
      <c r="B1402" s="286" t="s">
        <v>25</v>
      </c>
      <c r="C1402" s="269"/>
      <c r="D1402" s="269"/>
      <c r="E1402" s="269"/>
      <c r="F1402" s="269"/>
      <c r="G1402" s="269"/>
      <c r="H1402" s="269"/>
      <c r="I1402" s="104"/>
      <c r="J1402" s="104"/>
      <c r="K1402" s="104"/>
      <c r="L1402" s="104"/>
      <c r="M1402" s="104"/>
      <c r="N1402" s="104"/>
      <c r="O1402" s="104"/>
      <c r="P1402" s="104"/>
      <c r="Q1402" s="104"/>
      <c r="R1402" s="104"/>
      <c r="S1402" s="104"/>
      <c r="T1402" s="104"/>
      <c r="U1402" s="104"/>
      <c r="V1402" s="104"/>
      <c r="W1402" s="104"/>
      <c r="X1402" s="104"/>
      <c r="Y1402" s="104"/>
      <c r="Z1402" s="104"/>
      <c r="AA1402" s="104"/>
      <c r="AB1402" s="104"/>
      <c r="AC1402" s="104"/>
      <c r="AD1402" s="104"/>
      <c r="AE1402" s="104"/>
      <c r="AF1402" s="104"/>
      <c r="AG1402" s="104"/>
      <c r="AH1402" s="104"/>
      <c r="AI1402" s="144"/>
      <c r="AJ1402" s="104"/>
    </row>
    <row r="1403" spans="1:36" ht="24" x14ac:dyDescent="0.2">
      <c r="A1403" s="17" t="s">
        <v>1074</v>
      </c>
      <c r="B1403" s="14" t="s">
        <v>31</v>
      </c>
      <c r="C1403" s="15" t="s">
        <v>32</v>
      </c>
      <c r="D1403" s="14"/>
      <c r="F1403" s="57"/>
      <c r="G1403" s="57"/>
      <c r="H1403" s="39"/>
      <c r="I1403" s="104"/>
      <c r="J1403" s="104"/>
      <c r="K1403" s="104"/>
      <c r="L1403" s="104"/>
      <c r="M1403" s="104"/>
      <c r="N1403" s="104"/>
      <c r="O1403" s="104"/>
      <c r="P1403" s="104"/>
      <c r="Q1403" s="104"/>
      <c r="R1403" s="104"/>
      <c r="S1403" s="104"/>
      <c r="T1403" s="104"/>
      <c r="U1403" s="104"/>
      <c r="V1403" s="104"/>
      <c r="W1403" s="104"/>
      <c r="X1403" s="104"/>
      <c r="Y1403" s="104"/>
      <c r="Z1403" s="104"/>
      <c r="AA1403" s="104"/>
      <c r="AB1403" s="104"/>
      <c r="AC1403" s="104"/>
      <c r="AD1403" s="104"/>
      <c r="AE1403" s="104"/>
      <c r="AF1403" s="104"/>
      <c r="AG1403" s="104"/>
      <c r="AH1403" s="104"/>
      <c r="AI1403" s="144"/>
      <c r="AJ1403" s="11" t="s">
        <v>29</v>
      </c>
    </row>
    <row r="1404" spans="1:36" x14ac:dyDescent="0.2">
      <c r="A1404" s="10"/>
      <c r="B1404" s="11"/>
      <c r="C1404" s="154" t="s">
        <v>1046</v>
      </c>
      <c r="D1404" s="155">
        <v>3.15</v>
      </c>
      <c r="E1404" s="155" t="s">
        <v>745</v>
      </c>
      <c r="F1404" s="155">
        <v>2.0499999999999998</v>
      </c>
      <c r="G1404" s="155"/>
      <c r="H1404" s="155"/>
      <c r="I1404" s="155"/>
      <c r="J1404" s="155"/>
      <c r="K1404" s="155"/>
      <c r="L1404" s="155"/>
      <c r="M1404" s="155"/>
      <c r="N1404" s="155"/>
      <c r="O1404" s="155"/>
      <c r="P1404" s="155"/>
      <c r="Q1404" s="155"/>
      <c r="R1404" s="155"/>
      <c r="S1404" s="155"/>
      <c r="T1404" s="155"/>
      <c r="U1404" s="155"/>
      <c r="V1404" s="155"/>
      <c r="W1404" s="155"/>
      <c r="X1404" s="155"/>
      <c r="Y1404" s="155"/>
      <c r="Z1404" s="155"/>
      <c r="AA1404" s="155"/>
      <c r="AB1404" s="155"/>
      <c r="AC1404" s="155"/>
      <c r="AD1404" s="155"/>
      <c r="AE1404" s="155"/>
      <c r="AF1404" s="155"/>
      <c r="AG1404" s="155" t="s">
        <v>745</v>
      </c>
      <c r="AH1404" s="155">
        <v>1.8</v>
      </c>
      <c r="AI1404" s="156" t="s">
        <v>727</v>
      </c>
      <c r="AJ1404" s="157">
        <f>(D1404*F1404)*AH1404</f>
        <v>11.6235</v>
      </c>
    </row>
    <row r="1405" spans="1:36" x14ac:dyDescent="0.2">
      <c r="A1405" s="10"/>
      <c r="B1405" s="11"/>
      <c r="C1405" s="154" t="s">
        <v>1047</v>
      </c>
      <c r="D1405" s="155">
        <v>2.6</v>
      </c>
      <c r="E1405" s="155" t="s">
        <v>745</v>
      </c>
      <c r="F1405" s="155">
        <v>1.7</v>
      </c>
      <c r="G1405" s="155"/>
      <c r="H1405" s="155"/>
      <c r="I1405" s="155"/>
      <c r="J1405" s="155"/>
      <c r="K1405" s="155"/>
      <c r="L1405" s="155"/>
      <c r="M1405" s="155"/>
      <c r="N1405" s="155"/>
      <c r="O1405" s="155"/>
      <c r="P1405" s="155"/>
      <c r="Q1405" s="155"/>
      <c r="R1405" s="155"/>
      <c r="S1405" s="155"/>
      <c r="T1405" s="155"/>
      <c r="U1405" s="155"/>
      <c r="V1405" s="155"/>
      <c r="W1405" s="155"/>
      <c r="X1405" s="155"/>
      <c r="Y1405" s="155"/>
      <c r="Z1405" s="155"/>
      <c r="AA1405" s="155"/>
      <c r="AB1405" s="155"/>
      <c r="AC1405" s="155"/>
      <c r="AD1405" s="155"/>
      <c r="AE1405" s="155"/>
      <c r="AF1405" s="155"/>
      <c r="AG1405" s="155" t="s">
        <v>745</v>
      </c>
      <c r="AH1405" s="155">
        <v>2.2000000000000002</v>
      </c>
      <c r="AI1405" s="156" t="s">
        <v>727</v>
      </c>
      <c r="AJ1405" s="157">
        <f t="shared" ref="AJ1405:AJ1408" si="78">(D1405*F1405)*AH1405</f>
        <v>9.7240000000000002</v>
      </c>
    </row>
    <row r="1406" spans="1:36" x14ac:dyDescent="0.2">
      <c r="A1406" s="10"/>
      <c r="B1406" s="11"/>
      <c r="C1406" s="154" t="s">
        <v>1048</v>
      </c>
      <c r="D1406" s="155">
        <v>3.5</v>
      </c>
      <c r="E1406" s="155" t="s">
        <v>745</v>
      </c>
      <c r="F1406" s="155">
        <v>0.5</v>
      </c>
      <c r="G1406" s="155"/>
      <c r="H1406" s="155"/>
      <c r="I1406" s="155"/>
      <c r="J1406" s="155"/>
      <c r="K1406" s="155"/>
      <c r="L1406" s="155"/>
      <c r="M1406" s="155"/>
      <c r="N1406" s="155"/>
      <c r="O1406" s="155"/>
      <c r="P1406" s="155"/>
      <c r="Q1406" s="155"/>
      <c r="R1406" s="155"/>
      <c r="S1406" s="155"/>
      <c r="T1406" s="155"/>
      <c r="U1406" s="155"/>
      <c r="V1406" s="155"/>
      <c r="W1406" s="155"/>
      <c r="X1406" s="155"/>
      <c r="Y1406" s="155"/>
      <c r="Z1406" s="155"/>
      <c r="AA1406" s="155"/>
      <c r="AB1406" s="155"/>
      <c r="AC1406" s="155"/>
      <c r="AD1406" s="155"/>
      <c r="AE1406" s="155"/>
      <c r="AF1406" s="155"/>
      <c r="AG1406" s="155" t="s">
        <v>745</v>
      </c>
      <c r="AH1406" s="155">
        <v>0.5</v>
      </c>
      <c r="AI1406" s="156" t="s">
        <v>727</v>
      </c>
      <c r="AJ1406" s="157">
        <f t="shared" si="78"/>
        <v>0.875</v>
      </c>
    </row>
    <row r="1407" spans="1:36" x14ac:dyDescent="0.2">
      <c r="A1407" s="10"/>
      <c r="B1407" s="11"/>
      <c r="C1407" s="154" t="s">
        <v>1120</v>
      </c>
      <c r="D1407" s="155">
        <v>0.6</v>
      </c>
      <c r="E1407" s="155" t="s">
        <v>745</v>
      </c>
      <c r="F1407" s="155">
        <v>0.6</v>
      </c>
      <c r="G1407" s="155"/>
      <c r="H1407" s="155"/>
      <c r="I1407" s="155"/>
      <c r="J1407" s="155"/>
      <c r="K1407" s="155"/>
      <c r="L1407" s="155"/>
      <c r="M1407" s="155"/>
      <c r="N1407" s="155"/>
      <c r="O1407" s="155"/>
      <c r="P1407" s="155"/>
      <c r="Q1407" s="155"/>
      <c r="R1407" s="155"/>
      <c r="S1407" s="155"/>
      <c r="T1407" s="155"/>
      <c r="U1407" s="155"/>
      <c r="V1407" s="155"/>
      <c r="W1407" s="155"/>
      <c r="X1407" s="155"/>
      <c r="Y1407" s="155"/>
      <c r="Z1407" s="155"/>
      <c r="AA1407" s="155"/>
      <c r="AB1407" s="155"/>
      <c r="AC1407" s="155"/>
      <c r="AD1407" s="155"/>
      <c r="AE1407" s="155"/>
      <c r="AF1407" s="155"/>
      <c r="AG1407" s="155" t="s">
        <v>745</v>
      </c>
      <c r="AH1407" s="155">
        <v>1</v>
      </c>
      <c r="AI1407" s="156" t="s">
        <v>727</v>
      </c>
      <c r="AJ1407" s="157">
        <f>(D1407*F1407)*AH1407</f>
        <v>0.36</v>
      </c>
    </row>
    <row r="1408" spans="1:36" x14ac:dyDescent="0.2">
      <c r="A1408" s="10"/>
      <c r="B1408" s="11"/>
      <c r="C1408" s="154" t="s">
        <v>1121</v>
      </c>
      <c r="D1408" s="155">
        <f>2.8*2+2.4*2</f>
        <v>10.399999999999999</v>
      </c>
      <c r="E1408" s="155" t="s">
        <v>745</v>
      </c>
      <c r="F1408" s="155">
        <v>0.2</v>
      </c>
      <c r="G1408" s="155"/>
      <c r="H1408" s="155"/>
      <c r="I1408" s="155"/>
      <c r="J1408" s="155"/>
      <c r="K1408" s="155"/>
      <c r="L1408" s="155"/>
      <c r="M1408" s="155"/>
      <c r="N1408" s="155"/>
      <c r="O1408" s="155"/>
      <c r="P1408" s="155"/>
      <c r="Q1408" s="155"/>
      <c r="R1408" s="155"/>
      <c r="S1408" s="155"/>
      <c r="T1408" s="155"/>
      <c r="U1408" s="155"/>
      <c r="V1408" s="155"/>
      <c r="W1408" s="155"/>
      <c r="X1408" s="155"/>
      <c r="Y1408" s="155"/>
      <c r="Z1408" s="155"/>
      <c r="AA1408" s="155"/>
      <c r="AB1408" s="155"/>
      <c r="AC1408" s="155"/>
      <c r="AD1408" s="155"/>
      <c r="AE1408" s="155"/>
      <c r="AF1408" s="155"/>
      <c r="AG1408" s="155" t="s">
        <v>745</v>
      </c>
      <c r="AH1408" s="155">
        <v>0.2</v>
      </c>
      <c r="AI1408" s="156" t="s">
        <v>727</v>
      </c>
      <c r="AJ1408" s="157">
        <f t="shared" si="78"/>
        <v>0.41599999999999993</v>
      </c>
    </row>
    <row r="1409" spans="1:36" x14ac:dyDescent="0.2">
      <c r="A1409" s="10"/>
      <c r="B1409" s="11"/>
      <c r="C1409" s="181"/>
      <c r="D1409" s="309" t="s">
        <v>743</v>
      </c>
      <c r="E1409" s="309"/>
      <c r="F1409" s="309"/>
      <c r="G1409" s="309"/>
      <c r="H1409" s="309"/>
      <c r="I1409" s="309"/>
      <c r="J1409" s="309"/>
      <c r="K1409" s="309"/>
      <c r="L1409" s="309"/>
      <c r="M1409" s="309"/>
      <c r="N1409" s="309"/>
      <c r="O1409" s="309"/>
      <c r="P1409" s="309"/>
      <c r="Q1409" s="309"/>
      <c r="R1409" s="309"/>
      <c r="S1409" s="309"/>
      <c r="T1409" s="309"/>
      <c r="U1409" s="309"/>
      <c r="V1409" s="309"/>
      <c r="W1409" s="309"/>
      <c r="X1409" s="309"/>
      <c r="Y1409" s="309"/>
      <c r="Z1409" s="309"/>
      <c r="AA1409" s="309"/>
      <c r="AB1409" s="309"/>
      <c r="AC1409" s="309"/>
      <c r="AD1409" s="309"/>
      <c r="AE1409" s="309"/>
      <c r="AF1409" s="309"/>
      <c r="AG1409" s="309"/>
      <c r="AH1409" s="309"/>
      <c r="AI1409" s="156" t="s">
        <v>727</v>
      </c>
      <c r="AJ1409" s="175">
        <f>SUM(AJ1404:AJ1408)</f>
        <v>22.9985</v>
      </c>
    </row>
    <row r="1410" spans="1:36" x14ac:dyDescent="0.2">
      <c r="A1410" s="138" t="s">
        <v>1069</v>
      </c>
      <c r="B1410" s="307" t="s">
        <v>1073</v>
      </c>
      <c r="C1410" s="272"/>
      <c r="D1410" s="308"/>
      <c r="E1410" s="308"/>
      <c r="F1410" s="308"/>
      <c r="G1410" s="308"/>
      <c r="H1410" s="251"/>
      <c r="I1410" s="104"/>
      <c r="J1410" s="104"/>
      <c r="K1410" s="104"/>
      <c r="L1410" s="104"/>
      <c r="M1410" s="104"/>
      <c r="N1410" s="104"/>
      <c r="O1410" s="104"/>
      <c r="P1410" s="104"/>
      <c r="Q1410" s="104"/>
      <c r="R1410" s="104"/>
      <c r="S1410" s="104"/>
      <c r="T1410" s="104"/>
      <c r="U1410" s="104"/>
      <c r="V1410" s="104"/>
      <c r="W1410" s="104"/>
      <c r="X1410" s="104"/>
      <c r="Y1410" s="104"/>
      <c r="Z1410" s="104"/>
      <c r="AA1410" s="104"/>
      <c r="AB1410" s="104"/>
      <c r="AC1410" s="104"/>
      <c r="AD1410" s="104"/>
      <c r="AE1410" s="104"/>
      <c r="AF1410" s="104"/>
      <c r="AG1410" s="104"/>
      <c r="AH1410" s="104"/>
      <c r="AI1410" s="144"/>
      <c r="AJ1410" s="104"/>
    </row>
    <row r="1411" spans="1:36" ht="24" x14ac:dyDescent="0.2">
      <c r="A1411" s="10" t="s">
        <v>1075</v>
      </c>
      <c r="B1411" s="8" t="s">
        <v>40</v>
      </c>
      <c r="C1411" s="9" t="s">
        <v>41</v>
      </c>
      <c r="D1411" s="11"/>
      <c r="E1411" s="51"/>
      <c r="F1411" s="41"/>
      <c r="G1411" s="41"/>
      <c r="H1411" s="41"/>
      <c r="I1411" s="104"/>
      <c r="J1411" s="104"/>
      <c r="K1411" s="104"/>
      <c r="L1411" s="104"/>
      <c r="M1411" s="104"/>
      <c r="N1411" s="104"/>
      <c r="O1411" s="104"/>
      <c r="P1411" s="104"/>
      <c r="Q1411" s="104"/>
      <c r="R1411" s="104"/>
      <c r="S1411" s="104"/>
      <c r="T1411" s="104"/>
      <c r="U1411" s="104"/>
      <c r="V1411" s="104"/>
      <c r="W1411" s="104"/>
      <c r="X1411" s="104"/>
      <c r="Y1411" s="104"/>
      <c r="Z1411" s="104"/>
      <c r="AA1411" s="104"/>
      <c r="AB1411" s="104"/>
      <c r="AC1411" s="104"/>
      <c r="AD1411" s="104"/>
      <c r="AE1411" s="104"/>
      <c r="AF1411" s="104"/>
      <c r="AG1411" s="104"/>
      <c r="AH1411" s="104"/>
      <c r="AI1411" s="104"/>
      <c r="AJ1411" s="11" t="s">
        <v>29</v>
      </c>
    </row>
    <row r="1412" spans="1:36" x14ac:dyDescent="0.2">
      <c r="A1412" s="10"/>
      <c r="B1412" s="8"/>
      <c r="C1412" s="12" t="s">
        <v>1099</v>
      </c>
      <c r="D1412" s="11">
        <v>0.4</v>
      </c>
      <c r="E1412" s="88" t="s">
        <v>745</v>
      </c>
      <c r="F1412" s="141">
        <v>0.4</v>
      </c>
      <c r="G1412" s="41"/>
      <c r="H1412" s="41"/>
      <c r="I1412" s="104"/>
      <c r="J1412" s="104"/>
      <c r="K1412" s="104"/>
      <c r="L1412" s="104"/>
      <c r="M1412" s="104"/>
      <c r="N1412" s="104"/>
      <c r="O1412" s="104"/>
      <c r="P1412" s="104"/>
      <c r="Q1412" s="104"/>
      <c r="R1412" s="104"/>
      <c r="S1412" s="104"/>
      <c r="T1412" s="104"/>
      <c r="U1412" s="104"/>
      <c r="V1412" s="104"/>
      <c r="W1412" s="104"/>
      <c r="X1412" s="104"/>
      <c r="Y1412" s="104"/>
      <c r="Z1412" s="104"/>
      <c r="AA1412" s="104"/>
      <c r="AB1412" s="104"/>
      <c r="AC1412" s="104"/>
      <c r="AD1412" s="104"/>
      <c r="AE1412" s="11" t="s">
        <v>748</v>
      </c>
      <c r="AF1412" s="11">
        <v>0.05</v>
      </c>
      <c r="AG1412" s="11" t="s">
        <v>748</v>
      </c>
      <c r="AH1412" s="11">
        <v>4</v>
      </c>
      <c r="AI1412" s="92" t="s">
        <v>727</v>
      </c>
      <c r="AJ1412" s="11">
        <f>(D1412*F1412)*AH1412*AF1412</f>
        <v>3.2000000000000008E-2</v>
      </c>
    </row>
    <row r="1413" spans="1:36" x14ac:dyDescent="0.2">
      <c r="A1413" s="10"/>
      <c r="B1413" s="8"/>
      <c r="C1413" s="12" t="s">
        <v>1100</v>
      </c>
      <c r="D1413" s="11">
        <v>0.4</v>
      </c>
      <c r="E1413" s="88" t="s">
        <v>745</v>
      </c>
      <c r="F1413" s="141">
        <v>0.4</v>
      </c>
      <c r="G1413" s="41"/>
      <c r="H1413" s="41"/>
      <c r="I1413" s="104"/>
      <c r="J1413" s="104"/>
      <c r="K1413" s="104"/>
      <c r="L1413" s="104"/>
      <c r="M1413" s="104"/>
      <c r="N1413" s="104"/>
      <c r="O1413" s="104"/>
      <c r="P1413" s="104"/>
      <c r="Q1413" s="104"/>
      <c r="R1413" s="104"/>
      <c r="S1413" s="104"/>
      <c r="T1413" s="104"/>
      <c r="U1413" s="104"/>
      <c r="V1413" s="104"/>
      <c r="W1413" s="104"/>
      <c r="X1413" s="104"/>
      <c r="Y1413" s="104"/>
      <c r="Z1413" s="104"/>
      <c r="AA1413" s="104"/>
      <c r="AB1413" s="104"/>
      <c r="AC1413" s="104"/>
      <c r="AD1413" s="104"/>
      <c r="AE1413" s="11" t="s">
        <v>748</v>
      </c>
      <c r="AF1413" s="11">
        <v>0.05</v>
      </c>
      <c r="AG1413" s="11" t="s">
        <v>748</v>
      </c>
      <c r="AH1413" s="11">
        <v>4</v>
      </c>
      <c r="AI1413" s="92" t="s">
        <v>727</v>
      </c>
      <c r="AJ1413" s="11">
        <f t="shared" ref="AJ1413:AJ1414" si="79">(D1413*F1413)*AH1413*AF1413</f>
        <v>3.2000000000000008E-2</v>
      </c>
    </row>
    <row r="1414" spans="1:36" x14ac:dyDescent="0.2">
      <c r="A1414" s="10"/>
      <c r="B1414" s="8"/>
      <c r="C1414" s="154" t="s">
        <v>1120</v>
      </c>
      <c r="D1414" s="155">
        <v>0.6</v>
      </c>
      <c r="E1414" s="155" t="s">
        <v>745</v>
      </c>
      <c r="F1414" s="155">
        <v>0.6</v>
      </c>
      <c r="G1414" s="41"/>
      <c r="H1414" s="41"/>
      <c r="I1414" s="104"/>
      <c r="J1414" s="104"/>
      <c r="K1414" s="104"/>
      <c r="L1414" s="104"/>
      <c r="M1414" s="104"/>
      <c r="N1414" s="104"/>
      <c r="O1414" s="104"/>
      <c r="P1414" s="104"/>
      <c r="Q1414" s="104"/>
      <c r="R1414" s="104"/>
      <c r="S1414" s="104"/>
      <c r="T1414" s="104"/>
      <c r="U1414" s="104"/>
      <c r="V1414" s="104"/>
      <c r="W1414" s="104"/>
      <c r="X1414" s="104"/>
      <c r="Y1414" s="104"/>
      <c r="Z1414" s="104"/>
      <c r="AA1414" s="104"/>
      <c r="AB1414" s="104"/>
      <c r="AC1414" s="104"/>
      <c r="AD1414" s="104"/>
      <c r="AE1414" s="11" t="s">
        <v>748</v>
      </c>
      <c r="AF1414" s="11">
        <v>0.05</v>
      </c>
      <c r="AG1414" s="11" t="s">
        <v>748</v>
      </c>
      <c r="AH1414" s="11">
        <v>4</v>
      </c>
      <c r="AI1414" s="92" t="s">
        <v>727</v>
      </c>
      <c r="AJ1414" s="11">
        <f t="shared" si="79"/>
        <v>7.1999999999999995E-2</v>
      </c>
    </row>
    <row r="1415" spans="1:36" x14ac:dyDescent="0.2">
      <c r="A1415" s="10"/>
      <c r="B1415" s="8"/>
      <c r="C1415" s="9"/>
      <c r="D1415" s="310" t="s">
        <v>743</v>
      </c>
      <c r="E1415" s="311"/>
      <c r="F1415" s="311"/>
      <c r="G1415" s="311"/>
      <c r="H1415" s="311"/>
      <c r="I1415" s="311"/>
      <c r="J1415" s="311"/>
      <c r="K1415" s="311"/>
      <c r="L1415" s="311"/>
      <c r="M1415" s="311"/>
      <c r="N1415" s="311"/>
      <c r="O1415" s="311"/>
      <c r="P1415" s="311"/>
      <c r="Q1415" s="311"/>
      <c r="R1415" s="311"/>
      <c r="S1415" s="311"/>
      <c r="T1415" s="311"/>
      <c r="U1415" s="311"/>
      <c r="V1415" s="311"/>
      <c r="W1415" s="311"/>
      <c r="X1415" s="311"/>
      <c r="Y1415" s="311"/>
      <c r="Z1415" s="311"/>
      <c r="AA1415" s="311"/>
      <c r="AB1415" s="311"/>
      <c r="AC1415" s="311"/>
      <c r="AD1415" s="311"/>
      <c r="AE1415" s="311"/>
      <c r="AF1415" s="311"/>
      <c r="AG1415" s="311"/>
      <c r="AH1415" s="312"/>
      <c r="AI1415" s="124" t="s">
        <v>727</v>
      </c>
      <c r="AJ1415" s="92">
        <f>SUM(AJ1412:AJ1414)</f>
        <v>0.13600000000000001</v>
      </c>
    </row>
    <row r="1416" spans="1:36" ht="36" x14ac:dyDescent="0.2">
      <c r="A1416" s="10" t="s">
        <v>1076</v>
      </c>
      <c r="B1416" s="8" t="s">
        <v>43</v>
      </c>
      <c r="C1416" s="9" t="s">
        <v>44</v>
      </c>
      <c r="D1416" s="11"/>
      <c r="E1416" s="51"/>
      <c r="F1416" s="41"/>
      <c r="G1416" s="41"/>
      <c r="H1416" s="41"/>
      <c r="I1416" s="104"/>
      <c r="J1416" s="104"/>
      <c r="K1416" s="104"/>
      <c r="L1416" s="104"/>
      <c r="M1416" s="104"/>
      <c r="N1416" s="104"/>
      <c r="O1416" s="104"/>
      <c r="P1416" s="104"/>
      <c r="Q1416" s="104"/>
      <c r="R1416" s="104"/>
      <c r="S1416" s="104"/>
      <c r="T1416" s="104"/>
      <c r="U1416" s="104"/>
      <c r="V1416" s="104"/>
      <c r="W1416" s="104"/>
      <c r="X1416" s="104"/>
      <c r="Y1416" s="104"/>
      <c r="Z1416" s="104"/>
      <c r="AA1416" s="104"/>
      <c r="AB1416" s="104"/>
      <c r="AC1416" s="104"/>
      <c r="AD1416" s="104"/>
      <c r="AE1416" s="104"/>
      <c r="AF1416" s="104"/>
      <c r="AG1416" s="104"/>
      <c r="AH1416" s="104"/>
      <c r="AI1416" s="144"/>
      <c r="AJ1416" s="11" t="s">
        <v>19</v>
      </c>
    </row>
    <row r="1417" spans="1:36" x14ac:dyDescent="0.2">
      <c r="A1417" s="10"/>
      <c r="B1417" s="8"/>
      <c r="C1417" s="12" t="s">
        <v>1099</v>
      </c>
      <c r="D1417" s="11">
        <v>0.4</v>
      </c>
      <c r="E1417" s="88" t="s">
        <v>764</v>
      </c>
      <c r="F1417" s="141">
        <v>0.4</v>
      </c>
      <c r="G1417" s="141" t="s">
        <v>764</v>
      </c>
      <c r="H1417" s="11">
        <v>0.4</v>
      </c>
      <c r="I1417" s="88" t="s">
        <v>764</v>
      </c>
      <c r="J1417" s="141">
        <v>0.4</v>
      </c>
      <c r="K1417" s="104"/>
      <c r="L1417" s="104"/>
      <c r="M1417" s="104"/>
      <c r="N1417" s="104"/>
      <c r="O1417" s="104"/>
      <c r="P1417" s="104"/>
      <c r="Q1417" s="104"/>
      <c r="R1417" s="104"/>
      <c r="S1417" s="104"/>
      <c r="T1417" s="104"/>
      <c r="U1417" s="104"/>
      <c r="V1417" s="104"/>
      <c r="W1417" s="104"/>
      <c r="X1417" s="104"/>
      <c r="Y1417" s="104"/>
      <c r="Z1417" s="104"/>
      <c r="AA1417" s="104"/>
      <c r="AB1417" s="104"/>
      <c r="AC1417" s="104"/>
      <c r="AD1417" s="104"/>
      <c r="AE1417" s="11" t="s">
        <v>748</v>
      </c>
      <c r="AF1417" s="11">
        <v>0.2</v>
      </c>
      <c r="AG1417" s="11" t="s">
        <v>748</v>
      </c>
      <c r="AH1417" s="11">
        <v>4</v>
      </c>
      <c r="AI1417" s="124" t="s">
        <v>727</v>
      </c>
      <c r="AJ1417" s="11">
        <f>(D1417+F1417+H1417+J1417)*AF1417*AH1417</f>
        <v>1.2800000000000002</v>
      </c>
    </row>
    <row r="1418" spans="1:36" x14ac:dyDescent="0.2">
      <c r="A1418" s="10"/>
      <c r="B1418" s="8"/>
      <c r="C1418" s="12" t="s">
        <v>1100</v>
      </c>
      <c r="D1418" s="11">
        <v>0.4</v>
      </c>
      <c r="E1418" s="88" t="s">
        <v>764</v>
      </c>
      <c r="F1418" s="141">
        <v>0.4</v>
      </c>
      <c r="G1418" s="141" t="s">
        <v>764</v>
      </c>
      <c r="H1418" s="11">
        <v>0.4</v>
      </c>
      <c r="I1418" s="88" t="s">
        <v>764</v>
      </c>
      <c r="J1418" s="141">
        <v>0.4</v>
      </c>
      <c r="K1418" s="104"/>
      <c r="L1418" s="104"/>
      <c r="M1418" s="104"/>
      <c r="N1418" s="104"/>
      <c r="O1418" s="104"/>
      <c r="P1418" s="104"/>
      <c r="Q1418" s="104"/>
      <c r="R1418" s="104"/>
      <c r="S1418" s="104"/>
      <c r="T1418" s="104"/>
      <c r="U1418" s="104"/>
      <c r="V1418" s="104"/>
      <c r="W1418" s="104"/>
      <c r="X1418" s="104"/>
      <c r="Y1418" s="104"/>
      <c r="Z1418" s="104"/>
      <c r="AA1418" s="104"/>
      <c r="AB1418" s="104"/>
      <c r="AC1418" s="104"/>
      <c r="AD1418" s="104"/>
      <c r="AE1418" s="11" t="s">
        <v>748</v>
      </c>
      <c r="AF1418" s="11">
        <v>0.2</v>
      </c>
      <c r="AG1418" s="11" t="s">
        <v>748</v>
      </c>
      <c r="AH1418" s="11">
        <v>4</v>
      </c>
      <c r="AI1418" s="124" t="s">
        <v>727</v>
      </c>
      <c r="AJ1418" s="11">
        <f t="shared" ref="AJ1418:AJ1419" si="80">(D1418+F1418+H1418+J1418)*AF1418*AH1418</f>
        <v>1.2800000000000002</v>
      </c>
    </row>
    <row r="1419" spans="1:36" x14ac:dyDescent="0.2">
      <c r="A1419" s="10"/>
      <c r="B1419" s="8"/>
      <c r="C1419" s="154" t="s">
        <v>1120</v>
      </c>
      <c r="D1419" s="155">
        <v>0.6</v>
      </c>
      <c r="E1419" s="155" t="s">
        <v>764</v>
      </c>
      <c r="F1419" s="155">
        <v>0.6</v>
      </c>
      <c r="G1419" s="141" t="s">
        <v>764</v>
      </c>
      <c r="H1419" s="141">
        <v>0.6</v>
      </c>
      <c r="I1419" s="11" t="s">
        <v>764</v>
      </c>
      <c r="J1419" s="11">
        <v>0.6</v>
      </c>
      <c r="K1419" s="92"/>
      <c r="L1419" s="104"/>
      <c r="M1419" s="104"/>
      <c r="N1419" s="104"/>
      <c r="O1419" s="104"/>
      <c r="P1419" s="104"/>
      <c r="Q1419" s="104"/>
      <c r="R1419" s="104"/>
      <c r="S1419" s="104"/>
      <c r="T1419" s="104"/>
      <c r="U1419" s="104"/>
      <c r="V1419" s="104"/>
      <c r="W1419" s="104"/>
      <c r="X1419" s="104"/>
      <c r="Y1419" s="104"/>
      <c r="Z1419" s="104"/>
      <c r="AA1419" s="104"/>
      <c r="AB1419" s="104"/>
      <c r="AC1419" s="104"/>
      <c r="AD1419" s="104"/>
      <c r="AE1419" s="11" t="s">
        <v>748</v>
      </c>
      <c r="AF1419" s="11">
        <v>0.2</v>
      </c>
      <c r="AG1419" s="11" t="s">
        <v>748</v>
      </c>
      <c r="AH1419" s="11">
        <v>4</v>
      </c>
      <c r="AI1419" s="92" t="s">
        <v>727</v>
      </c>
      <c r="AJ1419" s="11">
        <f t="shared" si="80"/>
        <v>1.92</v>
      </c>
    </row>
    <row r="1420" spans="1:36" x14ac:dyDescent="0.2">
      <c r="A1420" s="10"/>
      <c r="B1420" s="14"/>
      <c r="C1420" s="16"/>
      <c r="D1420" s="367" t="s">
        <v>743</v>
      </c>
      <c r="E1420" s="368"/>
      <c r="F1420" s="368"/>
      <c r="G1420" s="368"/>
      <c r="H1420" s="368"/>
      <c r="I1420" s="368"/>
      <c r="J1420" s="368"/>
      <c r="K1420" s="368"/>
      <c r="L1420" s="368"/>
      <c r="M1420" s="368"/>
      <c r="N1420" s="368"/>
      <c r="O1420" s="368"/>
      <c r="P1420" s="368"/>
      <c r="Q1420" s="368"/>
      <c r="R1420" s="368"/>
      <c r="S1420" s="368"/>
      <c r="T1420" s="368"/>
      <c r="U1420" s="368"/>
      <c r="V1420" s="368"/>
      <c r="W1420" s="368"/>
      <c r="X1420" s="368"/>
      <c r="Y1420" s="368"/>
      <c r="Z1420" s="368"/>
      <c r="AA1420" s="368"/>
      <c r="AB1420" s="368"/>
      <c r="AC1420" s="368"/>
      <c r="AD1420" s="368"/>
      <c r="AE1420" s="368"/>
      <c r="AF1420" s="368"/>
      <c r="AG1420" s="368"/>
      <c r="AH1420" s="369"/>
      <c r="AI1420" s="124" t="s">
        <v>727</v>
      </c>
      <c r="AJ1420" s="92">
        <f>SUM(AJ1417:AJ1419)</f>
        <v>4.4800000000000004</v>
      </c>
    </row>
    <row r="1421" spans="1:36" ht="36" x14ac:dyDescent="0.2">
      <c r="A1421" s="10" t="s">
        <v>1077</v>
      </c>
      <c r="B1421" s="11" t="s">
        <v>46</v>
      </c>
      <c r="C1421" s="10" t="s">
        <v>47</v>
      </c>
      <c r="D1421" s="11"/>
      <c r="E1421" s="51"/>
      <c r="F1421" s="41"/>
      <c r="G1421" s="41"/>
      <c r="H1421" s="41"/>
      <c r="I1421" s="104"/>
      <c r="J1421" s="104"/>
      <c r="K1421" s="104"/>
      <c r="L1421" s="104"/>
      <c r="M1421" s="104"/>
      <c r="N1421" s="104"/>
      <c r="O1421" s="104"/>
      <c r="P1421" s="104"/>
      <c r="Q1421" s="104"/>
      <c r="R1421" s="104"/>
      <c r="S1421" s="104"/>
      <c r="T1421" s="104"/>
      <c r="U1421" s="104"/>
      <c r="V1421" s="104"/>
      <c r="W1421" s="104"/>
      <c r="X1421" s="104"/>
      <c r="Y1421" s="104"/>
      <c r="Z1421" s="104"/>
      <c r="AA1421" s="104"/>
      <c r="AB1421" s="104"/>
      <c r="AC1421" s="104"/>
      <c r="AD1421" s="104"/>
      <c r="AE1421" s="104"/>
      <c r="AF1421" s="104"/>
      <c r="AG1421" s="104"/>
      <c r="AH1421" s="104"/>
      <c r="AI1421" s="144"/>
      <c r="AJ1421" s="11" t="s">
        <v>29</v>
      </c>
    </row>
    <row r="1422" spans="1:36" x14ac:dyDescent="0.2">
      <c r="A1422" s="10"/>
      <c r="B1422" s="11"/>
      <c r="C1422" s="46" t="s">
        <v>1099</v>
      </c>
      <c r="D1422" s="11">
        <v>0.4</v>
      </c>
      <c r="E1422" s="88" t="s">
        <v>745</v>
      </c>
      <c r="F1422" s="141">
        <v>0.4</v>
      </c>
      <c r="G1422" s="41"/>
      <c r="H1422" s="41"/>
      <c r="I1422" s="104"/>
      <c r="J1422" s="104"/>
      <c r="K1422" s="104"/>
      <c r="L1422" s="104"/>
      <c r="M1422" s="104"/>
      <c r="N1422" s="104"/>
      <c r="O1422" s="104"/>
      <c r="P1422" s="104"/>
      <c r="Q1422" s="104"/>
      <c r="R1422" s="104"/>
      <c r="S1422" s="104"/>
      <c r="T1422" s="104"/>
      <c r="U1422" s="104"/>
      <c r="V1422" s="104"/>
      <c r="W1422" s="104"/>
      <c r="X1422" s="104"/>
      <c r="Y1422" s="104"/>
      <c r="Z1422" s="104"/>
      <c r="AA1422" s="104"/>
      <c r="AB1422" s="104"/>
      <c r="AC1422" s="104"/>
      <c r="AD1422" s="104"/>
      <c r="AE1422" s="11" t="s">
        <v>748</v>
      </c>
      <c r="AF1422" s="11">
        <v>0.2</v>
      </c>
      <c r="AG1422" s="11" t="s">
        <v>748</v>
      </c>
      <c r="AH1422" s="11">
        <v>4</v>
      </c>
      <c r="AI1422" s="124" t="s">
        <v>727</v>
      </c>
      <c r="AJ1422" s="11">
        <f>(D1422*F1422)*AH1422*AF1422</f>
        <v>0.12800000000000003</v>
      </c>
    </row>
    <row r="1423" spans="1:36" x14ac:dyDescent="0.2">
      <c r="A1423" s="10"/>
      <c r="B1423" s="11"/>
      <c r="C1423" s="46" t="s">
        <v>1100</v>
      </c>
      <c r="D1423" s="11">
        <v>0.4</v>
      </c>
      <c r="E1423" s="88" t="s">
        <v>745</v>
      </c>
      <c r="F1423" s="141">
        <v>0.4</v>
      </c>
      <c r="G1423" s="41"/>
      <c r="H1423" s="41"/>
      <c r="I1423" s="104"/>
      <c r="J1423" s="104"/>
      <c r="K1423" s="104"/>
      <c r="L1423" s="104"/>
      <c r="M1423" s="104"/>
      <c r="N1423" s="104"/>
      <c r="O1423" s="104"/>
      <c r="P1423" s="104"/>
      <c r="Q1423" s="104"/>
      <c r="R1423" s="104"/>
      <c r="S1423" s="104"/>
      <c r="T1423" s="104"/>
      <c r="U1423" s="104"/>
      <c r="V1423" s="104"/>
      <c r="W1423" s="104"/>
      <c r="X1423" s="104"/>
      <c r="Y1423" s="104"/>
      <c r="Z1423" s="104"/>
      <c r="AA1423" s="104"/>
      <c r="AB1423" s="104"/>
      <c r="AC1423" s="104"/>
      <c r="AD1423" s="104"/>
      <c r="AE1423" s="11" t="s">
        <v>748</v>
      </c>
      <c r="AF1423" s="11">
        <v>0.2</v>
      </c>
      <c r="AG1423" s="11" t="s">
        <v>748</v>
      </c>
      <c r="AH1423" s="11">
        <v>4</v>
      </c>
      <c r="AI1423" s="124" t="s">
        <v>727</v>
      </c>
      <c r="AJ1423" s="11">
        <f>(D1423*F1423)*AH1423*AF1423</f>
        <v>0.12800000000000003</v>
      </c>
    </row>
    <row r="1424" spans="1:36" x14ac:dyDescent="0.2">
      <c r="A1424" s="10"/>
      <c r="B1424" s="11"/>
      <c r="C1424" s="154" t="s">
        <v>1120</v>
      </c>
      <c r="D1424" s="155">
        <v>0.6</v>
      </c>
      <c r="E1424" s="155" t="s">
        <v>745</v>
      </c>
      <c r="F1424" s="155">
        <v>0.6</v>
      </c>
      <c r="G1424" s="141"/>
      <c r="H1424" s="141"/>
      <c r="I1424" s="11"/>
      <c r="J1424" s="11"/>
      <c r="K1424" s="92"/>
      <c r="L1424" s="104"/>
      <c r="M1424" s="104"/>
      <c r="N1424" s="104"/>
      <c r="O1424" s="104"/>
      <c r="P1424" s="104"/>
      <c r="Q1424" s="104"/>
      <c r="R1424" s="104"/>
      <c r="S1424" s="104"/>
      <c r="T1424" s="104"/>
      <c r="U1424" s="104"/>
      <c r="V1424" s="104"/>
      <c r="W1424" s="104"/>
      <c r="X1424" s="104"/>
      <c r="Y1424" s="104"/>
      <c r="Z1424" s="104"/>
      <c r="AA1424" s="104"/>
      <c r="AB1424" s="104"/>
      <c r="AC1424" s="104"/>
      <c r="AD1424" s="104"/>
      <c r="AE1424" s="11" t="s">
        <v>748</v>
      </c>
      <c r="AF1424" s="11">
        <v>0.2</v>
      </c>
      <c r="AG1424" s="11" t="s">
        <v>748</v>
      </c>
      <c r="AH1424" s="11">
        <v>4</v>
      </c>
      <c r="AI1424" s="92" t="s">
        <v>727</v>
      </c>
      <c r="AJ1424" s="11">
        <f>(D1424*F1424)*AH1424*AF1424</f>
        <v>0.28799999999999998</v>
      </c>
    </row>
    <row r="1425" spans="1:36" x14ac:dyDescent="0.2">
      <c r="A1425" s="10"/>
      <c r="B1425" s="11"/>
      <c r="C1425" s="10"/>
      <c r="D1425" s="287" t="s">
        <v>743</v>
      </c>
      <c r="E1425" s="287"/>
      <c r="F1425" s="287"/>
      <c r="G1425" s="287"/>
      <c r="H1425" s="287"/>
      <c r="I1425" s="287"/>
      <c r="J1425" s="287"/>
      <c r="K1425" s="287"/>
      <c r="L1425" s="287"/>
      <c r="M1425" s="287"/>
      <c r="N1425" s="287"/>
      <c r="O1425" s="287"/>
      <c r="P1425" s="287"/>
      <c r="Q1425" s="287"/>
      <c r="R1425" s="287"/>
      <c r="S1425" s="287"/>
      <c r="T1425" s="287"/>
      <c r="U1425" s="287"/>
      <c r="V1425" s="287"/>
      <c r="W1425" s="287"/>
      <c r="X1425" s="287"/>
      <c r="Y1425" s="287"/>
      <c r="Z1425" s="287"/>
      <c r="AA1425" s="287"/>
      <c r="AB1425" s="287"/>
      <c r="AC1425" s="287"/>
      <c r="AD1425" s="287"/>
      <c r="AE1425" s="287"/>
      <c r="AF1425" s="287"/>
      <c r="AG1425" s="287"/>
      <c r="AH1425" s="287"/>
      <c r="AI1425" s="124" t="s">
        <v>727</v>
      </c>
      <c r="AJ1425" s="92">
        <f>SUM(AJ1422:AJ1424)</f>
        <v>0.54400000000000004</v>
      </c>
    </row>
    <row r="1426" spans="1:36" ht="24.75" customHeight="1" x14ac:dyDescent="0.2">
      <c r="A1426" s="10" t="s">
        <v>1078</v>
      </c>
      <c r="B1426" s="11" t="s">
        <v>49</v>
      </c>
      <c r="C1426" s="10" t="s">
        <v>50</v>
      </c>
      <c r="D1426" s="11"/>
      <c r="E1426" s="51"/>
      <c r="F1426" s="41"/>
      <c r="G1426" s="41"/>
      <c r="H1426" s="41"/>
      <c r="I1426" s="104"/>
      <c r="J1426" s="104"/>
      <c r="K1426" s="104"/>
      <c r="L1426" s="104"/>
      <c r="M1426" s="104"/>
      <c r="N1426" s="104"/>
      <c r="O1426" s="104"/>
      <c r="P1426" s="104"/>
      <c r="Q1426" s="104"/>
      <c r="R1426" s="104"/>
      <c r="S1426" s="104"/>
      <c r="T1426" s="104"/>
      <c r="U1426" s="104"/>
      <c r="V1426" s="104"/>
      <c r="W1426" s="104"/>
      <c r="X1426" s="104"/>
      <c r="Y1426" s="104"/>
      <c r="Z1426" s="104"/>
      <c r="AA1426" s="104"/>
      <c r="AB1426" s="104"/>
      <c r="AC1426" s="104"/>
      <c r="AD1426" s="104"/>
      <c r="AE1426" s="104"/>
      <c r="AF1426" s="104"/>
      <c r="AG1426" s="104"/>
      <c r="AH1426" s="104"/>
      <c r="AI1426" s="144"/>
      <c r="AJ1426" s="11" t="s">
        <v>29</v>
      </c>
    </row>
    <row r="1427" spans="1:36" x14ac:dyDescent="0.2">
      <c r="A1427" s="10"/>
      <c r="B1427" s="11"/>
      <c r="C1427" s="46" t="s">
        <v>1099</v>
      </c>
      <c r="D1427" s="11">
        <v>0.4</v>
      </c>
      <c r="E1427" s="88" t="s">
        <v>745</v>
      </c>
      <c r="F1427" s="141">
        <v>0.4</v>
      </c>
      <c r="G1427" s="41"/>
      <c r="H1427" s="41"/>
      <c r="I1427" s="104"/>
      <c r="J1427" s="104"/>
      <c r="K1427" s="104"/>
      <c r="L1427" s="104"/>
      <c r="M1427" s="104"/>
      <c r="N1427" s="104"/>
      <c r="O1427" s="104"/>
      <c r="P1427" s="104"/>
      <c r="Q1427" s="104"/>
      <c r="R1427" s="104"/>
      <c r="S1427" s="104"/>
      <c r="T1427" s="104"/>
      <c r="U1427" s="104"/>
      <c r="V1427" s="104"/>
      <c r="W1427" s="104"/>
      <c r="X1427" s="104"/>
      <c r="Y1427" s="104"/>
      <c r="Z1427" s="104"/>
      <c r="AA1427" s="104"/>
      <c r="AB1427" s="104"/>
      <c r="AC1427" s="104"/>
      <c r="AD1427" s="104"/>
      <c r="AE1427" s="11" t="s">
        <v>748</v>
      </c>
      <c r="AF1427" s="11">
        <v>0.2</v>
      </c>
      <c r="AG1427" s="11" t="s">
        <v>748</v>
      </c>
      <c r="AH1427" s="11">
        <v>4</v>
      </c>
      <c r="AI1427" s="124" t="s">
        <v>727</v>
      </c>
      <c r="AJ1427" s="11">
        <f>(D1427*F1427)*AH1427*AF1427</f>
        <v>0.12800000000000003</v>
      </c>
    </row>
    <row r="1428" spans="1:36" x14ac:dyDescent="0.2">
      <c r="A1428" s="10"/>
      <c r="B1428" s="11"/>
      <c r="C1428" s="46" t="s">
        <v>1100</v>
      </c>
      <c r="D1428" s="11">
        <v>0.4</v>
      </c>
      <c r="E1428" s="88" t="s">
        <v>745</v>
      </c>
      <c r="F1428" s="141">
        <v>0.4</v>
      </c>
      <c r="G1428" s="41"/>
      <c r="H1428" s="41"/>
      <c r="I1428" s="104"/>
      <c r="J1428" s="104"/>
      <c r="K1428" s="104"/>
      <c r="L1428" s="104"/>
      <c r="M1428" s="104"/>
      <c r="N1428" s="104"/>
      <c r="O1428" s="104"/>
      <c r="P1428" s="104"/>
      <c r="Q1428" s="104"/>
      <c r="R1428" s="104"/>
      <c r="S1428" s="104"/>
      <c r="T1428" s="104"/>
      <c r="U1428" s="104"/>
      <c r="V1428" s="104"/>
      <c r="W1428" s="104"/>
      <c r="X1428" s="104"/>
      <c r="Y1428" s="104"/>
      <c r="Z1428" s="104"/>
      <c r="AA1428" s="104"/>
      <c r="AB1428" s="104"/>
      <c r="AC1428" s="104"/>
      <c r="AD1428" s="104"/>
      <c r="AE1428" s="11" t="s">
        <v>748</v>
      </c>
      <c r="AF1428" s="11">
        <v>0.2</v>
      </c>
      <c r="AG1428" s="11" t="s">
        <v>748</v>
      </c>
      <c r="AH1428" s="11">
        <v>4</v>
      </c>
      <c r="AI1428" s="124" t="s">
        <v>727</v>
      </c>
      <c r="AJ1428" s="11">
        <f>(D1428*F1428)*AH1428*AF1428</f>
        <v>0.12800000000000003</v>
      </c>
    </row>
    <row r="1429" spans="1:36" x14ac:dyDescent="0.2">
      <c r="A1429" s="10"/>
      <c r="B1429" s="11"/>
      <c r="C1429" s="154" t="s">
        <v>1120</v>
      </c>
      <c r="D1429" s="155">
        <v>0.6</v>
      </c>
      <c r="E1429" s="155" t="s">
        <v>745</v>
      </c>
      <c r="F1429" s="155">
        <v>0.6</v>
      </c>
      <c r="G1429" s="141"/>
      <c r="H1429" s="141"/>
      <c r="I1429" s="11"/>
      <c r="J1429" s="11"/>
      <c r="K1429" s="92"/>
      <c r="L1429" s="104"/>
      <c r="M1429" s="104"/>
      <c r="N1429" s="104"/>
      <c r="O1429" s="104"/>
      <c r="P1429" s="104"/>
      <c r="Q1429" s="104"/>
      <c r="R1429" s="104"/>
      <c r="S1429" s="104"/>
      <c r="T1429" s="104"/>
      <c r="U1429" s="104"/>
      <c r="V1429" s="104"/>
      <c r="W1429" s="104"/>
      <c r="X1429" s="104"/>
      <c r="Y1429" s="104"/>
      <c r="Z1429" s="104"/>
      <c r="AA1429" s="104"/>
      <c r="AB1429" s="104"/>
      <c r="AC1429" s="104"/>
      <c r="AD1429" s="104"/>
      <c r="AE1429" s="11" t="s">
        <v>748</v>
      </c>
      <c r="AF1429" s="11">
        <v>0.2</v>
      </c>
      <c r="AG1429" s="11" t="s">
        <v>748</v>
      </c>
      <c r="AH1429" s="11">
        <v>4</v>
      </c>
      <c r="AI1429" s="92" t="s">
        <v>727</v>
      </c>
      <c r="AJ1429" s="11">
        <f>(D1429*F1429)*AH1429*AF1429</f>
        <v>0.28799999999999998</v>
      </c>
    </row>
    <row r="1430" spans="1:36" x14ac:dyDescent="0.2">
      <c r="A1430" s="10"/>
      <c r="B1430" s="11"/>
      <c r="C1430" s="10"/>
      <c r="D1430" s="287" t="s">
        <v>743</v>
      </c>
      <c r="E1430" s="287"/>
      <c r="F1430" s="287"/>
      <c r="G1430" s="287"/>
      <c r="H1430" s="287"/>
      <c r="I1430" s="287"/>
      <c r="J1430" s="287"/>
      <c r="K1430" s="287"/>
      <c r="L1430" s="287"/>
      <c r="M1430" s="287"/>
      <c r="N1430" s="287"/>
      <c r="O1430" s="287"/>
      <c r="P1430" s="287"/>
      <c r="Q1430" s="287"/>
      <c r="R1430" s="287"/>
      <c r="S1430" s="287"/>
      <c r="T1430" s="287"/>
      <c r="U1430" s="287"/>
      <c r="V1430" s="287"/>
      <c r="W1430" s="287"/>
      <c r="X1430" s="287"/>
      <c r="Y1430" s="287"/>
      <c r="Z1430" s="287"/>
      <c r="AA1430" s="287"/>
      <c r="AB1430" s="287"/>
      <c r="AC1430" s="287"/>
      <c r="AD1430" s="287"/>
      <c r="AE1430" s="287"/>
      <c r="AF1430" s="287"/>
      <c r="AG1430" s="287"/>
      <c r="AH1430" s="287"/>
      <c r="AI1430" s="124" t="s">
        <v>727</v>
      </c>
      <c r="AJ1430" s="92">
        <f>SUM(AJ1427:AJ1429)</f>
        <v>0.54400000000000004</v>
      </c>
    </row>
    <row r="1431" spans="1:36" ht="24" x14ac:dyDescent="0.2">
      <c r="A1431" s="10" t="s">
        <v>1079</v>
      </c>
      <c r="B1431" s="11" t="s">
        <v>52</v>
      </c>
      <c r="C1431" s="10" t="s">
        <v>53</v>
      </c>
      <c r="D1431" s="11"/>
      <c r="E1431" s="51"/>
      <c r="F1431" s="41"/>
      <c r="G1431" s="41"/>
      <c r="H1431" s="41"/>
      <c r="I1431" s="104"/>
      <c r="J1431" s="104"/>
      <c r="K1431" s="104"/>
      <c r="L1431" s="104"/>
      <c r="M1431" s="104"/>
      <c r="N1431" s="104"/>
      <c r="O1431" s="104"/>
      <c r="P1431" s="104"/>
      <c r="Q1431" s="104"/>
      <c r="R1431" s="104"/>
      <c r="S1431" s="104"/>
      <c r="T1431" s="104"/>
      <c r="U1431" s="104"/>
      <c r="V1431" s="104"/>
      <c r="W1431" s="104"/>
      <c r="X1431" s="104"/>
      <c r="Y1431" s="104"/>
      <c r="Z1431" s="104"/>
      <c r="AA1431" s="104"/>
      <c r="AB1431" s="104"/>
      <c r="AC1431" s="104"/>
      <c r="AD1431" s="104"/>
      <c r="AE1431" s="104"/>
      <c r="AF1431" s="104"/>
      <c r="AG1431" s="104"/>
      <c r="AH1431" s="104"/>
      <c r="AI1431" s="144"/>
      <c r="AJ1431" s="11" t="s">
        <v>54</v>
      </c>
    </row>
    <row r="1432" spans="1:36" x14ac:dyDescent="0.2">
      <c r="A1432" s="10"/>
      <c r="B1432" s="11"/>
      <c r="C1432" s="46" t="s">
        <v>1099</v>
      </c>
      <c r="D1432" s="11">
        <v>0.4</v>
      </c>
      <c r="E1432" s="88" t="s">
        <v>1096</v>
      </c>
      <c r="F1432" s="141">
        <v>0.08</v>
      </c>
      <c r="G1432" s="141" t="s">
        <v>727</v>
      </c>
      <c r="H1432" s="141">
        <f>D1432/F1432</f>
        <v>5</v>
      </c>
      <c r="I1432" s="11" t="s">
        <v>745</v>
      </c>
      <c r="J1432" s="11">
        <v>2</v>
      </c>
      <c r="K1432" s="92" t="s">
        <v>727</v>
      </c>
      <c r="L1432" s="11">
        <f>H1432*J1432</f>
        <v>10</v>
      </c>
      <c r="M1432" s="11" t="s">
        <v>745</v>
      </c>
      <c r="N1432" s="11">
        <f>0.4+0.2</f>
        <v>0.60000000000000009</v>
      </c>
      <c r="O1432" s="104"/>
      <c r="P1432" s="104"/>
      <c r="Q1432" s="104"/>
      <c r="R1432" s="104"/>
      <c r="S1432" s="104"/>
      <c r="T1432" s="104"/>
      <c r="U1432" s="104"/>
      <c r="V1432" s="104"/>
      <c r="W1432" s="104"/>
      <c r="X1432" s="104"/>
      <c r="Y1432" s="104"/>
      <c r="Z1432" s="104"/>
      <c r="AA1432" s="104"/>
      <c r="AB1432" s="104"/>
      <c r="AC1432" s="104"/>
      <c r="AD1432" s="104"/>
      <c r="AE1432" s="11" t="s">
        <v>748</v>
      </c>
      <c r="AF1432" s="11">
        <v>0.245</v>
      </c>
      <c r="AG1432" s="11" t="s">
        <v>748</v>
      </c>
      <c r="AH1432" s="11">
        <v>4</v>
      </c>
      <c r="AI1432" s="124" t="s">
        <v>727</v>
      </c>
      <c r="AJ1432" s="11">
        <f>(L1432*N1432*AF1432)*AH1432</f>
        <v>5.8800000000000008</v>
      </c>
    </row>
    <row r="1433" spans="1:36" x14ac:dyDescent="0.2">
      <c r="A1433" s="10"/>
      <c r="B1433" s="11"/>
      <c r="C1433" s="46" t="s">
        <v>1101</v>
      </c>
      <c r="D1433" s="11">
        <v>0.4</v>
      </c>
      <c r="E1433" s="88" t="s">
        <v>1096</v>
      </c>
      <c r="F1433" s="141">
        <v>0.08</v>
      </c>
      <c r="G1433" s="141" t="s">
        <v>727</v>
      </c>
      <c r="H1433" s="141">
        <f>D1433/F1433</f>
        <v>5</v>
      </c>
      <c r="I1433" s="11" t="s">
        <v>745</v>
      </c>
      <c r="J1433" s="11">
        <v>2</v>
      </c>
      <c r="K1433" s="92" t="s">
        <v>727</v>
      </c>
      <c r="L1433" s="11">
        <f>H1433*J1433</f>
        <v>10</v>
      </c>
      <c r="M1433" s="11" t="s">
        <v>745</v>
      </c>
      <c r="N1433" s="11">
        <f>0.4+0.2</f>
        <v>0.60000000000000009</v>
      </c>
      <c r="O1433" s="104"/>
      <c r="P1433" s="104"/>
      <c r="Q1433" s="104"/>
      <c r="R1433" s="104"/>
      <c r="S1433" s="104"/>
      <c r="T1433" s="104"/>
      <c r="U1433" s="104"/>
      <c r="V1433" s="104"/>
      <c r="W1433" s="104"/>
      <c r="X1433" s="104"/>
      <c r="Y1433" s="104"/>
      <c r="Z1433" s="104"/>
      <c r="AA1433" s="104"/>
      <c r="AB1433" s="104"/>
      <c r="AC1433" s="104"/>
      <c r="AD1433" s="104"/>
      <c r="AE1433" s="11" t="s">
        <v>748</v>
      </c>
      <c r="AF1433" s="11">
        <v>0.245</v>
      </c>
      <c r="AG1433" s="11" t="s">
        <v>748</v>
      </c>
      <c r="AH1433" s="11">
        <v>4</v>
      </c>
      <c r="AI1433" s="124" t="s">
        <v>727</v>
      </c>
      <c r="AJ1433" s="11">
        <f t="shared" ref="AJ1433:AJ1434" si="81">(L1433*N1433*AF1433)*AH1433</f>
        <v>5.8800000000000008</v>
      </c>
    </row>
    <row r="1434" spans="1:36" x14ac:dyDescent="0.2">
      <c r="A1434" s="10"/>
      <c r="B1434" s="11"/>
      <c r="C1434" s="154" t="s">
        <v>1120</v>
      </c>
      <c r="D1434" s="155">
        <v>0.6</v>
      </c>
      <c r="E1434" s="88" t="s">
        <v>1096</v>
      </c>
      <c r="F1434" s="141">
        <v>0.08</v>
      </c>
      <c r="G1434" s="141" t="s">
        <v>727</v>
      </c>
      <c r="H1434" s="141">
        <f>D1434/F1434</f>
        <v>7.5</v>
      </c>
      <c r="I1434" s="11" t="s">
        <v>745</v>
      </c>
      <c r="J1434" s="11">
        <v>2</v>
      </c>
      <c r="K1434" s="92" t="s">
        <v>727</v>
      </c>
      <c r="L1434" s="11">
        <f>H1434*J1434</f>
        <v>15</v>
      </c>
      <c r="M1434" s="11" t="s">
        <v>745</v>
      </c>
      <c r="N1434" s="11">
        <v>0.8</v>
      </c>
      <c r="O1434" s="104"/>
      <c r="P1434" s="104"/>
      <c r="Q1434" s="104"/>
      <c r="R1434" s="104"/>
      <c r="S1434" s="104"/>
      <c r="T1434" s="104"/>
      <c r="U1434" s="104"/>
      <c r="V1434" s="104"/>
      <c r="W1434" s="104"/>
      <c r="X1434" s="104"/>
      <c r="Y1434" s="104"/>
      <c r="Z1434" s="104"/>
      <c r="AA1434" s="104"/>
      <c r="AB1434" s="104"/>
      <c r="AC1434" s="104"/>
      <c r="AD1434" s="104"/>
      <c r="AE1434" s="11" t="s">
        <v>748</v>
      </c>
      <c r="AF1434" s="11">
        <v>0.245</v>
      </c>
      <c r="AG1434" s="11" t="s">
        <v>748</v>
      </c>
      <c r="AH1434" s="11">
        <v>4</v>
      </c>
      <c r="AI1434" s="92" t="s">
        <v>727</v>
      </c>
      <c r="AJ1434" s="11">
        <f t="shared" si="81"/>
        <v>11.76</v>
      </c>
    </row>
    <row r="1435" spans="1:36" x14ac:dyDescent="0.2">
      <c r="A1435" s="10"/>
      <c r="B1435" s="11"/>
      <c r="C1435" s="10"/>
      <c r="D1435" s="287" t="s">
        <v>743</v>
      </c>
      <c r="E1435" s="287"/>
      <c r="F1435" s="287"/>
      <c r="G1435" s="287"/>
      <c r="H1435" s="287"/>
      <c r="I1435" s="287"/>
      <c r="J1435" s="287"/>
      <c r="K1435" s="287"/>
      <c r="L1435" s="287"/>
      <c r="M1435" s="287"/>
      <c r="N1435" s="287"/>
      <c r="O1435" s="287"/>
      <c r="P1435" s="287"/>
      <c r="Q1435" s="287"/>
      <c r="R1435" s="287"/>
      <c r="S1435" s="287"/>
      <c r="T1435" s="287"/>
      <c r="U1435" s="287"/>
      <c r="V1435" s="287"/>
      <c r="W1435" s="287"/>
      <c r="X1435" s="287"/>
      <c r="Y1435" s="287"/>
      <c r="Z1435" s="287"/>
      <c r="AA1435" s="287"/>
      <c r="AB1435" s="287"/>
      <c r="AC1435" s="287"/>
      <c r="AD1435" s="287"/>
      <c r="AE1435" s="287"/>
      <c r="AF1435" s="287"/>
      <c r="AG1435" s="287"/>
      <c r="AH1435" s="287"/>
      <c r="AI1435" s="124" t="s">
        <v>727</v>
      </c>
      <c r="AJ1435" s="92">
        <f>SUM(AJ1432:AJ1434)</f>
        <v>23.520000000000003</v>
      </c>
    </row>
    <row r="1436" spans="1:36" x14ac:dyDescent="0.2">
      <c r="A1436" s="104" t="s">
        <v>1070</v>
      </c>
      <c r="B1436" s="252" t="s">
        <v>1080</v>
      </c>
      <c r="C1436" s="252"/>
      <c r="D1436" s="252"/>
      <c r="E1436" s="252"/>
      <c r="F1436" s="252"/>
      <c r="G1436" s="252"/>
      <c r="H1436" s="252"/>
      <c r="I1436" s="104"/>
      <c r="J1436" s="104"/>
      <c r="K1436" s="104"/>
      <c r="L1436" s="104"/>
      <c r="M1436" s="104"/>
      <c r="N1436" s="104"/>
      <c r="O1436" s="104"/>
      <c r="P1436" s="104"/>
      <c r="Q1436" s="104"/>
      <c r="R1436" s="104"/>
      <c r="S1436" s="104"/>
      <c r="T1436" s="104"/>
      <c r="U1436" s="104"/>
      <c r="V1436" s="104"/>
      <c r="W1436" s="104"/>
      <c r="X1436" s="104"/>
      <c r="Y1436" s="104"/>
      <c r="Z1436" s="104"/>
      <c r="AA1436" s="104"/>
      <c r="AB1436" s="104"/>
      <c r="AC1436" s="104"/>
      <c r="AD1436" s="104"/>
      <c r="AE1436" s="104"/>
      <c r="AF1436" s="104"/>
      <c r="AG1436" s="104"/>
      <c r="AH1436" s="104"/>
      <c r="AI1436" s="144"/>
      <c r="AJ1436" s="104"/>
    </row>
    <row r="1437" spans="1:36" ht="24" x14ac:dyDescent="0.2">
      <c r="A1437" s="132" t="s">
        <v>1081</v>
      </c>
      <c r="B1437" s="11" t="s">
        <v>101</v>
      </c>
      <c r="C1437" s="10" t="s">
        <v>102</v>
      </c>
      <c r="D1437" s="11"/>
      <c r="E1437" s="51"/>
      <c r="F1437" s="41"/>
      <c r="G1437" s="41"/>
      <c r="H1437" s="41"/>
      <c r="I1437" s="104"/>
      <c r="J1437" s="104"/>
      <c r="K1437" s="104"/>
      <c r="L1437" s="104"/>
      <c r="M1437" s="104"/>
      <c r="N1437" s="104"/>
      <c r="O1437" s="104"/>
      <c r="P1437" s="104"/>
      <c r="Q1437" s="104"/>
      <c r="R1437" s="104"/>
      <c r="S1437" s="104"/>
      <c r="T1437" s="104"/>
      <c r="U1437" s="104"/>
      <c r="V1437" s="104"/>
      <c r="W1437" s="104"/>
      <c r="X1437" s="104"/>
      <c r="Y1437" s="104"/>
      <c r="Z1437" s="104"/>
      <c r="AA1437" s="104"/>
      <c r="AB1437" s="104"/>
      <c r="AC1437" s="104"/>
      <c r="AD1437" s="104"/>
      <c r="AE1437" s="104"/>
      <c r="AF1437" s="104"/>
      <c r="AG1437" s="104"/>
      <c r="AH1437" s="104"/>
      <c r="AI1437" s="144"/>
      <c r="AJ1437" s="11" t="s">
        <v>19</v>
      </c>
    </row>
    <row r="1438" spans="1:36" x14ac:dyDescent="0.2">
      <c r="A1438" s="132"/>
      <c r="B1438" s="11"/>
      <c r="C1438" s="46" t="s">
        <v>1097</v>
      </c>
      <c r="D1438" s="11">
        <v>2.75</v>
      </c>
      <c r="E1438" s="88" t="s">
        <v>764</v>
      </c>
      <c r="F1438" s="141">
        <v>2.75</v>
      </c>
      <c r="G1438" s="141" t="s">
        <v>764</v>
      </c>
      <c r="H1438" s="141">
        <v>1.65</v>
      </c>
      <c r="I1438" s="11" t="s">
        <v>764</v>
      </c>
      <c r="J1438" s="11">
        <v>1.65</v>
      </c>
      <c r="K1438" s="104"/>
      <c r="L1438" s="104"/>
      <c r="M1438" s="104"/>
      <c r="N1438" s="104"/>
      <c r="O1438" s="104"/>
      <c r="P1438" s="104"/>
      <c r="Q1438" s="104"/>
      <c r="R1438" s="104"/>
      <c r="S1438" s="104"/>
      <c r="T1438" s="104"/>
      <c r="U1438" s="104"/>
      <c r="V1438" s="104"/>
      <c r="W1438" s="104"/>
      <c r="X1438" s="104"/>
      <c r="Y1438" s="104"/>
      <c r="Z1438" s="104"/>
      <c r="AA1438" s="104"/>
      <c r="AB1438" s="104"/>
      <c r="AC1438" s="104"/>
      <c r="AD1438" s="104"/>
      <c r="AE1438" s="11" t="s">
        <v>748</v>
      </c>
      <c r="AF1438" s="11">
        <v>0.2</v>
      </c>
      <c r="AG1438" s="11" t="s">
        <v>748</v>
      </c>
      <c r="AH1438" s="11">
        <v>2</v>
      </c>
      <c r="AI1438" s="124" t="s">
        <v>727</v>
      </c>
      <c r="AJ1438" s="11">
        <f>(D1438+F1438+H1438+J1438)*AF1438*AH1438</f>
        <v>3.5200000000000005</v>
      </c>
    </row>
    <row r="1439" spans="1:36" x14ac:dyDescent="0.2">
      <c r="A1439" s="132"/>
      <c r="B1439" s="11"/>
      <c r="C1439" s="46" t="s">
        <v>1098</v>
      </c>
      <c r="D1439" s="11">
        <v>2.2000000000000002</v>
      </c>
      <c r="E1439" s="88" t="s">
        <v>764</v>
      </c>
      <c r="F1439" s="141">
        <v>2.2000000000000002</v>
      </c>
      <c r="G1439" s="141" t="s">
        <v>764</v>
      </c>
      <c r="H1439" s="141">
        <v>1.7</v>
      </c>
      <c r="I1439" s="11" t="s">
        <v>764</v>
      </c>
      <c r="J1439" s="11">
        <v>1.7</v>
      </c>
      <c r="K1439" s="104"/>
      <c r="L1439" s="104"/>
      <c r="M1439" s="104"/>
      <c r="N1439" s="104"/>
      <c r="O1439" s="104"/>
      <c r="P1439" s="104"/>
      <c r="Q1439" s="104"/>
      <c r="R1439" s="104"/>
      <c r="S1439" s="104"/>
      <c r="T1439" s="104"/>
      <c r="U1439" s="104"/>
      <c r="V1439" s="104"/>
      <c r="W1439" s="104"/>
      <c r="X1439" s="104"/>
      <c r="Y1439" s="104"/>
      <c r="Z1439" s="104"/>
      <c r="AA1439" s="104"/>
      <c r="AB1439" s="104"/>
      <c r="AC1439" s="104"/>
      <c r="AD1439" s="104"/>
      <c r="AE1439" s="11" t="s">
        <v>748</v>
      </c>
      <c r="AF1439" s="11">
        <v>0.2</v>
      </c>
      <c r="AG1439" s="11" t="s">
        <v>748</v>
      </c>
      <c r="AH1439" s="11">
        <v>2</v>
      </c>
      <c r="AI1439" s="124" t="s">
        <v>727</v>
      </c>
      <c r="AJ1439" s="11">
        <f>(D1439+F1439+H1439+J1439)*AF1439*AH1439</f>
        <v>3.1200000000000006</v>
      </c>
    </row>
    <row r="1440" spans="1:36" x14ac:dyDescent="0.2">
      <c r="A1440" s="132"/>
      <c r="B1440" s="11"/>
      <c r="C1440" s="46" t="s">
        <v>1122</v>
      </c>
      <c r="D1440" s="11">
        <v>2.4</v>
      </c>
      <c r="E1440" s="88" t="s">
        <v>764</v>
      </c>
      <c r="F1440" s="141">
        <v>2.4</v>
      </c>
      <c r="G1440" s="141" t="s">
        <v>764</v>
      </c>
      <c r="H1440" s="141">
        <v>2.4</v>
      </c>
      <c r="I1440" s="11" t="s">
        <v>764</v>
      </c>
      <c r="J1440" s="11">
        <v>2.4</v>
      </c>
      <c r="K1440" s="104"/>
      <c r="L1440" s="104"/>
      <c r="M1440" s="104"/>
      <c r="N1440" s="104"/>
      <c r="O1440" s="104"/>
      <c r="P1440" s="104"/>
      <c r="Q1440" s="104"/>
      <c r="R1440" s="104"/>
      <c r="S1440" s="104"/>
      <c r="T1440" s="104"/>
      <c r="U1440" s="104"/>
      <c r="V1440" s="104"/>
      <c r="W1440" s="104"/>
      <c r="X1440" s="104"/>
      <c r="Y1440" s="104"/>
      <c r="Z1440" s="104"/>
      <c r="AA1440" s="104"/>
      <c r="AB1440" s="104"/>
      <c r="AC1440" s="104"/>
      <c r="AD1440" s="104"/>
      <c r="AE1440" s="11" t="s">
        <v>748</v>
      </c>
      <c r="AF1440" s="11">
        <v>0.2</v>
      </c>
      <c r="AG1440" s="11" t="s">
        <v>748</v>
      </c>
      <c r="AH1440" s="11">
        <v>2</v>
      </c>
      <c r="AI1440" s="124" t="s">
        <v>727</v>
      </c>
      <c r="AJ1440" s="11">
        <f>(D1440+F1440+H1440+J1440)*AF1440*AH1440</f>
        <v>3.84</v>
      </c>
    </row>
    <row r="1441" spans="1:36" x14ac:dyDescent="0.2">
      <c r="A1441" s="132"/>
      <c r="B1441" s="11"/>
      <c r="C1441" s="10"/>
      <c r="D1441" s="287" t="s">
        <v>743</v>
      </c>
      <c r="E1441" s="287"/>
      <c r="F1441" s="287"/>
      <c r="G1441" s="287"/>
      <c r="H1441" s="287"/>
      <c r="I1441" s="287"/>
      <c r="J1441" s="287"/>
      <c r="K1441" s="287"/>
      <c r="L1441" s="287"/>
      <c r="M1441" s="287"/>
      <c r="N1441" s="287"/>
      <c r="O1441" s="287"/>
      <c r="P1441" s="287"/>
      <c r="Q1441" s="287"/>
      <c r="R1441" s="287"/>
      <c r="S1441" s="287"/>
      <c r="T1441" s="287"/>
      <c r="U1441" s="287"/>
      <c r="V1441" s="287"/>
      <c r="W1441" s="287"/>
      <c r="X1441" s="287"/>
      <c r="Y1441" s="287"/>
      <c r="Z1441" s="287"/>
      <c r="AA1441" s="287"/>
      <c r="AB1441" s="287"/>
      <c r="AC1441" s="287"/>
      <c r="AD1441" s="287"/>
      <c r="AE1441" s="287"/>
      <c r="AF1441" s="287"/>
      <c r="AG1441" s="287"/>
      <c r="AH1441" s="287"/>
      <c r="AI1441" s="124" t="s">
        <v>727</v>
      </c>
      <c r="AJ1441" s="92">
        <f>SUM(AJ1438:AJ1440)</f>
        <v>10.48</v>
      </c>
    </row>
    <row r="1442" spans="1:36" ht="36" x14ac:dyDescent="0.2">
      <c r="A1442" s="10" t="s">
        <v>1082</v>
      </c>
      <c r="B1442" s="11" t="s">
        <v>46</v>
      </c>
      <c r="C1442" s="10" t="s">
        <v>47</v>
      </c>
      <c r="D1442" s="11"/>
      <c r="E1442" s="51"/>
      <c r="F1442" s="41"/>
      <c r="G1442" s="41"/>
      <c r="H1442" s="41"/>
      <c r="I1442" s="104"/>
      <c r="J1442" s="104"/>
      <c r="K1442" s="104"/>
      <c r="L1442" s="104"/>
      <c r="M1442" s="104"/>
      <c r="N1442" s="104"/>
      <c r="O1442" s="104"/>
      <c r="P1442" s="104"/>
      <c r="Q1442" s="104"/>
      <c r="R1442" s="104"/>
      <c r="S1442" s="104"/>
      <c r="T1442" s="104"/>
      <c r="U1442" s="104"/>
      <c r="V1442" s="104"/>
      <c r="W1442" s="104"/>
      <c r="X1442" s="104"/>
      <c r="Y1442" s="104"/>
      <c r="Z1442" s="104"/>
      <c r="AA1442" s="104"/>
      <c r="AB1442" s="104"/>
      <c r="AC1442" s="104"/>
      <c r="AD1442" s="104"/>
      <c r="AE1442" s="104"/>
      <c r="AF1442" s="104"/>
      <c r="AG1442" s="104"/>
      <c r="AH1442" s="104"/>
      <c r="AI1442" s="144"/>
      <c r="AJ1442" s="11" t="s">
        <v>29</v>
      </c>
    </row>
    <row r="1443" spans="1:36" x14ac:dyDescent="0.2">
      <c r="A1443" s="10"/>
      <c r="B1443" s="11"/>
      <c r="C1443" s="46" t="s">
        <v>1097</v>
      </c>
      <c r="D1443" s="11">
        <v>2.75</v>
      </c>
      <c r="E1443" s="88" t="s">
        <v>764</v>
      </c>
      <c r="F1443" s="141">
        <v>2.75</v>
      </c>
      <c r="G1443" s="141" t="s">
        <v>764</v>
      </c>
      <c r="H1443" s="141">
        <v>1.65</v>
      </c>
      <c r="I1443" s="11" t="s">
        <v>764</v>
      </c>
      <c r="J1443" s="11">
        <v>1.65</v>
      </c>
      <c r="K1443" s="104"/>
      <c r="L1443" s="104"/>
      <c r="M1443" s="104"/>
      <c r="N1443" s="104"/>
      <c r="O1443" s="104"/>
      <c r="P1443" s="104"/>
      <c r="Q1443" s="104"/>
      <c r="R1443" s="104"/>
      <c r="S1443" s="104"/>
      <c r="T1443" s="104"/>
      <c r="U1443" s="104"/>
      <c r="V1443" s="104"/>
      <c r="W1443" s="104"/>
      <c r="X1443" s="104"/>
      <c r="Y1443" s="104"/>
      <c r="Z1443" s="104"/>
      <c r="AA1443" s="104"/>
      <c r="AB1443" s="104"/>
      <c r="AC1443" s="11" t="s">
        <v>748</v>
      </c>
      <c r="AD1443" s="11">
        <v>0.2</v>
      </c>
      <c r="AE1443" s="11" t="s">
        <v>748</v>
      </c>
      <c r="AF1443" s="11">
        <v>0.2</v>
      </c>
      <c r="AG1443" s="11" t="s">
        <v>748</v>
      </c>
      <c r="AH1443" s="11">
        <v>2</v>
      </c>
      <c r="AI1443" s="124" t="s">
        <v>727</v>
      </c>
      <c r="AJ1443" s="11">
        <f>((D1443+F1443+H1443+J1443)*AF1443*AH1443)*AD1443</f>
        <v>0.70400000000000018</v>
      </c>
    </row>
    <row r="1444" spans="1:36" x14ac:dyDescent="0.2">
      <c r="A1444" s="10"/>
      <c r="B1444" s="11"/>
      <c r="C1444" s="46" t="s">
        <v>1098</v>
      </c>
      <c r="D1444" s="11">
        <v>2.2000000000000002</v>
      </c>
      <c r="E1444" s="88" t="s">
        <v>764</v>
      </c>
      <c r="F1444" s="141">
        <v>2.2000000000000002</v>
      </c>
      <c r="G1444" s="141" t="s">
        <v>764</v>
      </c>
      <c r="H1444" s="141">
        <v>1.7</v>
      </c>
      <c r="I1444" s="11" t="s">
        <v>764</v>
      </c>
      <c r="J1444" s="11">
        <v>1.7</v>
      </c>
      <c r="K1444" s="104"/>
      <c r="L1444" s="104"/>
      <c r="M1444" s="104"/>
      <c r="N1444" s="104"/>
      <c r="O1444" s="104"/>
      <c r="P1444" s="104"/>
      <c r="Q1444" s="104"/>
      <c r="R1444" s="104"/>
      <c r="S1444" s="104"/>
      <c r="T1444" s="104"/>
      <c r="U1444" s="104"/>
      <c r="V1444" s="104"/>
      <c r="W1444" s="104"/>
      <c r="X1444" s="104"/>
      <c r="Y1444" s="104"/>
      <c r="Z1444" s="104"/>
      <c r="AA1444" s="104"/>
      <c r="AB1444" s="104"/>
      <c r="AC1444" s="11" t="s">
        <v>748</v>
      </c>
      <c r="AD1444" s="11">
        <v>0.2</v>
      </c>
      <c r="AE1444" s="11" t="s">
        <v>748</v>
      </c>
      <c r="AF1444" s="11">
        <v>0.2</v>
      </c>
      <c r="AG1444" s="11" t="s">
        <v>748</v>
      </c>
      <c r="AH1444" s="11">
        <v>2</v>
      </c>
      <c r="AI1444" s="124" t="s">
        <v>727</v>
      </c>
      <c r="AJ1444" s="11">
        <f t="shared" ref="AJ1444" si="82">((D1444+F1444+H1444+J1444)*AF1444*AH1444)*AD1444</f>
        <v>0.62400000000000011</v>
      </c>
    </row>
    <row r="1445" spans="1:36" x14ac:dyDescent="0.2">
      <c r="A1445" s="10"/>
      <c r="B1445" s="11"/>
      <c r="C1445" s="46" t="s">
        <v>1122</v>
      </c>
      <c r="D1445" s="11">
        <v>2.4</v>
      </c>
      <c r="E1445" s="88" t="s">
        <v>764</v>
      </c>
      <c r="F1445" s="141">
        <v>2.4</v>
      </c>
      <c r="G1445" s="141" t="s">
        <v>764</v>
      </c>
      <c r="H1445" s="141">
        <v>2.4</v>
      </c>
      <c r="I1445" s="11" t="s">
        <v>764</v>
      </c>
      <c r="J1445" s="11">
        <v>2.4</v>
      </c>
      <c r="K1445" s="104"/>
      <c r="L1445" s="104"/>
      <c r="M1445" s="104"/>
      <c r="N1445" s="104"/>
      <c r="O1445" s="104"/>
      <c r="P1445" s="104"/>
      <c r="Q1445" s="104"/>
      <c r="R1445" s="104"/>
      <c r="S1445" s="104"/>
      <c r="T1445" s="104"/>
      <c r="U1445" s="104"/>
      <c r="V1445" s="104"/>
      <c r="W1445" s="104"/>
      <c r="X1445" s="104"/>
      <c r="Y1445" s="104"/>
      <c r="Z1445" s="104"/>
      <c r="AA1445" s="104"/>
      <c r="AB1445" s="104"/>
      <c r="AC1445" s="11" t="s">
        <v>748</v>
      </c>
      <c r="AD1445" s="11">
        <v>0.2</v>
      </c>
      <c r="AE1445" s="11" t="s">
        <v>748</v>
      </c>
      <c r="AF1445" s="11">
        <v>0.2</v>
      </c>
      <c r="AG1445" s="11" t="s">
        <v>748</v>
      </c>
      <c r="AH1445" s="11">
        <v>2</v>
      </c>
      <c r="AI1445" s="124" t="s">
        <v>727</v>
      </c>
      <c r="AJ1445" s="11">
        <f>((D1445+F1445+H1445+J1445)*AF1445*AH1445)*AD1445</f>
        <v>0.76800000000000002</v>
      </c>
    </row>
    <row r="1446" spans="1:36" x14ac:dyDescent="0.2">
      <c r="A1446" s="10"/>
      <c r="B1446" s="11"/>
      <c r="C1446" s="10"/>
      <c r="D1446" s="287" t="s">
        <v>743</v>
      </c>
      <c r="E1446" s="287"/>
      <c r="F1446" s="287"/>
      <c r="G1446" s="287"/>
      <c r="H1446" s="287"/>
      <c r="I1446" s="287"/>
      <c r="J1446" s="287"/>
      <c r="K1446" s="287"/>
      <c r="L1446" s="287"/>
      <c r="M1446" s="287"/>
      <c r="N1446" s="287"/>
      <c r="O1446" s="287"/>
      <c r="P1446" s="287"/>
      <c r="Q1446" s="287"/>
      <c r="R1446" s="287"/>
      <c r="S1446" s="287"/>
      <c r="T1446" s="287"/>
      <c r="U1446" s="287"/>
      <c r="V1446" s="287"/>
      <c r="W1446" s="287"/>
      <c r="X1446" s="287"/>
      <c r="Y1446" s="287"/>
      <c r="Z1446" s="287"/>
      <c r="AA1446" s="287"/>
      <c r="AB1446" s="287"/>
      <c r="AC1446" s="287"/>
      <c r="AD1446" s="287"/>
      <c r="AE1446" s="287"/>
      <c r="AF1446" s="287"/>
      <c r="AG1446" s="287"/>
      <c r="AH1446" s="287"/>
      <c r="AI1446" s="124" t="s">
        <v>727</v>
      </c>
      <c r="AJ1446" s="92">
        <f>SUM(AJ1443:AJ1445)</f>
        <v>2.0960000000000001</v>
      </c>
    </row>
    <row r="1447" spans="1:36" ht="24" x14ac:dyDescent="0.2">
      <c r="A1447" s="10" t="s">
        <v>1083</v>
      </c>
      <c r="B1447" s="11" t="s">
        <v>49</v>
      </c>
      <c r="C1447" s="10" t="s">
        <v>50</v>
      </c>
      <c r="D1447" s="11"/>
      <c r="E1447" s="51"/>
      <c r="F1447" s="41"/>
      <c r="G1447" s="41"/>
      <c r="H1447" s="41"/>
      <c r="I1447" s="104"/>
      <c r="J1447" s="104"/>
      <c r="K1447" s="104"/>
      <c r="L1447" s="104"/>
      <c r="M1447" s="104"/>
      <c r="N1447" s="104"/>
      <c r="O1447" s="104"/>
      <c r="P1447" s="104"/>
      <c r="Q1447" s="104"/>
      <c r="R1447" s="104"/>
      <c r="S1447" s="104"/>
      <c r="T1447" s="104"/>
      <c r="U1447" s="104"/>
      <c r="V1447" s="104"/>
      <c r="W1447" s="104"/>
      <c r="X1447" s="104"/>
      <c r="Y1447" s="104"/>
      <c r="Z1447" s="104"/>
      <c r="AA1447" s="104"/>
      <c r="AB1447" s="104"/>
      <c r="AC1447" s="104"/>
      <c r="AD1447" s="104"/>
      <c r="AE1447" s="104"/>
      <c r="AF1447" s="104"/>
      <c r="AG1447" s="104"/>
      <c r="AH1447" s="104"/>
      <c r="AI1447" s="144"/>
      <c r="AJ1447" s="11" t="s">
        <v>29</v>
      </c>
    </row>
    <row r="1448" spans="1:36" x14ac:dyDescent="0.2">
      <c r="A1448" s="10"/>
      <c r="B1448" s="11"/>
      <c r="C1448" s="46" t="s">
        <v>1097</v>
      </c>
      <c r="D1448" s="11">
        <v>2.75</v>
      </c>
      <c r="E1448" s="88" t="s">
        <v>764</v>
      </c>
      <c r="F1448" s="141">
        <v>2.75</v>
      </c>
      <c r="G1448" s="141" t="s">
        <v>764</v>
      </c>
      <c r="H1448" s="141">
        <v>1.65</v>
      </c>
      <c r="I1448" s="11" t="s">
        <v>764</v>
      </c>
      <c r="J1448" s="11">
        <v>1.65</v>
      </c>
      <c r="K1448" s="104"/>
      <c r="L1448" s="104"/>
      <c r="M1448" s="104"/>
      <c r="N1448" s="104"/>
      <c r="O1448" s="104"/>
      <c r="P1448" s="104"/>
      <c r="Q1448" s="104"/>
      <c r="R1448" s="104"/>
      <c r="S1448" s="104"/>
      <c r="T1448" s="104"/>
      <c r="U1448" s="104"/>
      <c r="V1448" s="104"/>
      <c r="W1448" s="104"/>
      <c r="X1448" s="104"/>
      <c r="Y1448" s="104"/>
      <c r="Z1448" s="104"/>
      <c r="AA1448" s="104"/>
      <c r="AB1448" s="104"/>
      <c r="AC1448" s="11" t="s">
        <v>748</v>
      </c>
      <c r="AD1448" s="11">
        <v>0.2</v>
      </c>
      <c r="AE1448" s="11" t="s">
        <v>748</v>
      </c>
      <c r="AF1448" s="11">
        <v>0.2</v>
      </c>
      <c r="AG1448" s="11" t="s">
        <v>748</v>
      </c>
      <c r="AH1448" s="11">
        <v>2</v>
      </c>
      <c r="AI1448" s="124" t="s">
        <v>727</v>
      </c>
      <c r="AJ1448" s="11">
        <f>((D1448+F1448+H1448+J1448)*AF1448*AH1448)*AD1448</f>
        <v>0.70400000000000018</v>
      </c>
    </row>
    <row r="1449" spans="1:36" x14ac:dyDescent="0.2">
      <c r="A1449" s="10"/>
      <c r="B1449" s="11"/>
      <c r="C1449" s="46" t="s">
        <v>1098</v>
      </c>
      <c r="D1449" s="11">
        <v>2.2000000000000002</v>
      </c>
      <c r="E1449" s="88" t="s">
        <v>764</v>
      </c>
      <c r="F1449" s="141">
        <v>2.2000000000000002</v>
      </c>
      <c r="G1449" s="141" t="s">
        <v>764</v>
      </c>
      <c r="H1449" s="141">
        <v>1.7</v>
      </c>
      <c r="I1449" s="11" t="s">
        <v>764</v>
      </c>
      <c r="J1449" s="11">
        <v>1.7</v>
      </c>
      <c r="K1449" s="104"/>
      <c r="L1449" s="104"/>
      <c r="M1449" s="104"/>
      <c r="N1449" s="104"/>
      <c r="O1449" s="104"/>
      <c r="P1449" s="104"/>
      <c r="Q1449" s="104"/>
      <c r="R1449" s="104"/>
      <c r="S1449" s="104"/>
      <c r="T1449" s="104"/>
      <c r="U1449" s="104"/>
      <c r="V1449" s="104"/>
      <c r="W1449" s="104"/>
      <c r="X1449" s="104"/>
      <c r="Y1449" s="104"/>
      <c r="Z1449" s="104"/>
      <c r="AA1449" s="104"/>
      <c r="AB1449" s="104"/>
      <c r="AC1449" s="11" t="s">
        <v>748</v>
      </c>
      <c r="AD1449" s="11">
        <v>0.2</v>
      </c>
      <c r="AE1449" s="11" t="s">
        <v>748</v>
      </c>
      <c r="AF1449" s="11">
        <v>0.2</v>
      </c>
      <c r="AG1449" s="11" t="s">
        <v>748</v>
      </c>
      <c r="AH1449" s="11">
        <v>2</v>
      </c>
      <c r="AI1449" s="124" t="s">
        <v>727</v>
      </c>
      <c r="AJ1449" s="11">
        <f>((D1449+F1449+H1449+J1449)*AF1449*AH1449)*AD1449</f>
        <v>0.62400000000000011</v>
      </c>
    </row>
    <row r="1450" spans="1:36" x14ac:dyDescent="0.2">
      <c r="A1450" s="10"/>
      <c r="B1450" s="11"/>
      <c r="C1450" s="46" t="s">
        <v>1122</v>
      </c>
      <c r="D1450" s="11">
        <v>2.4</v>
      </c>
      <c r="E1450" s="88" t="s">
        <v>764</v>
      </c>
      <c r="F1450" s="141">
        <v>2.4</v>
      </c>
      <c r="G1450" s="141" t="s">
        <v>764</v>
      </c>
      <c r="H1450" s="141">
        <v>2.4</v>
      </c>
      <c r="I1450" s="11" t="s">
        <v>764</v>
      </c>
      <c r="J1450" s="11">
        <v>2.4</v>
      </c>
      <c r="K1450" s="104"/>
      <c r="L1450" s="104"/>
      <c r="M1450" s="104"/>
      <c r="N1450" s="104"/>
      <c r="O1450" s="104"/>
      <c r="P1450" s="104"/>
      <c r="Q1450" s="104"/>
      <c r="R1450" s="104"/>
      <c r="S1450" s="104"/>
      <c r="T1450" s="104"/>
      <c r="U1450" s="104"/>
      <c r="V1450" s="104"/>
      <c r="W1450" s="104"/>
      <c r="X1450" s="104"/>
      <c r="Y1450" s="104"/>
      <c r="Z1450" s="104"/>
      <c r="AA1450" s="104"/>
      <c r="AB1450" s="104"/>
      <c r="AC1450" s="11" t="s">
        <v>748</v>
      </c>
      <c r="AD1450" s="11">
        <v>0.2</v>
      </c>
      <c r="AE1450" s="11" t="s">
        <v>748</v>
      </c>
      <c r="AF1450" s="11">
        <v>0.2</v>
      </c>
      <c r="AG1450" s="11" t="s">
        <v>748</v>
      </c>
      <c r="AH1450" s="11">
        <v>2</v>
      </c>
      <c r="AI1450" s="124" t="s">
        <v>727</v>
      </c>
      <c r="AJ1450" s="11">
        <f>((D1450+F1450+H1450+J1450)*AF1450*AH1450)*AD1450</f>
        <v>0.76800000000000002</v>
      </c>
    </row>
    <row r="1451" spans="1:36" x14ac:dyDescent="0.2">
      <c r="A1451" s="10"/>
      <c r="B1451" s="11"/>
      <c r="C1451" s="10"/>
      <c r="D1451" s="287" t="s">
        <v>743</v>
      </c>
      <c r="E1451" s="287"/>
      <c r="F1451" s="287"/>
      <c r="G1451" s="287"/>
      <c r="H1451" s="287"/>
      <c r="I1451" s="287"/>
      <c r="J1451" s="287"/>
      <c r="K1451" s="287"/>
      <c r="L1451" s="287"/>
      <c r="M1451" s="287"/>
      <c r="N1451" s="287"/>
      <c r="O1451" s="287"/>
      <c r="P1451" s="287"/>
      <c r="Q1451" s="287"/>
      <c r="R1451" s="287"/>
      <c r="S1451" s="287"/>
      <c r="T1451" s="287"/>
      <c r="U1451" s="287"/>
      <c r="V1451" s="287"/>
      <c r="W1451" s="287"/>
      <c r="X1451" s="287"/>
      <c r="Y1451" s="287"/>
      <c r="Z1451" s="287"/>
      <c r="AA1451" s="287"/>
      <c r="AB1451" s="287"/>
      <c r="AC1451" s="287"/>
      <c r="AD1451" s="287"/>
      <c r="AE1451" s="287"/>
      <c r="AF1451" s="287"/>
      <c r="AG1451" s="287"/>
      <c r="AH1451" s="287"/>
      <c r="AI1451" s="124" t="s">
        <v>727</v>
      </c>
      <c r="AJ1451" s="92">
        <f>SUM(AJ1448:AJ1450)</f>
        <v>2.0960000000000001</v>
      </c>
    </row>
    <row r="1452" spans="1:36" ht="36" x14ac:dyDescent="0.2">
      <c r="A1452" s="10" t="s">
        <v>1084</v>
      </c>
      <c r="B1452" s="11" t="s">
        <v>109</v>
      </c>
      <c r="C1452" s="10" t="s">
        <v>110</v>
      </c>
      <c r="D1452" s="11"/>
      <c r="E1452" s="51"/>
      <c r="F1452" s="41"/>
      <c r="G1452" s="41"/>
      <c r="H1452" s="41"/>
      <c r="I1452" s="104"/>
      <c r="J1452" s="104"/>
      <c r="K1452" s="104"/>
      <c r="L1452" s="104"/>
      <c r="M1452" s="104"/>
      <c r="N1452" s="104"/>
      <c r="O1452" s="104"/>
      <c r="P1452" s="104"/>
      <c r="Q1452" s="104"/>
      <c r="R1452" s="104"/>
      <c r="S1452" s="104"/>
      <c r="T1452" s="104"/>
      <c r="U1452" s="104"/>
      <c r="V1452" s="104"/>
      <c r="W1452" s="104"/>
      <c r="X1452" s="104"/>
      <c r="Y1452" s="104"/>
      <c r="Z1452" s="104"/>
      <c r="AA1452" s="104"/>
      <c r="AB1452" s="104"/>
      <c r="AC1452" s="104"/>
      <c r="AD1452" s="104"/>
      <c r="AE1452" s="104"/>
      <c r="AF1452" s="104"/>
      <c r="AG1452" s="104"/>
      <c r="AH1452" s="104"/>
      <c r="AI1452" s="144"/>
      <c r="AJ1452" s="11" t="s">
        <v>54</v>
      </c>
    </row>
    <row r="1453" spans="1:36" x14ac:dyDescent="0.2">
      <c r="A1453" s="10"/>
      <c r="B1453" s="11"/>
      <c r="C1453" s="46" t="s">
        <v>1097</v>
      </c>
      <c r="D1453" s="141">
        <f>D1448+F1448+H1448+J1448</f>
        <v>8.8000000000000007</v>
      </c>
      <c r="E1453" s="88" t="s">
        <v>745</v>
      </c>
      <c r="F1453" s="141">
        <v>4</v>
      </c>
      <c r="G1453" s="141"/>
      <c r="H1453" s="141"/>
      <c r="I1453" s="11"/>
      <c r="J1453" s="11"/>
      <c r="K1453" s="104"/>
      <c r="L1453" s="104"/>
      <c r="M1453" s="104"/>
      <c r="N1453" s="104"/>
      <c r="O1453" s="104"/>
      <c r="P1453" s="104"/>
      <c r="Q1453" s="104"/>
      <c r="R1453" s="104"/>
      <c r="S1453" s="104"/>
      <c r="T1453" s="104"/>
      <c r="U1453" s="104"/>
      <c r="V1453" s="104"/>
      <c r="W1453" s="104"/>
      <c r="X1453" s="104"/>
      <c r="Y1453" s="104"/>
      <c r="Z1453" s="104"/>
      <c r="AA1453" s="104"/>
      <c r="AB1453" s="104"/>
      <c r="AC1453" s="11"/>
      <c r="AD1453" s="11"/>
      <c r="AE1453" s="11" t="s">
        <v>745</v>
      </c>
      <c r="AF1453" s="11">
        <v>0.39500000000000002</v>
      </c>
      <c r="AG1453" s="11" t="s">
        <v>748</v>
      </c>
      <c r="AH1453" s="11">
        <v>2</v>
      </c>
      <c r="AI1453" s="124" t="s">
        <v>727</v>
      </c>
      <c r="AJ1453" s="11">
        <f>(D1453*F1453)*AF1453*AH1453</f>
        <v>27.808000000000003</v>
      </c>
    </row>
    <row r="1454" spans="1:36" x14ac:dyDescent="0.2">
      <c r="A1454" s="10"/>
      <c r="B1454" s="11"/>
      <c r="C1454" s="46" t="s">
        <v>1098</v>
      </c>
      <c r="D1454" s="141">
        <f>D1449+F1449+H1449+J1449</f>
        <v>7.8000000000000007</v>
      </c>
      <c r="E1454" s="88" t="s">
        <v>745</v>
      </c>
      <c r="F1454" s="141">
        <v>4</v>
      </c>
      <c r="G1454" s="141"/>
      <c r="H1454" s="141"/>
      <c r="I1454" s="11"/>
      <c r="J1454" s="11"/>
      <c r="K1454" s="104"/>
      <c r="L1454" s="104"/>
      <c r="M1454" s="104"/>
      <c r="N1454" s="104"/>
      <c r="O1454" s="104"/>
      <c r="P1454" s="104"/>
      <c r="Q1454" s="104"/>
      <c r="R1454" s="104"/>
      <c r="S1454" s="104"/>
      <c r="T1454" s="104"/>
      <c r="U1454" s="104"/>
      <c r="V1454" s="104"/>
      <c r="W1454" s="104"/>
      <c r="X1454" s="104"/>
      <c r="Y1454" s="104"/>
      <c r="Z1454" s="104"/>
      <c r="AA1454" s="104"/>
      <c r="AB1454" s="104"/>
      <c r="AC1454" s="11"/>
      <c r="AD1454" s="11"/>
      <c r="AE1454" s="11" t="s">
        <v>745</v>
      </c>
      <c r="AF1454" s="11">
        <v>0.39500000000000002</v>
      </c>
      <c r="AG1454" s="11" t="s">
        <v>748</v>
      </c>
      <c r="AH1454" s="11">
        <v>2</v>
      </c>
      <c r="AI1454" s="124" t="s">
        <v>727</v>
      </c>
      <c r="AJ1454" s="11">
        <f t="shared" ref="AJ1454:AJ1455" si="83">(D1454*F1454)*AF1454*AH1454</f>
        <v>24.648000000000003</v>
      </c>
    </row>
    <row r="1455" spans="1:36" x14ac:dyDescent="0.2">
      <c r="A1455" s="10"/>
      <c r="B1455" s="11"/>
      <c r="C1455" s="46" t="s">
        <v>1122</v>
      </c>
      <c r="D1455" s="11">
        <f>2.4*4</f>
        <v>9.6</v>
      </c>
      <c r="E1455" s="88" t="s">
        <v>745</v>
      </c>
      <c r="F1455" s="141">
        <v>4</v>
      </c>
      <c r="G1455" s="141"/>
      <c r="H1455" s="141"/>
      <c r="I1455" s="11"/>
      <c r="J1455" s="11"/>
      <c r="K1455" s="104"/>
      <c r="L1455" s="104"/>
      <c r="M1455" s="104"/>
      <c r="N1455" s="104"/>
      <c r="O1455" s="104"/>
      <c r="P1455" s="104"/>
      <c r="Q1455" s="104"/>
      <c r="R1455" s="104"/>
      <c r="S1455" s="104"/>
      <c r="T1455" s="104"/>
      <c r="U1455" s="104"/>
      <c r="V1455" s="104"/>
      <c r="W1455" s="104"/>
      <c r="X1455" s="104"/>
      <c r="Y1455" s="104"/>
      <c r="Z1455" s="104"/>
      <c r="AA1455" s="104"/>
      <c r="AB1455" s="104"/>
      <c r="AC1455" s="11"/>
      <c r="AD1455" s="11"/>
      <c r="AE1455" s="11" t="s">
        <v>745</v>
      </c>
      <c r="AF1455" s="11">
        <v>0.39500000000000002</v>
      </c>
      <c r="AG1455" s="11" t="s">
        <v>748</v>
      </c>
      <c r="AH1455" s="11">
        <v>2</v>
      </c>
      <c r="AI1455" s="124" t="s">
        <v>727</v>
      </c>
      <c r="AJ1455" s="11">
        <f t="shared" si="83"/>
        <v>30.335999999999999</v>
      </c>
    </row>
    <row r="1456" spans="1:36" x14ac:dyDescent="0.2">
      <c r="A1456" s="10"/>
      <c r="B1456" s="11"/>
      <c r="C1456" s="10"/>
      <c r="D1456" s="287" t="s">
        <v>743</v>
      </c>
      <c r="E1456" s="287"/>
      <c r="F1456" s="287"/>
      <c r="G1456" s="287"/>
      <c r="H1456" s="287"/>
      <c r="I1456" s="287"/>
      <c r="J1456" s="287"/>
      <c r="K1456" s="287"/>
      <c r="L1456" s="287"/>
      <c r="M1456" s="287"/>
      <c r="N1456" s="287"/>
      <c r="O1456" s="287"/>
      <c r="P1456" s="287"/>
      <c r="Q1456" s="287"/>
      <c r="R1456" s="287"/>
      <c r="S1456" s="287"/>
      <c r="T1456" s="287"/>
      <c r="U1456" s="287"/>
      <c r="V1456" s="287"/>
      <c r="W1456" s="287"/>
      <c r="X1456" s="287"/>
      <c r="Y1456" s="287"/>
      <c r="Z1456" s="287"/>
      <c r="AA1456" s="287"/>
      <c r="AB1456" s="287"/>
      <c r="AC1456" s="287"/>
      <c r="AD1456" s="287"/>
      <c r="AE1456" s="287"/>
      <c r="AF1456" s="287"/>
      <c r="AG1456" s="287"/>
      <c r="AH1456" s="287"/>
      <c r="AI1456" s="124" t="s">
        <v>727</v>
      </c>
      <c r="AJ1456" s="92">
        <f>SUM(AJ1453:AJ1455)</f>
        <v>82.792000000000002</v>
      </c>
    </row>
    <row r="1457" spans="1:135" ht="36" x14ac:dyDescent="0.2">
      <c r="A1457" s="17" t="s">
        <v>1085</v>
      </c>
      <c r="B1457" s="11" t="s">
        <v>96</v>
      </c>
      <c r="C1457" s="10" t="s">
        <v>97</v>
      </c>
      <c r="D1457" s="11"/>
      <c r="E1457" s="51"/>
      <c r="F1457" s="41"/>
      <c r="G1457" s="41"/>
      <c r="H1457" s="41"/>
      <c r="I1457" s="104"/>
      <c r="J1457" s="104"/>
      <c r="K1457" s="104"/>
      <c r="L1457" s="104"/>
      <c r="M1457" s="104"/>
      <c r="N1457" s="104"/>
      <c r="O1457" s="104"/>
      <c r="P1457" s="104"/>
      <c r="Q1457" s="104"/>
      <c r="R1457" s="104"/>
      <c r="S1457" s="104"/>
      <c r="T1457" s="104"/>
      <c r="U1457" s="104"/>
      <c r="V1457" s="104"/>
      <c r="W1457" s="104"/>
      <c r="X1457" s="104"/>
      <c r="Y1457" s="104"/>
      <c r="Z1457" s="104"/>
      <c r="AA1457" s="104"/>
      <c r="AB1457" s="104"/>
      <c r="AC1457" s="104"/>
      <c r="AD1457" s="104"/>
      <c r="AE1457" s="104"/>
      <c r="AF1457" s="104"/>
      <c r="AG1457" s="104"/>
      <c r="AH1457" s="104"/>
      <c r="AI1457" s="149"/>
      <c r="AJ1457" s="11" t="s">
        <v>54</v>
      </c>
    </row>
    <row r="1458" spans="1:135" s="51" customFormat="1" x14ac:dyDescent="0.2">
      <c r="A1458" s="10"/>
      <c r="B1458" s="11"/>
      <c r="C1458" s="46" t="s">
        <v>1097</v>
      </c>
      <c r="D1458" s="141">
        <f>D1448+F1448+H1448+J1448</f>
        <v>8.8000000000000007</v>
      </c>
      <c r="E1458" s="88" t="s">
        <v>1096</v>
      </c>
      <c r="F1458" s="141">
        <v>0.15</v>
      </c>
      <c r="G1458" s="141" t="s">
        <v>727</v>
      </c>
      <c r="H1458" s="141">
        <f>D1458/F1458</f>
        <v>58.666666666666671</v>
      </c>
      <c r="I1458" s="11" t="s">
        <v>745</v>
      </c>
      <c r="J1458" s="11">
        <f>0.14*2+0.14*2+0.05</f>
        <v>0.6100000000000001</v>
      </c>
      <c r="K1458" s="92" t="s">
        <v>727</v>
      </c>
      <c r="L1458" s="10">
        <f>H1458*J1458</f>
        <v>35.786666666666676</v>
      </c>
      <c r="M1458" s="104"/>
      <c r="N1458" s="104"/>
      <c r="O1458" s="104"/>
      <c r="P1458" s="104"/>
      <c r="Q1458" s="104"/>
      <c r="R1458" s="104"/>
      <c r="S1458" s="104"/>
      <c r="T1458" s="104"/>
      <c r="U1458" s="104"/>
      <c r="V1458" s="104"/>
      <c r="W1458" s="104"/>
      <c r="X1458" s="104"/>
      <c r="Y1458" s="104"/>
      <c r="Z1458" s="104"/>
      <c r="AA1458" s="104"/>
      <c r="AB1458" s="104"/>
      <c r="AC1458" s="11"/>
      <c r="AD1458" s="11"/>
      <c r="AE1458" s="11" t="s">
        <v>745</v>
      </c>
      <c r="AF1458" s="11">
        <v>0.154</v>
      </c>
      <c r="AG1458" s="11" t="s">
        <v>748</v>
      </c>
      <c r="AH1458" s="11">
        <v>2</v>
      </c>
      <c r="AI1458" s="124" t="s">
        <v>727</v>
      </c>
      <c r="AJ1458" s="11">
        <f>L1458*AF1458*AH1458</f>
        <v>11.022293333333335</v>
      </c>
      <c r="AK1458" s="146"/>
      <c r="AL1458" s="146"/>
      <c r="AM1458" s="146"/>
      <c r="AN1458" s="146"/>
      <c r="AO1458" s="146"/>
      <c r="AP1458" s="146"/>
      <c r="AQ1458" s="146"/>
      <c r="AR1458" s="146"/>
      <c r="AS1458" s="146"/>
      <c r="AT1458" s="146"/>
      <c r="AU1458" s="146"/>
      <c r="AV1458" s="146"/>
      <c r="AW1458" s="146"/>
      <c r="AX1458" s="146"/>
      <c r="AY1458" s="146"/>
      <c r="AZ1458" s="146"/>
      <c r="BA1458" s="146"/>
      <c r="BB1458" s="146"/>
      <c r="BC1458" s="146"/>
      <c r="BD1458" s="146"/>
      <c r="BE1458" s="146"/>
      <c r="BF1458" s="146"/>
      <c r="BG1458" s="146"/>
      <c r="BH1458" s="146"/>
      <c r="BI1458" s="146"/>
      <c r="BJ1458" s="146"/>
      <c r="BK1458" s="146"/>
      <c r="BL1458" s="146"/>
      <c r="BM1458" s="146"/>
      <c r="BN1458" s="146"/>
      <c r="BO1458" s="146"/>
      <c r="BP1458" s="146"/>
      <c r="BQ1458" s="146"/>
      <c r="BR1458" s="146"/>
      <c r="BS1458" s="146"/>
      <c r="BT1458" s="146"/>
      <c r="BU1458" s="146"/>
      <c r="BV1458" s="146"/>
      <c r="BW1458" s="146"/>
      <c r="BX1458" s="146"/>
      <c r="BY1458" s="146"/>
      <c r="BZ1458" s="146"/>
      <c r="CA1458" s="146"/>
      <c r="CB1458" s="146"/>
      <c r="CC1458" s="146"/>
      <c r="CD1458" s="146"/>
      <c r="CE1458" s="146"/>
      <c r="CF1458" s="146"/>
      <c r="CG1458" s="146"/>
      <c r="CH1458" s="146"/>
      <c r="CI1458" s="146"/>
      <c r="CJ1458" s="146"/>
      <c r="CK1458" s="146"/>
      <c r="CL1458" s="146"/>
      <c r="CM1458" s="146"/>
      <c r="CN1458" s="146"/>
      <c r="CO1458" s="146"/>
      <c r="CP1458" s="146"/>
      <c r="CQ1458" s="146"/>
      <c r="CR1458" s="146"/>
      <c r="CS1458" s="146"/>
      <c r="CT1458" s="146"/>
      <c r="CU1458" s="146"/>
      <c r="CV1458" s="146"/>
      <c r="CW1458" s="146"/>
      <c r="CX1458" s="146"/>
      <c r="CY1458" s="146"/>
      <c r="CZ1458" s="146"/>
      <c r="DA1458" s="146"/>
      <c r="DB1458" s="146"/>
      <c r="DC1458" s="146"/>
      <c r="DD1458" s="146"/>
      <c r="DE1458" s="146"/>
      <c r="DF1458" s="146"/>
      <c r="DG1458" s="146"/>
      <c r="DH1458" s="146"/>
      <c r="DI1458" s="146"/>
      <c r="DJ1458" s="146"/>
      <c r="DK1458" s="146"/>
      <c r="DL1458" s="146"/>
      <c r="DM1458" s="146"/>
      <c r="DN1458" s="146"/>
      <c r="DO1458" s="146"/>
      <c r="DP1458" s="146"/>
      <c r="DQ1458" s="146"/>
      <c r="DR1458" s="146"/>
      <c r="DS1458" s="146"/>
      <c r="DT1458" s="146"/>
      <c r="DU1458" s="146"/>
      <c r="DV1458" s="146"/>
      <c r="DW1458" s="146"/>
      <c r="DX1458" s="146"/>
      <c r="DY1458" s="146"/>
      <c r="DZ1458" s="146"/>
      <c r="EA1458" s="146"/>
      <c r="EB1458" s="146"/>
      <c r="EC1458" s="146"/>
      <c r="ED1458" s="146"/>
      <c r="EE1458" s="145"/>
    </row>
    <row r="1459" spans="1:135" s="51" customFormat="1" x14ac:dyDescent="0.2">
      <c r="A1459" s="10"/>
      <c r="B1459" s="11"/>
      <c r="C1459" s="46" t="s">
        <v>1098</v>
      </c>
      <c r="D1459" s="141">
        <f>D1449+F1449+H1449+J1449</f>
        <v>7.8000000000000007</v>
      </c>
      <c r="E1459" s="88" t="s">
        <v>1096</v>
      </c>
      <c r="F1459" s="141">
        <v>0.15</v>
      </c>
      <c r="G1459" s="141" t="s">
        <v>727</v>
      </c>
      <c r="H1459" s="141">
        <f>D1459/F1459</f>
        <v>52.000000000000007</v>
      </c>
      <c r="I1459" s="11" t="s">
        <v>745</v>
      </c>
      <c r="J1459" s="11">
        <f>0.14*2+0.14*2+0.05</f>
        <v>0.6100000000000001</v>
      </c>
      <c r="K1459" s="92" t="s">
        <v>727</v>
      </c>
      <c r="L1459" s="10">
        <f>H1459*J1459</f>
        <v>31.72000000000001</v>
      </c>
      <c r="M1459" s="104"/>
      <c r="N1459" s="104"/>
      <c r="O1459" s="104"/>
      <c r="P1459" s="104"/>
      <c r="Q1459" s="104"/>
      <c r="R1459" s="104"/>
      <c r="S1459" s="104"/>
      <c r="T1459" s="104"/>
      <c r="U1459" s="104"/>
      <c r="V1459" s="104"/>
      <c r="W1459" s="104"/>
      <c r="X1459" s="104"/>
      <c r="Y1459" s="104"/>
      <c r="Z1459" s="104"/>
      <c r="AA1459" s="104"/>
      <c r="AB1459" s="104"/>
      <c r="AC1459" s="11"/>
      <c r="AD1459" s="11"/>
      <c r="AE1459" s="11" t="s">
        <v>745</v>
      </c>
      <c r="AF1459" s="11">
        <v>0.154</v>
      </c>
      <c r="AG1459" s="11" t="s">
        <v>748</v>
      </c>
      <c r="AH1459" s="11">
        <v>2</v>
      </c>
      <c r="AI1459" s="124" t="s">
        <v>727</v>
      </c>
      <c r="AJ1459" s="11">
        <f>L1459*AF1459*AH1459</f>
        <v>9.7697600000000033</v>
      </c>
      <c r="AK1459" s="146"/>
      <c r="AL1459" s="146"/>
      <c r="AM1459" s="146"/>
      <c r="AN1459" s="146"/>
      <c r="AO1459" s="146"/>
      <c r="AP1459" s="146"/>
      <c r="AQ1459" s="146"/>
      <c r="AR1459" s="146"/>
      <c r="AS1459" s="146"/>
      <c r="AT1459" s="146"/>
      <c r="AU1459" s="146"/>
      <c r="AV1459" s="146"/>
      <c r="AW1459" s="146"/>
      <c r="AX1459" s="146"/>
      <c r="AY1459" s="146"/>
      <c r="AZ1459" s="146"/>
      <c r="BA1459" s="146"/>
      <c r="BB1459" s="146"/>
      <c r="BC1459" s="146"/>
      <c r="BD1459" s="146"/>
      <c r="BE1459" s="146"/>
      <c r="BF1459" s="146"/>
      <c r="BG1459" s="146"/>
      <c r="BH1459" s="146"/>
      <c r="BI1459" s="146"/>
      <c r="BJ1459" s="146"/>
      <c r="BK1459" s="146"/>
      <c r="BL1459" s="146"/>
      <c r="BM1459" s="146"/>
      <c r="BN1459" s="146"/>
      <c r="BO1459" s="146"/>
      <c r="BP1459" s="146"/>
      <c r="BQ1459" s="146"/>
      <c r="BR1459" s="146"/>
      <c r="BS1459" s="146"/>
      <c r="BT1459" s="146"/>
      <c r="BU1459" s="146"/>
      <c r="BV1459" s="146"/>
      <c r="BW1459" s="146"/>
      <c r="BX1459" s="146"/>
      <c r="BY1459" s="146"/>
      <c r="BZ1459" s="146"/>
      <c r="CA1459" s="146"/>
      <c r="CB1459" s="146"/>
      <c r="CC1459" s="146"/>
      <c r="CD1459" s="146"/>
      <c r="CE1459" s="146"/>
      <c r="CF1459" s="146"/>
      <c r="CG1459" s="146"/>
      <c r="CH1459" s="146"/>
      <c r="CI1459" s="146"/>
      <c r="CJ1459" s="146"/>
      <c r="CK1459" s="146"/>
      <c r="CL1459" s="146"/>
      <c r="CM1459" s="146"/>
      <c r="CN1459" s="146"/>
      <c r="CO1459" s="146"/>
      <c r="CP1459" s="146"/>
      <c r="CQ1459" s="146"/>
      <c r="CR1459" s="146"/>
      <c r="CS1459" s="146"/>
      <c r="CT1459" s="146"/>
      <c r="CU1459" s="146"/>
      <c r="CV1459" s="146"/>
      <c r="CW1459" s="146"/>
      <c r="CX1459" s="146"/>
      <c r="CY1459" s="146"/>
      <c r="CZ1459" s="146"/>
      <c r="DA1459" s="146"/>
      <c r="DB1459" s="146"/>
      <c r="DC1459" s="146"/>
      <c r="DD1459" s="146"/>
      <c r="DE1459" s="146"/>
      <c r="DF1459" s="146"/>
      <c r="DG1459" s="146"/>
      <c r="DH1459" s="146"/>
      <c r="DI1459" s="146"/>
      <c r="DJ1459" s="146"/>
      <c r="DK1459" s="146"/>
      <c r="DL1459" s="146"/>
      <c r="DM1459" s="146"/>
      <c r="DN1459" s="146"/>
      <c r="DO1459" s="146"/>
      <c r="DP1459" s="146"/>
      <c r="DQ1459" s="146"/>
      <c r="DR1459" s="146"/>
      <c r="DS1459" s="146"/>
      <c r="DT1459" s="146"/>
      <c r="DU1459" s="146"/>
      <c r="DV1459" s="146"/>
      <c r="DW1459" s="146"/>
      <c r="DX1459" s="146"/>
      <c r="DY1459" s="146"/>
      <c r="DZ1459" s="146"/>
      <c r="EA1459" s="146"/>
      <c r="EB1459" s="146"/>
      <c r="EC1459" s="146"/>
      <c r="ED1459" s="146"/>
      <c r="EE1459" s="145"/>
    </row>
    <row r="1460" spans="1:135" s="51" customFormat="1" x14ac:dyDescent="0.2">
      <c r="A1460" s="10"/>
      <c r="B1460" s="11"/>
      <c r="C1460" s="46" t="s">
        <v>1122</v>
      </c>
      <c r="D1460" s="141">
        <f>D1450+F1450+H1450+J1450</f>
        <v>9.6</v>
      </c>
      <c r="E1460" s="88" t="s">
        <v>1096</v>
      </c>
      <c r="F1460" s="141">
        <v>0.15</v>
      </c>
      <c r="G1460" s="141" t="s">
        <v>727</v>
      </c>
      <c r="H1460" s="141">
        <f>D1460/F1460</f>
        <v>64</v>
      </c>
      <c r="I1460" s="11" t="s">
        <v>745</v>
      </c>
      <c r="J1460" s="11">
        <f>0.14*2+0.14*2+0.05</f>
        <v>0.6100000000000001</v>
      </c>
      <c r="K1460" s="92" t="s">
        <v>727</v>
      </c>
      <c r="L1460" s="10">
        <f>H1460*J1460</f>
        <v>39.040000000000006</v>
      </c>
      <c r="M1460" s="104"/>
      <c r="N1460" s="104"/>
      <c r="O1460" s="104"/>
      <c r="P1460" s="104"/>
      <c r="Q1460" s="104"/>
      <c r="R1460" s="104"/>
      <c r="S1460" s="104"/>
      <c r="T1460" s="104"/>
      <c r="U1460" s="104"/>
      <c r="V1460" s="104"/>
      <c r="W1460" s="104"/>
      <c r="X1460" s="104"/>
      <c r="Y1460" s="104"/>
      <c r="Z1460" s="104"/>
      <c r="AA1460" s="104"/>
      <c r="AB1460" s="104"/>
      <c r="AC1460" s="11"/>
      <c r="AD1460" s="11"/>
      <c r="AE1460" s="11" t="s">
        <v>745</v>
      </c>
      <c r="AF1460" s="11">
        <v>0.154</v>
      </c>
      <c r="AG1460" s="11" t="s">
        <v>748</v>
      </c>
      <c r="AH1460" s="11">
        <v>2</v>
      </c>
      <c r="AI1460" s="124" t="s">
        <v>727</v>
      </c>
      <c r="AJ1460" s="11">
        <f>L1460*AF1460*AH1460</f>
        <v>12.024320000000001</v>
      </c>
      <c r="AK1460" s="146"/>
      <c r="AL1460" s="146"/>
      <c r="AM1460" s="146"/>
      <c r="AN1460" s="146"/>
      <c r="AO1460" s="146"/>
      <c r="AP1460" s="146"/>
      <c r="AQ1460" s="146"/>
      <c r="AR1460" s="146"/>
      <c r="AS1460" s="146"/>
      <c r="AT1460" s="146"/>
      <c r="AU1460" s="146"/>
      <c r="AV1460" s="146"/>
      <c r="AW1460" s="146"/>
      <c r="AX1460" s="146"/>
      <c r="AY1460" s="146"/>
      <c r="AZ1460" s="146"/>
      <c r="BA1460" s="146"/>
      <c r="BB1460" s="146"/>
      <c r="BC1460" s="146"/>
      <c r="BD1460" s="146"/>
      <c r="BE1460" s="146"/>
      <c r="BF1460" s="146"/>
      <c r="BG1460" s="146"/>
      <c r="BH1460" s="146"/>
      <c r="BI1460" s="146"/>
      <c r="BJ1460" s="146"/>
      <c r="BK1460" s="146"/>
      <c r="BL1460" s="146"/>
      <c r="BM1460" s="146"/>
      <c r="BN1460" s="146"/>
      <c r="BO1460" s="146"/>
      <c r="BP1460" s="146"/>
      <c r="BQ1460" s="146"/>
      <c r="BR1460" s="146"/>
      <c r="BS1460" s="146"/>
      <c r="BT1460" s="146"/>
      <c r="BU1460" s="146"/>
      <c r="BV1460" s="146"/>
      <c r="BW1460" s="146"/>
      <c r="BX1460" s="146"/>
      <c r="BY1460" s="146"/>
      <c r="BZ1460" s="146"/>
      <c r="CA1460" s="146"/>
      <c r="CB1460" s="146"/>
      <c r="CC1460" s="146"/>
      <c r="CD1460" s="146"/>
      <c r="CE1460" s="146"/>
      <c r="CF1460" s="146"/>
      <c r="CG1460" s="146"/>
      <c r="CH1460" s="146"/>
      <c r="CI1460" s="146"/>
      <c r="CJ1460" s="146"/>
      <c r="CK1460" s="146"/>
      <c r="CL1460" s="146"/>
      <c r="CM1460" s="146"/>
      <c r="CN1460" s="146"/>
      <c r="CO1460" s="146"/>
      <c r="CP1460" s="146"/>
      <c r="CQ1460" s="146"/>
      <c r="CR1460" s="146"/>
      <c r="CS1460" s="146"/>
      <c r="CT1460" s="146"/>
      <c r="CU1460" s="146"/>
      <c r="CV1460" s="146"/>
      <c r="CW1460" s="146"/>
      <c r="CX1460" s="146"/>
      <c r="CY1460" s="146"/>
      <c r="CZ1460" s="146"/>
      <c r="DA1460" s="146"/>
      <c r="DB1460" s="146"/>
      <c r="DC1460" s="146"/>
      <c r="DD1460" s="146"/>
      <c r="DE1460" s="146"/>
      <c r="DF1460" s="146"/>
      <c r="DG1460" s="146"/>
      <c r="DH1460" s="146"/>
      <c r="DI1460" s="146"/>
      <c r="DJ1460" s="146"/>
      <c r="DK1460" s="146"/>
      <c r="DL1460" s="146"/>
      <c r="DM1460" s="146"/>
      <c r="DN1460" s="146"/>
      <c r="DO1460" s="146"/>
      <c r="DP1460" s="146"/>
      <c r="DQ1460" s="146"/>
      <c r="DR1460" s="146"/>
      <c r="DS1460" s="146"/>
      <c r="DT1460" s="146"/>
      <c r="DU1460" s="146"/>
      <c r="DV1460" s="146"/>
      <c r="DW1460" s="146"/>
      <c r="DX1460" s="146"/>
      <c r="DY1460" s="146"/>
      <c r="DZ1460" s="146"/>
      <c r="EA1460" s="146"/>
      <c r="EB1460" s="146"/>
      <c r="EC1460" s="146"/>
      <c r="ED1460" s="146"/>
      <c r="EE1460" s="145"/>
    </row>
    <row r="1461" spans="1:135" s="51" customFormat="1" x14ac:dyDescent="0.2">
      <c r="A1461" s="10"/>
      <c r="B1461" s="11"/>
      <c r="C1461" s="10"/>
      <c r="D1461" s="287" t="s">
        <v>743</v>
      </c>
      <c r="E1461" s="287"/>
      <c r="F1461" s="287"/>
      <c r="G1461" s="287"/>
      <c r="H1461" s="287"/>
      <c r="I1461" s="287"/>
      <c r="J1461" s="287"/>
      <c r="K1461" s="287"/>
      <c r="L1461" s="287"/>
      <c r="M1461" s="287"/>
      <c r="N1461" s="287"/>
      <c r="O1461" s="287"/>
      <c r="P1461" s="287"/>
      <c r="Q1461" s="287"/>
      <c r="R1461" s="287"/>
      <c r="S1461" s="287"/>
      <c r="T1461" s="287"/>
      <c r="U1461" s="287"/>
      <c r="V1461" s="287"/>
      <c r="W1461" s="287"/>
      <c r="X1461" s="287"/>
      <c r="Y1461" s="287"/>
      <c r="Z1461" s="287"/>
      <c r="AA1461" s="287"/>
      <c r="AB1461" s="287"/>
      <c r="AC1461" s="287"/>
      <c r="AD1461" s="287"/>
      <c r="AE1461" s="287"/>
      <c r="AF1461" s="287"/>
      <c r="AG1461" s="287"/>
      <c r="AH1461" s="287"/>
      <c r="AI1461" s="124" t="s">
        <v>727</v>
      </c>
      <c r="AJ1461" s="92">
        <f>SUM(AJ1458:AJ1460)</f>
        <v>32.816373333333338</v>
      </c>
      <c r="AK1461" s="146"/>
      <c r="AL1461" s="146"/>
      <c r="AM1461" s="146"/>
      <c r="AN1461" s="146"/>
      <c r="AO1461" s="146"/>
      <c r="AP1461" s="146"/>
      <c r="AQ1461" s="146"/>
      <c r="AR1461" s="146"/>
      <c r="AS1461" s="146"/>
      <c r="AT1461" s="146"/>
      <c r="AU1461" s="146"/>
      <c r="AV1461" s="146"/>
      <c r="AW1461" s="146"/>
      <c r="AX1461" s="146"/>
      <c r="AY1461" s="146"/>
      <c r="AZ1461" s="146"/>
      <c r="BA1461" s="146"/>
      <c r="BB1461" s="146"/>
      <c r="BC1461" s="146"/>
      <c r="BD1461" s="146"/>
      <c r="BE1461" s="146"/>
      <c r="BF1461" s="146"/>
      <c r="BG1461" s="146"/>
      <c r="BH1461" s="146"/>
      <c r="BI1461" s="146"/>
      <c r="BJ1461" s="146"/>
      <c r="BK1461" s="146"/>
      <c r="BL1461" s="146"/>
      <c r="BM1461" s="146"/>
      <c r="BN1461" s="146"/>
      <c r="BO1461" s="146"/>
      <c r="BP1461" s="146"/>
      <c r="BQ1461" s="146"/>
      <c r="BR1461" s="146"/>
      <c r="BS1461" s="146"/>
      <c r="BT1461" s="146"/>
      <c r="BU1461" s="146"/>
      <c r="BV1461" s="146"/>
      <c r="BW1461" s="146"/>
      <c r="BX1461" s="146"/>
      <c r="BY1461" s="146"/>
      <c r="BZ1461" s="146"/>
      <c r="CA1461" s="146"/>
      <c r="CB1461" s="146"/>
      <c r="CC1461" s="146"/>
      <c r="CD1461" s="146"/>
      <c r="CE1461" s="146"/>
      <c r="CF1461" s="146"/>
      <c r="CG1461" s="146"/>
      <c r="CH1461" s="146"/>
      <c r="CI1461" s="146"/>
      <c r="CJ1461" s="146"/>
      <c r="CK1461" s="146"/>
      <c r="CL1461" s="146"/>
      <c r="CM1461" s="146"/>
      <c r="CN1461" s="146"/>
      <c r="CO1461" s="146"/>
      <c r="CP1461" s="146"/>
      <c r="CQ1461" s="146"/>
      <c r="CR1461" s="146"/>
      <c r="CS1461" s="146"/>
      <c r="CT1461" s="146"/>
      <c r="CU1461" s="146"/>
      <c r="CV1461" s="146"/>
      <c r="CW1461" s="146"/>
      <c r="CX1461" s="146"/>
      <c r="CY1461" s="146"/>
      <c r="CZ1461" s="146"/>
      <c r="DA1461" s="146"/>
      <c r="DB1461" s="146"/>
      <c r="DC1461" s="146"/>
      <c r="DD1461" s="146"/>
      <c r="DE1461" s="146"/>
      <c r="DF1461" s="146"/>
      <c r="DG1461" s="146"/>
      <c r="DH1461" s="146"/>
      <c r="DI1461" s="146"/>
      <c r="DJ1461" s="146"/>
      <c r="DK1461" s="146"/>
      <c r="DL1461" s="146"/>
      <c r="DM1461" s="146"/>
      <c r="DN1461" s="146"/>
      <c r="DO1461" s="146"/>
      <c r="DP1461" s="146"/>
      <c r="DQ1461" s="146"/>
      <c r="DR1461" s="146"/>
      <c r="DS1461" s="146"/>
      <c r="DT1461" s="146"/>
      <c r="DU1461" s="146"/>
      <c r="DV1461" s="146"/>
      <c r="DW1461" s="146"/>
      <c r="DX1461" s="146"/>
      <c r="DY1461" s="146"/>
      <c r="DZ1461" s="146"/>
      <c r="EA1461" s="146"/>
      <c r="EB1461" s="146"/>
      <c r="EC1461" s="146"/>
      <c r="ED1461" s="146"/>
      <c r="EE1461" s="145"/>
    </row>
    <row r="1462" spans="1:135" x14ac:dyDescent="0.2">
      <c r="A1462" s="104" t="s">
        <v>1071</v>
      </c>
      <c r="B1462" s="252" t="s">
        <v>80</v>
      </c>
      <c r="C1462" s="252"/>
      <c r="D1462" s="252"/>
      <c r="E1462" s="252"/>
      <c r="F1462" s="252"/>
      <c r="G1462" s="252"/>
      <c r="H1462" s="252"/>
      <c r="I1462" s="104"/>
      <c r="J1462" s="104"/>
      <c r="K1462" s="104"/>
      <c r="L1462" s="104"/>
      <c r="M1462" s="104"/>
      <c r="N1462" s="104"/>
      <c r="O1462" s="104"/>
      <c r="P1462" s="104"/>
      <c r="Q1462" s="104"/>
      <c r="R1462" s="104"/>
      <c r="S1462" s="104"/>
      <c r="T1462" s="104"/>
      <c r="U1462" s="104"/>
      <c r="V1462" s="104"/>
      <c r="W1462" s="104"/>
      <c r="X1462" s="104"/>
      <c r="Y1462" s="104"/>
      <c r="Z1462" s="104"/>
      <c r="AA1462" s="104"/>
      <c r="AB1462" s="104"/>
      <c r="AC1462" s="104"/>
      <c r="AD1462" s="104"/>
      <c r="AE1462" s="104"/>
      <c r="AF1462" s="104"/>
      <c r="AG1462" s="104"/>
      <c r="AH1462" s="104"/>
      <c r="AI1462" s="144"/>
      <c r="AJ1462" s="104"/>
    </row>
    <row r="1463" spans="1:135" ht="48" x14ac:dyDescent="0.2">
      <c r="A1463" s="132" t="s">
        <v>1086</v>
      </c>
      <c r="B1463" s="11" t="s">
        <v>82</v>
      </c>
      <c r="C1463" s="10" t="s">
        <v>83</v>
      </c>
      <c r="D1463" s="11"/>
      <c r="E1463" s="51"/>
      <c r="F1463" s="41"/>
      <c r="G1463" s="41"/>
      <c r="H1463" s="41"/>
      <c r="I1463" s="104"/>
      <c r="J1463" s="104"/>
      <c r="K1463" s="104"/>
      <c r="L1463" s="104"/>
      <c r="M1463" s="104"/>
      <c r="N1463" s="104"/>
      <c r="O1463" s="104"/>
      <c r="P1463" s="104"/>
      <c r="Q1463" s="104"/>
      <c r="R1463" s="104"/>
      <c r="S1463" s="104"/>
      <c r="T1463" s="104"/>
      <c r="U1463" s="104"/>
      <c r="V1463" s="104"/>
      <c r="W1463" s="104"/>
      <c r="X1463" s="104"/>
      <c r="Y1463" s="104"/>
      <c r="Z1463" s="104"/>
      <c r="AA1463" s="104"/>
      <c r="AB1463" s="104"/>
      <c r="AC1463" s="104"/>
      <c r="AD1463" s="104"/>
      <c r="AE1463" s="104"/>
      <c r="AF1463" s="104"/>
      <c r="AG1463" s="104"/>
      <c r="AH1463" s="104"/>
      <c r="AI1463" s="144"/>
      <c r="AJ1463" s="11" t="s">
        <v>19</v>
      </c>
    </row>
    <row r="1464" spans="1:135" x14ac:dyDescent="0.2">
      <c r="A1464" s="132"/>
      <c r="B1464" s="11"/>
      <c r="C1464" s="46" t="s">
        <v>1102</v>
      </c>
      <c r="D1464" s="11">
        <v>0.2</v>
      </c>
      <c r="E1464" s="88" t="s">
        <v>764</v>
      </c>
      <c r="F1464" s="141">
        <v>0.2</v>
      </c>
      <c r="G1464" s="141" t="s">
        <v>764</v>
      </c>
      <c r="H1464" s="11">
        <v>0.2</v>
      </c>
      <c r="I1464" s="88" t="s">
        <v>764</v>
      </c>
      <c r="J1464" s="141">
        <v>0.2</v>
      </c>
      <c r="K1464" s="104"/>
      <c r="L1464" s="104"/>
      <c r="M1464" s="104"/>
      <c r="N1464" s="104"/>
      <c r="O1464" s="104"/>
      <c r="P1464" s="104"/>
      <c r="Q1464" s="104"/>
      <c r="R1464" s="104"/>
      <c r="S1464" s="104"/>
      <c r="T1464" s="104"/>
      <c r="U1464" s="104"/>
      <c r="V1464" s="104"/>
      <c r="W1464" s="104"/>
      <c r="X1464" s="104"/>
      <c r="Y1464" s="104"/>
      <c r="Z1464" s="104"/>
      <c r="AA1464" s="104"/>
      <c r="AB1464" s="104"/>
      <c r="AC1464" s="104"/>
      <c r="AD1464" s="104"/>
      <c r="AE1464" s="11" t="s">
        <v>745</v>
      </c>
      <c r="AF1464" s="11">
        <v>1.8</v>
      </c>
      <c r="AG1464" s="11" t="s">
        <v>748</v>
      </c>
      <c r="AH1464" s="11">
        <v>4</v>
      </c>
      <c r="AI1464" s="124" t="s">
        <v>727</v>
      </c>
      <c r="AJ1464" s="11">
        <f>(D1464+F1464+H1464+J1464)*AF1464*AH1464</f>
        <v>5.7600000000000007</v>
      </c>
    </row>
    <row r="1465" spans="1:135" x14ac:dyDescent="0.2">
      <c r="A1465" s="132"/>
      <c r="B1465" s="11"/>
      <c r="C1465" s="46" t="s">
        <v>1103</v>
      </c>
      <c r="D1465" s="11">
        <v>0.2</v>
      </c>
      <c r="E1465" s="88" t="s">
        <v>764</v>
      </c>
      <c r="F1465" s="141">
        <v>0.2</v>
      </c>
      <c r="G1465" s="141" t="s">
        <v>764</v>
      </c>
      <c r="H1465" s="11">
        <v>0.2</v>
      </c>
      <c r="I1465" s="88" t="s">
        <v>764</v>
      </c>
      <c r="J1465" s="141">
        <v>0.2</v>
      </c>
      <c r="K1465" s="104"/>
      <c r="L1465" s="104"/>
      <c r="M1465" s="104"/>
      <c r="N1465" s="104"/>
      <c r="O1465" s="104"/>
      <c r="P1465" s="104"/>
      <c r="Q1465" s="104"/>
      <c r="R1465" s="104"/>
      <c r="S1465" s="104"/>
      <c r="T1465" s="104"/>
      <c r="U1465" s="104"/>
      <c r="V1465" s="104"/>
      <c r="W1465" s="104"/>
      <c r="X1465" s="104"/>
      <c r="Y1465" s="104"/>
      <c r="Z1465" s="104"/>
      <c r="AA1465" s="104"/>
      <c r="AB1465" s="104"/>
      <c r="AC1465" s="104"/>
      <c r="AD1465" s="104"/>
      <c r="AE1465" s="11" t="s">
        <v>745</v>
      </c>
      <c r="AF1465" s="11">
        <v>2.2000000000000002</v>
      </c>
      <c r="AG1465" s="11" t="s">
        <v>748</v>
      </c>
      <c r="AH1465" s="11">
        <v>4</v>
      </c>
      <c r="AI1465" s="124" t="s">
        <v>727</v>
      </c>
      <c r="AJ1465" s="11">
        <f>(D1465+F1465+H1465+J1465)*AF1465*AH1465</f>
        <v>7.0400000000000009</v>
      </c>
    </row>
    <row r="1466" spans="1:135" x14ac:dyDescent="0.2">
      <c r="A1466" s="132"/>
      <c r="B1466" s="11"/>
      <c r="C1466" s="46" t="s">
        <v>1123</v>
      </c>
      <c r="D1466" s="11">
        <v>0.2</v>
      </c>
      <c r="E1466" s="88" t="s">
        <v>764</v>
      </c>
      <c r="F1466" s="141">
        <v>0.2</v>
      </c>
      <c r="G1466" s="141" t="s">
        <v>764</v>
      </c>
      <c r="H1466" s="11">
        <v>0.2</v>
      </c>
      <c r="I1466" s="88" t="s">
        <v>764</v>
      </c>
      <c r="J1466" s="141">
        <v>0.2</v>
      </c>
      <c r="K1466" s="104"/>
      <c r="L1466" s="104"/>
      <c r="M1466" s="104"/>
      <c r="N1466" s="104"/>
      <c r="O1466" s="104"/>
      <c r="P1466" s="104"/>
      <c r="Q1466" s="104"/>
      <c r="R1466" s="104"/>
      <c r="S1466" s="104"/>
      <c r="T1466" s="104"/>
      <c r="U1466" s="104"/>
      <c r="V1466" s="104"/>
      <c r="W1466" s="104"/>
      <c r="X1466" s="104"/>
      <c r="Y1466" s="104"/>
      <c r="Z1466" s="104"/>
      <c r="AA1466" s="104"/>
      <c r="AB1466" s="104"/>
      <c r="AC1466" s="104"/>
      <c r="AD1466" s="104"/>
      <c r="AE1466" s="11" t="s">
        <v>745</v>
      </c>
      <c r="AF1466" s="11">
        <v>2</v>
      </c>
      <c r="AG1466" s="11" t="s">
        <v>748</v>
      </c>
      <c r="AH1466" s="11">
        <v>4</v>
      </c>
      <c r="AI1466" s="124" t="s">
        <v>727</v>
      </c>
      <c r="AJ1466" s="11">
        <f>(D1466+F1466+H1466+J1466)*AF1466*AH1466</f>
        <v>6.4</v>
      </c>
    </row>
    <row r="1467" spans="1:135" x14ac:dyDescent="0.2">
      <c r="A1467" s="132"/>
      <c r="B1467" s="11"/>
      <c r="C1467" s="10"/>
      <c r="D1467" s="287" t="s">
        <v>743</v>
      </c>
      <c r="E1467" s="287"/>
      <c r="F1467" s="287"/>
      <c r="G1467" s="287"/>
      <c r="H1467" s="287"/>
      <c r="I1467" s="287"/>
      <c r="J1467" s="287"/>
      <c r="K1467" s="287"/>
      <c r="L1467" s="287"/>
      <c r="M1467" s="287"/>
      <c r="N1467" s="287"/>
      <c r="O1467" s="287"/>
      <c r="P1467" s="287"/>
      <c r="Q1467" s="287"/>
      <c r="R1467" s="287"/>
      <c r="S1467" s="287"/>
      <c r="T1467" s="287"/>
      <c r="U1467" s="287"/>
      <c r="V1467" s="287"/>
      <c r="W1467" s="287"/>
      <c r="X1467" s="287"/>
      <c r="Y1467" s="287"/>
      <c r="Z1467" s="287"/>
      <c r="AA1467" s="287"/>
      <c r="AB1467" s="287"/>
      <c r="AC1467" s="287"/>
      <c r="AD1467" s="287"/>
      <c r="AE1467" s="287"/>
      <c r="AF1467" s="287"/>
      <c r="AG1467" s="287"/>
      <c r="AH1467" s="287"/>
      <c r="AI1467" s="124" t="s">
        <v>727</v>
      </c>
      <c r="AJ1467" s="92">
        <f>SUM(AJ1464:AJ1466)</f>
        <v>19.200000000000003</v>
      </c>
    </row>
    <row r="1468" spans="1:135" ht="36" x14ac:dyDescent="0.2">
      <c r="A1468" s="10" t="s">
        <v>1087</v>
      </c>
      <c r="B1468" s="11" t="s">
        <v>46</v>
      </c>
      <c r="C1468" s="10" t="s">
        <v>47</v>
      </c>
      <c r="D1468" s="11"/>
      <c r="E1468" s="51"/>
      <c r="F1468" s="41"/>
      <c r="G1468" s="41"/>
      <c r="H1468" s="41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50"/>
      <c r="AJ1468" s="11" t="s">
        <v>29</v>
      </c>
    </row>
    <row r="1469" spans="1:135" x14ac:dyDescent="0.2">
      <c r="A1469" s="10"/>
      <c r="B1469" s="11"/>
      <c r="C1469" s="46" t="s">
        <v>1102</v>
      </c>
      <c r="D1469" s="11">
        <v>0.2</v>
      </c>
      <c r="E1469" s="88" t="s">
        <v>748</v>
      </c>
      <c r="F1469" s="141">
        <v>0.2</v>
      </c>
      <c r="G1469" s="41"/>
      <c r="H1469" s="41"/>
      <c r="I1469" s="104"/>
      <c r="J1469" s="104"/>
      <c r="K1469" s="104"/>
      <c r="L1469" s="104"/>
      <c r="M1469" s="104"/>
      <c r="N1469" s="104"/>
      <c r="O1469" s="104"/>
      <c r="P1469" s="104"/>
      <c r="Q1469" s="104"/>
      <c r="R1469" s="104"/>
      <c r="S1469" s="104"/>
      <c r="T1469" s="104"/>
      <c r="U1469" s="104"/>
      <c r="V1469" s="104"/>
      <c r="W1469" s="104"/>
      <c r="X1469" s="104"/>
      <c r="Y1469" s="104"/>
      <c r="Z1469" s="104"/>
      <c r="AA1469" s="104"/>
      <c r="AB1469" s="104"/>
      <c r="AC1469" s="104"/>
      <c r="AD1469" s="104"/>
      <c r="AE1469" s="11" t="s">
        <v>745</v>
      </c>
      <c r="AF1469" s="11">
        <v>1.8</v>
      </c>
      <c r="AG1469" s="11" t="s">
        <v>748</v>
      </c>
      <c r="AH1469" s="11">
        <v>4</v>
      </c>
      <c r="AI1469" s="124" t="s">
        <v>727</v>
      </c>
      <c r="AJ1469" s="11">
        <f>(D1469*F1469)*AF1469*AH1469</f>
        <v>0.28800000000000009</v>
      </c>
    </row>
    <row r="1470" spans="1:135" x14ac:dyDescent="0.2">
      <c r="A1470" s="10"/>
      <c r="B1470" s="11"/>
      <c r="C1470" s="46" t="s">
        <v>1103</v>
      </c>
      <c r="D1470" s="11">
        <v>0.2</v>
      </c>
      <c r="E1470" s="88" t="s">
        <v>748</v>
      </c>
      <c r="F1470" s="141">
        <v>0.2</v>
      </c>
      <c r="G1470" s="41"/>
      <c r="H1470" s="41"/>
      <c r="I1470" s="104"/>
      <c r="J1470" s="104"/>
      <c r="K1470" s="104"/>
      <c r="L1470" s="104"/>
      <c r="M1470" s="104"/>
      <c r="N1470" s="104"/>
      <c r="O1470" s="104"/>
      <c r="P1470" s="104"/>
      <c r="Q1470" s="104"/>
      <c r="R1470" s="104"/>
      <c r="S1470" s="104"/>
      <c r="T1470" s="104"/>
      <c r="U1470" s="104"/>
      <c r="V1470" s="104"/>
      <c r="W1470" s="104"/>
      <c r="X1470" s="104"/>
      <c r="Y1470" s="104"/>
      <c r="Z1470" s="104"/>
      <c r="AA1470" s="104"/>
      <c r="AB1470" s="104"/>
      <c r="AC1470" s="104"/>
      <c r="AD1470" s="104"/>
      <c r="AE1470" s="11" t="s">
        <v>745</v>
      </c>
      <c r="AF1470" s="11">
        <v>2.2000000000000002</v>
      </c>
      <c r="AG1470" s="11" t="s">
        <v>748</v>
      </c>
      <c r="AH1470" s="11">
        <v>4</v>
      </c>
      <c r="AI1470" s="124" t="s">
        <v>727</v>
      </c>
      <c r="AJ1470" s="11">
        <f t="shared" ref="AJ1470:AJ1471" si="84">(D1470*F1470)*AF1470*AH1470</f>
        <v>0.35200000000000009</v>
      </c>
    </row>
    <row r="1471" spans="1:135" x14ac:dyDescent="0.2">
      <c r="A1471" s="10"/>
      <c r="B1471" s="11"/>
      <c r="C1471" s="46" t="s">
        <v>1123</v>
      </c>
      <c r="D1471" s="11">
        <v>0.2</v>
      </c>
      <c r="E1471" s="88" t="s">
        <v>748</v>
      </c>
      <c r="F1471" s="141">
        <v>0.2</v>
      </c>
      <c r="G1471" s="41"/>
      <c r="H1471" s="41"/>
      <c r="I1471" s="104"/>
      <c r="J1471" s="104"/>
      <c r="K1471" s="104"/>
      <c r="L1471" s="104"/>
      <c r="M1471" s="104"/>
      <c r="N1471" s="104"/>
      <c r="O1471" s="104"/>
      <c r="P1471" s="104"/>
      <c r="Q1471" s="104"/>
      <c r="R1471" s="104"/>
      <c r="S1471" s="104"/>
      <c r="T1471" s="104"/>
      <c r="U1471" s="104"/>
      <c r="V1471" s="104"/>
      <c r="W1471" s="104"/>
      <c r="X1471" s="104"/>
      <c r="Y1471" s="104"/>
      <c r="Z1471" s="104"/>
      <c r="AA1471" s="104"/>
      <c r="AB1471" s="104"/>
      <c r="AC1471" s="104"/>
      <c r="AD1471" s="104"/>
      <c r="AE1471" s="11" t="s">
        <v>745</v>
      </c>
      <c r="AF1471" s="11">
        <v>2</v>
      </c>
      <c r="AG1471" s="11" t="s">
        <v>748</v>
      </c>
      <c r="AH1471" s="11">
        <v>4</v>
      </c>
      <c r="AI1471" s="124" t="s">
        <v>727</v>
      </c>
      <c r="AJ1471" s="11">
        <f t="shared" si="84"/>
        <v>0.32000000000000006</v>
      </c>
    </row>
    <row r="1472" spans="1:135" x14ac:dyDescent="0.2">
      <c r="A1472" s="10"/>
      <c r="B1472" s="11"/>
      <c r="C1472" s="10"/>
      <c r="D1472" s="287" t="s">
        <v>743</v>
      </c>
      <c r="E1472" s="287"/>
      <c r="F1472" s="287"/>
      <c r="G1472" s="287"/>
      <c r="H1472" s="287"/>
      <c r="I1472" s="287"/>
      <c r="J1472" s="287"/>
      <c r="K1472" s="287"/>
      <c r="L1472" s="287"/>
      <c r="M1472" s="287"/>
      <c r="N1472" s="287"/>
      <c r="O1472" s="287"/>
      <c r="P1472" s="287"/>
      <c r="Q1472" s="287"/>
      <c r="R1472" s="287"/>
      <c r="S1472" s="287"/>
      <c r="T1472" s="287"/>
      <c r="U1472" s="287"/>
      <c r="V1472" s="287"/>
      <c r="W1472" s="287"/>
      <c r="X1472" s="287"/>
      <c r="Y1472" s="287"/>
      <c r="Z1472" s="287"/>
      <c r="AA1472" s="287"/>
      <c r="AB1472" s="287"/>
      <c r="AC1472" s="287"/>
      <c r="AD1472" s="287"/>
      <c r="AE1472" s="287"/>
      <c r="AF1472" s="287"/>
      <c r="AG1472" s="287"/>
      <c r="AH1472" s="287"/>
      <c r="AI1472" s="124" t="s">
        <v>727</v>
      </c>
      <c r="AJ1472" s="92">
        <f>SUM(AJ1469:AJ1471)</f>
        <v>0.96000000000000019</v>
      </c>
    </row>
    <row r="1473" spans="1:135" ht="24" x14ac:dyDescent="0.2">
      <c r="A1473" s="10" t="s">
        <v>1088</v>
      </c>
      <c r="B1473" s="11" t="s">
        <v>49</v>
      </c>
      <c r="C1473" s="10" t="s">
        <v>50</v>
      </c>
      <c r="D1473" s="11"/>
      <c r="E1473" s="51"/>
      <c r="F1473" s="41"/>
      <c r="G1473" s="41"/>
      <c r="H1473" s="41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31"/>
      <c r="AJ1473" s="11" t="s">
        <v>29</v>
      </c>
    </row>
    <row r="1474" spans="1:135" x14ac:dyDescent="0.2">
      <c r="A1474" s="10"/>
      <c r="B1474" s="11"/>
      <c r="C1474" s="46" t="s">
        <v>1102</v>
      </c>
      <c r="D1474" s="11">
        <v>0.2</v>
      </c>
      <c r="E1474" s="88" t="s">
        <v>748</v>
      </c>
      <c r="F1474" s="141">
        <v>0.2</v>
      </c>
      <c r="G1474" s="41"/>
      <c r="H1474" s="41"/>
      <c r="I1474" s="104"/>
      <c r="J1474" s="104"/>
      <c r="K1474" s="104"/>
      <c r="L1474" s="104"/>
      <c r="M1474" s="104"/>
      <c r="N1474" s="104"/>
      <c r="O1474" s="104"/>
      <c r="P1474" s="104"/>
      <c r="Q1474" s="104"/>
      <c r="R1474" s="104"/>
      <c r="S1474" s="104"/>
      <c r="T1474" s="104"/>
      <c r="U1474" s="104"/>
      <c r="V1474" s="104"/>
      <c r="W1474" s="104"/>
      <c r="X1474" s="104"/>
      <c r="Y1474" s="104"/>
      <c r="Z1474" s="104"/>
      <c r="AA1474" s="104"/>
      <c r="AB1474" s="104"/>
      <c r="AC1474" s="104"/>
      <c r="AD1474" s="104"/>
      <c r="AE1474" s="11" t="s">
        <v>745</v>
      </c>
      <c r="AF1474" s="11">
        <v>1.8</v>
      </c>
      <c r="AG1474" s="11" t="s">
        <v>748</v>
      </c>
      <c r="AH1474" s="11">
        <v>4</v>
      </c>
      <c r="AI1474" s="124" t="s">
        <v>727</v>
      </c>
      <c r="AJ1474" s="11">
        <f>(D1474*F1474)*AF1474*AH1474</f>
        <v>0.28800000000000009</v>
      </c>
    </row>
    <row r="1475" spans="1:135" x14ac:dyDescent="0.2">
      <c r="A1475" s="10"/>
      <c r="B1475" s="11"/>
      <c r="C1475" s="46" t="s">
        <v>1103</v>
      </c>
      <c r="D1475" s="11">
        <v>0.2</v>
      </c>
      <c r="E1475" s="88" t="s">
        <v>748</v>
      </c>
      <c r="F1475" s="141">
        <v>0.2</v>
      </c>
      <c r="G1475" s="41"/>
      <c r="H1475" s="41"/>
      <c r="I1475" s="104"/>
      <c r="J1475" s="104"/>
      <c r="K1475" s="104"/>
      <c r="L1475" s="104"/>
      <c r="M1475" s="104"/>
      <c r="N1475" s="104"/>
      <c r="O1475" s="104"/>
      <c r="P1475" s="104"/>
      <c r="Q1475" s="104"/>
      <c r="R1475" s="104"/>
      <c r="S1475" s="104"/>
      <c r="T1475" s="104"/>
      <c r="U1475" s="104"/>
      <c r="V1475" s="104"/>
      <c r="W1475" s="104"/>
      <c r="X1475" s="104"/>
      <c r="Y1475" s="104"/>
      <c r="Z1475" s="104"/>
      <c r="AA1475" s="104"/>
      <c r="AB1475" s="104"/>
      <c r="AC1475" s="104"/>
      <c r="AD1475" s="104"/>
      <c r="AE1475" s="11" t="s">
        <v>745</v>
      </c>
      <c r="AF1475" s="11">
        <v>2.2000000000000002</v>
      </c>
      <c r="AG1475" s="11" t="s">
        <v>748</v>
      </c>
      <c r="AH1475" s="11">
        <v>4</v>
      </c>
      <c r="AI1475" s="124" t="s">
        <v>727</v>
      </c>
      <c r="AJ1475" s="11">
        <f>(D1475*F1475)*AF1475*AH1475</f>
        <v>0.35200000000000009</v>
      </c>
    </row>
    <row r="1476" spans="1:135" x14ac:dyDescent="0.2">
      <c r="A1476" s="10"/>
      <c r="B1476" s="11"/>
      <c r="C1476" s="46" t="s">
        <v>1123</v>
      </c>
      <c r="D1476" s="11">
        <v>0.2</v>
      </c>
      <c r="E1476" s="88" t="s">
        <v>748</v>
      </c>
      <c r="F1476" s="141">
        <v>0.2</v>
      </c>
      <c r="G1476" s="41"/>
      <c r="H1476" s="41"/>
      <c r="I1476" s="104"/>
      <c r="J1476" s="104"/>
      <c r="K1476" s="104"/>
      <c r="L1476" s="104"/>
      <c r="M1476" s="104"/>
      <c r="N1476" s="104"/>
      <c r="O1476" s="104"/>
      <c r="P1476" s="104"/>
      <c r="Q1476" s="104"/>
      <c r="R1476" s="104"/>
      <c r="S1476" s="104"/>
      <c r="T1476" s="104"/>
      <c r="U1476" s="104"/>
      <c r="V1476" s="104"/>
      <c r="W1476" s="104"/>
      <c r="X1476" s="104"/>
      <c r="Y1476" s="104"/>
      <c r="Z1476" s="104"/>
      <c r="AA1476" s="104"/>
      <c r="AB1476" s="104"/>
      <c r="AC1476" s="104"/>
      <c r="AD1476" s="104"/>
      <c r="AE1476" s="11" t="s">
        <v>745</v>
      </c>
      <c r="AF1476" s="11">
        <v>2</v>
      </c>
      <c r="AG1476" s="11" t="s">
        <v>748</v>
      </c>
      <c r="AH1476" s="11">
        <v>4</v>
      </c>
      <c r="AI1476" s="124" t="s">
        <v>727</v>
      </c>
      <c r="AJ1476" s="11">
        <f t="shared" ref="AJ1476" si="85">(D1476*F1476)*AF1476*AH1476</f>
        <v>0.32000000000000006</v>
      </c>
    </row>
    <row r="1477" spans="1:135" x14ac:dyDescent="0.2">
      <c r="A1477" s="10"/>
      <c r="B1477" s="11"/>
      <c r="C1477" s="10"/>
      <c r="D1477" s="287" t="s">
        <v>743</v>
      </c>
      <c r="E1477" s="287"/>
      <c r="F1477" s="287"/>
      <c r="G1477" s="287"/>
      <c r="H1477" s="287"/>
      <c r="I1477" s="287"/>
      <c r="J1477" s="287"/>
      <c r="K1477" s="287"/>
      <c r="L1477" s="287"/>
      <c r="M1477" s="287"/>
      <c r="N1477" s="287"/>
      <c r="O1477" s="287"/>
      <c r="P1477" s="287"/>
      <c r="Q1477" s="287"/>
      <c r="R1477" s="287"/>
      <c r="S1477" s="287"/>
      <c r="T1477" s="287"/>
      <c r="U1477" s="287"/>
      <c r="V1477" s="287"/>
      <c r="W1477" s="287"/>
      <c r="X1477" s="287"/>
      <c r="Y1477" s="287"/>
      <c r="Z1477" s="287"/>
      <c r="AA1477" s="287"/>
      <c r="AB1477" s="287"/>
      <c r="AC1477" s="287"/>
      <c r="AD1477" s="287"/>
      <c r="AE1477" s="287"/>
      <c r="AF1477" s="287"/>
      <c r="AG1477" s="287"/>
      <c r="AH1477" s="287"/>
      <c r="AI1477" s="124" t="s">
        <v>727</v>
      </c>
      <c r="AJ1477" s="92">
        <f>SUM(AJ1474:AJ1476)</f>
        <v>0.96000000000000019</v>
      </c>
    </row>
    <row r="1478" spans="1:135" ht="36" x14ac:dyDescent="0.2">
      <c r="A1478" s="10" t="s">
        <v>1089</v>
      </c>
      <c r="B1478" s="11" t="s">
        <v>87</v>
      </c>
      <c r="C1478" s="10" t="s">
        <v>88</v>
      </c>
      <c r="D1478" s="11"/>
      <c r="E1478" s="51"/>
      <c r="F1478" s="41"/>
      <c r="G1478" s="41"/>
      <c r="H1478" s="41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31"/>
      <c r="AJ1478" s="11" t="s">
        <v>54</v>
      </c>
    </row>
    <row r="1479" spans="1:135" x14ac:dyDescent="0.2">
      <c r="A1479" s="17"/>
      <c r="B1479" s="11"/>
      <c r="C1479" s="46" t="s">
        <v>1102</v>
      </c>
      <c r="D1479" s="11">
        <v>1.8</v>
      </c>
      <c r="E1479" s="88" t="s">
        <v>745</v>
      </c>
      <c r="F1479" s="141">
        <v>4</v>
      </c>
      <c r="G1479" s="141" t="s">
        <v>727</v>
      </c>
      <c r="H1479" s="41">
        <f>D1479*F1479</f>
        <v>7.2</v>
      </c>
      <c r="I1479" s="104"/>
      <c r="J1479" s="104"/>
      <c r="K1479" s="104"/>
      <c r="L1479" s="104"/>
      <c r="M1479" s="104"/>
      <c r="N1479" s="104"/>
      <c r="O1479" s="104"/>
      <c r="P1479" s="104"/>
      <c r="Q1479" s="104"/>
      <c r="R1479" s="104"/>
      <c r="S1479" s="104"/>
      <c r="T1479" s="104"/>
      <c r="U1479" s="104"/>
      <c r="V1479" s="104"/>
      <c r="W1479" s="104"/>
      <c r="X1479" s="104"/>
      <c r="Y1479" s="104"/>
      <c r="Z1479" s="104"/>
      <c r="AA1479" s="104"/>
      <c r="AB1479" s="104"/>
      <c r="AC1479" s="104"/>
      <c r="AD1479" s="104"/>
      <c r="AE1479" s="11" t="s">
        <v>745</v>
      </c>
      <c r="AF1479" s="11">
        <v>0.61699999999999999</v>
      </c>
      <c r="AG1479" s="11" t="s">
        <v>748</v>
      </c>
      <c r="AH1479" s="11">
        <v>4</v>
      </c>
      <c r="AI1479" s="124" t="s">
        <v>727</v>
      </c>
      <c r="AJ1479" s="11">
        <f>H1479*AF1479*AH1479</f>
        <v>17.769600000000001</v>
      </c>
    </row>
    <row r="1480" spans="1:135" x14ac:dyDescent="0.2">
      <c r="A1480" s="17"/>
      <c r="B1480" s="11"/>
      <c r="C1480" s="46" t="s">
        <v>1103</v>
      </c>
      <c r="D1480" s="11">
        <v>2.2000000000000002</v>
      </c>
      <c r="E1480" s="88" t="s">
        <v>745</v>
      </c>
      <c r="F1480" s="141">
        <v>4</v>
      </c>
      <c r="G1480" s="141" t="s">
        <v>727</v>
      </c>
      <c r="H1480" s="41">
        <f>D1480*F1480</f>
        <v>8.8000000000000007</v>
      </c>
      <c r="I1480" s="104"/>
      <c r="J1480" s="104"/>
      <c r="K1480" s="104"/>
      <c r="L1480" s="104"/>
      <c r="M1480" s="104"/>
      <c r="N1480" s="104"/>
      <c r="O1480" s="104"/>
      <c r="P1480" s="104"/>
      <c r="Q1480" s="104"/>
      <c r="R1480" s="104"/>
      <c r="S1480" s="104"/>
      <c r="T1480" s="104"/>
      <c r="U1480" s="104"/>
      <c r="V1480" s="104"/>
      <c r="W1480" s="104"/>
      <c r="X1480" s="104"/>
      <c r="Y1480" s="104"/>
      <c r="Z1480" s="104"/>
      <c r="AA1480" s="104"/>
      <c r="AB1480" s="104"/>
      <c r="AC1480" s="104"/>
      <c r="AD1480" s="104"/>
      <c r="AE1480" s="11" t="s">
        <v>745</v>
      </c>
      <c r="AF1480" s="11">
        <v>0.61699999999999999</v>
      </c>
      <c r="AG1480" s="11" t="s">
        <v>748</v>
      </c>
      <c r="AH1480" s="11">
        <v>4</v>
      </c>
      <c r="AI1480" s="124" t="s">
        <v>727</v>
      </c>
      <c r="AJ1480" s="11">
        <f>H1480*AF1480*AH1480</f>
        <v>21.718400000000003</v>
      </c>
    </row>
    <row r="1481" spans="1:135" x14ac:dyDescent="0.2">
      <c r="A1481" s="17"/>
      <c r="B1481" s="11"/>
      <c r="C1481" s="46" t="s">
        <v>1123</v>
      </c>
      <c r="D1481" s="11">
        <v>2</v>
      </c>
      <c r="E1481" s="88" t="s">
        <v>745</v>
      </c>
      <c r="F1481" s="141">
        <v>4</v>
      </c>
      <c r="G1481" s="141" t="s">
        <v>727</v>
      </c>
      <c r="H1481" s="41">
        <f>D1481*F1481</f>
        <v>8</v>
      </c>
      <c r="I1481" s="104"/>
      <c r="J1481" s="104"/>
      <c r="K1481" s="104"/>
      <c r="L1481" s="104"/>
      <c r="M1481" s="104"/>
      <c r="N1481" s="104"/>
      <c r="O1481" s="104"/>
      <c r="P1481" s="104"/>
      <c r="Q1481" s="104"/>
      <c r="R1481" s="104"/>
      <c r="S1481" s="104"/>
      <c r="T1481" s="104"/>
      <c r="U1481" s="104"/>
      <c r="V1481" s="104"/>
      <c r="W1481" s="104"/>
      <c r="X1481" s="104"/>
      <c r="Y1481" s="104"/>
      <c r="Z1481" s="104"/>
      <c r="AA1481" s="104"/>
      <c r="AB1481" s="104"/>
      <c r="AC1481" s="104"/>
      <c r="AD1481" s="104"/>
      <c r="AE1481" s="11" t="s">
        <v>745</v>
      </c>
      <c r="AF1481" s="11">
        <v>0.61699999999999999</v>
      </c>
      <c r="AG1481" s="11" t="s">
        <v>748</v>
      </c>
      <c r="AH1481" s="11">
        <v>4</v>
      </c>
      <c r="AI1481" s="124" t="s">
        <v>727</v>
      </c>
      <c r="AJ1481" s="11">
        <f>H1481*AF1481*AH1481</f>
        <v>19.744</v>
      </c>
    </row>
    <row r="1482" spans="1:135" x14ac:dyDescent="0.2">
      <c r="A1482" s="17"/>
      <c r="B1482" s="11"/>
      <c r="C1482" s="10"/>
      <c r="D1482" s="287" t="s">
        <v>743</v>
      </c>
      <c r="E1482" s="287"/>
      <c r="F1482" s="287"/>
      <c r="G1482" s="287"/>
      <c r="H1482" s="287"/>
      <c r="I1482" s="287"/>
      <c r="J1482" s="287"/>
      <c r="K1482" s="287"/>
      <c r="L1482" s="287"/>
      <c r="M1482" s="287"/>
      <c r="N1482" s="287"/>
      <c r="O1482" s="287"/>
      <c r="P1482" s="287"/>
      <c r="Q1482" s="287"/>
      <c r="R1482" s="287"/>
      <c r="S1482" s="287"/>
      <c r="T1482" s="287"/>
      <c r="U1482" s="287"/>
      <c r="V1482" s="287"/>
      <c r="W1482" s="287"/>
      <c r="X1482" s="287"/>
      <c r="Y1482" s="287"/>
      <c r="Z1482" s="287"/>
      <c r="AA1482" s="287"/>
      <c r="AB1482" s="287"/>
      <c r="AC1482" s="287"/>
      <c r="AD1482" s="287"/>
      <c r="AE1482" s="287"/>
      <c r="AF1482" s="287"/>
      <c r="AG1482" s="287"/>
      <c r="AH1482" s="287"/>
      <c r="AI1482" s="124" t="s">
        <v>727</v>
      </c>
      <c r="AJ1482" s="92">
        <f>SUM(AJ1479:AJ1481)</f>
        <v>59.231999999999999</v>
      </c>
    </row>
    <row r="1483" spans="1:135" ht="36" x14ac:dyDescent="0.2">
      <c r="A1483" s="17" t="s">
        <v>1090</v>
      </c>
      <c r="B1483" s="11" t="s">
        <v>96</v>
      </c>
      <c r="C1483" s="10" t="s">
        <v>97</v>
      </c>
      <c r="D1483" s="11"/>
      <c r="E1483" s="51"/>
      <c r="F1483" s="41"/>
      <c r="G1483" s="41"/>
      <c r="H1483" s="41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51"/>
      <c r="AJ1483" s="11" t="s">
        <v>54</v>
      </c>
    </row>
    <row r="1484" spans="1:135" s="51" customFormat="1" x14ac:dyDescent="0.2">
      <c r="A1484" s="10"/>
      <c r="B1484" s="11"/>
      <c r="C1484" s="46" t="s">
        <v>1102</v>
      </c>
      <c r="D1484" s="11">
        <v>1.8</v>
      </c>
      <c r="E1484" s="88" t="s">
        <v>1096</v>
      </c>
      <c r="F1484" s="141">
        <v>0.15</v>
      </c>
      <c r="G1484" s="141" t="s">
        <v>727</v>
      </c>
      <c r="H1484" s="41">
        <f>D1484/F1484</f>
        <v>12</v>
      </c>
      <c r="I1484" s="104"/>
      <c r="J1484" s="104"/>
      <c r="K1484" s="104"/>
      <c r="L1484" s="104"/>
      <c r="M1484" s="104"/>
      <c r="N1484" s="104"/>
      <c r="O1484" s="104"/>
      <c r="P1484" s="104"/>
      <c r="Q1484" s="104"/>
      <c r="R1484" s="104"/>
      <c r="S1484" s="104"/>
      <c r="T1484" s="104"/>
      <c r="U1484" s="104"/>
      <c r="V1484" s="104"/>
      <c r="W1484" s="104"/>
      <c r="X1484" s="104"/>
      <c r="Y1484" s="104"/>
      <c r="Z1484" s="104"/>
      <c r="AA1484" s="104"/>
      <c r="AB1484" s="104"/>
      <c r="AC1484" s="104"/>
      <c r="AD1484" s="104"/>
      <c r="AE1484" s="11" t="s">
        <v>745</v>
      </c>
      <c r="AF1484" s="11">
        <v>0.154</v>
      </c>
      <c r="AG1484" s="11" t="s">
        <v>748</v>
      </c>
      <c r="AH1484" s="11">
        <v>4</v>
      </c>
      <c r="AI1484" s="124" t="s">
        <v>727</v>
      </c>
      <c r="AJ1484" s="11">
        <f>H1484*AF1484*AH1484</f>
        <v>7.3919999999999995</v>
      </c>
      <c r="AK1484" s="146"/>
      <c r="AL1484" s="146"/>
      <c r="AM1484" s="146"/>
      <c r="AN1484" s="146"/>
      <c r="AO1484" s="146"/>
      <c r="AP1484" s="146"/>
      <c r="AQ1484" s="146"/>
      <c r="AR1484" s="146"/>
      <c r="AS1484" s="146"/>
      <c r="AT1484" s="146"/>
      <c r="AU1484" s="146"/>
      <c r="AV1484" s="146"/>
      <c r="AW1484" s="146"/>
      <c r="AX1484" s="146"/>
      <c r="AY1484" s="146"/>
      <c r="AZ1484" s="146"/>
      <c r="BA1484" s="146"/>
      <c r="BB1484" s="146"/>
      <c r="BC1484" s="146"/>
      <c r="BD1484" s="146"/>
      <c r="BE1484" s="146"/>
      <c r="BF1484" s="146"/>
      <c r="BG1484" s="146"/>
      <c r="BH1484" s="146"/>
      <c r="BI1484" s="146"/>
      <c r="BJ1484" s="146"/>
      <c r="BK1484" s="146"/>
      <c r="BL1484" s="146"/>
      <c r="BM1484" s="146"/>
      <c r="BN1484" s="146"/>
      <c r="BO1484" s="146"/>
      <c r="BP1484" s="146"/>
      <c r="BQ1484" s="146"/>
      <c r="BR1484" s="146"/>
      <c r="BS1484" s="146"/>
      <c r="BT1484" s="146"/>
      <c r="BU1484" s="146"/>
      <c r="BV1484" s="146"/>
      <c r="BW1484" s="146"/>
      <c r="BX1484" s="146"/>
      <c r="BY1484" s="146"/>
      <c r="BZ1484" s="146"/>
      <c r="CA1484" s="146"/>
      <c r="CB1484" s="146"/>
      <c r="CC1484" s="146"/>
      <c r="CD1484" s="146"/>
      <c r="CE1484" s="146"/>
      <c r="CF1484" s="146"/>
      <c r="CG1484" s="146"/>
      <c r="CH1484" s="146"/>
      <c r="CI1484" s="146"/>
      <c r="CJ1484" s="146"/>
      <c r="CK1484" s="146"/>
      <c r="CL1484" s="146"/>
      <c r="CM1484" s="146"/>
      <c r="CN1484" s="146"/>
      <c r="CO1484" s="146"/>
      <c r="CP1484" s="146"/>
      <c r="CQ1484" s="146"/>
      <c r="CR1484" s="146"/>
      <c r="CS1484" s="146"/>
      <c r="CT1484" s="146"/>
      <c r="CU1484" s="146"/>
      <c r="CV1484" s="146"/>
      <c r="CW1484" s="146"/>
      <c r="CX1484" s="146"/>
      <c r="CY1484" s="146"/>
      <c r="CZ1484" s="146"/>
      <c r="DA1484" s="146"/>
      <c r="DB1484" s="146"/>
      <c r="DC1484" s="146"/>
      <c r="DD1484" s="146"/>
      <c r="DE1484" s="146"/>
      <c r="DF1484" s="146"/>
      <c r="DG1484" s="146"/>
      <c r="DH1484" s="146"/>
      <c r="DI1484" s="146"/>
      <c r="DJ1484" s="146"/>
      <c r="DK1484" s="146"/>
      <c r="DL1484" s="146"/>
      <c r="DM1484" s="146"/>
      <c r="DN1484" s="146"/>
      <c r="DO1484" s="146"/>
      <c r="DP1484" s="146"/>
      <c r="DQ1484" s="146"/>
      <c r="DR1484" s="146"/>
      <c r="DS1484" s="146"/>
      <c r="DT1484" s="146"/>
      <c r="DU1484" s="146"/>
      <c r="DV1484" s="146"/>
      <c r="DW1484" s="146"/>
      <c r="DX1484" s="146"/>
      <c r="DY1484" s="146"/>
      <c r="DZ1484" s="146"/>
      <c r="EA1484" s="146"/>
      <c r="EB1484" s="146"/>
      <c r="EC1484" s="146"/>
      <c r="ED1484" s="146"/>
      <c r="EE1484" s="145"/>
    </row>
    <row r="1485" spans="1:135" s="51" customFormat="1" x14ac:dyDescent="0.2">
      <c r="A1485" s="10"/>
      <c r="B1485" s="11"/>
      <c r="C1485" s="46" t="s">
        <v>1103</v>
      </c>
      <c r="D1485" s="11">
        <v>2.2000000000000002</v>
      </c>
      <c r="E1485" s="88" t="s">
        <v>1096</v>
      </c>
      <c r="F1485" s="141">
        <v>0.15</v>
      </c>
      <c r="G1485" s="141" t="s">
        <v>727</v>
      </c>
      <c r="H1485" s="41">
        <f>D1485/F1485</f>
        <v>14.666666666666668</v>
      </c>
      <c r="I1485" s="104"/>
      <c r="J1485" s="104"/>
      <c r="K1485" s="104"/>
      <c r="L1485" s="104"/>
      <c r="M1485" s="104"/>
      <c r="N1485" s="104"/>
      <c r="O1485" s="104"/>
      <c r="P1485" s="104"/>
      <c r="Q1485" s="104"/>
      <c r="R1485" s="104"/>
      <c r="S1485" s="104"/>
      <c r="T1485" s="104"/>
      <c r="U1485" s="104"/>
      <c r="V1485" s="104"/>
      <c r="W1485" s="104"/>
      <c r="X1485" s="104"/>
      <c r="Y1485" s="104"/>
      <c r="Z1485" s="104"/>
      <c r="AA1485" s="104"/>
      <c r="AB1485" s="104"/>
      <c r="AC1485" s="104"/>
      <c r="AD1485" s="104"/>
      <c r="AE1485" s="11" t="s">
        <v>745</v>
      </c>
      <c r="AF1485" s="11">
        <v>0.154</v>
      </c>
      <c r="AG1485" s="11" t="s">
        <v>748</v>
      </c>
      <c r="AH1485" s="11">
        <v>4</v>
      </c>
      <c r="AI1485" s="124" t="s">
        <v>727</v>
      </c>
      <c r="AJ1485" s="11">
        <f t="shared" ref="AJ1485:AJ1486" si="86">H1485*AF1485*AH1485</f>
        <v>9.0346666666666664</v>
      </c>
      <c r="AK1485" s="146"/>
      <c r="AL1485" s="146"/>
      <c r="AM1485" s="146"/>
      <c r="AN1485" s="146"/>
      <c r="AO1485" s="146"/>
      <c r="AP1485" s="146"/>
      <c r="AQ1485" s="146"/>
      <c r="AR1485" s="146"/>
      <c r="AS1485" s="146"/>
      <c r="AT1485" s="146"/>
      <c r="AU1485" s="146"/>
      <c r="AV1485" s="146"/>
      <c r="AW1485" s="146"/>
      <c r="AX1485" s="146"/>
      <c r="AY1485" s="146"/>
      <c r="AZ1485" s="146"/>
      <c r="BA1485" s="146"/>
      <c r="BB1485" s="146"/>
      <c r="BC1485" s="146"/>
      <c r="BD1485" s="146"/>
      <c r="BE1485" s="146"/>
      <c r="BF1485" s="146"/>
      <c r="BG1485" s="146"/>
      <c r="BH1485" s="146"/>
      <c r="BI1485" s="146"/>
      <c r="BJ1485" s="146"/>
      <c r="BK1485" s="146"/>
      <c r="BL1485" s="146"/>
      <c r="BM1485" s="146"/>
      <c r="BN1485" s="146"/>
      <c r="BO1485" s="146"/>
      <c r="BP1485" s="146"/>
      <c r="BQ1485" s="146"/>
      <c r="BR1485" s="146"/>
      <c r="BS1485" s="146"/>
      <c r="BT1485" s="146"/>
      <c r="BU1485" s="146"/>
      <c r="BV1485" s="146"/>
      <c r="BW1485" s="146"/>
      <c r="BX1485" s="146"/>
      <c r="BY1485" s="146"/>
      <c r="BZ1485" s="146"/>
      <c r="CA1485" s="146"/>
      <c r="CB1485" s="146"/>
      <c r="CC1485" s="146"/>
      <c r="CD1485" s="146"/>
      <c r="CE1485" s="146"/>
      <c r="CF1485" s="146"/>
      <c r="CG1485" s="146"/>
      <c r="CH1485" s="146"/>
      <c r="CI1485" s="146"/>
      <c r="CJ1485" s="146"/>
      <c r="CK1485" s="146"/>
      <c r="CL1485" s="146"/>
      <c r="CM1485" s="146"/>
      <c r="CN1485" s="146"/>
      <c r="CO1485" s="146"/>
      <c r="CP1485" s="146"/>
      <c r="CQ1485" s="146"/>
      <c r="CR1485" s="146"/>
      <c r="CS1485" s="146"/>
      <c r="CT1485" s="146"/>
      <c r="CU1485" s="146"/>
      <c r="CV1485" s="146"/>
      <c r="CW1485" s="146"/>
      <c r="CX1485" s="146"/>
      <c r="CY1485" s="146"/>
      <c r="CZ1485" s="146"/>
      <c r="DA1485" s="146"/>
      <c r="DB1485" s="146"/>
      <c r="DC1485" s="146"/>
      <c r="DD1485" s="146"/>
      <c r="DE1485" s="146"/>
      <c r="DF1485" s="146"/>
      <c r="DG1485" s="146"/>
      <c r="DH1485" s="146"/>
      <c r="DI1485" s="146"/>
      <c r="DJ1485" s="146"/>
      <c r="DK1485" s="146"/>
      <c r="DL1485" s="146"/>
      <c r="DM1485" s="146"/>
      <c r="DN1485" s="146"/>
      <c r="DO1485" s="146"/>
      <c r="DP1485" s="146"/>
      <c r="DQ1485" s="146"/>
      <c r="DR1485" s="146"/>
      <c r="DS1485" s="146"/>
      <c r="DT1485" s="146"/>
      <c r="DU1485" s="146"/>
      <c r="DV1485" s="146"/>
      <c r="DW1485" s="146"/>
      <c r="DX1485" s="146"/>
      <c r="DY1485" s="146"/>
      <c r="DZ1485" s="146"/>
      <c r="EA1485" s="146"/>
      <c r="EB1485" s="146"/>
      <c r="EC1485" s="146"/>
      <c r="ED1485" s="146"/>
      <c r="EE1485" s="145"/>
    </row>
    <row r="1486" spans="1:135" s="51" customFormat="1" x14ac:dyDescent="0.2">
      <c r="A1486" s="10"/>
      <c r="B1486" s="11"/>
      <c r="C1486" s="46" t="s">
        <v>1123</v>
      </c>
      <c r="D1486" s="11">
        <v>2</v>
      </c>
      <c r="E1486" s="88" t="s">
        <v>1096</v>
      </c>
      <c r="F1486" s="141">
        <v>0.15</v>
      </c>
      <c r="G1486" s="141" t="s">
        <v>727</v>
      </c>
      <c r="H1486" s="41">
        <f>D1486/F1486</f>
        <v>13.333333333333334</v>
      </c>
      <c r="I1486" s="104"/>
      <c r="J1486" s="104"/>
      <c r="K1486" s="104"/>
      <c r="L1486" s="104"/>
      <c r="M1486" s="104"/>
      <c r="N1486" s="104"/>
      <c r="O1486" s="104"/>
      <c r="P1486" s="104"/>
      <c r="Q1486" s="104"/>
      <c r="R1486" s="104"/>
      <c r="S1486" s="104"/>
      <c r="T1486" s="104"/>
      <c r="U1486" s="104"/>
      <c r="V1486" s="104"/>
      <c r="W1486" s="104"/>
      <c r="X1486" s="104"/>
      <c r="Y1486" s="104"/>
      <c r="Z1486" s="104"/>
      <c r="AA1486" s="104"/>
      <c r="AB1486" s="104"/>
      <c r="AC1486" s="104"/>
      <c r="AD1486" s="104"/>
      <c r="AE1486" s="11" t="s">
        <v>745</v>
      </c>
      <c r="AF1486" s="11">
        <v>0.154</v>
      </c>
      <c r="AG1486" s="11" t="s">
        <v>748</v>
      </c>
      <c r="AH1486" s="11">
        <v>4</v>
      </c>
      <c r="AI1486" s="124" t="s">
        <v>727</v>
      </c>
      <c r="AJ1486" s="11">
        <f t="shared" si="86"/>
        <v>8.2133333333333329</v>
      </c>
      <c r="AK1486" s="146"/>
      <c r="AL1486" s="146"/>
      <c r="AM1486" s="146"/>
      <c r="AN1486" s="146"/>
      <c r="AO1486" s="146"/>
      <c r="AP1486" s="146"/>
      <c r="AQ1486" s="146"/>
      <c r="AR1486" s="146"/>
      <c r="AS1486" s="146"/>
      <c r="AT1486" s="146"/>
      <c r="AU1486" s="146"/>
      <c r="AV1486" s="146"/>
      <c r="AW1486" s="146"/>
      <c r="AX1486" s="146"/>
      <c r="AY1486" s="146"/>
      <c r="AZ1486" s="146"/>
      <c r="BA1486" s="146"/>
      <c r="BB1486" s="146"/>
      <c r="BC1486" s="146"/>
      <c r="BD1486" s="146"/>
      <c r="BE1486" s="146"/>
      <c r="BF1486" s="146"/>
      <c r="BG1486" s="146"/>
      <c r="BH1486" s="146"/>
      <c r="BI1486" s="146"/>
      <c r="BJ1486" s="146"/>
      <c r="BK1486" s="146"/>
      <c r="BL1486" s="146"/>
      <c r="BM1486" s="146"/>
      <c r="BN1486" s="146"/>
      <c r="BO1486" s="146"/>
      <c r="BP1486" s="146"/>
      <c r="BQ1486" s="146"/>
      <c r="BR1486" s="146"/>
      <c r="BS1486" s="146"/>
      <c r="BT1486" s="146"/>
      <c r="BU1486" s="146"/>
      <c r="BV1486" s="146"/>
      <c r="BW1486" s="146"/>
      <c r="BX1486" s="146"/>
      <c r="BY1486" s="146"/>
      <c r="BZ1486" s="146"/>
      <c r="CA1486" s="146"/>
      <c r="CB1486" s="146"/>
      <c r="CC1486" s="146"/>
      <c r="CD1486" s="146"/>
      <c r="CE1486" s="146"/>
      <c r="CF1486" s="146"/>
      <c r="CG1486" s="146"/>
      <c r="CH1486" s="146"/>
      <c r="CI1486" s="146"/>
      <c r="CJ1486" s="146"/>
      <c r="CK1486" s="146"/>
      <c r="CL1486" s="146"/>
      <c r="CM1486" s="146"/>
      <c r="CN1486" s="146"/>
      <c r="CO1486" s="146"/>
      <c r="CP1486" s="146"/>
      <c r="CQ1486" s="146"/>
      <c r="CR1486" s="146"/>
      <c r="CS1486" s="146"/>
      <c r="CT1486" s="146"/>
      <c r="CU1486" s="146"/>
      <c r="CV1486" s="146"/>
      <c r="CW1486" s="146"/>
      <c r="CX1486" s="146"/>
      <c r="CY1486" s="146"/>
      <c r="CZ1486" s="146"/>
      <c r="DA1486" s="146"/>
      <c r="DB1486" s="146"/>
      <c r="DC1486" s="146"/>
      <c r="DD1486" s="146"/>
      <c r="DE1486" s="146"/>
      <c r="DF1486" s="146"/>
      <c r="DG1486" s="146"/>
      <c r="DH1486" s="146"/>
      <c r="DI1486" s="146"/>
      <c r="DJ1486" s="146"/>
      <c r="DK1486" s="146"/>
      <c r="DL1486" s="146"/>
      <c r="DM1486" s="146"/>
      <c r="DN1486" s="146"/>
      <c r="DO1486" s="146"/>
      <c r="DP1486" s="146"/>
      <c r="DQ1486" s="146"/>
      <c r="DR1486" s="146"/>
      <c r="DS1486" s="146"/>
      <c r="DT1486" s="146"/>
      <c r="DU1486" s="146"/>
      <c r="DV1486" s="146"/>
      <c r="DW1486" s="146"/>
      <c r="DX1486" s="146"/>
      <c r="DY1486" s="146"/>
      <c r="DZ1486" s="146"/>
      <c r="EA1486" s="146"/>
      <c r="EB1486" s="146"/>
      <c r="EC1486" s="146"/>
      <c r="ED1486" s="146"/>
      <c r="EE1486" s="145"/>
    </row>
    <row r="1487" spans="1:135" s="51" customFormat="1" x14ac:dyDescent="0.2">
      <c r="A1487" s="10"/>
      <c r="B1487" s="11"/>
      <c r="C1487" s="10"/>
      <c r="D1487" s="287" t="s">
        <v>743</v>
      </c>
      <c r="E1487" s="287"/>
      <c r="F1487" s="287"/>
      <c r="G1487" s="287"/>
      <c r="H1487" s="287"/>
      <c r="I1487" s="287"/>
      <c r="J1487" s="287"/>
      <c r="K1487" s="287"/>
      <c r="L1487" s="287"/>
      <c r="M1487" s="287"/>
      <c r="N1487" s="287"/>
      <c r="O1487" s="287"/>
      <c r="P1487" s="287"/>
      <c r="Q1487" s="287"/>
      <c r="R1487" s="287"/>
      <c r="S1487" s="287"/>
      <c r="T1487" s="287"/>
      <c r="U1487" s="287"/>
      <c r="V1487" s="287"/>
      <c r="W1487" s="287"/>
      <c r="X1487" s="287"/>
      <c r="Y1487" s="287"/>
      <c r="Z1487" s="287"/>
      <c r="AA1487" s="287"/>
      <c r="AB1487" s="287"/>
      <c r="AC1487" s="287"/>
      <c r="AD1487" s="287"/>
      <c r="AE1487" s="287"/>
      <c r="AF1487" s="287"/>
      <c r="AG1487" s="287"/>
      <c r="AH1487" s="287"/>
      <c r="AI1487" s="124" t="s">
        <v>727</v>
      </c>
      <c r="AJ1487" s="92">
        <f>SUM(AJ1484:AJ1486)</f>
        <v>24.64</v>
      </c>
      <c r="AK1487" s="146"/>
      <c r="AL1487" s="146"/>
      <c r="AM1487" s="146"/>
      <c r="AN1487" s="146"/>
      <c r="AO1487" s="146"/>
      <c r="AP1487" s="146"/>
      <c r="AQ1487" s="146"/>
      <c r="AR1487" s="146"/>
      <c r="AS1487" s="146"/>
      <c r="AT1487" s="146"/>
      <c r="AU1487" s="146"/>
      <c r="AV1487" s="146"/>
      <c r="AW1487" s="146"/>
      <c r="AX1487" s="146"/>
      <c r="AY1487" s="146"/>
      <c r="AZ1487" s="146"/>
      <c r="BA1487" s="146"/>
      <c r="BB1487" s="146"/>
      <c r="BC1487" s="146"/>
      <c r="BD1487" s="146"/>
      <c r="BE1487" s="146"/>
      <c r="BF1487" s="146"/>
      <c r="BG1487" s="146"/>
      <c r="BH1487" s="146"/>
      <c r="BI1487" s="146"/>
      <c r="BJ1487" s="146"/>
      <c r="BK1487" s="146"/>
      <c r="BL1487" s="146"/>
      <c r="BM1487" s="146"/>
      <c r="BN1487" s="146"/>
      <c r="BO1487" s="146"/>
      <c r="BP1487" s="146"/>
      <c r="BQ1487" s="146"/>
      <c r="BR1487" s="146"/>
      <c r="BS1487" s="146"/>
      <c r="BT1487" s="146"/>
      <c r="BU1487" s="146"/>
      <c r="BV1487" s="146"/>
      <c r="BW1487" s="146"/>
      <c r="BX1487" s="146"/>
      <c r="BY1487" s="146"/>
      <c r="BZ1487" s="146"/>
      <c r="CA1487" s="146"/>
      <c r="CB1487" s="146"/>
      <c r="CC1487" s="146"/>
      <c r="CD1487" s="146"/>
      <c r="CE1487" s="146"/>
      <c r="CF1487" s="146"/>
      <c r="CG1487" s="146"/>
      <c r="CH1487" s="146"/>
      <c r="CI1487" s="146"/>
      <c r="CJ1487" s="146"/>
      <c r="CK1487" s="146"/>
      <c r="CL1487" s="146"/>
      <c r="CM1487" s="146"/>
      <c r="CN1487" s="146"/>
      <c r="CO1487" s="146"/>
      <c r="CP1487" s="146"/>
      <c r="CQ1487" s="146"/>
      <c r="CR1487" s="146"/>
      <c r="CS1487" s="146"/>
      <c r="CT1487" s="146"/>
      <c r="CU1487" s="146"/>
      <c r="CV1487" s="146"/>
      <c r="CW1487" s="146"/>
      <c r="CX1487" s="146"/>
      <c r="CY1487" s="146"/>
      <c r="CZ1487" s="146"/>
      <c r="DA1487" s="146"/>
      <c r="DB1487" s="146"/>
      <c r="DC1487" s="146"/>
      <c r="DD1487" s="146"/>
      <c r="DE1487" s="146"/>
      <c r="DF1487" s="146"/>
      <c r="DG1487" s="146"/>
      <c r="DH1487" s="146"/>
      <c r="DI1487" s="146"/>
      <c r="DJ1487" s="146"/>
      <c r="DK1487" s="146"/>
      <c r="DL1487" s="146"/>
      <c r="DM1487" s="146"/>
      <c r="DN1487" s="146"/>
      <c r="DO1487" s="146"/>
      <c r="DP1487" s="146"/>
      <c r="DQ1487" s="146"/>
      <c r="DR1487" s="146"/>
      <c r="DS1487" s="146"/>
      <c r="DT1487" s="146"/>
      <c r="DU1487" s="146"/>
      <c r="DV1487" s="146"/>
      <c r="DW1487" s="146"/>
      <c r="DX1487" s="146"/>
      <c r="DY1487" s="146"/>
      <c r="DZ1487" s="146"/>
      <c r="EA1487" s="146"/>
      <c r="EB1487" s="146"/>
      <c r="EC1487" s="146"/>
      <c r="ED1487" s="146"/>
      <c r="EE1487" s="145"/>
    </row>
    <row r="1488" spans="1:135" x14ac:dyDescent="0.2">
      <c r="A1488" s="104" t="s">
        <v>1072</v>
      </c>
      <c r="B1488" s="252" t="s">
        <v>1091</v>
      </c>
      <c r="C1488" s="252"/>
      <c r="D1488" s="252"/>
      <c r="E1488" s="252"/>
      <c r="F1488" s="252"/>
      <c r="G1488" s="252"/>
      <c r="H1488" s="252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31"/>
      <c r="AJ1488" s="11"/>
    </row>
    <row r="1489" spans="1:36" ht="48" x14ac:dyDescent="0.2">
      <c r="A1489" s="132" t="s">
        <v>1092</v>
      </c>
      <c r="B1489" s="11" t="s">
        <v>129</v>
      </c>
      <c r="C1489" s="10" t="s">
        <v>130</v>
      </c>
      <c r="D1489" s="11"/>
      <c r="E1489" s="51"/>
      <c r="F1489" s="41"/>
      <c r="G1489" s="41"/>
      <c r="H1489" s="41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31"/>
      <c r="AJ1489" s="11" t="s">
        <v>19</v>
      </c>
    </row>
    <row r="1490" spans="1:36" x14ac:dyDescent="0.2">
      <c r="A1490" s="132"/>
      <c r="B1490" s="11"/>
      <c r="C1490" s="46" t="s">
        <v>1104</v>
      </c>
      <c r="D1490" s="11">
        <v>3.15</v>
      </c>
      <c r="E1490" s="88" t="s">
        <v>748</v>
      </c>
      <c r="F1490" s="141">
        <v>2.0499999999999998</v>
      </c>
      <c r="G1490" s="141"/>
      <c r="H1490" s="41"/>
      <c r="I1490" s="104"/>
      <c r="J1490" s="104"/>
      <c r="K1490" s="104"/>
      <c r="L1490" s="104"/>
      <c r="M1490" s="104"/>
      <c r="N1490" s="104"/>
      <c r="O1490" s="104"/>
      <c r="P1490" s="104"/>
      <c r="Q1490" s="104"/>
      <c r="R1490" s="104"/>
      <c r="S1490" s="104"/>
      <c r="T1490" s="104"/>
      <c r="U1490" s="104"/>
      <c r="V1490" s="104"/>
      <c r="W1490" s="104"/>
      <c r="X1490" s="104"/>
      <c r="Y1490" s="104"/>
      <c r="Z1490" s="104"/>
      <c r="AA1490" s="104"/>
      <c r="AB1490" s="104"/>
      <c r="AC1490" s="104"/>
      <c r="AD1490" s="104"/>
      <c r="AE1490" s="11"/>
      <c r="AF1490" s="11"/>
      <c r="AG1490" s="11"/>
      <c r="AH1490" s="11"/>
      <c r="AI1490" s="124" t="s">
        <v>727</v>
      </c>
      <c r="AJ1490" s="11">
        <f>D1490*F1490</f>
        <v>6.4574999999999996</v>
      </c>
    </row>
    <row r="1491" spans="1:36" x14ac:dyDescent="0.2">
      <c r="A1491" s="132"/>
      <c r="B1491" s="11"/>
      <c r="C1491" s="46" t="s">
        <v>1105</v>
      </c>
      <c r="D1491" s="11">
        <v>2.6</v>
      </c>
      <c r="E1491" s="88" t="s">
        <v>748</v>
      </c>
      <c r="F1491" s="141">
        <v>1.7</v>
      </c>
      <c r="G1491" s="141"/>
      <c r="H1491" s="41"/>
      <c r="I1491" s="104"/>
      <c r="J1491" s="104"/>
      <c r="K1491" s="104"/>
      <c r="L1491" s="104"/>
      <c r="M1491" s="104"/>
      <c r="N1491" s="104"/>
      <c r="O1491" s="104"/>
      <c r="P1491" s="104"/>
      <c r="Q1491" s="104"/>
      <c r="R1491" s="104"/>
      <c r="S1491" s="104"/>
      <c r="T1491" s="104"/>
      <c r="U1491" s="104"/>
      <c r="V1491" s="104"/>
      <c r="W1491" s="104"/>
      <c r="X1491" s="104"/>
      <c r="Y1491" s="104"/>
      <c r="Z1491" s="104"/>
      <c r="AA1491" s="104"/>
      <c r="AB1491" s="104"/>
      <c r="AC1491" s="104"/>
      <c r="AD1491" s="104"/>
      <c r="AE1491" s="11"/>
      <c r="AF1491" s="11"/>
      <c r="AG1491" s="11"/>
      <c r="AH1491" s="11"/>
      <c r="AI1491" s="124" t="s">
        <v>727</v>
      </c>
      <c r="AJ1491" s="11">
        <f>D1491*F1491</f>
        <v>4.42</v>
      </c>
    </row>
    <row r="1492" spans="1:36" x14ac:dyDescent="0.2">
      <c r="A1492" s="132"/>
      <c r="B1492" s="11"/>
      <c r="C1492" s="10"/>
      <c r="D1492" s="287" t="s">
        <v>743</v>
      </c>
      <c r="E1492" s="287"/>
      <c r="F1492" s="287"/>
      <c r="G1492" s="287"/>
      <c r="H1492" s="287"/>
      <c r="I1492" s="287"/>
      <c r="J1492" s="287"/>
      <c r="K1492" s="287"/>
      <c r="L1492" s="287"/>
      <c r="M1492" s="287"/>
      <c r="N1492" s="287"/>
      <c r="O1492" s="287"/>
      <c r="P1492" s="287"/>
      <c r="Q1492" s="287"/>
      <c r="R1492" s="287"/>
      <c r="S1492" s="287"/>
      <c r="T1492" s="287"/>
      <c r="U1492" s="287"/>
      <c r="V1492" s="287"/>
      <c r="W1492" s="287"/>
      <c r="X1492" s="287"/>
      <c r="Y1492" s="287"/>
      <c r="Z1492" s="287"/>
      <c r="AA1492" s="287"/>
      <c r="AB1492" s="287"/>
      <c r="AC1492" s="287"/>
      <c r="AD1492" s="287"/>
      <c r="AE1492" s="287"/>
      <c r="AF1492" s="287"/>
      <c r="AG1492" s="287"/>
      <c r="AH1492" s="287"/>
      <c r="AI1492" s="124" t="s">
        <v>727</v>
      </c>
      <c r="AJ1492" s="92">
        <f>SUM(AJ1490:AJ1491)</f>
        <v>10.8775</v>
      </c>
    </row>
    <row r="1493" spans="1:36" ht="24" x14ac:dyDescent="0.2">
      <c r="A1493" s="132" t="s">
        <v>1093</v>
      </c>
      <c r="B1493" s="11" t="s">
        <v>101</v>
      </c>
      <c r="C1493" s="10" t="s">
        <v>102</v>
      </c>
      <c r="D1493" s="11"/>
      <c r="E1493" s="51"/>
      <c r="F1493" s="41"/>
      <c r="G1493" s="41"/>
      <c r="H1493" s="41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31"/>
      <c r="AJ1493" s="11" t="s">
        <v>19</v>
      </c>
    </row>
    <row r="1494" spans="1:36" x14ac:dyDescent="0.2">
      <c r="A1494" s="132"/>
      <c r="B1494" s="11"/>
      <c r="C1494" s="46" t="s">
        <v>1104</v>
      </c>
      <c r="D1494" s="11">
        <v>3.15</v>
      </c>
      <c r="E1494" s="88" t="s">
        <v>748</v>
      </c>
      <c r="F1494" s="141">
        <v>2.0499999999999998</v>
      </c>
      <c r="G1494" s="141"/>
      <c r="H1494" s="41"/>
      <c r="I1494" s="104"/>
      <c r="J1494" s="104"/>
      <c r="K1494" s="104"/>
      <c r="L1494" s="104"/>
      <c r="M1494" s="104"/>
      <c r="N1494" s="104"/>
      <c r="O1494" s="104"/>
      <c r="P1494" s="104"/>
      <c r="Q1494" s="104"/>
      <c r="R1494" s="104"/>
      <c r="S1494" s="104"/>
      <c r="T1494" s="104"/>
      <c r="U1494" s="104"/>
      <c r="V1494" s="104"/>
      <c r="W1494" s="104"/>
      <c r="X1494" s="104"/>
      <c r="Y1494" s="104"/>
      <c r="Z1494" s="104"/>
      <c r="AA1494" s="104"/>
      <c r="AB1494" s="104"/>
      <c r="AC1494" s="104"/>
      <c r="AD1494" s="104"/>
      <c r="AE1494" s="11"/>
      <c r="AF1494" s="11"/>
      <c r="AG1494" s="11"/>
      <c r="AH1494" s="11"/>
      <c r="AI1494" s="124" t="s">
        <v>727</v>
      </c>
      <c r="AJ1494" s="11">
        <f>D1494*F1494</f>
        <v>6.4574999999999996</v>
      </c>
    </row>
    <row r="1495" spans="1:36" x14ac:dyDescent="0.2">
      <c r="A1495" s="132"/>
      <c r="B1495" s="11"/>
      <c r="C1495" s="46" t="s">
        <v>1105</v>
      </c>
      <c r="D1495" s="11">
        <v>2.6</v>
      </c>
      <c r="E1495" s="88" t="s">
        <v>748</v>
      </c>
      <c r="F1495" s="141">
        <v>1.7</v>
      </c>
      <c r="G1495" s="141"/>
      <c r="H1495" s="41"/>
      <c r="I1495" s="104"/>
      <c r="J1495" s="104"/>
      <c r="K1495" s="104"/>
      <c r="L1495" s="104"/>
      <c r="M1495" s="104"/>
      <c r="N1495" s="104"/>
      <c r="O1495" s="104"/>
      <c r="P1495" s="104"/>
      <c r="Q1495" s="104"/>
      <c r="R1495" s="104"/>
      <c r="S1495" s="104"/>
      <c r="T1495" s="104"/>
      <c r="U1495" s="104"/>
      <c r="V1495" s="104"/>
      <c r="W1495" s="104"/>
      <c r="X1495" s="104"/>
      <c r="Y1495" s="104"/>
      <c r="Z1495" s="104"/>
      <c r="AA1495" s="104"/>
      <c r="AB1495" s="104"/>
      <c r="AC1495" s="104"/>
      <c r="AD1495" s="104"/>
      <c r="AE1495" s="11"/>
      <c r="AF1495" s="11"/>
      <c r="AG1495" s="11"/>
      <c r="AH1495" s="11"/>
      <c r="AI1495" s="124" t="s">
        <v>727</v>
      </c>
      <c r="AJ1495" s="11">
        <f>D1495*F1495</f>
        <v>4.42</v>
      </c>
    </row>
    <row r="1496" spans="1:36" x14ac:dyDescent="0.2">
      <c r="A1496" s="132"/>
      <c r="B1496" s="11"/>
      <c r="C1496" s="10"/>
      <c r="D1496" s="287" t="s">
        <v>743</v>
      </c>
      <c r="E1496" s="287"/>
      <c r="F1496" s="287"/>
      <c r="G1496" s="287"/>
      <c r="H1496" s="287"/>
      <c r="I1496" s="287"/>
      <c r="J1496" s="287"/>
      <c r="K1496" s="287"/>
      <c r="L1496" s="287"/>
      <c r="M1496" s="287"/>
      <c r="N1496" s="287"/>
      <c r="O1496" s="287"/>
      <c r="P1496" s="287"/>
      <c r="Q1496" s="287"/>
      <c r="R1496" s="287"/>
      <c r="S1496" s="287"/>
      <c r="T1496" s="287"/>
      <c r="U1496" s="287"/>
      <c r="V1496" s="287"/>
      <c r="W1496" s="287"/>
      <c r="X1496" s="287"/>
      <c r="Y1496" s="287"/>
      <c r="Z1496" s="287"/>
      <c r="AA1496" s="287"/>
      <c r="AB1496" s="287"/>
      <c r="AC1496" s="287"/>
      <c r="AD1496" s="287"/>
      <c r="AE1496" s="287"/>
      <c r="AF1496" s="287"/>
      <c r="AG1496" s="287"/>
      <c r="AH1496" s="287"/>
      <c r="AI1496" s="124" t="s">
        <v>727</v>
      </c>
      <c r="AJ1496" s="92">
        <f>SUM(AJ1494:AJ1495)</f>
        <v>10.8775</v>
      </c>
    </row>
    <row r="1497" spans="1:36" ht="36" x14ac:dyDescent="0.2">
      <c r="A1497" s="132" t="s">
        <v>1094</v>
      </c>
      <c r="B1497" s="11" t="s">
        <v>46</v>
      </c>
      <c r="C1497" s="10" t="s">
        <v>47</v>
      </c>
      <c r="D1497" s="11"/>
      <c r="E1497" s="51"/>
      <c r="F1497" s="41"/>
      <c r="G1497" s="41"/>
      <c r="H1497" s="41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31"/>
      <c r="AJ1497" s="11" t="s">
        <v>29</v>
      </c>
    </row>
    <row r="1498" spans="1:36" x14ac:dyDescent="0.2">
      <c r="A1498" s="132"/>
      <c r="B1498" s="11"/>
      <c r="C1498" s="46" t="s">
        <v>1104</v>
      </c>
      <c r="D1498" s="11">
        <v>3.15</v>
      </c>
      <c r="E1498" s="88" t="s">
        <v>748</v>
      </c>
      <c r="F1498" s="141">
        <v>2.0499999999999998</v>
      </c>
      <c r="G1498" s="141"/>
      <c r="H1498" s="41"/>
      <c r="I1498" s="104"/>
      <c r="J1498" s="104"/>
      <c r="K1498" s="104"/>
      <c r="L1498" s="104"/>
      <c r="M1498" s="104"/>
      <c r="N1498" s="104"/>
      <c r="O1498" s="104"/>
      <c r="P1498" s="104"/>
      <c r="Q1498" s="104"/>
      <c r="R1498" s="104"/>
      <c r="S1498" s="104"/>
      <c r="T1498" s="104"/>
      <c r="U1498" s="104"/>
      <c r="V1498" s="104"/>
      <c r="W1498" s="104"/>
      <c r="X1498" s="104"/>
      <c r="Y1498" s="104"/>
      <c r="Z1498" s="104"/>
      <c r="AA1498" s="104"/>
      <c r="AB1498" s="104"/>
      <c r="AC1498" s="104"/>
      <c r="AD1498" s="104"/>
      <c r="AE1498" s="11"/>
      <c r="AF1498" s="11"/>
      <c r="AG1498" s="11" t="s">
        <v>748</v>
      </c>
      <c r="AH1498" s="11">
        <v>0.15</v>
      </c>
      <c r="AI1498" s="124" t="s">
        <v>727</v>
      </c>
      <c r="AJ1498" s="11">
        <f>D1498*F1498*AH1498</f>
        <v>0.96862499999999985</v>
      </c>
    </row>
    <row r="1499" spans="1:36" x14ac:dyDescent="0.2">
      <c r="A1499" s="132"/>
      <c r="B1499" s="11"/>
      <c r="C1499" s="46" t="s">
        <v>1105</v>
      </c>
      <c r="D1499" s="11">
        <v>2.6</v>
      </c>
      <c r="E1499" s="88" t="s">
        <v>748</v>
      </c>
      <c r="F1499" s="141">
        <v>1.7</v>
      </c>
      <c r="G1499" s="141"/>
      <c r="H1499" s="41"/>
      <c r="I1499" s="104"/>
      <c r="J1499" s="104"/>
      <c r="K1499" s="104"/>
      <c r="L1499" s="104"/>
      <c r="M1499" s="104"/>
      <c r="N1499" s="104"/>
      <c r="O1499" s="104"/>
      <c r="P1499" s="104"/>
      <c r="Q1499" s="104"/>
      <c r="R1499" s="104"/>
      <c r="S1499" s="104"/>
      <c r="T1499" s="104"/>
      <c r="U1499" s="104"/>
      <c r="V1499" s="104"/>
      <c r="W1499" s="104"/>
      <c r="X1499" s="104"/>
      <c r="Y1499" s="104"/>
      <c r="Z1499" s="104"/>
      <c r="AA1499" s="104"/>
      <c r="AB1499" s="104"/>
      <c r="AC1499" s="104"/>
      <c r="AD1499" s="104"/>
      <c r="AE1499" s="11"/>
      <c r="AF1499" s="11"/>
      <c r="AG1499" s="11" t="s">
        <v>748</v>
      </c>
      <c r="AH1499" s="11">
        <v>0.15</v>
      </c>
      <c r="AI1499" s="124" t="s">
        <v>727</v>
      </c>
      <c r="AJ1499" s="11">
        <f>D1499*F1499*AH1499</f>
        <v>0.66299999999999992</v>
      </c>
    </row>
    <row r="1500" spans="1:36" x14ac:dyDescent="0.2">
      <c r="A1500" s="132"/>
      <c r="B1500" s="11"/>
      <c r="C1500" s="10"/>
      <c r="D1500" s="287" t="s">
        <v>743</v>
      </c>
      <c r="E1500" s="287"/>
      <c r="F1500" s="287"/>
      <c r="G1500" s="287"/>
      <c r="H1500" s="287"/>
      <c r="I1500" s="287"/>
      <c r="J1500" s="287"/>
      <c r="K1500" s="287"/>
      <c r="L1500" s="287"/>
      <c r="M1500" s="287"/>
      <c r="N1500" s="287"/>
      <c r="O1500" s="287"/>
      <c r="P1500" s="287"/>
      <c r="Q1500" s="287"/>
      <c r="R1500" s="287"/>
      <c r="S1500" s="287"/>
      <c r="T1500" s="287"/>
      <c r="U1500" s="287"/>
      <c r="V1500" s="287"/>
      <c r="W1500" s="287"/>
      <c r="X1500" s="287"/>
      <c r="Y1500" s="287"/>
      <c r="Z1500" s="287"/>
      <c r="AA1500" s="287"/>
      <c r="AB1500" s="287"/>
      <c r="AC1500" s="287"/>
      <c r="AD1500" s="287"/>
      <c r="AE1500" s="287"/>
      <c r="AF1500" s="287"/>
      <c r="AG1500" s="287"/>
      <c r="AH1500" s="287"/>
      <c r="AI1500" s="124" t="s">
        <v>727</v>
      </c>
      <c r="AJ1500" s="92">
        <f>SUM(AJ1498:AJ1499)</f>
        <v>1.6316249999999997</v>
      </c>
    </row>
    <row r="1501" spans="1:36" ht="24" x14ac:dyDescent="0.2">
      <c r="A1501" s="140" t="s">
        <v>1095</v>
      </c>
      <c r="B1501" s="11" t="s">
        <v>49</v>
      </c>
      <c r="C1501" s="10" t="s">
        <v>50</v>
      </c>
      <c r="D1501" s="11"/>
      <c r="E1501" s="51"/>
      <c r="F1501" s="41"/>
      <c r="G1501" s="41"/>
      <c r="H1501" s="41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51"/>
      <c r="AJ1501" s="11" t="s">
        <v>29</v>
      </c>
    </row>
    <row r="1502" spans="1:36" x14ac:dyDescent="0.2">
      <c r="A1502" s="10"/>
      <c r="B1502" s="11"/>
      <c r="C1502" s="46" t="s">
        <v>1104</v>
      </c>
      <c r="D1502" s="11">
        <v>3.15</v>
      </c>
      <c r="E1502" s="88" t="s">
        <v>748</v>
      </c>
      <c r="F1502" s="141">
        <v>2.0499999999999998</v>
      </c>
      <c r="G1502" s="141"/>
      <c r="H1502" s="41"/>
      <c r="I1502" s="104"/>
      <c r="J1502" s="104"/>
      <c r="K1502" s="104"/>
      <c r="L1502" s="104"/>
      <c r="M1502" s="104"/>
      <c r="N1502" s="104"/>
      <c r="O1502" s="104"/>
      <c r="P1502" s="104"/>
      <c r="Q1502" s="104"/>
      <c r="R1502" s="104"/>
      <c r="S1502" s="104"/>
      <c r="T1502" s="104"/>
      <c r="U1502" s="104"/>
      <c r="V1502" s="104"/>
      <c r="W1502" s="104"/>
      <c r="X1502" s="104"/>
      <c r="Y1502" s="104"/>
      <c r="Z1502" s="104"/>
      <c r="AA1502" s="104"/>
      <c r="AB1502" s="104"/>
      <c r="AC1502" s="104"/>
      <c r="AD1502" s="104"/>
      <c r="AE1502" s="11"/>
      <c r="AF1502" s="11"/>
      <c r="AG1502" s="11" t="s">
        <v>748</v>
      </c>
      <c r="AH1502" s="11">
        <v>0.15</v>
      </c>
      <c r="AI1502" s="124" t="s">
        <v>727</v>
      </c>
      <c r="AJ1502" s="11">
        <f>D1502*F1502*AH1502</f>
        <v>0.96862499999999985</v>
      </c>
    </row>
    <row r="1503" spans="1:36" x14ac:dyDescent="0.2">
      <c r="A1503" s="10"/>
      <c r="B1503" s="11"/>
      <c r="C1503" s="46" t="s">
        <v>1105</v>
      </c>
      <c r="D1503" s="11">
        <v>2.6</v>
      </c>
      <c r="E1503" s="88" t="s">
        <v>748</v>
      </c>
      <c r="F1503" s="141">
        <v>1.7</v>
      </c>
      <c r="G1503" s="141"/>
      <c r="H1503" s="41"/>
      <c r="I1503" s="104"/>
      <c r="J1503" s="104"/>
      <c r="K1503" s="104"/>
      <c r="L1503" s="104"/>
      <c r="M1503" s="104"/>
      <c r="N1503" s="104"/>
      <c r="O1503" s="104"/>
      <c r="P1503" s="104"/>
      <c r="Q1503" s="104"/>
      <c r="R1503" s="104"/>
      <c r="S1503" s="104"/>
      <c r="T1503" s="104"/>
      <c r="U1503" s="104"/>
      <c r="V1503" s="104"/>
      <c r="W1503" s="104"/>
      <c r="X1503" s="104"/>
      <c r="Y1503" s="104"/>
      <c r="Z1503" s="104"/>
      <c r="AA1503" s="104"/>
      <c r="AB1503" s="104"/>
      <c r="AC1503" s="104"/>
      <c r="AD1503" s="104"/>
      <c r="AE1503" s="11"/>
      <c r="AF1503" s="11"/>
      <c r="AG1503" s="11" t="s">
        <v>748</v>
      </c>
      <c r="AH1503" s="11">
        <v>0.15</v>
      </c>
      <c r="AI1503" s="124" t="s">
        <v>727</v>
      </c>
      <c r="AJ1503" s="11">
        <f>D1503*F1503*AH1503</f>
        <v>0.66299999999999992</v>
      </c>
    </row>
    <row r="1504" spans="1:36" x14ac:dyDescent="0.2">
      <c r="A1504" s="17"/>
      <c r="B1504" s="11"/>
      <c r="C1504" s="10"/>
      <c r="D1504" s="287" t="s">
        <v>743</v>
      </c>
      <c r="E1504" s="287"/>
      <c r="F1504" s="287"/>
      <c r="G1504" s="287"/>
      <c r="H1504" s="287"/>
      <c r="I1504" s="287"/>
      <c r="J1504" s="287"/>
      <c r="K1504" s="287"/>
      <c r="L1504" s="287"/>
      <c r="M1504" s="287"/>
      <c r="N1504" s="287"/>
      <c r="O1504" s="287"/>
      <c r="P1504" s="287"/>
      <c r="Q1504" s="287"/>
      <c r="R1504" s="287"/>
      <c r="S1504" s="287"/>
      <c r="T1504" s="287"/>
      <c r="U1504" s="287"/>
      <c r="V1504" s="287"/>
      <c r="W1504" s="287"/>
      <c r="X1504" s="287"/>
      <c r="Y1504" s="287"/>
      <c r="Z1504" s="287"/>
      <c r="AA1504" s="287"/>
      <c r="AB1504" s="287"/>
      <c r="AC1504" s="287"/>
      <c r="AD1504" s="287"/>
      <c r="AE1504" s="287"/>
      <c r="AF1504" s="287"/>
      <c r="AG1504" s="287"/>
      <c r="AH1504" s="287"/>
      <c r="AI1504" s="137" t="s">
        <v>727</v>
      </c>
      <c r="AJ1504" s="92">
        <f>SUM(AJ1502:AJ1503)</f>
        <v>1.6316249999999997</v>
      </c>
    </row>
    <row r="1505" spans="1:36" x14ac:dyDescent="0.2">
      <c r="A1505" s="10" t="s">
        <v>1106</v>
      </c>
      <c r="B1505" s="252" t="s">
        <v>1107</v>
      </c>
      <c r="C1505" s="252"/>
      <c r="D1505" s="252"/>
      <c r="E1505" s="252"/>
      <c r="F1505" s="252"/>
      <c r="G1505" s="252"/>
      <c r="H1505" s="252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24"/>
      <c r="AJ1505" s="92"/>
    </row>
    <row r="1506" spans="1:36" ht="48" x14ac:dyDescent="0.2">
      <c r="A1506" s="10" t="s">
        <v>1108</v>
      </c>
      <c r="B1506" s="11" t="s">
        <v>145</v>
      </c>
      <c r="C1506" s="10" t="s">
        <v>146</v>
      </c>
      <c r="D1506" s="11"/>
      <c r="E1506" s="51"/>
      <c r="F1506" s="41"/>
      <c r="G1506" s="41"/>
      <c r="H1506" s="41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92"/>
      <c r="AJ1506" s="11" t="s">
        <v>19</v>
      </c>
    </row>
    <row r="1507" spans="1:36" x14ac:dyDescent="0.2">
      <c r="A1507" s="10"/>
      <c r="B1507" s="11"/>
      <c r="C1507" s="154" t="s">
        <v>957</v>
      </c>
      <c r="D1507" s="155">
        <v>2.75</v>
      </c>
      <c r="E1507" s="155" t="s">
        <v>764</v>
      </c>
      <c r="F1507" s="155">
        <v>1.65</v>
      </c>
      <c r="G1507" s="155" t="s">
        <v>764</v>
      </c>
      <c r="H1507" s="155">
        <v>2.75</v>
      </c>
      <c r="I1507" s="155" t="s">
        <v>764</v>
      </c>
      <c r="J1507" s="155">
        <v>1.65</v>
      </c>
      <c r="K1507" s="155"/>
      <c r="L1507" s="155"/>
      <c r="M1507" s="155"/>
      <c r="N1507" s="155"/>
      <c r="O1507" s="155"/>
      <c r="P1507" s="155"/>
      <c r="Q1507" s="155"/>
      <c r="R1507" s="155"/>
      <c r="S1507" s="155"/>
      <c r="T1507" s="155"/>
      <c r="U1507" s="155"/>
      <c r="V1507" s="155"/>
      <c r="W1507" s="155"/>
      <c r="X1507" s="155"/>
      <c r="Y1507" s="155"/>
      <c r="Z1507" s="155"/>
      <c r="AA1507" s="155"/>
      <c r="AB1507" s="155"/>
      <c r="AC1507" s="155"/>
      <c r="AD1507" s="155"/>
      <c r="AE1507" s="155"/>
      <c r="AF1507" s="155"/>
      <c r="AG1507" s="155" t="s">
        <v>745</v>
      </c>
      <c r="AH1507" s="155">
        <f>1.8-0.2-0.2</f>
        <v>1.4000000000000001</v>
      </c>
      <c r="AI1507" s="158" t="s">
        <v>727</v>
      </c>
      <c r="AJ1507" s="158">
        <f>(D1507+F1507+H1507+J1507)*AH1507</f>
        <v>12.320000000000002</v>
      </c>
    </row>
    <row r="1508" spans="1:36" x14ac:dyDescent="0.2">
      <c r="A1508" s="10"/>
      <c r="B1508" s="11"/>
      <c r="C1508" s="154" t="s">
        <v>1124</v>
      </c>
      <c r="D1508" s="155">
        <v>2.2000000000000002</v>
      </c>
      <c r="E1508" s="155" t="s">
        <v>764</v>
      </c>
      <c r="F1508" s="155">
        <v>1.3</v>
      </c>
      <c r="G1508" s="155" t="s">
        <v>764</v>
      </c>
      <c r="H1508" s="155">
        <v>2.2000000000000002</v>
      </c>
      <c r="I1508" s="155" t="s">
        <v>764</v>
      </c>
      <c r="J1508" s="155">
        <v>1.3</v>
      </c>
      <c r="K1508" s="155"/>
      <c r="L1508" s="155"/>
      <c r="M1508" s="155"/>
      <c r="N1508" s="155"/>
      <c r="O1508" s="155"/>
      <c r="P1508" s="155"/>
      <c r="Q1508" s="155"/>
      <c r="R1508" s="155"/>
      <c r="S1508" s="155"/>
      <c r="T1508" s="155"/>
      <c r="U1508" s="155"/>
      <c r="V1508" s="155"/>
      <c r="W1508" s="155"/>
      <c r="X1508" s="155"/>
      <c r="Y1508" s="155"/>
      <c r="Z1508" s="155"/>
      <c r="AA1508" s="155"/>
      <c r="AB1508" s="155"/>
      <c r="AC1508" s="155"/>
      <c r="AD1508" s="155"/>
      <c r="AE1508" s="155"/>
      <c r="AF1508" s="155"/>
      <c r="AG1508" s="155" t="s">
        <v>745</v>
      </c>
      <c r="AH1508" s="155">
        <f>2.2-0.2-0.2</f>
        <v>1.8</v>
      </c>
      <c r="AI1508" s="158" t="s">
        <v>727</v>
      </c>
      <c r="AJ1508" s="158">
        <f>(D1508+F1508+H1508+J1508)*AH1508</f>
        <v>12.6</v>
      </c>
    </row>
    <row r="1509" spans="1:36" x14ac:dyDescent="0.2">
      <c r="A1509" s="10"/>
      <c r="B1509" s="11"/>
      <c r="C1509" s="154" t="s">
        <v>1125</v>
      </c>
      <c r="D1509" s="155">
        <v>2.4</v>
      </c>
      <c r="E1509" s="155" t="s">
        <v>764</v>
      </c>
      <c r="F1509" s="155">
        <v>2.4</v>
      </c>
      <c r="G1509" s="155" t="s">
        <v>764</v>
      </c>
      <c r="H1509" s="155">
        <v>2.4</v>
      </c>
      <c r="I1509" s="155" t="s">
        <v>764</v>
      </c>
      <c r="J1509" s="155">
        <v>1.6</v>
      </c>
      <c r="K1509" s="155"/>
      <c r="L1509" s="155"/>
      <c r="M1509" s="155"/>
      <c r="N1509" s="155"/>
      <c r="O1509" s="155"/>
      <c r="P1509" s="155"/>
      <c r="Q1509" s="155"/>
      <c r="R1509" s="155"/>
      <c r="S1509" s="155"/>
      <c r="T1509" s="155"/>
      <c r="U1509" s="155"/>
      <c r="V1509" s="155"/>
      <c r="W1509" s="155"/>
      <c r="X1509" s="155"/>
      <c r="Y1509" s="155"/>
      <c r="Z1509" s="155"/>
      <c r="AA1509" s="155"/>
      <c r="AB1509" s="155"/>
      <c r="AC1509" s="155"/>
      <c r="AD1509" s="155"/>
      <c r="AE1509" s="155"/>
      <c r="AF1509" s="155"/>
      <c r="AG1509" s="155" t="s">
        <v>745</v>
      </c>
      <c r="AH1509" s="155">
        <v>2</v>
      </c>
      <c r="AI1509" s="158" t="s">
        <v>727</v>
      </c>
      <c r="AJ1509" s="158">
        <f>(D1509+F1509+H1509+J1509)*AH1509</f>
        <v>17.599999999999998</v>
      </c>
    </row>
    <row r="1510" spans="1:36" x14ac:dyDescent="0.2">
      <c r="A1510" s="10"/>
      <c r="B1510" s="11"/>
      <c r="C1510" s="10"/>
      <c r="D1510" s="287" t="s">
        <v>743</v>
      </c>
      <c r="E1510" s="287"/>
      <c r="F1510" s="287"/>
      <c r="G1510" s="287"/>
      <c r="H1510" s="287"/>
      <c r="I1510" s="287"/>
      <c r="J1510" s="287"/>
      <c r="K1510" s="287"/>
      <c r="L1510" s="287"/>
      <c r="M1510" s="287"/>
      <c r="N1510" s="287"/>
      <c r="O1510" s="287"/>
      <c r="P1510" s="287"/>
      <c r="Q1510" s="287"/>
      <c r="R1510" s="287"/>
      <c r="S1510" s="287"/>
      <c r="T1510" s="287"/>
      <c r="U1510" s="287"/>
      <c r="V1510" s="287"/>
      <c r="W1510" s="287"/>
      <c r="X1510" s="287"/>
      <c r="Y1510" s="287"/>
      <c r="Z1510" s="287"/>
      <c r="AA1510" s="287"/>
      <c r="AB1510" s="287"/>
      <c r="AC1510" s="287"/>
      <c r="AD1510" s="287"/>
      <c r="AE1510" s="287"/>
      <c r="AF1510" s="287"/>
      <c r="AG1510" s="287"/>
      <c r="AH1510" s="287"/>
      <c r="AI1510" s="92" t="s">
        <v>727</v>
      </c>
      <c r="AJ1510" s="161">
        <f>SUM(AJ1507:AJ1509)</f>
        <v>42.519999999999996</v>
      </c>
    </row>
    <row r="1511" spans="1:36" x14ac:dyDescent="0.2">
      <c r="A1511" s="10" t="s">
        <v>1109</v>
      </c>
      <c r="B1511" s="252" t="s">
        <v>1107</v>
      </c>
      <c r="C1511" s="252"/>
      <c r="D1511" s="252"/>
      <c r="E1511" s="252"/>
      <c r="F1511" s="252"/>
      <c r="G1511" s="252"/>
      <c r="H1511" s="252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92"/>
      <c r="AJ1511" s="92"/>
    </row>
    <row r="1512" spans="1:36" ht="48" x14ac:dyDescent="0.2">
      <c r="A1512" s="10" t="s">
        <v>1110</v>
      </c>
      <c r="B1512" s="11" t="s">
        <v>204</v>
      </c>
      <c r="C1512" s="10" t="s">
        <v>205</v>
      </c>
      <c r="D1512" s="11"/>
      <c r="E1512" s="51"/>
      <c r="F1512" s="41"/>
      <c r="G1512" s="41"/>
      <c r="H1512" s="41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92"/>
      <c r="AJ1512" s="11" t="s">
        <v>19</v>
      </c>
    </row>
    <row r="1513" spans="1:36" x14ac:dyDescent="0.2">
      <c r="A1513" s="10"/>
      <c r="B1513" s="11"/>
      <c r="C1513" s="154" t="s">
        <v>957</v>
      </c>
      <c r="D1513" s="155">
        <v>2.75</v>
      </c>
      <c r="E1513" s="155" t="s">
        <v>764</v>
      </c>
      <c r="F1513" s="155">
        <v>1.65</v>
      </c>
      <c r="G1513" s="155" t="s">
        <v>764</v>
      </c>
      <c r="H1513" s="155">
        <v>2.75</v>
      </c>
      <c r="I1513" s="155" t="s">
        <v>764</v>
      </c>
      <c r="J1513" s="155">
        <v>1.65</v>
      </c>
      <c r="K1513" s="155"/>
      <c r="L1513" s="155"/>
      <c r="M1513" s="155"/>
      <c r="N1513" s="155"/>
      <c r="O1513" s="155"/>
      <c r="P1513" s="155"/>
      <c r="Q1513" s="155"/>
      <c r="R1513" s="155"/>
      <c r="S1513" s="155"/>
      <c r="T1513" s="155"/>
      <c r="U1513" s="155"/>
      <c r="V1513" s="155"/>
      <c r="W1513" s="155"/>
      <c r="X1513" s="155"/>
      <c r="Y1513" s="155"/>
      <c r="Z1513" s="155"/>
      <c r="AA1513" s="155"/>
      <c r="AB1513" s="155"/>
      <c r="AC1513" s="155"/>
      <c r="AD1513" s="155"/>
      <c r="AE1513" s="155"/>
      <c r="AF1513" s="155"/>
      <c r="AG1513" s="155" t="s">
        <v>745</v>
      </c>
      <c r="AH1513" s="155">
        <f>1.8-0.2-0.2</f>
        <v>1.4000000000000001</v>
      </c>
      <c r="AI1513" s="158" t="s">
        <v>727</v>
      </c>
      <c r="AJ1513" s="158">
        <f>(D1513+F1513+H1513+J1513)*AH1513</f>
        <v>12.320000000000002</v>
      </c>
    </row>
    <row r="1514" spans="1:36" x14ac:dyDescent="0.2">
      <c r="A1514" s="10"/>
      <c r="B1514" s="11"/>
      <c r="C1514" s="154" t="s">
        <v>1124</v>
      </c>
      <c r="D1514" s="155">
        <v>2.2000000000000002</v>
      </c>
      <c r="E1514" s="155" t="s">
        <v>764</v>
      </c>
      <c r="F1514" s="155">
        <v>1.3</v>
      </c>
      <c r="G1514" s="155" t="s">
        <v>764</v>
      </c>
      <c r="H1514" s="155">
        <v>2.2000000000000002</v>
      </c>
      <c r="I1514" s="155" t="s">
        <v>764</v>
      </c>
      <c r="J1514" s="155">
        <v>1.3</v>
      </c>
      <c r="K1514" s="155"/>
      <c r="L1514" s="155"/>
      <c r="M1514" s="155"/>
      <c r="N1514" s="155"/>
      <c r="O1514" s="155"/>
      <c r="P1514" s="155"/>
      <c r="Q1514" s="155"/>
      <c r="R1514" s="155"/>
      <c r="S1514" s="155"/>
      <c r="T1514" s="155"/>
      <c r="U1514" s="155"/>
      <c r="V1514" s="155"/>
      <c r="W1514" s="155"/>
      <c r="X1514" s="155"/>
      <c r="Y1514" s="155"/>
      <c r="Z1514" s="155"/>
      <c r="AA1514" s="155"/>
      <c r="AB1514" s="155"/>
      <c r="AC1514" s="155"/>
      <c r="AD1514" s="155"/>
      <c r="AE1514" s="155"/>
      <c r="AF1514" s="155"/>
      <c r="AG1514" s="155" t="s">
        <v>745</v>
      </c>
      <c r="AH1514" s="155">
        <f>2.2-0.2-0.2</f>
        <v>1.8</v>
      </c>
      <c r="AI1514" s="158" t="s">
        <v>727</v>
      </c>
      <c r="AJ1514" s="158">
        <f>(D1514+F1514+H1514+J1514)*AH1514</f>
        <v>12.6</v>
      </c>
    </row>
    <row r="1515" spans="1:36" x14ac:dyDescent="0.2">
      <c r="A1515" s="10"/>
      <c r="B1515" s="11"/>
      <c r="C1515" s="154" t="s">
        <v>1125</v>
      </c>
      <c r="D1515" s="155">
        <v>2.4</v>
      </c>
      <c r="E1515" s="155" t="s">
        <v>764</v>
      </c>
      <c r="F1515" s="155">
        <v>2.4</v>
      </c>
      <c r="G1515" s="155" t="s">
        <v>764</v>
      </c>
      <c r="H1515" s="155">
        <v>2.4</v>
      </c>
      <c r="I1515" s="155" t="s">
        <v>764</v>
      </c>
      <c r="J1515" s="155">
        <v>1.6</v>
      </c>
      <c r="K1515" s="155"/>
      <c r="L1515" s="155"/>
      <c r="M1515" s="155"/>
      <c r="N1515" s="155"/>
      <c r="O1515" s="155"/>
      <c r="P1515" s="155"/>
      <c r="Q1515" s="155"/>
      <c r="R1515" s="155"/>
      <c r="S1515" s="155"/>
      <c r="T1515" s="155"/>
      <c r="U1515" s="155"/>
      <c r="V1515" s="155"/>
      <c r="W1515" s="155"/>
      <c r="X1515" s="155"/>
      <c r="Y1515" s="155"/>
      <c r="Z1515" s="155"/>
      <c r="AA1515" s="155"/>
      <c r="AB1515" s="155"/>
      <c r="AC1515" s="155"/>
      <c r="AD1515" s="155"/>
      <c r="AE1515" s="155" t="s">
        <v>745</v>
      </c>
      <c r="AF1515" s="155">
        <v>2</v>
      </c>
      <c r="AG1515" s="155" t="s">
        <v>745</v>
      </c>
      <c r="AH1515" s="155">
        <v>2</v>
      </c>
      <c r="AI1515" s="158" t="s">
        <v>727</v>
      </c>
      <c r="AJ1515" s="158">
        <f>(D1515+F1515+H1515+J1515)*AH1515*AF1515</f>
        <v>35.199999999999996</v>
      </c>
    </row>
    <row r="1516" spans="1:36" x14ac:dyDescent="0.2">
      <c r="A1516" s="10"/>
      <c r="B1516" s="11"/>
      <c r="C1516" s="10"/>
      <c r="D1516" s="287" t="s">
        <v>743</v>
      </c>
      <c r="E1516" s="287"/>
      <c r="F1516" s="287"/>
      <c r="G1516" s="287"/>
      <c r="H1516" s="287"/>
      <c r="I1516" s="287"/>
      <c r="J1516" s="287"/>
      <c r="K1516" s="287"/>
      <c r="L1516" s="287"/>
      <c r="M1516" s="287"/>
      <c r="N1516" s="287"/>
      <c r="O1516" s="287"/>
      <c r="P1516" s="287"/>
      <c r="Q1516" s="287"/>
      <c r="R1516" s="287"/>
      <c r="S1516" s="287"/>
      <c r="T1516" s="287"/>
      <c r="U1516" s="287"/>
      <c r="V1516" s="287"/>
      <c r="W1516" s="287"/>
      <c r="X1516" s="287"/>
      <c r="Y1516" s="287"/>
      <c r="Z1516" s="287"/>
      <c r="AA1516" s="287"/>
      <c r="AB1516" s="287"/>
      <c r="AC1516" s="287"/>
      <c r="AD1516" s="287"/>
      <c r="AE1516" s="287"/>
      <c r="AF1516" s="287"/>
      <c r="AG1516" s="287"/>
      <c r="AH1516" s="287"/>
      <c r="AI1516" s="92" t="s">
        <v>727</v>
      </c>
      <c r="AJ1516" s="161">
        <f>SUM(AJ1513:AJ1515)</f>
        <v>60.12</v>
      </c>
    </row>
    <row r="1517" spans="1:36" ht="60" x14ac:dyDescent="0.2">
      <c r="A1517" s="17" t="s">
        <v>1111</v>
      </c>
      <c r="B1517" s="8" t="s">
        <v>216</v>
      </c>
      <c r="C1517" s="7" t="s">
        <v>217</v>
      </c>
      <c r="D1517" s="11"/>
      <c r="E1517" s="51"/>
      <c r="F1517" s="41"/>
      <c r="G1517" s="41"/>
      <c r="H1517" s="41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92"/>
      <c r="AJ1517" s="11" t="s">
        <v>19</v>
      </c>
    </row>
    <row r="1518" spans="1:36" x14ac:dyDescent="0.2">
      <c r="A1518" s="17"/>
      <c r="B1518" s="11"/>
      <c r="C1518" s="154" t="s">
        <v>957</v>
      </c>
      <c r="D1518" s="155">
        <v>2.75</v>
      </c>
      <c r="E1518" s="155" t="s">
        <v>764</v>
      </c>
      <c r="F1518" s="155">
        <v>1.65</v>
      </c>
      <c r="G1518" s="155" t="s">
        <v>764</v>
      </c>
      <c r="H1518" s="155">
        <v>2.75</v>
      </c>
      <c r="I1518" s="155" t="s">
        <v>764</v>
      </c>
      <c r="J1518" s="155">
        <v>1.65</v>
      </c>
      <c r="K1518" s="155"/>
      <c r="L1518" s="155"/>
      <c r="M1518" s="155"/>
      <c r="N1518" s="155"/>
      <c r="O1518" s="155"/>
      <c r="P1518" s="155"/>
      <c r="Q1518" s="155"/>
      <c r="R1518" s="155"/>
      <c r="S1518" s="155"/>
      <c r="T1518" s="155"/>
      <c r="U1518" s="155"/>
      <c r="V1518" s="155"/>
      <c r="W1518" s="155"/>
      <c r="X1518" s="155"/>
      <c r="Y1518" s="155"/>
      <c r="Z1518" s="155"/>
      <c r="AA1518" s="155"/>
      <c r="AB1518" s="155"/>
      <c r="AC1518" s="155"/>
      <c r="AD1518" s="155"/>
      <c r="AE1518" s="155"/>
      <c r="AF1518" s="155"/>
      <c r="AG1518" s="155" t="s">
        <v>745</v>
      </c>
      <c r="AH1518" s="155">
        <f>1.8-0.2-0.2</f>
        <v>1.4000000000000001</v>
      </c>
      <c r="AI1518" s="158" t="s">
        <v>727</v>
      </c>
      <c r="AJ1518" s="158">
        <f>(D1518+F1518+H1518+J1518)*AH1518</f>
        <v>12.320000000000002</v>
      </c>
    </row>
    <row r="1519" spans="1:36" x14ac:dyDescent="0.2">
      <c r="A1519" s="17"/>
      <c r="B1519" s="11"/>
      <c r="C1519" s="154" t="s">
        <v>1124</v>
      </c>
      <c r="D1519" s="155">
        <v>2.2000000000000002</v>
      </c>
      <c r="E1519" s="155" t="s">
        <v>764</v>
      </c>
      <c r="F1519" s="155">
        <v>1.3</v>
      </c>
      <c r="G1519" s="155" t="s">
        <v>764</v>
      </c>
      <c r="H1519" s="155">
        <v>2.2000000000000002</v>
      </c>
      <c r="I1519" s="155" t="s">
        <v>764</v>
      </c>
      <c r="J1519" s="155">
        <v>1.3</v>
      </c>
      <c r="K1519" s="155"/>
      <c r="L1519" s="155"/>
      <c r="M1519" s="155"/>
      <c r="N1519" s="155"/>
      <c r="O1519" s="155"/>
      <c r="P1519" s="155"/>
      <c r="Q1519" s="155"/>
      <c r="R1519" s="155"/>
      <c r="S1519" s="155"/>
      <c r="T1519" s="155"/>
      <c r="U1519" s="155"/>
      <c r="V1519" s="155"/>
      <c r="W1519" s="155"/>
      <c r="X1519" s="155"/>
      <c r="Y1519" s="155"/>
      <c r="Z1519" s="155"/>
      <c r="AA1519" s="155"/>
      <c r="AB1519" s="155"/>
      <c r="AC1519" s="155"/>
      <c r="AD1519" s="155"/>
      <c r="AE1519" s="155"/>
      <c r="AF1519" s="155"/>
      <c r="AG1519" s="155" t="s">
        <v>745</v>
      </c>
      <c r="AH1519" s="155">
        <f>2.2-0.2-0.2</f>
        <v>1.8</v>
      </c>
      <c r="AI1519" s="158" t="s">
        <v>727</v>
      </c>
      <c r="AJ1519" s="158">
        <f>(D1519+F1519+H1519+J1519)*AH1519</f>
        <v>12.6</v>
      </c>
    </row>
    <row r="1520" spans="1:36" x14ac:dyDescent="0.2">
      <c r="A1520" s="17"/>
      <c r="B1520" s="11"/>
      <c r="C1520" s="154" t="s">
        <v>1125</v>
      </c>
      <c r="D1520" s="155">
        <v>2.4</v>
      </c>
      <c r="E1520" s="155" t="s">
        <v>764</v>
      </c>
      <c r="F1520" s="155">
        <v>2.4</v>
      </c>
      <c r="G1520" s="155" t="s">
        <v>764</v>
      </c>
      <c r="H1520" s="155">
        <v>2.4</v>
      </c>
      <c r="I1520" s="155" t="s">
        <v>764</v>
      </c>
      <c r="J1520" s="155">
        <v>1.6</v>
      </c>
      <c r="K1520" s="155"/>
      <c r="L1520" s="155"/>
      <c r="M1520" s="155"/>
      <c r="N1520" s="155"/>
      <c r="O1520" s="155"/>
      <c r="P1520" s="155"/>
      <c r="Q1520" s="155"/>
      <c r="R1520" s="155"/>
      <c r="S1520" s="155"/>
      <c r="T1520" s="155"/>
      <c r="U1520" s="155"/>
      <c r="V1520" s="155"/>
      <c r="W1520" s="155"/>
      <c r="X1520" s="155"/>
      <c r="Y1520" s="155"/>
      <c r="Z1520" s="155"/>
      <c r="AA1520" s="155"/>
      <c r="AB1520" s="155"/>
      <c r="AC1520" s="155"/>
      <c r="AD1520" s="155"/>
      <c r="AE1520" s="155" t="s">
        <v>745</v>
      </c>
      <c r="AF1520" s="155">
        <v>2</v>
      </c>
      <c r="AG1520" s="155" t="s">
        <v>745</v>
      </c>
      <c r="AH1520" s="155">
        <v>2</v>
      </c>
      <c r="AI1520" s="158" t="s">
        <v>727</v>
      </c>
      <c r="AJ1520" s="158">
        <f>(D1520+F1520+H1520+J1520)*AH1520*AF1520</f>
        <v>35.199999999999996</v>
      </c>
    </row>
    <row r="1521" spans="1:40" x14ac:dyDescent="0.2">
      <c r="A1521" s="17"/>
      <c r="B1521" s="11"/>
      <c r="C1521" s="10"/>
      <c r="D1521" s="287" t="s">
        <v>743</v>
      </c>
      <c r="E1521" s="287"/>
      <c r="F1521" s="287"/>
      <c r="G1521" s="287"/>
      <c r="H1521" s="287"/>
      <c r="I1521" s="287"/>
      <c r="J1521" s="287"/>
      <c r="K1521" s="287"/>
      <c r="L1521" s="287"/>
      <c r="M1521" s="287"/>
      <c r="N1521" s="287"/>
      <c r="O1521" s="287"/>
      <c r="P1521" s="287"/>
      <c r="Q1521" s="287"/>
      <c r="R1521" s="287"/>
      <c r="S1521" s="287"/>
      <c r="T1521" s="287"/>
      <c r="U1521" s="287"/>
      <c r="V1521" s="287"/>
      <c r="W1521" s="287"/>
      <c r="X1521" s="287"/>
      <c r="Y1521" s="287"/>
      <c r="Z1521" s="287"/>
      <c r="AA1521" s="287"/>
      <c r="AB1521" s="287"/>
      <c r="AC1521" s="287"/>
      <c r="AD1521" s="287"/>
      <c r="AE1521" s="287"/>
      <c r="AF1521" s="287"/>
      <c r="AG1521" s="287"/>
      <c r="AH1521" s="287"/>
      <c r="AI1521" s="92" t="s">
        <v>727</v>
      </c>
      <c r="AJ1521" s="161">
        <f>SUM(AJ1518:AJ1520)</f>
        <v>60.12</v>
      </c>
    </row>
    <row r="1522" spans="1:40" x14ac:dyDescent="0.2">
      <c r="A1522" s="10" t="s">
        <v>1112</v>
      </c>
      <c r="B1522" s="252" t="s">
        <v>1115</v>
      </c>
      <c r="C1522" s="252"/>
      <c r="D1522" s="252"/>
      <c r="E1522" s="252"/>
      <c r="F1522" s="252"/>
      <c r="G1522" s="252"/>
      <c r="H1522" s="252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92"/>
      <c r="AJ1522" s="92"/>
    </row>
    <row r="1523" spans="1:40" ht="24" x14ac:dyDescent="0.2">
      <c r="A1523" s="10" t="s">
        <v>1111</v>
      </c>
      <c r="B1523" s="11" t="s">
        <v>244</v>
      </c>
      <c r="C1523" s="10" t="s">
        <v>245</v>
      </c>
      <c r="D1523" s="11"/>
      <c r="E1523" s="51"/>
      <c r="F1523" s="41"/>
      <c r="G1523" s="41"/>
      <c r="H1523" s="41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92"/>
      <c r="AJ1523" s="11" t="s">
        <v>19</v>
      </c>
    </row>
    <row r="1524" spans="1:40" x14ac:dyDescent="0.2">
      <c r="A1524" s="10"/>
      <c r="B1524" s="11"/>
      <c r="C1524" s="154" t="s">
        <v>957</v>
      </c>
      <c r="D1524" s="155">
        <v>2.75</v>
      </c>
      <c r="E1524" s="155" t="s">
        <v>748</v>
      </c>
      <c r="F1524" s="155">
        <v>1.65</v>
      </c>
      <c r="G1524" s="155"/>
      <c r="H1524" s="155"/>
      <c r="I1524" s="155"/>
      <c r="J1524" s="155"/>
      <c r="K1524" s="155"/>
      <c r="L1524" s="155"/>
      <c r="M1524" s="155"/>
      <c r="N1524" s="155"/>
      <c r="O1524" s="155"/>
      <c r="P1524" s="155"/>
      <c r="Q1524" s="155"/>
      <c r="R1524" s="155"/>
      <c r="S1524" s="155"/>
      <c r="T1524" s="155"/>
      <c r="U1524" s="155"/>
      <c r="V1524" s="155"/>
      <c r="W1524" s="155"/>
      <c r="X1524" s="155"/>
      <c r="Y1524" s="155"/>
      <c r="Z1524" s="155"/>
      <c r="AA1524" s="155"/>
      <c r="AB1524" s="155"/>
      <c r="AC1524" s="155"/>
      <c r="AD1524" s="155"/>
      <c r="AE1524" s="155"/>
      <c r="AF1524" s="155"/>
      <c r="AG1524" s="155"/>
      <c r="AH1524" s="155"/>
      <c r="AI1524" s="158" t="s">
        <v>727</v>
      </c>
      <c r="AJ1524" s="158">
        <f>D1524*F1524</f>
        <v>4.5374999999999996</v>
      </c>
    </row>
    <row r="1525" spans="1:40" x14ac:dyDescent="0.2">
      <c r="A1525" s="10"/>
      <c r="B1525" s="11"/>
      <c r="C1525" s="154" t="s">
        <v>1124</v>
      </c>
      <c r="D1525" s="155">
        <v>2.2000000000000002</v>
      </c>
      <c r="E1525" s="155" t="s">
        <v>748</v>
      </c>
      <c r="F1525" s="155">
        <v>1.3</v>
      </c>
      <c r="G1525" s="155"/>
      <c r="H1525" s="155"/>
      <c r="I1525" s="155"/>
      <c r="J1525" s="155"/>
      <c r="K1525" s="155"/>
      <c r="L1525" s="155"/>
      <c r="M1525" s="155"/>
      <c r="N1525" s="155"/>
      <c r="O1525" s="155"/>
      <c r="P1525" s="155"/>
      <c r="Q1525" s="155"/>
      <c r="R1525" s="155"/>
      <c r="S1525" s="155"/>
      <c r="T1525" s="155"/>
      <c r="U1525" s="155"/>
      <c r="V1525" s="155"/>
      <c r="W1525" s="155"/>
      <c r="X1525" s="155"/>
      <c r="Y1525" s="155"/>
      <c r="Z1525" s="155"/>
      <c r="AA1525" s="155"/>
      <c r="AB1525" s="155"/>
      <c r="AC1525" s="155"/>
      <c r="AD1525" s="155"/>
      <c r="AE1525" s="155"/>
      <c r="AF1525" s="155"/>
      <c r="AG1525" s="155"/>
      <c r="AH1525" s="155"/>
      <c r="AI1525" s="158" t="s">
        <v>727</v>
      </c>
      <c r="AJ1525" s="158">
        <f>D1525*F1525</f>
        <v>2.8600000000000003</v>
      </c>
    </row>
    <row r="1526" spans="1:40" x14ac:dyDescent="0.2">
      <c r="A1526" s="10"/>
      <c r="B1526" s="11"/>
      <c r="C1526" s="154" t="s">
        <v>1125</v>
      </c>
      <c r="D1526" s="155">
        <v>2.4</v>
      </c>
      <c r="E1526" s="155" t="s">
        <v>748</v>
      </c>
      <c r="F1526" s="155">
        <v>2.4</v>
      </c>
      <c r="G1526" s="155"/>
      <c r="H1526" s="155"/>
      <c r="I1526" s="155"/>
      <c r="J1526" s="155"/>
      <c r="K1526" s="155"/>
      <c r="L1526" s="155"/>
      <c r="M1526" s="155"/>
      <c r="N1526" s="155"/>
      <c r="O1526" s="155"/>
      <c r="P1526" s="155"/>
      <c r="Q1526" s="155"/>
      <c r="R1526" s="155"/>
      <c r="S1526" s="155"/>
      <c r="T1526" s="155"/>
      <c r="U1526" s="155"/>
      <c r="V1526" s="155"/>
      <c r="W1526" s="155"/>
      <c r="X1526" s="155"/>
      <c r="Y1526" s="155"/>
      <c r="Z1526" s="155"/>
      <c r="AA1526" s="155"/>
      <c r="AB1526" s="155"/>
      <c r="AC1526" s="155"/>
      <c r="AD1526" s="155"/>
      <c r="AE1526" s="155"/>
      <c r="AF1526" s="155"/>
      <c r="AG1526" s="155"/>
      <c r="AH1526" s="155"/>
      <c r="AI1526" s="158" t="s">
        <v>727</v>
      </c>
      <c r="AJ1526" s="158">
        <f>D1526*F1526</f>
        <v>5.76</v>
      </c>
    </row>
    <row r="1527" spans="1:40" x14ac:dyDescent="0.2">
      <c r="A1527" s="10"/>
      <c r="B1527" s="11"/>
      <c r="C1527" s="10"/>
      <c r="D1527" s="287" t="s">
        <v>743</v>
      </c>
      <c r="E1527" s="287"/>
      <c r="F1527" s="287"/>
      <c r="G1527" s="287"/>
      <c r="H1527" s="287"/>
      <c r="I1527" s="287"/>
      <c r="J1527" s="287"/>
      <c r="K1527" s="287"/>
      <c r="L1527" s="287"/>
      <c r="M1527" s="287"/>
      <c r="N1527" s="287"/>
      <c r="O1527" s="287"/>
      <c r="P1527" s="287"/>
      <c r="Q1527" s="287"/>
      <c r="R1527" s="287"/>
      <c r="S1527" s="287"/>
      <c r="T1527" s="287"/>
      <c r="U1527" s="287"/>
      <c r="V1527" s="287"/>
      <c r="W1527" s="287"/>
      <c r="X1527" s="287"/>
      <c r="Y1527" s="287"/>
      <c r="Z1527" s="287"/>
      <c r="AA1527" s="287"/>
      <c r="AB1527" s="287"/>
      <c r="AC1527" s="287"/>
      <c r="AD1527" s="287"/>
      <c r="AE1527" s="287"/>
      <c r="AF1527" s="287"/>
      <c r="AG1527" s="287"/>
      <c r="AH1527" s="287"/>
      <c r="AI1527" s="92" t="s">
        <v>727</v>
      </c>
      <c r="AJ1527" s="161">
        <f>SUM(AJ1524:AJ1526)</f>
        <v>13.157499999999999</v>
      </c>
    </row>
    <row r="1528" spans="1:40" x14ac:dyDescent="0.2">
      <c r="A1528" s="114"/>
      <c r="B1528" s="114"/>
      <c r="C1528" s="114"/>
      <c r="D1528" s="114"/>
      <c r="E1528" s="114"/>
      <c r="F1528" s="114"/>
      <c r="G1528" s="114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221"/>
      <c r="AI1528" s="222"/>
      <c r="AJ1528" s="221"/>
      <c r="AK1528" s="223"/>
      <c r="AL1528" s="224"/>
      <c r="AM1528" s="225"/>
      <c r="AN1528" s="160"/>
    </row>
    <row r="1529" spans="1:40" x14ac:dyDescent="0.2">
      <c r="A1529" s="114"/>
      <c r="B1529" s="114"/>
      <c r="C1529" s="114"/>
      <c r="D1529" s="114"/>
      <c r="E1529" s="114"/>
      <c r="F1529" s="114"/>
      <c r="G1529" s="114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60"/>
      <c r="AL1529" s="160"/>
      <c r="AM1529" s="226"/>
      <c r="AN1529" s="160"/>
    </row>
    <row r="1530" spans="1:40" x14ac:dyDescent="0.2">
      <c r="A1530" s="114"/>
      <c r="B1530" s="114"/>
      <c r="C1530" s="114"/>
      <c r="D1530" s="114"/>
      <c r="E1530" s="114"/>
      <c r="F1530" s="114"/>
      <c r="G1530" s="114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60"/>
      <c r="AL1530" s="160"/>
      <c r="AM1530" s="226"/>
      <c r="AN1530" s="160"/>
    </row>
    <row r="1531" spans="1:40" x14ac:dyDescent="0.2">
      <c r="A1531" s="114"/>
      <c r="B1531" s="114"/>
      <c r="C1531" s="114"/>
      <c r="D1531" s="114"/>
      <c r="E1531" s="114"/>
      <c r="F1531" s="114"/>
      <c r="G1531" s="114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60"/>
      <c r="AL1531" s="160"/>
      <c r="AM1531" s="226"/>
      <c r="AN1531" s="160"/>
    </row>
    <row r="1532" spans="1:40" x14ac:dyDescent="0.2">
      <c r="A1532" s="114"/>
      <c r="B1532" s="114"/>
      <c r="C1532" s="114"/>
      <c r="D1532" s="114"/>
      <c r="E1532" s="114"/>
      <c r="F1532" s="114"/>
      <c r="G1532" s="114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60"/>
      <c r="AL1532" s="160"/>
      <c r="AM1532" s="226"/>
      <c r="AN1532" s="160"/>
    </row>
    <row r="1533" spans="1:40" x14ac:dyDescent="0.2">
      <c r="A1533" s="114"/>
      <c r="B1533" s="114"/>
      <c r="C1533" s="114"/>
      <c r="D1533" s="114"/>
      <c r="E1533" s="114"/>
      <c r="F1533" s="114"/>
      <c r="G1533" s="114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60"/>
      <c r="AL1533" s="160"/>
      <c r="AM1533" s="226"/>
      <c r="AN1533" s="160"/>
    </row>
    <row r="1534" spans="1:40" x14ac:dyDescent="0.2">
      <c r="A1534" s="114"/>
      <c r="B1534" s="114"/>
      <c r="C1534" s="114"/>
      <c r="D1534" s="114"/>
      <c r="E1534" s="114"/>
      <c r="F1534" s="114"/>
      <c r="G1534" s="114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60"/>
      <c r="AL1534" s="160"/>
      <c r="AM1534" s="226"/>
      <c r="AN1534" s="160"/>
    </row>
    <row r="1535" spans="1:40" x14ac:dyDescent="0.2">
      <c r="A1535" s="114"/>
      <c r="B1535" s="114"/>
      <c r="C1535" s="114"/>
      <c r="D1535" s="114"/>
      <c r="E1535" s="114"/>
      <c r="F1535" s="114"/>
      <c r="G1535" s="114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60"/>
      <c r="AL1535" s="160"/>
      <c r="AM1535" s="226"/>
      <c r="AN1535" s="160"/>
    </row>
    <row r="1536" spans="1:40" x14ac:dyDescent="0.2">
      <c r="A1536" s="114"/>
      <c r="B1536" s="114"/>
      <c r="C1536" s="114"/>
      <c r="D1536" s="114"/>
      <c r="E1536" s="114"/>
      <c r="F1536" s="114"/>
      <c r="G1536" s="114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60"/>
      <c r="AL1536" s="160"/>
      <c r="AM1536" s="226"/>
      <c r="AN1536" s="160"/>
    </row>
    <row r="1537" spans="1:40" x14ac:dyDescent="0.2">
      <c r="A1537" s="114"/>
      <c r="B1537" s="114"/>
      <c r="C1537" s="114"/>
      <c r="D1537" s="114"/>
      <c r="E1537" s="114"/>
      <c r="F1537" s="114"/>
      <c r="G1537" s="114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60"/>
      <c r="AL1537" s="160"/>
      <c r="AM1537" s="226"/>
      <c r="AN1537" s="160"/>
    </row>
    <row r="1538" spans="1:40" x14ac:dyDescent="0.2">
      <c r="A1538" s="114"/>
      <c r="B1538" s="114"/>
      <c r="C1538" s="114"/>
      <c r="D1538" s="114"/>
      <c r="E1538" s="114"/>
      <c r="F1538" s="114"/>
      <c r="G1538" s="114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300"/>
      <c r="AI1538" s="300"/>
      <c r="AJ1538" s="227"/>
      <c r="AK1538" s="160"/>
      <c r="AL1538" s="160"/>
      <c r="AM1538" s="160"/>
      <c r="AN1538" s="160"/>
    </row>
    <row r="1539" spans="1:40" x14ac:dyDescent="0.2">
      <c r="A1539" s="114"/>
      <c r="B1539" s="114"/>
      <c r="C1539" s="288" t="s">
        <v>709</v>
      </c>
      <c r="D1539" s="288"/>
      <c r="E1539" s="288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60"/>
      <c r="AL1539" s="160"/>
      <c r="AM1539" s="160"/>
      <c r="AN1539" s="160"/>
    </row>
    <row r="1540" spans="1:40" x14ac:dyDescent="0.2">
      <c r="A1540" s="114"/>
      <c r="B1540" s="114"/>
      <c r="C1540" s="288"/>
      <c r="D1540" s="288"/>
      <c r="E1540" s="288"/>
      <c r="F1540" s="115"/>
      <c r="G1540" s="115"/>
      <c r="H1540" s="288" t="s">
        <v>912</v>
      </c>
      <c r="I1540" s="288"/>
      <c r="J1540" s="288"/>
      <c r="K1540" s="288"/>
      <c r="L1540" s="288"/>
      <c r="M1540" s="288"/>
      <c r="N1540" s="288"/>
      <c r="O1540" s="288"/>
      <c r="P1540" s="288"/>
      <c r="Q1540" s="288"/>
      <c r="R1540" s="288"/>
      <c r="S1540" s="288"/>
      <c r="T1540" s="288"/>
      <c r="U1540" s="288"/>
      <c r="V1540" s="288"/>
      <c r="W1540" s="288"/>
      <c r="X1540" s="288"/>
      <c r="Y1540" s="288"/>
      <c r="Z1540" s="288"/>
      <c r="AA1540" s="288"/>
      <c r="AB1540" s="288"/>
      <c r="AC1540" s="288"/>
      <c r="AD1540" s="288"/>
      <c r="AE1540" s="288"/>
      <c r="AF1540" s="288"/>
      <c r="AG1540" s="288"/>
      <c r="AH1540" s="288"/>
      <c r="AI1540" s="288"/>
      <c r="AJ1540" s="288"/>
      <c r="AK1540" s="288"/>
      <c r="AL1540" s="288"/>
      <c r="AM1540" s="288"/>
      <c r="AN1540" s="288"/>
    </row>
    <row r="1541" spans="1:40" x14ac:dyDescent="0.2">
      <c r="A1541" s="114"/>
      <c r="B1541" s="114"/>
      <c r="C1541" s="303" t="s">
        <v>706</v>
      </c>
      <c r="D1541" s="303"/>
      <c r="E1541" s="303"/>
      <c r="F1541" s="115"/>
      <c r="G1541" s="115"/>
      <c r="H1541" s="303" t="s">
        <v>707</v>
      </c>
      <c r="I1541" s="303"/>
      <c r="J1541" s="303"/>
      <c r="K1541" s="303"/>
      <c r="L1541" s="303"/>
      <c r="M1541" s="303"/>
      <c r="N1541" s="303"/>
      <c r="O1541" s="303"/>
      <c r="P1541" s="303"/>
      <c r="Q1541" s="303"/>
      <c r="R1541" s="303"/>
      <c r="S1541" s="303"/>
      <c r="T1541" s="303"/>
      <c r="U1541" s="303"/>
      <c r="V1541" s="303"/>
      <c r="W1541" s="303"/>
      <c r="X1541" s="303"/>
      <c r="Y1541" s="303"/>
      <c r="Z1541" s="303"/>
      <c r="AA1541" s="303"/>
      <c r="AB1541" s="303"/>
      <c r="AC1541" s="303"/>
      <c r="AD1541" s="303"/>
      <c r="AE1541" s="303"/>
      <c r="AF1541" s="303"/>
      <c r="AG1541" s="303"/>
      <c r="AH1541" s="303"/>
      <c r="AI1541" s="303"/>
      <c r="AJ1541" s="303"/>
      <c r="AK1541" s="303"/>
      <c r="AL1541" s="303"/>
      <c r="AM1541" s="303"/>
      <c r="AN1541" s="303"/>
    </row>
    <row r="1542" spans="1:40" x14ac:dyDescent="0.2">
      <c r="A1542" s="114"/>
      <c r="B1542" s="114"/>
      <c r="C1542" s="288" t="s">
        <v>710</v>
      </c>
      <c r="D1542" s="288"/>
      <c r="E1542" s="288"/>
      <c r="F1542" s="115"/>
      <c r="G1542" s="115"/>
      <c r="H1542" s="303"/>
      <c r="I1542" s="303"/>
      <c r="J1542" s="303"/>
      <c r="K1542" s="303"/>
      <c r="L1542" s="303"/>
      <c r="M1542" s="303"/>
      <c r="N1542" s="303"/>
      <c r="O1542" s="303"/>
      <c r="P1542" s="303"/>
      <c r="Q1542" s="303"/>
      <c r="R1542" s="303"/>
      <c r="S1542" s="303"/>
      <c r="T1542" s="303"/>
      <c r="U1542" s="303"/>
      <c r="V1542" s="303"/>
      <c r="W1542" s="303"/>
      <c r="X1542" s="303"/>
      <c r="Y1542" s="303"/>
      <c r="Z1542" s="303"/>
      <c r="AA1542" s="303"/>
      <c r="AB1542" s="303"/>
      <c r="AC1542" s="303"/>
      <c r="AD1542" s="303"/>
      <c r="AE1542" s="303"/>
      <c r="AF1542" s="303"/>
      <c r="AG1542" s="303"/>
      <c r="AH1542" s="303"/>
      <c r="AI1542" s="303"/>
      <c r="AJ1542" s="303"/>
      <c r="AK1542" s="303"/>
      <c r="AL1542" s="303"/>
      <c r="AM1542" s="303"/>
      <c r="AN1542" s="303"/>
    </row>
    <row r="1543" spans="1:40" x14ac:dyDescent="0.2">
      <c r="A1543" s="114"/>
      <c r="B1543" s="114"/>
      <c r="C1543" s="288" t="s">
        <v>913</v>
      </c>
      <c r="D1543" s="288"/>
      <c r="E1543" s="288"/>
      <c r="F1543" s="115"/>
      <c r="G1543" s="115"/>
      <c r="H1543" s="288"/>
      <c r="I1543" s="288"/>
      <c r="J1543" s="288"/>
      <c r="K1543" s="288"/>
      <c r="L1543" s="288"/>
      <c r="M1543" s="288"/>
      <c r="N1543" s="288"/>
      <c r="O1543" s="288"/>
      <c r="P1543" s="288"/>
      <c r="Q1543" s="288"/>
      <c r="R1543" s="288"/>
      <c r="S1543" s="288"/>
      <c r="T1543" s="288"/>
      <c r="U1543" s="288"/>
      <c r="V1543" s="288"/>
      <c r="W1543" s="288"/>
      <c r="X1543" s="288"/>
      <c r="Y1543" s="288"/>
      <c r="Z1543" s="288"/>
      <c r="AA1543" s="288"/>
      <c r="AB1543" s="288"/>
      <c r="AC1543" s="288"/>
      <c r="AD1543" s="288"/>
      <c r="AE1543" s="288"/>
      <c r="AF1543" s="288"/>
      <c r="AG1543" s="288"/>
      <c r="AH1543" s="288"/>
      <c r="AI1543" s="288"/>
      <c r="AJ1543" s="288"/>
      <c r="AK1543" s="288"/>
      <c r="AL1543" s="288"/>
      <c r="AM1543" s="288"/>
      <c r="AN1543" s="288"/>
    </row>
    <row r="1544" spans="1:40" x14ac:dyDescent="0.2">
      <c r="AJ1544" s="20"/>
    </row>
    <row r="1545" spans="1:40" x14ac:dyDescent="0.2">
      <c r="AJ1545" s="20"/>
    </row>
    <row r="1546" spans="1:40" x14ac:dyDescent="0.2">
      <c r="AJ1546" s="20"/>
    </row>
    <row r="1547" spans="1:40" x14ac:dyDescent="0.2">
      <c r="AJ1547" s="20"/>
    </row>
    <row r="1548" spans="1:40" ht="12.75" customHeight="1" x14ac:dyDescent="0.2">
      <c r="AJ1548" s="20"/>
    </row>
    <row r="1549" spans="1:40" x14ac:dyDescent="0.2">
      <c r="AJ1549" s="20"/>
    </row>
    <row r="1550" spans="1:40" x14ac:dyDescent="0.2">
      <c r="AJ1550" s="20"/>
    </row>
    <row r="1551" spans="1:40" ht="12.75" customHeight="1" x14ac:dyDescent="0.2">
      <c r="AJ1551" s="20"/>
    </row>
    <row r="1552" spans="1:40" x14ac:dyDescent="0.2">
      <c r="AJ1552" s="20"/>
    </row>
    <row r="1553" spans="36:36" x14ac:dyDescent="0.2">
      <c r="AJ1553" s="20"/>
    </row>
    <row r="1554" spans="36:36" x14ac:dyDescent="0.2">
      <c r="AJ1554" s="20"/>
    </row>
    <row r="1555" spans="36:36" x14ac:dyDescent="0.2">
      <c r="AJ1555" s="20"/>
    </row>
    <row r="1556" spans="36:36" x14ac:dyDescent="0.2">
      <c r="AJ1556" s="20"/>
    </row>
    <row r="1557" spans="36:36" x14ac:dyDescent="0.2">
      <c r="AJ1557" s="20"/>
    </row>
    <row r="1558" spans="36:36" x14ac:dyDescent="0.2">
      <c r="AJ1558" s="20"/>
    </row>
    <row r="1559" spans="36:36" x14ac:dyDescent="0.2">
      <c r="AJ1559" s="20"/>
    </row>
    <row r="1560" spans="36:36" x14ac:dyDescent="0.2">
      <c r="AJ1560" s="20"/>
    </row>
    <row r="1561" spans="36:36" x14ac:dyDescent="0.2">
      <c r="AJ1561" s="20"/>
    </row>
    <row r="1562" spans="36:36" x14ac:dyDescent="0.2">
      <c r="AJ1562" s="20"/>
    </row>
    <row r="1563" spans="36:36" x14ac:dyDescent="0.2">
      <c r="AJ1563" s="20"/>
    </row>
    <row r="1564" spans="36:36" x14ac:dyDescent="0.2">
      <c r="AJ1564" s="20"/>
    </row>
    <row r="1565" spans="36:36" x14ac:dyDescent="0.2">
      <c r="AJ1565" s="20"/>
    </row>
    <row r="1566" spans="36:36" x14ac:dyDescent="0.2">
      <c r="AJ1566" s="20"/>
    </row>
    <row r="1567" spans="36:36" x14ac:dyDescent="0.2">
      <c r="AJ1567" s="20"/>
    </row>
    <row r="1568" spans="36:36" x14ac:dyDescent="0.2">
      <c r="AJ1568" s="20"/>
    </row>
    <row r="1569" spans="36:36" x14ac:dyDescent="0.2">
      <c r="AJ1569" s="20"/>
    </row>
    <row r="1570" spans="36:36" x14ac:dyDescent="0.2">
      <c r="AJ1570" s="20"/>
    </row>
    <row r="1571" spans="36:36" x14ac:dyDescent="0.2">
      <c r="AJ1571" s="20"/>
    </row>
    <row r="1572" spans="36:36" x14ac:dyDescent="0.2">
      <c r="AJ1572" s="20"/>
    </row>
    <row r="1573" spans="36:36" x14ac:dyDescent="0.2">
      <c r="AJ1573" s="20"/>
    </row>
    <row r="1574" spans="36:36" x14ac:dyDescent="0.2">
      <c r="AJ1574" s="20"/>
    </row>
    <row r="1575" spans="36:36" x14ac:dyDescent="0.2">
      <c r="AJ1575" s="20"/>
    </row>
    <row r="1576" spans="36:36" x14ac:dyDescent="0.2">
      <c r="AJ1576" s="20"/>
    </row>
    <row r="1577" spans="36:36" x14ac:dyDescent="0.2">
      <c r="AJ1577" s="20"/>
    </row>
    <row r="1578" spans="36:36" x14ac:dyDescent="0.2">
      <c r="AJ1578" s="20"/>
    </row>
    <row r="1579" spans="36:36" x14ac:dyDescent="0.2">
      <c r="AJ1579" s="20"/>
    </row>
    <row r="1580" spans="36:36" x14ac:dyDescent="0.2">
      <c r="AJ1580" s="20"/>
    </row>
    <row r="1581" spans="36:36" x14ac:dyDescent="0.2">
      <c r="AJ1581" s="20"/>
    </row>
    <row r="1582" spans="36:36" x14ac:dyDescent="0.2">
      <c r="AJ1582" s="20"/>
    </row>
    <row r="1583" spans="36:36" x14ac:dyDescent="0.2">
      <c r="AJ1583" s="20"/>
    </row>
    <row r="1584" spans="36:36" x14ac:dyDescent="0.2">
      <c r="AJ1584" s="20"/>
    </row>
    <row r="1585" spans="1:36" ht="12.75" customHeight="1" x14ac:dyDescent="0.2">
      <c r="AJ1585" s="20"/>
    </row>
    <row r="1586" spans="1:36" x14ac:dyDescent="0.2">
      <c r="AJ1586" s="20"/>
    </row>
    <row r="1587" spans="1:36" x14ac:dyDescent="0.2">
      <c r="AJ1587" s="20"/>
    </row>
    <row r="1588" spans="1:36" ht="12.75" customHeight="1" x14ac:dyDescent="0.2">
      <c r="AJ1588" s="20"/>
    </row>
    <row r="1589" spans="1:36" x14ac:dyDescent="0.2">
      <c r="A1589" s="78"/>
      <c r="B1589" s="78"/>
      <c r="C1589" s="78"/>
      <c r="D1589" s="78"/>
      <c r="E1589" s="78"/>
      <c r="F1589" s="78"/>
      <c r="G1589" s="78"/>
      <c r="H1589" s="78"/>
      <c r="I1589" s="78"/>
      <c r="J1589" s="78"/>
      <c r="K1589" s="78"/>
      <c r="L1589" s="78"/>
      <c r="M1589" s="78"/>
      <c r="N1589" s="78"/>
      <c r="O1589" s="78"/>
      <c r="P1589" s="78"/>
      <c r="Q1589" s="78"/>
      <c r="R1589" s="78"/>
      <c r="S1589" s="78"/>
      <c r="T1589" s="78"/>
      <c r="U1589" s="78"/>
      <c r="V1589" s="78"/>
      <c r="W1589" s="78"/>
      <c r="X1589" s="78"/>
      <c r="Y1589" s="78"/>
      <c r="Z1589" s="78"/>
      <c r="AA1589" s="78"/>
      <c r="AB1589" s="78"/>
      <c r="AC1589" s="78"/>
      <c r="AD1589" s="78"/>
      <c r="AE1589" s="78"/>
      <c r="AF1589" s="78"/>
      <c r="AG1589" s="78"/>
      <c r="AH1589" s="78"/>
      <c r="AI1589" s="78"/>
      <c r="AJ1589" s="78"/>
    </row>
    <row r="1590" spans="1:36" x14ac:dyDescent="0.2">
      <c r="A1590" s="78"/>
      <c r="B1590" s="78"/>
      <c r="C1590" s="78"/>
      <c r="D1590" s="78"/>
      <c r="E1590" s="78"/>
      <c r="F1590" s="78"/>
      <c r="G1590" s="78"/>
      <c r="H1590" s="78"/>
      <c r="I1590" s="78"/>
      <c r="J1590" s="78"/>
      <c r="K1590" s="78"/>
      <c r="L1590" s="78"/>
      <c r="M1590" s="78"/>
      <c r="N1590" s="78"/>
      <c r="O1590" s="78"/>
      <c r="P1590" s="78"/>
      <c r="Q1590" s="78"/>
      <c r="R1590" s="78"/>
      <c r="S1590" s="78"/>
      <c r="T1590" s="78"/>
      <c r="U1590" s="78"/>
      <c r="V1590" s="78"/>
      <c r="W1590" s="78"/>
      <c r="X1590" s="78"/>
      <c r="Y1590" s="78"/>
      <c r="Z1590" s="78"/>
      <c r="AA1590" s="78"/>
      <c r="AB1590" s="78"/>
      <c r="AC1590" s="78"/>
      <c r="AD1590" s="78"/>
      <c r="AE1590" s="78"/>
      <c r="AF1590" s="78"/>
      <c r="AG1590" s="78"/>
      <c r="AH1590" s="78"/>
      <c r="AI1590" s="78"/>
      <c r="AJ1590" s="78"/>
    </row>
    <row r="1591" spans="1:36" x14ac:dyDescent="0.2">
      <c r="A1591" s="78"/>
      <c r="B1591" s="78"/>
      <c r="C1591" s="78"/>
      <c r="D1591" s="78"/>
      <c r="E1591" s="78"/>
      <c r="F1591" s="78"/>
      <c r="G1591" s="78"/>
      <c r="H1591" s="78"/>
      <c r="I1591" s="78"/>
      <c r="J1591" s="78"/>
      <c r="K1591" s="78"/>
      <c r="L1591" s="78"/>
      <c r="M1591" s="78"/>
      <c r="N1591" s="78"/>
      <c r="O1591" s="78"/>
      <c r="P1591" s="78"/>
      <c r="Q1591" s="78"/>
      <c r="R1591" s="78"/>
      <c r="S1591" s="78"/>
      <c r="T1591" s="78"/>
      <c r="U1591" s="78"/>
      <c r="V1591" s="78"/>
      <c r="W1591" s="78"/>
      <c r="X1591" s="78"/>
      <c r="Y1591" s="78"/>
      <c r="Z1591" s="78"/>
      <c r="AA1591" s="78"/>
      <c r="AB1591" s="78"/>
      <c r="AC1591" s="78"/>
      <c r="AD1591" s="78"/>
      <c r="AE1591" s="78"/>
      <c r="AF1591" s="78"/>
      <c r="AG1591" s="78"/>
      <c r="AH1591" s="78"/>
      <c r="AI1591" s="78"/>
      <c r="AJ1591" s="78"/>
    </row>
    <row r="1592" spans="1:36" x14ac:dyDescent="0.2">
      <c r="A1592" s="78"/>
      <c r="B1592" s="78"/>
      <c r="C1592" s="78"/>
      <c r="D1592" s="78"/>
      <c r="E1592" s="78"/>
      <c r="F1592" s="78"/>
      <c r="G1592" s="78"/>
      <c r="H1592" s="78"/>
      <c r="I1592" s="78"/>
      <c r="J1592" s="78"/>
      <c r="K1592" s="78"/>
      <c r="L1592" s="78"/>
      <c r="M1592" s="78"/>
      <c r="N1592" s="78"/>
      <c r="O1592" s="78"/>
      <c r="P1592" s="78"/>
      <c r="Q1592" s="78"/>
      <c r="R1592" s="78"/>
      <c r="S1592" s="78"/>
      <c r="T1592" s="78"/>
      <c r="U1592" s="78"/>
      <c r="V1592" s="78"/>
      <c r="W1592" s="78"/>
      <c r="X1592" s="78"/>
      <c r="Y1592" s="78"/>
      <c r="Z1592" s="78"/>
      <c r="AA1592" s="78"/>
      <c r="AB1592" s="78"/>
      <c r="AC1592" s="78"/>
      <c r="AD1592" s="78"/>
      <c r="AE1592" s="78"/>
      <c r="AF1592" s="78"/>
      <c r="AG1592" s="78"/>
      <c r="AH1592" s="78"/>
      <c r="AI1592" s="78"/>
      <c r="AJ1592" s="78"/>
    </row>
    <row r="1593" spans="1:36" x14ac:dyDescent="0.2">
      <c r="A1593" s="78"/>
      <c r="B1593" s="78"/>
      <c r="C1593" s="78"/>
      <c r="D1593" s="78"/>
      <c r="E1593" s="78"/>
      <c r="F1593" s="78"/>
      <c r="G1593" s="78"/>
      <c r="H1593" s="78"/>
      <c r="I1593" s="78"/>
      <c r="J1593" s="78"/>
      <c r="K1593" s="78"/>
      <c r="L1593" s="78"/>
      <c r="M1593" s="78"/>
      <c r="N1593" s="78"/>
      <c r="O1593" s="78"/>
      <c r="P1593" s="78"/>
      <c r="Q1593" s="78"/>
      <c r="R1593" s="78"/>
      <c r="S1593" s="78"/>
      <c r="T1593" s="78"/>
      <c r="U1593" s="78"/>
      <c r="V1593" s="78"/>
      <c r="W1593" s="78"/>
      <c r="X1593" s="78"/>
      <c r="Y1593" s="78"/>
      <c r="Z1593" s="78"/>
      <c r="AA1593" s="78"/>
      <c r="AB1593" s="78"/>
      <c r="AC1593" s="78"/>
      <c r="AD1593" s="78"/>
      <c r="AE1593" s="78"/>
      <c r="AF1593" s="78"/>
      <c r="AG1593" s="78"/>
      <c r="AH1593" s="78"/>
      <c r="AI1593" s="78"/>
      <c r="AJ1593" s="78"/>
    </row>
    <row r="1594" spans="1:36" x14ac:dyDescent="0.2">
      <c r="A1594" s="84"/>
      <c r="B1594" s="84"/>
      <c r="C1594" s="84"/>
      <c r="D1594" s="84"/>
      <c r="E1594" s="84"/>
      <c r="F1594" s="84"/>
      <c r="G1594" s="84"/>
      <c r="H1594" s="84"/>
      <c r="I1594" s="84"/>
      <c r="J1594" s="84"/>
      <c r="K1594" s="84"/>
      <c r="L1594" s="84"/>
      <c r="M1594" s="84"/>
      <c r="N1594" s="84"/>
      <c r="O1594" s="84"/>
      <c r="P1594" s="84"/>
      <c r="Q1594" s="84"/>
      <c r="R1594" s="84"/>
      <c r="S1594" s="84"/>
      <c r="T1594" s="84"/>
      <c r="U1594" s="84"/>
      <c r="V1594" s="84"/>
      <c r="W1594" s="84"/>
      <c r="X1594" s="84"/>
      <c r="Y1594" s="84"/>
      <c r="Z1594" s="84"/>
      <c r="AA1594" s="84"/>
      <c r="AB1594" s="84"/>
      <c r="AC1594" s="84"/>
      <c r="AD1594" s="84"/>
      <c r="AE1594" s="84"/>
      <c r="AF1594" s="84"/>
      <c r="AG1594" s="84"/>
      <c r="AH1594" s="84"/>
      <c r="AI1594" s="84"/>
      <c r="AJ1594" s="84"/>
    </row>
    <row r="1595" spans="1:36" x14ac:dyDescent="0.2">
      <c r="A1595" s="84"/>
      <c r="B1595" s="84"/>
      <c r="C1595" s="289" t="s">
        <v>709</v>
      </c>
      <c r="D1595" s="289"/>
      <c r="E1595" s="289"/>
      <c r="F1595" s="289"/>
      <c r="G1595" s="289"/>
      <c r="H1595" s="289"/>
      <c r="I1595" s="289"/>
      <c r="J1595" s="289"/>
      <c r="K1595" s="289"/>
      <c r="L1595" s="289"/>
      <c r="M1595" s="289"/>
      <c r="N1595" s="289"/>
      <c r="O1595" s="289"/>
      <c r="P1595" s="289"/>
      <c r="Q1595" s="289"/>
      <c r="R1595" s="289"/>
      <c r="S1595" s="289"/>
      <c r="T1595" s="289"/>
      <c r="U1595" s="289"/>
      <c r="V1595" s="289"/>
      <c r="W1595" s="289"/>
      <c r="X1595" s="289"/>
      <c r="Y1595" s="289"/>
      <c r="Z1595" s="289"/>
      <c r="AA1595" s="289"/>
      <c r="AB1595" s="289"/>
      <c r="AC1595" s="289"/>
      <c r="AD1595" s="289"/>
      <c r="AE1595" s="289"/>
      <c r="AF1595" s="289"/>
      <c r="AG1595" s="289"/>
      <c r="AH1595" s="289"/>
      <c r="AI1595" s="289"/>
      <c r="AJ1595" s="289"/>
    </row>
    <row r="1596" spans="1:36" x14ac:dyDescent="0.2">
      <c r="A1596" s="84"/>
      <c r="B1596" s="84"/>
      <c r="C1596" s="84"/>
      <c r="D1596" s="84"/>
      <c r="E1596" s="84"/>
      <c r="F1596" s="84"/>
      <c r="G1596" s="84"/>
      <c r="H1596" s="84"/>
      <c r="I1596" s="84"/>
      <c r="J1596" s="84"/>
      <c r="K1596" s="84"/>
      <c r="L1596" s="84"/>
      <c r="M1596" s="84"/>
      <c r="N1596" s="84"/>
      <c r="O1596" s="84"/>
      <c r="P1596" s="84"/>
      <c r="Q1596" s="84"/>
      <c r="R1596" s="84"/>
      <c r="S1596" s="84"/>
      <c r="T1596" s="84"/>
      <c r="U1596" s="84"/>
      <c r="V1596" s="84"/>
      <c r="W1596" s="84"/>
      <c r="X1596" s="84"/>
      <c r="Y1596" s="84"/>
      <c r="Z1596" s="84"/>
      <c r="AA1596" s="84"/>
      <c r="AB1596" s="84"/>
      <c r="AC1596" s="84"/>
      <c r="AD1596" s="84"/>
      <c r="AE1596" s="84"/>
      <c r="AF1596" s="84"/>
      <c r="AG1596" s="84"/>
      <c r="AH1596" s="84"/>
      <c r="AI1596" s="84"/>
      <c r="AJ1596" s="84"/>
    </row>
    <row r="1597" spans="1:36" x14ac:dyDescent="0.2">
      <c r="A1597" s="84"/>
      <c r="B1597" s="84"/>
      <c r="C1597" s="84"/>
      <c r="D1597" s="84"/>
      <c r="E1597" s="84"/>
      <c r="F1597" s="84"/>
      <c r="G1597" s="84"/>
      <c r="H1597" s="84"/>
      <c r="I1597" s="84"/>
      <c r="J1597" s="84"/>
      <c r="K1597" s="84"/>
      <c r="L1597" s="84"/>
      <c r="M1597" s="84"/>
      <c r="N1597" s="84"/>
      <c r="O1597" s="84"/>
      <c r="P1597" s="84"/>
      <c r="Q1597" s="84"/>
      <c r="R1597" s="84"/>
      <c r="S1597" s="84"/>
      <c r="T1597" s="84"/>
      <c r="U1597" s="84"/>
      <c r="V1597" s="84"/>
      <c r="W1597" s="84"/>
      <c r="X1597" s="84"/>
      <c r="Y1597" s="84"/>
      <c r="Z1597" s="84"/>
      <c r="AA1597" s="84"/>
      <c r="AB1597" s="84"/>
      <c r="AC1597" s="84"/>
      <c r="AD1597" s="84"/>
      <c r="AE1597" s="84"/>
      <c r="AF1597" s="84"/>
      <c r="AG1597" s="84"/>
      <c r="AH1597" s="84"/>
      <c r="AI1597" s="84"/>
      <c r="AJ1597" s="84"/>
    </row>
    <row r="1598" spans="1:36" x14ac:dyDescent="0.2">
      <c r="A1598" s="84"/>
      <c r="B1598" s="84"/>
      <c r="C1598" s="84"/>
      <c r="D1598" s="84"/>
      <c r="E1598" s="84"/>
      <c r="F1598" s="84"/>
      <c r="G1598" s="84"/>
      <c r="H1598" s="84"/>
      <c r="I1598" s="84"/>
      <c r="J1598" s="84"/>
      <c r="K1598" s="84"/>
      <c r="L1598" s="84"/>
      <c r="M1598" s="84"/>
      <c r="N1598" s="84"/>
      <c r="O1598" s="84"/>
      <c r="P1598" s="84"/>
      <c r="Q1598" s="84"/>
      <c r="R1598" s="84"/>
      <c r="S1598" s="84"/>
      <c r="T1598" s="84"/>
      <c r="U1598" s="84"/>
      <c r="V1598" s="84"/>
      <c r="W1598" s="84"/>
      <c r="X1598" s="84"/>
      <c r="Y1598" s="84"/>
      <c r="Z1598" s="84"/>
      <c r="AA1598" s="84"/>
      <c r="AB1598" s="84"/>
      <c r="AC1598" s="84"/>
      <c r="AD1598" s="84"/>
      <c r="AE1598" s="84"/>
      <c r="AF1598" s="84"/>
      <c r="AG1598" s="84"/>
      <c r="AH1598" s="84"/>
      <c r="AI1598" s="84"/>
      <c r="AJ1598" s="84"/>
    </row>
    <row r="1599" spans="1:36" x14ac:dyDescent="0.2">
      <c r="AJ1599" s="20"/>
    </row>
    <row r="1600" spans="1:36" x14ac:dyDescent="0.2">
      <c r="AJ1600" s="20"/>
    </row>
    <row r="1601" spans="36:36" x14ac:dyDescent="0.2">
      <c r="AJ1601" s="20"/>
    </row>
    <row r="1602" spans="36:36" x14ac:dyDescent="0.2">
      <c r="AJ1602" s="20"/>
    </row>
    <row r="1603" spans="36:36" x14ac:dyDescent="0.2">
      <c r="AJ1603" s="20"/>
    </row>
    <row r="1604" spans="36:36" x14ac:dyDescent="0.2">
      <c r="AJ1604" s="20"/>
    </row>
    <row r="1605" spans="36:36" x14ac:dyDescent="0.2">
      <c r="AJ1605" s="20"/>
    </row>
    <row r="1606" spans="36:36" x14ac:dyDescent="0.2">
      <c r="AJ1606" s="20"/>
    </row>
    <row r="1607" spans="36:36" x14ac:dyDescent="0.2">
      <c r="AJ1607" s="20"/>
    </row>
    <row r="1608" spans="36:36" x14ac:dyDescent="0.2">
      <c r="AJ1608" s="20"/>
    </row>
    <row r="1609" spans="36:36" x14ac:dyDescent="0.2">
      <c r="AJ1609" s="20"/>
    </row>
    <row r="1610" spans="36:36" x14ac:dyDescent="0.2">
      <c r="AJ1610" s="20"/>
    </row>
    <row r="1611" spans="36:36" x14ac:dyDescent="0.2">
      <c r="AJ1611" s="20"/>
    </row>
    <row r="1612" spans="36:36" x14ac:dyDescent="0.2">
      <c r="AJ1612" s="20"/>
    </row>
    <row r="1613" spans="36:36" x14ac:dyDescent="0.2">
      <c r="AJ1613" s="20"/>
    </row>
    <row r="1614" spans="36:36" x14ac:dyDescent="0.2">
      <c r="AJ1614" s="20"/>
    </row>
    <row r="1615" spans="36:36" x14ac:dyDescent="0.2">
      <c r="AJ1615" s="20"/>
    </row>
    <row r="1616" spans="36:36" x14ac:dyDescent="0.2">
      <c r="AJ1616" s="20"/>
    </row>
    <row r="1617" spans="36:36" x14ac:dyDescent="0.2">
      <c r="AJ1617" s="20"/>
    </row>
    <row r="1618" spans="36:36" x14ac:dyDescent="0.2">
      <c r="AJ1618" s="20"/>
    </row>
    <row r="1619" spans="36:36" x14ac:dyDescent="0.2">
      <c r="AJ1619" s="20"/>
    </row>
    <row r="1620" spans="36:36" x14ac:dyDescent="0.2">
      <c r="AJ1620" s="20"/>
    </row>
    <row r="1621" spans="36:36" x14ac:dyDescent="0.2">
      <c r="AJ1621" s="20"/>
    </row>
    <row r="1622" spans="36:36" x14ac:dyDescent="0.2">
      <c r="AJ1622" s="20"/>
    </row>
    <row r="1623" spans="36:36" x14ac:dyDescent="0.2">
      <c r="AJ1623" s="20"/>
    </row>
    <row r="1624" spans="36:36" x14ac:dyDescent="0.2">
      <c r="AJ1624" s="20"/>
    </row>
    <row r="1625" spans="36:36" x14ac:dyDescent="0.2">
      <c r="AJ1625" s="20"/>
    </row>
    <row r="1626" spans="36:36" x14ac:dyDescent="0.2">
      <c r="AJ1626" s="20"/>
    </row>
    <row r="1627" spans="36:36" x14ac:dyDescent="0.2">
      <c r="AJ1627" s="20"/>
    </row>
    <row r="1628" spans="36:36" x14ac:dyDescent="0.2">
      <c r="AJ1628" s="20"/>
    </row>
    <row r="1629" spans="36:36" x14ac:dyDescent="0.2">
      <c r="AJ1629" s="20"/>
    </row>
    <row r="1630" spans="36:36" x14ac:dyDescent="0.2">
      <c r="AJ1630" s="20"/>
    </row>
    <row r="1631" spans="36:36" x14ac:dyDescent="0.2">
      <c r="AJ1631" s="20"/>
    </row>
    <row r="1632" spans="36:36" x14ac:dyDescent="0.2">
      <c r="AJ1632" s="20"/>
    </row>
    <row r="1633" spans="36:36" x14ac:dyDescent="0.2">
      <c r="AJ1633" s="20"/>
    </row>
    <row r="1634" spans="36:36" x14ac:dyDescent="0.2">
      <c r="AJ1634" s="20"/>
    </row>
    <row r="1635" spans="36:36" x14ac:dyDescent="0.2">
      <c r="AJ1635" s="20"/>
    </row>
    <row r="1636" spans="36:36" x14ac:dyDescent="0.2">
      <c r="AJ1636" s="20"/>
    </row>
    <row r="1637" spans="36:36" x14ac:dyDescent="0.2">
      <c r="AJ1637" s="20"/>
    </row>
    <row r="1638" spans="36:36" x14ac:dyDescent="0.2">
      <c r="AJ1638" s="20"/>
    </row>
    <row r="1639" spans="36:36" x14ac:dyDescent="0.2">
      <c r="AJ1639" s="20"/>
    </row>
    <row r="1640" spans="36:36" x14ac:dyDescent="0.2">
      <c r="AJ1640" s="20"/>
    </row>
    <row r="1641" spans="36:36" x14ac:dyDescent="0.2">
      <c r="AJ1641" s="20"/>
    </row>
    <row r="1642" spans="36:36" x14ac:dyDescent="0.2">
      <c r="AJ1642" s="20"/>
    </row>
    <row r="1643" spans="36:36" x14ac:dyDescent="0.2">
      <c r="AJ1643" s="20"/>
    </row>
    <row r="1644" spans="36:36" x14ac:dyDescent="0.2">
      <c r="AJ1644" s="20"/>
    </row>
    <row r="1645" spans="36:36" x14ac:dyDescent="0.2">
      <c r="AJ1645" s="20"/>
    </row>
    <row r="1646" spans="36:36" x14ac:dyDescent="0.2">
      <c r="AJ1646" s="20"/>
    </row>
    <row r="1647" spans="36:36" x14ac:dyDescent="0.2">
      <c r="AJ1647" s="20"/>
    </row>
    <row r="1648" spans="36:36" x14ac:dyDescent="0.2">
      <c r="AJ1648" s="20"/>
    </row>
    <row r="1649" spans="36:36" x14ac:dyDescent="0.2">
      <c r="AJ1649" s="20"/>
    </row>
    <row r="1650" spans="36:36" x14ac:dyDescent="0.2">
      <c r="AJ1650" s="20"/>
    </row>
    <row r="1651" spans="36:36" x14ac:dyDescent="0.2">
      <c r="AJ1651" s="20"/>
    </row>
    <row r="1652" spans="36:36" x14ac:dyDescent="0.2">
      <c r="AJ1652" s="20"/>
    </row>
    <row r="1653" spans="36:36" x14ac:dyDescent="0.2">
      <c r="AJ1653" s="20"/>
    </row>
    <row r="1654" spans="36:36" x14ac:dyDescent="0.2">
      <c r="AJ1654" s="20"/>
    </row>
    <row r="1655" spans="36:36" x14ac:dyDescent="0.2">
      <c r="AJ1655" s="20"/>
    </row>
    <row r="1656" spans="36:36" x14ac:dyDescent="0.2">
      <c r="AJ1656" s="20"/>
    </row>
    <row r="1657" spans="36:36" x14ac:dyDescent="0.2">
      <c r="AJ1657" s="20"/>
    </row>
    <row r="1658" spans="36:36" x14ac:dyDescent="0.2">
      <c r="AJ1658" s="20"/>
    </row>
    <row r="1659" spans="36:36" x14ac:dyDescent="0.2">
      <c r="AJ1659" s="20"/>
    </row>
    <row r="1660" spans="36:36" x14ac:dyDescent="0.2">
      <c r="AJ1660" s="20"/>
    </row>
    <row r="1661" spans="36:36" x14ac:dyDescent="0.2">
      <c r="AJ1661" s="20"/>
    </row>
    <row r="1662" spans="36:36" x14ac:dyDescent="0.2">
      <c r="AJ1662" s="20"/>
    </row>
    <row r="1663" spans="36:36" x14ac:dyDescent="0.2">
      <c r="AJ1663" s="20"/>
    </row>
    <row r="1664" spans="36:36" x14ac:dyDescent="0.2">
      <c r="AJ1664" s="20"/>
    </row>
    <row r="1665" spans="36:36" x14ac:dyDescent="0.2">
      <c r="AJ1665" s="20"/>
    </row>
    <row r="1666" spans="36:36" x14ac:dyDescent="0.2">
      <c r="AJ1666" s="20"/>
    </row>
    <row r="1667" spans="36:36" x14ac:dyDescent="0.2">
      <c r="AJ1667" s="20"/>
    </row>
    <row r="1668" spans="36:36" x14ac:dyDescent="0.2">
      <c r="AJ1668" s="20"/>
    </row>
    <row r="1669" spans="36:36" x14ac:dyDescent="0.2">
      <c r="AJ1669" s="20"/>
    </row>
    <row r="1670" spans="36:36" x14ac:dyDescent="0.2">
      <c r="AJ1670" s="20"/>
    </row>
    <row r="1671" spans="36:36" x14ac:dyDescent="0.2">
      <c r="AJ1671" s="20"/>
    </row>
    <row r="1672" spans="36:36" x14ac:dyDescent="0.2">
      <c r="AJ1672" s="20"/>
    </row>
    <row r="1673" spans="36:36" x14ac:dyDescent="0.2">
      <c r="AJ1673" s="20"/>
    </row>
    <row r="1674" spans="36:36" x14ac:dyDescent="0.2">
      <c r="AJ1674" s="20"/>
    </row>
    <row r="1675" spans="36:36" x14ac:dyDescent="0.2">
      <c r="AJ1675" s="20"/>
    </row>
    <row r="1676" spans="36:36" x14ac:dyDescent="0.2">
      <c r="AJ1676" s="20"/>
    </row>
    <row r="1677" spans="36:36" x14ac:dyDescent="0.2">
      <c r="AJ1677" s="20"/>
    </row>
    <row r="1678" spans="36:36" x14ac:dyDescent="0.2">
      <c r="AJ1678" s="20"/>
    </row>
    <row r="1679" spans="36:36" x14ac:dyDescent="0.2">
      <c r="AJ1679" s="20"/>
    </row>
    <row r="1680" spans="36:36" x14ac:dyDescent="0.2">
      <c r="AJ1680" s="20"/>
    </row>
    <row r="1681" spans="36:36" x14ac:dyDescent="0.2">
      <c r="AJ1681" s="20"/>
    </row>
    <row r="1682" spans="36:36" x14ac:dyDescent="0.2">
      <c r="AJ1682" s="20"/>
    </row>
    <row r="1683" spans="36:36" x14ac:dyDescent="0.2">
      <c r="AJ1683" s="20"/>
    </row>
    <row r="1684" spans="36:36" x14ac:dyDescent="0.2">
      <c r="AJ1684" s="20"/>
    </row>
    <row r="1685" spans="36:36" x14ac:dyDescent="0.2">
      <c r="AJ1685" s="20"/>
    </row>
    <row r="1686" spans="36:36" x14ac:dyDescent="0.2">
      <c r="AJ1686" s="20"/>
    </row>
    <row r="1687" spans="36:36" x14ac:dyDescent="0.2">
      <c r="AJ1687" s="20"/>
    </row>
    <row r="1688" spans="36:36" x14ac:dyDescent="0.2">
      <c r="AJ1688" s="20"/>
    </row>
    <row r="1689" spans="36:36" x14ac:dyDescent="0.2">
      <c r="AJ1689" s="20"/>
    </row>
    <row r="1690" spans="36:36" x14ac:dyDescent="0.2">
      <c r="AJ1690" s="139"/>
    </row>
  </sheetData>
  <mergeCells count="486">
    <mergeCell ref="D10:AH10"/>
    <mergeCell ref="D1399:AI1399"/>
    <mergeCell ref="D1388:AI1388"/>
    <mergeCell ref="D1390:AI1390"/>
    <mergeCell ref="D1391:AI1391"/>
    <mergeCell ref="D1392:AI1392"/>
    <mergeCell ref="D1393:AI1393"/>
    <mergeCell ref="D1394:AI1394"/>
    <mergeCell ref="D1396:AI1396"/>
    <mergeCell ref="D1397:AI1397"/>
    <mergeCell ref="D1398:AI1398"/>
    <mergeCell ref="D1378:AI1378"/>
    <mergeCell ref="D1379:AI1379"/>
    <mergeCell ref="D1381:AI1381"/>
    <mergeCell ref="D1382:AI1382"/>
    <mergeCell ref="D1383:AI1383"/>
    <mergeCell ref="D1384:AI1384"/>
    <mergeCell ref="D1385:AI1385"/>
    <mergeCell ref="D1386:AI1386"/>
    <mergeCell ref="D1387:AI1387"/>
    <mergeCell ref="B1380:AJ1380"/>
    <mergeCell ref="D1368:AI1368"/>
    <mergeCell ref="D1369:AI1369"/>
    <mergeCell ref="D1370:AI1370"/>
    <mergeCell ref="D1372:AI1372"/>
    <mergeCell ref="D1373:AI1373"/>
    <mergeCell ref="D1374:AI1374"/>
    <mergeCell ref="D1375:AI1375"/>
    <mergeCell ref="D1376:AI1376"/>
    <mergeCell ref="D1377:AI1377"/>
    <mergeCell ref="B1371:AJ1371"/>
    <mergeCell ref="D1358:AI1358"/>
    <mergeCell ref="D1359:AI1359"/>
    <mergeCell ref="D1360:AI1360"/>
    <mergeCell ref="D1361:AI1361"/>
    <mergeCell ref="D1362:AI1362"/>
    <mergeCell ref="D1363:AI1363"/>
    <mergeCell ref="D1365:AI1365"/>
    <mergeCell ref="D1366:AI1366"/>
    <mergeCell ref="D1367:AI1367"/>
    <mergeCell ref="B1364:AJ1364"/>
    <mergeCell ref="D1349:AI1349"/>
    <mergeCell ref="D1350:AI1350"/>
    <mergeCell ref="D1351:AI1351"/>
    <mergeCell ref="D1352:AI1352"/>
    <mergeCell ref="D1353:AI1353"/>
    <mergeCell ref="D1354:AI1354"/>
    <mergeCell ref="D1355:AI1355"/>
    <mergeCell ref="D1356:AI1356"/>
    <mergeCell ref="D1357:AI1357"/>
    <mergeCell ref="D1341:AI1341"/>
    <mergeCell ref="D1342:AI1342"/>
    <mergeCell ref="D1343:AI1343"/>
    <mergeCell ref="D1344:AI1344"/>
    <mergeCell ref="D1345:AI1345"/>
    <mergeCell ref="D1346:AI1346"/>
    <mergeCell ref="D1347:AI1347"/>
    <mergeCell ref="D1348:AI1348"/>
    <mergeCell ref="D1331:AI1331"/>
    <mergeCell ref="D1332:AI1332"/>
    <mergeCell ref="D1333:AI1333"/>
    <mergeCell ref="D1334:AI1334"/>
    <mergeCell ref="D1335:AI1335"/>
    <mergeCell ref="D1336:AI1336"/>
    <mergeCell ref="D1337:AI1337"/>
    <mergeCell ref="D1338:AI1338"/>
    <mergeCell ref="D1339:AI1339"/>
    <mergeCell ref="B1340:AJ1340"/>
    <mergeCell ref="D1322:AI1322"/>
    <mergeCell ref="D1323:AI1323"/>
    <mergeCell ref="D1324:AI1324"/>
    <mergeCell ref="D1325:AI1325"/>
    <mergeCell ref="D1326:AI1326"/>
    <mergeCell ref="D1327:AI1327"/>
    <mergeCell ref="D1328:AI1328"/>
    <mergeCell ref="D1329:AI1329"/>
    <mergeCell ref="D1330:AI1330"/>
    <mergeCell ref="D1313:AI1313"/>
    <mergeCell ref="D1314:AI1314"/>
    <mergeCell ref="D1315:AI1315"/>
    <mergeCell ref="D1316:AI1316"/>
    <mergeCell ref="D1317:AI1317"/>
    <mergeCell ref="D1318:AI1318"/>
    <mergeCell ref="D1319:AI1319"/>
    <mergeCell ref="D1320:AI1320"/>
    <mergeCell ref="D1321:AI1321"/>
    <mergeCell ref="D1304:AI1304"/>
    <mergeCell ref="D1305:AI1305"/>
    <mergeCell ref="D1306:AI1306"/>
    <mergeCell ref="D1307:AI1307"/>
    <mergeCell ref="D1308:AI1308"/>
    <mergeCell ref="D1309:AI1309"/>
    <mergeCell ref="D1310:AI1310"/>
    <mergeCell ref="D1311:AI1311"/>
    <mergeCell ref="D1312:AI1312"/>
    <mergeCell ref="D1294:AI1294"/>
    <mergeCell ref="D1295:AI1295"/>
    <mergeCell ref="D1296:AI1296"/>
    <mergeCell ref="D1297:AI1297"/>
    <mergeCell ref="D1298:AI1298"/>
    <mergeCell ref="D1299:AI1299"/>
    <mergeCell ref="D1301:AI1301"/>
    <mergeCell ref="D1302:AI1302"/>
    <mergeCell ref="D1303:AI1303"/>
    <mergeCell ref="D1285:AI1285"/>
    <mergeCell ref="D1286:AI1286"/>
    <mergeCell ref="D1287:AI1287"/>
    <mergeCell ref="D1288:AI1288"/>
    <mergeCell ref="D1289:AI1289"/>
    <mergeCell ref="D1290:AI1290"/>
    <mergeCell ref="D1291:AI1291"/>
    <mergeCell ref="D1292:AI1292"/>
    <mergeCell ref="D1293:AI1293"/>
    <mergeCell ref="D1276:AI1276"/>
    <mergeCell ref="D1277:AI1277"/>
    <mergeCell ref="D1278:AI1278"/>
    <mergeCell ref="D1279:AI1279"/>
    <mergeCell ref="D1280:AI1280"/>
    <mergeCell ref="D1281:AI1281"/>
    <mergeCell ref="D1282:AI1282"/>
    <mergeCell ref="D1283:AI1283"/>
    <mergeCell ref="D1284:AI1284"/>
    <mergeCell ref="D1267:AI1267"/>
    <mergeCell ref="D1268:AI1268"/>
    <mergeCell ref="D1269:AI1269"/>
    <mergeCell ref="D1270:AI1270"/>
    <mergeCell ref="D1271:AI1271"/>
    <mergeCell ref="D1272:AI1272"/>
    <mergeCell ref="D1273:AI1273"/>
    <mergeCell ref="D1274:AI1274"/>
    <mergeCell ref="D1275:AI1275"/>
    <mergeCell ref="D1258:AI1258"/>
    <mergeCell ref="D1259:AI1259"/>
    <mergeCell ref="D1260:AI1260"/>
    <mergeCell ref="D1261:AI1261"/>
    <mergeCell ref="D1262:AI1262"/>
    <mergeCell ref="D1263:AI1263"/>
    <mergeCell ref="D1264:AI1264"/>
    <mergeCell ref="D1265:AI1265"/>
    <mergeCell ref="D1266:AI1266"/>
    <mergeCell ref="D1012:AI1012"/>
    <mergeCell ref="D1220:AI1220"/>
    <mergeCell ref="D1144:AJ1144"/>
    <mergeCell ref="D1121:AJ1121"/>
    <mergeCell ref="D1143:AI1143"/>
    <mergeCell ref="D1163:AI1163"/>
    <mergeCell ref="D1164:AI1164"/>
    <mergeCell ref="D1141:AI1141"/>
    <mergeCell ref="D1242:AI1242"/>
    <mergeCell ref="D1194:AJ1194"/>
    <mergeCell ref="D1213:AI1213"/>
    <mergeCell ref="D1214:AI1214"/>
    <mergeCell ref="D1215:AI1215"/>
    <mergeCell ref="B961:AJ961"/>
    <mergeCell ref="B965:AJ965"/>
    <mergeCell ref="D950:AI950"/>
    <mergeCell ref="D960:AI960"/>
    <mergeCell ref="D967:AJ967"/>
    <mergeCell ref="D974:AI974"/>
    <mergeCell ref="D975:AJ975"/>
    <mergeCell ref="D984:AI984"/>
    <mergeCell ref="D985:AI985"/>
    <mergeCell ref="D725:AJ725"/>
    <mergeCell ref="D745:AI745"/>
    <mergeCell ref="D755:AI755"/>
    <mergeCell ref="D799:AI799"/>
    <mergeCell ref="D804:AI804"/>
    <mergeCell ref="D809:AI809"/>
    <mergeCell ref="D818:AI818"/>
    <mergeCell ref="D756:AI756"/>
    <mergeCell ref="D757:AJ757"/>
    <mergeCell ref="D492:AI492"/>
    <mergeCell ref="D401:AI401"/>
    <mergeCell ref="D402:AI402"/>
    <mergeCell ref="D403:AI403"/>
    <mergeCell ref="D417:AI417"/>
    <mergeCell ref="D418:AI418"/>
    <mergeCell ref="D424:AI424"/>
    <mergeCell ref="D425:AI425"/>
    <mergeCell ref="D426:AI426"/>
    <mergeCell ref="D427:AI427"/>
    <mergeCell ref="D477:AI477"/>
    <mergeCell ref="D478:AI478"/>
    <mergeCell ref="D448:AH448"/>
    <mergeCell ref="B491:AJ491"/>
    <mergeCell ref="D445:AI445"/>
    <mergeCell ref="D446:AI446"/>
    <mergeCell ref="D451:AI451"/>
    <mergeCell ref="D436:AI436"/>
    <mergeCell ref="B437:AJ437"/>
    <mergeCell ref="D393:AI393"/>
    <mergeCell ref="D394:AI394"/>
    <mergeCell ref="D400:AI400"/>
    <mergeCell ref="D398:AH398"/>
    <mergeCell ref="D405:AI405"/>
    <mergeCell ref="D444:AH444"/>
    <mergeCell ref="D428:AI428"/>
    <mergeCell ref="D429:AI429"/>
    <mergeCell ref="D430:AI430"/>
    <mergeCell ref="D438:AI438"/>
    <mergeCell ref="D132:AI132"/>
    <mergeCell ref="D133:AI133"/>
    <mergeCell ref="D134:AI134"/>
    <mergeCell ref="D135:AI135"/>
    <mergeCell ref="D136:AI136"/>
    <mergeCell ref="D137:AI137"/>
    <mergeCell ref="D138:AI138"/>
    <mergeCell ref="D193:AH193"/>
    <mergeCell ref="D374:AH374"/>
    <mergeCell ref="B423:AJ423"/>
    <mergeCell ref="B327:AJ327"/>
    <mergeCell ref="B335:AJ335"/>
    <mergeCell ref="B337:AJ337"/>
    <mergeCell ref="D363:AH363"/>
    <mergeCell ref="D324:AI324"/>
    <mergeCell ref="D325:AI325"/>
    <mergeCell ref="D326:AI326"/>
    <mergeCell ref="D328:AI328"/>
    <mergeCell ref="D329:AI329"/>
    <mergeCell ref="D330:AI330"/>
    <mergeCell ref="D362:AH362"/>
    <mergeCell ref="D415:AI415"/>
    <mergeCell ref="D422:AI422"/>
    <mergeCell ref="D406:AI406"/>
    <mergeCell ref="D375:AI375"/>
    <mergeCell ref="D382:AH382"/>
    <mergeCell ref="D385:AH385"/>
    <mergeCell ref="D391:AH391"/>
    <mergeCell ref="D392:AH392"/>
    <mergeCell ref="D306:AI306"/>
    <mergeCell ref="D307:AI307"/>
    <mergeCell ref="D308:AI308"/>
    <mergeCell ref="D309:AI309"/>
    <mergeCell ref="D310:AI310"/>
    <mergeCell ref="D311:AI311"/>
    <mergeCell ref="D312:AI312"/>
    <mergeCell ref="B399:AJ399"/>
    <mergeCell ref="B416:AJ416"/>
    <mergeCell ref="D1425:AH1425"/>
    <mergeCell ref="D1430:AH1430"/>
    <mergeCell ref="D1435:AH1435"/>
    <mergeCell ref="D1441:AH1441"/>
    <mergeCell ref="D1446:AH1446"/>
    <mergeCell ref="D1451:AH1451"/>
    <mergeCell ref="D1456:AH1456"/>
    <mergeCell ref="D573:AI573"/>
    <mergeCell ref="D574:AJ574"/>
    <mergeCell ref="D605:AH605"/>
    <mergeCell ref="B1400:AJ1400"/>
    <mergeCell ref="D650:AH650"/>
    <mergeCell ref="D825:AI825"/>
    <mergeCell ref="D826:AI826"/>
    <mergeCell ref="D798:AI798"/>
    <mergeCell ref="D694:AI694"/>
    <mergeCell ref="D699:AI699"/>
    <mergeCell ref="D704:AI704"/>
    <mergeCell ref="D769:AI769"/>
    <mergeCell ref="D797:AI797"/>
    <mergeCell ref="D764:AJ764"/>
    <mergeCell ref="D766:AI766"/>
    <mergeCell ref="D767:AI767"/>
    <mergeCell ref="D723:AI723"/>
    <mergeCell ref="D537:AH537"/>
    <mergeCell ref="D638:AH638"/>
    <mergeCell ref="D642:AI642"/>
    <mergeCell ref="D572:AI572"/>
    <mergeCell ref="D545:AI545"/>
    <mergeCell ref="D546:AJ546"/>
    <mergeCell ref="D721:AI721"/>
    <mergeCell ref="D722:AI722"/>
    <mergeCell ref="D1420:AH1420"/>
    <mergeCell ref="D543:AH543"/>
    <mergeCell ref="D544:AH544"/>
    <mergeCell ref="D559:AH559"/>
    <mergeCell ref="D560:AH560"/>
    <mergeCell ref="D561:AH561"/>
    <mergeCell ref="D564:AH564"/>
    <mergeCell ref="D570:AH570"/>
    <mergeCell ref="D571:AH571"/>
    <mergeCell ref="D724:AI724"/>
    <mergeCell ref="D768:AI768"/>
    <mergeCell ref="D828:AI828"/>
    <mergeCell ref="D856:AI856"/>
    <mergeCell ref="D870:AI870"/>
    <mergeCell ref="D871:AI871"/>
    <mergeCell ref="D872:AI872"/>
    <mergeCell ref="D673:AJ673"/>
    <mergeCell ref="D606:AH606"/>
    <mergeCell ref="D615:AH615"/>
    <mergeCell ref="D616:AH616"/>
    <mergeCell ref="D643:AH643"/>
    <mergeCell ref="D649:AH649"/>
    <mergeCell ref="D484:AH484"/>
    <mergeCell ref="D485:AI485"/>
    <mergeCell ref="D490:AH490"/>
    <mergeCell ref="B494:AJ494"/>
    <mergeCell ref="D652:AJ652"/>
    <mergeCell ref="D661:AI661"/>
    <mergeCell ref="D662:AJ662"/>
    <mergeCell ref="D671:AI671"/>
    <mergeCell ref="D672:AI672"/>
    <mergeCell ref="D493:AI493"/>
    <mergeCell ref="D495:AI495"/>
    <mergeCell ref="D651:AI651"/>
    <mergeCell ref="D617:AI617"/>
    <mergeCell ref="D618:AI618"/>
    <mergeCell ref="D622:AH622"/>
    <mergeCell ref="D627:AI627"/>
    <mergeCell ref="D630:AH630"/>
    <mergeCell ref="D633:AI633"/>
    <mergeCell ref="D496:AJ496"/>
    <mergeCell ref="D527:AH527"/>
    <mergeCell ref="D528:AI528"/>
    <mergeCell ref="D534:AH534"/>
    <mergeCell ref="A1:AJ1"/>
    <mergeCell ref="B3:AJ3"/>
    <mergeCell ref="B7:AJ7"/>
    <mergeCell ref="B14:AJ14"/>
    <mergeCell ref="B97:AJ97"/>
    <mergeCell ref="B139:AJ139"/>
    <mergeCell ref="B305:AJ305"/>
    <mergeCell ref="B313:AJ313"/>
    <mergeCell ref="B323:AJ323"/>
    <mergeCell ref="B106:AH106"/>
    <mergeCell ref="D115:AH115"/>
    <mergeCell ref="D130:AH130"/>
    <mergeCell ref="D131:AH131"/>
    <mergeCell ref="B24:AH24"/>
    <mergeCell ref="D25:AH25"/>
    <mergeCell ref="D78:AH78"/>
    <mergeCell ref="D79:AH79"/>
    <mergeCell ref="D86:AH86"/>
    <mergeCell ref="D87:AH87"/>
    <mergeCell ref="D247:AH247"/>
    <mergeCell ref="D301:AH301"/>
    <mergeCell ref="D302:AI302"/>
    <mergeCell ref="D303:AI303"/>
    <mergeCell ref="D88:AI88"/>
    <mergeCell ref="D304:AI304"/>
    <mergeCell ref="D6:AI6"/>
    <mergeCell ref="A5:AJ5"/>
    <mergeCell ref="B2:AJ2"/>
    <mergeCell ref="D96:AI96"/>
    <mergeCell ref="M4:AI4"/>
    <mergeCell ref="D8:AI8"/>
    <mergeCell ref="D11:AI11"/>
    <mergeCell ref="D12:AI12"/>
    <mergeCell ref="D13:AI13"/>
    <mergeCell ref="D15:AI15"/>
    <mergeCell ref="D16:AI16"/>
    <mergeCell ref="D89:AI89"/>
    <mergeCell ref="D90:AI90"/>
    <mergeCell ref="D91:AI91"/>
    <mergeCell ref="D98:AI98"/>
    <mergeCell ref="D107:AI107"/>
    <mergeCell ref="D140:AI140"/>
    <mergeCell ref="D194:AI194"/>
    <mergeCell ref="D248:AI248"/>
    <mergeCell ref="D339:AH339"/>
    <mergeCell ref="D350:AH350"/>
    <mergeCell ref="D351:AH351"/>
    <mergeCell ref="D314:AI314"/>
    <mergeCell ref="D315:AI315"/>
    <mergeCell ref="D316:AI316"/>
    <mergeCell ref="D317:AI317"/>
    <mergeCell ref="D318:AI318"/>
    <mergeCell ref="D319:AI319"/>
    <mergeCell ref="D320:AI320"/>
    <mergeCell ref="D321:AI321"/>
    <mergeCell ref="D322:AI322"/>
    <mergeCell ref="D331:AI331"/>
    <mergeCell ref="D332:AI332"/>
    <mergeCell ref="D333:AI333"/>
    <mergeCell ref="D334:AI334"/>
    <mergeCell ref="D336:AI336"/>
    <mergeCell ref="D338:AI338"/>
    <mergeCell ref="D1031:AI1031"/>
    <mergeCell ref="D1032:AI1032"/>
    <mergeCell ref="D1142:AI1142"/>
    <mergeCell ref="D1131:AI1131"/>
    <mergeCell ref="D1132:AJ1132"/>
    <mergeCell ref="D1062:AI1062"/>
    <mergeCell ref="D1060:AI1060"/>
    <mergeCell ref="D1252:AI1252"/>
    <mergeCell ref="D1253:AI1253"/>
    <mergeCell ref="D1033:AJ1033"/>
    <mergeCell ref="D1117:AI1117"/>
    <mergeCell ref="D1091:AI1091"/>
    <mergeCell ref="D1118:AI1118"/>
    <mergeCell ref="D1119:AI1119"/>
    <mergeCell ref="D1061:AI1061"/>
    <mergeCell ref="D1241:AI1241"/>
    <mergeCell ref="D1250:AI1250"/>
    <mergeCell ref="D1243:AI1243"/>
    <mergeCell ref="D1254:AI1254"/>
    <mergeCell ref="D1255:AI1255"/>
    <mergeCell ref="D1256:AI1256"/>
    <mergeCell ref="D1257:AI1257"/>
    <mergeCell ref="D1170:AI1170"/>
    <mergeCell ref="D1175:AI1175"/>
    <mergeCell ref="D1184:AI1184"/>
    <mergeCell ref="D692:AI692"/>
    <mergeCell ref="D693:AI693"/>
    <mergeCell ref="D713:AI713"/>
    <mergeCell ref="D720:AI720"/>
    <mergeCell ref="D1191:AI1191"/>
    <mergeCell ref="D1192:AI1192"/>
    <mergeCell ref="D1067:AI1067"/>
    <mergeCell ref="D1072:AI1072"/>
    <mergeCell ref="D1081:AI1081"/>
    <mergeCell ref="D1088:AI1088"/>
    <mergeCell ref="D1089:AI1089"/>
    <mergeCell ref="D1090:AI1090"/>
    <mergeCell ref="D1041:AJ1041"/>
    <mergeCell ref="D1165:AI1165"/>
    <mergeCell ref="D951:AI951"/>
    <mergeCell ref="D957:AI957"/>
    <mergeCell ref="D1040:AI1040"/>
    <mergeCell ref="B1389:AJ1389"/>
    <mergeCell ref="B1395:AJ1395"/>
    <mergeCell ref="B1251:AJ1251"/>
    <mergeCell ref="B1300:AJ1300"/>
    <mergeCell ref="AH1538:AI1538"/>
    <mergeCell ref="C1539:E1540"/>
    <mergeCell ref="H1540:AN1540"/>
    <mergeCell ref="D958:AI958"/>
    <mergeCell ref="C1542:E1542"/>
    <mergeCell ref="D1225:AI1225"/>
    <mergeCell ref="D1234:AI1234"/>
    <mergeCell ref="H1542:AN1542"/>
    <mergeCell ref="B1401:H1401"/>
    <mergeCell ref="B1402:H1402"/>
    <mergeCell ref="D1120:AI1120"/>
    <mergeCell ref="D1193:AI1193"/>
    <mergeCell ref="C1541:E1541"/>
    <mergeCell ref="H1541:AN1541"/>
    <mergeCell ref="B1410:H1410"/>
    <mergeCell ref="B1436:H1436"/>
    <mergeCell ref="B1462:H1462"/>
    <mergeCell ref="B1488:H1488"/>
    <mergeCell ref="D1409:AH1409"/>
    <mergeCell ref="D1415:AH1415"/>
    <mergeCell ref="D1014:AJ1014"/>
    <mergeCell ref="D1021:AI1021"/>
    <mergeCell ref="D1022:AJ1022"/>
    <mergeCell ref="D763:AI763"/>
    <mergeCell ref="D746:AJ746"/>
    <mergeCell ref="D874:AI874"/>
    <mergeCell ref="D892:AI892"/>
    <mergeCell ref="D893:AI893"/>
    <mergeCell ref="D962:AI962"/>
    <mergeCell ref="D963:AI963"/>
    <mergeCell ref="D964:AI964"/>
    <mergeCell ref="D873:AI873"/>
    <mergeCell ref="B827:AJ827"/>
    <mergeCell ref="D869:AI869"/>
    <mergeCell ref="D855:AI855"/>
    <mergeCell ref="D966:AI966"/>
    <mergeCell ref="D986:AI986"/>
    <mergeCell ref="D1013:AI1013"/>
    <mergeCell ref="D891:AI891"/>
    <mergeCell ref="D890:AI890"/>
    <mergeCell ref="D909:AI909"/>
    <mergeCell ref="D910:AI910"/>
    <mergeCell ref="D938:AI938"/>
    <mergeCell ref="D937:AI937"/>
    <mergeCell ref="D1461:AH1461"/>
    <mergeCell ref="D1467:AH1467"/>
    <mergeCell ref="D1472:AH1472"/>
    <mergeCell ref="D1477:AH1477"/>
    <mergeCell ref="D1482:AH1482"/>
    <mergeCell ref="D1487:AH1487"/>
    <mergeCell ref="C1543:E1543"/>
    <mergeCell ref="H1543:AN1543"/>
    <mergeCell ref="C1595:AJ1595"/>
    <mergeCell ref="D1527:AH1527"/>
    <mergeCell ref="B1522:H1522"/>
    <mergeCell ref="D1500:AH1500"/>
    <mergeCell ref="D1504:AH1504"/>
    <mergeCell ref="B1505:H1505"/>
    <mergeCell ref="B1511:H1511"/>
    <mergeCell ref="D1510:AH1510"/>
    <mergeCell ref="D1516:AH1516"/>
    <mergeCell ref="D1521:AH1521"/>
    <mergeCell ref="D1492:AH1492"/>
    <mergeCell ref="D1496:AH1496"/>
  </mergeCells>
  <phoneticPr fontId="2" type="noConversion"/>
  <pageMargins left="0.96" right="0.77" top="0" bottom="0.13" header="0" footer="0.14000000000000001"/>
  <pageSetup paperSize="9" scale="40" fitToHeight="0" orientation="landscape" r:id="rId1"/>
  <rowBreaks count="2" manualBreakCount="2">
    <brk id="1271" max="35" man="1"/>
    <brk id="1360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REPROGRAMAÇÃO</vt:lpstr>
      <vt:lpstr>MEMORIAL</vt:lpstr>
      <vt:lpstr>MEMORIAL!Area_de_impressao</vt:lpstr>
      <vt:lpstr>REPROGRAMAÇÃO!Area_de_impressao</vt:lpstr>
      <vt:lpstr>MEMORIAL!JR_PAGE_ANCHOR_0_1</vt:lpstr>
      <vt:lpstr>REPROGRAMAÇÃO!JR_PAGE_ANCHOR_0_1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Ivanio formiga</dc:creator>
  <cp:lastModifiedBy>JONIO SILVA</cp:lastModifiedBy>
  <cp:lastPrinted>2026-05-25T13:05:13Z</cp:lastPrinted>
  <dcterms:created xsi:type="dcterms:W3CDTF">2023-12-19T14:18:58Z</dcterms:created>
  <dcterms:modified xsi:type="dcterms:W3CDTF">2026-06-10T17:52:13Z</dcterms:modified>
</cp:coreProperties>
</file>