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docs\obras-arquivos\"/>
    </mc:Choice>
  </mc:AlternateContent>
  <xr:revisionPtr revIDLastSave="0" documentId="13_ncr:1_{D918EB44-CEC1-4865-BC60-B474020E1BE8}" xr6:coauthVersionLast="47" xr6:coauthVersionMax="47" xr10:uidLastSave="{00000000-0000-0000-0000-000000000000}"/>
  <bookViews>
    <workbookView xWindow="-108" yWindow="-108" windowWidth="23256" windowHeight="12456" xr2:uid="{72B2B929-4AC3-4F94-90DA-D90B6998E1FC}"/>
  </bookViews>
  <sheets>
    <sheet name="ESCOLA 6 SALAS (PRIMEIRA ETAPA)" sheetId="1" r:id="rId1"/>
    <sheet name="ESCOLA 6 SALAS (SEGUNDA ETAPA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0" i="2" l="1"/>
  <c r="F30" i="2"/>
  <c r="F29" i="2"/>
  <c r="F32" i="1"/>
  <c r="K30" i="1"/>
  <c r="K31" i="1"/>
  <c r="K32" i="1" s="1"/>
  <c r="F31" i="1"/>
  <c r="K29" i="1"/>
  <c r="F30" i="1"/>
  <c r="F29" i="1"/>
  <c r="K29" i="2" l="1"/>
</calcChain>
</file>

<file path=xl/sharedStrings.xml><?xml version="1.0" encoding="utf-8"?>
<sst xmlns="http://schemas.openxmlformats.org/spreadsheetml/2006/main" count="193" uniqueCount="101">
  <si>
    <t>DADOS GERAIS</t>
  </si>
  <si>
    <t>Contratação direta do terceiro colocado na Tomada de Preços nº 004/2022, para prestação de serviços de engenharia complementar para conclusão da construção de uma Unidade Escolar de 06 (seis) salas de aula para o município de Coremas-PB, conforme planilhas orçamentárias de custos (Convênio com Estado da Paraíba CV n (199/2021).</t>
  </si>
  <si>
    <t>ESCOLA 6 SALAS (PRIMEIRA ETAPA)</t>
  </si>
  <si>
    <t>DETALHES DA LICITAÇÃO</t>
  </si>
  <si>
    <t>Número da Licitação</t>
  </si>
  <si>
    <t>Modalidade</t>
  </si>
  <si>
    <t>Data de Homologação</t>
  </si>
  <si>
    <t>Valor Homologado</t>
  </si>
  <si>
    <t>00004/2022</t>
  </si>
  <si>
    <t>Tomada de Preços (Lei Nº 8.666/1993)</t>
  </si>
  <si>
    <t>Fonte de Recursos:</t>
  </si>
  <si>
    <t>Valor Estimado</t>
  </si>
  <si>
    <t>DADOS DO CONTRATO</t>
  </si>
  <si>
    <t>Data do Contrato</t>
  </si>
  <si>
    <t>Valor do Total Contratado</t>
  </si>
  <si>
    <t>Início da Vigência</t>
  </si>
  <si>
    <t>Fim da Vigência</t>
  </si>
  <si>
    <t>ADITIVOS AO CONTRATO</t>
  </si>
  <si>
    <t>Primeiro Aditivo</t>
  </si>
  <si>
    <t>Segundo Aditivo</t>
  </si>
  <si>
    <t>Aditivo de prazo: 31/12/2023, a 31/12/2024</t>
  </si>
  <si>
    <t>Número do Contrato</t>
  </si>
  <si>
    <t>10004/2023</t>
  </si>
  <si>
    <t>RESCISÃO CONTRATUAL</t>
  </si>
  <si>
    <t xml:space="preserve">Rescisão unilateral do contrato 10004/2023 </t>
  </si>
  <si>
    <t xml:space="preserve">Obra sem avanço significativo o ano inteiro, estando quase abandonada sem funcionários e sem material para execução dos serviços. </t>
  </si>
  <si>
    <t>Contratante: Prefeitura Municipal de Coremas</t>
  </si>
  <si>
    <t>DETALHES DO CONVÊNIO</t>
  </si>
  <si>
    <t>Motivo da Rescisão</t>
  </si>
  <si>
    <t>Objeto</t>
  </si>
  <si>
    <t>Responsável pela Rescisão</t>
  </si>
  <si>
    <t>Data de Rescisão</t>
  </si>
  <si>
    <t>Situação</t>
  </si>
  <si>
    <t>Objeto do Convênio</t>
  </si>
  <si>
    <t>Órgão Superior</t>
  </si>
  <si>
    <t>Concedente</t>
  </si>
  <si>
    <t>Convenente</t>
  </si>
  <si>
    <t>Valor Convênio</t>
  </si>
  <si>
    <t>DETALHES DOS ADITIVOS - CONVÊNIO</t>
  </si>
  <si>
    <t>Número do Convênio</t>
  </si>
  <si>
    <t>Nº</t>
  </si>
  <si>
    <t>Instrumento</t>
  </si>
  <si>
    <t>Data início</t>
  </si>
  <si>
    <t>Data termino</t>
  </si>
  <si>
    <t>Valor Conc.</t>
  </si>
  <si>
    <t>Valor Conv.</t>
  </si>
  <si>
    <t>Valor Total</t>
  </si>
  <si>
    <t>Termo Aditivo de Vigência</t>
  </si>
  <si>
    <t>DADOS DA EMPRESA VENCEDORA</t>
  </si>
  <si>
    <t>CNPJ</t>
  </si>
  <si>
    <t>Endereço</t>
  </si>
  <si>
    <t>Nome</t>
  </si>
  <si>
    <t>CONSTRUTORA J. GALDINO LTDA</t>
  </si>
  <si>
    <t>20.227.311/0001-03</t>
  </si>
  <si>
    <t>Rua Juvino de Oliveira, Nº 108 Bairro: Centro, CEP Nº 56.700-000, Cidade: São José do Egito/PE</t>
  </si>
  <si>
    <t>Valor Liberado*</t>
  </si>
  <si>
    <t>Publicação</t>
  </si>
  <si>
    <t>Valor Contrapartida</t>
  </si>
  <si>
    <t>01 - Próprios do Município de Coremas (Diversos: 1500.101 – MDE)
02 - Próprios do Município de Coremas (Ordinários: 1540 – FUNDEB
03 - Convenio com o Estado da Paraíba nº 0199/2021 (Ordinários 1571 - Transferências do Estado referentes a Convénios e Instrumentos Congéneres vinculados á Educação)</t>
  </si>
  <si>
    <t>0199/2021</t>
  </si>
  <si>
    <t>Vigente</t>
  </si>
  <si>
    <t>Construção de Escolas</t>
  </si>
  <si>
    <t>Governo do Estado da Paraíba</t>
  </si>
  <si>
    <t>Secretaria de Estado da Educação</t>
  </si>
  <si>
    <t>Prefeitura Municipal de Coremas</t>
  </si>
  <si>
    <t>R$ 1.252.370,60 (100%)</t>
  </si>
  <si>
    <t xml:space="preserve">Socio Proprietario </t>
  </si>
  <si>
    <t>Sr. Johnes Rennys Galdino da Silva</t>
  </si>
  <si>
    <t>E-mail</t>
  </si>
  <si>
    <t>construtorajgaldino@gmail.com.</t>
  </si>
  <si>
    <t>Telefone:</t>
  </si>
  <si>
    <t>(83) 9 9941-2389</t>
  </si>
  <si>
    <t>MEDIÇÕES</t>
  </si>
  <si>
    <t>PEDIDO</t>
  </si>
  <si>
    <t>PAGO</t>
  </si>
  <si>
    <t>Nº MEDIÇÃO</t>
  </si>
  <si>
    <t>VALOR</t>
  </si>
  <si>
    <t>PERIODO</t>
  </si>
  <si>
    <t>01</t>
  </si>
  <si>
    <t>03</t>
  </si>
  <si>
    <t>02</t>
  </si>
  <si>
    <t>04</t>
  </si>
  <si>
    <t xml:space="preserve">11/04/2023 a 02/08/2023 </t>
  </si>
  <si>
    <t>03/08/2023 a 14/09/2023</t>
  </si>
  <si>
    <t>15/09/2023 a 13/06/2024</t>
  </si>
  <si>
    <t>14/06/2024 a 16/10/2024</t>
  </si>
  <si>
    <t>VALOR ACUMULADO</t>
  </si>
  <si>
    <t>O valor total passará de R$ 1.039.467,57 para R$ 1.249.356,45</t>
  </si>
  <si>
    <t>Aditivo de valor: Acréscimo de Valor –  01/09/2023 -</t>
  </si>
  <si>
    <t>-</t>
  </si>
  <si>
    <t>ESCOLA 6 SALAS (SEGUNDA ETAPA) (EM EDIÇÃO)</t>
  </si>
  <si>
    <t>20001/2025</t>
  </si>
  <si>
    <t>Dispensa (Lei Nº 8.666/1993)</t>
  </si>
  <si>
    <t>JHONATAN ANDRADE DA SILVA LTDA</t>
  </si>
  <si>
    <t>34.955.075/0001-48</t>
  </si>
  <si>
    <t>Av. Raimundo Bernardo da Silva, N° 92, Bairro: Linha de Ferro, CEP; 58.770-000, Cidade: Coremas-PB</t>
  </si>
  <si>
    <t>Jhonatan Andrade da Silva</t>
  </si>
  <si>
    <t>11044/2025</t>
  </si>
  <si>
    <t>Aditivo de prazo: 03/09/2026, a 03/09/2027</t>
  </si>
  <si>
    <t xml:space="preserve">03/11/2025 a 11/12/2025 </t>
  </si>
  <si>
    <t>12/12/2025 a 06/10/2026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</si>
</sst>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201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Border="1"/>
    <xf numFmtId="0" fontId="1" fillId="3" borderId="0" xfId="0" applyFont="1" applyFill="1" applyBorder="1" applyAlignment="1">
      <alignment horizontal="center" vertical="center" wrapText="1"/>
    </xf>
    <xf numFmtId="0" fontId="0" fillId="3" borderId="0" xfId="0" applyFill="1"/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164" fontId="1" fillId="0" borderId="13" xfId="0" applyNumberFormat="1" applyFont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" xfId="2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3" borderId="0" xfId="0" applyFont="1" applyFill="1" applyBorder="1" applyAlignment="1"/>
    <xf numFmtId="0" fontId="5" fillId="3" borderId="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2" fillId="5" borderId="44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42" xfId="0" applyNumberFormat="1" applyFont="1" applyBorder="1" applyAlignment="1">
      <alignment horizontal="center" vertical="center"/>
    </xf>
    <xf numFmtId="0" fontId="2" fillId="5" borderId="45" xfId="0" applyFont="1" applyFill="1" applyBorder="1" applyAlignment="1">
      <alignment horizontal="center" vertical="center"/>
    </xf>
    <xf numFmtId="0" fontId="2" fillId="5" borderId="46" xfId="0" applyFont="1" applyFill="1" applyBorder="1" applyAlignment="1">
      <alignment horizontal="center" vertical="center"/>
    </xf>
    <xf numFmtId="0" fontId="2" fillId="5" borderId="47" xfId="0" applyFont="1" applyFill="1" applyBorder="1" applyAlignment="1">
      <alignment horizontal="center" vertical="center"/>
    </xf>
    <xf numFmtId="0" fontId="5" fillId="3" borderId="0" xfId="0" applyFont="1" applyFill="1"/>
    <xf numFmtId="164" fontId="1" fillId="0" borderId="2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left" vertical="center" wrapText="1"/>
    </xf>
    <xf numFmtId="9" fontId="1" fillId="0" borderId="13" xfId="3" applyFont="1" applyBorder="1" applyAlignment="1">
      <alignment horizontal="center" vertical="center"/>
    </xf>
    <xf numFmtId="9" fontId="1" fillId="0" borderId="17" xfId="3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vertical="center"/>
    </xf>
    <xf numFmtId="9" fontId="1" fillId="0" borderId="2" xfId="3" applyFont="1" applyBorder="1" applyAlignment="1">
      <alignment horizontal="center" vertical="center"/>
    </xf>
    <xf numFmtId="9" fontId="1" fillId="0" borderId="26" xfId="3" applyFont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1" fillId="0" borderId="51" xfId="0" applyFont="1" applyBorder="1" applyAlignment="1">
      <alignment horizontal="center" vertical="center"/>
    </xf>
    <xf numFmtId="14" fontId="1" fillId="0" borderId="49" xfId="0" applyNumberFormat="1" applyFont="1" applyBorder="1" applyAlignment="1">
      <alignment horizontal="center" vertical="center"/>
    </xf>
    <xf numFmtId="164" fontId="1" fillId="0" borderId="49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5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3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3" borderId="39" xfId="0" applyFont="1" applyFill="1" applyBorder="1" applyAlignment="1">
      <alignment horizontal="right" wrapText="1"/>
    </xf>
    <xf numFmtId="0" fontId="1" fillId="3" borderId="36" xfId="0" applyFont="1" applyFill="1" applyBorder="1" applyAlignment="1">
      <alignment horizontal="right" wrapText="1"/>
    </xf>
    <xf numFmtId="0" fontId="1" fillId="0" borderId="49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44" xfId="0" applyFont="1" applyFill="1" applyBorder="1" applyAlignment="1">
      <alignment horizontal="center" vertical="center"/>
    </xf>
    <xf numFmtId="0" fontId="7" fillId="5" borderId="4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44" xfId="0" applyFont="1" applyFill="1" applyBorder="1" applyAlignment="1">
      <alignment horizontal="center" vertical="center"/>
    </xf>
    <xf numFmtId="0" fontId="8" fillId="4" borderId="48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38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wrapText="1"/>
    </xf>
    <xf numFmtId="14" fontId="1" fillId="0" borderId="2" xfId="0" applyNumberFormat="1" applyFont="1" applyBorder="1" applyAlignment="1">
      <alignment horizontal="center" wrapText="1"/>
    </xf>
    <xf numFmtId="14" fontId="1" fillId="0" borderId="13" xfId="0" applyNumberFormat="1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1" fillId="0" borderId="2" xfId="0" applyNumberFormat="1" applyFont="1" applyBorder="1" applyAlignment="1">
      <alignment horizontal="center" wrapText="1"/>
    </xf>
    <xf numFmtId="164" fontId="1" fillId="0" borderId="13" xfId="0" applyNumberFormat="1" applyFont="1" applyBorder="1" applyAlignment="1">
      <alignment horizontal="center" wrapText="1"/>
    </xf>
    <xf numFmtId="14" fontId="1" fillId="0" borderId="16" xfId="0" applyNumberFormat="1" applyFont="1" applyBorder="1" applyAlignment="1">
      <alignment horizontal="center" wrapText="1"/>
    </xf>
    <xf numFmtId="14" fontId="1" fillId="0" borderId="26" xfId="0" applyNumberFormat="1" applyFont="1" applyBorder="1" applyAlignment="1">
      <alignment horizontal="center" wrapText="1"/>
    </xf>
    <xf numFmtId="14" fontId="1" fillId="0" borderId="17" xfId="0" applyNumberFormat="1" applyFont="1" applyBorder="1" applyAlignment="1">
      <alignment horizontal="center" wrapText="1"/>
    </xf>
    <xf numFmtId="0" fontId="7" fillId="5" borderId="18" xfId="0" applyFont="1" applyFill="1" applyBorder="1" applyAlignment="1">
      <alignment horizontal="center" vertical="center"/>
    </xf>
    <xf numFmtId="0" fontId="7" fillId="5" borderId="43" xfId="0" applyFont="1" applyFill="1" applyBorder="1" applyAlignment="1">
      <alignment horizontal="center" vertical="center"/>
    </xf>
    <xf numFmtId="0" fontId="7" fillId="5" borderId="24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1" fillId="0" borderId="16" xfId="0" applyNumberFormat="1" applyFont="1" applyFill="1" applyBorder="1" applyAlignment="1">
      <alignment horizontal="center" vertical="center" wrapText="1"/>
    </xf>
    <xf numFmtId="164" fontId="1" fillId="0" borderId="17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 wrapText="1"/>
    </xf>
    <xf numFmtId="164" fontId="1" fillId="0" borderId="13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3" xfId="0" applyNumberFormat="1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0" fontId="8" fillId="4" borderId="1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4" fontId="5" fillId="3" borderId="0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7" fillId="5" borderId="3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top" wrapText="1"/>
    </xf>
    <xf numFmtId="0" fontId="1" fillId="3" borderId="49" xfId="0" applyFont="1" applyFill="1" applyBorder="1" applyAlignment="1">
      <alignment horizontal="center" wrapText="1"/>
    </xf>
    <xf numFmtId="0" fontId="1" fillId="3" borderId="23" xfId="0" applyFont="1" applyFill="1" applyBorder="1" applyAlignment="1">
      <alignment horizontal="center" wrapText="1"/>
    </xf>
    <xf numFmtId="0" fontId="2" fillId="0" borderId="25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</cellXfs>
  <cellStyles count="4">
    <cellStyle name="Hiperlink" xfId="1" builtinId="8"/>
    <cellStyle name="Moeda" xfId="2" builtinId="4"/>
    <cellStyle name="Normal" xfId="0" builtinId="0"/>
    <cellStyle name="Porcentagem" xfId="3" builtinId="5"/>
  </cellStyles>
  <dxfs count="0"/>
  <tableStyles count="0" defaultTableStyle="TableStyleMedium2" defaultPivotStyle="PivotStyleLight16"/>
  <colors>
    <mruColors>
      <color rgb="FF047857"/>
      <color rgb="FFD1FA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trutorajgaldino@gmail.com.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F2A9-96FB-42B8-91CC-2A3FD45728B9}">
  <dimension ref="A1:AL52"/>
  <sheetViews>
    <sheetView tabSelected="1" topLeftCell="F3" zoomScale="73" zoomScaleNormal="85" workbookViewId="0">
      <selection activeCell="M29" sqref="M29"/>
    </sheetView>
  </sheetViews>
  <sheetFormatPr defaultRowHeight="14.4" x14ac:dyDescent="0.3"/>
  <cols>
    <col min="2" max="3" width="15.77734375" customWidth="1"/>
    <col min="4" max="6" width="35.77734375" customWidth="1"/>
    <col min="7" max="8" width="15.77734375" customWidth="1"/>
    <col min="9" max="11" width="25.77734375" customWidth="1"/>
    <col min="13" max="13" width="10.77734375" customWidth="1"/>
    <col min="14" max="17" width="15.77734375" customWidth="1"/>
    <col min="18" max="18" width="13.88671875" bestFit="1" customWidth="1"/>
    <col min="19" max="20" width="15.77734375" customWidth="1"/>
  </cols>
  <sheetData>
    <row r="1" spans="1:38" ht="15" thickBo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21" x14ac:dyDescent="0.3">
      <c r="A2" s="4"/>
      <c r="B2" s="105" t="s">
        <v>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7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40.799999999999997" customHeight="1" thickBot="1" x14ac:dyDescent="0.35">
      <c r="A3" s="2"/>
      <c r="B3" s="118" t="s">
        <v>1</v>
      </c>
      <c r="C3" s="119"/>
      <c r="D3" s="119"/>
      <c r="E3" s="119"/>
      <c r="F3" s="119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1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5.6" customHeight="1" thickBot="1" x14ac:dyDescent="0.3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ht="30" customHeight="1" thickBot="1" x14ac:dyDescent="0.35">
      <c r="A5" s="4"/>
      <c r="B5" s="114" t="s">
        <v>3</v>
      </c>
      <c r="C5" s="115"/>
      <c r="D5" s="115"/>
      <c r="E5" s="115"/>
      <c r="F5" s="115"/>
      <c r="G5" s="115"/>
      <c r="H5" s="115"/>
      <c r="I5" s="115"/>
      <c r="J5" s="116"/>
      <c r="K5" s="117"/>
      <c r="L5" s="19"/>
      <c r="M5" s="111" t="s">
        <v>27</v>
      </c>
      <c r="N5" s="112"/>
      <c r="O5" s="112"/>
      <c r="P5" s="112"/>
      <c r="Q5" s="112"/>
      <c r="R5" s="112"/>
      <c r="S5" s="112"/>
      <c r="T5" s="113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s="1" customFormat="1" ht="15" customHeight="1" thickBot="1" x14ac:dyDescent="0.35">
      <c r="A6" s="18"/>
      <c r="B6" s="133" t="s">
        <v>0</v>
      </c>
      <c r="C6" s="134"/>
      <c r="D6" s="134"/>
      <c r="E6" s="135"/>
      <c r="F6" s="135"/>
      <c r="G6" s="133" t="s">
        <v>12</v>
      </c>
      <c r="H6" s="134"/>
      <c r="I6" s="134"/>
      <c r="J6" s="135"/>
      <c r="K6" s="136"/>
      <c r="L6" s="20"/>
      <c r="M6" s="93" t="s">
        <v>39</v>
      </c>
      <c r="N6" s="94"/>
      <c r="O6" s="169" t="s">
        <v>59</v>
      </c>
      <c r="P6" s="169"/>
      <c r="Q6" s="161" t="s">
        <v>37</v>
      </c>
      <c r="R6" s="161"/>
      <c r="S6" s="163">
        <v>1252370.6000000001</v>
      </c>
      <c r="T6" s="164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</row>
    <row r="7" spans="1:38" s="1" customFormat="1" ht="15" customHeight="1" thickBot="1" x14ac:dyDescent="0.35">
      <c r="A7" s="18"/>
      <c r="B7" s="137"/>
      <c r="C7" s="138"/>
      <c r="D7" s="138"/>
      <c r="E7" s="139"/>
      <c r="F7" s="139"/>
      <c r="G7" s="137"/>
      <c r="H7" s="138"/>
      <c r="I7" s="138"/>
      <c r="J7" s="139"/>
      <c r="K7" s="140"/>
      <c r="L7" s="20"/>
      <c r="M7" s="93" t="s">
        <v>32</v>
      </c>
      <c r="N7" s="160"/>
      <c r="O7" s="199" t="s">
        <v>60</v>
      </c>
      <c r="P7" s="200"/>
      <c r="Q7" s="162" t="s">
        <v>55</v>
      </c>
      <c r="R7" s="94"/>
      <c r="S7" s="163" t="s">
        <v>65</v>
      </c>
      <c r="T7" s="164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5" customHeight="1" x14ac:dyDescent="0.3">
      <c r="A8" s="4"/>
      <c r="B8" s="82" t="s">
        <v>4</v>
      </c>
      <c r="C8" s="83"/>
      <c r="D8" s="97" t="s">
        <v>8</v>
      </c>
      <c r="E8" s="98"/>
      <c r="F8" s="98"/>
      <c r="G8" s="82" t="s">
        <v>21</v>
      </c>
      <c r="H8" s="83"/>
      <c r="I8" s="141" t="s">
        <v>22</v>
      </c>
      <c r="J8" s="142"/>
      <c r="K8" s="143"/>
      <c r="L8" s="19"/>
      <c r="M8" s="93" t="s">
        <v>33</v>
      </c>
      <c r="N8" s="94"/>
      <c r="O8" s="170" t="s">
        <v>61</v>
      </c>
      <c r="P8" s="170"/>
      <c r="Q8" s="94" t="s">
        <v>56</v>
      </c>
      <c r="R8" s="94"/>
      <c r="S8" s="165">
        <v>44517</v>
      </c>
      <c r="T8" s="166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ht="15" customHeight="1" x14ac:dyDescent="0.3">
      <c r="A9" s="4"/>
      <c r="B9" s="84" t="s">
        <v>5</v>
      </c>
      <c r="C9" s="85"/>
      <c r="D9" s="99" t="s">
        <v>9</v>
      </c>
      <c r="E9" s="100"/>
      <c r="F9" s="100"/>
      <c r="G9" s="84" t="s">
        <v>13</v>
      </c>
      <c r="H9" s="85"/>
      <c r="I9" s="144">
        <v>45027</v>
      </c>
      <c r="J9" s="145"/>
      <c r="K9" s="146"/>
      <c r="L9" s="19"/>
      <c r="M9" s="93" t="s">
        <v>34</v>
      </c>
      <c r="N9" s="94"/>
      <c r="O9" s="171" t="s">
        <v>62</v>
      </c>
      <c r="P9" s="171"/>
      <c r="Q9" s="94" t="s">
        <v>15</v>
      </c>
      <c r="R9" s="94"/>
      <c r="S9" s="165">
        <v>44511</v>
      </c>
      <c r="T9" s="166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 ht="15" customHeight="1" x14ac:dyDescent="0.3">
      <c r="A10" s="4"/>
      <c r="B10" s="84" t="s">
        <v>6</v>
      </c>
      <c r="C10" s="85"/>
      <c r="D10" s="126">
        <v>44980</v>
      </c>
      <c r="E10" s="127"/>
      <c r="F10" s="127"/>
      <c r="G10" s="84" t="s">
        <v>14</v>
      </c>
      <c r="H10" s="85"/>
      <c r="I10" s="147">
        <v>1039467.57</v>
      </c>
      <c r="J10" s="148"/>
      <c r="K10" s="149"/>
      <c r="L10" s="19"/>
      <c r="M10" s="93" t="s">
        <v>35</v>
      </c>
      <c r="N10" s="94"/>
      <c r="O10" s="171" t="s">
        <v>63</v>
      </c>
      <c r="P10" s="171"/>
      <c r="Q10" s="94" t="s">
        <v>16</v>
      </c>
      <c r="R10" s="94"/>
      <c r="S10" s="165">
        <v>44895</v>
      </c>
      <c r="T10" s="166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 ht="15" customHeight="1" thickBot="1" x14ac:dyDescent="0.35">
      <c r="A11" s="4"/>
      <c r="B11" s="84" t="s">
        <v>7</v>
      </c>
      <c r="C11" s="85"/>
      <c r="D11" s="128">
        <v>1039467.57</v>
      </c>
      <c r="E11" s="129"/>
      <c r="F11" s="129"/>
      <c r="G11" s="84" t="s">
        <v>15</v>
      </c>
      <c r="H11" s="85"/>
      <c r="I11" s="144">
        <v>45027</v>
      </c>
      <c r="J11" s="145"/>
      <c r="K11" s="146"/>
      <c r="L11" s="19"/>
      <c r="M11" s="95" t="s">
        <v>36</v>
      </c>
      <c r="N11" s="96"/>
      <c r="O11" s="172" t="s">
        <v>64</v>
      </c>
      <c r="P11" s="172"/>
      <c r="Q11" s="96" t="s">
        <v>57</v>
      </c>
      <c r="R11" s="96"/>
      <c r="S11" s="158">
        <v>0</v>
      </c>
      <c r="T11" s="159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 ht="15" customHeight="1" thickBot="1" x14ac:dyDescent="0.35">
      <c r="A12" s="4"/>
      <c r="B12" s="84" t="s">
        <v>11</v>
      </c>
      <c r="C12" s="85"/>
      <c r="D12" s="128">
        <v>1252370</v>
      </c>
      <c r="E12" s="129"/>
      <c r="F12" s="129"/>
      <c r="G12" s="86" t="s">
        <v>16</v>
      </c>
      <c r="H12" s="87"/>
      <c r="I12" s="150">
        <v>45291</v>
      </c>
      <c r="J12" s="151"/>
      <c r="K12" s="152"/>
      <c r="L12" s="19"/>
      <c r="M12" s="8" t="s">
        <v>38</v>
      </c>
      <c r="N12" s="8"/>
      <c r="O12" s="8"/>
      <c r="P12" s="8"/>
      <c r="Q12" s="8"/>
      <c r="R12" s="8"/>
      <c r="S12" s="8"/>
      <c r="T12" s="8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 ht="15" customHeight="1" thickBot="1" x14ac:dyDescent="0.35">
      <c r="A13" s="4"/>
      <c r="B13" s="122" t="s">
        <v>10</v>
      </c>
      <c r="C13" s="123"/>
      <c r="D13" s="130" t="s">
        <v>58</v>
      </c>
      <c r="E13" s="131"/>
      <c r="F13" s="131"/>
      <c r="G13" s="108" t="s">
        <v>17</v>
      </c>
      <c r="H13" s="109"/>
      <c r="I13" s="153"/>
      <c r="J13" s="154"/>
      <c r="K13" s="155"/>
      <c r="L13" s="30"/>
      <c r="M13" s="175" t="s">
        <v>38</v>
      </c>
      <c r="N13" s="176"/>
      <c r="O13" s="176"/>
      <c r="P13" s="176"/>
      <c r="Q13" s="176"/>
      <c r="R13" s="176"/>
      <c r="S13" s="176"/>
      <c r="T13" s="177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ht="15" customHeight="1" x14ac:dyDescent="0.3">
      <c r="A14" s="4"/>
      <c r="B14" s="122"/>
      <c r="C14" s="123"/>
      <c r="D14" s="130"/>
      <c r="E14" s="131"/>
      <c r="F14" s="131"/>
      <c r="G14" s="82" t="s">
        <v>18</v>
      </c>
      <c r="H14" s="156"/>
      <c r="I14" s="62" t="s">
        <v>88</v>
      </c>
      <c r="J14" s="63"/>
      <c r="K14" s="32">
        <v>209888.88</v>
      </c>
      <c r="L14" s="30"/>
      <c r="M14" s="10" t="s">
        <v>40</v>
      </c>
      <c r="N14" s="173" t="s">
        <v>41</v>
      </c>
      <c r="O14" s="174"/>
      <c r="P14" s="7" t="s">
        <v>42</v>
      </c>
      <c r="Q14" s="7" t="s">
        <v>43</v>
      </c>
      <c r="R14" s="7" t="s">
        <v>44</v>
      </c>
      <c r="S14" s="7" t="s">
        <v>45</v>
      </c>
      <c r="T14" s="11" t="s">
        <v>46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ht="15" customHeight="1" x14ac:dyDescent="0.3">
      <c r="A15" s="4"/>
      <c r="B15" s="122"/>
      <c r="C15" s="123"/>
      <c r="D15" s="130"/>
      <c r="E15" s="131"/>
      <c r="F15" s="131"/>
      <c r="G15" s="84"/>
      <c r="H15" s="157"/>
      <c r="I15" s="56" t="s">
        <v>87</v>
      </c>
      <c r="J15" s="57"/>
      <c r="K15" s="58"/>
      <c r="L15" s="30"/>
      <c r="M15" s="12">
        <v>1</v>
      </c>
      <c r="N15" s="99" t="s">
        <v>47</v>
      </c>
      <c r="O15" s="99"/>
      <c r="P15" s="5">
        <v>44895</v>
      </c>
      <c r="Q15" s="5">
        <v>45107</v>
      </c>
      <c r="R15" s="6">
        <v>0</v>
      </c>
      <c r="S15" s="6">
        <v>0</v>
      </c>
      <c r="T15" s="9"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ht="15" customHeight="1" x14ac:dyDescent="0.3">
      <c r="A16" s="4"/>
      <c r="B16" s="122"/>
      <c r="C16" s="123"/>
      <c r="D16" s="130"/>
      <c r="E16" s="131"/>
      <c r="F16" s="131"/>
      <c r="G16" s="84"/>
      <c r="H16" s="157"/>
      <c r="I16" s="59"/>
      <c r="J16" s="60"/>
      <c r="K16" s="61"/>
      <c r="L16" s="30"/>
      <c r="M16" s="12">
        <v>2</v>
      </c>
      <c r="N16" s="99" t="s">
        <v>47</v>
      </c>
      <c r="O16" s="99"/>
      <c r="P16" s="5">
        <v>45107</v>
      </c>
      <c r="Q16" s="5">
        <v>45473</v>
      </c>
      <c r="R16" s="6">
        <v>0</v>
      </c>
      <c r="S16" s="6">
        <v>0</v>
      </c>
      <c r="T16" s="9"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t="15" customHeight="1" thickBot="1" x14ac:dyDescent="0.35">
      <c r="A17" s="4"/>
      <c r="B17" s="124"/>
      <c r="C17" s="125"/>
      <c r="D17" s="120"/>
      <c r="E17" s="132"/>
      <c r="F17" s="132"/>
      <c r="G17" s="86" t="s">
        <v>19</v>
      </c>
      <c r="H17" s="87"/>
      <c r="I17" s="64" t="s">
        <v>20</v>
      </c>
      <c r="J17" s="65"/>
      <c r="K17" s="66"/>
      <c r="L17" s="30"/>
      <c r="M17" s="12">
        <v>3</v>
      </c>
      <c r="N17" s="99" t="s">
        <v>47</v>
      </c>
      <c r="O17" s="99"/>
      <c r="P17" s="5">
        <v>45473</v>
      </c>
      <c r="Q17" s="5">
        <v>45838</v>
      </c>
      <c r="R17" s="6">
        <v>0</v>
      </c>
      <c r="S17" s="6">
        <v>0</v>
      </c>
      <c r="T17" s="9">
        <v>0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t="19.95" customHeight="1" thickBot="1" x14ac:dyDescent="0.35">
      <c r="A18" s="4"/>
      <c r="B18" s="108" t="s">
        <v>48</v>
      </c>
      <c r="C18" s="109"/>
      <c r="D18" s="109"/>
      <c r="E18" s="110"/>
      <c r="F18" s="110"/>
      <c r="G18" s="53" t="s">
        <v>23</v>
      </c>
      <c r="H18" s="54"/>
      <c r="I18" s="54"/>
      <c r="J18" s="54"/>
      <c r="K18" s="55"/>
      <c r="L18" s="30"/>
      <c r="M18" s="13">
        <v>4</v>
      </c>
      <c r="N18" s="167" t="s">
        <v>47</v>
      </c>
      <c r="O18" s="168"/>
      <c r="P18" s="14">
        <v>45838</v>
      </c>
      <c r="Q18" s="14">
        <v>46203</v>
      </c>
      <c r="R18" s="15">
        <v>0</v>
      </c>
      <c r="S18" s="15">
        <v>0</v>
      </c>
      <c r="T18" s="16">
        <v>0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ht="14.4" customHeight="1" x14ac:dyDescent="0.3">
      <c r="A19" s="4"/>
      <c r="B19" s="82" t="s">
        <v>51</v>
      </c>
      <c r="C19" s="83"/>
      <c r="D19" s="97" t="s">
        <v>52</v>
      </c>
      <c r="E19" s="98"/>
      <c r="F19" s="98"/>
      <c r="G19" s="91" t="s">
        <v>29</v>
      </c>
      <c r="H19" s="92"/>
      <c r="I19" s="67" t="s">
        <v>24</v>
      </c>
      <c r="J19" s="68"/>
      <c r="K19" s="69"/>
      <c r="L19" s="30"/>
      <c r="M19" s="30"/>
      <c r="N19" s="30"/>
      <c r="O19" s="30"/>
      <c r="P19" s="30"/>
      <c r="Q19" s="30"/>
      <c r="R19" s="30"/>
      <c r="S19" s="30"/>
      <c r="T19" s="30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x14ac:dyDescent="0.3">
      <c r="A20" s="4"/>
      <c r="B20" s="84" t="s">
        <v>49</v>
      </c>
      <c r="C20" s="85"/>
      <c r="D20" s="99" t="s">
        <v>53</v>
      </c>
      <c r="E20" s="100"/>
      <c r="F20" s="100"/>
      <c r="G20" s="93" t="s">
        <v>31</v>
      </c>
      <c r="H20" s="94"/>
      <c r="I20" s="70">
        <v>45636</v>
      </c>
      <c r="J20" s="71"/>
      <c r="K20" s="72"/>
      <c r="L20" s="30"/>
      <c r="M20" s="30"/>
      <c r="N20" s="30"/>
      <c r="O20" s="30"/>
      <c r="P20" s="30"/>
      <c r="Q20" s="30"/>
      <c r="R20" s="30"/>
      <c r="S20" s="30"/>
      <c r="T20" s="30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x14ac:dyDescent="0.3">
      <c r="A21" s="4"/>
      <c r="B21" s="84" t="s">
        <v>50</v>
      </c>
      <c r="C21" s="85"/>
      <c r="D21" s="99" t="s">
        <v>54</v>
      </c>
      <c r="E21" s="100"/>
      <c r="F21" s="100"/>
      <c r="G21" s="93" t="s">
        <v>30</v>
      </c>
      <c r="H21" s="94"/>
      <c r="I21" s="73" t="s">
        <v>26</v>
      </c>
      <c r="J21" s="74"/>
      <c r="K21" s="75"/>
      <c r="L21" s="30"/>
      <c r="M21" s="30"/>
      <c r="N21" s="30"/>
      <c r="O21" s="30"/>
      <c r="P21" s="30"/>
      <c r="Q21" s="30"/>
      <c r="R21" s="30"/>
      <c r="S21" s="30"/>
      <c r="T21" s="30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ht="15" customHeight="1" x14ac:dyDescent="0.3">
      <c r="A22" s="4"/>
      <c r="B22" s="84" t="s">
        <v>66</v>
      </c>
      <c r="C22" s="85"/>
      <c r="D22" s="76" t="s">
        <v>67</v>
      </c>
      <c r="E22" s="77"/>
      <c r="F22" s="77"/>
      <c r="G22" s="93" t="s">
        <v>28</v>
      </c>
      <c r="H22" s="94"/>
      <c r="I22" s="76" t="s">
        <v>25</v>
      </c>
      <c r="J22" s="77"/>
      <c r="K22" s="78"/>
      <c r="L22" s="30"/>
      <c r="M22" s="30"/>
      <c r="N22" s="30"/>
      <c r="O22" s="30"/>
      <c r="P22" s="30"/>
      <c r="Q22" s="30"/>
      <c r="R22" s="30"/>
      <c r="S22" s="30"/>
      <c r="T22" s="30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ht="15" customHeight="1" x14ac:dyDescent="0.3">
      <c r="A23" s="4"/>
      <c r="B23" s="84" t="s">
        <v>68</v>
      </c>
      <c r="C23" s="85"/>
      <c r="D23" s="101" t="s">
        <v>69</v>
      </c>
      <c r="E23" s="102"/>
      <c r="F23" s="102"/>
      <c r="G23" s="93"/>
      <c r="H23" s="94"/>
      <c r="I23" s="76"/>
      <c r="J23" s="77"/>
      <c r="K23" s="78"/>
      <c r="L23" s="30"/>
      <c r="M23" s="30"/>
      <c r="N23" s="30"/>
      <c r="O23" s="30"/>
      <c r="P23" s="30"/>
      <c r="Q23" s="30"/>
      <c r="R23" s="30"/>
      <c r="S23" s="30"/>
      <c r="T23" s="30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ht="15" customHeight="1" thickBot="1" x14ac:dyDescent="0.35">
      <c r="A24" s="4"/>
      <c r="B24" s="86" t="s">
        <v>70</v>
      </c>
      <c r="C24" s="87"/>
      <c r="D24" s="103" t="s">
        <v>71</v>
      </c>
      <c r="E24" s="104"/>
      <c r="F24" s="104"/>
      <c r="G24" s="95"/>
      <c r="H24" s="96"/>
      <c r="I24" s="79"/>
      <c r="J24" s="80"/>
      <c r="K24" s="81"/>
      <c r="L24" s="30"/>
      <c r="M24" s="30"/>
      <c r="N24" s="30"/>
      <c r="O24" s="30"/>
      <c r="P24" s="30"/>
      <c r="Q24" s="30"/>
      <c r="R24" s="30"/>
      <c r="S24" s="30"/>
      <c r="T24" s="3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ht="15" thickBot="1" x14ac:dyDescent="0.35">
      <c r="A25" s="4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ht="16.2" customHeight="1" x14ac:dyDescent="0.3">
      <c r="A26" s="4"/>
      <c r="B26" s="47" t="s">
        <v>72</v>
      </c>
      <c r="C26" s="48"/>
      <c r="D26" s="48"/>
      <c r="E26" s="48"/>
      <c r="F26" s="48"/>
      <c r="G26" s="48"/>
      <c r="H26" s="48"/>
      <c r="I26" s="48"/>
      <c r="J26" s="48"/>
      <c r="K26" s="49"/>
      <c r="L26" s="30"/>
      <c r="M26" s="30"/>
      <c r="N26" s="30"/>
      <c r="O26" s="30"/>
      <c r="P26" s="30"/>
      <c r="Q26" s="30"/>
      <c r="R26" s="30"/>
      <c r="S26" s="30"/>
      <c r="T26" s="3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ht="14.4" customHeight="1" thickBot="1" x14ac:dyDescent="0.35">
      <c r="A27" s="4"/>
      <c r="B27" s="50"/>
      <c r="C27" s="51"/>
      <c r="D27" s="51"/>
      <c r="E27" s="51"/>
      <c r="F27" s="51"/>
      <c r="G27" s="51"/>
      <c r="H27" s="51"/>
      <c r="I27" s="51"/>
      <c r="J27" s="51"/>
      <c r="K27" s="52"/>
      <c r="L27" s="30"/>
      <c r="M27" s="30"/>
      <c r="N27" s="30"/>
      <c r="O27" s="30"/>
      <c r="P27" s="30"/>
      <c r="Q27" s="30"/>
      <c r="R27" s="30"/>
      <c r="S27" s="30"/>
      <c r="T27" s="3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ht="30" customHeight="1" thickBot="1" x14ac:dyDescent="0.35">
      <c r="A28" s="4"/>
      <c r="B28" s="36"/>
      <c r="C28" s="35" t="s">
        <v>75</v>
      </c>
      <c r="D28" s="23" t="s">
        <v>73</v>
      </c>
      <c r="E28" s="23" t="s">
        <v>74</v>
      </c>
      <c r="F28" s="24" t="s">
        <v>86</v>
      </c>
      <c r="G28" s="39"/>
      <c r="H28" s="35" t="s">
        <v>75</v>
      </c>
      <c r="I28" s="23" t="s">
        <v>73</v>
      </c>
      <c r="J28" s="23" t="s">
        <v>74</v>
      </c>
      <c r="K28" s="24" t="s">
        <v>86</v>
      </c>
      <c r="L28" s="30"/>
      <c r="M28" s="30"/>
      <c r="N28" s="30"/>
      <c r="O28" s="30"/>
      <c r="P28" s="30"/>
      <c r="Q28" s="30"/>
      <c r="R28" s="30"/>
      <c r="S28" s="30"/>
      <c r="T28" s="3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ht="19.95" customHeight="1" x14ac:dyDescent="0.3">
      <c r="A29" s="4"/>
      <c r="B29" s="27" t="s">
        <v>76</v>
      </c>
      <c r="C29" s="88" t="s">
        <v>78</v>
      </c>
      <c r="D29" s="22">
        <v>129615.41</v>
      </c>
      <c r="E29" s="22">
        <v>129615.41</v>
      </c>
      <c r="F29" s="26">
        <f>E29</f>
        <v>129615.41</v>
      </c>
      <c r="G29" s="27" t="s">
        <v>76</v>
      </c>
      <c r="H29" s="88" t="s">
        <v>80</v>
      </c>
      <c r="I29" s="22">
        <v>245805.27</v>
      </c>
      <c r="J29" s="22">
        <v>245805.27</v>
      </c>
      <c r="K29" s="25">
        <f>J29+F29</f>
        <v>375420.68</v>
      </c>
      <c r="L29" s="30"/>
      <c r="M29" s="30"/>
      <c r="N29" s="30"/>
      <c r="O29" s="30"/>
      <c r="P29" s="30"/>
      <c r="Q29" s="30"/>
      <c r="R29" s="30"/>
      <c r="S29" s="30"/>
      <c r="T29" s="3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ht="19.95" customHeight="1" x14ac:dyDescent="0.3">
      <c r="A30" s="4"/>
      <c r="B30" s="28" t="s">
        <v>77</v>
      </c>
      <c r="C30" s="89"/>
      <c r="D30" s="5" t="s">
        <v>82</v>
      </c>
      <c r="E30" s="5">
        <v>45147</v>
      </c>
      <c r="F30" s="37">
        <f>F29/(D11+K14)</f>
        <v>0.1037457404570169</v>
      </c>
      <c r="G30" s="28" t="s">
        <v>77</v>
      </c>
      <c r="H30" s="89"/>
      <c r="I30" s="5" t="s">
        <v>83</v>
      </c>
      <c r="J30" s="5">
        <v>45184</v>
      </c>
      <c r="K30" s="33">
        <f>K29/(D11+K14)</f>
        <v>0.30049124891459117</v>
      </c>
      <c r="L30" s="30"/>
      <c r="M30" s="30"/>
      <c r="N30" s="30"/>
      <c r="O30" s="30"/>
      <c r="P30" s="30"/>
      <c r="Q30" s="30"/>
      <c r="R30" s="30"/>
      <c r="S30" s="30"/>
      <c r="T30" s="3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ht="19.95" customHeight="1" x14ac:dyDescent="0.3">
      <c r="A31" s="4"/>
      <c r="B31" s="28" t="s">
        <v>76</v>
      </c>
      <c r="C31" s="89" t="s">
        <v>79</v>
      </c>
      <c r="D31" s="6">
        <v>248853.99</v>
      </c>
      <c r="E31" s="17">
        <v>248853.99</v>
      </c>
      <c r="F31" s="31">
        <f>E31+K29</f>
        <v>624274.66999999993</v>
      </c>
      <c r="G31" s="28" t="s">
        <v>76</v>
      </c>
      <c r="H31" s="89" t="s">
        <v>81</v>
      </c>
      <c r="I31" s="6">
        <v>167525.47</v>
      </c>
      <c r="J31" s="6">
        <v>167525.47</v>
      </c>
      <c r="K31" s="9">
        <f>J31+F31</f>
        <v>791800.1399999999</v>
      </c>
      <c r="L31" s="30"/>
      <c r="M31" s="30"/>
      <c r="N31" s="30"/>
      <c r="O31" s="30"/>
      <c r="P31" s="30"/>
      <c r="Q31" s="30"/>
      <c r="R31" s="30"/>
      <c r="S31" s="30"/>
      <c r="T31" s="3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ht="19.95" customHeight="1" thickBot="1" x14ac:dyDescent="0.35">
      <c r="A32" s="4"/>
      <c r="B32" s="29" t="s">
        <v>77</v>
      </c>
      <c r="C32" s="90"/>
      <c r="D32" s="14" t="s">
        <v>84</v>
      </c>
      <c r="E32" s="14">
        <v>45463</v>
      </c>
      <c r="F32" s="38">
        <f>F31/(D11+K14)</f>
        <v>0.49967698970137781</v>
      </c>
      <c r="G32" s="29" t="s">
        <v>77</v>
      </c>
      <c r="H32" s="90"/>
      <c r="I32" s="21" t="s">
        <v>85</v>
      </c>
      <c r="J32" s="14">
        <v>45581</v>
      </c>
      <c r="K32" s="34">
        <f>K31/(D11+K14)</f>
        <v>0.63376640029352704</v>
      </c>
      <c r="L32" s="30"/>
      <c r="M32" s="30"/>
      <c r="N32" s="30"/>
      <c r="O32" s="30"/>
      <c r="P32" s="30"/>
      <c r="Q32" s="30"/>
      <c r="R32" s="30"/>
      <c r="S32" s="30"/>
      <c r="T32" s="30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x14ac:dyDescent="0.3">
      <c r="A33" s="4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</sheetData>
  <mergeCells count="91">
    <mergeCell ref="S10:T10"/>
    <mergeCell ref="N18:O18"/>
    <mergeCell ref="O6:P6"/>
    <mergeCell ref="O7:P7"/>
    <mergeCell ref="O8:P8"/>
    <mergeCell ref="O9:P9"/>
    <mergeCell ref="O10:P10"/>
    <mergeCell ref="O11:P11"/>
    <mergeCell ref="N15:O15"/>
    <mergeCell ref="N16:O16"/>
    <mergeCell ref="N17:O17"/>
    <mergeCell ref="M8:N8"/>
    <mergeCell ref="M9:N9"/>
    <mergeCell ref="M10:N10"/>
    <mergeCell ref="N14:O14"/>
    <mergeCell ref="M13:T13"/>
    <mergeCell ref="G13:K13"/>
    <mergeCell ref="G14:H16"/>
    <mergeCell ref="S11:T11"/>
    <mergeCell ref="Q11:R11"/>
    <mergeCell ref="M6:N6"/>
    <mergeCell ref="M7:N7"/>
    <mergeCell ref="M11:N11"/>
    <mergeCell ref="Q6:R6"/>
    <mergeCell ref="Q7:R7"/>
    <mergeCell ref="Q8:R8"/>
    <mergeCell ref="Q9:R9"/>
    <mergeCell ref="Q10:R10"/>
    <mergeCell ref="S6:T6"/>
    <mergeCell ref="S7:T7"/>
    <mergeCell ref="S8:T8"/>
    <mergeCell ref="S9:T9"/>
    <mergeCell ref="B6:F7"/>
    <mergeCell ref="G11:H11"/>
    <mergeCell ref="G12:H12"/>
    <mergeCell ref="I8:K8"/>
    <mergeCell ref="I9:K9"/>
    <mergeCell ref="I10:K10"/>
    <mergeCell ref="I11:K11"/>
    <mergeCell ref="I12:K12"/>
    <mergeCell ref="B12:C12"/>
    <mergeCell ref="B11:C11"/>
    <mergeCell ref="B10:C10"/>
    <mergeCell ref="B9:C9"/>
    <mergeCell ref="B8:C8"/>
    <mergeCell ref="B2:T2"/>
    <mergeCell ref="B18:F18"/>
    <mergeCell ref="M5:T5"/>
    <mergeCell ref="B5:K5"/>
    <mergeCell ref="B3:T3"/>
    <mergeCell ref="B13:C17"/>
    <mergeCell ref="D8:F8"/>
    <mergeCell ref="D9:F9"/>
    <mergeCell ref="D10:F10"/>
    <mergeCell ref="D11:F11"/>
    <mergeCell ref="D12:F12"/>
    <mergeCell ref="D13:F17"/>
    <mergeCell ref="G6:K7"/>
    <mergeCell ref="G8:H8"/>
    <mergeCell ref="G9:H9"/>
    <mergeCell ref="G10:H10"/>
    <mergeCell ref="H29:H30"/>
    <mergeCell ref="C31:C32"/>
    <mergeCell ref="H31:H32"/>
    <mergeCell ref="C29:C30"/>
    <mergeCell ref="G17:H17"/>
    <mergeCell ref="G19:H19"/>
    <mergeCell ref="G20:H20"/>
    <mergeCell ref="G21:H21"/>
    <mergeCell ref="G22:H24"/>
    <mergeCell ref="D19:F19"/>
    <mergeCell ref="D20:F20"/>
    <mergeCell ref="D21:F21"/>
    <mergeCell ref="D22:F22"/>
    <mergeCell ref="D23:F23"/>
    <mergeCell ref="D24:F24"/>
    <mergeCell ref="B20:C20"/>
    <mergeCell ref="B26:K27"/>
    <mergeCell ref="G18:K18"/>
    <mergeCell ref="I15:K16"/>
    <mergeCell ref="I14:J14"/>
    <mergeCell ref="I17:K17"/>
    <mergeCell ref="I19:K19"/>
    <mergeCell ref="I20:K20"/>
    <mergeCell ref="I21:K21"/>
    <mergeCell ref="I22:K24"/>
    <mergeCell ref="B19:C19"/>
    <mergeCell ref="B21:C21"/>
    <mergeCell ref="B22:C22"/>
    <mergeCell ref="B23:C23"/>
    <mergeCell ref="B24:C24"/>
  </mergeCells>
  <hyperlinks>
    <hyperlink ref="D23" r:id="rId1" xr:uid="{0D2747F7-C52E-468D-BF9E-59F0D80A3C0A}"/>
  </hyperlinks>
  <pageMargins left="0.511811024" right="0.511811024" top="0.78740157499999996" bottom="0.78740157499999996" header="0.31496062000000002" footer="0.31496062000000002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7FD75-1F5A-480F-B95D-86DA8D50285E}">
  <dimension ref="A1:AL50"/>
  <sheetViews>
    <sheetView topLeftCell="F4" zoomScale="73" zoomScaleNormal="85" workbookViewId="0">
      <selection activeCell="O7" sqref="O7:P7"/>
    </sheetView>
  </sheetViews>
  <sheetFormatPr defaultRowHeight="14.4" x14ac:dyDescent="0.3"/>
  <cols>
    <col min="2" max="3" width="15.77734375" customWidth="1"/>
    <col min="4" max="6" width="35.77734375" customWidth="1"/>
    <col min="7" max="8" width="15.77734375" customWidth="1"/>
    <col min="9" max="11" width="25.77734375" customWidth="1"/>
    <col min="13" max="13" width="10.77734375" customWidth="1"/>
    <col min="14" max="17" width="15.77734375" customWidth="1"/>
    <col min="18" max="18" width="13.88671875" bestFit="1" customWidth="1"/>
    <col min="19" max="20" width="15.77734375" customWidth="1"/>
  </cols>
  <sheetData>
    <row r="1" spans="1:38" ht="15" thickBot="1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21" x14ac:dyDescent="0.3">
      <c r="A2" s="4"/>
      <c r="B2" s="105" t="s">
        <v>90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7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40.799999999999997" customHeight="1" thickBot="1" x14ac:dyDescent="0.35">
      <c r="A3" s="2"/>
      <c r="B3" s="118" t="s">
        <v>1</v>
      </c>
      <c r="C3" s="119"/>
      <c r="D3" s="119"/>
      <c r="E3" s="119"/>
      <c r="F3" s="119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1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 spans="1:38" ht="15.6" customHeight="1" thickBot="1" x14ac:dyDescent="0.3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</row>
    <row r="5" spans="1:38" ht="30" customHeight="1" thickBot="1" x14ac:dyDescent="0.35">
      <c r="A5" s="4"/>
      <c r="B5" s="114" t="s">
        <v>3</v>
      </c>
      <c r="C5" s="115"/>
      <c r="D5" s="115"/>
      <c r="E5" s="115"/>
      <c r="F5" s="115"/>
      <c r="G5" s="115"/>
      <c r="H5" s="115"/>
      <c r="I5" s="115"/>
      <c r="J5" s="116"/>
      <c r="K5" s="117"/>
      <c r="L5" s="19"/>
      <c r="M5" s="111" t="s">
        <v>27</v>
      </c>
      <c r="N5" s="112"/>
      <c r="O5" s="112"/>
      <c r="P5" s="112"/>
      <c r="Q5" s="112"/>
      <c r="R5" s="112"/>
      <c r="S5" s="112"/>
      <c r="T5" s="113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r="6" spans="1:38" s="1" customFormat="1" ht="15" customHeight="1" thickBot="1" x14ac:dyDescent="0.35">
      <c r="A6" s="18"/>
      <c r="B6" s="133" t="s">
        <v>0</v>
      </c>
      <c r="C6" s="134"/>
      <c r="D6" s="134"/>
      <c r="E6" s="135"/>
      <c r="F6" s="136"/>
      <c r="G6" s="133" t="s">
        <v>12</v>
      </c>
      <c r="H6" s="134"/>
      <c r="I6" s="134"/>
      <c r="J6" s="135"/>
      <c r="K6" s="136"/>
      <c r="L6" s="20"/>
      <c r="M6" s="93" t="s">
        <v>39</v>
      </c>
      <c r="N6" s="94"/>
      <c r="O6" s="169" t="s">
        <v>59</v>
      </c>
      <c r="P6" s="169"/>
      <c r="Q6" s="161" t="s">
        <v>37</v>
      </c>
      <c r="R6" s="161"/>
      <c r="S6" s="163">
        <v>1252370.6000000001</v>
      </c>
      <c r="T6" s="164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</row>
    <row r="7" spans="1:38" s="1" customFormat="1" ht="15" customHeight="1" thickBot="1" x14ac:dyDescent="0.35">
      <c r="A7" s="18"/>
      <c r="B7" s="137"/>
      <c r="C7" s="138"/>
      <c r="D7" s="138"/>
      <c r="E7" s="139"/>
      <c r="F7" s="140"/>
      <c r="G7" s="137"/>
      <c r="H7" s="138"/>
      <c r="I7" s="138"/>
      <c r="J7" s="139"/>
      <c r="K7" s="140"/>
      <c r="L7" s="20"/>
      <c r="M7" s="93" t="s">
        <v>32</v>
      </c>
      <c r="N7" s="160"/>
      <c r="O7" s="199" t="s">
        <v>60</v>
      </c>
      <c r="P7" s="200"/>
      <c r="Q7" s="162" t="s">
        <v>55</v>
      </c>
      <c r="R7" s="94"/>
      <c r="S7" s="163" t="s">
        <v>65</v>
      </c>
      <c r="T7" s="164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5" customHeight="1" x14ac:dyDescent="0.3">
      <c r="A8" s="4"/>
      <c r="B8" s="82" t="s">
        <v>4</v>
      </c>
      <c r="C8" s="83"/>
      <c r="D8" s="97" t="s">
        <v>91</v>
      </c>
      <c r="E8" s="98"/>
      <c r="F8" s="187"/>
      <c r="G8" s="82" t="s">
        <v>21</v>
      </c>
      <c r="H8" s="83"/>
      <c r="I8" s="141" t="s">
        <v>97</v>
      </c>
      <c r="J8" s="142"/>
      <c r="K8" s="143"/>
      <c r="L8" s="19"/>
      <c r="M8" s="93" t="s">
        <v>33</v>
      </c>
      <c r="N8" s="94"/>
      <c r="O8" s="198" t="s">
        <v>61</v>
      </c>
      <c r="P8" s="198"/>
      <c r="Q8" s="94" t="s">
        <v>56</v>
      </c>
      <c r="R8" s="94"/>
      <c r="S8" s="165">
        <v>44517</v>
      </c>
      <c r="T8" s="166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</row>
    <row r="9" spans="1:38" ht="15" customHeight="1" x14ac:dyDescent="0.3">
      <c r="A9" s="4"/>
      <c r="B9" s="84" t="s">
        <v>5</v>
      </c>
      <c r="C9" s="85"/>
      <c r="D9" s="99" t="s">
        <v>92</v>
      </c>
      <c r="E9" s="100"/>
      <c r="F9" s="181"/>
      <c r="G9" s="84" t="s">
        <v>13</v>
      </c>
      <c r="H9" s="85"/>
      <c r="I9" s="144">
        <v>45964</v>
      </c>
      <c r="J9" s="145"/>
      <c r="K9" s="146"/>
      <c r="L9" s="19"/>
      <c r="M9" s="93" t="s">
        <v>34</v>
      </c>
      <c r="N9" s="94"/>
      <c r="O9" s="171" t="s">
        <v>62</v>
      </c>
      <c r="P9" s="171"/>
      <c r="Q9" s="94" t="s">
        <v>15</v>
      </c>
      <c r="R9" s="94"/>
      <c r="S9" s="165">
        <v>44511</v>
      </c>
      <c r="T9" s="166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r="10" spans="1:38" ht="15" customHeight="1" x14ac:dyDescent="0.3">
      <c r="A10" s="4"/>
      <c r="B10" s="84" t="s">
        <v>6</v>
      </c>
      <c r="C10" s="85"/>
      <c r="D10" s="126">
        <v>45961</v>
      </c>
      <c r="E10" s="127"/>
      <c r="F10" s="197"/>
      <c r="G10" s="84" t="s">
        <v>14</v>
      </c>
      <c r="H10" s="85"/>
      <c r="I10" s="147">
        <v>457556.31</v>
      </c>
      <c r="J10" s="148"/>
      <c r="K10" s="149"/>
      <c r="L10" s="19"/>
      <c r="M10" s="93" t="s">
        <v>35</v>
      </c>
      <c r="N10" s="94"/>
      <c r="O10" s="171" t="s">
        <v>63</v>
      </c>
      <c r="P10" s="171"/>
      <c r="Q10" s="94" t="s">
        <v>16</v>
      </c>
      <c r="R10" s="94"/>
      <c r="S10" s="165">
        <v>44895</v>
      </c>
      <c r="T10" s="166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</row>
    <row r="11" spans="1:38" ht="15" customHeight="1" thickBot="1" x14ac:dyDescent="0.35">
      <c r="A11" s="4"/>
      <c r="B11" s="84" t="s">
        <v>7</v>
      </c>
      <c r="C11" s="85"/>
      <c r="D11" s="128">
        <v>457556.31</v>
      </c>
      <c r="E11" s="129"/>
      <c r="F11" s="194"/>
      <c r="G11" s="84" t="s">
        <v>15</v>
      </c>
      <c r="H11" s="85"/>
      <c r="I11" s="144">
        <v>45964</v>
      </c>
      <c r="J11" s="145"/>
      <c r="K11" s="146"/>
      <c r="L11" s="19"/>
      <c r="M11" s="95" t="s">
        <v>36</v>
      </c>
      <c r="N11" s="96"/>
      <c r="O11" s="172" t="s">
        <v>64</v>
      </c>
      <c r="P11" s="172"/>
      <c r="Q11" s="96" t="s">
        <v>57</v>
      </c>
      <c r="R11" s="96"/>
      <c r="S11" s="158">
        <v>0</v>
      </c>
      <c r="T11" s="159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r="12" spans="1:38" ht="15" customHeight="1" thickBot="1" x14ac:dyDescent="0.35">
      <c r="A12" s="4"/>
      <c r="B12" s="84" t="s">
        <v>11</v>
      </c>
      <c r="C12" s="85"/>
      <c r="D12" s="128" t="s">
        <v>89</v>
      </c>
      <c r="E12" s="129"/>
      <c r="F12" s="194"/>
      <c r="G12" s="86" t="s">
        <v>16</v>
      </c>
      <c r="H12" s="87"/>
      <c r="I12" s="150">
        <v>46268</v>
      </c>
      <c r="J12" s="151"/>
      <c r="K12" s="152"/>
      <c r="L12" s="19"/>
      <c r="M12" s="8" t="s">
        <v>38</v>
      </c>
      <c r="N12" s="8"/>
      <c r="O12" s="8"/>
      <c r="P12" s="8"/>
      <c r="Q12" s="8"/>
      <c r="R12" s="8"/>
      <c r="S12" s="8"/>
      <c r="T12" s="8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</row>
    <row r="13" spans="1:38" ht="15" customHeight="1" thickBot="1" x14ac:dyDescent="0.35">
      <c r="A13" s="4"/>
      <c r="B13" s="122" t="s">
        <v>10</v>
      </c>
      <c r="C13" s="123"/>
      <c r="D13" s="130" t="s">
        <v>58</v>
      </c>
      <c r="E13" s="131"/>
      <c r="F13" s="195"/>
      <c r="G13" s="108" t="s">
        <v>17</v>
      </c>
      <c r="H13" s="109"/>
      <c r="I13" s="109"/>
      <c r="J13" s="110"/>
      <c r="K13" s="185"/>
      <c r="L13" s="30"/>
      <c r="M13" s="175" t="s">
        <v>38</v>
      </c>
      <c r="N13" s="176"/>
      <c r="O13" s="176"/>
      <c r="P13" s="176"/>
      <c r="Q13" s="176"/>
      <c r="R13" s="176"/>
      <c r="S13" s="176"/>
      <c r="T13" s="177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r="14" spans="1:38" ht="15" customHeight="1" thickBot="1" x14ac:dyDescent="0.35">
      <c r="A14" s="4"/>
      <c r="B14" s="122"/>
      <c r="C14" s="123"/>
      <c r="D14" s="130"/>
      <c r="E14" s="131"/>
      <c r="F14" s="195"/>
      <c r="G14" s="192" t="s">
        <v>18</v>
      </c>
      <c r="H14" s="193"/>
      <c r="I14" s="190" t="s">
        <v>98</v>
      </c>
      <c r="J14" s="190"/>
      <c r="K14" s="191"/>
      <c r="L14" s="30"/>
      <c r="M14" s="10" t="s">
        <v>40</v>
      </c>
      <c r="N14" s="173" t="s">
        <v>41</v>
      </c>
      <c r="O14" s="174"/>
      <c r="P14" s="7" t="s">
        <v>42</v>
      </c>
      <c r="Q14" s="7" t="s">
        <v>43</v>
      </c>
      <c r="R14" s="7" t="s">
        <v>44</v>
      </c>
      <c r="S14" s="7" t="s">
        <v>45</v>
      </c>
      <c r="T14" s="11" t="s">
        <v>46</v>
      </c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</row>
    <row r="15" spans="1:38" ht="15" customHeight="1" x14ac:dyDescent="0.3">
      <c r="A15" s="4"/>
      <c r="B15" s="122"/>
      <c r="C15" s="123"/>
      <c r="D15" s="130"/>
      <c r="E15" s="131"/>
      <c r="F15" s="195"/>
      <c r="G15" s="42"/>
      <c r="H15" s="42"/>
      <c r="I15" s="189"/>
      <c r="J15" s="189"/>
      <c r="K15" s="189"/>
      <c r="L15" s="30"/>
      <c r="M15" s="12">
        <v>1</v>
      </c>
      <c r="N15" s="99" t="s">
        <v>47</v>
      </c>
      <c r="O15" s="99"/>
      <c r="P15" s="40">
        <v>44895</v>
      </c>
      <c r="Q15" s="40">
        <v>45107</v>
      </c>
      <c r="R15" s="41">
        <v>0</v>
      </c>
      <c r="S15" s="41">
        <v>0</v>
      </c>
      <c r="T15" s="9">
        <v>0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ht="15" customHeight="1" x14ac:dyDescent="0.3">
      <c r="A16" s="4"/>
      <c r="B16" s="122"/>
      <c r="C16" s="123"/>
      <c r="D16" s="130"/>
      <c r="E16" s="131"/>
      <c r="F16" s="195"/>
      <c r="G16" s="42"/>
      <c r="H16" s="42"/>
      <c r="I16" s="189"/>
      <c r="J16" s="189"/>
      <c r="K16" s="189"/>
      <c r="L16" s="30"/>
      <c r="M16" s="12">
        <v>2</v>
      </c>
      <c r="N16" s="99" t="s">
        <v>47</v>
      </c>
      <c r="O16" s="99"/>
      <c r="P16" s="40">
        <v>45107</v>
      </c>
      <c r="Q16" s="40">
        <v>45473</v>
      </c>
      <c r="R16" s="41">
        <v>0</v>
      </c>
      <c r="S16" s="41">
        <v>0</v>
      </c>
      <c r="T16" s="9">
        <v>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ht="15" customHeight="1" thickBot="1" x14ac:dyDescent="0.35">
      <c r="A17" s="4"/>
      <c r="B17" s="124"/>
      <c r="C17" s="125"/>
      <c r="D17" s="120"/>
      <c r="E17" s="132"/>
      <c r="F17" s="121"/>
      <c r="G17" s="178"/>
      <c r="H17" s="178"/>
      <c r="I17" s="196"/>
      <c r="J17" s="196"/>
      <c r="K17" s="196"/>
      <c r="L17" s="30"/>
      <c r="M17" s="12">
        <v>3</v>
      </c>
      <c r="N17" s="99" t="s">
        <v>47</v>
      </c>
      <c r="O17" s="99"/>
      <c r="P17" s="40">
        <v>45473</v>
      </c>
      <c r="Q17" s="40">
        <v>45838</v>
      </c>
      <c r="R17" s="41">
        <v>0</v>
      </c>
      <c r="S17" s="41">
        <v>0</v>
      </c>
      <c r="T17" s="9">
        <v>0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8" ht="19.95" customHeight="1" thickBot="1" x14ac:dyDescent="0.35">
      <c r="A18" s="4"/>
      <c r="B18" s="108" t="s">
        <v>48</v>
      </c>
      <c r="C18" s="109"/>
      <c r="D18" s="109"/>
      <c r="E18" s="110"/>
      <c r="F18" s="185"/>
      <c r="G18" s="186"/>
      <c r="H18" s="186"/>
      <c r="I18" s="186"/>
      <c r="J18" s="186"/>
      <c r="K18" s="186"/>
      <c r="L18" s="30"/>
      <c r="M18" s="12">
        <v>4</v>
      </c>
      <c r="N18" s="99" t="s">
        <v>47</v>
      </c>
      <c r="O18" s="99"/>
      <c r="P18" s="40">
        <v>45838</v>
      </c>
      <c r="Q18" s="40">
        <v>46203</v>
      </c>
      <c r="R18" s="41">
        <v>0</v>
      </c>
      <c r="S18" s="41">
        <v>0</v>
      </c>
      <c r="T18" s="9">
        <v>0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</row>
    <row r="19" spans="1:38" ht="14.4" customHeight="1" thickBot="1" x14ac:dyDescent="0.35">
      <c r="A19" s="4"/>
      <c r="B19" s="82" t="s">
        <v>51</v>
      </c>
      <c r="C19" s="83"/>
      <c r="D19" s="97" t="s">
        <v>93</v>
      </c>
      <c r="E19" s="98"/>
      <c r="F19" s="187"/>
      <c r="G19" s="178"/>
      <c r="H19" s="178"/>
      <c r="I19" s="184"/>
      <c r="J19" s="184"/>
      <c r="K19" s="184"/>
      <c r="L19" s="30"/>
      <c r="M19" s="43">
        <v>5</v>
      </c>
      <c r="N19" s="65" t="s">
        <v>47</v>
      </c>
      <c r="O19" s="188"/>
      <c r="P19" s="44">
        <v>46203</v>
      </c>
      <c r="Q19" s="44">
        <v>46568</v>
      </c>
      <c r="R19" s="45">
        <v>0</v>
      </c>
      <c r="S19" s="45">
        <v>0</v>
      </c>
      <c r="T19" s="46">
        <v>0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r="20" spans="1:38" x14ac:dyDescent="0.3">
      <c r="A20" s="4"/>
      <c r="B20" s="84" t="s">
        <v>49</v>
      </c>
      <c r="C20" s="85"/>
      <c r="D20" s="99" t="s">
        <v>94</v>
      </c>
      <c r="E20" s="100"/>
      <c r="F20" s="181"/>
      <c r="G20" s="178"/>
      <c r="H20" s="178"/>
      <c r="I20" s="182"/>
      <c r="J20" s="182"/>
      <c r="K20" s="182"/>
      <c r="L20" s="30"/>
      <c r="M20" s="30"/>
      <c r="N20" s="30"/>
      <c r="O20" s="30"/>
      <c r="P20" s="30"/>
      <c r="Q20" s="30"/>
      <c r="R20" s="30"/>
      <c r="S20" s="30"/>
      <c r="T20" s="30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</row>
    <row r="21" spans="1:38" x14ac:dyDescent="0.3">
      <c r="A21" s="4"/>
      <c r="B21" s="84" t="s">
        <v>50</v>
      </c>
      <c r="C21" s="85"/>
      <c r="D21" s="183" t="s">
        <v>95</v>
      </c>
      <c r="E21" s="100"/>
      <c r="F21" s="181"/>
      <c r="G21" s="178"/>
      <c r="H21" s="178"/>
      <c r="I21" s="184"/>
      <c r="J21" s="184"/>
      <c r="K21" s="184"/>
      <c r="L21" s="30"/>
      <c r="M21" s="30"/>
      <c r="N21" s="30"/>
      <c r="O21" s="30"/>
      <c r="P21" s="30"/>
      <c r="Q21" s="30"/>
      <c r="R21" s="30"/>
      <c r="S21" s="30"/>
      <c r="T21" s="30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r="22" spans="1:38" ht="15" customHeight="1" x14ac:dyDescent="0.3">
      <c r="A22" s="4"/>
      <c r="B22" s="84" t="s">
        <v>66</v>
      </c>
      <c r="C22" s="85"/>
      <c r="D22" s="76" t="s">
        <v>96</v>
      </c>
      <c r="E22" s="77"/>
      <c r="F22" s="78"/>
      <c r="G22" s="178"/>
      <c r="H22" s="178"/>
      <c r="I22" s="179"/>
      <c r="J22" s="179"/>
      <c r="K22" s="179"/>
      <c r="L22" s="30"/>
      <c r="M22" s="30"/>
      <c r="N22" s="30"/>
      <c r="O22" s="30"/>
      <c r="P22" s="30"/>
      <c r="Q22" s="30"/>
      <c r="R22" s="30"/>
      <c r="S22" s="30"/>
      <c r="T22" s="30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spans="1:38" ht="15" customHeight="1" x14ac:dyDescent="0.3">
      <c r="A23" s="4"/>
      <c r="B23" s="84" t="s">
        <v>68</v>
      </c>
      <c r="C23" s="85"/>
      <c r="D23" s="76" t="s">
        <v>89</v>
      </c>
      <c r="E23" s="77"/>
      <c r="F23" s="78"/>
      <c r="G23" s="178"/>
      <c r="H23" s="178"/>
      <c r="I23" s="179"/>
      <c r="J23" s="179"/>
      <c r="K23" s="179"/>
      <c r="L23" s="30"/>
      <c r="M23" s="30"/>
      <c r="N23" s="30"/>
      <c r="O23" s="30"/>
      <c r="P23" s="30"/>
      <c r="Q23" s="30"/>
      <c r="R23" s="30"/>
      <c r="S23" s="30"/>
      <c r="T23" s="30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38" ht="15" customHeight="1" thickBot="1" x14ac:dyDescent="0.35">
      <c r="A24" s="4"/>
      <c r="B24" s="86" t="s">
        <v>70</v>
      </c>
      <c r="C24" s="87"/>
      <c r="D24" s="103" t="s">
        <v>89</v>
      </c>
      <c r="E24" s="104"/>
      <c r="F24" s="180"/>
      <c r="G24" s="178"/>
      <c r="H24" s="178"/>
      <c r="I24" s="179"/>
      <c r="J24" s="179"/>
      <c r="K24" s="179"/>
      <c r="L24" s="30"/>
      <c r="M24" s="30"/>
      <c r="N24" s="30"/>
      <c r="O24" s="30"/>
      <c r="P24" s="30"/>
      <c r="Q24" s="30"/>
      <c r="R24" s="30"/>
      <c r="S24" s="30"/>
      <c r="T24" s="30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spans="1:38" ht="15" thickBot="1" x14ac:dyDescent="0.35">
      <c r="A25" s="4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spans="1:38" ht="16.2" customHeight="1" x14ac:dyDescent="0.3">
      <c r="A26" s="4"/>
      <c r="B26" s="47" t="s">
        <v>72</v>
      </c>
      <c r="C26" s="48"/>
      <c r="D26" s="48"/>
      <c r="E26" s="48"/>
      <c r="F26" s="48"/>
      <c r="G26" s="48"/>
      <c r="H26" s="48"/>
      <c r="I26" s="48"/>
      <c r="J26" s="48"/>
      <c r="K26" s="49"/>
      <c r="L26" s="30"/>
      <c r="M26" s="30"/>
      <c r="N26" s="30"/>
      <c r="O26" s="30"/>
      <c r="P26" s="30"/>
      <c r="Q26" s="30"/>
      <c r="R26" s="30"/>
      <c r="S26" s="30"/>
      <c r="T26" s="30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spans="1:38" ht="14.4" customHeight="1" thickBot="1" x14ac:dyDescent="0.35">
      <c r="A27" s="4"/>
      <c r="B27" s="50"/>
      <c r="C27" s="51"/>
      <c r="D27" s="51"/>
      <c r="E27" s="51"/>
      <c r="F27" s="51"/>
      <c r="G27" s="51"/>
      <c r="H27" s="51"/>
      <c r="I27" s="51"/>
      <c r="J27" s="51"/>
      <c r="K27" s="52"/>
      <c r="L27" s="30"/>
      <c r="M27" s="30"/>
      <c r="N27" s="30"/>
      <c r="O27" s="30"/>
      <c r="P27" s="30"/>
      <c r="Q27" s="30"/>
      <c r="R27" s="30"/>
      <c r="S27" s="30"/>
      <c r="T27" s="30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spans="1:38" ht="30" customHeight="1" thickBot="1" x14ac:dyDescent="0.35">
      <c r="A28" s="4"/>
      <c r="B28" s="36"/>
      <c r="C28" s="35" t="s">
        <v>75</v>
      </c>
      <c r="D28" s="23" t="s">
        <v>73</v>
      </c>
      <c r="E28" s="23" t="s">
        <v>74</v>
      </c>
      <c r="F28" s="24" t="s">
        <v>86</v>
      </c>
      <c r="G28" s="39"/>
      <c r="H28" s="35" t="s">
        <v>75</v>
      </c>
      <c r="I28" s="23" t="s">
        <v>73</v>
      </c>
      <c r="J28" s="23" t="s">
        <v>74</v>
      </c>
      <c r="K28" s="24" t="s">
        <v>86</v>
      </c>
      <c r="L28" s="30"/>
      <c r="M28" s="30"/>
      <c r="N28" s="30"/>
      <c r="O28" s="30"/>
      <c r="P28" s="30"/>
      <c r="Q28" s="30"/>
      <c r="R28" s="30"/>
      <c r="S28" s="30"/>
      <c r="T28" s="30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spans="1:38" ht="19.95" customHeight="1" x14ac:dyDescent="0.3">
      <c r="A29" s="4"/>
      <c r="B29" s="27" t="s">
        <v>76</v>
      </c>
      <c r="C29" s="88" t="s">
        <v>78</v>
      </c>
      <c r="D29" s="22">
        <v>82671.929999999993</v>
      </c>
      <c r="E29" s="22">
        <v>82671.929999999993</v>
      </c>
      <c r="F29" s="26">
        <f>E29</f>
        <v>82671.929999999993</v>
      </c>
      <c r="G29" s="27" t="s">
        <v>76</v>
      </c>
      <c r="H29" s="88" t="s">
        <v>80</v>
      </c>
      <c r="I29" s="22">
        <v>55383.05</v>
      </c>
      <c r="J29" s="22">
        <v>55383.05</v>
      </c>
      <c r="K29" s="25">
        <f>J29+F29</f>
        <v>138054.97999999998</v>
      </c>
      <c r="L29" s="30"/>
      <c r="M29" s="30"/>
      <c r="N29" s="30"/>
      <c r="O29" s="30"/>
      <c r="P29" s="30"/>
      <c r="Q29" s="30"/>
      <c r="R29" s="30"/>
      <c r="S29" s="30"/>
      <c r="T29" s="30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38" ht="19.95" customHeight="1" thickBot="1" x14ac:dyDescent="0.35">
      <c r="A30" s="4"/>
      <c r="B30" s="29" t="s">
        <v>77</v>
      </c>
      <c r="C30" s="90"/>
      <c r="D30" s="14" t="s">
        <v>99</v>
      </c>
      <c r="E30" s="14">
        <v>46003</v>
      </c>
      <c r="F30" s="38">
        <f>F29/D11</f>
        <v>0.18068143350487287</v>
      </c>
      <c r="G30" s="29" t="s">
        <v>77</v>
      </c>
      <c r="H30" s="90"/>
      <c r="I30" s="14" t="s">
        <v>100</v>
      </c>
      <c r="J30" s="14">
        <v>46302</v>
      </c>
      <c r="K30" s="34">
        <f>K29/D11</f>
        <v>0.30172238254128764</v>
      </c>
      <c r="L30" s="30"/>
      <c r="M30" s="30"/>
      <c r="N30" s="30"/>
      <c r="O30" s="30"/>
      <c r="P30" s="30"/>
      <c r="Q30" s="30"/>
      <c r="R30" s="30"/>
      <c r="S30" s="30"/>
      <c r="T30" s="30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38" x14ac:dyDescent="0.3">
      <c r="A31" s="4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38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spans="1:38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spans="1:38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spans="1:38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spans="1:3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spans="1:3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spans="1:3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spans="1:38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spans="1:38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38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1:3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1:3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1:38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1:38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</sheetData>
  <mergeCells count="90">
    <mergeCell ref="B2:T2"/>
    <mergeCell ref="B3:T3"/>
    <mergeCell ref="B5:K5"/>
    <mergeCell ref="M5:T5"/>
    <mergeCell ref="B6:F7"/>
    <mergeCell ref="G6:K7"/>
    <mergeCell ref="M6:N6"/>
    <mergeCell ref="O6:P6"/>
    <mergeCell ref="Q6:R6"/>
    <mergeCell ref="S6:T6"/>
    <mergeCell ref="M7:N7"/>
    <mergeCell ref="O7:P7"/>
    <mergeCell ref="Q7:R7"/>
    <mergeCell ref="S7:T7"/>
    <mergeCell ref="O8:P8"/>
    <mergeCell ref="Q8:R8"/>
    <mergeCell ref="S8:T8"/>
    <mergeCell ref="B9:C9"/>
    <mergeCell ref="D9:F9"/>
    <mergeCell ref="G9:H9"/>
    <mergeCell ref="I9:K9"/>
    <mergeCell ref="M9:N9"/>
    <mergeCell ref="O9:P9"/>
    <mergeCell ref="Q9:R9"/>
    <mergeCell ref="S9:T9"/>
    <mergeCell ref="B8:C8"/>
    <mergeCell ref="D8:F8"/>
    <mergeCell ref="G8:H8"/>
    <mergeCell ref="I8:K8"/>
    <mergeCell ref="M8:N8"/>
    <mergeCell ref="Q10:R10"/>
    <mergeCell ref="S10:T10"/>
    <mergeCell ref="B11:C11"/>
    <mergeCell ref="D11:F11"/>
    <mergeCell ref="G11:H11"/>
    <mergeCell ref="I11:K11"/>
    <mergeCell ref="M11:N11"/>
    <mergeCell ref="O11:P11"/>
    <mergeCell ref="Q11:R11"/>
    <mergeCell ref="S11:T11"/>
    <mergeCell ref="B10:C10"/>
    <mergeCell ref="D10:F10"/>
    <mergeCell ref="G10:H10"/>
    <mergeCell ref="I10:K10"/>
    <mergeCell ref="M10:N10"/>
    <mergeCell ref="O10:P10"/>
    <mergeCell ref="G14:H14"/>
    <mergeCell ref="B12:C12"/>
    <mergeCell ref="D12:F12"/>
    <mergeCell ref="G12:H12"/>
    <mergeCell ref="I12:K12"/>
    <mergeCell ref="B13:C17"/>
    <mergeCell ref="D13:F17"/>
    <mergeCell ref="G13:K13"/>
    <mergeCell ref="G17:H17"/>
    <mergeCell ref="I17:K17"/>
    <mergeCell ref="M13:T13"/>
    <mergeCell ref="N14:O14"/>
    <mergeCell ref="I15:K16"/>
    <mergeCell ref="N15:O15"/>
    <mergeCell ref="N16:O16"/>
    <mergeCell ref="I14:K14"/>
    <mergeCell ref="N17:O17"/>
    <mergeCell ref="B18:F18"/>
    <mergeCell ref="G18:K18"/>
    <mergeCell ref="N18:O18"/>
    <mergeCell ref="B19:C19"/>
    <mergeCell ref="D19:F19"/>
    <mergeCell ref="G19:H19"/>
    <mergeCell ref="I19:K19"/>
    <mergeCell ref="N19:O19"/>
    <mergeCell ref="B20:C20"/>
    <mergeCell ref="D20:F20"/>
    <mergeCell ref="G20:H20"/>
    <mergeCell ref="I20:K20"/>
    <mergeCell ref="B21:C21"/>
    <mergeCell ref="D21:F21"/>
    <mergeCell ref="G21:H21"/>
    <mergeCell ref="I21:K21"/>
    <mergeCell ref="B26:K27"/>
    <mergeCell ref="C29:C30"/>
    <mergeCell ref="H29:H30"/>
    <mergeCell ref="B22:C22"/>
    <mergeCell ref="D22:F22"/>
    <mergeCell ref="G22:H24"/>
    <mergeCell ref="I22:K24"/>
    <mergeCell ref="B23:C23"/>
    <mergeCell ref="D23:F23"/>
    <mergeCell ref="B24:C24"/>
    <mergeCell ref="D24:F24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ESCOLA 6 SALAS (PRIMEIRA ETAPA)</vt:lpstr>
      <vt:lpstr>ESCOLA 6 SALAS (SEGUNDA ETAPA)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WESLEY</dc:creator>
  <cp:lastModifiedBy>DOUGLAS WESLEY</cp:lastModifiedBy>
  <dcterms:created xsi:type="dcterms:W3CDTF">2026-10-13T12:14:47Z</dcterms:created>
  <dcterms:modified xsi:type="dcterms:W3CDTF">2026-10-21T14:31:27Z</dcterms:modified>
</cp:coreProperties>
</file>